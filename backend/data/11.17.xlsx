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os\Desktop\"/>
    </mc:Choice>
  </mc:AlternateContent>
  <workbookProtection workbookPassword="C118" lockStructure="1"/>
  <bookViews>
    <workbookView xWindow="0" yWindow="0" windowWidth="6990" windowHeight="7575"/>
  </bookViews>
  <sheets>
    <sheet name="订货1" sheetId="2" r:id="rId1"/>
    <sheet name="店铺收货台帐2" sheetId="7" r:id="rId2"/>
    <sheet name="预估营业额3" sheetId="9" r:id="rId3"/>
    <sheet name="导出4" sheetId="5" r:id="rId4"/>
  </sheets>
  <calcPr calcId="152511"/>
</workbook>
</file>

<file path=xl/calcChain.xml><?xml version="1.0" encoding="utf-8"?>
<calcChain xmlns="http://schemas.openxmlformats.org/spreadsheetml/2006/main">
  <c r="P115" i="2" l="1"/>
  <c r="P215" i="2" l="1"/>
  <c r="E37" i="9" l="1"/>
  <c r="E38" i="9"/>
  <c r="E39" i="9"/>
  <c r="C4" i="5" l="1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C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C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C143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C14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C145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C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C14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C148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C149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C150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C151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AG151" i="5"/>
  <c r="C152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C153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C154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AG154" i="5"/>
  <c r="C155" i="5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AG155" i="5"/>
  <c r="C156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AG156" i="5"/>
  <c r="C157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AG157" i="5"/>
  <c r="C158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AG158" i="5"/>
  <c r="C159" i="5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AG159" i="5"/>
  <c r="C160" i="5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AG160" i="5"/>
  <c r="C161" i="5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AG161" i="5"/>
  <c r="C162" i="5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AG162" i="5"/>
  <c r="C163" i="5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R163" i="5"/>
  <c r="S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AG163" i="5"/>
  <c r="C164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AG164" i="5"/>
  <c r="C165" i="5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AG165" i="5"/>
  <c r="C166" i="5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AG166" i="5"/>
  <c r="C167" i="5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R167" i="5"/>
  <c r="S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AG167" i="5"/>
  <c r="C168" i="5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AG168" i="5"/>
  <c r="C169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S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AG169" i="5"/>
  <c r="C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AG170" i="5"/>
  <c r="C171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AG171" i="5"/>
  <c r="C172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AG172" i="5"/>
  <c r="C173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AG173" i="5"/>
  <c r="C174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AG174" i="5"/>
  <c r="C175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AG175" i="5"/>
  <c r="C176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AG176" i="5"/>
  <c r="C177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AG177" i="5"/>
  <c r="C178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AG178" i="5"/>
  <c r="C179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AG179" i="5"/>
  <c r="C180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AG180" i="5"/>
  <c r="C181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AG181" i="5"/>
  <c r="C182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AG182" i="5"/>
  <c r="C183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AG183" i="5"/>
  <c r="C184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AG184" i="5"/>
  <c r="C185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AG185" i="5"/>
  <c r="C186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AG186" i="5"/>
  <c r="C187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AG187" i="5"/>
  <c r="C188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AG188" i="5"/>
  <c r="C189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AG189" i="5"/>
  <c r="C190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AG190" i="5"/>
  <c r="C191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AG191" i="5"/>
  <c r="C192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AG192" i="5"/>
  <c r="C193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AG193" i="5"/>
  <c r="C194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AG194" i="5"/>
  <c r="C195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AG195" i="5"/>
  <c r="C196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R196" i="5"/>
  <c r="S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AG196" i="5"/>
  <c r="C197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AG197" i="5"/>
  <c r="C198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R198" i="5"/>
  <c r="S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AG198" i="5"/>
  <c r="C199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AG199" i="5"/>
  <c r="C200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AG200" i="5"/>
  <c r="C201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AG201" i="5"/>
  <c r="C202" i="5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R202" i="5"/>
  <c r="S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AG202" i="5"/>
  <c r="C203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AG203" i="5"/>
  <c r="C204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AG204" i="5"/>
  <c r="C205" i="5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R205" i="5"/>
  <c r="S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AG205" i="5"/>
  <c r="C206" i="5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AG206" i="5"/>
  <c r="C207" i="5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AG207" i="5"/>
  <c r="C208" i="5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R208" i="5"/>
  <c r="S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AG208" i="5"/>
  <c r="C209" i="5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AG209" i="5"/>
  <c r="C210" i="5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AG210" i="5"/>
  <c r="C211" i="5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AG211" i="5"/>
  <c r="C212" i="5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R212" i="5"/>
  <c r="S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AG212" i="5"/>
  <c r="C213" i="5"/>
  <c r="D213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Q213" i="5"/>
  <c r="R213" i="5"/>
  <c r="S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AG213" i="5"/>
  <c r="C214" i="5"/>
  <c r="D214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Q214" i="5"/>
  <c r="R214" i="5"/>
  <c r="S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AG214" i="5"/>
  <c r="C215" i="5"/>
  <c r="D215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Q215" i="5"/>
  <c r="R215" i="5"/>
  <c r="S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AG215" i="5"/>
  <c r="C216" i="5"/>
  <c r="D216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Q216" i="5"/>
  <c r="R216" i="5"/>
  <c r="S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AG216" i="5"/>
  <c r="C217" i="5"/>
  <c r="D217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Q217" i="5"/>
  <c r="R217" i="5"/>
  <c r="S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AG217" i="5"/>
  <c r="C218" i="5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R218" i="5"/>
  <c r="S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AG218" i="5"/>
  <c r="C219" i="5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R219" i="5"/>
  <c r="S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AG219" i="5"/>
  <c r="C220" i="5"/>
  <c r="D220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Q220" i="5"/>
  <c r="R220" i="5"/>
  <c r="S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AG220" i="5"/>
  <c r="C221" i="5"/>
  <c r="D221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Q221" i="5"/>
  <c r="R221" i="5"/>
  <c r="S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AG221" i="5"/>
  <c r="C222" i="5"/>
  <c r="D222" i="5"/>
  <c r="E222" i="5"/>
  <c r="F222" i="5"/>
  <c r="G222" i="5"/>
  <c r="H222" i="5"/>
  <c r="I222" i="5"/>
  <c r="J222" i="5"/>
  <c r="K222" i="5"/>
  <c r="L222" i="5"/>
  <c r="M222" i="5"/>
  <c r="N222" i="5"/>
  <c r="O222" i="5"/>
  <c r="P222" i="5"/>
  <c r="Q222" i="5"/>
  <c r="R222" i="5"/>
  <c r="S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AG222" i="5"/>
  <c r="C223" i="5"/>
  <c r="D223" i="5"/>
  <c r="E223" i="5"/>
  <c r="F223" i="5"/>
  <c r="G223" i="5"/>
  <c r="H223" i="5"/>
  <c r="I223" i="5"/>
  <c r="J223" i="5"/>
  <c r="K223" i="5"/>
  <c r="L223" i="5"/>
  <c r="M223" i="5"/>
  <c r="N223" i="5"/>
  <c r="O223" i="5"/>
  <c r="P223" i="5"/>
  <c r="Q223" i="5"/>
  <c r="R223" i="5"/>
  <c r="S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AG223" i="5"/>
  <c r="C224" i="5"/>
  <c r="D224" i="5"/>
  <c r="E224" i="5"/>
  <c r="F224" i="5"/>
  <c r="G224" i="5"/>
  <c r="H224" i="5"/>
  <c r="I224" i="5"/>
  <c r="J224" i="5"/>
  <c r="K224" i="5"/>
  <c r="L224" i="5"/>
  <c r="M224" i="5"/>
  <c r="N224" i="5"/>
  <c r="O224" i="5"/>
  <c r="P224" i="5"/>
  <c r="Q224" i="5"/>
  <c r="R224" i="5"/>
  <c r="S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AG224" i="5"/>
  <c r="C225" i="5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R225" i="5"/>
  <c r="S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AG225" i="5"/>
  <c r="C226" i="5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R226" i="5"/>
  <c r="S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AG226" i="5"/>
  <c r="C227" i="5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AG227" i="5"/>
  <c r="C228" i="5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AG228" i="5"/>
  <c r="C229" i="5"/>
  <c r="D229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Q229" i="5"/>
  <c r="R229" i="5"/>
  <c r="S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AG229" i="5"/>
  <c r="C230" i="5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AG230" i="5"/>
  <c r="C231" i="5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R231" i="5"/>
  <c r="S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AG231" i="5"/>
  <c r="C232" i="5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R232" i="5"/>
  <c r="S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AG232" i="5"/>
  <c r="C233" i="5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R233" i="5"/>
  <c r="S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AG233" i="5"/>
  <c r="C234" i="5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R234" i="5"/>
  <c r="S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AG234" i="5"/>
  <c r="C235" i="5"/>
  <c r="D235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Q235" i="5"/>
  <c r="R235" i="5"/>
  <c r="S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AG235" i="5"/>
  <c r="C236" i="5"/>
  <c r="D236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Q236" i="5"/>
  <c r="R236" i="5"/>
  <c r="S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AG236" i="5"/>
  <c r="C237" i="5"/>
  <c r="D237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Q237" i="5"/>
  <c r="R237" i="5"/>
  <c r="S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AG237" i="5"/>
  <c r="C238" i="5"/>
  <c r="D238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R238" i="5"/>
  <c r="S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AG238" i="5"/>
  <c r="C239" i="5"/>
  <c r="D239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R239" i="5"/>
  <c r="S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AG239" i="5"/>
  <c r="BT126" i="7" l="1"/>
  <c r="BT127" i="7"/>
  <c r="BT128" i="7"/>
  <c r="BT129" i="7"/>
  <c r="BT130" i="7"/>
  <c r="BT131" i="7"/>
  <c r="BT132" i="7"/>
  <c r="BT133" i="7"/>
  <c r="BT134" i="7"/>
  <c r="BT135" i="7"/>
  <c r="BT136" i="7"/>
  <c r="BT137" i="7"/>
  <c r="BT138" i="7"/>
  <c r="BT139" i="7"/>
  <c r="BT140" i="7"/>
  <c r="BT141" i="7"/>
  <c r="BT142" i="7"/>
  <c r="BT143" i="7"/>
  <c r="BT144" i="7"/>
  <c r="BT145" i="7"/>
  <c r="BT146" i="7"/>
  <c r="BT147" i="7"/>
  <c r="BT148" i="7"/>
  <c r="BT149" i="7"/>
  <c r="BT150" i="7"/>
  <c r="BT151" i="7"/>
  <c r="BT152" i="7"/>
  <c r="BT153" i="7"/>
  <c r="BT154" i="7"/>
  <c r="BT155" i="7"/>
  <c r="BT156" i="7"/>
  <c r="BT157" i="7"/>
  <c r="BT158" i="7"/>
  <c r="BT159" i="7"/>
  <c r="BT160" i="7"/>
  <c r="BT161" i="7"/>
  <c r="BT162" i="7"/>
  <c r="BT163" i="7"/>
  <c r="BT164" i="7"/>
  <c r="BT165" i="7"/>
  <c r="BT166" i="7"/>
  <c r="BT167" i="7"/>
  <c r="BT168" i="7"/>
  <c r="BT169" i="7"/>
  <c r="BT170" i="7"/>
  <c r="BT171" i="7"/>
  <c r="BT172" i="7"/>
  <c r="BT173" i="7"/>
  <c r="BT174" i="7"/>
  <c r="BT175" i="7"/>
  <c r="BT176" i="7"/>
  <c r="BT177" i="7"/>
  <c r="BT178" i="7"/>
  <c r="BT179" i="7"/>
  <c r="BT180" i="7"/>
  <c r="BT181" i="7"/>
  <c r="BT182" i="7"/>
  <c r="BT183" i="7"/>
  <c r="BT184" i="7"/>
  <c r="BT185" i="7"/>
  <c r="BT186" i="7"/>
  <c r="BT187" i="7"/>
  <c r="BT188" i="7"/>
  <c r="BT189" i="7"/>
  <c r="BT190" i="7"/>
  <c r="BT191" i="7"/>
  <c r="BT192" i="7"/>
  <c r="BT193" i="7"/>
  <c r="BT194" i="7"/>
  <c r="BT195" i="7"/>
  <c r="BT196" i="7"/>
  <c r="BT197" i="7"/>
  <c r="BT198" i="7"/>
  <c r="BT199" i="7"/>
  <c r="BT200" i="7"/>
  <c r="BT201" i="7"/>
  <c r="BT202" i="7"/>
  <c r="BT203" i="7"/>
  <c r="BT204" i="7"/>
  <c r="BT205" i="7"/>
  <c r="BT206" i="7"/>
  <c r="BT207" i="7"/>
  <c r="BT208" i="7"/>
  <c r="BT209" i="7"/>
  <c r="BT210" i="7"/>
  <c r="BT211" i="7"/>
  <c r="BT212" i="7"/>
  <c r="BT213" i="7"/>
  <c r="BT214" i="7"/>
  <c r="BT215" i="7"/>
  <c r="BT216" i="7"/>
  <c r="BT217" i="7"/>
  <c r="BT218" i="7"/>
  <c r="BT219" i="7"/>
  <c r="BT220" i="7"/>
  <c r="BT221" i="7"/>
  <c r="BT222" i="7"/>
  <c r="BT223" i="7"/>
  <c r="BT224" i="7"/>
  <c r="BT225" i="7"/>
  <c r="BT226" i="7"/>
  <c r="BT227" i="7"/>
  <c r="BT228" i="7"/>
  <c r="BT229" i="7"/>
  <c r="BT230" i="7"/>
  <c r="BT231" i="7"/>
  <c r="BT232" i="7"/>
  <c r="BT233" i="7"/>
  <c r="BT234" i="7"/>
  <c r="BT235" i="7"/>
  <c r="BT236" i="7"/>
  <c r="BT237" i="7"/>
  <c r="BT238" i="7"/>
  <c r="BT239" i="7"/>
  <c r="BT240" i="7"/>
  <c r="BT241" i="7"/>
  <c r="BT242" i="7"/>
  <c r="BT243" i="7"/>
  <c r="BT244" i="7"/>
  <c r="BT245" i="7"/>
  <c r="BT246" i="7"/>
  <c r="BT247" i="7"/>
  <c r="BT248" i="7"/>
  <c r="BT249" i="7"/>
  <c r="BT250" i="7"/>
  <c r="BT251" i="7"/>
  <c r="BT252" i="7"/>
  <c r="BT253" i="7"/>
  <c r="BT254" i="7"/>
  <c r="BT255" i="7"/>
  <c r="BT256" i="7"/>
  <c r="BT257" i="7"/>
  <c r="BT258" i="7"/>
  <c r="BT259" i="7"/>
  <c r="BT260" i="7"/>
  <c r="BT261" i="7"/>
  <c r="BT262" i="7"/>
  <c r="BT263" i="7"/>
  <c r="BT264" i="7"/>
  <c r="BW126" i="7"/>
  <c r="BW127" i="7"/>
  <c r="BW128" i="7"/>
  <c r="BW129" i="7"/>
  <c r="BW130" i="7"/>
  <c r="BW131" i="7"/>
  <c r="BW132" i="7"/>
  <c r="BW133" i="7"/>
  <c r="BW134" i="7"/>
  <c r="BW135" i="7"/>
  <c r="BW136" i="7"/>
  <c r="BW137" i="7"/>
  <c r="BW138" i="7"/>
  <c r="BW139" i="7"/>
  <c r="BW140" i="7"/>
  <c r="BW141" i="7"/>
  <c r="BW142" i="7"/>
  <c r="BW143" i="7"/>
  <c r="BW144" i="7"/>
  <c r="BW145" i="7"/>
  <c r="BW146" i="7"/>
  <c r="BW147" i="7"/>
  <c r="BW148" i="7"/>
  <c r="BW149" i="7"/>
  <c r="BW150" i="7"/>
  <c r="BW151" i="7"/>
  <c r="BW152" i="7"/>
  <c r="BW153" i="7"/>
  <c r="BW154" i="7"/>
  <c r="BW155" i="7"/>
  <c r="BW156" i="7"/>
  <c r="BW157" i="7"/>
  <c r="BW158" i="7"/>
  <c r="BW159" i="7"/>
  <c r="BW160" i="7"/>
  <c r="BW161" i="7"/>
  <c r="BW162" i="7"/>
  <c r="BW163" i="7"/>
  <c r="BW164" i="7"/>
  <c r="BW165" i="7"/>
  <c r="BW166" i="7"/>
  <c r="BW167" i="7"/>
  <c r="BW168" i="7"/>
  <c r="BW169" i="7"/>
  <c r="BW170" i="7"/>
  <c r="BW171" i="7"/>
  <c r="BW172" i="7"/>
  <c r="BW173" i="7"/>
  <c r="BW174" i="7"/>
  <c r="BW175" i="7"/>
  <c r="BW176" i="7"/>
  <c r="BW177" i="7"/>
  <c r="BW178" i="7"/>
  <c r="BW179" i="7"/>
  <c r="BW180" i="7"/>
  <c r="BW181" i="7"/>
  <c r="BW182" i="7"/>
  <c r="BW183" i="7"/>
  <c r="BW184" i="7"/>
  <c r="BW185" i="7"/>
  <c r="BW186" i="7"/>
  <c r="BW187" i="7"/>
  <c r="BW188" i="7"/>
  <c r="BW189" i="7"/>
  <c r="BW190" i="7"/>
  <c r="BW191" i="7"/>
  <c r="BW192" i="7"/>
  <c r="BW193" i="7"/>
  <c r="BW194" i="7"/>
  <c r="BW195" i="7"/>
  <c r="BW196" i="7"/>
  <c r="BW197" i="7"/>
  <c r="BW198" i="7"/>
  <c r="BW199" i="7"/>
  <c r="BW200" i="7"/>
  <c r="BW201" i="7"/>
  <c r="BW202" i="7"/>
  <c r="BW203" i="7"/>
  <c r="BW204" i="7"/>
  <c r="BW205" i="7"/>
  <c r="BW206" i="7"/>
  <c r="BW207" i="7"/>
  <c r="BW208" i="7"/>
  <c r="BW209" i="7"/>
  <c r="BW210" i="7"/>
  <c r="BW211" i="7"/>
  <c r="BW212" i="7"/>
  <c r="BW213" i="7"/>
  <c r="BW214" i="7"/>
  <c r="BW215" i="7"/>
  <c r="BW216" i="7"/>
  <c r="BW217" i="7"/>
  <c r="BW218" i="7"/>
  <c r="BW219" i="7"/>
  <c r="BW220" i="7"/>
  <c r="BW221" i="7"/>
  <c r="BW222" i="7"/>
  <c r="BW223" i="7"/>
  <c r="BW224" i="7"/>
  <c r="BW225" i="7"/>
  <c r="BW226" i="7"/>
  <c r="BW227" i="7"/>
  <c r="BW228" i="7"/>
  <c r="BW229" i="7"/>
  <c r="BW230" i="7"/>
  <c r="BW231" i="7"/>
  <c r="BW232" i="7"/>
  <c r="BW233" i="7"/>
  <c r="BW234" i="7"/>
  <c r="BW235" i="7"/>
  <c r="BW236" i="7"/>
  <c r="BW237" i="7"/>
  <c r="BW238" i="7"/>
  <c r="BW239" i="7"/>
  <c r="BW240" i="7"/>
  <c r="BW241" i="7"/>
  <c r="BW242" i="7"/>
  <c r="BW243" i="7"/>
  <c r="BW244" i="7"/>
  <c r="BW245" i="7"/>
  <c r="BW246" i="7"/>
  <c r="BW247" i="7"/>
  <c r="BW248" i="7"/>
  <c r="BW249" i="7"/>
  <c r="BW250" i="7"/>
  <c r="BW251" i="7"/>
  <c r="BW252" i="7"/>
  <c r="BW253" i="7"/>
  <c r="BW254" i="7"/>
  <c r="BW255" i="7"/>
  <c r="BW256" i="7"/>
  <c r="BW257" i="7"/>
  <c r="BW258" i="7"/>
  <c r="BW259" i="7"/>
  <c r="BW260" i="7"/>
  <c r="BW261" i="7"/>
  <c r="BW262" i="7"/>
  <c r="BW263" i="7"/>
  <c r="BW264" i="7"/>
  <c r="BZ125" i="7"/>
  <c r="BZ126" i="7"/>
  <c r="BZ127" i="7"/>
  <c r="BZ128" i="7"/>
  <c r="BZ129" i="7"/>
  <c r="BZ130" i="7"/>
  <c r="BZ131" i="7"/>
  <c r="BZ132" i="7"/>
  <c r="BZ133" i="7"/>
  <c r="BZ134" i="7"/>
  <c r="BZ135" i="7"/>
  <c r="BZ136" i="7"/>
  <c r="BZ137" i="7"/>
  <c r="BZ138" i="7"/>
  <c r="BZ139" i="7"/>
  <c r="BZ140" i="7"/>
  <c r="BZ141" i="7"/>
  <c r="BZ142" i="7"/>
  <c r="BZ143" i="7"/>
  <c r="BZ144" i="7"/>
  <c r="BZ145" i="7"/>
  <c r="BZ146" i="7"/>
  <c r="BZ147" i="7"/>
  <c r="BZ148" i="7"/>
  <c r="BZ149" i="7"/>
  <c r="BZ150" i="7"/>
  <c r="BZ151" i="7"/>
  <c r="BZ152" i="7"/>
  <c r="BZ153" i="7"/>
  <c r="BZ154" i="7"/>
  <c r="BZ155" i="7"/>
  <c r="BZ156" i="7"/>
  <c r="BZ157" i="7"/>
  <c r="BZ158" i="7"/>
  <c r="BZ159" i="7"/>
  <c r="BZ160" i="7"/>
  <c r="BZ161" i="7"/>
  <c r="BZ162" i="7"/>
  <c r="BZ163" i="7"/>
  <c r="BZ164" i="7"/>
  <c r="BZ165" i="7"/>
  <c r="BZ166" i="7"/>
  <c r="BZ167" i="7"/>
  <c r="BZ168" i="7"/>
  <c r="BZ169" i="7"/>
  <c r="BZ170" i="7"/>
  <c r="BZ171" i="7"/>
  <c r="BZ172" i="7"/>
  <c r="BZ173" i="7"/>
  <c r="BZ174" i="7"/>
  <c r="BZ175" i="7"/>
  <c r="BZ176" i="7"/>
  <c r="BZ177" i="7"/>
  <c r="BZ178" i="7"/>
  <c r="BZ179" i="7"/>
  <c r="BZ180" i="7"/>
  <c r="BZ181" i="7"/>
  <c r="BZ182" i="7"/>
  <c r="BZ183" i="7"/>
  <c r="BZ184" i="7"/>
  <c r="BZ185" i="7"/>
  <c r="BZ186" i="7"/>
  <c r="BZ187" i="7"/>
  <c r="BZ188" i="7"/>
  <c r="BZ189" i="7"/>
  <c r="BZ190" i="7"/>
  <c r="BZ191" i="7"/>
  <c r="BZ192" i="7"/>
  <c r="BZ193" i="7"/>
  <c r="BZ194" i="7"/>
  <c r="BZ195" i="7"/>
  <c r="BZ196" i="7"/>
  <c r="BZ197" i="7"/>
  <c r="BZ198" i="7"/>
  <c r="BZ199" i="7"/>
  <c r="BZ200" i="7"/>
  <c r="BZ201" i="7"/>
  <c r="BZ202" i="7"/>
  <c r="BZ203" i="7"/>
  <c r="BZ204" i="7"/>
  <c r="BZ205" i="7"/>
  <c r="BZ206" i="7"/>
  <c r="BZ207" i="7"/>
  <c r="BZ208" i="7"/>
  <c r="BZ209" i="7"/>
  <c r="BZ210" i="7"/>
  <c r="BZ211" i="7"/>
  <c r="BZ212" i="7"/>
  <c r="BZ213" i="7"/>
  <c r="BZ214" i="7"/>
  <c r="BZ215" i="7"/>
  <c r="BZ216" i="7"/>
  <c r="BZ217" i="7"/>
  <c r="BZ218" i="7"/>
  <c r="BZ219" i="7"/>
  <c r="BZ220" i="7"/>
  <c r="BZ221" i="7"/>
  <c r="BZ222" i="7"/>
  <c r="BZ223" i="7"/>
  <c r="BZ224" i="7"/>
  <c r="BZ225" i="7"/>
  <c r="BZ226" i="7"/>
  <c r="BZ227" i="7"/>
  <c r="BZ228" i="7"/>
  <c r="BZ229" i="7"/>
  <c r="BZ230" i="7"/>
  <c r="BZ231" i="7"/>
  <c r="BZ232" i="7"/>
  <c r="BZ233" i="7"/>
  <c r="BZ234" i="7"/>
  <c r="BZ235" i="7"/>
  <c r="BZ236" i="7"/>
  <c r="BZ237" i="7"/>
  <c r="BZ238" i="7"/>
  <c r="BZ239" i="7"/>
  <c r="BZ240" i="7"/>
  <c r="BZ241" i="7"/>
  <c r="BZ242" i="7"/>
  <c r="BZ243" i="7"/>
  <c r="BZ244" i="7"/>
  <c r="BZ245" i="7"/>
  <c r="BZ246" i="7"/>
  <c r="BZ247" i="7"/>
  <c r="BZ248" i="7"/>
  <c r="BZ249" i="7"/>
  <c r="BZ250" i="7"/>
  <c r="BZ251" i="7"/>
  <c r="BZ252" i="7"/>
  <c r="BZ253" i="7"/>
  <c r="BZ254" i="7"/>
  <c r="BZ255" i="7"/>
  <c r="BZ256" i="7"/>
  <c r="BZ257" i="7"/>
  <c r="BZ258" i="7"/>
  <c r="BZ259" i="7"/>
  <c r="BZ260" i="7"/>
  <c r="BZ261" i="7"/>
  <c r="BZ262" i="7"/>
  <c r="BZ263" i="7"/>
  <c r="BZ264" i="7"/>
  <c r="CC125" i="7"/>
  <c r="CC126" i="7"/>
  <c r="CC127" i="7"/>
  <c r="CC128" i="7"/>
  <c r="CC129" i="7"/>
  <c r="CC130" i="7"/>
  <c r="CC131" i="7"/>
  <c r="CC132" i="7"/>
  <c r="CC133" i="7"/>
  <c r="CC134" i="7"/>
  <c r="CC135" i="7"/>
  <c r="CC136" i="7"/>
  <c r="CC137" i="7"/>
  <c r="CC138" i="7"/>
  <c r="CC139" i="7"/>
  <c r="CC140" i="7"/>
  <c r="CC141" i="7"/>
  <c r="CC142" i="7"/>
  <c r="CC143" i="7"/>
  <c r="CC144" i="7"/>
  <c r="CC145" i="7"/>
  <c r="CC146" i="7"/>
  <c r="CC147" i="7"/>
  <c r="CC148" i="7"/>
  <c r="CC149" i="7"/>
  <c r="CC150" i="7"/>
  <c r="CC151" i="7"/>
  <c r="CC152" i="7"/>
  <c r="CC153" i="7"/>
  <c r="CC154" i="7"/>
  <c r="CC155" i="7"/>
  <c r="CC156" i="7"/>
  <c r="CC157" i="7"/>
  <c r="CC158" i="7"/>
  <c r="CC159" i="7"/>
  <c r="CC160" i="7"/>
  <c r="CC161" i="7"/>
  <c r="CC162" i="7"/>
  <c r="CC163" i="7"/>
  <c r="CC164" i="7"/>
  <c r="CC165" i="7"/>
  <c r="CC166" i="7"/>
  <c r="CC167" i="7"/>
  <c r="CC168" i="7"/>
  <c r="CC169" i="7"/>
  <c r="CC170" i="7"/>
  <c r="CC171" i="7"/>
  <c r="CC172" i="7"/>
  <c r="CC173" i="7"/>
  <c r="CC174" i="7"/>
  <c r="CC175" i="7"/>
  <c r="CC176" i="7"/>
  <c r="CC177" i="7"/>
  <c r="CC178" i="7"/>
  <c r="CC179" i="7"/>
  <c r="CC180" i="7"/>
  <c r="CC181" i="7"/>
  <c r="CC182" i="7"/>
  <c r="CC183" i="7"/>
  <c r="CC184" i="7"/>
  <c r="CC185" i="7"/>
  <c r="CC186" i="7"/>
  <c r="CC187" i="7"/>
  <c r="CC188" i="7"/>
  <c r="CC189" i="7"/>
  <c r="CC190" i="7"/>
  <c r="CC191" i="7"/>
  <c r="CC192" i="7"/>
  <c r="CC193" i="7"/>
  <c r="CC194" i="7"/>
  <c r="CC195" i="7"/>
  <c r="CC196" i="7"/>
  <c r="CC197" i="7"/>
  <c r="CC198" i="7"/>
  <c r="CC199" i="7"/>
  <c r="CC200" i="7"/>
  <c r="CC201" i="7"/>
  <c r="CC202" i="7"/>
  <c r="CC203" i="7"/>
  <c r="CC204" i="7"/>
  <c r="CC205" i="7"/>
  <c r="CC206" i="7"/>
  <c r="CC207" i="7"/>
  <c r="CC208" i="7"/>
  <c r="CC209" i="7"/>
  <c r="CC210" i="7"/>
  <c r="CC211" i="7"/>
  <c r="CC212" i="7"/>
  <c r="CC213" i="7"/>
  <c r="CC214" i="7"/>
  <c r="CC215" i="7"/>
  <c r="CC216" i="7"/>
  <c r="CC217" i="7"/>
  <c r="CC218" i="7"/>
  <c r="CC219" i="7"/>
  <c r="CC220" i="7"/>
  <c r="CC221" i="7"/>
  <c r="CC222" i="7"/>
  <c r="CC223" i="7"/>
  <c r="CC224" i="7"/>
  <c r="CC225" i="7"/>
  <c r="CC226" i="7"/>
  <c r="CC227" i="7"/>
  <c r="CC228" i="7"/>
  <c r="CC229" i="7"/>
  <c r="CC230" i="7"/>
  <c r="CC231" i="7"/>
  <c r="CC232" i="7"/>
  <c r="CC233" i="7"/>
  <c r="CC234" i="7"/>
  <c r="CC235" i="7"/>
  <c r="CC236" i="7"/>
  <c r="CC237" i="7"/>
  <c r="CC238" i="7"/>
  <c r="CC239" i="7"/>
  <c r="CC240" i="7"/>
  <c r="CC241" i="7"/>
  <c r="CC242" i="7"/>
  <c r="CC243" i="7"/>
  <c r="CC244" i="7"/>
  <c r="CC245" i="7"/>
  <c r="CC246" i="7"/>
  <c r="CC247" i="7"/>
  <c r="CC248" i="7"/>
  <c r="CC249" i="7"/>
  <c r="CC250" i="7"/>
  <c r="CC251" i="7"/>
  <c r="CC252" i="7"/>
  <c r="CC253" i="7"/>
  <c r="CC254" i="7"/>
  <c r="CC255" i="7"/>
  <c r="CC256" i="7"/>
  <c r="CC257" i="7"/>
  <c r="CC258" i="7"/>
  <c r="CC259" i="7"/>
  <c r="CC260" i="7"/>
  <c r="CC261" i="7"/>
  <c r="CC262" i="7"/>
  <c r="CC263" i="7"/>
  <c r="CC264" i="7"/>
  <c r="CF125" i="7"/>
  <c r="CF126" i="7"/>
  <c r="CF127" i="7"/>
  <c r="CF128" i="7"/>
  <c r="CF129" i="7"/>
  <c r="CF130" i="7"/>
  <c r="CF131" i="7"/>
  <c r="CF132" i="7"/>
  <c r="CF133" i="7"/>
  <c r="CF134" i="7"/>
  <c r="CF135" i="7"/>
  <c r="CF136" i="7"/>
  <c r="CF137" i="7"/>
  <c r="CF138" i="7"/>
  <c r="CF139" i="7"/>
  <c r="CF140" i="7"/>
  <c r="CF141" i="7"/>
  <c r="CF142" i="7"/>
  <c r="CF143" i="7"/>
  <c r="CF144" i="7"/>
  <c r="CF145" i="7"/>
  <c r="CF146" i="7"/>
  <c r="CF147" i="7"/>
  <c r="CF148" i="7"/>
  <c r="CF149" i="7"/>
  <c r="CF150" i="7"/>
  <c r="CF151" i="7"/>
  <c r="CF152" i="7"/>
  <c r="CF153" i="7"/>
  <c r="CF154" i="7"/>
  <c r="CF155" i="7"/>
  <c r="CF156" i="7"/>
  <c r="CF157" i="7"/>
  <c r="CF158" i="7"/>
  <c r="CF159" i="7"/>
  <c r="CF160" i="7"/>
  <c r="CF161" i="7"/>
  <c r="CF162" i="7"/>
  <c r="CF163" i="7"/>
  <c r="CF164" i="7"/>
  <c r="CF165" i="7"/>
  <c r="CF166" i="7"/>
  <c r="CF167" i="7"/>
  <c r="CF168" i="7"/>
  <c r="CF169" i="7"/>
  <c r="CF170" i="7"/>
  <c r="CF171" i="7"/>
  <c r="CF172" i="7"/>
  <c r="CF173" i="7"/>
  <c r="CF174" i="7"/>
  <c r="CF175" i="7"/>
  <c r="CF176" i="7"/>
  <c r="CF177" i="7"/>
  <c r="CF178" i="7"/>
  <c r="CF179" i="7"/>
  <c r="CF180" i="7"/>
  <c r="CF181" i="7"/>
  <c r="CF182" i="7"/>
  <c r="CF183" i="7"/>
  <c r="CF184" i="7"/>
  <c r="CF185" i="7"/>
  <c r="CF186" i="7"/>
  <c r="CF187" i="7"/>
  <c r="CF188" i="7"/>
  <c r="CF189" i="7"/>
  <c r="CF190" i="7"/>
  <c r="CF191" i="7"/>
  <c r="CF192" i="7"/>
  <c r="CF193" i="7"/>
  <c r="CF194" i="7"/>
  <c r="CF195" i="7"/>
  <c r="CF196" i="7"/>
  <c r="CF197" i="7"/>
  <c r="CF198" i="7"/>
  <c r="CF199" i="7"/>
  <c r="CF200" i="7"/>
  <c r="CF201" i="7"/>
  <c r="CF202" i="7"/>
  <c r="CF203" i="7"/>
  <c r="CF204" i="7"/>
  <c r="CF205" i="7"/>
  <c r="CF206" i="7"/>
  <c r="CF207" i="7"/>
  <c r="CF208" i="7"/>
  <c r="CF209" i="7"/>
  <c r="CF210" i="7"/>
  <c r="CF211" i="7"/>
  <c r="CF212" i="7"/>
  <c r="CF213" i="7"/>
  <c r="CF214" i="7"/>
  <c r="CF215" i="7"/>
  <c r="CF216" i="7"/>
  <c r="CF217" i="7"/>
  <c r="CF218" i="7"/>
  <c r="CF219" i="7"/>
  <c r="CF220" i="7"/>
  <c r="CF221" i="7"/>
  <c r="CF222" i="7"/>
  <c r="CF223" i="7"/>
  <c r="CF224" i="7"/>
  <c r="CF225" i="7"/>
  <c r="CF226" i="7"/>
  <c r="CF227" i="7"/>
  <c r="CF228" i="7"/>
  <c r="CF229" i="7"/>
  <c r="CF230" i="7"/>
  <c r="CF231" i="7"/>
  <c r="CF232" i="7"/>
  <c r="CF233" i="7"/>
  <c r="CF234" i="7"/>
  <c r="CF235" i="7"/>
  <c r="CF236" i="7"/>
  <c r="CF237" i="7"/>
  <c r="CF238" i="7"/>
  <c r="CF239" i="7"/>
  <c r="CF240" i="7"/>
  <c r="CF241" i="7"/>
  <c r="CF242" i="7"/>
  <c r="CF243" i="7"/>
  <c r="CF244" i="7"/>
  <c r="CF245" i="7"/>
  <c r="CF246" i="7"/>
  <c r="CF247" i="7"/>
  <c r="CF248" i="7"/>
  <c r="CF249" i="7"/>
  <c r="CF250" i="7"/>
  <c r="CF251" i="7"/>
  <c r="CF252" i="7"/>
  <c r="CF253" i="7"/>
  <c r="CF254" i="7"/>
  <c r="CF255" i="7"/>
  <c r="CF256" i="7"/>
  <c r="CF257" i="7"/>
  <c r="CF258" i="7"/>
  <c r="CF259" i="7"/>
  <c r="CF260" i="7"/>
  <c r="CF261" i="7"/>
  <c r="CF262" i="7"/>
  <c r="CF263" i="7"/>
  <c r="CF264" i="7"/>
  <c r="CI125" i="7"/>
  <c r="CI126" i="7"/>
  <c r="CI127" i="7"/>
  <c r="CI128" i="7"/>
  <c r="CI129" i="7"/>
  <c r="CI130" i="7"/>
  <c r="CI131" i="7"/>
  <c r="CI132" i="7"/>
  <c r="CI133" i="7"/>
  <c r="CI134" i="7"/>
  <c r="CI135" i="7"/>
  <c r="CI136" i="7"/>
  <c r="CI137" i="7"/>
  <c r="CI138" i="7"/>
  <c r="CI139" i="7"/>
  <c r="CI140" i="7"/>
  <c r="CI141" i="7"/>
  <c r="CI142" i="7"/>
  <c r="CI143" i="7"/>
  <c r="CI144" i="7"/>
  <c r="CI145" i="7"/>
  <c r="CI146" i="7"/>
  <c r="CI147" i="7"/>
  <c r="CI148" i="7"/>
  <c r="CI149" i="7"/>
  <c r="CI150" i="7"/>
  <c r="CI151" i="7"/>
  <c r="CI152" i="7"/>
  <c r="CI153" i="7"/>
  <c r="CI154" i="7"/>
  <c r="CI155" i="7"/>
  <c r="CI156" i="7"/>
  <c r="CI157" i="7"/>
  <c r="CI158" i="7"/>
  <c r="CI159" i="7"/>
  <c r="CI160" i="7"/>
  <c r="CI161" i="7"/>
  <c r="CI162" i="7"/>
  <c r="CI163" i="7"/>
  <c r="CI164" i="7"/>
  <c r="CI165" i="7"/>
  <c r="CI166" i="7"/>
  <c r="CI167" i="7"/>
  <c r="CI168" i="7"/>
  <c r="CI169" i="7"/>
  <c r="CI170" i="7"/>
  <c r="CI171" i="7"/>
  <c r="CI172" i="7"/>
  <c r="CI173" i="7"/>
  <c r="CI174" i="7"/>
  <c r="CI175" i="7"/>
  <c r="CI176" i="7"/>
  <c r="CI177" i="7"/>
  <c r="CI178" i="7"/>
  <c r="CI179" i="7"/>
  <c r="CI180" i="7"/>
  <c r="CI181" i="7"/>
  <c r="CI182" i="7"/>
  <c r="CI183" i="7"/>
  <c r="CI184" i="7"/>
  <c r="CI185" i="7"/>
  <c r="CI186" i="7"/>
  <c r="CI187" i="7"/>
  <c r="CI188" i="7"/>
  <c r="CI189" i="7"/>
  <c r="CI190" i="7"/>
  <c r="CI191" i="7"/>
  <c r="CI192" i="7"/>
  <c r="CI193" i="7"/>
  <c r="CI194" i="7"/>
  <c r="CI195" i="7"/>
  <c r="CI196" i="7"/>
  <c r="CI197" i="7"/>
  <c r="CI198" i="7"/>
  <c r="CI199" i="7"/>
  <c r="CI200" i="7"/>
  <c r="CI201" i="7"/>
  <c r="CI202" i="7"/>
  <c r="CI203" i="7"/>
  <c r="CI204" i="7"/>
  <c r="CI205" i="7"/>
  <c r="CI206" i="7"/>
  <c r="CI207" i="7"/>
  <c r="CI208" i="7"/>
  <c r="CI209" i="7"/>
  <c r="CI210" i="7"/>
  <c r="CI211" i="7"/>
  <c r="CI212" i="7"/>
  <c r="CI213" i="7"/>
  <c r="CI214" i="7"/>
  <c r="CI215" i="7"/>
  <c r="CI216" i="7"/>
  <c r="CI217" i="7"/>
  <c r="CI218" i="7"/>
  <c r="CI219" i="7"/>
  <c r="CI220" i="7"/>
  <c r="CI221" i="7"/>
  <c r="CI222" i="7"/>
  <c r="CI223" i="7"/>
  <c r="CI224" i="7"/>
  <c r="CI225" i="7"/>
  <c r="CI226" i="7"/>
  <c r="CI227" i="7"/>
  <c r="CI228" i="7"/>
  <c r="CI229" i="7"/>
  <c r="CI230" i="7"/>
  <c r="CI231" i="7"/>
  <c r="CI232" i="7"/>
  <c r="CI233" i="7"/>
  <c r="CI234" i="7"/>
  <c r="CI235" i="7"/>
  <c r="CI236" i="7"/>
  <c r="CI237" i="7"/>
  <c r="CI238" i="7"/>
  <c r="CI239" i="7"/>
  <c r="CI240" i="7"/>
  <c r="CI241" i="7"/>
  <c r="CI242" i="7"/>
  <c r="CI243" i="7"/>
  <c r="CI244" i="7"/>
  <c r="CI245" i="7"/>
  <c r="CI246" i="7"/>
  <c r="CI247" i="7"/>
  <c r="CI248" i="7"/>
  <c r="CI249" i="7"/>
  <c r="CI250" i="7"/>
  <c r="CI251" i="7"/>
  <c r="CI252" i="7"/>
  <c r="CI253" i="7"/>
  <c r="CI254" i="7"/>
  <c r="CI255" i="7"/>
  <c r="CI256" i="7"/>
  <c r="CI257" i="7"/>
  <c r="CI258" i="7"/>
  <c r="CI259" i="7"/>
  <c r="CI260" i="7"/>
  <c r="CI261" i="7"/>
  <c r="CI262" i="7"/>
  <c r="CI263" i="7"/>
  <c r="CI264" i="7"/>
  <c r="CL125" i="7"/>
  <c r="CL126" i="7"/>
  <c r="CL127" i="7"/>
  <c r="CL128" i="7"/>
  <c r="CL129" i="7"/>
  <c r="CL130" i="7"/>
  <c r="CL131" i="7"/>
  <c r="CL132" i="7"/>
  <c r="CL133" i="7"/>
  <c r="CL134" i="7"/>
  <c r="CL135" i="7"/>
  <c r="CL136" i="7"/>
  <c r="CL137" i="7"/>
  <c r="CL138" i="7"/>
  <c r="CL139" i="7"/>
  <c r="CL140" i="7"/>
  <c r="CL141" i="7"/>
  <c r="CL142" i="7"/>
  <c r="CL143" i="7"/>
  <c r="CL144" i="7"/>
  <c r="CL145" i="7"/>
  <c r="CL146" i="7"/>
  <c r="CL147" i="7"/>
  <c r="CL148" i="7"/>
  <c r="CL149" i="7"/>
  <c r="CL150" i="7"/>
  <c r="CL151" i="7"/>
  <c r="CL152" i="7"/>
  <c r="CL153" i="7"/>
  <c r="CL154" i="7"/>
  <c r="CL155" i="7"/>
  <c r="CL156" i="7"/>
  <c r="CL157" i="7"/>
  <c r="CL158" i="7"/>
  <c r="CL159" i="7"/>
  <c r="CL160" i="7"/>
  <c r="CL161" i="7"/>
  <c r="CL162" i="7"/>
  <c r="CL163" i="7"/>
  <c r="CL164" i="7"/>
  <c r="CL165" i="7"/>
  <c r="CL166" i="7"/>
  <c r="CL167" i="7"/>
  <c r="CL168" i="7"/>
  <c r="CL169" i="7"/>
  <c r="CL170" i="7"/>
  <c r="CL171" i="7"/>
  <c r="CL172" i="7"/>
  <c r="CL173" i="7"/>
  <c r="CL174" i="7"/>
  <c r="CL175" i="7"/>
  <c r="CL176" i="7"/>
  <c r="CL177" i="7"/>
  <c r="CL178" i="7"/>
  <c r="CL179" i="7"/>
  <c r="CL180" i="7"/>
  <c r="CL181" i="7"/>
  <c r="CL182" i="7"/>
  <c r="CL183" i="7"/>
  <c r="CL184" i="7"/>
  <c r="CL185" i="7"/>
  <c r="CL186" i="7"/>
  <c r="CL187" i="7"/>
  <c r="CL188" i="7"/>
  <c r="CL189" i="7"/>
  <c r="CL190" i="7"/>
  <c r="CL191" i="7"/>
  <c r="CL192" i="7"/>
  <c r="CL193" i="7"/>
  <c r="CL194" i="7"/>
  <c r="CL195" i="7"/>
  <c r="CL196" i="7"/>
  <c r="CL197" i="7"/>
  <c r="CL198" i="7"/>
  <c r="CL199" i="7"/>
  <c r="CL200" i="7"/>
  <c r="CL201" i="7"/>
  <c r="CL202" i="7"/>
  <c r="CL203" i="7"/>
  <c r="CL204" i="7"/>
  <c r="CL205" i="7"/>
  <c r="CL206" i="7"/>
  <c r="CL207" i="7"/>
  <c r="CL208" i="7"/>
  <c r="CL209" i="7"/>
  <c r="CL210" i="7"/>
  <c r="CL211" i="7"/>
  <c r="CL212" i="7"/>
  <c r="CL213" i="7"/>
  <c r="CL214" i="7"/>
  <c r="CL215" i="7"/>
  <c r="CL216" i="7"/>
  <c r="CL217" i="7"/>
  <c r="CL218" i="7"/>
  <c r="CL219" i="7"/>
  <c r="CL220" i="7"/>
  <c r="CL221" i="7"/>
  <c r="CL222" i="7"/>
  <c r="CL223" i="7"/>
  <c r="CL224" i="7"/>
  <c r="CL225" i="7"/>
  <c r="CL226" i="7"/>
  <c r="CL227" i="7"/>
  <c r="CL228" i="7"/>
  <c r="CL229" i="7"/>
  <c r="CL230" i="7"/>
  <c r="CL231" i="7"/>
  <c r="CL232" i="7"/>
  <c r="CL233" i="7"/>
  <c r="CL234" i="7"/>
  <c r="CL235" i="7"/>
  <c r="CL236" i="7"/>
  <c r="CL237" i="7"/>
  <c r="CL238" i="7"/>
  <c r="CL239" i="7"/>
  <c r="CL240" i="7"/>
  <c r="CL241" i="7"/>
  <c r="CL242" i="7"/>
  <c r="CL243" i="7"/>
  <c r="CL244" i="7"/>
  <c r="CL245" i="7"/>
  <c r="CL246" i="7"/>
  <c r="CL247" i="7"/>
  <c r="CL248" i="7"/>
  <c r="CL249" i="7"/>
  <c r="CL250" i="7"/>
  <c r="CL251" i="7"/>
  <c r="CL252" i="7"/>
  <c r="CL253" i="7"/>
  <c r="CL254" i="7"/>
  <c r="CL255" i="7"/>
  <c r="CL256" i="7"/>
  <c r="CL257" i="7"/>
  <c r="CL258" i="7"/>
  <c r="CL259" i="7"/>
  <c r="CL260" i="7"/>
  <c r="CL261" i="7"/>
  <c r="CL262" i="7"/>
  <c r="CL263" i="7"/>
  <c r="CL264" i="7"/>
  <c r="CO125" i="7"/>
  <c r="CO126" i="7"/>
  <c r="CO127" i="7"/>
  <c r="CO128" i="7"/>
  <c r="CO129" i="7"/>
  <c r="CO130" i="7"/>
  <c r="CO131" i="7"/>
  <c r="CO132" i="7"/>
  <c r="CO133" i="7"/>
  <c r="CO134" i="7"/>
  <c r="CO135" i="7"/>
  <c r="CO136" i="7"/>
  <c r="CO137" i="7"/>
  <c r="CO138" i="7"/>
  <c r="CO139" i="7"/>
  <c r="CO140" i="7"/>
  <c r="CO141" i="7"/>
  <c r="CO142" i="7"/>
  <c r="CO143" i="7"/>
  <c r="CO144" i="7"/>
  <c r="CO145" i="7"/>
  <c r="CO146" i="7"/>
  <c r="CO147" i="7"/>
  <c r="CO148" i="7"/>
  <c r="CO149" i="7"/>
  <c r="CO150" i="7"/>
  <c r="CO151" i="7"/>
  <c r="CO152" i="7"/>
  <c r="CO153" i="7"/>
  <c r="CO154" i="7"/>
  <c r="CO155" i="7"/>
  <c r="CO156" i="7"/>
  <c r="CO157" i="7"/>
  <c r="CO158" i="7"/>
  <c r="CO159" i="7"/>
  <c r="CO160" i="7"/>
  <c r="CO161" i="7"/>
  <c r="CO162" i="7"/>
  <c r="CO163" i="7"/>
  <c r="CO164" i="7"/>
  <c r="CO165" i="7"/>
  <c r="CO166" i="7"/>
  <c r="CO167" i="7"/>
  <c r="CO168" i="7"/>
  <c r="CO169" i="7"/>
  <c r="CO170" i="7"/>
  <c r="CO171" i="7"/>
  <c r="CO172" i="7"/>
  <c r="CO173" i="7"/>
  <c r="CO174" i="7"/>
  <c r="CO175" i="7"/>
  <c r="CO176" i="7"/>
  <c r="CO177" i="7"/>
  <c r="CO178" i="7"/>
  <c r="CO179" i="7"/>
  <c r="CO180" i="7"/>
  <c r="CO181" i="7"/>
  <c r="CO182" i="7"/>
  <c r="CO183" i="7"/>
  <c r="CO184" i="7"/>
  <c r="CO185" i="7"/>
  <c r="CO186" i="7"/>
  <c r="CO187" i="7"/>
  <c r="CO188" i="7"/>
  <c r="CO189" i="7"/>
  <c r="CO190" i="7"/>
  <c r="CO191" i="7"/>
  <c r="CO192" i="7"/>
  <c r="CO193" i="7"/>
  <c r="CO194" i="7"/>
  <c r="CO195" i="7"/>
  <c r="CO196" i="7"/>
  <c r="CO197" i="7"/>
  <c r="CO198" i="7"/>
  <c r="CO199" i="7"/>
  <c r="CO200" i="7"/>
  <c r="CO201" i="7"/>
  <c r="CO202" i="7"/>
  <c r="CO203" i="7"/>
  <c r="CO204" i="7"/>
  <c r="CO205" i="7"/>
  <c r="CO206" i="7"/>
  <c r="CO207" i="7"/>
  <c r="CO208" i="7"/>
  <c r="CO209" i="7"/>
  <c r="CO210" i="7"/>
  <c r="CO211" i="7"/>
  <c r="CO212" i="7"/>
  <c r="CO213" i="7"/>
  <c r="CO214" i="7"/>
  <c r="CO215" i="7"/>
  <c r="CO216" i="7"/>
  <c r="CO217" i="7"/>
  <c r="CO218" i="7"/>
  <c r="CO219" i="7"/>
  <c r="CO220" i="7"/>
  <c r="CO221" i="7"/>
  <c r="CO222" i="7"/>
  <c r="CO223" i="7"/>
  <c r="CO224" i="7"/>
  <c r="CO225" i="7"/>
  <c r="CO226" i="7"/>
  <c r="CO227" i="7"/>
  <c r="CO228" i="7"/>
  <c r="CO229" i="7"/>
  <c r="CO230" i="7"/>
  <c r="CO231" i="7"/>
  <c r="CO232" i="7"/>
  <c r="CO233" i="7"/>
  <c r="CO234" i="7"/>
  <c r="CO235" i="7"/>
  <c r="CO236" i="7"/>
  <c r="CO237" i="7"/>
  <c r="CO238" i="7"/>
  <c r="CO239" i="7"/>
  <c r="CO240" i="7"/>
  <c r="CO241" i="7"/>
  <c r="CO242" i="7"/>
  <c r="CO243" i="7"/>
  <c r="CO244" i="7"/>
  <c r="CO245" i="7"/>
  <c r="CO246" i="7"/>
  <c r="CO247" i="7"/>
  <c r="CO248" i="7"/>
  <c r="CO249" i="7"/>
  <c r="CO250" i="7"/>
  <c r="CO251" i="7"/>
  <c r="CO252" i="7"/>
  <c r="CO253" i="7"/>
  <c r="CO254" i="7"/>
  <c r="CO255" i="7"/>
  <c r="CO256" i="7"/>
  <c r="CO257" i="7"/>
  <c r="CO258" i="7"/>
  <c r="CO259" i="7"/>
  <c r="CO260" i="7"/>
  <c r="CO261" i="7"/>
  <c r="CO262" i="7"/>
  <c r="CO263" i="7"/>
  <c r="CO264" i="7"/>
  <c r="CR125" i="7"/>
  <c r="CR126" i="7"/>
  <c r="CR127" i="7"/>
  <c r="CR128" i="7"/>
  <c r="CR129" i="7"/>
  <c r="CR130" i="7"/>
  <c r="CR131" i="7"/>
  <c r="CR132" i="7"/>
  <c r="CR133" i="7"/>
  <c r="CR134" i="7"/>
  <c r="CR135" i="7"/>
  <c r="CR136" i="7"/>
  <c r="CR137" i="7"/>
  <c r="CR138" i="7"/>
  <c r="CR139" i="7"/>
  <c r="CR140" i="7"/>
  <c r="CR141" i="7"/>
  <c r="CR142" i="7"/>
  <c r="CR143" i="7"/>
  <c r="CR144" i="7"/>
  <c r="CR145" i="7"/>
  <c r="CR146" i="7"/>
  <c r="CR147" i="7"/>
  <c r="CR148" i="7"/>
  <c r="CR149" i="7"/>
  <c r="CR150" i="7"/>
  <c r="CR151" i="7"/>
  <c r="CR152" i="7"/>
  <c r="CR153" i="7"/>
  <c r="CR154" i="7"/>
  <c r="CR155" i="7"/>
  <c r="CR156" i="7"/>
  <c r="CR157" i="7"/>
  <c r="CR158" i="7"/>
  <c r="CR159" i="7"/>
  <c r="CR160" i="7"/>
  <c r="CR161" i="7"/>
  <c r="CR162" i="7"/>
  <c r="CR163" i="7"/>
  <c r="CR164" i="7"/>
  <c r="CR165" i="7"/>
  <c r="CR166" i="7"/>
  <c r="CR167" i="7"/>
  <c r="CR168" i="7"/>
  <c r="CR169" i="7"/>
  <c r="CR170" i="7"/>
  <c r="CR171" i="7"/>
  <c r="CR172" i="7"/>
  <c r="CR173" i="7"/>
  <c r="CR174" i="7"/>
  <c r="CR175" i="7"/>
  <c r="CR176" i="7"/>
  <c r="CR177" i="7"/>
  <c r="CR178" i="7"/>
  <c r="CR179" i="7"/>
  <c r="CR180" i="7"/>
  <c r="CR181" i="7"/>
  <c r="CR182" i="7"/>
  <c r="CR183" i="7"/>
  <c r="CR184" i="7"/>
  <c r="CR185" i="7"/>
  <c r="CR186" i="7"/>
  <c r="CR187" i="7"/>
  <c r="CR188" i="7"/>
  <c r="CR189" i="7"/>
  <c r="CR190" i="7"/>
  <c r="CR191" i="7"/>
  <c r="CR192" i="7"/>
  <c r="CR193" i="7"/>
  <c r="CR194" i="7"/>
  <c r="CR195" i="7"/>
  <c r="CR196" i="7"/>
  <c r="CR197" i="7"/>
  <c r="CR198" i="7"/>
  <c r="CR199" i="7"/>
  <c r="CR200" i="7"/>
  <c r="CR201" i="7"/>
  <c r="CR202" i="7"/>
  <c r="CR203" i="7"/>
  <c r="CR204" i="7"/>
  <c r="CR205" i="7"/>
  <c r="CR206" i="7"/>
  <c r="CR207" i="7"/>
  <c r="CR208" i="7"/>
  <c r="CR209" i="7"/>
  <c r="CR210" i="7"/>
  <c r="CR211" i="7"/>
  <c r="CR212" i="7"/>
  <c r="CR213" i="7"/>
  <c r="CR214" i="7"/>
  <c r="CR215" i="7"/>
  <c r="CR216" i="7"/>
  <c r="CR217" i="7"/>
  <c r="CR218" i="7"/>
  <c r="CR219" i="7"/>
  <c r="CR220" i="7"/>
  <c r="CR221" i="7"/>
  <c r="CR222" i="7"/>
  <c r="CR223" i="7"/>
  <c r="CR224" i="7"/>
  <c r="CR225" i="7"/>
  <c r="CR226" i="7"/>
  <c r="CR227" i="7"/>
  <c r="CR228" i="7"/>
  <c r="CR229" i="7"/>
  <c r="CR230" i="7"/>
  <c r="CR231" i="7"/>
  <c r="CR232" i="7"/>
  <c r="CR233" i="7"/>
  <c r="CR234" i="7"/>
  <c r="CR235" i="7"/>
  <c r="CR236" i="7"/>
  <c r="CR237" i="7"/>
  <c r="CR238" i="7"/>
  <c r="CR239" i="7"/>
  <c r="CR240" i="7"/>
  <c r="CR241" i="7"/>
  <c r="CR242" i="7"/>
  <c r="CR243" i="7"/>
  <c r="CR244" i="7"/>
  <c r="CR245" i="7"/>
  <c r="CR246" i="7"/>
  <c r="CR247" i="7"/>
  <c r="CR248" i="7"/>
  <c r="CR249" i="7"/>
  <c r="CR250" i="7"/>
  <c r="CR251" i="7"/>
  <c r="CR252" i="7"/>
  <c r="CR253" i="7"/>
  <c r="CR254" i="7"/>
  <c r="CR255" i="7"/>
  <c r="CR256" i="7"/>
  <c r="CR257" i="7"/>
  <c r="CR258" i="7"/>
  <c r="CR259" i="7"/>
  <c r="CR260" i="7"/>
  <c r="CR261" i="7"/>
  <c r="CR262" i="7"/>
  <c r="CR263" i="7"/>
  <c r="CR264" i="7"/>
  <c r="CU125" i="7"/>
  <c r="CU126" i="7"/>
  <c r="CU127" i="7"/>
  <c r="CU128" i="7"/>
  <c r="CU129" i="7"/>
  <c r="CU130" i="7"/>
  <c r="CU131" i="7"/>
  <c r="CU132" i="7"/>
  <c r="CU133" i="7"/>
  <c r="CU134" i="7"/>
  <c r="CU135" i="7"/>
  <c r="CU136" i="7"/>
  <c r="CU137" i="7"/>
  <c r="CU138" i="7"/>
  <c r="CU139" i="7"/>
  <c r="CU140" i="7"/>
  <c r="CU141" i="7"/>
  <c r="CU142" i="7"/>
  <c r="CU143" i="7"/>
  <c r="CU144" i="7"/>
  <c r="CU145" i="7"/>
  <c r="CU146" i="7"/>
  <c r="CU147" i="7"/>
  <c r="CU148" i="7"/>
  <c r="CU149" i="7"/>
  <c r="CU150" i="7"/>
  <c r="CU151" i="7"/>
  <c r="CU152" i="7"/>
  <c r="CU153" i="7"/>
  <c r="CU154" i="7"/>
  <c r="CU155" i="7"/>
  <c r="CU156" i="7"/>
  <c r="CU157" i="7"/>
  <c r="CU158" i="7"/>
  <c r="CU159" i="7"/>
  <c r="CU160" i="7"/>
  <c r="CU161" i="7"/>
  <c r="CU162" i="7"/>
  <c r="CU163" i="7"/>
  <c r="CU164" i="7"/>
  <c r="CU165" i="7"/>
  <c r="CU166" i="7"/>
  <c r="CU167" i="7"/>
  <c r="CU168" i="7"/>
  <c r="CU169" i="7"/>
  <c r="CU170" i="7"/>
  <c r="CU171" i="7"/>
  <c r="CU172" i="7"/>
  <c r="CU173" i="7"/>
  <c r="CU174" i="7"/>
  <c r="CU175" i="7"/>
  <c r="CU176" i="7"/>
  <c r="CU177" i="7"/>
  <c r="CU178" i="7"/>
  <c r="CU179" i="7"/>
  <c r="CU180" i="7"/>
  <c r="CU181" i="7"/>
  <c r="CU182" i="7"/>
  <c r="CU183" i="7"/>
  <c r="CU184" i="7"/>
  <c r="CU185" i="7"/>
  <c r="CU186" i="7"/>
  <c r="CU187" i="7"/>
  <c r="CU188" i="7"/>
  <c r="CU189" i="7"/>
  <c r="CU190" i="7"/>
  <c r="CU191" i="7"/>
  <c r="CU192" i="7"/>
  <c r="CU193" i="7"/>
  <c r="CU194" i="7"/>
  <c r="CU195" i="7"/>
  <c r="CU196" i="7"/>
  <c r="CU197" i="7"/>
  <c r="CU198" i="7"/>
  <c r="CU199" i="7"/>
  <c r="CU200" i="7"/>
  <c r="CU201" i="7"/>
  <c r="CU202" i="7"/>
  <c r="CU203" i="7"/>
  <c r="CU204" i="7"/>
  <c r="CU205" i="7"/>
  <c r="CU206" i="7"/>
  <c r="CU207" i="7"/>
  <c r="CU208" i="7"/>
  <c r="CU209" i="7"/>
  <c r="CU210" i="7"/>
  <c r="CU211" i="7"/>
  <c r="CU212" i="7"/>
  <c r="CU213" i="7"/>
  <c r="CU214" i="7"/>
  <c r="CU215" i="7"/>
  <c r="CU216" i="7"/>
  <c r="CU217" i="7"/>
  <c r="CU218" i="7"/>
  <c r="CU219" i="7"/>
  <c r="CU220" i="7"/>
  <c r="CU221" i="7"/>
  <c r="CU222" i="7"/>
  <c r="CU223" i="7"/>
  <c r="CU224" i="7"/>
  <c r="CU225" i="7"/>
  <c r="CU226" i="7"/>
  <c r="CU227" i="7"/>
  <c r="CU228" i="7"/>
  <c r="CU229" i="7"/>
  <c r="CU230" i="7"/>
  <c r="CU231" i="7"/>
  <c r="CU232" i="7"/>
  <c r="CU233" i="7"/>
  <c r="CU234" i="7"/>
  <c r="CU235" i="7"/>
  <c r="CU236" i="7"/>
  <c r="CU237" i="7"/>
  <c r="CU238" i="7"/>
  <c r="CU239" i="7"/>
  <c r="CU240" i="7"/>
  <c r="CU241" i="7"/>
  <c r="CU242" i="7"/>
  <c r="CU243" i="7"/>
  <c r="CU244" i="7"/>
  <c r="CU245" i="7"/>
  <c r="CU246" i="7"/>
  <c r="CU247" i="7"/>
  <c r="CU248" i="7"/>
  <c r="CU249" i="7"/>
  <c r="CU250" i="7"/>
  <c r="CU251" i="7"/>
  <c r="CU252" i="7"/>
  <c r="CU253" i="7"/>
  <c r="CU254" i="7"/>
  <c r="CU255" i="7"/>
  <c r="CU256" i="7"/>
  <c r="CU257" i="7"/>
  <c r="CU258" i="7"/>
  <c r="CU259" i="7"/>
  <c r="CU260" i="7"/>
  <c r="CU261" i="7"/>
  <c r="CU262" i="7"/>
  <c r="CU263" i="7"/>
  <c r="CU264" i="7"/>
  <c r="CX126" i="7" l="1"/>
  <c r="CX127" i="7"/>
  <c r="CX128" i="7"/>
  <c r="CX129" i="7"/>
  <c r="CX130" i="7"/>
  <c r="CX131" i="7"/>
  <c r="CX132" i="7"/>
  <c r="CX133" i="7"/>
  <c r="CX134" i="7"/>
  <c r="CX135" i="7"/>
  <c r="CX136" i="7"/>
  <c r="CX137" i="7"/>
  <c r="CX138" i="7"/>
  <c r="CX139" i="7"/>
  <c r="CX140" i="7"/>
  <c r="CX141" i="7"/>
  <c r="CX142" i="7"/>
  <c r="CX143" i="7"/>
  <c r="CX144" i="7"/>
  <c r="CX145" i="7"/>
  <c r="CX146" i="7"/>
  <c r="CX147" i="7"/>
  <c r="CX148" i="7"/>
  <c r="CX149" i="7"/>
  <c r="CX150" i="7"/>
  <c r="CX151" i="7"/>
  <c r="CX152" i="7"/>
  <c r="CX153" i="7"/>
  <c r="CX154" i="7"/>
  <c r="CX155" i="7"/>
  <c r="CX156" i="7"/>
  <c r="CX157" i="7"/>
  <c r="CX158" i="7"/>
  <c r="CX159" i="7"/>
  <c r="CX160" i="7"/>
  <c r="CX161" i="7"/>
  <c r="CX162" i="7"/>
  <c r="CX163" i="7"/>
  <c r="CX164" i="7"/>
  <c r="CX165" i="7"/>
  <c r="CX166" i="7"/>
  <c r="CX167" i="7"/>
  <c r="CX168" i="7"/>
  <c r="CX169" i="7"/>
  <c r="CX170" i="7"/>
  <c r="CX171" i="7"/>
  <c r="CX172" i="7"/>
  <c r="CX173" i="7"/>
  <c r="CX174" i="7"/>
  <c r="CX175" i="7"/>
  <c r="CX176" i="7"/>
  <c r="CX177" i="7"/>
  <c r="CX178" i="7"/>
  <c r="CX179" i="7"/>
  <c r="CX180" i="7"/>
  <c r="CX181" i="7"/>
  <c r="CX182" i="7"/>
  <c r="CX183" i="7"/>
  <c r="CX184" i="7"/>
  <c r="CX185" i="7"/>
  <c r="CX186" i="7"/>
  <c r="CX187" i="7"/>
  <c r="CX188" i="7"/>
  <c r="CX189" i="7"/>
  <c r="CX190" i="7"/>
  <c r="CX191" i="7"/>
  <c r="CX192" i="7"/>
  <c r="CX193" i="7"/>
  <c r="CX194" i="7"/>
  <c r="CX195" i="7"/>
  <c r="CX196" i="7"/>
  <c r="CX197" i="7"/>
  <c r="CX198" i="7"/>
  <c r="CX199" i="7"/>
  <c r="CX200" i="7"/>
  <c r="CX201" i="7"/>
  <c r="CX202" i="7"/>
  <c r="CX203" i="7"/>
  <c r="CX204" i="7"/>
  <c r="CX205" i="7"/>
  <c r="CX206" i="7"/>
  <c r="CX207" i="7"/>
  <c r="CX208" i="7"/>
  <c r="CX209" i="7"/>
  <c r="CX210" i="7"/>
  <c r="CX211" i="7"/>
  <c r="CX212" i="7"/>
  <c r="CX213" i="7"/>
  <c r="CX214" i="7"/>
  <c r="CX215" i="7"/>
  <c r="CX216" i="7"/>
  <c r="CX217" i="7"/>
  <c r="CX218" i="7"/>
  <c r="CX219" i="7"/>
  <c r="CX220" i="7"/>
  <c r="CX221" i="7"/>
  <c r="CX222" i="7"/>
  <c r="CX223" i="7"/>
  <c r="CX224" i="7"/>
  <c r="CX225" i="7"/>
  <c r="CX226" i="7"/>
  <c r="CX227" i="7"/>
  <c r="CX228" i="7"/>
  <c r="CX229" i="7"/>
  <c r="CX230" i="7"/>
  <c r="CX231" i="7"/>
  <c r="CX232" i="7"/>
  <c r="CX233" i="7"/>
  <c r="CX234" i="7"/>
  <c r="CX235" i="7"/>
  <c r="CX236" i="7"/>
  <c r="CX237" i="7"/>
  <c r="CX238" i="7"/>
  <c r="CX239" i="7"/>
  <c r="CX240" i="7"/>
  <c r="CX241" i="7"/>
  <c r="CX242" i="7"/>
  <c r="CX243" i="7"/>
  <c r="CX244" i="7"/>
  <c r="CX245" i="7"/>
  <c r="CX246" i="7"/>
  <c r="CX247" i="7"/>
  <c r="CX248" i="7"/>
  <c r="CX249" i="7"/>
  <c r="CX250" i="7"/>
  <c r="CX251" i="7"/>
  <c r="CX252" i="7"/>
  <c r="CX253" i="7"/>
  <c r="CX254" i="7"/>
  <c r="CX255" i="7"/>
  <c r="CX256" i="7"/>
  <c r="CX257" i="7"/>
  <c r="CX258" i="7"/>
  <c r="CX259" i="7"/>
  <c r="CX260" i="7"/>
  <c r="CX261" i="7"/>
  <c r="CX262" i="7"/>
  <c r="CX263" i="7"/>
  <c r="CX264" i="7"/>
  <c r="Q215" i="2" l="1"/>
  <c r="O92" i="2" l="1"/>
  <c r="M181" i="2" l="1"/>
  <c r="B180" i="5" s="1"/>
  <c r="K80" i="2" l="1"/>
  <c r="A79" i="5" s="1"/>
  <c r="L80" i="2"/>
  <c r="K4" i="2" l="1"/>
  <c r="K182" i="2" l="1"/>
  <c r="A181" i="5" s="1"/>
  <c r="L182" i="2"/>
  <c r="D3" i="5" l="1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240" i="5"/>
  <c r="L76" i="2" l="1"/>
  <c r="M76" i="2"/>
  <c r="B75" i="5" s="1"/>
  <c r="N112" i="2" l="1"/>
  <c r="N111" i="2"/>
  <c r="N102" i="2"/>
  <c r="N101" i="2"/>
  <c r="N99" i="2"/>
  <c r="M50" i="2" l="1"/>
  <c r="B49" i="5" s="1"/>
  <c r="M162" i="2" l="1"/>
  <c r="B161" i="5" s="1"/>
  <c r="M161" i="2" l="1"/>
  <c r="B160" i="5" s="1"/>
  <c r="O216" i="7" l="1"/>
  <c r="R216" i="7"/>
  <c r="X216" i="7"/>
  <c r="AA216" i="7"/>
  <c r="AD216" i="7"/>
  <c r="AG216" i="7"/>
  <c r="AJ216" i="7"/>
  <c r="AM216" i="7"/>
  <c r="AP216" i="7"/>
  <c r="AS216" i="7"/>
  <c r="AV216" i="7"/>
  <c r="AY216" i="7"/>
  <c r="BB216" i="7"/>
  <c r="BE216" i="7"/>
  <c r="BH216" i="7"/>
  <c r="BK216" i="7"/>
  <c r="BN216" i="7"/>
  <c r="BQ216" i="7"/>
  <c r="U216" i="7"/>
  <c r="O5" i="7"/>
  <c r="R5" i="7"/>
  <c r="X5" i="7"/>
  <c r="AA5" i="7"/>
  <c r="AD5" i="7"/>
  <c r="AG5" i="7"/>
  <c r="AJ5" i="7"/>
  <c r="AM5" i="7"/>
  <c r="AP5" i="7"/>
  <c r="AS5" i="7"/>
  <c r="AV5" i="7"/>
  <c r="AY5" i="7"/>
  <c r="BB5" i="7"/>
  <c r="BE5" i="7"/>
  <c r="BH5" i="7"/>
  <c r="BK5" i="7"/>
  <c r="BN5" i="7"/>
  <c r="BQ5" i="7"/>
  <c r="BT5" i="7"/>
  <c r="BW5" i="7"/>
  <c r="BZ5" i="7"/>
  <c r="CC5" i="7"/>
  <c r="CF5" i="7"/>
  <c r="CI5" i="7"/>
  <c r="CL5" i="7"/>
  <c r="CO5" i="7"/>
  <c r="CR5" i="7"/>
  <c r="U5" i="7"/>
  <c r="O6" i="7"/>
  <c r="R6" i="7"/>
  <c r="X6" i="7"/>
  <c r="AA6" i="7"/>
  <c r="AD6" i="7"/>
  <c r="AG6" i="7"/>
  <c r="AJ6" i="7"/>
  <c r="AM6" i="7"/>
  <c r="AP6" i="7"/>
  <c r="AS6" i="7"/>
  <c r="AV6" i="7"/>
  <c r="AY6" i="7"/>
  <c r="BB6" i="7"/>
  <c r="BE6" i="7"/>
  <c r="BH6" i="7"/>
  <c r="BK6" i="7"/>
  <c r="BN6" i="7"/>
  <c r="BQ6" i="7"/>
  <c r="BT6" i="7"/>
  <c r="BW6" i="7"/>
  <c r="BZ6" i="7"/>
  <c r="CC6" i="7"/>
  <c r="CF6" i="7"/>
  <c r="CI6" i="7"/>
  <c r="CL6" i="7"/>
  <c r="CO6" i="7"/>
  <c r="CR6" i="7"/>
  <c r="U6" i="7"/>
  <c r="O7" i="7"/>
  <c r="R7" i="7"/>
  <c r="X7" i="7"/>
  <c r="AA7" i="7"/>
  <c r="AD7" i="7"/>
  <c r="AG7" i="7"/>
  <c r="AJ7" i="7"/>
  <c r="AM7" i="7"/>
  <c r="AP7" i="7"/>
  <c r="AS7" i="7"/>
  <c r="AV7" i="7"/>
  <c r="AY7" i="7"/>
  <c r="BB7" i="7"/>
  <c r="BE7" i="7"/>
  <c r="BH7" i="7"/>
  <c r="BK7" i="7"/>
  <c r="BN7" i="7"/>
  <c r="BQ7" i="7"/>
  <c r="BT7" i="7"/>
  <c r="BW7" i="7"/>
  <c r="BZ7" i="7"/>
  <c r="CC7" i="7"/>
  <c r="CF7" i="7"/>
  <c r="CI7" i="7"/>
  <c r="CL7" i="7"/>
  <c r="CO7" i="7"/>
  <c r="CR7" i="7"/>
  <c r="U7" i="7"/>
  <c r="O8" i="7"/>
  <c r="R8" i="7"/>
  <c r="X8" i="7"/>
  <c r="AA8" i="7"/>
  <c r="AD8" i="7"/>
  <c r="AG8" i="7"/>
  <c r="AJ8" i="7"/>
  <c r="AM8" i="7"/>
  <c r="AP8" i="7"/>
  <c r="AS8" i="7"/>
  <c r="AV8" i="7"/>
  <c r="AY8" i="7"/>
  <c r="BB8" i="7"/>
  <c r="BE8" i="7"/>
  <c r="BH8" i="7"/>
  <c r="BK8" i="7"/>
  <c r="BN8" i="7"/>
  <c r="BQ8" i="7"/>
  <c r="BT8" i="7"/>
  <c r="BW8" i="7"/>
  <c r="BZ8" i="7"/>
  <c r="CC8" i="7"/>
  <c r="CF8" i="7"/>
  <c r="CI8" i="7"/>
  <c r="CL8" i="7"/>
  <c r="CO8" i="7"/>
  <c r="CR8" i="7"/>
  <c r="U8" i="7"/>
  <c r="O9" i="7"/>
  <c r="R9" i="7"/>
  <c r="X9" i="7"/>
  <c r="AA9" i="7"/>
  <c r="AD9" i="7"/>
  <c r="AG9" i="7"/>
  <c r="AJ9" i="7"/>
  <c r="AM9" i="7"/>
  <c r="AP9" i="7"/>
  <c r="AS9" i="7"/>
  <c r="AV9" i="7"/>
  <c r="AY9" i="7"/>
  <c r="BB9" i="7"/>
  <c r="BE9" i="7"/>
  <c r="BH9" i="7"/>
  <c r="BK9" i="7"/>
  <c r="BN9" i="7"/>
  <c r="BQ9" i="7"/>
  <c r="BT9" i="7"/>
  <c r="BW9" i="7"/>
  <c r="BZ9" i="7"/>
  <c r="CC9" i="7"/>
  <c r="CF9" i="7"/>
  <c r="CI9" i="7"/>
  <c r="CL9" i="7"/>
  <c r="CO9" i="7"/>
  <c r="CR9" i="7"/>
  <c r="U9" i="7"/>
  <c r="O10" i="7"/>
  <c r="R10" i="7"/>
  <c r="X10" i="7"/>
  <c r="AA10" i="7"/>
  <c r="AD10" i="7"/>
  <c r="AG10" i="7"/>
  <c r="AJ10" i="7"/>
  <c r="AM10" i="7"/>
  <c r="AP10" i="7"/>
  <c r="AS10" i="7"/>
  <c r="AV10" i="7"/>
  <c r="AY10" i="7"/>
  <c r="BB10" i="7"/>
  <c r="BE10" i="7"/>
  <c r="BH10" i="7"/>
  <c r="BK10" i="7"/>
  <c r="BN10" i="7"/>
  <c r="BQ10" i="7"/>
  <c r="BT10" i="7"/>
  <c r="BW10" i="7"/>
  <c r="BZ10" i="7"/>
  <c r="CC10" i="7"/>
  <c r="CF10" i="7"/>
  <c r="CI10" i="7"/>
  <c r="CL10" i="7"/>
  <c r="CO10" i="7"/>
  <c r="CR10" i="7"/>
  <c r="U10" i="7"/>
  <c r="O11" i="7"/>
  <c r="R11" i="7"/>
  <c r="X11" i="7"/>
  <c r="AA11" i="7"/>
  <c r="AD11" i="7"/>
  <c r="AG11" i="7"/>
  <c r="AJ11" i="7"/>
  <c r="AM11" i="7"/>
  <c r="AP11" i="7"/>
  <c r="AS11" i="7"/>
  <c r="AV11" i="7"/>
  <c r="AY11" i="7"/>
  <c r="BB11" i="7"/>
  <c r="BE11" i="7"/>
  <c r="BH11" i="7"/>
  <c r="BK11" i="7"/>
  <c r="BN11" i="7"/>
  <c r="BQ11" i="7"/>
  <c r="BT11" i="7"/>
  <c r="BW11" i="7"/>
  <c r="BZ11" i="7"/>
  <c r="CC11" i="7"/>
  <c r="CF11" i="7"/>
  <c r="CI11" i="7"/>
  <c r="CL11" i="7"/>
  <c r="CO11" i="7"/>
  <c r="CR11" i="7"/>
  <c r="U11" i="7"/>
  <c r="O12" i="7"/>
  <c r="R12" i="7"/>
  <c r="X12" i="7"/>
  <c r="AA12" i="7"/>
  <c r="AD12" i="7"/>
  <c r="AG12" i="7"/>
  <c r="AJ12" i="7"/>
  <c r="AM12" i="7"/>
  <c r="AP12" i="7"/>
  <c r="AS12" i="7"/>
  <c r="AV12" i="7"/>
  <c r="AY12" i="7"/>
  <c r="BB12" i="7"/>
  <c r="BE12" i="7"/>
  <c r="BH12" i="7"/>
  <c r="BK12" i="7"/>
  <c r="BN12" i="7"/>
  <c r="BQ12" i="7"/>
  <c r="BT12" i="7"/>
  <c r="BW12" i="7"/>
  <c r="BZ12" i="7"/>
  <c r="CC12" i="7"/>
  <c r="CF12" i="7"/>
  <c r="CI12" i="7"/>
  <c r="CL12" i="7"/>
  <c r="CO12" i="7"/>
  <c r="CR12" i="7"/>
  <c r="U12" i="7"/>
  <c r="O13" i="7"/>
  <c r="R13" i="7"/>
  <c r="X13" i="7"/>
  <c r="AA13" i="7"/>
  <c r="AD13" i="7"/>
  <c r="AG13" i="7"/>
  <c r="AJ13" i="7"/>
  <c r="AM13" i="7"/>
  <c r="AP13" i="7"/>
  <c r="AS13" i="7"/>
  <c r="AV13" i="7"/>
  <c r="AY13" i="7"/>
  <c r="BB13" i="7"/>
  <c r="BE13" i="7"/>
  <c r="BH13" i="7"/>
  <c r="BK13" i="7"/>
  <c r="BN13" i="7"/>
  <c r="BQ13" i="7"/>
  <c r="BT13" i="7"/>
  <c r="BW13" i="7"/>
  <c r="BZ13" i="7"/>
  <c r="CC13" i="7"/>
  <c r="CF13" i="7"/>
  <c r="CI13" i="7"/>
  <c r="CL13" i="7"/>
  <c r="CO13" i="7"/>
  <c r="CR13" i="7"/>
  <c r="U13" i="7"/>
  <c r="O14" i="7"/>
  <c r="R14" i="7"/>
  <c r="X14" i="7"/>
  <c r="AA14" i="7"/>
  <c r="AD14" i="7"/>
  <c r="AG14" i="7"/>
  <c r="AJ14" i="7"/>
  <c r="AM14" i="7"/>
  <c r="AP14" i="7"/>
  <c r="AS14" i="7"/>
  <c r="AV14" i="7"/>
  <c r="AY14" i="7"/>
  <c r="BB14" i="7"/>
  <c r="BE14" i="7"/>
  <c r="BH14" i="7"/>
  <c r="BK14" i="7"/>
  <c r="BN14" i="7"/>
  <c r="BQ14" i="7"/>
  <c r="BT14" i="7"/>
  <c r="BW14" i="7"/>
  <c r="BZ14" i="7"/>
  <c r="CC14" i="7"/>
  <c r="CF14" i="7"/>
  <c r="CI14" i="7"/>
  <c r="CL14" i="7"/>
  <c r="CO14" i="7"/>
  <c r="CR14" i="7"/>
  <c r="U14" i="7"/>
  <c r="O15" i="7"/>
  <c r="R15" i="7"/>
  <c r="X15" i="7"/>
  <c r="AA15" i="7"/>
  <c r="AD15" i="7"/>
  <c r="AG15" i="7"/>
  <c r="AJ15" i="7"/>
  <c r="AM15" i="7"/>
  <c r="AP15" i="7"/>
  <c r="AS15" i="7"/>
  <c r="AV15" i="7"/>
  <c r="AY15" i="7"/>
  <c r="BB15" i="7"/>
  <c r="BE15" i="7"/>
  <c r="BH15" i="7"/>
  <c r="BK15" i="7"/>
  <c r="BN15" i="7"/>
  <c r="BQ15" i="7"/>
  <c r="BT15" i="7"/>
  <c r="BW15" i="7"/>
  <c r="BZ15" i="7"/>
  <c r="CC15" i="7"/>
  <c r="CF15" i="7"/>
  <c r="CI15" i="7"/>
  <c r="CL15" i="7"/>
  <c r="CO15" i="7"/>
  <c r="CR15" i="7"/>
  <c r="U15" i="7"/>
  <c r="O16" i="7"/>
  <c r="R16" i="7"/>
  <c r="X16" i="7"/>
  <c r="AA16" i="7"/>
  <c r="AD16" i="7"/>
  <c r="AG16" i="7"/>
  <c r="AJ16" i="7"/>
  <c r="AM16" i="7"/>
  <c r="AP16" i="7"/>
  <c r="AS16" i="7"/>
  <c r="AV16" i="7"/>
  <c r="AY16" i="7"/>
  <c r="BB16" i="7"/>
  <c r="BE16" i="7"/>
  <c r="BH16" i="7"/>
  <c r="BK16" i="7"/>
  <c r="BN16" i="7"/>
  <c r="BQ16" i="7"/>
  <c r="BT16" i="7"/>
  <c r="BW16" i="7"/>
  <c r="BZ16" i="7"/>
  <c r="CC16" i="7"/>
  <c r="CF16" i="7"/>
  <c r="CI16" i="7"/>
  <c r="CL16" i="7"/>
  <c r="CO16" i="7"/>
  <c r="CR16" i="7"/>
  <c r="U16" i="7"/>
  <c r="O17" i="7"/>
  <c r="R17" i="7"/>
  <c r="X17" i="7"/>
  <c r="AA17" i="7"/>
  <c r="AD17" i="7"/>
  <c r="AG17" i="7"/>
  <c r="AJ17" i="7"/>
  <c r="AM17" i="7"/>
  <c r="AP17" i="7"/>
  <c r="AS17" i="7"/>
  <c r="AV17" i="7"/>
  <c r="AY17" i="7"/>
  <c r="BB17" i="7"/>
  <c r="BE17" i="7"/>
  <c r="BH17" i="7"/>
  <c r="BK17" i="7"/>
  <c r="BN17" i="7"/>
  <c r="BQ17" i="7"/>
  <c r="BT17" i="7"/>
  <c r="BW17" i="7"/>
  <c r="BZ17" i="7"/>
  <c r="CC17" i="7"/>
  <c r="CF17" i="7"/>
  <c r="CI17" i="7"/>
  <c r="CL17" i="7"/>
  <c r="CO17" i="7"/>
  <c r="CR17" i="7"/>
  <c r="U17" i="7"/>
  <c r="O18" i="7"/>
  <c r="R18" i="7"/>
  <c r="X18" i="7"/>
  <c r="AA18" i="7"/>
  <c r="AD18" i="7"/>
  <c r="AG18" i="7"/>
  <c r="AJ18" i="7"/>
  <c r="AM18" i="7"/>
  <c r="AP18" i="7"/>
  <c r="AS18" i="7"/>
  <c r="AV18" i="7"/>
  <c r="AY18" i="7"/>
  <c r="BB18" i="7"/>
  <c r="BE18" i="7"/>
  <c r="BH18" i="7"/>
  <c r="BK18" i="7"/>
  <c r="BN18" i="7"/>
  <c r="BQ18" i="7"/>
  <c r="BT18" i="7"/>
  <c r="BW18" i="7"/>
  <c r="BZ18" i="7"/>
  <c r="CC18" i="7"/>
  <c r="CF18" i="7"/>
  <c r="CI18" i="7"/>
  <c r="CL18" i="7"/>
  <c r="CO18" i="7"/>
  <c r="CR18" i="7"/>
  <c r="U18" i="7"/>
  <c r="O19" i="7"/>
  <c r="R19" i="7"/>
  <c r="X19" i="7"/>
  <c r="AA19" i="7"/>
  <c r="AD19" i="7"/>
  <c r="AG19" i="7"/>
  <c r="AJ19" i="7"/>
  <c r="AM19" i="7"/>
  <c r="AP19" i="7"/>
  <c r="AS19" i="7"/>
  <c r="AV19" i="7"/>
  <c r="AY19" i="7"/>
  <c r="BB19" i="7"/>
  <c r="BE19" i="7"/>
  <c r="BH19" i="7"/>
  <c r="BK19" i="7"/>
  <c r="BN19" i="7"/>
  <c r="BQ19" i="7"/>
  <c r="BT19" i="7"/>
  <c r="BW19" i="7"/>
  <c r="BZ19" i="7"/>
  <c r="CC19" i="7"/>
  <c r="CF19" i="7"/>
  <c r="CI19" i="7"/>
  <c r="CL19" i="7"/>
  <c r="CO19" i="7"/>
  <c r="CR19" i="7"/>
  <c r="U19" i="7"/>
  <c r="O20" i="7"/>
  <c r="R20" i="7"/>
  <c r="X20" i="7"/>
  <c r="AA20" i="7"/>
  <c r="AD20" i="7"/>
  <c r="AG20" i="7"/>
  <c r="AJ20" i="7"/>
  <c r="AM20" i="7"/>
  <c r="AP20" i="7"/>
  <c r="AS20" i="7"/>
  <c r="AV20" i="7"/>
  <c r="AY20" i="7"/>
  <c r="BB20" i="7"/>
  <c r="BE20" i="7"/>
  <c r="BH20" i="7"/>
  <c r="BK20" i="7"/>
  <c r="BN20" i="7"/>
  <c r="BQ20" i="7"/>
  <c r="BT20" i="7"/>
  <c r="BW20" i="7"/>
  <c r="BZ20" i="7"/>
  <c r="CC20" i="7"/>
  <c r="CF20" i="7"/>
  <c r="CI20" i="7"/>
  <c r="CL20" i="7"/>
  <c r="CO20" i="7"/>
  <c r="CR20" i="7"/>
  <c r="U20" i="7"/>
  <c r="O21" i="7"/>
  <c r="R21" i="7"/>
  <c r="X21" i="7"/>
  <c r="AA21" i="7"/>
  <c r="AD21" i="7"/>
  <c r="AG21" i="7"/>
  <c r="AJ21" i="7"/>
  <c r="AM21" i="7"/>
  <c r="AP21" i="7"/>
  <c r="AS21" i="7"/>
  <c r="AV21" i="7"/>
  <c r="AY21" i="7"/>
  <c r="BB21" i="7"/>
  <c r="BE21" i="7"/>
  <c r="BH21" i="7"/>
  <c r="BK21" i="7"/>
  <c r="BN21" i="7"/>
  <c r="BQ21" i="7"/>
  <c r="BT21" i="7"/>
  <c r="BW21" i="7"/>
  <c r="BZ21" i="7"/>
  <c r="CC21" i="7"/>
  <c r="CF21" i="7"/>
  <c r="CI21" i="7"/>
  <c r="CL21" i="7"/>
  <c r="CO21" i="7"/>
  <c r="CR21" i="7"/>
  <c r="U21" i="7"/>
  <c r="O22" i="7"/>
  <c r="R22" i="7"/>
  <c r="X22" i="7"/>
  <c r="AA22" i="7"/>
  <c r="AD22" i="7"/>
  <c r="AG22" i="7"/>
  <c r="AJ22" i="7"/>
  <c r="AM22" i="7"/>
  <c r="AP22" i="7"/>
  <c r="AS22" i="7"/>
  <c r="AV22" i="7"/>
  <c r="AY22" i="7"/>
  <c r="BB22" i="7"/>
  <c r="BE22" i="7"/>
  <c r="BH22" i="7"/>
  <c r="BK22" i="7"/>
  <c r="BN22" i="7"/>
  <c r="BQ22" i="7"/>
  <c r="BT22" i="7"/>
  <c r="BW22" i="7"/>
  <c r="BZ22" i="7"/>
  <c r="CC22" i="7"/>
  <c r="CF22" i="7"/>
  <c r="CI22" i="7"/>
  <c r="CL22" i="7"/>
  <c r="CO22" i="7"/>
  <c r="CR22" i="7"/>
  <c r="U22" i="7"/>
  <c r="O23" i="7"/>
  <c r="R23" i="7"/>
  <c r="X23" i="7"/>
  <c r="AA23" i="7"/>
  <c r="AD23" i="7"/>
  <c r="AG23" i="7"/>
  <c r="AJ23" i="7"/>
  <c r="AM23" i="7"/>
  <c r="AP23" i="7"/>
  <c r="AS23" i="7"/>
  <c r="AV23" i="7"/>
  <c r="AY23" i="7"/>
  <c r="BB23" i="7"/>
  <c r="BE23" i="7"/>
  <c r="BH23" i="7"/>
  <c r="BK23" i="7"/>
  <c r="BN23" i="7"/>
  <c r="BQ23" i="7"/>
  <c r="BT23" i="7"/>
  <c r="BW23" i="7"/>
  <c r="BZ23" i="7"/>
  <c r="CC23" i="7"/>
  <c r="CF23" i="7"/>
  <c r="CI23" i="7"/>
  <c r="CL23" i="7"/>
  <c r="CO23" i="7"/>
  <c r="CR23" i="7"/>
  <c r="U23" i="7"/>
  <c r="O24" i="7"/>
  <c r="R24" i="7"/>
  <c r="X24" i="7"/>
  <c r="AA24" i="7"/>
  <c r="AD24" i="7"/>
  <c r="AG24" i="7"/>
  <c r="AJ24" i="7"/>
  <c r="AM24" i="7"/>
  <c r="AP24" i="7"/>
  <c r="AS24" i="7"/>
  <c r="AV24" i="7"/>
  <c r="AY24" i="7"/>
  <c r="BB24" i="7"/>
  <c r="BE24" i="7"/>
  <c r="BH24" i="7"/>
  <c r="BK24" i="7"/>
  <c r="BN24" i="7"/>
  <c r="BQ24" i="7"/>
  <c r="BT24" i="7"/>
  <c r="BW24" i="7"/>
  <c r="BZ24" i="7"/>
  <c r="CC24" i="7"/>
  <c r="CF24" i="7"/>
  <c r="CI24" i="7"/>
  <c r="CL24" i="7"/>
  <c r="CO24" i="7"/>
  <c r="CR24" i="7"/>
  <c r="U24" i="7"/>
  <c r="O25" i="7"/>
  <c r="R25" i="7"/>
  <c r="X25" i="7"/>
  <c r="AA25" i="7"/>
  <c r="AD25" i="7"/>
  <c r="AG25" i="7"/>
  <c r="AJ25" i="7"/>
  <c r="AM25" i="7"/>
  <c r="AP25" i="7"/>
  <c r="AS25" i="7"/>
  <c r="AV25" i="7"/>
  <c r="AY25" i="7"/>
  <c r="BB25" i="7"/>
  <c r="BE25" i="7"/>
  <c r="BH25" i="7"/>
  <c r="BK25" i="7"/>
  <c r="BN25" i="7"/>
  <c r="BQ25" i="7"/>
  <c r="BT25" i="7"/>
  <c r="BW25" i="7"/>
  <c r="BZ25" i="7"/>
  <c r="CC25" i="7"/>
  <c r="CF25" i="7"/>
  <c r="CI25" i="7"/>
  <c r="CL25" i="7"/>
  <c r="CO25" i="7"/>
  <c r="CR25" i="7"/>
  <c r="U25" i="7"/>
  <c r="O26" i="7"/>
  <c r="R26" i="7"/>
  <c r="X26" i="7"/>
  <c r="AA26" i="7"/>
  <c r="AD26" i="7"/>
  <c r="AG26" i="7"/>
  <c r="AJ26" i="7"/>
  <c r="AM26" i="7"/>
  <c r="AP26" i="7"/>
  <c r="AS26" i="7"/>
  <c r="AV26" i="7"/>
  <c r="AY26" i="7"/>
  <c r="BB26" i="7"/>
  <c r="BE26" i="7"/>
  <c r="BH26" i="7"/>
  <c r="BK26" i="7"/>
  <c r="BN26" i="7"/>
  <c r="BQ26" i="7"/>
  <c r="BT26" i="7"/>
  <c r="BW26" i="7"/>
  <c r="BZ26" i="7"/>
  <c r="CC26" i="7"/>
  <c r="CF26" i="7"/>
  <c r="CI26" i="7"/>
  <c r="CL26" i="7"/>
  <c r="CO26" i="7"/>
  <c r="CR26" i="7"/>
  <c r="U26" i="7"/>
  <c r="O27" i="7"/>
  <c r="R27" i="7"/>
  <c r="X27" i="7"/>
  <c r="AA27" i="7"/>
  <c r="AD27" i="7"/>
  <c r="AG27" i="7"/>
  <c r="AJ27" i="7"/>
  <c r="AM27" i="7"/>
  <c r="AP27" i="7"/>
  <c r="AS27" i="7"/>
  <c r="AV27" i="7"/>
  <c r="AY27" i="7"/>
  <c r="BB27" i="7"/>
  <c r="BE27" i="7"/>
  <c r="BH27" i="7"/>
  <c r="BK27" i="7"/>
  <c r="BN27" i="7"/>
  <c r="BQ27" i="7"/>
  <c r="BT27" i="7"/>
  <c r="BW27" i="7"/>
  <c r="BZ27" i="7"/>
  <c r="CC27" i="7"/>
  <c r="CF27" i="7"/>
  <c r="CI27" i="7"/>
  <c r="CL27" i="7"/>
  <c r="CO27" i="7"/>
  <c r="CR27" i="7"/>
  <c r="U27" i="7"/>
  <c r="O28" i="7"/>
  <c r="R28" i="7"/>
  <c r="X28" i="7"/>
  <c r="AA28" i="7"/>
  <c r="AD28" i="7"/>
  <c r="AG28" i="7"/>
  <c r="AJ28" i="7"/>
  <c r="AM28" i="7"/>
  <c r="AP28" i="7"/>
  <c r="AS28" i="7"/>
  <c r="AV28" i="7"/>
  <c r="AY28" i="7"/>
  <c r="BB28" i="7"/>
  <c r="BE28" i="7"/>
  <c r="BH28" i="7"/>
  <c r="BK28" i="7"/>
  <c r="BN28" i="7"/>
  <c r="BQ28" i="7"/>
  <c r="BT28" i="7"/>
  <c r="BW28" i="7"/>
  <c r="BZ28" i="7"/>
  <c r="CC28" i="7"/>
  <c r="CF28" i="7"/>
  <c r="CI28" i="7"/>
  <c r="CL28" i="7"/>
  <c r="CO28" i="7"/>
  <c r="CR28" i="7"/>
  <c r="U28" i="7"/>
  <c r="O29" i="7"/>
  <c r="R29" i="7"/>
  <c r="X29" i="7"/>
  <c r="AA29" i="7"/>
  <c r="AD29" i="7"/>
  <c r="AG29" i="7"/>
  <c r="AJ29" i="7"/>
  <c r="AM29" i="7"/>
  <c r="AP29" i="7"/>
  <c r="AS29" i="7"/>
  <c r="AV29" i="7"/>
  <c r="AY29" i="7"/>
  <c r="BB29" i="7"/>
  <c r="BE29" i="7"/>
  <c r="BH29" i="7"/>
  <c r="BK29" i="7"/>
  <c r="BN29" i="7"/>
  <c r="BQ29" i="7"/>
  <c r="BT29" i="7"/>
  <c r="BW29" i="7"/>
  <c r="BZ29" i="7"/>
  <c r="CC29" i="7"/>
  <c r="CF29" i="7"/>
  <c r="CI29" i="7"/>
  <c r="CL29" i="7"/>
  <c r="CO29" i="7"/>
  <c r="CR29" i="7"/>
  <c r="U29" i="7"/>
  <c r="O30" i="7"/>
  <c r="R30" i="7"/>
  <c r="X30" i="7"/>
  <c r="AA30" i="7"/>
  <c r="AD30" i="7"/>
  <c r="AG30" i="7"/>
  <c r="AJ30" i="7"/>
  <c r="AM30" i="7"/>
  <c r="AP30" i="7"/>
  <c r="AS30" i="7"/>
  <c r="AV30" i="7"/>
  <c r="AY30" i="7"/>
  <c r="BB30" i="7"/>
  <c r="BE30" i="7"/>
  <c r="BH30" i="7"/>
  <c r="BK30" i="7"/>
  <c r="BN30" i="7"/>
  <c r="BQ30" i="7"/>
  <c r="BT30" i="7"/>
  <c r="BW30" i="7"/>
  <c r="BZ30" i="7"/>
  <c r="CC30" i="7"/>
  <c r="CF30" i="7"/>
  <c r="CI30" i="7"/>
  <c r="CL30" i="7"/>
  <c r="CO30" i="7"/>
  <c r="CR30" i="7"/>
  <c r="U30" i="7"/>
  <c r="O31" i="7"/>
  <c r="R31" i="7"/>
  <c r="X31" i="7"/>
  <c r="AA31" i="7"/>
  <c r="AD31" i="7"/>
  <c r="AG31" i="7"/>
  <c r="AJ31" i="7"/>
  <c r="AM31" i="7"/>
  <c r="AP31" i="7"/>
  <c r="AS31" i="7"/>
  <c r="AV31" i="7"/>
  <c r="AY31" i="7"/>
  <c r="BB31" i="7"/>
  <c r="BE31" i="7"/>
  <c r="BH31" i="7"/>
  <c r="BK31" i="7"/>
  <c r="BN31" i="7"/>
  <c r="BQ31" i="7"/>
  <c r="BT31" i="7"/>
  <c r="BW31" i="7"/>
  <c r="BZ31" i="7"/>
  <c r="CC31" i="7"/>
  <c r="CF31" i="7"/>
  <c r="CI31" i="7"/>
  <c r="CL31" i="7"/>
  <c r="CO31" i="7"/>
  <c r="CR31" i="7"/>
  <c r="U31" i="7"/>
  <c r="O32" i="7"/>
  <c r="R32" i="7"/>
  <c r="X32" i="7"/>
  <c r="AA32" i="7"/>
  <c r="AD32" i="7"/>
  <c r="AG32" i="7"/>
  <c r="AJ32" i="7"/>
  <c r="AM32" i="7"/>
  <c r="AP32" i="7"/>
  <c r="AS32" i="7"/>
  <c r="AV32" i="7"/>
  <c r="AY32" i="7"/>
  <c r="BB32" i="7"/>
  <c r="BE32" i="7"/>
  <c r="BH32" i="7"/>
  <c r="BK32" i="7"/>
  <c r="BN32" i="7"/>
  <c r="BQ32" i="7"/>
  <c r="BT32" i="7"/>
  <c r="BW32" i="7"/>
  <c r="BZ32" i="7"/>
  <c r="CC32" i="7"/>
  <c r="CF32" i="7"/>
  <c r="CI32" i="7"/>
  <c r="CL32" i="7"/>
  <c r="CO32" i="7"/>
  <c r="CR32" i="7"/>
  <c r="U32" i="7"/>
  <c r="O33" i="7"/>
  <c r="R33" i="7"/>
  <c r="X33" i="7"/>
  <c r="AA33" i="7"/>
  <c r="AD33" i="7"/>
  <c r="AG33" i="7"/>
  <c r="AJ33" i="7"/>
  <c r="AM33" i="7"/>
  <c r="AP33" i="7"/>
  <c r="AS33" i="7"/>
  <c r="AV33" i="7"/>
  <c r="AY33" i="7"/>
  <c r="BB33" i="7"/>
  <c r="BE33" i="7"/>
  <c r="BH33" i="7"/>
  <c r="BK33" i="7"/>
  <c r="BN33" i="7"/>
  <c r="BQ33" i="7"/>
  <c r="BT33" i="7"/>
  <c r="BW33" i="7"/>
  <c r="BZ33" i="7"/>
  <c r="CC33" i="7"/>
  <c r="CF33" i="7"/>
  <c r="CI33" i="7"/>
  <c r="CL33" i="7"/>
  <c r="CO33" i="7"/>
  <c r="CR33" i="7"/>
  <c r="U33" i="7"/>
  <c r="O34" i="7"/>
  <c r="R34" i="7"/>
  <c r="X34" i="7"/>
  <c r="AA34" i="7"/>
  <c r="AD34" i="7"/>
  <c r="AG34" i="7"/>
  <c r="AJ34" i="7"/>
  <c r="AM34" i="7"/>
  <c r="AP34" i="7"/>
  <c r="AS34" i="7"/>
  <c r="AV34" i="7"/>
  <c r="AY34" i="7"/>
  <c r="BB34" i="7"/>
  <c r="BE34" i="7"/>
  <c r="BH34" i="7"/>
  <c r="BK34" i="7"/>
  <c r="BN34" i="7"/>
  <c r="BQ34" i="7"/>
  <c r="BT34" i="7"/>
  <c r="BW34" i="7"/>
  <c r="BZ34" i="7"/>
  <c r="CC34" i="7"/>
  <c r="CF34" i="7"/>
  <c r="CI34" i="7"/>
  <c r="CL34" i="7"/>
  <c r="CO34" i="7"/>
  <c r="CR34" i="7"/>
  <c r="U34" i="7"/>
  <c r="O35" i="7"/>
  <c r="R35" i="7"/>
  <c r="X35" i="7"/>
  <c r="AA35" i="7"/>
  <c r="AD35" i="7"/>
  <c r="AG35" i="7"/>
  <c r="AJ35" i="7"/>
  <c r="AM35" i="7"/>
  <c r="AP35" i="7"/>
  <c r="AS35" i="7"/>
  <c r="AV35" i="7"/>
  <c r="AY35" i="7"/>
  <c r="BB35" i="7"/>
  <c r="BE35" i="7"/>
  <c r="BH35" i="7"/>
  <c r="BK35" i="7"/>
  <c r="BN35" i="7"/>
  <c r="BQ35" i="7"/>
  <c r="BT35" i="7"/>
  <c r="BW35" i="7"/>
  <c r="BZ35" i="7"/>
  <c r="CC35" i="7"/>
  <c r="CF35" i="7"/>
  <c r="CI35" i="7"/>
  <c r="CL35" i="7"/>
  <c r="CO35" i="7"/>
  <c r="CR35" i="7"/>
  <c r="U35" i="7"/>
  <c r="O36" i="7"/>
  <c r="R36" i="7"/>
  <c r="X36" i="7"/>
  <c r="AA36" i="7"/>
  <c r="AD36" i="7"/>
  <c r="AG36" i="7"/>
  <c r="AJ36" i="7"/>
  <c r="AM36" i="7"/>
  <c r="AP36" i="7"/>
  <c r="AS36" i="7"/>
  <c r="AV36" i="7"/>
  <c r="AY36" i="7"/>
  <c r="BB36" i="7"/>
  <c r="BE36" i="7"/>
  <c r="BH36" i="7"/>
  <c r="BK36" i="7"/>
  <c r="BN36" i="7"/>
  <c r="BQ36" i="7"/>
  <c r="BT36" i="7"/>
  <c r="BW36" i="7"/>
  <c r="BZ36" i="7"/>
  <c r="CC36" i="7"/>
  <c r="CF36" i="7"/>
  <c r="CI36" i="7"/>
  <c r="CL36" i="7"/>
  <c r="CO36" i="7"/>
  <c r="CR36" i="7"/>
  <c r="U36" i="7"/>
  <c r="O37" i="7"/>
  <c r="R37" i="7"/>
  <c r="X37" i="7"/>
  <c r="AA37" i="7"/>
  <c r="AD37" i="7"/>
  <c r="AG37" i="7"/>
  <c r="AJ37" i="7"/>
  <c r="AM37" i="7"/>
  <c r="AP37" i="7"/>
  <c r="AS37" i="7"/>
  <c r="AV37" i="7"/>
  <c r="AY37" i="7"/>
  <c r="BB37" i="7"/>
  <c r="BE37" i="7"/>
  <c r="BH37" i="7"/>
  <c r="BK37" i="7"/>
  <c r="BN37" i="7"/>
  <c r="BQ37" i="7"/>
  <c r="BT37" i="7"/>
  <c r="BW37" i="7"/>
  <c r="BZ37" i="7"/>
  <c r="CC37" i="7"/>
  <c r="CF37" i="7"/>
  <c r="CI37" i="7"/>
  <c r="CL37" i="7"/>
  <c r="CO37" i="7"/>
  <c r="CR37" i="7"/>
  <c r="U37" i="7"/>
  <c r="O38" i="7"/>
  <c r="R38" i="7"/>
  <c r="X38" i="7"/>
  <c r="AA38" i="7"/>
  <c r="AD38" i="7"/>
  <c r="AG38" i="7"/>
  <c r="AJ38" i="7"/>
  <c r="AM38" i="7"/>
  <c r="AP38" i="7"/>
  <c r="AS38" i="7"/>
  <c r="AV38" i="7"/>
  <c r="AY38" i="7"/>
  <c r="BB38" i="7"/>
  <c r="BE38" i="7"/>
  <c r="BH38" i="7"/>
  <c r="BK38" i="7"/>
  <c r="BN38" i="7"/>
  <c r="BQ38" i="7"/>
  <c r="BT38" i="7"/>
  <c r="BW38" i="7"/>
  <c r="BZ38" i="7"/>
  <c r="CC38" i="7"/>
  <c r="CF38" i="7"/>
  <c r="CI38" i="7"/>
  <c r="CL38" i="7"/>
  <c r="CO38" i="7"/>
  <c r="CR38" i="7"/>
  <c r="U38" i="7"/>
  <c r="O39" i="7"/>
  <c r="R39" i="7"/>
  <c r="X39" i="7"/>
  <c r="AA39" i="7"/>
  <c r="AD39" i="7"/>
  <c r="AG39" i="7"/>
  <c r="AJ39" i="7"/>
  <c r="AM39" i="7"/>
  <c r="AP39" i="7"/>
  <c r="AS39" i="7"/>
  <c r="AV39" i="7"/>
  <c r="AY39" i="7"/>
  <c r="BB39" i="7"/>
  <c r="BE39" i="7"/>
  <c r="BH39" i="7"/>
  <c r="BK39" i="7"/>
  <c r="BN39" i="7"/>
  <c r="BQ39" i="7"/>
  <c r="BT39" i="7"/>
  <c r="BW39" i="7"/>
  <c r="BZ39" i="7"/>
  <c r="CC39" i="7"/>
  <c r="CF39" i="7"/>
  <c r="CI39" i="7"/>
  <c r="CL39" i="7"/>
  <c r="CO39" i="7"/>
  <c r="CR39" i="7"/>
  <c r="U39" i="7"/>
  <c r="O40" i="7"/>
  <c r="R40" i="7"/>
  <c r="X40" i="7"/>
  <c r="AA40" i="7"/>
  <c r="AD40" i="7"/>
  <c r="AG40" i="7"/>
  <c r="AJ40" i="7"/>
  <c r="AM40" i="7"/>
  <c r="AP40" i="7"/>
  <c r="AS40" i="7"/>
  <c r="AV40" i="7"/>
  <c r="AY40" i="7"/>
  <c r="BB40" i="7"/>
  <c r="BE40" i="7"/>
  <c r="BH40" i="7"/>
  <c r="BK40" i="7"/>
  <c r="BN40" i="7"/>
  <c r="BQ40" i="7"/>
  <c r="BT40" i="7"/>
  <c r="BW40" i="7"/>
  <c r="BZ40" i="7"/>
  <c r="CC40" i="7"/>
  <c r="CF40" i="7"/>
  <c r="CI40" i="7"/>
  <c r="CL40" i="7"/>
  <c r="CO40" i="7"/>
  <c r="CR40" i="7"/>
  <c r="U40" i="7"/>
  <c r="O41" i="7"/>
  <c r="R41" i="7"/>
  <c r="X41" i="7"/>
  <c r="AA41" i="7"/>
  <c r="AD41" i="7"/>
  <c r="AG41" i="7"/>
  <c r="AJ41" i="7"/>
  <c r="AM41" i="7"/>
  <c r="AP41" i="7"/>
  <c r="AS41" i="7"/>
  <c r="AV41" i="7"/>
  <c r="AY41" i="7"/>
  <c r="BB41" i="7"/>
  <c r="BE41" i="7"/>
  <c r="BH41" i="7"/>
  <c r="BK41" i="7"/>
  <c r="BN41" i="7"/>
  <c r="BQ41" i="7"/>
  <c r="BT41" i="7"/>
  <c r="BW41" i="7"/>
  <c r="BZ41" i="7"/>
  <c r="CC41" i="7"/>
  <c r="CF41" i="7"/>
  <c r="CI41" i="7"/>
  <c r="CL41" i="7"/>
  <c r="CO41" i="7"/>
  <c r="CR41" i="7"/>
  <c r="U41" i="7"/>
  <c r="O42" i="7"/>
  <c r="R42" i="7"/>
  <c r="X42" i="7"/>
  <c r="AA42" i="7"/>
  <c r="AD42" i="7"/>
  <c r="AG42" i="7"/>
  <c r="AJ42" i="7"/>
  <c r="AM42" i="7"/>
  <c r="AP42" i="7"/>
  <c r="AS42" i="7"/>
  <c r="AV42" i="7"/>
  <c r="AY42" i="7"/>
  <c r="BB42" i="7"/>
  <c r="BE42" i="7"/>
  <c r="BH42" i="7"/>
  <c r="BK42" i="7"/>
  <c r="BN42" i="7"/>
  <c r="BQ42" i="7"/>
  <c r="BT42" i="7"/>
  <c r="BW42" i="7"/>
  <c r="BZ42" i="7"/>
  <c r="CC42" i="7"/>
  <c r="CF42" i="7"/>
  <c r="CI42" i="7"/>
  <c r="CL42" i="7"/>
  <c r="CO42" i="7"/>
  <c r="CR42" i="7"/>
  <c r="U42" i="7"/>
  <c r="O43" i="7"/>
  <c r="R43" i="7"/>
  <c r="X43" i="7"/>
  <c r="AA43" i="7"/>
  <c r="AD43" i="7"/>
  <c r="AG43" i="7"/>
  <c r="AJ43" i="7"/>
  <c r="AM43" i="7"/>
  <c r="AP43" i="7"/>
  <c r="AS43" i="7"/>
  <c r="AV43" i="7"/>
  <c r="AY43" i="7"/>
  <c r="BB43" i="7"/>
  <c r="BE43" i="7"/>
  <c r="BH43" i="7"/>
  <c r="BK43" i="7"/>
  <c r="BN43" i="7"/>
  <c r="BQ43" i="7"/>
  <c r="BT43" i="7"/>
  <c r="BW43" i="7"/>
  <c r="BZ43" i="7"/>
  <c r="CC43" i="7"/>
  <c r="CF43" i="7"/>
  <c r="CI43" i="7"/>
  <c r="CL43" i="7"/>
  <c r="CO43" i="7"/>
  <c r="CR43" i="7"/>
  <c r="U43" i="7"/>
  <c r="O44" i="7"/>
  <c r="R44" i="7"/>
  <c r="X44" i="7"/>
  <c r="AA44" i="7"/>
  <c r="AD44" i="7"/>
  <c r="AG44" i="7"/>
  <c r="AJ44" i="7"/>
  <c r="AM44" i="7"/>
  <c r="AP44" i="7"/>
  <c r="AS44" i="7"/>
  <c r="AV44" i="7"/>
  <c r="AY44" i="7"/>
  <c r="BB44" i="7"/>
  <c r="BE44" i="7"/>
  <c r="BH44" i="7"/>
  <c r="BK44" i="7"/>
  <c r="BN44" i="7"/>
  <c r="BQ44" i="7"/>
  <c r="BT44" i="7"/>
  <c r="BW44" i="7"/>
  <c r="BZ44" i="7"/>
  <c r="CC44" i="7"/>
  <c r="CF44" i="7"/>
  <c r="CI44" i="7"/>
  <c r="CL44" i="7"/>
  <c r="CO44" i="7"/>
  <c r="CR44" i="7"/>
  <c r="U44" i="7"/>
  <c r="O45" i="7"/>
  <c r="R45" i="7"/>
  <c r="X45" i="7"/>
  <c r="AA45" i="7"/>
  <c r="AD45" i="7"/>
  <c r="AG45" i="7"/>
  <c r="AJ45" i="7"/>
  <c r="AM45" i="7"/>
  <c r="AP45" i="7"/>
  <c r="AS45" i="7"/>
  <c r="AV45" i="7"/>
  <c r="AY45" i="7"/>
  <c r="BB45" i="7"/>
  <c r="BE45" i="7"/>
  <c r="BH45" i="7"/>
  <c r="BK45" i="7"/>
  <c r="BN45" i="7"/>
  <c r="BQ45" i="7"/>
  <c r="BT45" i="7"/>
  <c r="BW45" i="7"/>
  <c r="BZ45" i="7"/>
  <c r="CC45" i="7"/>
  <c r="CF45" i="7"/>
  <c r="CI45" i="7"/>
  <c r="CL45" i="7"/>
  <c r="CO45" i="7"/>
  <c r="CR45" i="7"/>
  <c r="U45" i="7"/>
  <c r="O46" i="7"/>
  <c r="R46" i="7"/>
  <c r="X46" i="7"/>
  <c r="AA46" i="7"/>
  <c r="AD46" i="7"/>
  <c r="AG46" i="7"/>
  <c r="AJ46" i="7"/>
  <c r="AM46" i="7"/>
  <c r="AP46" i="7"/>
  <c r="AS46" i="7"/>
  <c r="AV46" i="7"/>
  <c r="AY46" i="7"/>
  <c r="BB46" i="7"/>
  <c r="BE46" i="7"/>
  <c r="BH46" i="7"/>
  <c r="BK46" i="7"/>
  <c r="BN46" i="7"/>
  <c r="BQ46" i="7"/>
  <c r="BT46" i="7"/>
  <c r="BW46" i="7"/>
  <c r="BZ46" i="7"/>
  <c r="CC46" i="7"/>
  <c r="CF46" i="7"/>
  <c r="CI46" i="7"/>
  <c r="CL46" i="7"/>
  <c r="CO46" i="7"/>
  <c r="CR46" i="7"/>
  <c r="U46" i="7"/>
  <c r="O47" i="7"/>
  <c r="R47" i="7"/>
  <c r="X47" i="7"/>
  <c r="AA47" i="7"/>
  <c r="AD47" i="7"/>
  <c r="AG47" i="7"/>
  <c r="AJ47" i="7"/>
  <c r="AM47" i="7"/>
  <c r="AP47" i="7"/>
  <c r="AS47" i="7"/>
  <c r="AV47" i="7"/>
  <c r="AY47" i="7"/>
  <c r="BB47" i="7"/>
  <c r="BE47" i="7"/>
  <c r="BH47" i="7"/>
  <c r="BK47" i="7"/>
  <c r="BN47" i="7"/>
  <c r="BQ47" i="7"/>
  <c r="BT47" i="7"/>
  <c r="BW47" i="7"/>
  <c r="BZ47" i="7"/>
  <c r="CC47" i="7"/>
  <c r="CF47" i="7"/>
  <c r="CI47" i="7"/>
  <c r="CL47" i="7"/>
  <c r="CO47" i="7"/>
  <c r="CR47" i="7"/>
  <c r="U47" i="7"/>
  <c r="O48" i="7"/>
  <c r="R48" i="7"/>
  <c r="X48" i="7"/>
  <c r="AA48" i="7"/>
  <c r="AD48" i="7"/>
  <c r="AG48" i="7"/>
  <c r="AJ48" i="7"/>
  <c r="AM48" i="7"/>
  <c r="AP48" i="7"/>
  <c r="AS48" i="7"/>
  <c r="AV48" i="7"/>
  <c r="AY48" i="7"/>
  <c r="BB48" i="7"/>
  <c r="BE48" i="7"/>
  <c r="BH48" i="7"/>
  <c r="BK48" i="7"/>
  <c r="BN48" i="7"/>
  <c r="BQ48" i="7"/>
  <c r="BT48" i="7"/>
  <c r="BW48" i="7"/>
  <c r="BZ48" i="7"/>
  <c r="CC48" i="7"/>
  <c r="CF48" i="7"/>
  <c r="CI48" i="7"/>
  <c r="CL48" i="7"/>
  <c r="CO48" i="7"/>
  <c r="CR48" i="7"/>
  <c r="U48" i="7"/>
  <c r="O49" i="7"/>
  <c r="R49" i="7"/>
  <c r="X49" i="7"/>
  <c r="AA49" i="7"/>
  <c r="AD49" i="7"/>
  <c r="AG49" i="7"/>
  <c r="AJ49" i="7"/>
  <c r="AM49" i="7"/>
  <c r="AP49" i="7"/>
  <c r="AS49" i="7"/>
  <c r="AV49" i="7"/>
  <c r="AY49" i="7"/>
  <c r="BB49" i="7"/>
  <c r="BE49" i="7"/>
  <c r="BH49" i="7"/>
  <c r="BK49" i="7"/>
  <c r="BN49" i="7"/>
  <c r="BQ49" i="7"/>
  <c r="BT49" i="7"/>
  <c r="BW49" i="7"/>
  <c r="BZ49" i="7"/>
  <c r="CC49" i="7"/>
  <c r="CF49" i="7"/>
  <c r="CI49" i="7"/>
  <c r="CL49" i="7"/>
  <c r="CO49" i="7"/>
  <c r="CR49" i="7"/>
  <c r="U49" i="7"/>
  <c r="O50" i="7"/>
  <c r="R50" i="7"/>
  <c r="X50" i="7"/>
  <c r="AA50" i="7"/>
  <c r="AD50" i="7"/>
  <c r="AG50" i="7"/>
  <c r="AJ50" i="7"/>
  <c r="AM50" i="7"/>
  <c r="AP50" i="7"/>
  <c r="AS50" i="7"/>
  <c r="AV50" i="7"/>
  <c r="AY50" i="7"/>
  <c r="BB50" i="7"/>
  <c r="BE50" i="7"/>
  <c r="BH50" i="7"/>
  <c r="BK50" i="7"/>
  <c r="BN50" i="7"/>
  <c r="BQ50" i="7"/>
  <c r="BT50" i="7"/>
  <c r="BW50" i="7"/>
  <c r="BZ50" i="7"/>
  <c r="CC50" i="7"/>
  <c r="CF50" i="7"/>
  <c r="CI50" i="7"/>
  <c r="CL50" i="7"/>
  <c r="CO50" i="7"/>
  <c r="CR50" i="7"/>
  <c r="U50" i="7"/>
  <c r="O51" i="7"/>
  <c r="R51" i="7"/>
  <c r="X51" i="7"/>
  <c r="AA51" i="7"/>
  <c r="AD51" i="7"/>
  <c r="AG51" i="7"/>
  <c r="AJ51" i="7"/>
  <c r="AM51" i="7"/>
  <c r="AP51" i="7"/>
  <c r="AS51" i="7"/>
  <c r="AV51" i="7"/>
  <c r="AY51" i="7"/>
  <c r="BB51" i="7"/>
  <c r="BE51" i="7"/>
  <c r="BH51" i="7"/>
  <c r="BK51" i="7"/>
  <c r="BN51" i="7"/>
  <c r="BQ51" i="7"/>
  <c r="BT51" i="7"/>
  <c r="BW51" i="7"/>
  <c r="BZ51" i="7"/>
  <c r="CC51" i="7"/>
  <c r="CF51" i="7"/>
  <c r="CI51" i="7"/>
  <c r="CL51" i="7"/>
  <c r="CO51" i="7"/>
  <c r="CR51" i="7"/>
  <c r="U51" i="7"/>
  <c r="O52" i="7"/>
  <c r="R52" i="7"/>
  <c r="X52" i="7"/>
  <c r="AA52" i="7"/>
  <c r="AD52" i="7"/>
  <c r="AG52" i="7"/>
  <c r="AJ52" i="7"/>
  <c r="AM52" i="7"/>
  <c r="AP52" i="7"/>
  <c r="AS52" i="7"/>
  <c r="AV52" i="7"/>
  <c r="AY52" i="7"/>
  <c r="BB52" i="7"/>
  <c r="BE52" i="7"/>
  <c r="BH52" i="7"/>
  <c r="BK52" i="7"/>
  <c r="BN52" i="7"/>
  <c r="BQ52" i="7"/>
  <c r="BT52" i="7"/>
  <c r="BW52" i="7"/>
  <c r="BZ52" i="7"/>
  <c r="CC52" i="7"/>
  <c r="CF52" i="7"/>
  <c r="CI52" i="7"/>
  <c r="CL52" i="7"/>
  <c r="CO52" i="7"/>
  <c r="CR52" i="7"/>
  <c r="U52" i="7"/>
  <c r="O53" i="7"/>
  <c r="R53" i="7"/>
  <c r="X53" i="7"/>
  <c r="AA53" i="7"/>
  <c r="AD53" i="7"/>
  <c r="AG53" i="7"/>
  <c r="AJ53" i="7"/>
  <c r="AM53" i="7"/>
  <c r="AP53" i="7"/>
  <c r="AS53" i="7"/>
  <c r="AV53" i="7"/>
  <c r="AY53" i="7"/>
  <c r="BB53" i="7"/>
  <c r="BE53" i="7"/>
  <c r="BH53" i="7"/>
  <c r="BK53" i="7"/>
  <c r="BN53" i="7"/>
  <c r="BQ53" i="7"/>
  <c r="BT53" i="7"/>
  <c r="BW53" i="7"/>
  <c r="BZ53" i="7"/>
  <c r="CC53" i="7"/>
  <c r="CF53" i="7"/>
  <c r="CI53" i="7"/>
  <c r="CL53" i="7"/>
  <c r="CO53" i="7"/>
  <c r="CR53" i="7"/>
  <c r="U53" i="7"/>
  <c r="O54" i="7"/>
  <c r="R54" i="7"/>
  <c r="X54" i="7"/>
  <c r="AA54" i="7"/>
  <c r="AD54" i="7"/>
  <c r="AG54" i="7"/>
  <c r="AJ54" i="7"/>
  <c r="AM54" i="7"/>
  <c r="AP54" i="7"/>
  <c r="AS54" i="7"/>
  <c r="AV54" i="7"/>
  <c r="AY54" i="7"/>
  <c r="BB54" i="7"/>
  <c r="BE54" i="7"/>
  <c r="BH54" i="7"/>
  <c r="BK54" i="7"/>
  <c r="BN54" i="7"/>
  <c r="BQ54" i="7"/>
  <c r="BT54" i="7"/>
  <c r="BW54" i="7"/>
  <c r="BZ54" i="7"/>
  <c r="CC54" i="7"/>
  <c r="CF54" i="7"/>
  <c r="CI54" i="7"/>
  <c r="CL54" i="7"/>
  <c r="CO54" i="7"/>
  <c r="CR54" i="7"/>
  <c r="U54" i="7"/>
  <c r="O55" i="7"/>
  <c r="R55" i="7"/>
  <c r="X55" i="7"/>
  <c r="AA55" i="7"/>
  <c r="AD55" i="7"/>
  <c r="AG55" i="7"/>
  <c r="AJ55" i="7"/>
  <c r="AM55" i="7"/>
  <c r="AP55" i="7"/>
  <c r="AS55" i="7"/>
  <c r="AV55" i="7"/>
  <c r="AY55" i="7"/>
  <c r="BB55" i="7"/>
  <c r="BE55" i="7"/>
  <c r="BH55" i="7"/>
  <c r="BK55" i="7"/>
  <c r="BN55" i="7"/>
  <c r="BQ55" i="7"/>
  <c r="BT55" i="7"/>
  <c r="BW55" i="7"/>
  <c r="BZ55" i="7"/>
  <c r="CC55" i="7"/>
  <c r="CF55" i="7"/>
  <c r="CI55" i="7"/>
  <c r="CL55" i="7"/>
  <c r="CO55" i="7"/>
  <c r="CR55" i="7"/>
  <c r="U55" i="7"/>
  <c r="O56" i="7"/>
  <c r="R56" i="7"/>
  <c r="X56" i="7"/>
  <c r="AA56" i="7"/>
  <c r="AD56" i="7"/>
  <c r="AG56" i="7"/>
  <c r="AJ56" i="7"/>
  <c r="AM56" i="7"/>
  <c r="AP56" i="7"/>
  <c r="AS56" i="7"/>
  <c r="AV56" i="7"/>
  <c r="AY56" i="7"/>
  <c r="BB56" i="7"/>
  <c r="BE56" i="7"/>
  <c r="BH56" i="7"/>
  <c r="BK56" i="7"/>
  <c r="BN56" i="7"/>
  <c r="BQ56" i="7"/>
  <c r="BT56" i="7"/>
  <c r="BW56" i="7"/>
  <c r="BZ56" i="7"/>
  <c r="CC56" i="7"/>
  <c r="CF56" i="7"/>
  <c r="CI56" i="7"/>
  <c r="CL56" i="7"/>
  <c r="CO56" i="7"/>
  <c r="CR56" i="7"/>
  <c r="U56" i="7"/>
  <c r="O57" i="7"/>
  <c r="R57" i="7"/>
  <c r="X57" i="7"/>
  <c r="AA57" i="7"/>
  <c r="AD57" i="7"/>
  <c r="AG57" i="7"/>
  <c r="AJ57" i="7"/>
  <c r="AM57" i="7"/>
  <c r="AP57" i="7"/>
  <c r="AS57" i="7"/>
  <c r="AV57" i="7"/>
  <c r="AY57" i="7"/>
  <c r="BB57" i="7"/>
  <c r="BE57" i="7"/>
  <c r="BH57" i="7"/>
  <c r="BK57" i="7"/>
  <c r="BN57" i="7"/>
  <c r="BQ57" i="7"/>
  <c r="BT57" i="7"/>
  <c r="BW57" i="7"/>
  <c r="BZ57" i="7"/>
  <c r="CC57" i="7"/>
  <c r="CF57" i="7"/>
  <c r="CI57" i="7"/>
  <c r="CL57" i="7"/>
  <c r="CO57" i="7"/>
  <c r="CR57" i="7"/>
  <c r="U57" i="7"/>
  <c r="O58" i="7"/>
  <c r="R58" i="7"/>
  <c r="X58" i="7"/>
  <c r="AA58" i="7"/>
  <c r="AD58" i="7"/>
  <c r="AG58" i="7"/>
  <c r="AJ58" i="7"/>
  <c r="AM58" i="7"/>
  <c r="AP58" i="7"/>
  <c r="AS58" i="7"/>
  <c r="AV58" i="7"/>
  <c r="AY58" i="7"/>
  <c r="BB58" i="7"/>
  <c r="BE58" i="7"/>
  <c r="BH58" i="7"/>
  <c r="BK58" i="7"/>
  <c r="BN58" i="7"/>
  <c r="BQ58" i="7"/>
  <c r="BT58" i="7"/>
  <c r="BW58" i="7"/>
  <c r="BZ58" i="7"/>
  <c r="CC58" i="7"/>
  <c r="CF58" i="7"/>
  <c r="CI58" i="7"/>
  <c r="CL58" i="7"/>
  <c r="CO58" i="7"/>
  <c r="CR58" i="7"/>
  <c r="U58" i="7"/>
  <c r="O59" i="7"/>
  <c r="R59" i="7"/>
  <c r="X59" i="7"/>
  <c r="AA59" i="7"/>
  <c r="AD59" i="7"/>
  <c r="AG59" i="7"/>
  <c r="AJ59" i="7"/>
  <c r="AM59" i="7"/>
  <c r="AP59" i="7"/>
  <c r="AS59" i="7"/>
  <c r="AV59" i="7"/>
  <c r="AY59" i="7"/>
  <c r="BB59" i="7"/>
  <c r="BE59" i="7"/>
  <c r="BH59" i="7"/>
  <c r="BK59" i="7"/>
  <c r="BN59" i="7"/>
  <c r="BQ59" i="7"/>
  <c r="BT59" i="7"/>
  <c r="BW59" i="7"/>
  <c r="BZ59" i="7"/>
  <c r="CC59" i="7"/>
  <c r="CF59" i="7"/>
  <c r="CI59" i="7"/>
  <c r="CL59" i="7"/>
  <c r="CO59" i="7"/>
  <c r="CR59" i="7"/>
  <c r="U59" i="7"/>
  <c r="O60" i="7"/>
  <c r="R60" i="7"/>
  <c r="X60" i="7"/>
  <c r="AA60" i="7"/>
  <c r="AD60" i="7"/>
  <c r="AG60" i="7"/>
  <c r="AJ60" i="7"/>
  <c r="AM60" i="7"/>
  <c r="AP60" i="7"/>
  <c r="AS60" i="7"/>
  <c r="AV60" i="7"/>
  <c r="AY60" i="7"/>
  <c r="BB60" i="7"/>
  <c r="BE60" i="7"/>
  <c r="BH60" i="7"/>
  <c r="BK60" i="7"/>
  <c r="BN60" i="7"/>
  <c r="BQ60" i="7"/>
  <c r="BT60" i="7"/>
  <c r="BW60" i="7"/>
  <c r="BZ60" i="7"/>
  <c r="CC60" i="7"/>
  <c r="CF60" i="7"/>
  <c r="CI60" i="7"/>
  <c r="CL60" i="7"/>
  <c r="CO60" i="7"/>
  <c r="CR60" i="7"/>
  <c r="U60" i="7"/>
  <c r="O61" i="7"/>
  <c r="R61" i="7"/>
  <c r="X61" i="7"/>
  <c r="AA61" i="7"/>
  <c r="AD61" i="7"/>
  <c r="AG61" i="7"/>
  <c r="AJ61" i="7"/>
  <c r="AM61" i="7"/>
  <c r="AP61" i="7"/>
  <c r="AS61" i="7"/>
  <c r="AV61" i="7"/>
  <c r="AY61" i="7"/>
  <c r="BB61" i="7"/>
  <c r="BE61" i="7"/>
  <c r="BH61" i="7"/>
  <c r="BK61" i="7"/>
  <c r="BN61" i="7"/>
  <c r="BQ61" i="7"/>
  <c r="BT61" i="7"/>
  <c r="BW61" i="7"/>
  <c r="BZ61" i="7"/>
  <c r="CC61" i="7"/>
  <c r="CF61" i="7"/>
  <c r="CI61" i="7"/>
  <c r="CL61" i="7"/>
  <c r="CO61" i="7"/>
  <c r="CR61" i="7"/>
  <c r="U61" i="7"/>
  <c r="O62" i="7"/>
  <c r="R62" i="7"/>
  <c r="X62" i="7"/>
  <c r="AA62" i="7"/>
  <c r="AD62" i="7"/>
  <c r="AG62" i="7"/>
  <c r="AJ62" i="7"/>
  <c r="AM62" i="7"/>
  <c r="AP62" i="7"/>
  <c r="AS62" i="7"/>
  <c r="AV62" i="7"/>
  <c r="AY62" i="7"/>
  <c r="BB62" i="7"/>
  <c r="BE62" i="7"/>
  <c r="BH62" i="7"/>
  <c r="BK62" i="7"/>
  <c r="BN62" i="7"/>
  <c r="BQ62" i="7"/>
  <c r="BT62" i="7"/>
  <c r="BW62" i="7"/>
  <c r="BZ62" i="7"/>
  <c r="CC62" i="7"/>
  <c r="CF62" i="7"/>
  <c r="CI62" i="7"/>
  <c r="CL62" i="7"/>
  <c r="CO62" i="7"/>
  <c r="CR62" i="7"/>
  <c r="U62" i="7"/>
  <c r="O63" i="7"/>
  <c r="R63" i="7"/>
  <c r="X63" i="7"/>
  <c r="AA63" i="7"/>
  <c r="AD63" i="7"/>
  <c r="AG63" i="7"/>
  <c r="AJ63" i="7"/>
  <c r="AM63" i="7"/>
  <c r="AP63" i="7"/>
  <c r="AS63" i="7"/>
  <c r="AV63" i="7"/>
  <c r="AY63" i="7"/>
  <c r="BB63" i="7"/>
  <c r="BE63" i="7"/>
  <c r="BH63" i="7"/>
  <c r="BK63" i="7"/>
  <c r="BN63" i="7"/>
  <c r="BQ63" i="7"/>
  <c r="BT63" i="7"/>
  <c r="BW63" i="7"/>
  <c r="BZ63" i="7"/>
  <c r="CC63" i="7"/>
  <c r="CF63" i="7"/>
  <c r="CI63" i="7"/>
  <c r="CL63" i="7"/>
  <c r="CO63" i="7"/>
  <c r="CR63" i="7"/>
  <c r="U63" i="7"/>
  <c r="O64" i="7"/>
  <c r="R64" i="7"/>
  <c r="X64" i="7"/>
  <c r="AA64" i="7"/>
  <c r="AD64" i="7"/>
  <c r="AG64" i="7"/>
  <c r="AJ64" i="7"/>
  <c r="AM64" i="7"/>
  <c r="AP64" i="7"/>
  <c r="AS64" i="7"/>
  <c r="AV64" i="7"/>
  <c r="AY64" i="7"/>
  <c r="BB64" i="7"/>
  <c r="BE64" i="7"/>
  <c r="BH64" i="7"/>
  <c r="BK64" i="7"/>
  <c r="BN64" i="7"/>
  <c r="BQ64" i="7"/>
  <c r="BT64" i="7"/>
  <c r="BW64" i="7"/>
  <c r="BZ64" i="7"/>
  <c r="CC64" i="7"/>
  <c r="CF64" i="7"/>
  <c r="CI64" i="7"/>
  <c r="CL64" i="7"/>
  <c r="CO64" i="7"/>
  <c r="CR64" i="7"/>
  <c r="U64" i="7"/>
  <c r="O65" i="7"/>
  <c r="R65" i="7"/>
  <c r="X65" i="7"/>
  <c r="AA65" i="7"/>
  <c r="AD65" i="7"/>
  <c r="AG65" i="7"/>
  <c r="AJ65" i="7"/>
  <c r="AM65" i="7"/>
  <c r="AP65" i="7"/>
  <c r="AS65" i="7"/>
  <c r="AV65" i="7"/>
  <c r="AY65" i="7"/>
  <c r="BB65" i="7"/>
  <c r="BE65" i="7"/>
  <c r="BH65" i="7"/>
  <c r="BK65" i="7"/>
  <c r="BN65" i="7"/>
  <c r="BQ65" i="7"/>
  <c r="BT65" i="7"/>
  <c r="BW65" i="7"/>
  <c r="BZ65" i="7"/>
  <c r="CC65" i="7"/>
  <c r="CF65" i="7"/>
  <c r="CI65" i="7"/>
  <c r="CL65" i="7"/>
  <c r="CO65" i="7"/>
  <c r="CR65" i="7"/>
  <c r="U65" i="7"/>
  <c r="O66" i="7"/>
  <c r="R66" i="7"/>
  <c r="X66" i="7"/>
  <c r="AA66" i="7"/>
  <c r="AD66" i="7"/>
  <c r="AG66" i="7"/>
  <c r="AJ66" i="7"/>
  <c r="AM66" i="7"/>
  <c r="AP66" i="7"/>
  <c r="AS66" i="7"/>
  <c r="AV66" i="7"/>
  <c r="AY66" i="7"/>
  <c r="BB66" i="7"/>
  <c r="BE66" i="7"/>
  <c r="BH66" i="7"/>
  <c r="BK66" i="7"/>
  <c r="BN66" i="7"/>
  <c r="BQ66" i="7"/>
  <c r="BT66" i="7"/>
  <c r="BW66" i="7"/>
  <c r="BZ66" i="7"/>
  <c r="CC66" i="7"/>
  <c r="CF66" i="7"/>
  <c r="CI66" i="7"/>
  <c r="CL66" i="7"/>
  <c r="CO66" i="7"/>
  <c r="CR66" i="7"/>
  <c r="U66" i="7"/>
  <c r="O67" i="7"/>
  <c r="R67" i="7"/>
  <c r="X67" i="7"/>
  <c r="AA67" i="7"/>
  <c r="AD67" i="7"/>
  <c r="AG67" i="7"/>
  <c r="AJ67" i="7"/>
  <c r="AM67" i="7"/>
  <c r="AP67" i="7"/>
  <c r="AS67" i="7"/>
  <c r="AV67" i="7"/>
  <c r="AY67" i="7"/>
  <c r="BB67" i="7"/>
  <c r="BE67" i="7"/>
  <c r="BH67" i="7"/>
  <c r="BK67" i="7"/>
  <c r="BN67" i="7"/>
  <c r="BQ67" i="7"/>
  <c r="BT67" i="7"/>
  <c r="BW67" i="7"/>
  <c r="BZ67" i="7"/>
  <c r="CC67" i="7"/>
  <c r="CF67" i="7"/>
  <c r="CI67" i="7"/>
  <c r="CL67" i="7"/>
  <c r="CO67" i="7"/>
  <c r="CR67" i="7"/>
  <c r="U67" i="7"/>
  <c r="O68" i="7"/>
  <c r="R68" i="7"/>
  <c r="X68" i="7"/>
  <c r="AA68" i="7"/>
  <c r="AD68" i="7"/>
  <c r="AG68" i="7"/>
  <c r="AJ68" i="7"/>
  <c r="AM68" i="7"/>
  <c r="AP68" i="7"/>
  <c r="AS68" i="7"/>
  <c r="AV68" i="7"/>
  <c r="AY68" i="7"/>
  <c r="BB68" i="7"/>
  <c r="BE68" i="7"/>
  <c r="BH68" i="7"/>
  <c r="BK68" i="7"/>
  <c r="BN68" i="7"/>
  <c r="BQ68" i="7"/>
  <c r="BT68" i="7"/>
  <c r="BW68" i="7"/>
  <c r="BZ68" i="7"/>
  <c r="CC68" i="7"/>
  <c r="CF68" i="7"/>
  <c r="CI68" i="7"/>
  <c r="CL68" i="7"/>
  <c r="CO68" i="7"/>
  <c r="CR68" i="7"/>
  <c r="U68" i="7"/>
  <c r="O69" i="7"/>
  <c r="R69" i="7"/>
  <c r="X69" i="7"/>
  <c r="AA69" i="7"/>
  <c r="AD69" i="7"/>
  <c r="AG69" i="7"/>
  <c r="AJ69" i="7"/>
  <c r="AM69" i="7"/>
  <c r="AP69" i="7"/>
  <c r="AS69" i="7"/>
  <c r="AV69" i="7"/>
  <c r="AY69" i="7"/>
  <c r="BB69" i="7"/>
  <c r="BE69" i="7"/>
  <c r="BH69" i="7"/>
  <c r="BK69" i="7"/>
  <c r="BN69" i="7"/>
  <c r="BQ69" i="7"/>
  <c r="BT69" i="7"/>
  <c r="BW69" i="7"/>
  <c r="BZ69" i="7"/>
  <c r="CC69" i="7"/>
  <c r="CF69" i="7"/>
  <c r="CI69" i="7"/>
  <c r="CL69" i="7"/>
  <c r="CO69" i="7"/>
  <c r="CR69" i="7"/>
  <c r="U69" i="7"/>
  <c r="O70" i="7"/>
  <c r="R70" i="7"/>
  <c r="X70" i="7"/>
  <c r="AA70" i="7"/>
  <c r="AD70" i="7"/>
  <c r="AG70" i="7"/>
  <c r="AJ70" i="7"/>
  <c r="AM70" i="7"/>
  <c r="AP70" i="7"/>
  <c r="AS70" i="7"/>
  <c r="AV70" i="7"/>
  <c r="AY70" i="7"/>
  <c r="BB70" i="7"/>
  <c r="BE70" i="7"/>
  <c r="BH70" i="7"/>
  <c r="BK70" i="7"/>
  <c r="BN70" i="7"/>
  <c r="BQ70" i="7"/>
  <c r="BT70" i="7"/>
  <c r="BW70" i="7"/>
  <c r="BZ70" i="7"/>
  <c r="CC70" i="7"/>
  <c r="CF70" i="7"/>
  <c r="CI70" i="7"/>
  <c r="CL70" i="7"/>
  <c r="CO70" i="7"/>
  <c r="CR70" i="7"/>
  <c r="U70" i="7"/>
  <c r="O71" i="7"/>
  <c r="R71" i="7"/>
  <c r="X71" i="7"/>
  <c r="AA71" i="7"/>
  <c r="AD71" i="7"/>
  <c r="AG71" i="7"/>
  <c r="AJ71" i="7"/>
  <c r="AM71" i="7"/>
  <c r="AP71" i="7"/>
  <c r="AS71" i="7"/>
  <c r="AV71" i="7"/>
  <c r="AY71" i="7"/>
  <c r="BB71" i="7"/>
  <c r="BE71" i="7"/>
  <c r="BH71" i="7"/>
  <c r="BK71" i="7"/>
  <c r="BN71" i="7"/>
  <c r="BQ71" i="7"/>
  <c r="BT71" i="7"/>
  <c r="BW71" i="7"/>
  <c r="BZ71" i="7"/>
  <c r="CC71" i="7"/>
  <c r="CF71" i="7"/>
  <c r="CI71" i="7"/>
  <c r="CL71" i="7"/>
  <c r="CO71" i="7"/>
  <c r="CR71" i="7"/>
  <c r="U71" i="7"/>
  <c r="O72" i="7"/>
  <c r="R72" i="7"/>
  <c r="X72" i="7"/>
  <c r="AA72" i="7"/>
  <c r="AD72" i="7"/>
  <c r="AG72" i="7"/>
  <c r="AJ72" i="7"/>
  <c r="AM72" i="7"/>
  <c r="AP72" i="7"/>
  <c r="AS72" i="7"/>
  <c r="AV72" i="7"/>
  <c r="AY72" i="7"/>
  <c r="BB72" i="7"/>
  <c r="BE72" i="7"/>
  <c r="BH72" i="7"/>
  <c r="BK72" i="7"/>
  <c r="BN72" i="7"/>
  <c r="BQ72" i="7"/>
  <c r="BT72" i="7"/>
  <c r="BW72" i="7"/>
  <c r="BZ72" i="7"/>
  <c r="CC72" i="7"/>
  <c r="CF72" i="7"/>
  <c r="CI72" i="7"/>
  <c r="CL72" i="7"/>
  <c r="CO72" i="7"/>
  <c r="CR72" i="7"/>
  <c r="U72" i="7"/>
  <c r="O73" i="7"/>
  <c r="R73" i="7"/>
  <c r="X73" i="7"/>
  <c r="AA73" i="7"/>
  <c r="AD73" i="7"/>
  <c r="AG73" i="7"/>
  <c r="AJ73" i="7"/>
  <c r="AM73" i="7"/>
  <c r="AP73" i="7"/>
  <c r="AS73" i="7"/>
  <c r="AV73" i="7"/>
  <c r="AY73" i="7"/>
  <c r="BB73" i="7"/>
  <c r="BE73" i="7"/>
  <c r="BH73" i="7"/>
  <c r="BK73" i="7"/>
  <c r="BN73" i="7"/>
  <c r="BQ73" i="7"/>
  <c r="BT73" i="7"/>
  <c r="BW73" i="7"/>
  <c r="BZ73" i="7"/>
  <c r="CC73" i="7"/>
  <c r="CF73" i="7"/>
  <c r="CI73" i="7"/>
  <c r="CL73" i="7"/>
  <c r="CO73" i="7"/>
  <c r="CR73" i="7"/>
  <c r="U73" i="7"/>
  <c r="O74" i="7"/>
  <c r="R74" i="7"/>
  <c r="X74" i="7"/>
  <c r="AA74" i="7"/>
  <c r="AD74" i="7"/>
  <c r="AG74" i="7"/>
  <c r="AJ74" i="7"/>
  <c r="AM74" i="7"/>
  <c r="AP74" i="7"/>
  <c r="AS74" i="7"/>
  <c r="AV74" i="7"/>
  <c r="AY74" i="7"/>
  <c r="BB74" i="7"/>
  <c r="BE74" i="7"/>
  <c r="BH74" i="7"/>
  <c r="BK74" i="7"/>
  <c r="BN74" i="7"/>
  <c r="BQ74" i="7"/>
  <c r="BT74" i="7"/>
  <c r="BW74" i="7"/>
  <c r="BZ74" i="7"/>
  <c r="CC74" i="7"/>
  <c r="CF74" i="7"/>
  <c r="CI74" i="7"/>
  <c r="CL74" i="7"/>
  <c r="CO74" i="7"/>
  <c r="CR74" i="7"/>
  <c r="U74" i="7"/>
  <c r="O75" i="7"/>
  <c r="R75" i="7"/>
  <c r="X75" i="7"/>
  <c r="AA75" i="7"/>
  <c r="AD75" i="7"/>
  <c r="AG75" i="7"/>
  <c r="AJ75" i="7"/>
  <c r="AM75" i="7"/>
  <c r="AP75" i="7"/>
  <c r="AS75" i="7"/>
  <c r="AV75" i="7"/>
  <c r="AY75" i="7"/>
  <c r="BB75" i="7"/>
  <c r="BE75" i="7"/>
  <c r="BH75" i="7"/>
  <c r="BK75" i="7"/>
  <c r="BN75" i="7"/>
  <c r="BQ75" i="7"/>
  <c r="BT75" i="7"/>
  <c r="BW75" i="7"/>
  <c r="BZ75" i="7"/>
  <c r="CC75" i="7"/>
  <c r="CF75" i="7"/>
  <c r="CI75" i="7"/>
  <c r="CL75" i="7"/>
  <c r="CO75" i="7"/>
  <c r="CR75" i="7"/>
  <c r="U75" i="7"/>
  <c r="O76" i="7"/>
  <c r="R76" i="7"/>
  <c r="X76" i="7"/>
  <c r="AA76" i="7"/>
  <c r="AD76" i="7"/>
  <c r="AG76" i="7"/>
  <c r="AJ76" i="7"/>
  <c r="AM76" i="7"/>
  <c r="AP76" i="7"/>
  <c r="AS76" i="7"/>
  <c r="AV76" i="7"/>
  <c r="AY76" i="7"/>
  <c r="BB76" i="7"/>
  <c r="BE76" i="7"/>
  <c r="BH76" i="7"/>
  <c r="BK76" i="7"/>
  <c r="BN76" i="7"/>
  <c r="BQ76" i="7"/>
  <c r="BT76" i="7"/>
  <c r="BW76" i="7"/>
  <c r="BZ76" i="7"/>
  <c r="CC76" i="7"/>
  <c r="CF76" i="7"/>
  <c r="CI76" i="7"/>
  <c r="CL76" i="7"/>
  <c r="CO76" i="7"/>
  <c r="CR76" i="7"/>
  <c r="U76" i="7"/>
  <c r="O77" i="7"/>
  <c r="R77" i="7"/>
  <c r="X77" i="7"/>
  <c r="AA77" i="7"/>
  <c r="AD77" i="7"/>
  <c r="AG77" i="7"/>
  <c r="AJ77" i="7"/>
  <c r="AM77" i="7"/>
  <c r="AP77" i="7"/>
  <c r="AS77" i="7"/>
  <c r="AV77" i="7"/>
  <c r="AY77" i="7"/>
  <c r="BB77" i="7"/>
  <c r="BE77" i="7"/>
  <c r="BH77" i="7"/>
  <c r="BK77" i="7"/>
  <c r="BN77" i="7"/>
  <c r="BQ77" i="7"/>
  <c r="BT77" i="7"/>
  <c r="BW77" i="7"/>
  <c r="BZ77" i="7"/>
  <c r="CC77" i="7"/>
  <c r="CF77" i="7"/>
  <c r="CI77" i="7"/>
  <c r="CL77" i="7"/>
  <c r="CO77" i="7"/>
  <c r="CR77" i="7"/>
  <c r="U77" i="7"/>
  <c r="O78" i="7"/>
  <c r="R78" i="7"/>
  <c r="X78" i="7"/>
  <c r="AA78" i="7"/>
  <c r="AD78" i="7"/>
  <c r="AG78" i="7"/>
  <c r="AJ78" i="7"/>
  <c r="AM78" i="7"/>
  <c r="AP78" i="7"/>
  <c r="AS78" i="7"/>
  <c r="AV78" i="7"/>
  <c r="AY78" i="7"/>
  <c r="BB78" i="7"/>
  <c r="BE78" i="7"/>
  <c r="BH78" i="7"/>
  <c r="BK78" i="7"/>
  <c r="BN78" i="7"/>
  <c r="BQ78" i="7"/>
  <c r="BT78" i="7"/>
  <c r="BW78" i="7"/>
  <c r="BZ78" i="7"/>
  <c r="CC78" i="7"/>
  <c r="CF78" i="7"/>
  <c r="CI78" i="7"/>
  <c r="CL78" i="7"/>
  <c r="CO78" i="7"/>
  <c r="CR78" i="7"/>
  <c r="U78" i="7"/>
  <c r="O79" i="7"/>
  <c r="R79" i="7"/>
  <c r="X79" i="7"/>
  <c r="AA79" i="7"/>
  <c r="AD79" i="7"/>
  <c r="AG79" i="7"/>
  <c r="AJ79" i="7"/>
  <c r="AM79" i="7"/>
  <c r="AP79" i="7"/>
  <c r="AS79" i="7"/>
  <c r="AV79" i="7"/>
  <c r="AY79" i="7"/>
  <c r="BB79" i="7"/>
  <c r="BE79" i="7"/>
  <c r="BH79" i="7"/>
  <c r="BK79" i="7"/>
  <c r="BN79" i="7"/>
  <c r="BQ79" i="7"/>
  <c r="BT79" i="7"/>
  <c r="BW79" i="7"/>
  <c r="BZ79" i="7"/>
  <c r="CC79" i="7"/>
  <c r="CF79" i="7"/>
  <c r="CI79" i="7"/>
  <c r="CL79" i="7"/>
  <c r="CO79" i="7"/>
  <c r="CR79" i="7"/>
  <c r="U79" i="7"/>
  <c r="O80" i="7"/>
  <c r="R80" i="7"/>
  <c r="X80" i="7"/>
  <c r="AA80" i="7"/>
  <c r="AD80" i="7"/>
  <c r="AG80" i="7"/>
  <c r="AJ80" i="7"/>
  <c r="AM80" i="7"/>
  <c r="AP80" i="7"/>
  <c r="AS80" i="7"/>
  <c r="AV80" i="7"/>
  <c r="AY80" i="7"/>
  <c r="BB80" i="7"/>
  <c r="BE80" i="7"/>
  <c r="BH80" i="7"/>
  <c r="BK80" i="7"/>
  <c r="BN80" i="7"/>
  <c r="BQ80" i="7"/>
  <c r="BT80" i="7"/>
  <c r="BW80" i="7"/>
  <c r="BZ80" i="7"/>
  <c r="CC80" i="7"/>
  <c r="CF80" i="7"/>
  <c r="CI80" i="7"/>
  <c r="CL80" i="7"/>
  <c r="CO80" i="7"/>
  <c r="CR80" i="7"/>
  <c r="U80" i="7"/>
  <c r="O81" i="7"/>
  <c r="R81" i="7"/>
  <c r="X81" i="7"/>
  <c r="AA81" i="7"/>
  <c r="AD81" i="7"/>
  <c r="AG81" i="7"/>
  <c r="AJ81" i="7"/>
  <c r="AM81" i="7"/>
  <c r="AP81" i="7"/>
  <c r="AS81" i="7"/>
  <c r="AV81" i="7"/>
  <c r="AY81" i="7"/>
  <c r="BB81" i="7"/>
  <c r="BE81" i="7"/>
  <c r="BH81" i="7"/>
  <c r="BK81" i="7"/>
  <c r="BN81" i="7"/>
  <c r="BQ81" i="7"/>
  <c r="BT81" i="7"/>
  <c r="BW81" i="7"/>
  <c r="BZ81" i="7"/>
  <c r="CC81" i="7"/>
  <c r="CF81" i="7"/>
  <c r="CI81" i="7"/>
  <c r="CL81" i="7"/>
  <c r="CO81" i="7"/>
  <c r="CR81" i="7"/>
  <c r="U81" i="7"/>
  <c r="O82" i="7"/>
  <c r="R82" i="7"/>
  <c r="X82" i="7"/>
  <c r="AA82" i="7"/>
  <c r="AD82" i="7"/>
  <c r="AG82" i="7"/>
  <c r="AJ82" i="7"/>
  <c r="AM82" i="7"/>
  <c r="AP82" i="7"/>
  <c r="AS82" i="7"/>
  <c r="AV82" i="7"/>
  <c r="AY82" i="7"/>
  <c r="BB82" i="7"/>
  <c r="BE82" i="7"/>
  <c r="BH82" i="7"/>
  <c r="BK82" i="7"/>
  <c r="BN82" i="7"/>
  <c r="BQ82" i="7"/>
  <c r="BT82" i="7"/>
  <c r="BW82" i="7"/>
  <c r="BZ82" i="7"/>
  <c r="CC82" i="7"/>
  <c r="CF82" i="7"/>
  <c r="CI82" i="7"/>
  <c r="CL82" i="7"/>
  <c r="CO82" i="7"/>
  <c r="CR82" i="7"/>
  <c r="U82" i="7"/>
  <c r="O83" i="7"/>
  <c r="R83" i="7"/>
  <c r="X83" i="7"/>
  <c r="AA83" i="7"/>
  <c r="AD83" i="7"/>
  <c r="AG83" i="7"/>
  <c r="AJ83" i="7"/>
  <c r="AM83" i="7"/>
  <c r="AP83" i="7"/>
  <c r="AS83" i="7"/>
  <c r="AV83" i="7"/>
  <c r="AY83" i="7"/>
  <c r="BB83" i="7"/>
  <c r="BE83" i="7"/>
  <c r="BH83" i="7"/>
  <c r="BK83" i="7"/>
  <c r="BN83" i="7"/>
  <c r="BQ83" i="7"/>
  <c r="BT83" i="7"/>
  <c r="BW83" i="7"/>
  <c r="BZ83" i="7"/>
  <c r="CC83" i="7"/>
  <c r="CF83" i="7"/>
  <c r="CI83" i="7"/>
  <c r="CL83" i="7"/>
  <c r="CO83" i="7"/>
  <c r="CR83" i="7"/>
  <c r="U83" i="7"/>
  <c r="O84" i="7"/>
  <c r="R84" i="7"/>
  <c r="X84" i="7"/>
  <c r="AA84" i="7"/>
  <c r="AD84" i="7"/>
  <c r="AG84" i="7"/>
  <c r="AJ84" i="7"/>
  <c r="AM84" i="7"/>
  <c r="AP84" i="7"/>
  <c r="AS84" i="7"/>
  <c r="AV84" i="7"/>
  <c r="AY84" i="7"/>
  <c r="BB84" i="7"/>
  <c r="BE84" i="7"/>
  <c r="BH84" i="7"/>
  <c r="BK84" i="7"/>
  <c r="BN84" i="7"/>
  <c r="BQ84" i="7"/>
  <c r="BT84" i="7"/>
  <c r="BW84" i="7"/>
  <c r="BZ84" i="7"/>
  <c r="CC84" i="7"/>
  <c r="CF84" i="7"/>
  <c r="CI84" i="7"/>
  <c r="CL84" i="7"/>
  <c r="CO84" i="7"/>
  <c r="CR84" i="7"/>
  <c r="U84" i="7"/>
  <c r="O85" i="7"/>
  <c r="R85" i="7"/>
  <c r="X85" i="7"/>
  <c r="AA85" i="7"/>
  <c r="AD85" i="7"/>
  <c r="AG85" i="7"/>
  <c r="AJ85" i="7"/>
  <c r="AM85" i="7"/>
  <c r="AP85" i="7"/>
  <c r="AS85" i="7"/>
  <c r="AV85" i="7"/>
  <c r="AY85" i="7"/>
  <c r="BB85" i="7"/>
  <c r="BE85" i="7"/>
  <c r="BH85" i="7"/>
  <c r="BK85" i="7"/>
  <c r="BN85" i="7"/>
  <c r="BQ85" i="7"/>
  <c r="BT85" i="7"/>
  <c r="BW85" i="7"/>
  <c r="BZ85" i="7"/>
  <c r="CC85" i="7"/>
  <c r="CF85" i="7"/>
  <c r="CI85" i="7"/>
  <c r="CL85" i="7"/>
  <c r="CO85" i="7"/>
  <c r="CR85" i="7"/>
  <c r="U85" i="7"/>
  <c r="O86" i="7"/>
  <c r="R86" i="7"/>
  <c r="X86" i="7"/>
  <c r="AA86" i="7"/>
  <c r="AD86" i="7"/>
  <c r="AG86" i="7"/>
  <c r="AJ86" i="7"/>
  <c r="AM86" i="7"/>
  <c r="AP86" i="7"/>
  <c r="AS86" i="7"/>
  <c r="AV86" i="7"/>
  <c r="AY86" i="7"/>
  <c r="BB86" i="7"/>
  <c r="BE86" i="7"/>
  <c r="BH86" i="7"/>
  <c r="BK86" i="7"/>
  <c r="BN86" i="7"/>
  <c r="BQ86" i="7"/>
  <c r="BT86" i="7"/>
  <c r="BW86" i="7"/>
  <c r="BZ86" i="7"/>
  <c r="CC86" i="7"/>
  <c r="CF86" i="7"/>
  <c r="CI86" i="7"/>
  <c r="CL86" i="7"/>
  <c r="CO86" i="7"/>
  <c r="CR86" i="7"/>
  <c r="U86" i="7"/>
  <c r="O87" i="7"/>
  <c r="R87" i="7"/>
  <c r="X87" i="7"/>
  <c r="AA87" i="7"/>
  <c r="AD87" i="7"/>
  <c r="AG87" i="7"/>
  <c r="AJ87" i="7"/>
  <c r="AM87" i="7"/>
  <c r="AP87" i="7"/>
  <c r="AS87" i="7"/>
  <c r="AV87" i="7"/>
  <c r="AY87" i="7"/>
  <c r="BB87" i="7"/>
  <c r="BE87" i="7"/>
  <c r="BH87" i="7"/>
  <c r="BK87" i="7"/>
  <c r="BN87" i="7"/>
  <c r="BQ87" i="7"/>
  <c r="BT87" i="7"/>
  <c r="BW87" i="7"/>
  <c r="BZ87" i="7"/>
  <c r="CC87" i="7"/>
  <c r="CF87" i="7"/>
  <c r="CI87" i="7"/>
  <c r="CL87" i="7"/>
  <c r="CO87" i="7"/>
  <c r="CR87" i="7"/>
  <c r="U87" i="7"/>
  <c r="O88" i="7"/>
  <c r="R88" i="7"/>
  <c r="X88" i="7"/>
  <c r="AA88" i="7"/>
  <c r="AD88" i="7"/>
  <c r="AG88" i="7"/>
  <c r="AJ88" i="7"/>
  <c r="AM88" i="7"/>
  <c r="AP88" i="7"/>
  <c r="AS88" i="7"/>
  <c r="AV88" i="7"/>
  <c r="AY88" i="7"/>
  <c r="BB88" i="7"/>
  <c r="BE88" i="7"/>
  <c r="BH88" i="7"/>
  <c r="BK88" i="7"/>
  <c r="BN88" i="7"/>
  <c r="BQ88" i="7"/>
  <c r="BT88" i="7"/>
  <c r="BW88" i="7"/>
  <c r="BZ88" i="7"/>
  <c r="CC88" i="7"/>
  <c r="CF88" i="7"/>
  <c r="CI88" i="7"/>
  <c r="CL88" i="7"/>
  <c r="CO88" i="7"/>
  <c r="CR88" i="7"/>
  <c r="U88" i="7"/>
  <c r="O89" i="7"/>
  <c r="R89" i="7"/>
  <c r="X89" i="7"/>
  <c r="AA89" i="7"/>
  <c r="AD89" i="7"/>
  <c r="AG89" i="7"/>
  <c r="AJ89" i="7"/>
  <c r="AM89" i="7"/>
  <c r="AP89" i="7"/>
  <c r="AS89" i="7"/>
  <c r="AV89" i="7"/>
  <c r="AY89" i="7"/>
  <c r="BB89" i="7"/>
  <c r="BE89" i="7"/>
  <c r="BH89" i="7"/>
  <c r="BK89" i="7"/>
  <c r="BN89" i="7"/>
  <c r="BQ89" i="7"/>
  <c r="BT89" i="7"/>
  <c r="BW89" i="7"/>
  <c r="BZ89" i="7"/>
  <c r="CC89" i="7"/>
  <c r="CF89" i="7"/>
  <c r="CI89" i="7"/>
  <c r="CL89" i="7"/>
  <c r="CO89" i="7"/>
  <c r="CR89" i="7"/>
  <c r="U89" i="7"/>
  <c r="O90" i="7"/>
  <c r="R90" i="7"/>
  <c r="X90" i="7"/>
  <c r="AA90" i="7"/>
  <c r="AD90" i="7"/>
  <c r="AG90" i="7"/>
  <c r="AJ90" i="7"/>
  <c r="AM90" i="7"/>
  <c r="AP90" i="7"/>
  <c r="AS90" i="7"/>
  <c r="AV90" i="7"/>
  <c r="AY90" i="7"/>
  <c r="BB90" i="7"/>
  <c r="BE90" i="7"/>
  <c r="BH90" i="7"/>
  <c r="BK90" i="7"/>
  <c r="BN90" i="7"/>
  <c r="BQ90" i="7"/>
  <c r="BT90" i="7"/>
  <c r="BW90" i="7"/>
  <c r="BZ90" i="7"/>
  <c r="CC90" i="7"/>
  <c r="CF90" i="7"/>
  <c r="CI90" i="7"/>
  <c r="CL90" i="7"/>
  <c r="CO90" i="7"/>
  <c r="CR90" i="7"/>
  <c r="U90" i="7"/>
  <c r="O91" i="7"/>
  <c r="R91" i="7"/>
  <c r="X91" i="7"/>
  <c r="AA91" i="7"/>
  <c r="AD91" i="7"/>
  <c r="AG91" i="7"/>
  <c r="AJ91" i="7"/>
  <c r="AM91" i="7"/>
  <c r="AP91" i="7"/>
  <c r="AS91" i="7"/>
  <c r="AV91" i="7"/>
  <c r="AY91" i="7"/>
  <c r="BB91" i="7"/>
  <c r="BE91" i="7"/>
  <c r="BH91" i="7"/>
  <c r="BK91" i="7"/>
  <c r="BN91" i="7"/>
  <c r="BQ91" i="7"/>
  <c r="BT91" i="7"/>
  <c r="BW91" i="7"/>
  <c r="BZ91" i="7"/>
  <c r="CC91" i="7"/>
  <c r="CF91" i="7"/>
  <c r="CI91" i="7"/>
  <c r="CL91" i="7"/>
  <c r="CO91" i="7"/>
  <c r="CR91" i="7"/>
  <c r="U91" i="7"/>
  <c r="O92" i="7"/>
  <c r="R92" i="7"/>
  <c r="X92" i="7"/>
  <c r="AA92" i="7"/>
  <c r="AD92" i="7"/>
  <c r="AG92" i="7"/>
  <c r="AJ92" i="7"/>
  <c r="AM92" i="7"/>
  <c r="AP92" i="7"/>
  <c r="AS92" i="7"/>
  <c r="AV92" i="7"/>
  <c r="AY92" i="7"/>
  <c r="BB92" i="7"/>
  <c r="BE92" i="7"/>
  <c r="BH92" i="7"/>
  <c r="BK92" i="7"/>
  <c r="BN92" i="7"/>
  <c r="BQ92" i="7"/>
  <c r="BT92" i="7"/>
  <c r="BW92" i="7"/>
  <c r="BZ92" i="7"/>
  <c r="CC92" i="7"/>
  <c r="CF92" i="7"/>
  <c r="CI92" i="7"/>
  <c r="CL92" i="7"/>
  <c r="CO92" i="7"/>
  <c r="CR92" i="7"/>
  <c r="U92" i="7"/>
  <c r="O93" i="7"/>
  <c r="R93" i="7"/>
  <c r="X93" i="7"/>
  <c r="AA93" i="7"/>
  <c r="AD93" i="7"/>
  <c r="AG93" i="7"/>
  <c r="AJ93" i="7"/>
  <c r="AM93" i="7"/>
  <c r="AP93" i="7"/>
  <c r="AS93" i="7"/>
  <c r="AV93" i="7"/>
  <c r="AY93" i="7"/>
  <c r="BB93" i="7"/>
  <c r="BE93" i="7"/>
  <c r="BH93" i="7"/>
  <c r="BK93" i="7"/>
  <c r="BN93" i="7"/>
  <c r="BQ93" i="7"/>
  <c r="BT93" i="7"/>
  <c r="BW93" i="7"/>
  <c r="BZ93" i="7"/>
  <c r="CC93" i="7"/>
  <c r="CF93" i="7"/>
  <c r="CI93" i="7"/>
  <c r="CL93" i="7"/>
  <c r="CO93" i="7"/>
  <c r="CR93" i="7"/>
  <c r="U93" i="7"/>
  <c r="O94" i="7"/>
  <c r="R94" i="7"/>
  <c r="X94" i="7"/>
  <c r="AA94" i="7"/>
  <c r="AD94" i="7"/>
  <c r="AG94" i="7"/>
  <c r="AJ94" i="7"/>
  <c r="AM94" i="7"/>
  <c r="AP94" i="7"/>
  <c r="AS94" i="7"/>
  <c r="AV94" i="7"/>
  <c r="AY94" i="7"/>
  <c r="BB94" i="7"/>
  <c r="BE94" i="7"/>
  <c r="BH94" i="7"/>
  <c r="BK94" i="7"/>
  <c r="BN94" i="7"/>
  <c r="BQ94" i="7"/>
  <c r="BT94" i="7"/>
  <c r="BW94" i="7"/>
  <c r="BZ94" i="7"/>
  <c r="CC94" i="7"/>
  <c r="CF94" i="7"/>
  <c r="CI94" i="7"/>
  <c r="CL94" i="7"/>
  <c r="CO94" i="7"/>
  <c r="CR94" i="7"/>
  <c r="U94" i="7"/>
  <c r="O95" i="7"/>
  <c r="R95" i="7"/>
  <c r="X95" i="7"/>
  <c r="AA95" i="7"/>
  <c r="AD95" i="7"/>
  <c r="AG95" i="7"/>
  <c r="AJ95" i="7"/>
  <c r="AM95" i="7"/>
  <c r="AP95" i="7"/>
  <c r="AS95" i="7"/>
  <c r="AV95" i="7"/>
  <c r="AY95" i="7"/>
  <c r="BB95" i="7"/>
  <c r="BE95" i="7"/>
  <c r="BH95" i="7"/>
  <c r="BK95" i="7"/>
  <c r="BN95" i="7"/>
  <c r="BQ95" i="7"/>
  <c r="BT95" i="7"/>
  <c r="BW95" i="7"/>
  <c r="BZ95" i="7"/>
  <c r="CC95" i="7"/>
  <c r="CF95" i="7"/>
  <c r="CI95" i="7"/>
  <c r="CL95" i="7"/>
  <c r="CO95" i="7"/>
  <c r="CR95" i="7"/>
  <c r="U95" i="7"/>
  <c r="O96" i="7"/>
  <c r="R96" i="7"/>
  <c r="X96" i="7"/>
  <c r="AA96" i="7"/>
  <c r="AD96" i="7"/>
  <c r="AG96" i="7"/>
  <c r="AJ96" i="7"/>
  <c r="AM96" i="7"/>
  <c r="AP96" i="7"/>
  <c r="AS96" i="7"/>
  <c r="AV96" i="7"/>
  <c r="AY96" i="7"/>
  <c r="BB96" i="7"/>
  <c r="BE96" i="7"/>
  <c r="BH96" i="7"/>
  <c r="BK96" i="7"/>
  <c r="BN96" i="7"/>
  <c r="BQ96" i="7"/>
  <c r="BT96" i="7"/>
  <c r="BW96" i="7"/>
  <c r="BZ96" i="7"/>
  <c r="CC96" i="7"/>
  <c r="CF96" i="7"/>
  <c r="CI96" i="7"/>
  <c r="CL96" i="7"/>
  <c r="CO96" i="7"/>
  <c r="CR96" i="7"/>
  <c r="U96" i="7"/>
  <c r="O97" i="7"/>
  <c r="R97" i="7"/>
  <c r="X97" i="7"/>
  <c r="AA97" i="7"/>
  <c r="AD97" i="7"/>
  <c r="AG97" i="7"/>
  <c r="AJ97" i="7"/>
  <c r="AM97" i="7"/>
  <c r="AP97" i="7"/>
  <c r="AS97" i="7"/>
  <c r="AV97" i="7"/>
  <c r="AY97" i="7"/>
  <c r="BB97" i="7"/>
  <c r="BE97" i="7"/>
  <c r="BH97" i="7"/>
  <c r="BK97" i="7"/>
  <c r="BN97" i="7"/>
  <c r="BQ97" i="7"/>
  <c r="BT97" i="7"/>
  <c r="BW97" i="7"/>
  <c r="BZ97" i="7"/>
  <c r="CC97" i="7"/>
  <c r="CF97" i="7"/>
  <c r="CI97" i="7"/>
  <c r="CL97" i="7"/>
  <c r="CO97" i="7"/>
  <c r="CR97" i="7"/>
  <c r="U97" i="7"/>
  <c r="O98" i="7"/>
  <c r="R98" i="7"/>
  <c r="X98" i="7"/>
  <c r="AA98" i="7"/>
  <c r="AD98" i="7"/>
  <c r="AG98" i="7"/>
  <c r="AJ98" i="7"/>
  <c r="AM98" i="7"/>
  <c r="AP98" i="7"/>
  <c r="AS98" i="7"/>
  <c r="AV98" i="7"/>
  <c r="AY98" i="7"/>
  <c r="BB98" i="7"/>
  <c r="BE98" i="7"/>
  <c r="BH98" i="7"/>
  <c r="BK98" i="7"/>
  <c r="BN98" i="7"/>
  <c r="BQ98" i="7"/>
  <c r="BT98" i="7"/>
  <c r="BW98" i="7"/>
  <c r="BZ98" i="7"/>
  <c r="CC98" i="7"/>
  <c r="CF98" i="7"/>
  <c r="CI98" i="7"/>
  <c r="CL98" i="7"/>
  <c r="CO98" i="7"/>
  <c r="CR98" i="7"/>
  <c r="U98" i="7"/>
  <c r="O99" i="7"/>
  <c r="R99" i="7"/>
  <c r="X99" i="7"/>
  <c r="AA99" i="7"/>
  <c r="AD99" i="7"/>
  <c r="AG99" i="7"/>
  <c r="AJ99" i="7"/>
  <c r="AM99" i="7"/>
  <c r="AP99" i="7"/>
  <c r="AS99" i="7"/>
  <c r="AV99" i="7"/>
  <c r="AY99" i="7"/>
  <c r="BB99" i="7"/>
  <c r="BE99" i="7"/>
  <c r="BH99" i="7"/>
  <c r="BK99" i="7"/>
  <c r="BN99" i="7"/>
  <c r="BQ99" i="7"/>
  <c r="BT99" i="7"/>
  <c r="BW99" i="7"/>
  <c r="BZ99" i="7"/>
  <c r="CC99" i="7"/>
  <c r="CF99" i="7"/>
  <c r="CI99" i="7"/>
  <c r="CL99" i="7"/>
  <c r="CO99" i="7"/>
  <c r="CR99" i="7"/>
  <c r="U99" i="7"/>
  <c r="O100" i="7"/>
  <c r="R100" i="7"/>
  <c r="X100" i="7"/>
  <c r="AA100" i="7"/>
  <c r="AD100" i="7"/>
  <c r="AG100" i="7"/>
  <c r="AJ100" i="7"/>
  <c r="AM100" i="7"/>
  <c r="AP100" i="7"/>
  <c r="AS100" i="7"/>
  <c r="AV100" i="7"/>
  <c r="AY100" i="7"/>
  <c r="BB100" i="7"/>
  <c r="BE100" i="7"/>
  <c r="BH100" i="7"/>
  <c r="BK100" i="7"/>
  <c r="BN100" i="7"/>
  <c r="BQ100" i="7"/>
  <c r="BT100" i="7"/>
  <c r="BW100" i="7"/>
  <c r="BZ100" i="7"/>
  <c r="CC100" i="7"/>
  <c r="CF100" i="7"/>
  <c r="CI100" i="7"/>
  <c r="CL100" i="7"/>
  <c r="CO100" i="7"/>
  <c r="CR100" i="7"/>
  <c r="U100" i="7"/>
  <c r="O101" i="7"/>
  <c r="R101" i="7"/>
  <c r="X101" i="7"/>
  <c r="AA101" i="7"/>
  <c r="AD101" i="7"/>
  <c r="AG101" i="7"/>
  <c r="AJ101" i="7"/>
  <c r="AM101" i="7"/>
  <c r="AP101" i="7"/>
  <c r="AS101" i="7"/>
  <c r="AV101" i="7"/>
  <c r="AY101" i="7"/>
  <c r="BB101" i="7"/>
  <c r="BE101" i="7"/>
  <c r="BH101" i="7"/>
  <c r="BK101" i="7"/>
  <c r="BN101" i="7"/>
  <c r="BQ101" i="7"/>
  <c r="BT101" i="7"/>
  <c r="BW101" i="7"/>
  <c r="BZ101" i="7"/>
  <c r="CC101" i="7"/>
  <c r="CF101" i="7"/>
  <c r="CI101" i="7"/>
  <c r="CL101" i="7"/>
  <c r="CO101" i="7"/>
  <c r="CR101" i="7"/>
  <c r="U101" i="7"/>
  <c r="O102" i="7"/>
  <c r="R102" i="7"/>
  <c r="X102" i="7"/>
  <c r="AA102" i="7"/>
  <c r="AD102" i="7"/>
  <c r="AG102" i="7"/>
  <c r="AJ102" i="7"/>
  <c r="AM102" i="7"/>
  <c r="AP102" i="7"/>
  <c r="AS102" i="7"/>
  <c r="AV102" i="7"/>
  <c r="AY102" i="7"/>
  <c r="BB102" i="7"/>
  <c r="BE102" i="7"/>
  <c r="BH102" i="7"/>
  <c r="BK102" i="7"/>
  <c r="BN102" i="7"/>
  <c r="BQ102" i="7"/>
  <c r="BT102" i="7"/>
  <c r="BW102" i="7"/>
  <c r="BZ102" i="7"/>
  <c r="CC102" i="7"/>
  <c r="CF102" i="7"/>
  <c r="CI102" i="7"/>
  <c r="CL102" i="7"/>
  <c r="CO102" i="7"/>
  <c r="CR102" i="7"/>
  <c r="U102" i="7"/>
  <c r="O103" i="7"/>
  <c r="R103" i="7"/>
  <c r="X103" i="7"/>
  <c r="AA103" i="7"/>
  <c r="AD103" i="7"/>
  <c r="AG103" i="7"/>
  <c r="AJ103" i="7"/>
  <c r="AM103" i="7"/>
  <c r="AP103" i="7"/>
  <c r="AS103" i="7"/>
  <c r="AV103" i="7"/>
  <c r="AY103" i="7"/>
  <c r="BB103" i="7"/>
  <c r="BE103" i="7"/>
  <c r="BH103" i="7"/>
  <c r="BK103" i="7"/>
  <c r="BN103" i="7"/>
  <c r="BQ103" i="7"/>
  <c r="BT103" i="7"/>
  <c r="BW103" i="7"/>
  <c r="BZ103" i="7"/>
  <c r="CC103" i="7"/>
  <c r="CF103" i="7"/>
  <c r="CI103" i="7"/>
  <c r="CL103" i="7"/>
  <c r="CO103" i="7"/>
  <c r="CR103" i="7"/>
  <c r="U103" i="7"/>
  <c r="O104" i="7"/>
  <c r="R104" i="7"/>
  <c r="X104" i="7"/>
  <c r="AA104" i="7"/>
  <c r="AD104" i="7"/>
  <c r="AG104" i="7"/>
  <c r="AJ104" i="7"/>
  <c r="AM104" i="7"/>
  <c r="AP104" i="7"/>
  <c r="AS104" i="7"/>
  <c r="AV104" i="7"/>
  <c r="AY104" i="7"/>
  <c r="BB104" i="7"/>
  <c r="BE104" i="7"/>
  <c r="BH104" i="7"/>
  <c r="BK104" i="7"/>
  <c r="BN104" i="7"/>
  <c r="BQ104" i="7"/>
  <c r="BT104" i="7"/>
  <c r="BW104" i="7"/>
  <c r="BZ104" i="7"/>
  <c r="CC104" i="7"/>
  <c r="CF104" i="7"/>
  <c r="CI104" i="7"/>
  <c r="CL104" i="7"/>
  <c r="CO104" i="7"/>
  <c r="CR104" i="7"/>
  <c r="U104" i="7"/>
  <c r="O105" i="7"/>
  <c r="R105" i="7"/>
  <c r="X105" i="7"/>
  <c r="AA105" i="7"/>
  <c r="AD105" i="7"/>
  <c r="AG105" i="7"/>
  <c r="AJ105" i="7"/>
  <c r="AM105" i="7"/>
  <c r="AP105" i="7"/>
  <c r="AS105" i="7"/>
  <c r="AV105" i="7"/>
  <c r="AY105" i="7"/>
  <c r="BB105" i="7"/>
  <c r="BE105" i="7"/>
  <c r="BH105" i="7"/>
  <c r="BK105" i="7"/>
  <c r="BN105" i="7"/>
  <c r="BQ105" i="7"/>
  <c r="BT105" i="7"/>
  <c r="BW105" i="7"/>
  <c r="BZ105" i="7"/>
  <c r="CC105" i="7"/>
  <c r="CF105" i="7"/>
  <c r="CI105" i="7"/>
  <c r="CL105" i="7"/>
  <c r="CO105" i="7"/>
  <c r="CR105" i="7"/>
  <c r="U105" i="7"/>
  <c r="O106" i="7"/>
  <c r="R106" i="7"/>
  <c r="X106" i="7"/>
  <c r="AA106" i="7"/>
  <c r="AD106" i="7"/>
  <c r="AG106" i="7"/>
  <c r="AJ106" i="7"/>
  <c r="AM106" i="7"/>
  <c r="AP106" i="7"/>
  <c r="AS106" i="7"/>
  <c r="AV106" i="7"/>
  <c r="AY106" i="7"/>
  <c r="BB106" i="7"/>
  <c r="BE106" i="7"/>
  <c r="BH106" i="7"/>
  <c r="BK106" i="7"/>
  <c r="BN106" i="7"/>
  <c r="BQ106" i="7"/>
  <c r="BT106" i="7"/>
  <c r="BW106" i="7"/>
  <c r="BZ106" i="7"/>
  <c r="CC106" i="7"/>
  <c r="CF106" i="7"/>
  <c r="CI106" i="7"/>
  <c r="CL106" i="7"/>
  <c r="CO106" i="7"/>
  <c r="CR106" i="7"/>
  <c r="U106" i="7"/>
  <c r="O107" i="7"/>
  <c r="R107" i="7"/>
  <c r="X107" i="7"/>
  <c r="AA107" i="7"/>
  <c r="AD107" i="7"/>
  <c r="AG107" i="7"/>
  <c r="AJ107" i="7"/>
  <c r="AM107" i="7"/>
  <c r="AP107" i="7"/>
  <c r="AS107" i="7"/>
  <c r="AV107" i="7"/>
  <c r="AY107" i="7"/>
  <c r="BB107" i="7"/>
  <c r="BE107" i="7"/>
  <c r="BH107" i="7"/>
  <c r="BK107" i="7"/>
  <c r="BN107" i="7"/>
  <c r="BQ107" i="7"/>
  <c r="BT107" i="7"/>
  <c r="BW107" i="7"/>
  <c r="BZ107" i="7"/>
  <c r="CC107" i="7"/>
  <c r="CF107" i="7"/>
  <c r="CI107" i="7"/>
  <c r="CL107" i="7"/>
  <c r="CO107" i="7"/>
  <c r="CR107" i="7"/>
  <c r="U107" i="7"/>
  <c r="O108" i="7"/>
  <c r="R108" i="7"/>
  <c r="X108" i="7"/>
  <c r="AA108" i="7"/>
  <c r="AD108" i="7"/>
  <c r="AG108" i="7"/>
  <c r="AJ108" i="7"/>
  <c r="AM108" i="7"/>
  <c r="AP108" i="7"/>
  <c r="AS108" i="7"/>
  <c r="AV108" i="7"/>
  <c r="AY108" i="7"/>
  <c r="BB108" i="7"/>
  <c r="BE108" i="7"/>
  <c r="BH108" i="7"/>
  <c r="BK108" i="7"/>
  <c r="BN108" i="7"/>
  <c r="BQ108" i="7"/>
  <c r="BT108" i="7"/>
  <c r="BW108" i="7"/>
  <c r="BZ108" i="7"/>
  <c r="CC108" i="7"/>
  <c r="CF108" i="7"/>
  <c r="CI108" i="7"/>
  <c r="CL108" i="7"/>
  <c r="CO108" i="7"/>
  <c r="CR108" i="7"/>
  <c r="U108" i="7"/>
  <c r="O109" i="7"/>
  <c r="R109" i="7"/>
  <c r="X109" i="7"/>
  <c r="AA109" i="7"/>
  <c r="AD109" i="7"/>
  <c r="AG109" i="7"/>
  <c r="AJ109" i="7"/>
  <c r="AM109" i="7"/>
  <c r="AP109" i="7"/>
  <c r="AS109" i="7"/>
  <c r="AV109" i="7"/>
  <c r="AY109" i="7"/>
  <c r="BB109" i="7"/>
  <c r="BE109" i="7"/>
  <c r="BH109" i="7"/>
  <c r="BK109" i="7"/>
  <c r="BN109" i="7"/>
  <c r="BQ109" i="7"/>
  <c r="BT109" i="7"/>
  <c r="BW109" i="7"/>
  <c r="BZ109" i="7"/>
  <c r="CC109" i="7"/>
  <c r="CF109" i="7"/>
  <c r="CI109" i="7"/>
  <c r="CL109" i="7"/>
  <c r="CO109" i="7"/>
  <c r="CR109" i="7"/>
  <c r="U109" i="7"/>
  <c r="O110" i="7"/>
  <c r="R110" i="7"/>
  <c r="X110" i="7"/>
  <c r="AA110" i="7"/>
  <c r="AD110" i="7"/>
  <c r="AG110" i="7"/>
  <c r="AJ110" i="7"/>
  <c r="AM110" i="7"/>
  <c r="AP110" i="7"/>
  <c r="AS110" i="7"/>
  <c r="AV110" i="7"/>
  <c r="AY110" i="7"/>
  <c r="BB110" i="7"/>
  <c r="BE110" i="7"/>
  <c r="BH110" i="7"/>
  <c r="BK110" i="7"/>
  <c r="BN110" i="7"/>
  <c r="BQ110" i="7"/>
  <c r="BT110" i="7"/>
  <c r="BW110" i="7"/>
  <c r="BZ110" i="7"/>
  <c r="CC110" i="7"/>
  <c r="CF110" i="7"/>
  <c r="CI110" i="7"/>
  <c r="CL110" i="7"/>
  <c r="CO110" i="7"/>
  <c r="CR110" i="7"/>
  <c r="U110" i="7"/>
  <c r="O111" i="7"/>
  <c r="R111" i="7"/>
  <c r="X111" i="7"/>
  <c r="AA111" i="7"/>
  <c r="AD111" i="7"/>
  <c r="AG111" i="7"/>
  <c r="AJ111" i="7"/>
  <c r="AM111" i="7"/>
  <c r="AP111" i="7"/>
  <c r="AS111" i="7"/>
  <c r="AV111" i="7"/>
  <c r="AY111" i="7"/>
  <c r="BB111" i="7"/>
  <c r="BE111" i="7"/>
  <c r="BH111" i="7"/>
  <c r="BK111" i="7"/>
  <c r="BN111" i="7"/>
  <c r="BQ111" i="7"/>
  <c r="BT111" i="7"/>
  <c r="BW111" i="7"/>
  <c r="BZ111" i="7"/>
  <c r="CC111" i="7"/>
  <c r="CF111" i="7"/>
  <c r="CI111" i="7"/>
  <c r="CL111" i="7"/>
  <c r="CO111" i="7"/>
  <c r="CR111" i="7"/>
  <c r="U111" i="7"/>
  <c r="O112" i="7"/>
  <c r="R112" i="7"/>
  <c r="X112" i="7"/>
  <c r="AA112" i="7"/>
  <c r="AD112" i="7"/>
  <c r="AG112" i="7"/>
  <c r="AJ112" i="7"/>
  <c r="AM112" i="7"/>
  <c r="AP112" i="7"/>
  <c r="AS112" i="7"/>
  <c r="AV112" i="7"/>
  <c r="AY112" i="7"/>
  <c r="BB112" i="7"/>
  <c r="BE112" i="7"/>
  <c r="BH112" i="7"/>
  <c r="BK112" i="7"/>
  <c r="BN112" i="7"/>
  <c r="BQ112" i="7"/>
  <c r="BT112" i="7"/>
  <c r="BW112" i="7"/>
  <c r="BZ112" i="7"/>
  <c r="CC112" i="7"/>
  <c r="CF112" i="7"/>
  <c r="CI112" i="7"/>
  <c r="CL112" i="7"/>
  <c r="CO112" i="7"/>
  <c r="CR112" i="7"/>
  <c r="U112" i="7"/>
  <c r="O113" i="7"/>
  <c r="R113" i="7"/>
  <c r="X113" i="7"/>
  <c r="AA113" i="7"/>
  <c r="AD113" i="7"/>
  <c r="AG113" i="7"/>
  <c r="AJ113" i="7"/>
  <c r="AM113" i="7"/>
  <c r="AP113" i="7"/>
  <c r="AS113" i="7"/>
  <c r="AV113" i="7"/>
  <c r="AY113" i="7"/>
  <c r="BB113" i="7"/>
  <c r="BE113" i="7"/>
  <c r="BH113" i="7"/>
  <c r="BK113" i="7"/>
  <c r="BN113" i="7"/>
  <c r="BQ113" i="7"/>
  <c r="BT113" i="7"/>
  <c r="BW113" i="7"/>
  <c r="BZ113" i="7"/>
  <c r="CC113" i="7"/>
  <c r="CF113" i="7"/>
  <c r="CI113" i="7"/>
  <c r="CL113" i="7"/>
  <c r="CO113" i="7"/>
  <c r="CR113" i="7"/>
  <c r="U113" i="7"/>
  <c r="O114" i="7"/>
  <c r="R114" i="7"/>
  <c r="X114" i="7"/>
  <c r="AA114" i="7"/>
  <c r="AD114" i="7"/>
  <c r="AG114" i="7"/>
  <c r="AJ114" i="7"/>
  <c r="AM114" i="7"/>
  <c r="AP114" i="7"/>
  <c r="AS114" i="7"/>
  <c r="AV114" i="7"/>
  <c r="AY114" i="7"/>
  <c r="BB114" i="7"/>
  <c r="BE114" i="7"/>
  <c r="BH114" i="7"/>
  <c r="BK114" i="7"/>
  <c r="BN114" i="7"/>
  <c r="BQ114" i="7"/>
  <c r="BT114" i="7"/>
  <c r="BW114" i="7"/>
  <c r="BZ114" i="7"/>
  <c r="CC114" i="7"/>
  <c r="CF114" i="7"/>
  <c r="CI114" i="7"/>
  <c r="CL114" i="7"/>
  <c r="CO114" i="7"/>
  <c r="CR114" i="7"/>
  <c r="U114" i="7"/>
  <c r="O115" i="7"/>
  <c r="R115" i="7"/>
  <c r="X115" i="7"/>
  <c r="AA115" i="7"/>
  <c r="AD115" i="7"/>
  <c r="AG115" i="7"/>
  <c r="AJ115" i="7"/>
  <c r="AM115" i="7"/>
  <c r="AP115" i="7"/>
  <c r="AS115" i="7"/>
  <c r="AV115" i="7"/>
  <c r="AY115" i="7"/>
  <c r="BB115" i="7"/>
  <c r="BE115" i="7"/>
  <c r="BH115" i="7"/>
  <c r="BK115" i="7"/>
  <c r="BN115" i="7"/>
  <c r="BQ115" i="7"/>
  <c r="BT115" i="7"/>
  <c r="BW115" i="7"/>
  <c r="BZ115" i="7"/>
  <c r="CC115" i="7"/>
  <c r="CF115" i="7"/>
  <c r="CI115" i="7"/>
  <c r="CL115" i="7"/>
  <c r="CO115" i="7"/>
  <c r="CR115" i="7"/>
  <c r="U115" i="7"/>
  <c r="O116" i="7"/>
  <c r="R116" i="7"/>
  <c r="X116" i="7"/>
  <c r="AA116" i="7"/>
  <c r="AD116" i="7"/>
  <c r="AG116" i="7"/>
  <c r="AJ116" i="7"/>
  <c r="AM116" i="7"/>
  <c r="AP116" i="7"/>
  <c r="AS116" i="7"/>
  <c r="AV116" i="7"/>
  <c r="AY116" i="7"/>
  <c r="BB116" i="7"/>
  <c r="BE116" i="7"/>
  <c r="BH116" i="7"/>
  <c r="BK116" i="7"/>
  <c r="BN116" i="7"/>
  <c r="BQ116" i="7"/>
  <c r="BT116" i="7"/>
  <c r="BW116" i="7"/>
  <c r="BZ116" i="7"/>
  <c r="CC116" i="7"/>
  <c r="CF116" i="7"/>
  <c r="CI116" i="7"/>
  <c r="CL116" i="7"/>
  <c r="CO116" i="7"/>
  <c r="CR116" i="7"/>
  <c r="U116" i="7"/>
  <c r="O117" i="7"/>
  <c r="R117" i="7"/>
  <c r="X117" i="7"/>
  <c r="AA117" i="7"/>
  <c r="AD117" i="7"/>
  <c r="AG117" i="7"/>
  <c r="AJ117" i="7"/>
  <c r="AM117" i="7"/>
  <c r="AP117" i="7"/>
  <c r="AS117" i="7"/>
  <c r="AV117" i="7"/>
  <c r="AY117" i="7"/>
  <c r="BB117" i="7"/>
  <c r="BE117" i="7"/>
  <c r="BH117" i="7"/>
  <c r="BK117" i="7"/>
  <c r="BN117" i="7"/>
  <c r="BQ117" i="7"/>
  <c r="BT117" i="7"/>
  <c r="BW117" i="7"/>
  <c r="BZ117" i="7"/>
  <c r="CC117" i="7"/>
  <c r="CF117" i="7"/>
  <c r="CI117" i="7"/>
  <c r="CL117" i="7"/>
  <c r="CO117" i="7"/>
  <c r="CR117" i="7"/>
  <c r="U117" i="7"/>
  <c r="O118" i="7"/>
  <c r="R118" i="7"/>
  <c r="X118" i="7"/>
  <c r="AA118" i="7"/>
  <c r="AD118" i="7"/>
  <c r="AG118" i="7"/>
  <c r="AJ118" i="7"/>
  <c r="AM118" i="7"/>
  <c r="AP118" i="7"/>
  <c r="AS118" i="7"/>
  <c r="AV118" i="7"/>
  <c r="AY118" i="7"/>
  <c r="BB118" i="7"/>
  <c r="BE118" i="7"/>
  <c r="BH118" i="7"/>
  <c r="BK118" i="7"/>
  <c r="BN118" i="7"/>
  <c r="BQ118" i="7"/>
  <c r="BT118" i="7"/>
  <c r="BW118" i="7"/>
  <c r="BZ118" i="7"/>
  <c r="CC118" i="7"/>
  <c r="CF118" i="7"/>
  <c r="CI118" i="7"/>
  <c r="CL118" i="7"/>
  <c r="CO118" i="7"/>
  <c r="CR118" i="7"/>
  <c r="U118" i="7"/>
  <c r="O119" i="7"/>
  <c r="R119" i="7"/>
  <c r="X119" i="7"/>
  <c r="AA119" i="7"/>
  <c r="AD119" i="7"/>
  <c r="AG119" i="7"/>
  <c r="AJ119" i="7"/>
  <c r="AM119" i="7"/>
  <c r="AP119" i="7"/>
  <c r="AS119" i="7"/>
  <c r="AV119" i="7"/>
  <c r="AY119" i="7"/>
  <c r="BB119" i="7"/>
  <c r="BE119" i="7"/>
  <c r="BH119" i="7"/>
  <c r="BK119" i="7"/>
  <c r="BN119" i="7"/>
  <c r="BQ119" i="7"/>
  <c r="BT119" i="7"/>
  <c r="BW119" i="7"/>
  <c r="BZ119" i="7"/>
  <c r="CC119" i="7"/>
  <c r="CF119" i="7"/>
  <c r="CI119" i="7"/>
  <c r="CL119" i="7"/>
  <c r="CO119" i="7"/>
  <c r="CR119" i="7"/>
  <c r="U119" i="7"/>
  <c r="O120" i="7"/>
  <c r="R120" i="7"/>
  <c r="X120" i="7"/>
  <c r="AA120" i="7"/>
  <c r="AD120" i="7"/>
  <c r="AG120" i="7"/>
  <c r="AJ120" i="7"/>
  <c r="AM120" i="7"/>
  <c r="AP120" i="7"/>
  <c r="AS120" i="7"/>
  <c r="AV120" i="7"/>
  <c r="AY120" i="7"/>
  <c r="BB120" i="7"/>
  <c r="BE120" i="7"/>
  <c r="BH120" i="7"/>
  <c r="BK120" i="7"/>
  <c r="BN120" i="7"/>
  <c r="BQ120" i="7"/>
  <c r="BT120" i="7"/>
  <c r="BW120" i="7"/>
  <c r="BZ120" i="7"/>
  <c r="CC120" i="7"/>
  <c r="CF120" i="7"/>
  <c r="CI120" i="7"/>
  <c r="CL120" i="7"/>
  <c r="CO120" i="7"/>
  <c r="CR120" i="7"/>
  <c r="U120" i="7"/>
  <c r="O121" i="7"/>
  <c r="R121" i="7"/>
  <c r="X121" i="7"/>
  <c r="AA121" i="7"/>
  <c r="AD121" i="7"/>
  <c r="AG121" i="7"/>
  <c r="AJ121" i="7"/>
  <c r="AM121" i="7"/>
  <c r="AP121" i="7"/>
  <c r="AS121" i="7"/>
  <c r="AV121" i="7"/>
  <c r="AY121" i="7"/>
  <c r="BB121" i="7"/>
  <c r="BE121" i="7"/>
  <c r="BH121" i="7"/>
  <c r="BK121" i="7"/>
  <c r="BN121" i="7"/>
  <c r="BQ121" i="7"/>
  <c r="BT121" i="7"/>
  <c r="BW121" i="7"/>
  <c r="BZ121" i="7"/>
  <c r="CC121" i="7"/>
  <c r="CF121" i="7"/>
  <c r="CI121" i="7"/>
  <c r="CL121" i="7"/>
  <c r="CO121" i="7"/>
  <c r="CR121" i="7"/>
  <c r="U121" i="7"/>
  <c r="O122" i="7"/>
  <c r="R122" i="7"/>
  <c r="X122" i="7"/>
  <c r="AA122" i="7"/>
  <c r="AD122" i="7"/>
  <c r="AG122" i="7"/>
  <c r="AJ122" i="7"/>
  <c r="AM122" i="7"/>
  <c r="AP122" i="7"/>
  <c r="AS122" i="7"/>
  <c r="AV122" i="7"/>
  <c r="AY122" i="7"/>
  <c r="BB122" i="7"/>
  <c r="BE122" i="7"/>
  <c r="BH122" i="7"/>
  <c r="BK122" i="7"/>
  <c r="BN122" i="7"/>
  <c r="BQ122" i="7"/>
  <c r="BT122" i="7"/>
  <c r="BW122" i="7"/>
  <c r="BZ122" i="7"/>
  <c r="CC122" i="7"/>
  <c r="CF122" i="7"/>
  <c r="CI122" i="7"/>
  <c r="CL122" i="7"/>
  <c r="CO122" i="7"/>
  <c r="CR122" i="7"/>
  <c r="U122" i="7"/>
  <c r="O123" i="7"/>
  <c r="R123" i="7"/>
  <c r="X123" i="7"/>
  <c r="AA123" i="7"/>
  <c r="AD123" i="7"/>
  <c r="AG123" i="7"/>
  <c r="AJ123" i="7"/>
  <c r="AM123" i="7"/>
  <c r="AP123" i="7"/>
  <c r="AS123" i="7"/>
  <c r="AV123" i="7"/>
  <c r="AY123" i="7"/>
  <c r="BB123" i="7"/>
  <c r="BE123" i="7"/>
  <c r="BH123" i="7"/>
  <c r="BK123" i="7"/>
  <c r="BN123" i="7"/>
  <c r="BQ123" i="7"/>
  <c r="BT123" i="7"/>
  <c r="BW123" i="7"/>
  <c r="BZ123" i="7"/>
  <c r="CC123" i="7"/>
  <c r="CF123" i="7"/>
  <c r="CI123" i="7"/>
  <c r="CL123" i="7"/>
  <c r="CO123" i="7"/>
  <c r="CR123" i="7"/>
  <c r="U123" i="7"/>
  <c r="O124" i="7"/>
  <c r="R124" i="7"/>
  <c r="X124" i="7"/>
  <c r="AA124" i="7"/>
  <c r="AD124" i="7"/>
  <c r="AG124" i="7"/>
  <c r="AJ124" i="7"/>
  <c r="AM124" i="7"/>
  <c r="AP124" i="7"/>
  <c r="AS124" i="7"/>
  <c r="AV124" i="7"/>
  <c r="AY124" i="7"/>
  <c r="BB124" i="7"/>
  <c r="BE124" i="7"/>
  <c r="BH124" i="7"/>
  <c r="BK124" i="7"/>
  <c r="BN124" i="7"/>
  <c r="BQ124" i="7"/>
  <c r="BT124" i="7"/>
  <c r="BW124" i="7"/>
  <c r="BZ124" i="7"/>
  <c r="CC124" i="7"/>
  <c r="CF124" i="7"/>
  <c r="CI124" i="7"/>
  <c r="CL124" i="7"/>
  <c r="CO124" i="7"/>
  <c r="CR124" i="7"/>
  <c r="U124" i="7"/>
  <c r="O125" i="7"/>
  <c r="R125" i="7"/>
  <c r="X125" i="7"/>
  <c r="AA125" i="7"/>
  <c r="AD125" i="7"/>
  <c r="AG125" i="7"/>
  <c r="AJ125" i="7"/>
  <c r="AM125" i="7"/>
  <c r="AP125" i="7"/>
  <c r="AS125" i="7"/>
  <c r="AV125" i="7"/>
  <c r="AY125" i="7"/>
  <c r="BB125" i="7"/>
  <c r="BE125" i="7"/>
  <c r="BH125" i="7"/>
  <c r="BK125" i="7"/>
  <c r="BN125" i="7"/>
  <c r="BQ125" i="7"/>
  <c r="BT125" i="7"/>
  <c r="BW125" i="7"/>
  <c r="U125" i="7"/>
  <c r="O126" i="7"/>
  <c r="R126" i="7"/>
  <c r="X126" i="7"/>
  <c r="AA126" i="7"/>
  <c r="AD126" i="7"/>
  <c r="AG126" i="7"/>
  <c r="AJ126" i="7"/>
  <c r="AM126" i="7"/>
  <c r="AP126" i="7"/>
  <c r="AS126" i="7"/>
  <c r="AV126" i="7"/>
  <c r="AY126" i="7"/>
  <c r="BB126" i="7"/>
  <c r="BE126" i="7"/>
  <c r="BH126" i="7"/>
  <c r="BK126" i="7"/>
  <c r="BN126" i="7"/>
  <c r="BQ126" i="7"/>
  <c r="U126" i="7"/>
  <c r="O127" i="7"/>
  <c r="R127" i="7"/>
  <c r="X127" i="7"/>
  <c r="AA127" i="7"/>
  <c r="AD127" i="7"/>
  <c r="AG127" i="7"/>
  <c r="AJ127" i="7"/>
  <c r="AM127" i="7"/>
  <c r="AP127" i="7"/>
  <c r="AS127" i="7"/>
  <c r="AV127" i="7"/>
  <c r="AY127" i="7"/>
  <c r="BB127" i="7"/>
  <c r="BE127" i="7"/>
  <c r="BH127" i="7"/>
  <c r="BK127" i="7"/>
  <c r="BN127" i="7"/>
  <c r="BQ127" i="7"/>
  <c r="U127" i="7"/>
  <c r="O128" i="7"/>
  <c r="R128" i="7"/>
  <c r="X128" i="7"/>
  <c r="AA128" i="7"/>
  <c r="AD128" i="7"/>
  <c r="AG128" i="7"/>
  <c r="AJ128" i="7"/>
  <c r="AM128" i="7"/>
  <c r="AP128" i="7"/>
  <c r="AS128" i="7"/>
  <c r="AV128" i="7"/>
  <c r="AY128" i="7"/>
  <c r="BB128" i="7"/>
  <c r="BE128" i="7"/>
  <c r="BH128" i="7"/>
  <c r="BK128" i="7"/>
  <c r="BN128" i="7"/>
  <c r="BQ128" i="7"/>
  <c r="U128" i="7"/>
  <c r="O129" i="7"/>
  <c r="R129" i="7"/>
  <c r="X129" i="7"/>
  <c r="AA129" i="7"/>
  <c r="AD129" i="7"/>
  <c r="AG129" i="7"/>
  <c r="AJ129" i="7"/>
  <c r="AM129" i="7"/>
  <c r="AP129" i="7"/>
  <c r="AS129" i="7"/>
  <c r="AV129" i="7"/>
  <c r="AY129" i="7"/>
  <c r="BB129" i="7"/>
  <c r="BE129" i="7"/>
  <c r="BH129" i="7"/>
  <c r="BK129" i="7"/>
  <c r="BN129" i="7"/>
  <c r="BQ129" i="7"/>
  <c r="U129" i="7"/>
  <c r="O130" i="7"/>
  <c r="R130" i="7"/>
  <c r="X130" i="7"/>
  <c r="AA130" i="7"/>
  <c r="AD130" i="7"/>
  <c r="AG130" i="7"/>
  <c r="AJ130" i="7"/>
  <c r="AM130" i="7"/>
  <c r="AP130" i="7"/>
  <c r="AS130" i="7"/>
  <c r="AV130" i="7"/>
  <c r="AY130" i="7"/>
  <c r="BB130" i="7"/>
  <c r="BE130" i="7"/>
  <c r="BH130" i="7"/>
  <c r="BK130" i="7"/>
  <c r="BN130" i="7"/>
  <c r="BQ130" i="7"/>
  <c r="U130" i="7"/>
  <c r="O131" i="7"/>
  <c r="R131" i="7"/>
  <c r="X131" i="7"/>
  <c r="AA131" i="7"/>
  <c r="AD131" i="7"/>
  <c r="AG131" i="7"/>
  <c r="AJ131" i="7"/>
  <c r="AM131" i="7"/>
  <c r="AP131" i="7"/>
  <c r="AS131" i="7"/>
  <c r="AV131" i="7"/>
  <c r="AY131" i="7"/>
  <c r="BB131" i="7"/>
  <c r="BE131" i="7"/>
  <c r="BH131" i="7"/>
  <c r="BK131" i="7"/>
  <c r="BN131" i="7"/>
  <c r="BQ131" i="7"/>
  <c r="U131" i="7"/>
  <c r="O132" i="7"/>
  <c r="R132" i="7"/>
  <c r="X132" i="7"/>
  <c r="AA132" i="7"/>
  <c r="AD132" i="7"/>
  <c r="AG132" i="7"/>
  <c r="AJ132" i="7"/>
  <c r="AM132" i="7"/>
  <c r="AP132" i="7"/>
  <c r="AS132" i="7"/>
  <c r="AV132" i="7"/>
  <c r="AY132" i="7"/>
  <c r="BB132" i="7"/>
  <c r="BE132" i="7"/>
  <c r="BH132" i="7"/>
  <c r="BK132" i="7"/>
  <c r="BN132" i="7"/>
  <c r="BQ132" i="7"/>
  <c r="U132" i="7"/>
  <c r="O133" i="7"/>
  <c r="R133" i="7"/>
  <c r="X133" i="7"/>
  <c r="AA133" i="7"/>
  <c r="AD133" i="7"/>
  <c r="AG133" i="7"/>
  <c r="AJ133" i="7"/>
  <c r="AM133" i="7"/>
  <c r="AP133" i="7"/>
  <c r="AS133" i="7"/>
  <c r="AV133" i="7"/>
  <c r="AY133" i="7"/>
  <c r="BB133" i="7"/>
  <c r="BE133" i="7"/>
  <c r="BH133" i="7"/>
  <c r="BK133" i="7"/>
  <c r="BN133" i="7"/>
  <c r="BQ133" i="7"/>
  <c r="U133" i="7"/>
  <c r="O134" i="7"/>
  <c r="R134" i="7"/>
  <c r="X134" i="7"/>
  <c r="AA134" i="7"/>
  <c r="AD134" i="7"/>
  <c r="AG134" i="7"/>
  <c r="AJ134" i="7"/>
  <c r="AM134" i="7"/>
  <c r="AP134" i="7"/>
  <c r="AS134" i="7"/>
  <c r="AV134" i="7"/>
  <c r="AY134" i="7"/>
  <c r="BB134" i="7"/>
  <c r="BE134" i="7"/>
  <c r="BH134" i="7"/>
  <c r="BK134" i="7"/>
  <c r="BN134" i="7"/>
  <c r="BQ134" i="7"/>
  <c r="U134" i="7"/>
  <c r="O135" i="7"/>
  <c r="R135" i="7"/>
  <c r="X135" i="7"/>
  <c r="AA135" i="7"/>
  <c r="AD135" i="7"/>
  <c r="AG135" i="7"/>
  <c r="AJ135" i="7"/>
  <c r="AM135" i="7"/>
  <c r="AP135" i="7"/>
  <c r="AS135" i="7"/>
  <c r="AV135" i="7"/>
  <c r="AY135" i="7"/>
  <c r="BB135" i="7"/>
  <c r="BE135" i="7"/>
  <c r="BH135" i="7"/>
  <c r="BK135" i="7"/>
  <c r="BN135" i="7"/>
  <c r="BQ135" i="7"/>
  <c r="U135" i="7"/>
  <c r="O136" i="7"/>
  <c r="R136" i="7"/>
  <c r="X136" i="7"/>
  <c r="AA136" i="7"/>
  <c r="AD136" i="7"/>
  <c r="AG136" i="7"/>
  <c r="AJ136" i="7"/>
  <c r="AM136" i="7"/>
  <c r="AP136" i="7"/>
  <c r="AS136" i="7"/>
  <c r="AV136" i="7"/>
  <c r="AY136" i="7"/>
  <c r="BB136" i="7"/>
  <c r="BE136" i="7"/>
  <c r="BH136" i="7"/>
  <c r="BK136" i="7"/>
  <c r="BN136" i="7"/>
  <c r="BQ136" i="7"/>
  <c r="U136" i="7"/>
  <c r="O137" i="7"/>
  <c r="R137" i="7"/>
  <c r="X137" i="7"/>
  <c r="AA137" i="7"/>
  <c r="AD137" i="7"/>
  <c r="AG137" i="7"/>
  <c r="AJ137" i="7"/>
  <c r="AM137" i="7"/>
  <c r="AP137" i="7"/>
  <c r="AS137" i="7"/>
  <c r="AV137" i="7"/>
  <c r="AY137" i="7"/>
  <c r="BB137" i="7"/>
  <c r="BE137" i="7"/>
  <c r="BH137" i="7"/>
  <c r="BK137" i="7"/>
  <c r="BN137" i="7"/>
  <c r="BQ137" i="7"/>
  <c r="U137" i="7"/>
  <c r="O138" i="7"/>
  <c r="R138" i="7"/>
  <c r="X138" i="7"/>
  <c r="AA138" i="7"/>
  <c r="AD138" i="7"/>
  <c r="AG138" i="7"/>
  <c r="AJ138" i="7"/>
  <c r="AM138" i="7"/>
  <c r="AP138" i="7"/>
  <c r="AS138" i="7"/>
  <c r="AV138" i="7"/>
  <c r="AY138" i="7"/>
  <c r="BB138" i="7"/>
  <c r="BE138" i="7"/>
  <c r="BH138" i="7"/>
  <c r="BK138" i="7"/>
  <c r="BN138" i="7"/>
  <c r="BQ138" i="7"/>
  <c r="U138" i="7"/>
  <c r="O139" i="7"/>
  <c r="R139" i="7"/>
  <c r="X139" i="7"/>
  <c r="AA139" i="7"/>
  <c r="AD139" i="7"/>
  <c r="AG139" i="7"/>
  <c r="AJ139" i="7"/>
  <c r="AM139" i="7"/>
  <c r="AP139" i="7"/>
  <c r="AS139" i="7"/>
  <c r="AV139" i="7"/>
  <c r="AY139" i="7"/>
  <c r="BB139" i="7"/>
  <c r="BE139" i="7"/>
  <c r="BH139" i="7"/>
  <c r="BK139" i="7"/>
  <c r="BN139" i="7"/>
  <c r="BQ139" i="7"/>
  <c r="U139" i="7"/>
  <c r="O140" i="7"/>
  <c r="R140" i="7"/>
  <c r="X140" i="7"/>
  <c r="AA140" i="7"/>
  <c r="AD140" i="7"/>
  <c r="AG140" i="7"/>
  <c r="AJ140" i="7"/>
  <c r="AM140" i="7"/>
  <c r="AP140" i="7"/>
  <c r="AS140" i="7"/>
  <c r="AV140" i="7"/>
  <c r="AY140" i="7"/>
  <c r="BB140" i="7"/>
  <c r="BE140" i="7"/>
  <c r="BH140" i="7"/>
  <c r="BK140" i="7"/>
  <c r="BN140" i="7"/>
  <c r="BQ140" i="7"/>
  <c r="U140" i="7"/>
  <c r="O141" i="7"/>
  <c r="R141" i="7"/>
  <c r="X141" i="7"/>
  <c r="AA141" i="7"/>
  <c r="AD141" i="7"/>
  <c r="AG141" i="7"/>
  <c r="AJ141" i="7"/>
  <c r="AM141" i="7"/>
  <c r="AP141" i="7"/>
  <c r="AS141" i="7"/>
  <c r="AV141" i="7"/>
  <c r="AY141" i="7"/>
  <c r="BB141" i="7"/>
  <c r="BE141" i="7"/>
  <c r="BH141" i="7"/>
  <c r="BK141" i="7"/>
  <c r="BN141" i="7"/>
  <c r="BQ141" i="7"/>
  <c r="U141" i="7"/>
  <c r="O142" i="7"/>
  <c r="R142" i="7"/>
  <c r="X142" i="7"/>
  <c r="AA142" i="7"/>
  <c r="AD142" i="7"/>
  <c r="AG142" i="7"/>
  <c r="AJ142" i="7"/>
  <c r="AM142" i="7"/>
  <c r="AP142" i="7"/>
  <c r="AS142" i="7"/>
  <c r="AV142" i="7"/>
  <c r="AY142" i="7"/>
  <c r="BB142" i="7"/>
  <c r="BE142" i="7"/>
  <c r="BH142" i="7"/>
  <c r="BK142" i="7"/>
  <c r="BN142" i="7"/>
  <c r="BQ142" i="7"/>
  <c r="U142" i="7"/>
  <c r="O143" i="7"/>
  <c r="R143" i="7"/>
  <c r="X143" i="7"/>
  <c r="AA143" i="7"/>
  <c r="AD143" i="7"/>
  <c r="AG143" i="7"/>
  <c r="AJ143" i="7"/>
  <c r="AM143" i="7"/>
  <c r="AP143" i="7"/>
  <c r="AS143" i="7"/>
  <c r="AV143" i="7"/>
  <c r="AY143" i="7"/>
  <c r="BB143" i="7"/>
  <c r="BE143" i="7"/>
  <c r="BH143" i="7"/>
  <c r="BK143" i="7"/>
  <c r="BN143" i="7"/>
  <c r="BQ143" i="7"/>
  <c r="U143" i="7"/>
  <c r="O144" i="7"/>
  <c r="R144" i="7"/>
  <c r="X144" i="7"/>
  <c r="AA144" i="7"/>
  <c r="AD144" i="7"/>
  <c r="AG144" i="7"/>
  <c r="AJ144" i="7"/>
  <c r="AM144" i="7"/>
  <c r="AP144" i="7"/>
  <c r="AS144" i="7"/>
  <c r="AV144" i="7"/>
  <c r="AY144" i="7"/>
  <c r="BB144" i="7"/>
  <c r="BE144" i="7"/>
  <c r="BH144" i="7"/>
  <c r="BK144" i="7"/>
  <c r="BN144" i="7"/>
  <c r="BQ144" i="7"/>
  <c r="U144" i="7"/>
  <c r="O145" i="7"/>
  <c r="R145" i="7"/>
  <c r="X145" i="7"/>
  <c r="AA145" i="7"/>
  <c r="AD145" i="7"/>
  <c r="AG145" i="7"/>
  <c r="AJ145" i="7"/>
  <c r="AM145" i="7"/>
  <c r="AP145" i="7"/>
  <c r="AS145" i="7"/>
  <c r="AV145" i="7"/>
  <c r="AY145" i="7"/>
  <c r="BB145" i="7"/>
  <c r="BE145" i="7"/>
  <c r="BH145" i="7"/>
  <c r="BK145" i="7"/>
  <c r="BN145" i="7"/>
  <c r="BQ145" i="7"/>
  <c r="U145" i="7"/>
  <c r="O146" i="7"/>
  <c r="R146" i="7"/>
  <c r="X146" i="7"/>
  <c r="AA146" i="7"/>
  <c r="AD146" i="7"/>
  <c r="AG146" i="7"/>
  <c r="AJ146" i="7"/>
  <c r="AM146" i="7"/>
  <c r="AP146" i="7"/>
  <c r="AS146" i="7"/>
  <c r="AV146" i="7"/>
  <c r="AY146" i="7"/>
  <c r="BB146" i="7"/>
  <c r="BE146" i="7"/>
  <c r="BH146" i="7"/>
  <c r="BK146" i="7"/>
  <c r="BN146" i="7"/>
  <c r="BQ146" i="7"/>
  <c r="U146" i="7"/>
  <c r="O147" i="7"/>
  <c r="R147" i="7"/>
  <c r="X147" i="7"/>
  <c r="AA147" i="7"/>
  <c r="AD147" i="7"/>
  <c r="AG147" i="7"/>
  <c r="AJ147" i="7"/>
  <c r="AM147" i="7"/>
  <c r="AP147" i="7"/>
  <c r="AS147" i="7"/>
  <c r="AV147" i="7"/>
  <c r="AY147" i="7"/>
  <c r="BB147" i="7"/>
  <c r="BE147" i="7"/>
  <c r="BH147" i="7"/>
  <c r="BK147" i="7"/>
  <c r="BN147" i="7"/>
  <c r="BQ147" i="7"/>
  <c r="U147" i="7"/>
  <c r="O148" i="7"/>
  <c r="R148" i="7"/>
  <c r="X148" i="7"/>
  <c r="AA148" i="7"/>
  <c r="AD148" i="7"/>
  <c r="AG148" i="7"/>
  <c r="AJ148" i="7"/>
  <c r="AM148" i="7"/>
  <c r="AP148" i="7"/>
  <c r="AS148" i="7"/>
  <c r="AV148" i="7"/>
  <c r="AY148" i="7"/>
  <c r="BB148" i="7"/>
  <c r="BE148" i="7"/>
  <c r="BH148" i="7"/>
  <c r="BK148" i="7"/>
  <c r="BN148" i="7"/>
  <c r="BQ148" i="7"/>
  <c r="U148" i="7"/>
  <c r="O149" i="7"/>
  <c r="R149" i="7"/>
  <c r="X149" i="7"/>
  <c r="AA149" i="7"/>
  <c r="AD149" i="7"/>
  <c r="AG149" i="7"/>
  <c r="AJ149" i="7"/>
  <c r="AM149" i="7"/>
  <c r="AP149" i="7"/>
  <c r="AS149" i="7"/>
  <c r="AV149" i="7"/>
  <c r="AY149" i="7"/>
  <c r="BB149" i="7"/>
  <c r="BE149" i="7"/>
  <c r="BH149" i="7"/>
  <c r="BK149" i="7"/>
  <c r="BN149" i="7"/>
  <c r="BQ149" i="7"/>
  <c r="U149" i="7"/>
  <c r="O150" i="7"/>
  <c r="R150" i="7"/>
  <c r="X150" i="7"/>
  <c r="AA150" i="7"/>
  <c r="AD150" i="7"/>
  <c r="AG150" i="7"/>
  <c r="AJ150" i="7"/>
  <c r="AM150" i="7"/>
  <c r="AP150" i="7"/>
  <c r="AS150" i="7"/>
  <c r="AV150" i="7"/>
  <c r="AY150" i="7"/>
  <c r="BB150" i="7"/>
  <c r="BE150" i="7"/>
  <c r="BH150" i="7"/>
  <c r="BK150" i="7"/>
  <c r="BN150" i="7"/>
  <c r="BQ150" i="7"/>
  <c r="U150" i="7"/>
  <c r="O151" i="7"/>
  <c r="R151" i="7"/>
  <c r="X151" i="7"/>
  <c r="AA151" i="7"/>
  <c r="AD151" i="7"/>
  <c r="AG151" i="7"/>
  <c r="AJ151" i="7"/>
  <c r="AM151" i="7"/>
  <c r="AP151" i="7"/>
  <c r="AS151" i="7"/>
  <c r="AV151" i="7"/>
  <c r="AY151" i="7"/>
  <c r="BB151" i="7"/>
  <c r="BE151" i="7"/>
  <c r="BH151" i="7"/>
  <c r="BK151" i="7"/>
  <c r="BN151" i="7"/>
  <c r="BQ151" i="7"/>
  <c r="U151" i="7"/>
  <c r="O152" i="7"/>
  <c r="R152" i="7"/>
  <c r="X152" i="7"/>
  <c r="AA152" i="7"/>
  <c r="AD152" i="7"/>
  <c r="AG152" i="7"/>
  <c r="AJ152" i="7"/>
  <c r="AM152" i="7"/>
  <c r="AP152" i="7"/>
  <c r="AS152" i="7"/>
  <c r="AV152" i="7"/>
  <c r="AY152" i="7"/>
  <c r="BB152" i="7"/>
  <c r="BE152" i="7"/>
  <c r="BH152" i="7"/>
  <c r="BK152" i="7"/>
  <c r="BN152" i="7"/>
  <c r="BQ152" i="7"/>
  <c r="U152" i="7"/>
  <c r="O153" i="7"/>
  <c r="R153" i="7"/>
  <c r="X153" i="7"/>
  <c r="AA153" i="7"/>
  <c r="AD153" i="7"/>
  <c r="AG153" i="7"/>
  <c r="AJ153" i="7"/>
  <c r="AM153" i="7"/>
  <c r="AP153" i="7"/>
  <c r="AS153" i="7"/>
  <c r="AV153" i="7"/>
  <c r="AY153" i="7"/>
  <c r="BB153" i="7"/>
  <c r="BE153" i="7"/>
  <c r="BH153" i="7"/>
  <c r="BK153" i="7"/>
  <c r="BN153" i="7"/>
  <c r="BQ153" i="7"/>
  <c r="U153" i="7"/>
  <c r="O154" i="7"/>
  <c r="R154" i="7"/>
  <c r="X154" i="7"/>
  <c r="AA154" i="7"/>
  <c r="AD154" i="7"/>
  <c r="AG154" i="7"/>
  <c r="AJ154" i="7"/>
  <c r="AM154" i="7"/>
  <c r="AP154" i="7"/>
  <c r="AS154" i="7"/>
  <c r="AV154" i="7"/>
  <c r="AY154" i="7"/>
  <c r="BB154" i="7"/>
  <c r="BE154" i="7"/>
  <c r="BH154" i="7"/>
  <c r="BK154" i="7"/>
  <c r="BN154" i="7"/>
  <c r="BQ154" i="7"/>
  <c r="U154" i="7"/>
  <c r="O155" i="7"/>
  <c r="R155" i="7"/>
  <c r="X155" i="7"/>
  <c r="AA155" i="7"/>
  <c r="AD155" i="7"/>
  <c r="AG155" i="7"/>
  <c r="AJ155" i="7"/>
  <c r="AM155" i="7"/>
  <c r="AP155" i="7"/>
  <c r="AS155" i="7"/>
  <c r="AV155" i="7"/>
  <c r="AY155" i="7"/>
  <c r="BB155" i="7"/>
  <c r="BE155" i="7"/>
  <c r="BH155" i="7"/>
  <c r="BK155" i="7"/>
  <c r="BN155" i="7"/>
  <c r="BQ155" i="7"/>
  <c r="U155" i="7"/>
  <c r="O156" i="7"/>
  <c r="R156" i="7"/>
  <c r="X156" i="7"/>
  <c r="AA156" i="7"/>
  <c r="AD156" i="7"/>
  <c r="AG156" i="7"/>
  <c r="AJ156" i="7"/>
  <c r="AM156" i="7"/>
  <c r="AP156" i="7"/>
  <c r="AS156" i="7"/>
  <c r="AV156" i="7"/>
  <c r="AY156" i="7"/>
  <c r="BB156" i="7"/>
  <c r="BE156" i="7"/>
  <c r="BH156" i="7"/>
  <c r="BK156" i="7"/>
  <c r="BN156" i="7"/>
  <c r="BQ156" i="7"/>
  <c r="U156" i="7"/>
  <c r="O157" i="7"/>
  <c r="R157" i="7"/>
  <c r="X157" i="7"/>
  <c r="AA157" i="7"/>
  <c r="AD157" i="7"/>
  <c r="AG157" i="7"/>
  <c r="AJ157" i="7"/>
  <c r="AM157" i="7"/>
  <c r="AP157" i="7"/>
  <c r="AS157" i="7"/>
  <c r="AV157" i="7"/>
  <c r="AY157" i="7"/>
  <c r="BB157" i="7"/>
  <c r="BE157" i="7"/>
  <c r="BH157" i="7"/>
  <c r="BK157" i="7"/>
  <c r="BN157" i="7"/>
  <c r="BQ157" i="7"/>
  <c r="U157" i="7"/>
  <c r="O158" i="7"/>
  <c r="R158" i="7"/>
  <c r="X158" i="7"/>
  <c r="AA158" i="7"/>
  <c r="AD158" i="7"/>
  <c r="AG158" i="7"/>
  <c r="AJ158" i="7"/>
  <c r="AM158" i="7"/>
  <c r="AP158" i="7"/>
  <c r="AS158" i="7"/>
  <c r="AV158" i="7"/>
  <c r="AY158" i="7"/>
  <c r="BB158" i="7"/>
  <c r="BE158" i="7"/>
  <c r="BH158" i="7"/>
  <c r="BK158" i="7"/>
  <c r="BN158" i="7"/>
  <c r="BQ158" i="7"/>
  <c r="U158" i="7"/>
  <c r="O159" i="7"/>
  <c r="R159" i="7"/>
  <c r="X159" i="7"/>
  <c r="AA159" i="7"/>
  <c r="AD159" i="7"/>
  <c r="AG159" i="7"/>
  <c r="AJ159" i="7"/>
  <c r="AM159" i="7"/>
  <c r="AP159" i="7"/>
  <c r="AS159" i="7"/>
  <c r="AV159" i="7"/>
  <c r="AY159" i="7"/>
  <c r="BB159" i="7"/>
  <c r="BE159" i="7"/>
  <c r="BH159" i="7"/>
  <c r="BK159" i="7"/>
  <c r="BN159" i="7"/>
  <c r="BQ159" i="7"/>
  <c r="U159" i="7"/>
  <c r="O160" i="7"/>
  <c r="R160" i="7"/>
  <c r="X160" i="7"/>
  <c r="AA160" i="7"/>
  <c r="AD160" i="7"/>
  <c r="AG160" i="7"/>
  <c r="AJ160" i="7"/>
  <c r="AM160" i="7"/>
  <c r="AP160" i="7"/>
  <c r="AS160" i="7"/>
  <c r="AV160" i="7"/>
  <c r="AY160" i="7"/>
  <c r="BB160" i="7"/>
  <c r="BE160" i="7"/>
  <c r="BH160" i="7"/>
  <c r="BK160" i="7"/>
  <c r="BN160" i="7"/>
  <c r="BQ160" i="7"/>
  <c r="U160" i="7"/>
  <c r="O161" i="7"/>
  <c r="R161" i="7"/>
  <c r="X161" i="7"/>
  <c r="AA161" i="7"/>
  <c r="AD161" i="7"/>
  <c r="AG161" i="7"/>
  <c r="AJ161" i="7"/>
  <c r="AM161" i="7"/>
  <c r="AP161" i="7"/>
  <c r="AS161" i="7"/>
  <c r="AV161" i="7"/>
  <c r="AY161" i="7"/>
  <c r="BB161" i="7"/>
  <c r="BE161" i="7"/>
  <c r="BH161" i="7"/>
  <c r="BK161" i="7"/>
  <c r="BN161" i="7"/>
  <c r="BQ161" i="7"/>
  <c r="U161" i="7"/>
  <c r="O162" i="7"/>
  <c r="R162" i="7"/>
  <c r="X162" i="7"/>
  <c r="AA162" i="7"/>
  <c r="AD162" i="7"/>
  <c r="AG162" i="7"/>
  <c r="AJ162" i="7"/>
  <c r="AM162" i="7"/>
  <c r="AP162" i="7"/>
  <c r="AS162" i="7"/>
  <c r="AV162" i="7"/>
  <c r="AY162" i="7"/>
  <c r="BB162" i="7"/>
  <c r="BE162" i="7"/>
  <c r="BH162" i="7"/>
  <c r="BK162" i="7"/>
  <c r="BN162" i="7"/>
  <c r="BQ162" i="7"/>
  <c r="U162" i="7"/>
  <c r="O163" i="7"/>
  <c r="R163" i="7"/>
  <c r="X163" i="7"/>
  <c r="AA163" i="7"/>
  <c r="AD163" i="7"/>
  <c r="AG163" i="7"/>
  <c r="AJ163" i="7"/>
  <c r="AM163" i="7"/>
  <c r="AP163" i="7"/>
  <c r="AS163" i="7"/>
  <c r="AV163" i="7"/>
  <c r="AY163" i="7"/>
  <c r="BB163" i="7"/>
  <c r="BE163" i="7"/>
  <c r="BH163" i="7"/>
  <c r="BK163" i="7"/>
  <c r="BN163" i="7"/>
  <c r="BQ163" i="7"/>
  <c r="U163" i="7"/>
  <c r="O164" i="7"/>
  <c r="R164" i="7"/>
  <c r="X164" i="7"/>
  <c r="AA164" i="7"/>
  <c r="AD164" i="7"/>
  <c r="AG164" i="7"/>
  <c r="AJ164" i="7"/>
  <c r="AM164" i="7"/>
  <c r="AP164" i="7"/>
  <c r="AS164" i="7"/>
  <c r="AV164" i="7"/>
  <c r="AY164" i="7"/>
  <c r="BB164" i="7"/>
  <c r="BE164" i="7"/>
  <c r="BH164" i="7"/>
  <c r="BK164" i="7"/>
  <c r="BN164" i="7"/>
  <c r="BQ164" i="7"/>
  <c r="U164" i="7"/>
  <c r="O165" i="7"/>
  <c r="R165" i="7"/>
  <c r="X165" i="7"/>
  <c r="AA165" i="7"/>
  <c r="AD165" i="7"/>
  <c r="AG165" i="7"/>
  <c r="AJ165" i="7"/>
  <c r="AM165" i="7"/>
  <c r="AP165" i="7"/>
  <c r="AS165" i="7"/>
  <c r="AV165" i="7"/>
  <c r="AY165" i="7"/>
  <c r="BB165" i="7"/>
  <c r="BE165" i="7"/>
  <c r="BH165" i="7"/>
  <c r="BK165" i="7"/>
  <c r="BN165" i="7"/>
  <c r="BQ165" i="7"/>
  <c r="U165" i="7"/>
  <c r="O166" i="7"/>
  <c r="R166" i="7"/>
  <c r="X166" i="7"/>
  <c r="AA166" i="7"/>
  <c r="AD166" i="7"/>
  <c r="AG166" i="7"/>
  <c r="AJ166" i="7"/>
  <c r="AM166" i="7"/>
  <c r="AP166" i="7"/>
  <c r="AS166" i="7"/>
  <c r="AV166" i="7"/>
  <c r="AY166" i="7"/>
  <c r="BB166" i="7"/>
  <c r="BE166" i="7"/>
  <c r="BH166" i="7"/>
  <c r="BK166" i="7"/>
  <c r="BN166" i="7"/>
  <c r="BQ166" i="7"/>
  <c r="U166" i="7"/>
  <c r="O167" i="7"/>
  <c r="R167" i="7"/>
  <c r="X167" i="7"/>
  <c r="AA167" i="7"/>
  <c r="AD167" i="7"/>
  <c r="AG167" i="7"/>
  <c r="AJ167" i="7"/>
  <c r="AM167" i="7"/>
  <c r="AP167" i="7"/>
  <c r="AS167" i="7"/>
  <c r="AV167" i="7"/>
  <c r="AY167" i="7"/>
  <c r="BB167" i="7"/>
  <c r="BE167" i="7"/>
  <c r="BH167" i="7"/>
  <c r="BK167" i="7"/>
  <c r="BN167" i="7"/>
  <c r="BQ167" i="7"/>
  <c r="U167" i="7"/>
  <c r="O168" i="7"/>
  <c r="R168" i="7"/>
  <c r="X168" i="7"/>
  <c r="AA168" i="7"/>
  <c r="AD168" i="7"/>
  <c r="AG168" i="7"/>
  <c r="AJ168" i="7"/>
  <c r="AM168" i="7"/>
  <c r="AP168" i="7"/>
  <c r="AS168" i="7"/>
  <c r="AV168" i="7"/>
  <c r="AY168" i="7"/>
  <c r="BB168" i="7"/>
  <c r="BE168" i="7"/>
  <c r="BH168" i="7"/>
  <c r="BK168" i="7"/>
  <c r="BN168" i="7"/>
  <c r="BQ168" i="7"/>
  <c r="U168" i="7"/>
  <c r="O169" i="7"/>
  <c r="R169" i="7"/>
  <c r="X169" i="7"/>
  <c r="AA169" i="7"/>
  <c r="AD169" i="7"/>
  <c r="AG169" i="7"/>
  <c r="AJ169" i="7"/>
  <c r="AM169" i="7"/>
  <c r="AP169" i="7"/>
  <c r="AS169" i="7"/>
  <c r="AV169" i="7"/>
  <c r="AY169" i="7"/>
  <c r="BB169" i="7"/>
  <c r="BE169" i="7"/>
  <c r="BH169" i="7"/>
  <c r="BK169" i="7"/>
  <c r="BN169" i="7"/>
  <c r="BQ169" i="7"/>
  <c r="U169" i="7"/>
  <c r="O170" i="7"/>
  <c r="R170" i="7"/>
  <c r="X170" i="7"/>
  <c r="AA170" i="7"/>
  <c r="AD170" i="7"/>
  <c r="AG170" i="7"/>
  <c r="AJ170" i="7"/>
  <c r="AM170" i="7"/>
  <c r="AP170" i="7"/>
  <c r="AS170" i="7"/>
  <c r="AV170" i="7"/>
  <c r="AY170" i="7"/>
  <c r="BB170" i="7"/>
  <c r="BE170" i="7"/>
  <c r="BH170" i="7"/>
  <c r="BK170" i="7"/>
  <c r="BN170" i="7"/>
  <c r="BQ170" i="7"/>
  <c r="U170" i="7"/>
  <c r="O171" i="7"/>
  <c r="R171" i="7"/>
  <c r="X171" i="7"/>
  <c r="AA171" i="7"/>
  <c r="AD171" i="7"/>
  <c r="AG171" i="7"/>
  <c r="AJ171" i="7"/>
  <c r="AM171" i="7"/>
  <c r="AP171" i="7"/>
  <c r="AS171" i="7"/>
  <c r="AV171" i="7"/>
  <c r="AY171" i="7"/>
  <c r="BB171" i="7"/>
  <c r="BE171" i="7"/>
  <c r="BH171" i="7"/>
  <c r="BK171" i="7"/>
  <c r="BN171" i="7"/>
  <c r="BQ171" i="7"/>
  <c r="U171" i="7"/>
  <c r="O172" i="7"/>
  <c r="R172" i="7"/>
  <c r="X172" i="7"/>
  <c r="AA172" i="7"/>
  <c r="AD172" i="7"/>
  <c r="AG172" i="7"/>
  <c r="AJ172" i="7"/>
  <c r="AM172" i="7"/>
  <c r="AP172" i="7"/>
  <c r="AS172" i="7"/>
  <c r="AV172" i="7"/>
  <c r="AY172" i="7"/>
  <c r="BB172" i="7"/>
  <c r="BE172" i="7"/>
  <c r="BH172" i="7"/>
  <c r="BK172" i="7"/>
  <c r="BN172" i="7"/>
  <c r="BQ172" i="7"/>
  <c r="U172" i="7"/>
  <c r="O173" i="7"/>
  <c r="R173" i="7"/>
  <c r="X173" i="7"/>
  <c r="AA173" i="7"/>
  <c r="AD173" i="7"/>
  <c r="AG173" i="7"/>
  <c r="AJ173" i="7"/>
  <c r="AM173" i="7"/>
  <c r="AP173" i="7"/>
  <c r="AS173" i="7"/>
  <c r="AV173" i="7"/>
  <c r="AY173" i="7"/>
  <c r="BB173" i="7"/>
  <c r="BE173" i="7"/>
  <c r="BH173" i="7"/>
  <c r="BK173" i="7"/>
  <c r="BN173" i="7"/>
  <c r="BQ173" i="7"/>
  <c r="U173" i="7"/>
  <c r="O174" i="7"/>
  <c r="R174" i="7"/>
  <c r="X174" i="7"/>
  <c r="AA174" i="7"/>
  <c r="AD174" i="7"/>
  <c r="AG174" i="7"/>
  <c r="AJ174" i="7"/>
  <c r="AM174" i="7"/>
  <c r="AP174" i="7"/>
  <c r="AS174" i="7"/>
  <c r="AV174" i="7"/>
  <c r="AY174" i="7"/>
  <c r="BB174" i="7"/>
  <c r="BE174" i="7"/>
  <c r="BH174" i="7"/>
  <c r="BK174" i="7"/>
  <c r="BN174" i="7"/>
  <c r="BQ174" i="7"/>
  <c r="U174" i="7"/>
  <c r="O175" i="7"/>
  <c r="R175" i="7"/>
  <c r="X175" i="7"/>
  <c r="AA175" i="7"/>
  <c r="AD175" i="7"/>
  <c r="AG175" i="7"/>
  <c r="AJ175" i="7"/>
  <c r="AM175" i="7"/>
  <c r="AP175" i="7"/>
  <c r="AS175" i="7"/>
  <c r="AV175" i="7"/>
  <c r="AY175" i="7"/>
  <c r="BB175" i="7"/>
  <c r="BE175" i="7"/>
  <c r="BH175" i="7"/>
  <c r="BK175" i="7"/>
  <c r="BN175" i="7"/>
  <c r="BQ175" i="7"/>
  <c r="U175" i="7"/>
  <c r="O176" i="7"/>
  <c r="R176" i="7"/>
  <c r="X176" i="7"/>
  <c r="AA176" i="7"/>
  <c r="AD176" i="7"/>
  <c r="AG176" i="7"/>
  <c r="AJ176" i="7"/>
  <c r="AM176" i="7"/>
  <c r="AP176" i="7"/>
  <c r="AS176" i="7"/>
  <c r="AV176" i="7"/>
  <c r="AY176" i="7"/>
  <c r="BB176" i="7"/>
  <c r="BE176" i="7"/>
  <c r="BH176" i="7"/>
  <c r="BK176" i="7"/>
  <c r="BN176" i="7"/>
  <c r="BQ176" i="7"/>
  <c r="U176" i="7"/>
  <c r="O177" i="7"/>
  <c r="R177" i="7"/>
  <c r="X177" i="7"/>
  <c r="AA177" i="7"/>
  <c r="AD177" i="7"/>
  <c r="AG177" i="7"/>
  <c r="AJ177" i="7"/>
  <c r="AM177" i="7"/>
  <c r="AP177" i="7"/>
  <c r="AS177" i="7"/>
  <c r="AV177" i="7"/>
  <c r="AY177" i="7"/>
  <c r="BB177" i="7"/>
  <c r="BE177" i="7"/>
  <c r="BH177" i="7"/>
  <c r="BK177" i="7"/>
  <c r="BN177" i="7"/>
  <c r="BQ177" i="7"/>
  <c r="U177" i="7"/>
  <c r="O178" i="7"/>
  <c r="R178" i="7"/>
  <c r="X178" i="7"/>
  <c r="AA178" i="7"/>
  <c r="AD178" i="7"/>
  <c r="AG178" i="7"/>
  <c r="AJ178" i="7"/>
  <c r="AM178" i="7"/>
  <c r="AP178" i="7"/>
  <c r="AS178" i="7"/>
  <c r="AV178" i="7"/>
  <c r="AY178" i="7"/>
  <c r="BB178" i="7"/>
  <c r="BE178" i="7"/>
  <c r="BH178" i="7"/>
  <c r="BK178" i="7"/>
  <c r="BN178" i="7"/>
  <c r="BQ178" i="7"/>
  <c r="U178" i="7"/>
  <c r="O179" i="7"/>
  <c r="R179" i="7"/>
  <c r="X179" i="7"/>
  <c r="AA179" i="7"/>
  <c r="AD179" i="7"/>
  <c r="AG179" i="7"/>
  <c r="AJ179" i="7"/>
  <c r="AM179" i="7"/>
  <c r="AP179" i="7"/>
  <c r="AS179" i="7"/>
  <c r="AV179" i="7"/>
  <c r="AY179" i="7"/>
  <c r="BB179" i="7"/>
  <c r="BE179" i="7"/>
  <c r="BH179" i="7"/>
  <c r="BK179" i="7"/>
  <c r="BN179" i="7"/>
  <c r="BQ179" i="7"/>
  <c r="U179" i="7"/>
  <c r="O180" i="7"/>
  <c r="R180" i="7"/>
  <c r="X180" i="7"/>
  <c r="AA180" i="7"/>
  <c r="AD180" i="7"/>
  <c r="AG180" i="7"/>
  <c r="AJ180" i="7"/>
  <c r="AM180" i="7"/>
  <c r="AP180" i="7"/>
  <c r="AS180" i="7"/>
  <c r="AV180" i="7"/>
  <c r="AY180" i="7"/>
  <c r="BB180" i="7"/>
  <c r="BE180" i="7"/>
  <c r="BH180" i="7"/>
  <c r="BK180" i="7"/>
  <c r="BN180" i="7"/>
  <c r="BQ180" i="7"/>
  <c r="U180" i="7"/>
  <c r="O181" i="7"/>
  <c r="R181" i="7"/>
  <c r="X181" i="7"/>
  <c r="AA181" i="7"/>
  <c r="AD181" i="7"/>
  <c r="AG181" i="7"/>
  <c r="AJ181" i="7"/>
  <c r="AM181" i="7"/>
  <c r="AP181" i="7"/>
  <c r="AS181" i="7"/>
  <c r="AV181" i="7"/>
  <c r="AY181" i="7"/>
  <c r="BB181" i="7"/>
  <c r="BE181" i="7"/>
  <c r="BH181" i="7"/>
  <c r="BK181" i="7"/>
  <c r="BN181" i="7"/>
  <c r="BQ181" i="7"/>
  <c r="U181" i="7"/>
  <c r="O182" i="7"/>
  <c r="R182" i="7"/>
  <c r="X182" i="7"/>
  <c r="AA182" i="7"/>
  <c r="AD182" i="7"/>
  <c r="AG182" i="7"/>
  <c r="AJ182" i="7"/>
  <c r="AM182" i="7"/>
  <c r="AP182" i="7"/>
  <c r="AS182" i="7"/>
  <c r="AV182" i="7"/>
  <c r="AY182" i="7"/>
  <c r="BB182" i="7"/>
  <c r="BE182" i="7"/>
  <c r="BH182" i="7"/>
  <c r="BK182" i="7"/>
  <c r="BN182" i="7"/>
  <c r="BQ182" i="7"/>
  <c r="U182" i="7"/>
  <c r="O183" i="7"/>
  <c r="R183" i="7"/>
  <c r="X183" i="7"/>
  <c r="AA183" i="7"/>
  <c r="AD183" i="7"/>
  <c r="AG183" i="7"/>
  <c r="AJ183" i="7"/>
  <c r="AM183" i="7"/>
  <c r="AP183" i="7"/>
  <c r="AS183" i="7"/>
  <c r="AV183" i="7"/>
  <c r="AY183" i="7"/>
  <c r="BB183" i="7"/>
  <c r="BE183" i="7"/>
  <c r="BH183" i="7"/>
  <c r="BK183" i="7"/>
  <c r="BN183" i="7"/>
  <c r="BQ183" i="7"/>
  <c r="U183" i="7"/>
  <c r="O184" i="7"/>
  <c r="R184" i="7"/>
  <c r="X184" i="7"/>
  <c r="AA184" i="7"/>
  <c r="AD184" i="7"/>
  <c r="AG184" i="7"/>
  <c r="AJ184" i="7"/>
  <c r="AM184" i="7"/>
  <c r="AP184" i="7"/>
  <c r="AS184" i="7"/>
  <c r="AV184" i="7"/>
  <c r="AY184" i="7"/>
  <c r="BB184" i="7"/>
  <c r="BE184" i="7"/>
  <c r="BH184" i="7"/>
  <c r="BK184" i="7"/>
  <c r="BN184" i="7"/>
  <c r="BQ184" i="7"/>
  <c r="U184" i="7"/>
  <c r="O185" i="7"/>
  <c r="R185" i="7"/>
  <c r="X185" i="7"/>
  <c r="AA185" i="7"/>
  <c r="AD185" i="7"/>
  <c r="AG185" i="7"/>
  <c r="AJ185" i="7"/>
  <c r="AM185" i="7"/>
  <c r="AP185" i="7"/>
  <c r="AS185" i="7"/>
  <c r="AV185" i="7"/>
  <c r="AY185" i="7"/>
  <c r="BB185" i="7"/>
  <c r="BE185" i="7"/>
  <c r="BH185" i="7"/>
  <c r="BK185" i="7"/>
  <c r="BN185" i="7"/>
  <c r="BQ185" i="7"/>
  <c r="U185" i="7"/>
  <c r="O186" i="7"/>
  <c r="R186" i="7"/>
  <c r="X186" i="7"/>
  <c r="AA186" i="7"/>
  <c r="AD186" i="7"/>
  <c r="AG186" i="7"/>
  <c r="AJ186" i="7"/>
  <c r="AM186" i="7"/>
  <c r="AP186" i="7"/>
  <c r="AS186" i="7"/>
  <c r="AV186" i="7"/>
  <c r="AY186" i="7"/>
  <c r="BB186" i="7"/>
  <c r="BE186" i="7"/>
  <c r="BH186" i="7"/>
  <c r="BK186" i="7"/>
  <c r="BN186" i="7"/>
  <c r="BQ186" i="7"/>
  <c r="U186" i="7"/>
  <c r="O187" i="7"/>
  <c r="R187" i="7"/>
  <c r="X187" i="7"/>
  <c r="AA187" i="7"/>
  <c r="AD187" i="7"/>
  <c r="AG187" i="7"/>
  <c r="AJ187" i="7"/>
  <c r="AM187" i="7"/>
  <c r="AP187" i="7"/>
  <c r="AS187" i="7"/>
  <c r="AV187" i="7"/>
  <c r="AY187" i="7"/>
  <c r="BB187" i="7"/>
  <c r="BE187" i="7"/>
  <c r="BH187" i="7"/>
  <c r="BK187" i="7"/>
  <c r="BN187" i="7"/>
  <c r="BQ187" i="7"/>
  <c r="U187" i="7"/>
  <c r="O188" i="7"/>
  <c r="R188" i="7"/>
  <c r="X188" i="7"/>
  <c r="AA188" i="7"/>
  <c r="AD188" i="7"/>
  <c r="AG188" i="7"/>
  <c r="AJ188" i="7"/>
  <c r="AM188" i="7"/>
  <c r="AP188" i="7"/>
  <c r="AS188" i="7"/>
  <c r="AV188" i="7"/>
  <c r="AY188" i="7"/>
  <c r="BB188" i="7"/>
  <c r="BE188" i="7"/>
  <c r="BH188" i="7"/>
  <c r="BK188" i="7"/>
  <c r="BN188" i="7"/>
  <c r="BQ188" i="7"/>
  <c r="U188" i="7"/>
  <c r="O189" i="7"/>
  <c r="R189" i="7"/>
  <c r="X189" i="7"/>
  <c r="AA189" i="7"/>
  <c r="AD189" i="7"/>
  <c r="AG189" i="7"/>
  <c r="AJ189" i="7"/>
  <c r="AM189" i="7"/>
  <c r="AP189" i="7"/>
  <c r="AS189" i="7"/>
  <c r="AV189" i="7"/>
  <c r="AY189" i="7"/>
  <c r="BB189" i="7"/>
  <c r="BE189" i="7"/>
  <c r="BH189" i="7"/>
  <c r="BK189" i="7"/>
  <c r="BN189" i="7"/>
  <c r="BQ189" i="7"/>
  <c r="U189" i="7"/>
  <c r="O190" i="7"/>
  <c r="R190" i="7"/>
  <c r="X190" i="7"/>
  <c r="AA190" i="7"/>
  <c r="AD190" i="7"/>
  <c r="AG190" i="7"/>
  <c r="AJ190" i="7"/>
  <c r="AM190" i="7"/>
  <c r="AP190" i="7"/>
  <c r="AS190" i="7"/>
  <c r="AV190" i="7"/>
  <c r="AY190" i="7"/>
  <c r="BB190" i="7"/>
  <c r="BE190" i="7"/>
  <c r="BH190" i="7"/>
  <c r="BK190" i="7"/>
  <c r="BN190" i="7"/>
  <c r="BQ190" i="7"/>
  <c r="U190" i="7"/>
  <c r="O191" i="7"/>
  <c r="R191" i="7"/>
  <c r="X191" i="7"/>
  <c r="AA191" i="7"/>
  <c r="AD191" i="7"/>
  <c r="AG191" i="7"/>
  <c r="AJ191" i="7"/>
  <c r="AM191" i="7"/>
  <c r="AP191" i="7"/>
  <c r="AS191" i="7"/>
  <c r="AV191" i="7"/>
  <c r="AY191" i="7"/>
  <c r="BB191" i="7"/>
  <c r="BE191" i="7"/>
  <c r="BH191" i="7"/>
  <c r="BK191" i="7"/>
  <c r="BN191" i="7"/>
  <c r="BQ191" i="7"/>
  <c r="U191" i="7"/>
  <c r="O192" i="7"/>
  <c r="R192" i="7"/>
  <c r="X192" i="7"/>
  <c r="AA192" i="7"/>
  <c r="AD192" i="7"/>
  <c r="AG192" i="7"/>
  <c r="AJ192" i="7"/>
  <c r="AM192" i="7"/>
  <c r="AP192" i="7"/>
  <c r="AS192" i="7"/>
  <c r="AV192" i="7"/>
  <c r="AY192" i="7"/>
  <c r="BB192" i="7"/>
  <c r="BE192" i="7"/>
  <c r="BH192" i="7"/>
  <c r="BK192" i="7"/>
  <c r="BN192" i="7"/>
  <c r="BQ192" i="7"/>
  <c r="U192" i="7"/>
  <c r="O193" i="7"/>
  <c r="R193" i="7"/>
  <c r="X193" i="7"/>
  <c r="AA193" i="7"/>
  <c r="AD193" i="7"/>
  <c r="AG193" i="7"/>
  <c r="AJ193" i="7"/>
  <c r="AM193" i="7"/>
  <c r="AP193" i="7"/>
  <c r="AS193" i="7"/>
  <c r="AV193" i="7"/>
  <c r="AY193" i="7"/>
  <c r="BB193" i="7"/>
  <c r="BE193" i="7"/>
  <c r="BH193" i="7"/>
  <c r="BK193" i="7"/>
  <c r="BN193" i="7"/>
  <c r="BQ193" i="7"/>
  <c r="U193" i="7"/>
  <c r="O194" i="7"/>
  <c r="R194" i="7"/>
  <c r="X194" i="7"/>
  <c r="AA194" i="7"/>
  <c r="AD194" i="7"/>
  <c r="AG194" i="7"/>
  <c r="AJ194" i="7"/>
  <c r="AM194" i="7"/>
  <c r="AP194" i="7"/>
  <c r="AS194" i="7"/>
  <c r="AV194" i="7"/>
  <c r="AY194" i="7"/>
  <c r="BB194" i="7"/>
  <c r="BE194" i="7"/>
  <c r="BH194" i="7"/>
  <c r="BK194" i="7"/>
  <c r="BN194" i="7"/>
  <c r="BQ194" i="7"/>
  <c r="U194" i="7"/>
  <c r="O195" i="7"/>
  <c r="R195" i="7"/>
  <c r="X195" i="7"/>
  <c r="AA195" i="7"/>
  <c r="AD195" i="7"/>
  <c r="AG195" i="7"/>
  <c r="AJ195" i="7"/>
  <c r="AM195" i="7"/>
  <c r="AP195" i="7"/>
  <c r="AS195" i="7"/>
  <c r="AV195" i="7"/>
  <c r="AY195" i="7"/>
  <c r="BB195" i="7"/>
  <c r="BE195" i="7"/>
  <c r="BH195" i="7"/>
  <c r="BK195" i="7"/>
  <c r="BN195" i="7"/>
  <c r="BQ195" i="7"/>
  <c r="U195" i="7"/>
  <c r="O196" i="7"/>
  <c r="R196" i="7"/>
  <c r="X196" i="7"/>
  <c r="AA196" i="7"/>
  <c r="AD196" i="7"/>
  <c r="AG196" i="7"/>
  <c r="AJ196" i="7"/>
  <c r="AM196" i="7"/>
  <c r="AP196" i="7"/>
  <c r="AS196" i="7"/>
  <c r="AV196" i="7"/>
  <c r="AY196" i="7"/>
  <c r="BB196" i="7"/>
  <c r="BE196" i="7"/>
  <c r="BH196" i="7"/>
  <c r="BK196" i="7"/>
  <c r="BN196" i="7"/>
  <c r="BQ196" i="7"/>
  <c r="U196" i="7"/>
  <c r="O197" i="7"/>
  <c r="R197" i="7"/>
  <c r="X197" i="7"/>
  <c r="AA197" i="7"/>
  <c r="AD197" i="7"/>
  <c r="AG197" i="7"/>
  <c r="AJ197" i="7"/>
  <c r="AM197" i="7"/>
  <c r="AP197" i="7"/>
  <c r="AS197" i="7"/>
  <c r="AV197" i="7"/>
  <c r="AY197" i="7"/>
  <c r="BB197" i="7"/>
  <c r="BE197" i="7"/>
  <c r="BH197" i="7"/>
  <c r="BK197" i="7"/>
  <c r="BN197" i="7"/>
  <c r="BQ197" i="7"/>
  <c r="U197" i="7"/>
  <c r="O198" i="7"/>
  <c r="R198" i="7"/>
  <c r="X198" i="7"/>
  <c r="AA198" i="7"/>
  <c r="AD198" i="7"/>
  <c r="AG198" i="7"/>
  <c r="AJ198" i="7"/>
  <c r="AM198" i="7"/>
  <c r="AP198" i="7"/>
  <c r="AS198" i="7"/>
  <c r="AV198" i="7"/>
  <c r="AY198" i="7"/>
  <c r="BB198" i="7"/>
  <c r="BE198" i="7"/>
  <c r="BH198" i="7"/>
  <c r="BK198" i="7"/>
  <c r="BN198" i="7"/>
  <c r="BQ198" i="7"/>
  <c r="U198" i="7"/>
  <c r="O199" i="7"/>
  <c r="R199" i="7"/>
  <c r="X199" i="7"/>
  <c r="AA199" i="7"/>
  <c r="AD199" i="7"/>
  <c r="AG199" i="7"/>
  <c r="AJ199" i="7"/>
  <c r="AM199" i="7"/>
  <c r="AP199" i="7"/>
  <c r="AS199" i="7"/>
  <c r="AV199" i="7"/>
  <c r="AY199" i="7"/>
  <c r="BB199" i="7"/>
  <c r="BE199" i="7"/>
  <c r="BH199" i="7"/>
  <c r="BK199" i="7"/>
  <c r="BN199" i="7"/>
  <c r="BQ199" i="7"/>
  <c r="U199" i="7"/>
  <c r="O200" i="7"/>
  <c r="R200" i="7"/>
  <c r="X200" i="7"/>
  <c r="AA200" i="7"/>
  <c r="AD200" i="7"/>
  <c r="AG200" i="7"/>
  <c r="AJ200" i="7"/>
  <c r="AM200" i="7"/>
  <c r="AP200" i="7"/>
  <c r="AS200" i="7"/>
  <c r="AV200" i="7"/>
  <c r="AY200" i="7"/>
  <c r="BB200" i="7"/>
  <c r="BE200" i="7"/>
  <c r="BH200" i="7"/>
  <c r="BK200" i="7"/>
  <c r="BN200" i="7"/>
  <c r="BQ200" i="7"/>
  <c r="U200" i="7"/>
  <c r="O201" i="7"/>
  <c r="R201" i="7"/>
  <c r="X201" i="7"/>
  <c r="AA201" i="7"/>
  <c r="AD201" i="7"/>
  <c r="AG201" i="7"/>
  <c r="AJ201" i="7"/>
  <c r="AM201" i="7"/>
  <c r="AP201" i="7"/>
  <c r="AS201" i="7"/>
  <c r="AV201" i="7"/>
  <c r="AY201" i="7"/>
  <c r="BB201" i="7"/>
  <c r="BE201" i="7"/>
  <c r="BH201" i="7"/>
  <c r="BK201" i="7"/>
  <c r="BN201" i="7"/>
  <c r="BQ201" i="7"/>
  <c r="U201" i="7"/>
  <c r="O202" i="7"/>
  <c r="R202" i="7"/>
  <c r="X202" i="7"/>
  <c r="AA202" i="7"/>
  <c r="AD202" i="7"/>
  <c r="AG202" i="7"/>
  <c r="AJ202" i="7"/>
  <c r="AM202" i="7"/>
  <c r="AP202" i="7"/>
  <c r="AS202" i="7"/>
  <c r="AV202" i="7"/>
  <c r="AY202" i="7"/>
  <c r="BB202" i="7"/>
  <c r="BE202" i="7"/>
  <c r="BH202" i="7"/>
  <c r="BK202" i="7"/>
  <c r="BN202" i="7"/>
  <c r="BQ202" i="7"/>
  <c r="U202" i="7"/>
  <c r="O203" i="7"/>
  <c r="R203" i="7"/>
  <c r="X203" i="7"/>
  <c r="AA203" i="7"/>
  <c r="AD203" i="7"/>
  <c r="AG203" i="7"/>
  <c r="AJ203" i="7"/>
  <c r="AM203" i="7"/>
  <c r="AP203" i="7"/>
  <c r="AS203" i="7"/>
  <c r="AV203" i="7"/>
  <c r="AY203" i="7"/>
  <c r="BB203" i="7"/>
  <c r="BE203" i="7"/>
  <c r="BH203" i="7"/>
  <c r="BK203" i="7"/>
  <c r="BN203" i="7"/>
  <c r="BQ203" i="7"/>
  <c r="U203" i="7"/>
  <c r="O204" i="7"/>
  <c r="R204" i="7"/>
  <c r="X204" i="7"/>
  <c r="AA204" i="7"/>
  <c r="AD204" i="7"/>
  <c r="AG204" i="7"/>
  <c r="AJ204" i="7"/>
  <c r="AM204" i="7"/>
  <c r="AP204" i="7"/>
  <c r="AS204" i="7"/>
  <c r="AV204" i="7"/>
  <c r="AY204" i="7"/>
  <c r="BB204" i="7"/>
  <c r="BE204" i="7"/>
  <c r="BH204" i="7"/>
  <c r="BK204" i="7"/>
  <c r="BN204" i="7"/>
  <c r="BQ204" i="7"/>
  <c r="U204" i="7"/>
  <c r="O205" i="7"/>
  <c r="R205" i="7"/>
  <c r="X205" i="7"/>
  <c r="AA205" i="7"/>
  <c r="AD205" i="7"/>
  <c r="AG205" i="7"/>
  <c r="AJ205" i="7"/>
  <c r="AM205" i="7"/>
  <c r="AP205" i="7"/>
  <c r="AS205" i="7"/>
  <c r="AV205" i="7"/>
  <c r="AY205" i="7"/>
  <c r="BB205" i="7"/>
  <c r="BE205" i="7"/>
  <c r="BH205" i="7"/>
  <c r="BK205" i="7"/>
  <c r="BN205" i="7"/>
  <c r="BQ205" i="7"/>
  <c r="U205" i="7"/>
  <c r="O206" i="7"/>
  <c r="R206" i="7"/>
  <c r="X206" i="7"/>
  <c r="AA206" i="7"/>
  <c r="AD206" i="7"/>
  <c r="AG206" i="7"/>
  <c r="AJ206" i="7"/>
  <c r="AM206" i="7"/>
  <c r="AP206" i="7"/>
  <c r="AS206" i="7"/>
  <c r="AV206" i="7"/>
  <c r="AY206" i="7"/>
  <c r="BB206" i="7"/>
  <c r="BE206" i="7"/>
  <c r="BH206" i="7"/>
  <c r="BK206" i="7"/>
  <c r="BN206" i="7"/>
  <c r="BQ206" i="7"/>
  <c r="U206" i="7"/>
  <c r="O207" i="7"/>
  <c r="R207" i="7"/>
  <c r="X207" i="7"/>
  <c r="AA207" i="7"/>
  <c r="AD207" i="7"/>
  <c r="AG207" i="7"/>
  <c r="AJ207" i="7"/>
  <c r="AM207" i="7"/>
  <c r="AP207" i="7"/>
  <c r="AS207" i="7"/>
  <c r="AV207" i="7"/>
  <c r="AY207" i="7"/>
  <c r="BB207" i="7"/>
  <c r="BE207" i="7"/>
  <c r="BH207" i="7"/>
  <c r="BK207" i="7"/>
  <c r="BN207" i="7"/>
  <c r="BQ207" i="7"/>
  <c r="U207" i="7"/>
  <c r="O208" i="7"/>
  <c r="R208" i="7"/>
  <c r="X208" i="7"/>
  <c r="AA208" i="7"/>
  <c r="AD208" i="7"/>
  <c r="AG208" i="7"/>
  <c r="AJ208" i="7"/>
  <c r="AM208" i="7"/>
  <c r="AP208" i="7"/>
  <c r="AS208" i="7"/>
  <c r="AV208" i="7"/>
  <c r="AY208" i="7"/>
  <c r="BB208" i="7"/>
  <c r="BE208" i="7"/>
  <c r="BH208" i="7"/>
  <c r="BK208" i="7"/>
  <c r="BN208" i="7"/>
  <c r="BQ208" i="7"/>
  <c r="U208" i="7"/>
  <c r="O209" i="7"/>
  <c r="R209" i="7"/>
  <c r="X209" i="7"/>
  <c r="AA209" i="7"/>
  <c r="AD209" i="7"/>
  <c r="AG209" i="7"/>
  <c r="AJ209" i="7"/>
  <c r="AM209" i="7"/>
  <c r="AP209" i="7"/>
  <c r="AS209" i="7"/>
  <c r="AV209" i="7"/>
  <c r="AY209" i="7"/>
  <c r="BB209" i="7"/>
  <c r="BE209" i="7"/>
  <c r="BH209" i="7"/>
  <c r="BK209" i="7"/>
  <c r="BN209" i="7"/>
  <c r="BQ209" i="7"/>
  <c r="U209" i="7"/>
  <c r="O210" i="7"/>
  <c r="R210" i="7"/>
  <c r="X210" i="7"/>
  <c r="AA210" i="7"/>
  <c r="AD210" i="7"/>
  <c r="AG210" i="7"/>
  <c r="AJ210" i="7"/>
  <c r="AM210" i="7"/>
  <c r="AP210" i="7"/>
  <c r="AS210" i="7"/>
  <c r="AV210" i="7"/>
  <c r="AY210" i="7"/>
  <c r="BB210" i="7"/>
  <c r="BE210" i="7"/>
  <c r="BH210" i="7"/>
  <c r="BK210" i="7"/>
  <c r="BN210" i="7"/>
  <c r="BQ210" i="7"/>
  <c r="U210" i="7"/>
  <c r="O211" i="7"/>
  <c r="R211" i="7"/>
  <c r="X211" i="7"/>
  <c r="AA211" i="7"/>
  <c r="AD211" i="7"/>
  <c r="AG211" i="7"/>
  <c r="AJ211" i="7"/>
  <c r="AM211" i="7"/>
  <c r="AP211" i="7"/>
  <c r="AS211" i="7"/>
  <c r="AV211" i="7"/>
  <c r="AY211" i="7"/>
  <c r="BB211" i="7"/>
  <c r="BE211" i="7"/>
  <c r="BH211" i="7"/>
  <c r="BK211" i="7"/>
  <c r="BN211" i="7"/>
  <c r="BQ211" i="7"/>
  <c r="U211" i="7"/>
  <c r="O212" i="7"/>
  <c r="R212" i="7"/>
  <c r="X212" i="7"/>
  <c r="AA212" i="7"/>
  <c r="AD212" i="7"/>
  <c r="AG212" i="7"/>
  <c r="AJ212" i="7"/>
  <c r="AM212" i="7"/>
  <c r="AP212" i="7"/>
  <c r="AS212" i="7"/>
  <c r="AV212" i="7"/>
  <c r="AY212" i="7"/>
  <c r="BB212" i="7"/>
  <c r="BE212" i="7"/>
  <c r="BH212" i="7"/>
  <c r="BK212" i="7"/>
  <c r="BN212" i="7"/>
  <c r="BQ212" i="7"/>
  <c r="U212" i="7"/>
  <c r="O213" i="7"/>
  <c r="R213" i="7"/>
  <c r="X213" i="7"/>
  <c r="AA213" i="7"/>
  <c r="AD213" i="7"/>
  <c r="AG213" i="7"/>
  <c r="AJ213" i="7"/>
  <c r="AM213" i="7"/>
  <c r="AP213" i="7"/>
  <c r="AS213" i="7"/>
  <c r="AV213" i="7"/>
  <c r="AY213" i="7"/>
  <c r="BB213" i="7"/>
  <c r="BE213" i="7"/>
  <c r="BH213" i="7"/>
  <c r="BK213" i="7"/>
  <c r="BN213" i="7"/>
  <c r="BQ213" i="7"/>
  <c r="U213" i="7"/>
  <c r="O214" i="7"/>
  <c r="R214" i="7"/>
  <c r="X214" i="7"/>
  <c r="AA214" i="7"/>
  <c r="AD214" i="7"/>
  <c r="AG214" i="7"/>
  <c r="AJ214" i="7"/>
  <c r="AM214" i="7"/>
  <c r="AP214" i="7"/>
  <c r="AS214" i="7"/>
  <c r="AV214" i="7"/>
  <c r="AY214" i="7"/>
  <c r="BB214" i="7"/>
  <c r="BE214" i="7"/>
  <c r="BH214" i="7"/>
  <c r="BK214" i="7"/>
  <c r="BN214" i="7"/>
  <c r="BQ214" i="7"/>
  <c r="U214" i="7"/>
  <c r="O215" i="7"/>
  <c r="R215" i="7"/>
  <c r="X215" i="7"/>
  <c r="AA215" i="7"/>
  <c r="AD215" i="7"/>
  <c r="AG215" i="7"/>
  <c r="AJ215" i="7"/>
  <c r="AM215" i="7"/>
  <c r="AP215" i="7"/>
  <c r="AS215" i="7"/>
  <c r="AV215" i="7"/>
  <c r="AY215" i="7"/>
  <c r="BB215" i="7"/>
  <c r="BE215" i="7"/>
  <c r="BH215" i="7"/>
  <c r="BK215" i="7"/>
  <c r="BN215" i="7"/>
  <c r="BQ215" i="7"/>
  <c r="U215" i="7"/>
  <c r="O217" i="7"/>
  <c r="R217" i="7"/>
  <c r="X217" i="7"/>
  <c r="AA217" i="7"/>
  <c r="AD217" i="7"/>
  <c r="AG217" i="7"/>
  <c r="AJ217" i="7"/>
  <c r="AM217" i="7"/>
  <c r="AP217" i="7"/>
  <c r="AS217" i="7"/>
  <c r="AV217" i="7"/>
  <c r="AY217" i="7"/>
  <c r="BB217" i="7"/>
  <c r="BE217" i="7"/>
  <c r="BH217" i="7"/>
  <c r="BK217" i="7"/>
  <c r="BN217" i="7"/>
  <c r="BQ217" i="7"/>
  <c r="U217" i="7"/>
  <c r="O218" i="7"/>
  <c r="R218" i="7"/>
  <c r="X218" i="7"/>
  <c r="AA218" i="7"/>
  <c r="AD218" i="7"/>
  <c r="AG218" i="7"/>
  <c r="AJ218" i="7"/>
  <c r="AM218" i="7"/>
  <c r="AP218" i="7"/>
  <c r="AS218" i="7"/>
  <c r="AV218" i="7"/>
  <c r="AY218" i="7"/>
  <c r="BB218" i="7"/>
  <c r="BE218" i="7"/>
  <c r="BH218" i="7"/>
  <c r="BK218" i="7"/>
  <c r="BN218" i="7"/>
  <c r="BQ218" i="7"/>
  <c r="U218" i="7"/>
  <c r="O219" i="7"/>
  <c r="R219" i="7"/>
  <c r="X219" i="7"/>
  <c r="AA219" i="7"/>
  <c r="AD219" i="7"/>
  <c r="AG219" i="7"/>
  <c r="AJ219" i="7"/>
  <c r="AM219" i="7"/>
  <c r="AP219" i="7"/>
  <c r="AS219" i="7"/>
  <c r="AV219" i="7"/>
  <c r="AY219" i="7"/>
  <c r="BB219" i="7"/>
  <c r="BE219" i="7"/>
  <c r="BH219" i="7"/>
  <c r="BK219" i="7"/>
  <c r="BN219" i="7"/>
  <c r="BQ219" i="7"/>
  <c r="U219" i="7"/>
  <c r="O220" i="7"/>
  <c r="R220" i="7"/>
  <c r="X220" i="7"/>
  <c r="AA220" i="7"/>
  <c r="AD220" i="7"/>
  <c r="AG220" i="7"/>
  <c r="AJ220" i="7"/>
  <c r="AM220" i="7"/>
  <c r="AP220" i="7"/>
  <c r="AS220" i="7"/>
  <c r="AV220" i="7"/>
  <c r="AY220" i="7"/>
  <c r="BB220" i="7"/>
  <c r="BE220" i="7"/>
  <c r="BH220" i="7"/>
  <c r="BK220" i="7"/>
  <c r="BN220" i="7"/>
  <c r="BQ220" i="7"/>
  <c r="U220" i="7"/>
  <c r="O221" i="7"/>
  <c r="R221" i="7"/>
  <c r="X221" i="7"/>
  <c r="AA221" i="7"/>
  <c r="AD221" i="7"/>
  <c r="AG221" i="7"/>
  <c r="AJ221" i="7"/>
  <c r="AM221" i="7"/>
  <c r="AP221" i="7"/>
  <c r="AS221" i="7"/>
  <c r="AV221" i="7"/>
  <c r="AY221" i="7"/>
  <c r="BB221" i="7"/>
  <c r="BE221" i="7"/>
  <c r="BH221" i="7"/>
  <c r="BK221" i="7"/>
  <c r="BN221" i="7"/>
  <c r="BQ221" i="7"/>
  <c r="U221" i="7"/>
  <c r="O222" i="7"/>
  <c r="R222" i="7"/>
  <c r="X222" i="7"/>
  <c r="AA222" i="7"/>
  <c r="AD222" i="7"/>
  <c r="AG222" i="7"/>
  <c r="AJ222" i="7"/>
  <c r="AM222" i="7"/>
  <c r="AP222" i="7"/>
  <c r="AS222" i="7"/>
  <c r="AV222" i="7"/>
  <c r="AY222" i="7"/>
  <c r="BB222" i="7"/>
  <c r="BE222" i="7"/>
  <c r="BH222" i="7"/>
  <c r="BK222" i="7"/>
  <c r="BN222" i="7"/>
  <c r="BQ222" i="7"/>
  <c r="U222" i="7"/>
  <c r="O223" i="7"/>
  <c r="R223" i="7"/>
  <c r="X223" i="7"/>
  <c r="AA223" i="7"/>
  <c r="AD223" i="7"/>
  <c r="AG223" i="7"/>
  <c r="AJ223" i="7"/>
  <c r="AM223" i="7"/>
  <c r="AP223" i="7"/>
  <c r="AS223" i="7"/>
  <c r="AV223" i="7"/>
  <c r="AY223" i="7"/>
  <c r="BB223" i="7"/>
  <c r="BE223" i="7"/>
  <c r="BH223" i="7"/>
  <c r="BK223" i="7"/>
  <c r="BN223" i="7"/>
  <c r="BQ223" i="7"/>
  <c r="U223" i="7"/>
  <c r="O224" i="7"/>
  <c r="R224" i="7"/>
  <c r="X224" i="7"/>
  <c r="AA224" i="7"/>
  <c r="AD224" i="7"/>
  <c r="AG224" i="7"/>
  <c r="AJ224" i="7"/>
  <c r="AM224" i="7"/>
  <c r="AP224" i="7"/>
  <c r="AS224" i="7"/>
  <c r="AV224" i="7"/>
  <c r="AY224" i="7"/>
  <c r="BB224" i="7"/>
  <c r="BE224" i="7"/>
  <c r="BH224" i="7"/>
  <c r="BK224" i="7"/>
  <c r="BN224" i="7"/>
  <c r="BQ224" i="7"/>
  <c r="U224" i="7"/>
  <c r="O225" i="7"/>
  <c r="R225" i="7"/>
  <c r="X225" i="7"/>
  <c r="AA225" i="7"/>
  <c r="AD225" i="7"/>
  <c r="AG225" i="7"/>
  <c r="AJ225" i="7"/>
  <c r="AM225" i="7"/>
  <c r="AP225" i="7"/>
  <c r="AS225" i="7"/>
  <c r="AV225" i="7"/>
  <c r="AY225" i="7"/>
  <c r="BB225" i="7"/>
  <c r="BE225" i="7"/>
  <c r="BH225" i="7"/>
  <c r="BK225" i="7"/>
  <c r="BN225" i="7"/>
  <c r="BQ225" i="7"/>
  <c r="U225" i="7"/>
  <c r="O226" i="7"/>
  <c r="R226" i="7"/>
  <c r="X226" i="7"/>
  <c r="AA226" i="7"/>
  <c r="AD226" i="7"/>
  <c r="AG226" i="7"/>
  <c r="AJ226" i="7"/>
  <c r="AM226" i="7"/>
  <c r="AP226" i="7"/>
  <c r="AS226" i="7"/>
  <c r="AV226" i="7"/>
  <c r="AY226" i="7"/>
  <c r="BB226" i="7"/>
  <c r="BE226" i="7"/>
  <c r="BH226" i="7"/>
  <c r="BK226" i="7"/>
  <c r="BN226" i="7"/>
  <c r="BQ226" i="7"/>
  <c r="U226" i="7"/>
  <c r="O227" i="7"/>
  <c r="R227" i="7"/>
  <c r="X227" i="7"/>
  <c r="AA227" i="7"/>
  <c r="AD227" i="7"/>
  <c r="AG227" i="7"/>
  <c r="AJ227" i="7"/>
  <c r="AM227" i="7"/>
  <c r="AP227" i="7"/>
  <c r="AS227" i="7"/>
  <c r="AV227" i="7"/>
  <c r="AY227" i="7"/>
  <c r="BB227" i="7"/>
  <c r="BE227" i="7"/>
  <c r="BH227" i="7"/>
  <c r="BK227" i="7"/>
  <c r="BN227" i="7"/>
  <c r="BQ227" i="7"/>
  <c r="U227" i="7"/>
  <c r="O228" i="7"/>
  <c r="R228" i="7"/>
  <c r="X228" i="7"/>
  <c r="AA228" i="7"/>
  <c r="AD228" i="7"/>
  <c r="AG228" i="7"/>
  <c r="AJ228" i="7"/>
  <c r="AM228" i="7"/>
  <c r="AP228" i="7"/>
  <c r="AS228" i="7"/>
  <c r="AV228" i="7"/>
  <c r="AY228" i="7"/>
  <c r="BB228" i="7"/>
  <c r="BE228" i="7"/>
  <c r="BH228" i="7"/>
  <c r="BK228" i="7"/>
  <c r="BN228" i="7"/>
  <c r="BQ228" i="7"/>
  <c r="U228" i="7"/>
  <c r="O229" i="7"/>
  <c r="R229" i="7"/>
  <c r="X229" i="7"/>
  <c r="AA229" i="7"/>
  <c r="AD229" i="7"/>
  <c r="AG229" i="7"/>
  <c r="AJ229" i="7"/>
  <c r="AM229" i="7"/>
  <c r="AP229" i="7"/>
  <c r="AS229" i="7"/>
  <c r="AV229" i="7"/>
  <c r="AY229" i="7"/>
  <c r="BB229" i="7"/>
  <c r="BE229" i="7"/>
  <c r="BH229" i="7"/>
  <c r="BK229" i="7"/>
  <c r="BN229" i="7"/>
  <c r="BQ229" i="7"/>
  <c r="U229" i="7"/>
  <c r="O230" i="7"/>
  <c r="R230" i="7"/>
  <c r="X230" i="7"/>
  <c r="AA230" i="7"/>
  <c r="AD230" i="7"/>
  <c r="AG230" i="7"/>
  <c r="AJ230" i="7"/>
  <c r="AM230" i="7"/>
  <c r="AP230" i="7"/>
  <c r="AS230" i="7"/>
  <c r="AV230" i="7"/>
  <c r="AY230" i="7"/>
  <c r="BB230" i="7"/>
  <c r="BE230" i="7"/>
  <c r="BH230" i="7"/>
  <c r="BK230" i="7"/>
  <c r="BN230" i="7"/>
  <c r="BQ230" i="7"/>
  <c r="U230" i="7"/>
  <c r="O231" i="7"/>
  <c r="R231" i="7"/>
  <c r="X231" i="7"/>
  <c r="AA231" i="7"/>
  <c r="AD231" i="7"/>
  <c r="AG231" i="7"/>
  <c r="AJ231" i="7"/>
  <c r="AM231" i="7"/>
  <c r="AP231" i="7"/>
  <c r="AS231" i="7"/>
  <c r="AV231" i="7"/>
  <c r="AY231" i="7"/>
  <c r="BB231" i="7"/>
  <c r="BE231" i="7"/>
  <c r="BH231" i="7"/>
  <c r="BK231" i="7"/>
  <c r="BN231" i="7"/>
  <c r="BQ231" i="7"/>
  <c r="U231" i="7"/>
  <c r="O232" i="7"/>
  <c r="R232" i="7"/>
  <c r="X232" i="7"/>
  <c r="AA232" i="7"/>
  <c r="AD232" i="7"/>
  <c r="AG232" i="7"/>
  <c r="AJ232" i="7"/>
  <c r="AM232" i="7"/>
  <c r="AP232" i="7"/>
  <c r="AS232" i="7"/>
  <c r="AV232" i="7"/>
  <c r="AY232" i="7"/>
  <c r="BB232" i="7"/>
  <c r="BE232" i="7"/>
  <c r="BH232" i="7"/>
  <c r="BK232" i="7"/>
  <c r="BN232" i="7"/>
  <c r="BQ232" i="7"/>
  <c r="U232" i="7"/>
  <c r="O233" i="7"/>
  <c r="R233" i="7"/>
  <c r="X233" i="7"/>
  <c r="AA233" i="7"/>
  <c r="AD233" i="7"/>
  <c r="AG233" i="7"/>
  <c r="AJ233" i="7"/>
  <c r="AM233" i="7"/>
  <c r="AP233" i="7"/>
  <c r="AS233" i="7"/>
  <c r="AV233" i="7"/>
  <c r="AY233" i="7"/>
  <c r="BB233" i="7"/>
  <c r="BE233" i="7"/>
  <c r="BH233" i="7"/>
  <c r="BK233" i="7"/>
  <c r="BN233" i="7"/>
  <c r="BQ233" i="7"/>
  <c r="U233" i="7"/>
  <c r="O234" i="7"/>
  <c r="R234" i="7"/>
  <c r="X234" i="7"/>
  <c r="AA234" i="7"/>
  <c r="AD234" i="7"/>
  <c r="AG234" i="7"/>
  <c r="AJ234" i="7"/>
  <c r="AM234" i="7"/>
  <c r="AP234" i="7"/>
  <c r="AS234" i="7"/>
  <c r="AV234" i="7"/>
  <c r="AY234" i="7"/>
  <c r="BB234" i="7"/>
  <c r="BE234" i="7"/>
  <c r="BH234" i="7"/>
  <c r="BK234" i="7"/>
  <c r="BN234" i="7"/>
  <c r="BQ234" i="7"/>
  <c r="U234" i="7"/>
  <c r="O235" i="7"/>
  <c r="R235" i="7"/>
  <c r="X235" i="7"/>
  <c r="AA235" i="7"/>
  <c r="AD235" i="7"/>
  <c r="AG235" i="7"/>
  <c r="AJ235" i="7"/>
  <c r="AM235" i="7"/>
  <c r="AP235" i="7"/>
  <c r="AS235" i="7"/>
  <c r="AV235" i="7"/>
  <c r="AY235" i="7"/>
  <c r="BB235" i="7"/>
  <c r="BE235" i="7"/>
  <c r="BH235" i="7"/>
  <c r="BK235" i="7"/>
  <c r="BN235" i="7"/>
  <c r="BQ235" i="7"/>
  <c r="U235" i="7"/>
  <c r="O236" i="7"/>
  <c r="R236" i="7"/>
  <c r="X236" i="7"/>
  <c r="AA236" i="7"/>
  <c r="AD236" i="7"/>
  <c r="AG236" i="7"/>
  <c r="AJ236" i="7"/>
  <c r="AM236" i="7"/>
  <c r="AP236" i="7"/>
  <c r="AS236" i="7"/>
  <c r="AV236" i="7"/>
  <c r="AY236" i="7"/>
  <c r="BB236" i="7"/>
  <c r="BE236" i="7"/>
  <c r="BH236" i="7"/>
  <c r="BK236" i="7"/>
  <c r="BN236" i="7"/>
  <c r="BQ236" i="7"/>
  <c r="U236" i="7"/>
  <c r="O237" i="7"/>
  <c r="R237" i="7"/>
  <c r="X237" i="7"/>
  <c r="AA237" i="7"/>
  <c r="AD237" i="7"/>
  <c r="AG237" i="7"/>
  <c r="AJ237" i="7"/>
  <c r="AM237" i="7"/>
  <c r="AP237" i="7"/>
  <c r="AS237" i="7"/>
  <c r="AV237" i="7"/>
  <c r="AY237" i="7"/>
  <c r="BB237" i="7"/>
  <c r="BE237" i="7"/>
  <c r="BH237" i="7"/>
  <c r="BK237" i="7"/>
  <c r="BN237" i="7"/>
  <c r="BQ237" i="7"/>
  <c r="U237" i="7"/>
  <c r="O238" i="7"/>
  <c r="R238" i="7"/>
  <c r="X238" i="7"/>
  <c r="AA238" i="7"/>
  <c r="AD238" i="7"/>
  <c r="AG238" i="7"/>
  <c r="AJ238" i="7"/>
  <c r="AM238" i="7"/>
  <c r="AP238" i="7"/>
  <c r="AS238" i="7"/>
  <c r="AV238" i="7"/>
  <c r="AY238" i="7"/>
  <c r="BB238" i="7"/>
  <c r="BE238" i="7"/>
  <c r="BH238" i="7"/>
  <c r="BK238" i="7"/>
  <c r="BN238" i="7"/>
  <c r="BQ238" i="7"/>
  <c r="U238" i="7"/>
  <c r="O239" i="7"/>
  <c r="R239" i="7"/>
  <c r="X239" i="7"/>
  <c r="AA239" i="7"/>
  <c r="AD239" i="7"/>
  <c r="AG239" i="7"/>
  <c r="AJ239" i="7"/>
  <c r="AM239" i="7"/>
  <c r="AP239" i="7"/>
  <c r="AS239" i="7"/>
  <c r="AV239" i="7"/>
  <c r="AY239" i="7"/>
  <c r="BB239" i="7"/>
  <c r="BE239" i="7"/>
  <c r="BH239" i="7"/>
  <c r="BK239" i="7"/>
  <c r="BN239" i="7"/>
  <c r="BQ239" i="7"/>
  <c r="U239" i="7"/>
  <c r="O240" i="7"/>
  <c r="R240" i="7"/>
  <c r="X240" i="7"/>
  <c r="AA240" i="7"/>
  <c r="AD240" i="7"/>
  <c r="AG240" i="7"/>
  <c r="AJ240" i="7"/>
  <c r="AM240" i="7"/>
  <c r="AP240" i="7"/>
  <c r="AS240" i="7"/>
  <c r="AV240" i="7"/>
  <c r="AY240" i="7"/>
  <c r="BB240" i="7"/>
  <c r="BE240" i="7"/>
  <c r="BH240" i="7"/>
  <c r="BK240" i="7"/>
  <c r="BN240" i="7"/>
  <c r="BQ240" i="7"/>
  <c r="U240" i="7"/>
  <c r="O4" i="7"/>
  <c r="R4" i="7"/>
  <c r="X4" i="7"/>
  <c r="AA4" i="7"/>
  <c r="AD4" i="7"/>
  <c r="AG4" i="7"/>
  <c r="AJ4" i="7"/>
  <c r="AM4" i="7"/>
  <c r="AP4" i="7"/>
  <c r="AS4" i="7"/>
  <c r="AV4" i="7"/>
  <c r="AY4" i="7"/>
  <c r="BB4" i="7"/>
  <c r="BE4" i="7"/>
  <c r="BH4" i="7"/>
  <c r="BK4" i="7"/>
  <c r="BN4" i="7"/>
  <c r="BQ4" i="7"/>
  <c r="BT4" i="7"/>
  <c r="BW4" i="7"/>
  <c r="BZ4" i="7"/>
  <c r="CC4" i="7"/>
  <c r="CF4" i="7"/>
  <c r="CI4" i="7"/>
  <c r="CL4" i="7"/>
  <c r="CO4" i="7"/>
  <c r="CR4" i="7"/>
  <c r="U4" i="7"/>
  <c r="A2" i="2"/>
  <c r="L2" i="2" s="1"/>
  <c r="H2" i="2" s="1"/>
  <c r="M100" i="2"/>
  <c r="B99" i="5" s="1"/>
  <c r="L194" i="2"/>
  <c r="L195" i="2"/>
  <c r="L196" i="2"/>
  <c r="L197" i="2"/>
  <c r="L198" i="2"/>
  <c r="L199" i="2"/>
  <c r="L200" i="2"/>
  <c r="L201" i="2"/>
  <c r="L202" i="2"/>
  <c r="K78" i="2"/>
  <c r="A77" i="5" s="1"/>
  <c r="L78" i="2"/>
  <c r="BH53" i="2"/>
  <c r="BG53" i="2"/>
  <c r="Y53" i="2"/>
  <c r="Q53" i="2"/>
  <c r="DG53" i="7" s="1"/>
  <c r="P53" i="2"/>
  <c r="O53" i="2"/>
  <c r="N53" i="2"/>
  <c r="M53" i="2"/>
  <c r="B52" i="5" s="1"/>
  <c r="L53" i="2"/>
  <c r="K53" i="2"/>
  <c r="A52" i="5" s="1"/>
  <c r="Y113" i="2"/>
  <c r="Y112" i="2"/>
  <c r="DE240" i="7"/>
  <c r="DA240" i="7"/>
  <c r="A240" i="7"/>
  <c r="D240" i="7" s="1"/>
  <c r="DE239" i="7"/>
  <c r="DA239" i="7"/>
  <c r="A239" i="7"/>
  <c r="E239" i="7" s="1"/>
  <c r="DE238" i="7"/>
  <c r="DA238" i="7"/>
  <c r="A238" i="7"/>
  <c r="F238" i="7" s="1"/>
  <c r="DE237" i="7"/>
  <c r="DA237" i="7"/>
  <c r="A237" i="7"/>
  <c r="E237" i="7" s="1"/>
  <c r="DE236" i="7"/>
  <c r="DA236" i="7"/>
  <c r="A236" i="7"/>
  <c r="F236" i="7" s="1"/>
  <c r="Y240" i="2"/>
  <c r="Q240" i="2"/>
  <c r="DG240" i="7" s="1"/>
  <c r="P240" i="2"/>
  <c r="O240" i="2"/>
  <c r="Y239" i="2"/>
  <c r="Q239" i="2"/>
  <c r="DG239" i="7" s="1"/>
  <c r="P239" i="2"/>
  <c r="O239" i="2"/>
  <c r="Y238" i="2"/>
  <c r="Q238" i="2"/>
  <c r="DG238" i="7" s="1"/>
  <c r="P238" i="2"/>
  <c r="O238" i="2"/>
  <c r="Y237" i="2"/>
  <c r="Q237" i="2"/>
  <c r="DG237" i="7" s="1"/>
  <c r="P237" i="2"/>
  <c r="O237" i="2"/>
  <c r="Y236" i="2"/>
  <c r="Q236" i="2"/>
  <c r="DG236" i="7" s="1"/>
  <c r="P236" i="2"/>
  <c r="O236" i="2"/>
  <c r="N240" i="2"/>
  <c r="N239" i="2"/>
  <c r="N238" i="2"/>
  <c r="N237" i="2"/>
  <c r="N236" i="2"/>
  <c r="N235" i="2"/>
  <c r="M237" i="2"/>
  <c r="B236" i="5" s="1"/>
  <c r="L237" i="2"/>
  <c r="K237" i="2"/>
  <c r="A236" i="5" s="1"/>
  <c r="M236" i="2"/>
  <c r="B235" i="5" s="1"/>
  <c r="L236" i="2"/>
  <c r="K236" i="2"/>
  <c r="A235" i="5" s="1"/>
  <c r="BH240" i="2"/>
  <c r="BG240" i="2"/>
  <c r="M240" i="2"/>
  <c r="B239" i="5" s="1"/>
  <c r="L240" i="2"/>
  <c r="K240" i="2"/>
  <c r="A239" i="5" s="1"/>
  <c r="BH238" i="2"/>
  <c r="BG238" i="2"/>
  <c r="M238" i="2"/>
  <c r="B237" i="5" s="1"/>
  <c r="L238" i="2"/>
  <c r="K238" i="2"/>
  <c r="A237" i="5" s="1"/>
  <c r="BH235" i="2"/>
  <c r="BG235" i="2"/>
  <c r="Y235" i="2"/>
  <c r="Q235" i="2"/>
  <c r="DG235" i="7" s="1"/>
  <c r="P235" i="2"/>
  <c r="O235" i="2"/>
  <c r="M235" i="2"/>
  <c r="B234" i="5" s="1"/>
  <c r="L235" i="2"/>
  <c r="K235" i="2"/>
  <c r="A234" i="5" s="1"/>
  <c r="DE130" i="7"/>
  <c r="AI129" i="5" s="1"/>
  <c r="DE133" i="7"/>
  <c r="AI132" i="5" s="1"/>
  <c r="DA133" i="7"/>
  <c r="A133" i="7"/>
  <c r="F133" i="7" s="1"/>
  <c r="N133" i="2"/>
  <c r="BH133" i="2"/>
  <c r="BG133" i="2"/>
  <c r="Y133" i="2"/>
  <c r="Q133" i="2"/>
  <c r="DG133" i="7" s="1"/>
  <c r="P133" i="2"/>
  <c r="O133" i="2"/>
  <c r="M133" i="2"/>
  <c r="B132" i="5" s="1"/>
  <c r="L133" i="2"/>
  <c r="K133" i="2"/>
  <c r="A132" i="5" s="1"/>
  <c r="DE113" i="7"/>
  <c r="AI112" i="5" s="1"/>
  <c r="DA113" i="7"/>
  <c r="CX113" i="7"/>
  <c r="CU113" i="7"/>
  <c r="A113" i="7"/>
  <c r="C113" i="7" s="1"/>
  <c r="Q113" i="2"/>
  <c r="DG113" i="7" s="1"/>
  <c r="P113" i="2"/>
  <c r="O113" i="2"/>
  <c r="N113" i="2"/>
  <c r="M113" i="2"/>
  <c r="B112" i="5" s="1"/>
  <c r="L113" i="2"/>
  <c r="K113" i="2"/>
  <c r="A112" i="5" s="1"/>
  <c r="K35" i="2"/>
  <c r="A34" i="5" s="1"/>
  <c r="M182" i="2"/>
  <c r="B181" i="5" s="1"/>
  <c r="N182" i="2"/>
  <c r="O182" i="2"/>
  <c r="P182" i="2"/>
  <c r="Q182" i="2"/>
  <c r="DG182" i="7" s="1"/>
  <c r="Y182" i="2"/>
  <c r="BG182" i="2"/>
  <c r="BH182" i="2"/>
  <c r="AB3" i="2"/>
  <c r="O2" i="7" s="1"/>
  <c r="R2" i="7" s="1"/>
  <c r="U2" i="7" s="1"/>
  <c r="X2" i="7" s="1"/>
  <c r="AA2" i="7" s="1"/>
  <c r="AD2" i="7" s="1"/>
  <c r="AG2" i="7" s="1"/>
  <c r="AJ2" i="7" s="1"/>
  <c r="AM2" i="7" s="1"/>
  <c r="AP2" i="7" s="1"/>
  <c r="AS2" i="7" s="1"/>
  <c r="AV2" i="7" s="1"/>
  <c r="AY2" i="7" s="1"/>
  <c r="BB2" i="7" s="1"/>
  <c r="BE2" i="7" s="1"/>
  <c r="BH2" i="7" s="1"/>
  <c r="BK2" i="7" s="1"/>
  <c r="BN2" i="7" s="1"/>
  <c r="BQ2" i="7" s="1"/>
  <c r="BT2" i="7" s="1"/>
  <c r="BW2" i="7" s="1"/>
  <c r="BZ2" i="7" s="1"/>
  <c r="CC2" i="7" s="1"/>
  <c r="CF2" i="7" s="1"/>
  <c r="CI2" i="7" s="1"/>
  <c r="CL2" i="7" s="1"/>
  <c r="CO2" i="7" s="1"/>
  <c r="CR2" i="7" s="1"/>
  <c r="CU2" i="7" s="1"/>
  <c r="CX2" i="7" s="1"/>
  <c r="DA2" i="7" s="1"/>
  <c r="B3" i="9"/>
  <c r="B4" i="9" s="1"/>
  <c r="N131" i="2"/>
  <c r="N132" i="2"/>
  <c r="N134" i="2"/>
  <c r="N130" i="2"/>
  <c r="N84" i="2"/>
  <c r="N85" i="2"/>
  <c r="N86" i="2"/>
  <c r="N87" i="2"/>
  <c r="N88" i="2"/>
  <c r="N89" i="2"/>
  <c r="N90" i="2"/>
  <c r="N91" i="2"/>
  <c r="N92" i="2"/>
  <c r="N93" i="2"/>
  <c r="N94" i="2"/>
  <c r="N83" i="2"/>
  <c r="N37" i="2"/>
  <c r="N38" i="2"/>
  <c r="N39" i="2"/>
  <c r="N40" i="2"/>
  <c r="N41" i="2"/>
  <c r="N42" i="2"/>
  <c r="N43" i="2"/>
  <c r="N44" i="2"/>
  <c r="N45" i="2"/>
  <c r="N46" i="2"/>
  <c r="N47" i="2"/>
  <c r="N48" i="2"/>
  <c r="N36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49" i="2"/>
  <c r="N50" i="2"/>
  <c r="N51" i="2"/>
  <c r="N52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95" i="2"/>
  <c r="N96" i="2"/>
  <c r="N97" i="2"/>
  <c r="N100" i="2"/>
  <c r="N103" i="2"/>
  <c r="N104" i="2"/>
  <c r="N105" i="2"/>
  <c r="N106" i="2"/>
  <c r="N107" i="2"/>
  <c r="N108" i="2"/>
  <c r="N109" i="2"/>
  <c r="N110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K2" i="2"/>
  <c r="D40" i="9"/>
  <c r="E32" i="9"/>
  <c r="E33" i="9"/>
  <c r="E34" i="9"/>
  <c r="E35" i="9"/>
  <c r="E36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B2" i="2"/>
  <c r="N5" i="2"/>
  <c r="DA197" i="7"/>
  <c r="A4" i="7"/>
  <c r="F4" i="7" s="1"/>
  <c r="A5" i="7"/>
  <c r="C5" i="7" s="1"/>
  <c r="A6" i="7"/>
  <c r="C6" i="7" s="1"/>
  <c r="A7" i="7"/>
  <c r="C7" i="7" s="1"/>
  <c r="A8" i="7"/>
  <c r="D8" i="7" s="1"/>
  <c r="A9" i="7"/>
  <c r="D9" i="7" s="1"/>
  <c r="A10" i="7"/>
  <c r="C10" i="7" s="1"/>
  <c r="A11" i="7"/>
  <c r="C11" i="7" s="1"/>
  <c r="A12" i="7"/>
  <c r="C12" i="7" s="1"/>
  <c r="A13" i="7"/>
  <c r="D13" i="7" s="1"/>
  <c r="A14" i="7"/>
  <c r="C14" i="7" s="1"/>
  <c r="A15" i="7"/>
  <c r="F15" i="7" s="1"/>
  <c r="A16" i="7"/>
  <c r="F16" i="7" s="1"/>
  <c r="A17" i="7"/>
  <c r="D17" i="7" s="1"/>
  <c r="A18" i="7"/>
  <c r="D18" i="7" s="1"/>
  <c r="A19" i="7"/>
  <c r="D19" i="7" s="1"/>
  <c r="A20" i="7"/>
  <c r="F20" i="7" s="1"/>
  <c r="A21" i="7"/>
  <c r="D21" i="7" s="1"/>
  <c r="A22" i="7"/>
  <c r="D22" i="7" s="1"/>
  <c r="A23" i="7"/>
  <c r="B23" i="7" s="1"/>
  <c r="A24" i="7"/>
  <c r="F24" i="7" s="1"/>
  <c r="A25" i="7"/>
  <c r="D25" i="7" s="1"/>
  <c r="A26" i="7"/>
  <c r="D26" i="7" s="1"/>
  <c r="A27" i="7"/>
  <c r="F27" i="7" s="1"/>
  <c r="A28" i="7"/>
  <c r="F28" i="7" s="1"/>
  <c r="A29" i="7"/>
  <c r="C29" i="7" s="1"/>
  <c r="A30" i="7"/>
  <c r="C30" i="7" s="1"/>
  <c r="A31" i="7"/>
  <c r="D31" i="7" s="1"/>
  <c r="A32" i="7"/>
  <c r="F32" i="7" s="1"/>
  <c r="A33" i="7"/>
  <c r="D33" i="7" s="1"/>
  <c r="A34" i="7"/>
  <c r="D34" i="7" s="1"/>
  <c r="A35" i="7"/>
  <c r="F35" i="7" s="1"/>
  <c r="A36" i="7"/>
  <c r="E36" i="7" s="1"/>
  <c r="A37" i="7"/>
  <c r="D37" i="7" s="1"/>
  <c r="A38" i="7"/>
  <c r="D38" i="7" s="1"/>
  <c r="A39" i="7"/>
  <c r="F39" i="7" s="1"/>
  <c r="A40" i="7"/>
  <c r="F40" i="7" s="1"/>
  <c r="A41" i="7"/>
  <c r="D41" i="7" s="1"/>
  <c r="A42" i="7"/>
  <c r="D42" i="7" s="1"/>
  <c r="A43" i="7"/>
  <c r="C43" i="7" s="1"/>
  <c r="A44" i="7"/>
  <c r="B44" i="7" s="1"/>
  <c r="A45" i="7"/>
  <c r="D45" i="7" s="1"/>
  <c r="A46" i="7"/>
  <c r="C46" i="7" s="1"/>
  <c r="A47" i="7"/>
  <c r="C47" i="7" s="1"/>
  <c r="A48" i="7"/>
  <c r="E48" i="7" s="1"/>
  <c r="A49" i="7"/>
  <c r="D49" i="7" s="1"/>
  <c r="A50" i="7"/>
  <c r="B50" i="7" s="1"/>
  <c r="A51" i="7"/>
  <c r="F51" i="7" s="1"/>
  <c r="A52" i="7"/>
  <c r="D52" i="7" s="1"/>
  <c r="A53" i="7"/>
  <c r="D53" i="7" s="1"/>
  <c r="A54" i="7"/>
  <c r="C54" i="7" s="1"/>
  <c r="A55" i="7"/>
  <c r="D55" i="7" s="1"/>
  <c r="A56" i="7"/>
  <c r="E56" i="7" s="1"/>
  <c r="A57" i="7"/>
  <c r="D57" i="7" s="1"/>
  <c r="A58" i="7"/>
  <c r="B58" i="7" s="1"/>
  <c r="A59" i="7"/>
  <c r="E59" i="7" s="1"/>
  <c r="A60" i="7"/>
  <c r="F60" i="7" s="1"/>
  <c r="A61" i="7"/>
  <c r="F61" i="7" s="1"/>
  <c r="A62" i="7"/>
  <c r="C62" i="7" s="1"/>
  <c r="A63" i="7"/>
  <c r="F63" i="7" s="1"/>
  <c r="A64" i="7"/>
  <c r="E64" i="7" s="1"/>
  <c r="A65" i="7"/>
  <c r="D65" i="7" s="1"/>
  <c r="A66" i="7"/>
  <c r="D66" i="7" s="1"/>
  <c r="A67" i="7"/>
  <c r="B67" i="7" s="1"/>
  <c r="A68" i="7"/>
  <c r="F68" i="7" s="1"/>
  <c r="A69" i="7"/>
  <c r="D69" i="7" s="1"/>
  <c r="A70" i="7"/>
  <c r="F70" i="7" s="1"/>
  <c r="A71" i="7"/>
  <c r="F71" i="7" s="1"/>
  <c r="A72" i="7"/>
  <c r="D72" i="7" s="1"/>
  <c r="A73" i="7"/>
  <c r="B73" i="7" s="1"/>
  <c r="A74" i="7"/>
  <c r="C74" i="7" s="1"/>
  <c r="A75" i="7"/>
  <c r="F75" i="7" s="1"/>
  <c r="A76" i="7"/>
  <c r="D76" i="7" s="1"/>
  <c r="A77" i="7"/>
  <c r="C77" i="7" s="1"/>
  <c r="A78" i="7"/>
  <c r="C78" i="7" s="1"/>
  <c r="A79" i="7"/>
  <c r="F79" i="7" s="1"/>
  <c r="A80" i="7"/>
  <c r="C80" i="7" s="1"/>
  <c r="A81" i="7"/>
  <c r="B81" i="7" s="1"/>
  <c r="A82" i="7"/>
  <c r="B82" i="7" s="1"/>
  <c r="A83" i="7"/>
  <c r="F83" i="7" s="1"/>
  <c r="A84" i="7"/>
  <c r="D84" i="7" s="1"/>
  <c r="A85" i="7"/>
  <c r="D85" i="7" s="1"/>
  <c r="A86" i="7"/>
  <c r="B86" i="7" s="1"/>
  <c r="A87" i="7"/>
  <c r="E87" i="7" s="1"/>
  <c r="A88" i="7"/>
  <c r="D88" i="7" s="1"/>
  <c r="A89" i="7"/>
  <c r="B89" i="7" s="1"/>
  <c r="A90" i="7"/>
  <c r="E90" i="7" s="1"/>
  <c r="A91" i="7"/>
  <c r="F91" i="7" s="1"/>
  <c r="A92" i="7"/>
  <c r="B92" i="7" s="1"/>
  <c r="A93" i="7"/>
  <c r="B93" i="7" s="1"/>
  <c r="A94" i="7"/>
  <c r="D94" i="7" s="1"/>
  <c r="A95" i="7"/>
  <c r="D95" i="7" s="1"/>
  <c r="A96" i="7"/>
  <c r="D96" i="7" s="1"/>
  <c r="A97" i="7"/>
  <c r="D97" i="7" s="1"/>
  <c r="A98" i="7"/>
  <c r="B98" i="7" s="1"/>
  <c r="A99" i="7"/>
  <c r="E99" i="7" s="1"/>
  <c r="A100" i="7"/>
  <c r="D100" i="7" s="1"/>
  <c r="A101" i="7"/>
  <c r="D101" i="7" s="1"/>
  <c r="A102" i="7"/>
  <c r="B102" i="7" s="1"/>
  <c r="A103" i="7"/>
  <c r="F103" i="7" s="1"/>
  <c r="A104" i="7"/>
  <c r="D104" i="7" s="1"/>
  <c r="A105" i="7"/>
  <c r="D105" i="7" s="1"/>
  <c r="A106" i="7"/>
  <c r="F106" i="7" s="1"/>
  <c r="A107" i="7"/>
  <c r="C107" i="7" s="1"/>
  <c r="A108" i="7"/>
  <c r="D108" i="7" s="1"/>
  <c r="A109" i="7"/>
  <c r="B109" i="7" s="1"/>
  <c r="A110" i="7"/>
  <c r="B110" i="7" s="1"/>
  <c r="A111" i="7"/>
  <c r="E111" i="7" s="1"/>
  <c r="A112" i="7"/>
  <c r="B112" i="7" s="1"/>
  <c r="A114" i="7"/>
  <c r="D114" i="7" s="1"/>
  <c r="A115" i="7"/>
  <c r="C115" i="7" s="1"/>
  <c r="A116" i="7"/>
  <c r="F116" i="7" s="1"/>
  <c r="A117" i="7"/>
  <c r="B117" i="7" s="1"/>
  <c r="A118" i="7"/>
  <c r="D118" i="7" s="1"/>
  <c r="A119" i="7"/>
  <c r="D119" i="7" s="1"/>
  <c r="A120" i="7"/>
  <c r="B120" i="7" s="1"/>
  <c r="A121" i="7"/>
  <c r="F121" i="7" s="1"/>
  <c r="A122" i="7"/>
  <c r="C122" i="7" s="1"/>
  <c r="A123" i="7"/>
  <c r="B123" i="7" s="1"/>
  <c r="A124" i="7"/>
  <c r="B124" i="7" s="1"/>
  <c r="A125" i="7"/>
  <c r="C125" i="7" s="1"/>
  <c r="A126" i="7"/>
  <c r="D126" i="7" s="1"/>
  <c r="A127" i="7"/>
  <c r="D127" i="7" s="1"/>
  <c r="A128" i="7"/>
  <c r="F128" i="7" s="1"/>
  <c r="A129" i="7"/>
  <c r="D129" i="7" s="1"/>
  <c r="A130" i="7"/>
  <c r="D130" i="7" s="1"/>
  <c r="A131" i="7"/>
  <c r="B131" i="7" s="1"/>
  <c r="A132" i="7"/>
  <c r="F132" i="7" s="1"/>
  <c r="A134" i="7"/>
  <c r="E134" i="7" s="1"/>
  <c r="A135" i="7"/>
  <c r="D135" i="7" s="1"/>
  <c r="A136" i="7"/>
  <c r="D136" i="7" s="1"/>
  <c r="A137" i="7"/>
  <c r="B137" i="7" s="1"/>
  <c r="A138" i="7"/>
  <c r="D138" i="7" s="1"/>
  <c r="A139" i="7"/>
  <c r="E139" i="7" s="1"/>
  <c r="A140" i="7"/>
  <c r="F140" i="7" s="1"/>
  <c r="A141" i="7"/>
  <c r="E141" i="7" s="1"/>
  <c r="A142" i="7"/>
  <c r="F142" i="7" s="1"/>
  <c r="A143" i="7"/>
  <c r="D143" i="7" s="1"/>
  <c r="A144" i="7"/>
  <c r="E144" i="7" s="1"/>
  <c r="A145" i="7"/>
  <c r="F145" i="7" s="1"/>
  <c r="A146" i="7"/>
  <c r="F146" i="7" s="1"/>
  <c r="A147" i="7"/>
  <c r="D147" i="7" s="1"/>
  <c r="A148" i="7"/>
  <c r="B148" i="7" s="1"/>
  <c r="A149" i="7"/>
  <c r="F149" i="7" s="1"/>
  <c r="A150" i="7"/>
  <c r="D150" i="7" s="1"/>
  <c r="A151" i="7"/>
  <c r="F151" i="7" s="1"/>
  <c r="A152" i="7"/>
  <c r="D152" i="7" s="1"/>
  <c r="A153" i="7"/>
  <c r="C153" i="7" s="1"/>
  <c r="A154" i="7"/>
  <c r="F154" i="7" s="1"/>
  <c r="A155" i="7"/>
  <c r="B155" i="7" s="1"/>
  <c r="A156" i="7"/>
  <c r="E156" i="7" s="1"/>
  <c r="A157" i="7"/>
  <c r="D157" i="7" s="1"/>
  <c r="A158" i="7"/>
  <c r="D158" i="7" s="1"/>
  <c r="A159" i="7"/>
  <c r="D159" i="7" s="1"/>
  <c r="A160" i="7"/>
  <c r="B160" i="7" s="1"/>
  <c r="A161" i="7"/>
  <c r="D161" i="7" s="1"/>
  <c r="A162" i="7"/>
  <c r="B162" i="7" s="1"/>
  <c r="A163" i="7"/>
  <c r="D163" i="7" s="1"/>
  <c r="A164" i="7"/>
  <c r="C164" i="7" s="1"/>
  <c r="A165" i="7"/>
  <c r="C165" i="7" s="1"/>
  <c r="A166" i="7"/>
  <c r="E166" i="7" s="1"/>
  <c r="A167" i="7"/>
  <c r="D167" i="7" s="1"/>
  <c r="A168" i="7"/>
  <c r="B168" i="7" s="1"/>
  <c r="A169" i="7"/>
  <c r="B169" i="7" s="1"/>
  <c r="A170" i="7"/>
  <c r="D170" i="7" s="1"/>
  <c r="A171" i="7"/>
  <c r="E171" i="7" s="1"/>
  <c r="A172" i="7"/>
  <c r="E172" i="7" s="1"/>
  <c r="A173" i="7"/>
  <c r="B173" i="7" s="1"/>
  <c r="A174" i="7"/>
  <c r="F174" i="7" s="1"/>
  <c r="A175" i="7"/>
  <c r="F175" i="7" s="1"/>
  <c r="A176" i="7"/>
  <c r="D176" i="7" s="1"/>
  <c r="A177" i="7"/>
  <c r="C177" i="7" s="1"/>
  <c r="A178" i="7"/>
  <c r="E178" i="7" s="1"/>
  <c r="A179" i="7"/>
  <c r="D179" i="7" s="1"/>
  <c r="A180" i="7"/>
  <c r="B180" i="7" s="1"/>
  <c r="A181" i="7"/>
  <c r="B181" i="7" s="1"/>
  <c r="A182" i="7"/>
  <c r="F182" i="7" s="1"/>
  <c r="A183" i="7"/>
  <c r="B183" i="7" s="1"/>
  <c r="A184" i="7"/>
  <c r="B184" i="7" s="1"/>
  <c r="A185" i="7"/>
  <c r="D185" i="7" s="1"/>
  <c r="A186" i="7"/>
  <c r="C186" i="7" s="1"/>
  <c r="A187" i="7"/>
  <c r="D187" i="7" s="1"/>
  <c r="A188" i="7"/>
  <c r="B188" i="7" s="1"/>
  <c r="A189" i="7"/>
  <c r="B189" i="7" s="1"/>
  <c r="A190" i="7"/>
  <c r="D190" i="7" s="1"/>
  <c r="A191" i="7"/>
  <c r="D191" i="7" s="1"/>
  <c r="A192" i="7"/>
  <c r="C192" i="7" s="1"/>
  <c r="A193" i="7"/>
  <c r="E193" i="7" s="1"/>
  <c r="A194" i="7"/>
  <c r="A195" i="7"/>
  <c r="D195" i="7" s="1"/>
  <c r="A196" i="7"/>
  <c r="B196" i="7" s="1"/>
  <c r="A197" i="7"/>
  <c r="E197" i="7" s="1"/>
  <c r="A198" i="7"/>
  <c r="F198" i="7" s="1"/>
  <c r="A199" i="7"/>
  <c r="D199" i="7" s="1"/>
  <c r="A200" i="7"/>
  <c r="D200" i="7" s="1"/>
  <c r="A201" i="7"/>
  <c r="F201" i="7" s="1"/>
  <c r="A202" i="7"/>
  <c r="E202" i="7" s="1"/>
  <c r="A203" i="7"/>
  <c r="D203" i="7" s="1"/>
  <c r="A204" i="7"/>
  <c r="D204" i="7" s="1"/>
  <c r="A205" i="7"/>
  <c r="C205" i="7" s="1"/>
  <c r="A206" i="7"/>
  <c r="E206" i="7" s="1"/>
  <c r="A207" i="7"/>
  <c r="D207" i="7" s="1"/>
  <c r="A208" i="7"/>
  <c r="D208" i="7" s="1"/>
  <c r="A209" i="7"/>
  <c r="C209" i="7" s="1"/>
  <c r="A210" i="7"/>
  <c r="E210" i="7" s="1"/>
  <c r="A211" i="7"/>
  <c r="D211" i="7" s="1"/>
  <c r="A212" i="7"/>
  <c r="D212" i="7" s="1"/>
  <c r="A213" i="7"/>
  <c r="D213" i="7" s="1"/>
  <c r="A214" i="7"/>
  <c r="F214" i="7" s="1"/>
  <c r="A215" i="7"/>
  <c r="D215" i="7" s="1"/>
  <c r="A216" i="7"/>
  <c r="F216" i="7" s="1"/>
  <c r="A217" i="7"/>
  <c r="C217" i="7" s="1"/>
  <c r="A218" i="7"/>
  <c r="F218" i="7" s="1"/>
  <c r="A219" i="7"/>
  <c r="D219" i="7" s="1"/>
  <c r="A220" i="7"/>
  <c r="B220" i="7" s="1"/>
  <c r="A221" i="7"/>
  <c r="D221" i="7" s="1"/>
  <c r="A222" i="7"/>
  <c r="F222" i="7" s="1"/>
  <c r="A223" i="7"/>
  <c r="F223" i="7" s="1"/>
  <c r="A224" i="7"/>
  <c r="D224" i="7" s="1"/>
  <c r="A225" i="7"/>
  <c r="C225" i="7" s="1"/>
  <c r="A226" i="7"/>
  <c r="C226" i="7" s="1"/>
  <c r="A227" i="7"/>
  <c r="D227" i="7" s="1"/>
  <c r="A228" i="7"/>
  <c r="B228" i="7" s="1"/>
  <c r="A229" i="7"/>
  <c r="D229" i="7" s="1"/>
  <c r="A230" i="7"/>
  <c r="F230" i="7" s="1"/>
  <c r="A231" i="7"/>
  <c r="D231" i="7" s="1"/>
  <c r="A232" i="7"/>
  <c r="B232" i="7" s="1"/>
  <c r="A233" i="7"/>
  <c r="F233" i="7" s="1"/>
  <c r="A234" i="7"/>
  <c r="E234" i="7" s="1"/>
  <c r="A235" i="7"/>
  <c r="C235" i="7" s="1"/>
  <c r="A264" i="7"/>
  <c r="CU4" i="7"/>
  <c r="CX4" i="7"/>
  <c r="DA4" i="7"/>
  <c r="CU5" i="7"/>
  <c r="CX5" i="7"/>
  <c r="DA5" i="7"/>
  <c r="CU6" i="7"/>
  <c r="CX6" i="7"/>
  <c r="DA6" i="7"/>
  <c r="CU7" i="7"/>
  <c r="CX7" i="7"/>
  <c r="DA7" i="7"/>
  <c r="CU8" i="7"/>
  <c r="CX8" i="7"/>
  <c r="DA8" i="7"/>
  <c r="CU9" i="7"/>
  <c r="CX9" i="7"/>
  <c r="DA9" i="7"/>
  <c r="CU10" i="7"/>
  <c r="CX10" i="7"/>
  <c r="DA10" i="7"/>
  <c r="CU11" i="7"/>
  <c r="CX11" i="7"/>
  <c r="DA11" i="7"/>
  <c r="CU12" i="7"/>
  <c r="CX12" i="7"/>
  <c r="DA12" i="7"/>
  <c r="CU13" i="7"/>
  <c r="CX13" i="7"/>
  <c r="DA13" i="7"/>
  <c r="CU14" i="7"/>
  <c r="CX14" i="7"/>
  <c r="DA14" i="7"/>
  <c r="CU15" i="7"/>
  <c r="CX15" i="7"/>
  <c r="DA15" i="7"/>
  <c r="CU16" i="7"/>
  <c r="CX16" i="7"/>
  <c r="DA16" i="7"/>
  <c r="CU17" i="7"/>
  <c r="CX17" i="7"/>
  <c r="DA17" i="7"/>
  <c r="CU18" i="7"/>
  <c r="CX18" i="7"/>
  <c r="DA18" i="7"/>
  <c r="CU19" i="7"/>
  <c r="CX19" i="7"/>
  <c r="DA19" i="7"/>
  <c r="CU20" i="7"/>
  <c r="CX20" i="7"/>
  <c r="DA20" i="7"/>
  <c r="CU21" i="7"/>
  <c r="CX21" i="7"/>
  <c r="DA21" i="7"/>
  <c r="CU22" i="7"/>
  <c r="CX22" i="7"/>
  <c r="DA22" i="7"/>
  <c r="CU23" i="7"/>
  <c r="CX23" i="7"/>
  <c r="DA23" i="7"/>
  <c r="CU24" i="7"/>
  <c r="CX24" i="7"/>
  <c r="DA24" i="7"/>
  <c r="CU25" i="7"/>
  <c r="CX25" i="7"/>
  <c r="DA25" i="7"/>
  <c r="CU26" i="7"/>
  <c r="CX26" i="7"/>
  <c r="DA26" i="7"/>
  <c r="CU27" i="7"/>
  <c r="CX27" i="7"/>
  <c r="DA27" i="7"/>
  <c r="CU28" i="7"/>
  <c r="CX28" i="7"/>
  <c r="DA28" i="7"/>
  <c r="CU29" i="7"/>
  <c r="CX29" i="7"/>
  <c r="DA29" i="7"/>
  <c r="CU30" i="7"/>
  <c r="CX30" i="7"/>
  <c r="DA30" i="7"/>
  <c r="CU31" i="7"/>
  <c r="CX31" i="7"/>
  <c r="DA31" i="7"/>
  <c r="CU32" i="7"/>
  <c r="CX32" i="7"/>
  <c r="DA32" i="7"/>
  <c r="CU33" i="7"/>
  <c r="CX33" i="7"/>
  <c r="DA33" i="7"/>
  <c r="CU34" i="7"/>
  <c r="CX34" i="7"/>
  <c r="DA34" i="7"/>
  <c r="CU35" i="7"/>
  <c r="CX35" i="7"/>
  <c r="DA35" i="7"/>
  <c r="CU36" i="7"/>
  <c r="CX36" i="7"/>
  <c r="DA36" i="7"/>
  <c r="CU37" i="7"/>
  <c r="CX37" i="7"/>
  <c r="DA37" i="7"/>
  <c r="CU38" i="7"/>
  <c r="CX38" i="7"/>
  <c r="DA38" i="7"/>
  <c r="CU39" i="7"/>
  <c r="CX39" i="7"/>
  <c r="DA39" i="7"/>
  <c r="CU40" i="7"/>
  <c r="CX40" i="7"/>
  <c r="DA40" i="7"/>
  <c r="CU41" i="7"/>
  <c r="CX41" i="7"/>
  <c r="DA41" i="7"/>
  <c r="CU42" i="7"/>
  <c r="CX42" i="7"/>
  <c r="DA42" i="7"/>
  <c r="CU43" i="7"/>
  <c r="CX43" i="7"/>
  <c r="DA43" i="7"/>
  <c r="CU44" i="7"/>
  <c r="CX44" i="7"/>
  <c r="DA44" i="7"/>
  <c r="CU45" i="7"/>
  <c r="CX45" i="7"/>
  <c r="DA45" i="7"/>
  <c r="CU46" i="7"/>
  <c r="CX46" i="7"/>
  <c r="DA46" i="7"/>
  <c r="CU47" i="7"/>
  <c r="CX47" i="7"/>
  <c r="DA47" i="7"/>
  <c r="CU48" i="7"/>
  <c r="CX48" i="7"/>
  <c r="DA48" i="7"/>
  <c r="CU49" i="7"/>
  <c r="CX49" i="7"/>
  <c r="DA49" i="7"/>
  <c r="CU50" i="7"/>
  <c r="CX50" i="7"/>
  <c r="DA50" i="7"/>
  <c r="CU51" i="7"/>
  <c r="CX51" i="7"/>
  <c r="DA51" i="7"/>
  <c r="CU52" i="7"/>
  <c r="CX52" i="7"/>
  <c r="DA52" i="7"/>
  <c r="CU53" i="7"/>
  <c r="CX53" i="7"/>
  <c r="DA53" i="7"/>
  <c r="CU54" i="7"/>
  <c r="CX54" i="7"/>
  <c r="DA54" i="7"/>
  <c r="CU55" i="7"/>
  <c r="CX55" i="7"/>
  <c r="DA55" i="7"/>
  <c r="CU56" i="7"/>
  <c r="CX56" i="7"/>
  <c r="DA56" i="7"/>
  <c r="CU57" i="7"/>
  <c r="CX57" i="7"/>
  <c r="DA57" i="7"/>
  <c r="CU58" i="7"/>
  <c r="CX58" i="7"/>
  <c r="DA58" i="7"/>
  <c r="CU59" i="7"/>
  <c r="CX59" i="7"/>
  <c r="DA59" i="7"/>
  <c r="CU60" i="7"/>
  <c r="CX60" i="7"/>
  <c r="DA60" i="7"/>
  <c r="CU61" i="7"/>
  <c r="CX61" i="7"/>
  <c r="DA61" i="7"/>
  <c r="CU62" i="7"/>
  <c r="CX62" i="7"/>
  <c r="DA62" i="7"/>
  <c r="CU63" i="7"/>
  <c r="CX63" i="7"/>
  <c r="DA63" i="7"/>
  <c r="CU64" i="7"/>
  <c r="CX64" i="7"/>
  <c r="DA64" i="7"/>
  <c r="CU65" i="7"/>
  <c r="CX65" i="7"/>
  <c r="DA65" i="7"/>
  <c r="CU66" i="7"/>
  <c r="CX66" i="7"/>
  <c r="DA66" i="7"/>
  <c r="CU67" i="7"/>
  <c r="CX67" i="7"/>
  <c r="DA67" i="7"/>
  <c r="CU68" i="7"/>
  <c r="CX68" i="7"/>
  <c r="DA68" i="7"/>
  <c r="CU69" i="7"/>
  <c r="CX69" i="7"/>
  <c r="DA69" i="7"/>
  <c r="CU70" i="7"/>
  <c r="CX70" i="7"/>
  <c r="DA70" i="7"/>
  <c r="CU71" i="7"/>
  <c r="CX71" i="7"/>
  <c r="DA71" i="7"/>
  <c r="CU72" i="7"/>
  <c r="CX72" i="7"/>
  <c r="DA72" i="7"/>
  <c r="CU73" i="7"/>
  <c r="CX73" i="7"/>
  <c r="DA73" i="7"/>
  <c r="CU74" i="7"/>
  <c r="CX74" i="7"/>
  <c r="DA74" i="7"/>
  <c r="CU75" i="7"/>
  <c r="CX75" i="7"/>
  <c r="DA75" i="7"/>
  <c r="CU76" i="7"/>
  <c r="CX76" i="7"/>
  <c r="DA76" i="7"/>
  <c r="CU77" i="7"/>
  <c r="CX77" i="7"/>
  <c r="DA77" i="7"/>
  <c r="CU78" i="7"/>
  <c r="CX78" i="7"/>
  <c r="DA78" i="7"/>
  <c r="CU79" i="7"/>
  <c r="CX79" i="7"/>
  <c r="DA79" i="7"/>
  <c r="CU80" i="7"/>
  <c r="CX80" i="7"/>
  <c r="DA80" i="7"/>
  <c r="CU81" i="7"/>
  <c r="CX81" i="7"/>
  <c r="DA81" i="7"/>
  <c r="CU82" i="7"/>
  <c r="CX82" i="7"/>
  <c r="DA82" i="7"/>
  <c r="CU83" i="7"/>
  <c r="CX83" i="7"/>
  <c r="DA83" i="7"/>
  <c r="CU84" i="7"/>
  <c r="CX84" i="7"/>
  <c r="DA84" i="7"/>
  <c r="CU85" i="7"/>
  <c r="CX85" i="7"/>
  <c r="DA85" i="7"/>
  <c r="CU86" i="7"/>
  <c r="CX86" i="7"/>
  <c r="DA86" i="7"/>
  <c r="CU87" i="7"/>
  <c r="CX87" i="7"/>
  <c r="DA87" i="7"/>
  <c r="CU88" i="7"/>
  <c r="CX88" i="7"/>
  <c r="DA88" i="7"/>
  <c r="CU89" i="7"/>
  <c r="CX89" i="7"/>
  <c r="DA89" i="7"/>
  <c r="CU90" i="7"/>
  <c r="CX90" i="7"/>
  <c r="DA90" i="7"/>
  <c r="CU91" i="7"/>
  <c r="CX91" i="7"/>
  <c r="DA91" i="7"/>
  <c r="CU92" i="7"/>
  <c r="CX92" i="7"/>
  <c r="DA92" i="7"/>
  <c r="CU93" i="7"/>
  <c r="CX93" i="7"/>
  <c r="DA93" i="7"/>
  <c r="CU94" i="7"/>
  <c r="CX94" i="7"/>
  <c r="DA94" i="7"/>
  <c r="CU95" i="7"/>
  <c r="CX95" i="7"/>
  <c r="DA95" i="7"/>
  <c r="CU96" i="7"/>
  <c r="CX96" i="7"/>
  <c r="DA96" i="7"/>
  <c r="CU97" i="7"/>
  <c r="CX97" i="7"/>
  <c r="DA97" i="7"/>
  <c r="CU98" i="7"/>
  <c r="CX98" i="7"/>
  <c r="DA98" i="7"/>
  <c r="CU99" i="7"/>
  <c r="CX99" i="7"/>
  <c r="DA99" i="7"/>
  <c r="CU100" i="7"/>
  <c r="CX100" i="7"/>
  <c r="DA100" i="7"/>
  <c r="CU101" i="7"/>
  <c r="CX101" i="7"/>
  <c r="DA101" i="7"/>
  <c r="CU102" i="7"/>
  <c r="CX102" i="7"/>
  <c r="DA102" i="7"/>
  <c r="CU103" i="7"/>
  <c r="CX103" i="7"/>
  <c r="DA103" i="7"/>
  <c r="CU104" i="7"/>
  <c r="CX104" i="7"/>
  <c r="DA104" i="7"/>
  <c r="CU105" i="7"/>
  <c r="CX105" i="7"/>
  <c r="DA105" i="7"/>
  <c r="CU106" i="7"/>
  <c r="CX106" i="7"/>
  <c r="DA106" i="7"/>
  <c r="CU107" i="7"/>
  <c r="CX107" i="7"/>
  <c r="DA107" i="7"/>
  <c r="CU108" i="7"/>
  <c r="CX108" i="7"/>
  <c r="DA108" i="7"/>
  <c r="CU109" i="7"/>
  <c r="CX109" i="7"/>
  <c r="DA109" i="7"/>
  <c r="CU110" i="7"/>
  <c r="CX110" i="7"/>
  <c r="DA110" i="7"/>
  <c r="CU111" i="7"/>
  <c r="CX111" i="7"/>
  <c r="DA111" i="7"/>
  <c r="CU112" i="7"/>
  <c r="CX112" i="7"/>
  <c r="DA112" i="7"/>
  <c r="CU114" i="7"/>
  <c r="CX114" i="7"/>
  <c r="DA114" i="7"/>
  <c r="CU115" i="7"/>
  <c r="CX115" i="7"/>
  <c r="DA115" i="7"/>
  <c r="CU116" i="7"/>
  <c r="CX116" i="7"/>
  <c r="DA116" i="7"/>
  <c r="CU117" i="7"/>
  <c r="CX117" i="7"/>
  <c r="DA117" i="7"/>
  <c r="CU118" i="7"/>
  <c r="CX118" i="7"/>
  <c r="DA118" i="7"/>
  <c r="CU119" i="7"/>
  <c r="CX119" i="7"/>
  <c r="DA119" i="7"/>
  <c r="CU120" i="7"/>
  <c r="CX120" i="7"/>
  <c r="DA120" i="7"/>
  <c r="CU121" i="7"/>
  <c r="CX121" i="7"/>
  <c r="DA121" i="7"/>
  <c r="CU122" i="7"/>
  <c r="CX122" i="7"/>
  <c r="DA122" i="7"/>
  <c r="CU123" i="7"/>
  <c r="CX123" i="7"/>
  <c r="DA123" i="7"/>
  <c r="CU124" i="7"/>
  <c r="CX124" i="7"/>
  <c r="DA124" i="7"/>
  <c r="CX125" i="7"/>
  <c r="DA125" i="7"/>
  <c r="DA126" i="7"/>
  <c r="DA127" i="7"/>
  <c r="DA128" i="7"/>
  <c r="DA129" i="7"/>
  <c r="DA130" i="7"/>
  <c r="DA131" i="7"/>
  <c r="DA132" i="7"/>
  <c r="DA134" i="7"/>
  <c r="DA135" i="7"/>
  <c r="DA136" i="7"/>
  <c r="DA137" i="7"/>
  <c r="DA138" i="7"/>
  <c r="DA139" i="7"/>
  <c r="DA140" i="7"/>
  <c r="DA141" i="7"/>
  <c r="DA142" i="7"/>
  <c r="DA143" i="7"/>
  <c r="DA144" i="7"/>
  <c r="DA145" i="7"/>
  <c r="DA146" i="7"/>
  <c r="DA147" i="7"/>
  <c r="DA148" i="7"/>
  <c r="DA149" i="7"/>
  <c r="DA150" i="7"/>
  <c r="DA151" i="7"/>
  <c r="DA152" i="7"/>
  <c r="DA153" i="7"/>
  <c r="DA154" i="7"/>
  <c r="DA155" i="7"/>
  <c r="DA156" i="7"/>
  <c r="DA157" i="7"/>
  <c r="DA158" i="7"/>
  <c r="DA159" i="7"/>
  <c r="DA160" i="7"/>
  <c r="DA161" i="7"/>
  <c r="DA162" i="7"/>
  <c r="DA163" i="7"/>
  <c r="DA164" i="7"/>
  <c r="DA165" i="7"/>
  <c r="DA166" i="7"/>
  <c r="DA167" i="7"/>
  <c r="DA168" i="7"/>
  <c r="DA169" i="7"/>
  <c r="DA170" i="7"/>
  <c r="DA171" i="7"/>
  <c r="DA172" i="7"/>
  <c r="DA173" i="7"/>
  <c r="DA174" i="7"/>
  <c r="DA175" i="7"/>
  <c r="DA176" i="7"/>
  <c r="DA177" i="7"/>
  <c r="DA178" i="7"/>
  <c r="DA179" i="7"/>
  <c r="DA180" i="7"/>
  <c r="DA181" i="7"/>
  <c r="DA182" i="7"/>
  <c r="DA183" i="7"/>
  <c r="DA184" i="7"/>
  <c r="DA185" i="7"/>
  <c r="DA186" i="7"/>
  <c r="DA187" i="7"/>
  <c r="DA188" i="7"/>
  <c r="DA189" i="7"/>
  <c r="DA190" i="7"/>
  <c r="DA191" i="7"/>
  <c r="DA192" i="7"/>
  <c r="DA193" i="7"/>
  <c r="DA194" i="7"/>
  <c r="DA195" i="7"/>
  <c r="DA196" i="7"/>
  <c r="DA198" i="7"/>
  <c r="DA199" i="7"/>
  <c r="DA200" i="7"/>
  <c r="DA201" i="7"/>
  <c r="DA202" i="7"/>
  <c r="DA203" i="7"/>
  <c r="DA204" i="7"/>
  <c r="DA205" i="7"/>
  <c r="DA206" i="7"/>
  <c r="DA207" i="7"/>
  <c r="DA208" i="7"/>
  <c r="DA209" i="7"/>
  <c r="DA210" i="7"/>
  <c r="DA211" i="7"/>
  <c r="DA212" i="7"/>
  <c r="DA213" i="7"/>
  <c r="DA214" i="7"/>
  <c r="DA215" i="7"/>
  <c r="DA216" i="7"/>
  <c r="DA217" i="7"/>
  <c r="DA218" i="7"/>
  <c r="DA219" i="7"/>
  <c r="DA220" i="7"/>
  <c r="DA221" i="7"/>
  <c r="DA222" i="7"/>
  <c r="DA223" i="7"/>
  <c r="DA224" i="7"/>
  <c r="DA225" i="7"/>
  <c r="DA226" i="7"/>
  <c r="DA227" i="7"/>
  <c r="DA228" i="7"/>
  <c r="DA229" i="7"/>
  <c r="DA230" i="7"/>
  <c r="DA231" i="7"/>
  <c r="DA232" i="7"/>
  <c r="DA233" i="7"/>
  <c r="DA234" i="7"/>
  <c r="DA235" i="7"/>
  <c r="O241" i="7"/>
  <c r="R241" i="7"/>
  <c r="X241" i="7"/>
  <c r="AA241" i="7"/>
  <c r="AD241" i="7"/>
  <c r="AG241" i="7"/>
  <c r="AJ241" i="7"/>
  <c r="AM241" i="7"/>
  <c r="AP241" i="7"/>
  <c r="AS241" i="7"/>
  <c r="AV241" i="7"/>
  <c r="AY241" i="7"/>
  <c r="BB241" i="7"/>
  <c r="BE241" i="7"/>
  <c r="BH241" i="7"/>
  <c r="BK241" i="7"/>
  <c r="BN241" i="7"/>
  <c r="BQ241" i="7"/>
  <c r="DA241" i="7"/>
  <c r="U241" i="7"/>
  <c r="O242" i="7"/>
  <c r="R242" i="7"/>
  <c r="X242" i="7"/>
  <c r="AA242" i="7"/>
  <c r="AD242" i="7"/>
  <c r="AG242" i="7"/>
  <c r="AJ242" i="7"/>
  <c r="AM242" i="7"/>
  <c r="AP242" i="7"/>
  <c r="AS242" i="7"/>
  <c r="AV242" i="7"/>
  <c r="AY242" i="7"/>
  <c r="BB242" i="7"/>
  <c r="BE242" i="7"/>
  <c r="BH242" i="7"/>
  <c r="BK242" i="7"/>
  <c r="BN242" i="7"/>
  <c r="BQ242" i="7"/>
  <c r="DA242" i="7"/>
  <c r="U242" i="7"/>
  <c r="O243" i="7"/>
  <c r="R243" i="7"/>
  <c r="X243" i="7"/>
  <c r="AA243" i="7"/>
  <c r="AD243" i="7"/>
  <c r="AG243" i="7"/>
  <c r="AJ243" i="7"/>
  <c r="AM243" i="7"/>
  <c r="AP243" i="7"/>
  <c r="AS243" i="7"/>
  <c r="AV243" i="7"/>
  <c r="AY243" i="7"/>
  <c r="BB243" i="7"/>
  <c r="BE243" i="7"/>
  <c r="BH243" i="7"/>
  <c r="BK243" i="7"/>
  <c r="BN243" i="7"/>
  <c r="BQ243" i="7"/>
  <c r="DA243" i="7"/>
  <c r="U243" i="7"/>
  <c r="O244" i="7"/>
  <c r="R244" i="7"/>
  <c r="X244" i="7"/>
  <c r="AA244" i="7"/>
  <c r="AD244" i="7"/>
  <c r="AG244" i="7"/>
  <c r="AJ244" i="7"/>
  <c r="AM244" i="7"/>
  <c r="AP244" i="7"/>
  <c r="AS244" i="7"/>
  <c r="AV244" i="7"/>
  <c r="AY244" i="7"/>
  <c r="BB244" i="7"/>
  <c r="BE244" i="7"/>
  <c r="BH244" i="7"/>
  <c r="BK244" i="7"/>
  <c r="BN244" i="7"/>
  <c r="BQ244" i="7"/>
  <c r="DA244" i="7"/>
  <c r="U244" i="7"/>
  <c r="O245" i="7"/>
  <c r="R245" i="7"/>
  <c r="X245" i="7"/>
  <c r="AA245" i="7"/>
  <c r="AD245" i="7"/>
  <c r="AG245" i="7"/>
  <c r="AJ245" i="7"/>
  <c r="AM245" i="7"/>
  <c r="AP245" i="7"/>
  <c r="AS245" i="7"/>
  <c r="AV245" i="7"/>
  <c r="AY245" i="7"/>
  <c r="BB245" i="7"/>
  <c r="BE245" i="7"/>
  <c r="BH245" i="7"/>
  <c r="BK245" i="7"/>
  <c r="BN245" i="7"/>
  <c r="BQ245" i="7"/>
  <c r="DA245" i="7"/>
  <c r="U245" i="7"/>
  <c r="O246" i="7"/>
  <c r="R246" i="7"/>
  <c r="X246" i="7"/>
  <c r="AA246" i="7"/>
  <c r="AD246" i="7"/>
  <c r="AG246" i="7"/>
  <c r="AJ246" i="7"/>
  <c r="AM246" i="7"/>
  <c r="AP246" i="7"/>
  <c r="AS246" i="7"/>
  <c r="AV246" i="7"/>
  <c r="AY246" i="7"/>
  <c r="BB246" i="7"/>
  <c r="BE246" i="7"/>
  <c r="BH246" i="7"/>
  <c r="BK246" i="7"/>
  <c r="BN246" i="7"/>
  <c r="BQ246" i="7"/>
  <c r="DA246" i="7"/>
  <c r="U246" i="7"/>
  <c r="O247" i="7"/>
  <c r="R247" i="7"/>
  <c r="X247" i="7"/>
  <c r="AA247" i="7"/>
  <c r="AD247" i="7"/>
  <c r="AG247" i="7"/>
  <c r="AJ247" i="7"/>
  <c r="AM247" i="7"/>
  <c r="AP247" i="7"/>
  <c r="AS247" i="7"/>
  <c r="AV247" i="7"/>
  <c r="AY247" i="7"/>
  <c r="BB247" i="7"/>
  <c r="BE247" i="7"/>
  <c r="BH247" i="7"/>
  <c r="BK247" i="7"/>
  <c r="BN247" i="7"/>
  <c r="BQ247" i="7"/>
  <c r="DA247" i="7"/>
  <c r="U247" i="7"/>
  <c r="O248" i="7"/>
  <c r="R248" i="7"/>
  <c r="X248" i="7"/>
  <c r="AA248" i="7"/>
  <c r="AD248" i="7"/>
  <c r="AG248" i="7"/>
  <c r="AJ248" i="7"/>
  <c r="AM248" i="7"/>
  <c r="AP248" i="7"/>
  <c r="AS248" i="7"/>
  <c r="AV248" i="7"/>
  <c r="AY248" i="7"/>
  <c r="BB248" i="7"/>
  <c r="BE248" i="7"/>
  <c r="BH248" i="7"/>
  <c r="BK248" i="7"/>
  <c r="BN248" i="7"/>
  <c r="BQ248" i="7"/>
  <c r="DA248" i="7"/>
  <c r="U248" i="7"/>
  <c r="O249" i="7"/>
  <c r="R249" i="7"/>
  <c r="X249" i="7"/>
  <c r="AA249" i="7"/>
  <c r="AD249" i="7"/>
  <c r="AG249" i="7"/>
  <c r="AJ249" i="7"/>
  <c r="AM249" i="7"/>
  <c r="AP249" i="7"/>
  <c r="AS249" i="7"/>
  <c r="AV249" i="7"/>
  <c r="AY249" i="7"/>
  <c r="BB249" i="7"/>
  <c r="BE249" i="7"/>
  <c r="BH249" i="7"/>
  <c r="BK249" i="7"/>
  <c r="BN249" i="7"/>
  <c r="BQ249" i="7"/>
  <c r="DA249" i="7"/>
  <c r="U249" i="7"/>
  <c r="O250" i="7"/>
  <c r="R250" i="7"/>
  <c r="X250" i="7"/>
  <c r="AA250" i="7"/>
  <c r="AD250" i="7"/>
  <c r="AG250" i="7"/>
  <c r="AJ250" i="7"/>
  <c r="AM250" i="7"/>
  <c r="AP250" i="7"/>
  <c r="AS250" i="7"/>
  <c r="AV250" i="7"/>
  <c r="AY250" i="7"/>
  <c r="BB250" i="7"/>
  <c r="BE250" i="7"/>
  <c r="BH250" i="7"/>
  <c r="BK250" i="7"/>
  <c r="BN250" i="7"/>
  <c r="BQ250" i="7"/>
  <c r="DA250" i="7"/>
  <c r="U250" i="7"/>
  <c r="O251" i="7"/>
  <c r="R251" i="7"/>
  <c r="X251" i="7"/>
  <c r="AA251" i="7"/>
  <c r="AD251" i="7"/>
  <c r="AG251" i="7"/>
  <c r="AJ251" i="7"/>
  <c r="AM251" i="7"/>
  <c r="AP251" i="7"/>
  <c r="AS251" i="7"/>
  <c r="AV251" i="7"/>
  <c r="AY251" i="7"/>
  <c r="BB251" i="7"/>
  <c r="BE251" i="7"/>
  <c r="BH251" i="7"/>
  <c r="BK251" i="7"/>
  <c r="BN251" i="7"/>
  <c r="BQ251" i="7"/>
  <c r="DA251" i="7"/>
  <c r="U251" i="7"/>
  <c r="O252" i="7"/>
  <c r="R252" i="7"/>
  <c r="X252" i="7"/>
  <c r="AA252" i="7"/>
  <c r="AD252" i="7"/>
  <c r="AG252" i="7"/>
  <c r="AJ252" i="7"/>
  <c r="AM252" i="7"/>
  <c r="AP252" i="7"/>
  <c r="AS252" i="7"/>
  <c r="AV252" i="7"/>
  <c r="AY252" i="7"/>
  <c r="BB252" i="7"/>
  <c r="BE252" i="7"/>
  <c r="BH252" i="7"/>
  <c r="BK252" i="7"/>
  <c r="BN252" i="7"/>
  <c r="BQ252" i="7"/>
  <c r="DA252" i="7"/>
  <c r="U252" i="7"/>
  <c r="O253" i="7"/>
  <c r="R253" i="7"/>
  <c r="X253" i="7"/>
  <c r="AA253" i="7"/>
  <c r="AD253" i="7"/>
  <c r="AG253" i="7"/>
  <c r="AJ253" i="7"/>
  <c r="AM253" i="7"/>
  <c r="AP253" i="7"/>
  <c r="AS253" i="7"/>
  <c r="AV253" i="7"/>
  <c r="AY253" i="7"/>
  <c r="BB253" i="7"/>
  <c r="BE253" i="7"/>
  <c r="BH253" i="7"/>
  <c r="BK253" i="7"/>
  <c r="BN253" i="7"/>
  <c r="BQ253" i="7"/>
  <c r="DA253" i="7"/>
  <c r="U253" i="7"/>
  <c r="O254" i="7"/>
  <c r="R254" i="7"/>
  <c r="X254" i="7"/>
  <c r="AA254" i="7"/>
  <c r="AD254" i="7"/>
  <c r="AG254" i="7"/>
  <c r="AJ254" i="7"/>
  <c r="AM254" i="7"/>
  <c r="AP254" i="7"/>
  <c r="AS254" i="7"/>
  <c r="AV254" i="7"/>
  <c r="AY254" i="7"/>
  <c r="BB254" i="7"/>
  <c r="BE254" i="7"/>
  <c r="BH254" i="7"/>
  <c r="BK254" i="7"/>
  <c r="BN254" i="7"/>
  <c r="BQ254" i="7"/>
  <c r="DA254" i="7"/>
  <c r="U254" i="7"/>
  <c r="O255" i="7"/>
  <c r="R255" i="7"/>
  <c r="X255" i="7"/>
  <c r="AA255" i="7"/>
  <c r="AD255" i="7"/>
  <c r="AG255" i="7"/>
  <c r="AJ255" i="7"/>
  <c r="AM255" i="7"/>
  <c r="AP255" i="7"/>
  <c r="AS255" i="7"/>
  <c r="AV255" i="7"/>
  <c r="AY255" i="7"/>
  <c r="BB255" i="7"/>
  <c r="BE255" i="7"/>
  <c r="BH255" i="7"/>
  <c r="BK255" i="7"/>
  <c r="BN255" i="7"/>
  <c r="BQ255" i="7"/>
  <c r="DA255" i="7"/>
  <c r="U255" i="7"/>
  <c r="O256" i="7"/>
  <c r="R256" i="7"/>
  <c r="X256" i="7"/>
  <c r="AA256" i="7"/>
  <c r="AD256" i="7"/>
  <c r="AG256" i="7"/>
  <c r="AJ256" i="7"/>
  <c r="AM256" i="7"/>
  <c r="AP256" i="7"/>
  <c r="AS256" i="7"/>
  <c r="AV256" i="7"/>
  <c r="AY256" i="7"/>
  <c r="BB256" i="7"/>
  <c r="BE256" i="7"/>
  <c r="BH256" i="7"/>
  <c r="BK256" i="7"/>
  <c r="BN256" i="7"/>
  <c r="BQ256" i="7"/>
  <c r="DA256" i="7"/>
  <c r="U256" i="7"/>
  <c r="O257" i="7"/>
  <c r="R257" i="7"/>
  <c r="X257" i="7"/>
  <c r="AA257" i="7"/>
  <c r="AD257" i="7"/>
  <c r="AG257" i="7"/>
  <c r="AJ257" i="7"/>
  <c r="AM257" i="7"/>
  <c r="AP257" i="7"/>
  <c r="AS257" i="7"/>
  <c r="AV257" i="7"/>
  <c r="AY257" i="7"/>
  <c r="BB257" i="7"/>
  <c r="BE257" i="7"/>
  <c r="BH257" i="7"/>
  <c r="BK257" i="7"/>
  <c r="BN257" i="7"/>
  <c r="BQ257" i="7"/>
  <c r="DA257" i="7"/>
  <c r="U257" i="7"/>
  <c r="O258" i="7"/>
  <c r="R258" i="7"/>
  <c r="X258" i="7"/>
  <c r="AA258" i="7"/>
  <c r="AD258" i="7"/>
  <c r="AG258" i="7"/>
  <c r="AJ258" i="7"/>
  <c r="AM258" i="7"/>
  <c r="AP258" i="7"/>
  <c r="AS258" i="7"/>
  <c r="AV258" i="7"/>
  <c r="AY258" i="7"/>
  <c r="BB258" i="7"/>
  <c r="BE258" i="7"/>
  <c r="BH258" i="7"/>
  <c r="BK258" i="7"/>
  <c r="BN258" i="7"/>
  <c r="BQ258" i="7"/>
  <c r="DA258" i="7"/>
  <c r="U258" i="7"/>
  <c r="O259" i="7"/>
  <c r="R259" i="7"/>
  <c r="X259" i="7"/>
  <c r="AA259" i="7"/>
  <c r="AD259" i="7"/>
  <c r="AG259" i="7"/>
  <c r="AJ259" i="7"/>
  <c r="AM259" i="7"/>
  <c r="AP259" i="7"/>
  <c r="AS259" i="7"/>
  <c r="AV259" i="7"/>
  <c r="AY259" i="7"/>
  <c r="BB259" i="7"/>
  <c r="BE259" i="7"/>
  <c r="BH259" i="7"/>
  <c r="BK259" i="7"/>
  <c r="BN259" i="7"/>
  <c r="BQ259" i="7"/>
  <c r="DA259" i="7"/>
  <c r="U259" i="7"/>
  <c r="O260" i="7"/>
  <c r="R260" i="7"/>
  <c r="X260" i="7"/>
  <c r="AA260" i="7"/>
  <c r="AD260" i="7"/>
  <c r="AG260" i="7"/>
  <c r="AJ260" i="7"/>
  <c r="AM260" i="7"/>
  <c r="AP260" i="7"/>
  <c r="AS260" i="7"/>
  <c r="AV260" i="7"/>
  <c r="AY260" i="7"/>
  <c r="BB260" i="7"/>
  <c r="BE260" i="7"/>
  <c r="BH260" i="7"/>
  <c r="BK260" i="7"/>
  <c r="BN260" i="7"/>
  <c r="BQ260" i="7"/>
  <c r="DA260" i="7"/>
  <c r="U260" i="7"/>
  <c r="O261" i="7"/>
  <c r="R261" i="7"/>
  <c r="X261" i="7"/>
  <c r="AA261" i="7"/>
  <c r="AD261" i="7"/>
  <c r="AG261" i="7"/>
  <c r="AJ261" i="7"/>
  <c r="AM261" i="7"/>
  <c r="AP261" i="7"/>
  <c r="AS261" i="7"/>
  <c r="AV261" i="7"/>
  <c r="AY261" i="7"/>
  <c r="BB261" i="7"/>
  <c r="BE261" i="7"/>
  <c r="BH261" i="7"/>
  <c r="BK261" i="7"/>
  <c r="BN261" i="7"/>
  <c r="BQ261" i="7"/>
  <c r="DA261" i="7"/>
  <c r="U261" i="7"/>
  <c r="O262" i="7"/>
  <c r="R262" i="7"/>
  <c r="X262" i="7"/>
  <c r="AA262" i="7"/>
  <c r="AD262" i="7"/>
  <c r="AG262" i="7"/>
  <c r="AJ262" i="7"/>
  <c r="AM262" i="7"/>
  <c r="AP262" i="7"/>
  <c r="AS262" i="7"/>
  <c r="AV262" i="7"/>
  <c r="AY262" i="7"/>
  <c r="BB262" i="7"/>
  <c r="BE262" i="7"/>
  <c r="BH262" i="7"/>
  <c r="BK262" i="7"/>
  <c r="BN262" i="7"/>
  <c r="BQ262" i="7"/>
  <c r="DA262" i="7"/>
  <c r="U262" i="7"/>
  <c r="O263" i="7"/>
  <c r="R263" i="7"/>
  <c r="X263" i="7"/>
  <c r="AA263" i="7"/>
  <c r="AD263" i="7"/>
  <c r="AG263" i="7"/>
  <c r="AJ263" i="7"/>
  <c r="AM263" i="7"/>
  <c r="AP263" i="7"/>
  <c r="AS263" i="7"/>
  <c r="AV263" i="7"/>
  <c r="AY263" i="7"/>
  <c r="BB263" i="7"/>
  <c r="BE263" i="7"/>
  <c r="BH263" i="7"/>
  <c r="BK263" i="7"/>
  <c r="BN263" i="7"/>
  <c r="BQ263" i="7"/>
  <c r="DA263" i="7"/>
  <c r="U263" i="7"/>
  <c r="O264" i="7"/>
  <c r="R264" i="7"/>
  <c r="X264" i="7"/>
  <c r="AA264" i="7"/>
  <c r="AD264" i="7"/>
  <c r="AG264" i="7"/>
  <c r="AJ264" i="7"/>
  <c r="AM264" i="7"/>
  <c r="AP264" i="7"/>
  <c r="AS264" i="7"/>
  <c r="AV264" i="7"/>
  <c r="AY264" i="7"/>
  <c r="BB264" i="7"/>
  <c r="BE264" i="7"/>
  <c r="BH264" i="7"/>
  <c r="BK264" i="7"/>
  <c r="BN264" i="7"/>
  <c r="BQ264" i="7"/>
  <c r="DA264" i="7"/>
  <c r="U264" i="7"/>
  <c r="Y197" i="2"/>
  <c r="B241" i="7"/>
  <c r="C241" i="7"/>
  <c r="B242" i="7"/>
  <c r="C242" i="7"/>
  <c r="B243" i="7"/>
  <c r="C243" i="7"/>
  <c r="B244" i="7"/>
  <c r="C244" i="7"/>
  <c r="B245" i="7"/>
  <c r="C245" i="7"/>
  <c r="B246" i="7"/>
  <c r="C246" i="7"/>
  <c r="B247" i="7"/>
  <c r="C247" i="7"/>
  <c r="B248" i="7"/>
  <c r="C248" i="7"/>
  <c r="B249" i="7"/>
  <c r="C249" i="7"/>
  <c r="B250" i="7"/>
  <c r="C250" i="7"/>
  <c r="B251" i="7"/>
  <c r="C251" i="7"/>
  <c r="B252" i="7"/>
  <c r="C252" i="7"/>
  <c r="B253" i="7"/>
  <c r="C253" i="7"/>
  <c r="B254" i="7"/>
  <c r="C254" i="7"/>
  <c r="B255" i="7"/>
  <c r="C255" i="7"/>
  <c r="K5" i="2"/>
  <c r="A4" i="5" s="1"/>
  <c r="K6" i="2"/>
  <c r="A5" i="5" s="1"/>
  <c r="K7" i="2"/>
  <c r="A6" i="5" s="1"/>
  <c r="K8" i="2"/>
  <c r="A7" i="5" s="1"/>
  <c r="K9" i="2"/>
  <c r="A8" i="5" s="1"/>
  <c r="K10" i="2"/>
  <c r="A9" i="5" s="1"/>
  <c r="K11" i="2"/>
  <c r="A10" i="5" s="1"/>
  <c r="K12" i="2"/>
  <c r="A11" i="5" s="1"/>
  <c r="K13" i="2"/>
  <c r="A12" i="5" s="1"/>
  <c r="K14" i="2"/>
  <c r="A13" i="5" s="1"/>
  <c r="K15" i="2"/>
  <c r="A14" i="5" s="1"/>
  <c r="K16" i="2"/>
  <c r="A15" i="5" s="1"/>
  <c r="K17" i="2"/>
  <c r="A16" i="5" s="1"/>
  <c r="K18" i="2"/>
  <c r="A17" i="5" s="1"/>
  <c r="K19" i="2"/>
  <c r="A18" i="5" s="1"/>
  <c r="K20" i="2"/>
  <c r="A19" i="5" s="1"/>
  <c r="K21" i="2"/>
  <c r="A20" i="5" s="1"/>
  <c r="K22" i="2"/>
  <c r="A21" i="5" s="1"/>
  <c r="K23" i="2"/>
  <c r="A22" i="5" s="1"/>
  <c r="K24" i="2"/>
  <c r="A23" i="5" s="1"/>
  <c r="K25" i="2"/>
  <c r="A24" i="5" s="1"/>
  <c r="K26" i="2"/>
  <c r="A25" i="5" s="1"/>
  <c r="K27" i="2"/>
  <c r="A26" i="5" s="1"/>
  <c r="K28" i="2"/>
  <c r="A27" i="5" s="1"/>
  <c r="K29" i="2"/>
  <c r="A28" i="5" s="1"/>
  <c r="K30" i="2"/>
  <c r="A29" i="5" s="1"/>
  <c r="K31" i="2"/>
  <c r="A30" i="5" s="1"/>
  <c r="K32" i="2"/>
  <c r="A31" i="5" s="1"/>
  <c r="K33" i="2"/>
  <c r="A32" i="5" s="1"/>
  <c r="K34" i="2"/>
  <c r="A33" i="5" s="1"/>
  <c r="K36" i="2"/>
  <c r="A35" i="5" s="1"/>
  <c r="K37" i="2"/>
  <c r="A36" i="5" s="1"/>
  <c r="K38" i="2"/>
  <c r="A37" i="5" s="1"/>
  <c r="K39" i="2"/>
  <c r="A38" i="5" s="1"/>
  <c r="K40" i="2"/>
  <c r="A39" i="5" s="1"/>
  <c r="K41" i="2"/>
  <c r="A40" i="5" s="1"/>
  <c r="K42" i="2"/>
  <c r="A41" i="5" s="1"/>
  <c r="K43" i="2"/>
  <c r="A42" i="5" s="1"/>
  <c r="K44" i="2"/>
  <c r="A43" i="5" s="1"/>
  <c r="K45" i="2"/>
  <c r="A44" i="5" s="1"/>
  <c r="K46" i="2"/>
  <c r="A45" i="5" s="1"/>
  <c r="K47" i="2"/>
  <c r="A46" i="5" s="1"/>
  <c r="K48" i="2"/>
  <c r="A47" i="5" s="1"/>
  <c r="K49" i="2"/>
  <c r="A48" i="5" s="1"/>
  <c r="K50" i="2"/>
  <c r="A49" i="5" s="1"/>
  <c r="K51" i="2"/>
  <c r="A50" i="5" s="1"/>
  <c r="K52" i="2"/>
  <c r="A51" i="5" s="1"/>
  <c r="K54" i="2"/>
  <c r="A53" i="5" s="1"/>
  <c r="K55" i="2"/>
  <c r="A54" i="5" s="1"/>
  <c r="K56" i="2"/>
  <c r="A55" i="5" s="1"/>
  <c r="K57" i="2"/>
  <c r="A56" i="5" s="1"/>
  <c r="K58" i="2"/>
  <c r="A57" i="5" s="1"/>
  <c r="K59" i="2"/>
  <c r="A58" i="5" s="1"/>
  <c r="K60" i="2"/>
  <c r="A59" i="5" s="1"/>
  <c r="K61" i="2"/>
  <c r="A60" i="5" s="1"/>
  <c r="K62" i="2"/>
  <c r="A61" i="5" s="1"/>
  <c r="K63" i="2"/>
  <c r="A62" i="5" s="1"/>
  <c r="K64" i="2"/>
  <c r="A63" i="5" s="1"/>
  <c r="K65" i="2"/>
  <c r="A64" i="5" s="1"/>
  <c r="K66" i="2"/>
  <c r="A65" i="5" s="1"/>
  <c r="K67" i="2"/>
  <c r="A66" i="5" s="1"/>
  <c r="K68" i="2"/>
  <c r="A67" i="5" s="1"/>
  <c r="K69" i="2"/>
  <c r="A68" i="5" s="1"/>
  <c r="K70" i="2"/>
  <c r="A69" i="5" s="1"/>
  <c r="K71" i="2"/>
  <c r="A70" i="5" s="1"/>
  <c r="K72" i="2"/>
  <c r="A71" i="5" s="1"/>
  <c r="K73" i="2"/>
  <c r="A72" i="5" s="1"/>
  <c r="K74" i="2"/>
  <c r="A73" i="5" s="1"/>
  <c r="K75" i="2"/>
  <c r="A74" i="5" s="1"/>
  <c r="K76" i="2"/>
  <c r="A75" i="5" s="1"/>
  <c r="K77" i="2"/>
  <c r="A76" i="5" s="1"/>
  <c r="K79" i="2"/>
  <c r="A78" i="5" s="1"/>
  <c r="K81" i="2"/>
  <c r="A80" i="5" s="1"/>
  <c r="K82" i="2"/>
  <c r="A81" i="5" s="1"/>
  <c r="K83" i="2"/>
  <c r="A82" i="5" s="1"/>
  <c r="K84" i="2"/>
  <c r="A83" i="5" s="1"/>
  <c r="K85" i="2"/>
  <c r="A84" i="5" s="1"/>
  <c r="K86" i="2"/>
  <c r="A85" i="5" s="1"/>
  <c r="K87" i="2"/>
  <c r="A86" i="5" s="1"/>
  <c r="K88" i="2"/>
  <c r="A87" i="5" s="1"/>
  <c r="K89" i="2"/>
  <c r="A88" i="5" s="1"/>
  <c r="K90" i="2"/>
  <c r="A89" i="5" s="1"/>
  <c r="K91" i="2"/>
  <c r="A90" i="5" s="1"/>
  <c r="K92" i="2"/>
  <c r="A91" i="5" s="1"/>
  <c r="K93" i="2"/>
  <c r="A92" i="5" s="1"/>
  <c r="K94" i="2"/>
  <c r="A93" i="5" s="1"/>
  <c r="K95" i="2"/>
  <c r="A94" i="5" s="1"/>
  <c r="K96" i="2"/>
  <c r="A95" i="5" s="1"/>
  <c r="K97" i="2"/>
  <c r="A96" i="5" s="1"/>
  <c r="K98" i="2"/>
  <c r="A97" i="5" s="1"/>
  <c r="K99" i="2"/>
  <c r="A98" i="5" s="1"/>
  <c r="K100" i="2"/>
  <c r="A99" i="5" s="1"/>
  <c r="K101" i="2"/>
  <c r="A100" i="5" s="1"/>
  <c r="K102" i="2"/>
  <c r="A101" i="5" s="1"/>
  <c r="K103" i="2"/>
  <c r="A102" i="5" s="1"/>
  <c r="K104" i="2"/>
  <c r="A103" i="5" s="1"/>
  <c r="K105" i="2"/>
  <c r="A104" i="5" s="1"/>
  <c r="K106" i="2"/>
  <c r="A105" i="5" s="1"/>
  <c r="K107" i="2"/>
  <c r="A106" i="5" s="1"/>
  <c r="K108" i="2"/>
  <c r="A107" i="5" s="1"/>
  <c r="K109" i="2"/>
  <c r="A108" i="5" s="1"/>
  <c r="K110" i="2"/>
  <c r="A109" i="5" s="1"/>
  <c r="K111" i="2"/>
  <c r="A110" i="5" s="1"/>
  <c r="K112" i="2"/>
  <c r="A111" i="5" s="1"/>
  <c r="K114" i="2"/>
  <c r="A113" i="5" s="1"/>
  <c r="K115" i="2"/>
  <c r="A114" i="5" s="1"/>
  <c r="K116" i="2"/>
  <c r="A115" i="5" s="1"/>
  <c r="K117" i="2"/>
  <c r="A116" i="5" s="1"/>
  <c r="K118" i="2"/>
  <c r="A117" i="5" s="1"/>
  <c r="K119" i="2"/>
  <c r="A118" i="5" s="1"/>
  <c r="K120" i="2"/>
  <c r="A119" i="5" s="1"/>
  <c r="K121" i="2"/>
  <c r="A120" i="5" s="1"/>
  <c r="K122" i="2"/>
  <c r="A121" i="5" s="1"/>
  <c r="K123" i="2"/>
  <c r="A122" i="5" s="1"/>
  <c r="K124" i="2"/>
  <c r="A123" i="5" s="1"/>
  <c r="K125" i="2"/>
  <c r="A124" i="5" s="1"/>
  <c r="K126" i="2"/>
  <c r="A125" i="5" s="1"/>
  <c r="K127" i="2"/>
  <c r="A126" i="5" s="1"/>
  <c r="K128" i="2"/>
  <c r="A127" i="5" s="1"/>
  <c r="K129" i="2"/>
  <c r="A128" i="5" s="1"/>
  <c r="K130" i="2"/>
  <c r="A129" i="5" s="1"/>
  <c r="K131" i="2"/>
  <c r="A130" i="5" s="1"/>
  <c r="K132" i="2"/>
  <c r="A131" i="5" s="1"/>
  <c r="K134" i="2"/>
  <c r="A133" i="5" s="1"/>
  <c r="K135" i="2"/>
  <c r="A134" i="5" s="1"/>
  <c r="K136" i="2"/>
  <c r="A135" i="5" s="1"/>
  <c r="K137" i="2"/>
  <c r="A136" i="5" s="1"/>
  <c r="K138" i="2"/>
  <c r="A137" i="5" s="1"/>
  <c r="K139" i="2"/>
  <c r="A138" i="5" s="1"/>
  <c r="K140" i="2"/>
  <c r="A139" i="5" s="1"/>
  <c r="K141" i="2"/>
  <c r="A140" i="5" s="1"/>
  <c r="K142" i="2"/>
  <c r="A141" i="5" s="1"/>
  <c r="K143" i="2"/>
  <c r="A142" i="5" s="1"/>
  <c r="K144" i="2"/>
  <c r="A143" i="5" s="1"/>
  <c r="K145" i="2"/>
  <c r="A144" i="5" s="1"/>
  <c r="K146" i="2"/>
  <c r="A145" i="5" s="1"/>
  <c r="K147" i="2"/>
  <c r="A146" i="5" s="1"/>
  <c r="K148" i="2"/>
  <c r="A147" i="5" s="1"/>
  <c r="K149" i="2"/>
  <c r="A148" i="5" s="1"/>
  <c r="K150" i="2"/>
  <c r="A149" i="5" s="1"/>
  <c r="K151" i="2"/>
  <c r="A150" i="5" s="1"/>
  <c r="K152" i="2"/>
  <c r="A151" i="5" s="1"/>
  <c r="K153" i="2"/>
  <c r="A152" i="5" s="1"/>
  <c r="K154" i="2"/>
  <c r="A153" i="5" s="1"/>
  <c r="K155" i="2"/>
  <c r="A154" i="5" s="1"/>
  <c r="K156" i="2"/>
  <c r="A155" i="5" s="1"/>
  <c r="K157" i="2"/>
  <c r="A156" i="5" s="1"/>
  <c r="K158" i="2"/>
  <c r="A157" i="5" s="1"/>
  <c r="K159" i="2"/>
  <c r="A158" i="5" s="1"/>
  <c r="K160" i="2"/>
  <c r="A159" i="5" s="1"/>
  <c r="K161" i="2"/>
  <c r="A160" i="5" s="1"/>
  <c r="K162" i="2"/>
  <c r="A161" i="5" s="1"/>
  <c r="K163" i="2"/>
  <c r="A162" i="5" s="1"/>
  <c r="K164" i="2"/>
  <c r="A163" i="5" s="1"/>
  <c r="K165" i="2"/>
  <c r="A164" i="5" s="1"/>
  <c r="K166" i="2"/>
  <c r="A165" i="5" s="1"/>
  <c r="K167" i="2"/>
  <c r="A166" i="5" s="1"/>
  <c r="K168" i="2"/>
  <c r="A167" i="5" s="1"/>
  <c r="K169" i="2"/>
  <c r="A168" i="5" s="1"/>
  <c r="K170" i="2"/>
  <c r="A169" i="5" s="1"/>
  <c r="K171" i="2"/>
  <c r="A170" i="5" s="1"/>
  <c r="K172" i="2"/>
  <c r="A171" i="5" s="1"/>
  <c r="K173" i="2"/>
  <c r="A172" i="5" s="1"/>
  <c r="K174" i="2"/>
  <c r="A173" i="5" s="1"/>
  <c r="K175" i="2"/>
  <c r="A174" i="5" s="1"/>
  <c r="K176" i="2"/>
  <c r="A175" i="5" s="1"/>
  <c r="K177" i="2"/>
  <c r="A176" i="5" s="1"/>
  <c r="K178" i="2"/>
  <c r="A177" i="5" s="1"/>
  <c r="K179" i="2"/>
  <c r="A178" i="5" s="1"/>
  <c r="K180" i="2"/>
  <c r="A179" i="5" s="1"/>
  <c r="K181" i="2"/>
  <c r="A180" i="5" s="1"/>
  <c r="K183" i="2"/>
  <c r="A182" i="5" s="1"/>
  <c r="K184" i="2"/>
  <c r="A183" i="5" s="1"/>
  <c r="K185" i="2"/>
  <c r="A184" i="5" s="1"/>
  <c r="K186" i="2"/>
  <c r="A185" i="5" s="1"/>
  <c r="K187" i="2"/>
  <c r="A186" i="5" s="1"/>
  <c r="K188" i="2"/>
  <c r="A187" i="5" s="1"/>
  <c r="K189" i="2"/>
  <c r="A188" i="5" s="1"/>
  <c r="K190" i="2"/>
  <c r="A189" i="5" s="1"/>
  <c r="K191" i="2"/>
  <c r="A190" i="5" s="1"/>
  <c r="K192" i="2"/>
  <c r="A191" i="5" s="1"/>
  <c r="K193" i="2"/>
  <c r="A192" i="5" s="1"/>
  <c r="K194" i="2"/>
  <c r="A193" i="5" s="1"/>
  <c r="K195" i="2"/>
  <c r="A194" i="5" s="1"/>
  <c r="K196" i="2"/>
  <c r="A195" i="5" s="1"/>
  <c r="K197" i="2"/>
  <c r="A196" i="5" s="1"/>
  <c r="K198" i="2"/>
  <c r="A197" i="5" s="1"/>
  <c r="K199" i="2"/>
  <c r="A198" i="5" s="1"/>
  <c r="K200" i="2"/>
  <c r="A199" i="5" s="1"/>
  <c r="K201" i="2"/>
  <c r="A200" i="5" s="1"/>
  <c r="K202" i="2"/>
  <c r="A201" i="5" s="1"/>
  <c r="K203" i="2"/>
  <c r="A202" i="5" s="1"/>
  <c r="K204" i="2"/>
  <c r="A203" i="5" s="1"/>
  <c r="K205" i="2"/>
  <c r="A204" i="5" s="1"/>
  <c r="K206" i="2"/>
  <c r="A205" i="5" s="1"/>
  <c r="K207" i="2"/>
  <c r="A206" i="5" s="1"/>
  <c r="K208" i="2"/>
  <c r="A207" i="5" s="1"/>
  <c r="K209" i="2"/>
  <c r="A208" i="5" s="1"/>
  <c r="K210" i="2"/>
  <c r="A209" i="5" s="1"/>
  <c r="K211" i="2"/>
  <c r="A210" i="5" s="1"/>
  <c r="K212" i="2"/>
  <c r="A211" i="5" s="1"/>
  <c r="K213" i="2"/>
  <c r="A212" i="5" s="1"/>
  <c r="K214" i="2"/>
  <c r="A213" i="5" s="1"/>
  <c r="K215" i="2"/>
  <c r="A214" i="5" s="1"/>
  <c r="K216" i="2"/>
  <c r="A215" i="5" s="1"/>
  <c r="K217" i="2"/>
  <c r="A216" i="5" s="1"/>
  <c r="K218" i="2"/>
  <c r="A217" i="5" s="1"/>
  <c r="K219" i="2"/>
  <c r="A218" i="5" s="1"/>
  <c r="K220" i="2"/>
  <c r="A219" i="5" s="1"/>
  <c r="K221" i="2"/>
  <c r="A220" i="5" s="1"/>
  <c r="K222" i="2"/>
  <c r="A221" i="5" s="1"/>
  <c r="K223" i="2"/>
  <c r="A222" i="5" s="1"/>
  <c r="K224" i="2"/>
  <c r="A223" i="5" s="1"/>
  <c r="K225" i="2"/>
  <c r="A224" i="5" s="1"/>
  <c r="K226" i="2"/>
  <c r="A225" i="5" s="1"/>
  <c r="K227" i="2"/>
  <c r="A226" i="5" s="1"/>
  <c r="K228" i="2"/>
  <c r="A227" i="5" s="1"/>
  <c r="K229" i="2"/>
  <c r="A228" i="5" s="1"/>
  <c r="K230" i="2"/>
  <c r="A229" i="5" s="1"/>
  <c r="K231" i="2"/>
  <c r="A230" i="5" s="1"/>
  <c r="K232" i="2"/>
  <c r="A231" i="5" s="1"/>
  <c r="K233" i="2"/>
  <c r="A232" i="5" s="1"/>
  <c r="K234" i="2"/>
  <c r="A233" i="5" s="1"/>
  <c r="K239" i="2"/>
  <c r="A238" i="5" s="1"/>
  <c r="A3" i="5"/>
  <c r="DE5" i="7"/>
  <c r="AI4" i="5" s="1"/>
  <c r="DE6" i="7"/>
  <c r="AI5" i="5" s="1"/>
  <c r="DE7" i="7"/>
  <c r="AI6" i="5" s="1"/>
  <c r="DE8" i="7"/>
  <c r="AI7" i="5" s="1"/>
  <c r="DE9" i="7"/>
  <c r="AI8" i="5" s="1"/>
  <c r="DE10" i="7"/>
  <c r="AI9" i="5" s="1"/>
  <c r="DE11" i="7"/>
  <c r="AI10" i="5" s="1"/>
  <c r="DE12" i="7"/>
  <c r="AI11" i="5" s="1"/>
  <c r="DE13" i="7"/>
  <c r="AI12" i="5" s="1"/>
  <c r="DE14" i="7"/>
  <c r="AI13" i="5" s="1"/>
  <c r="DE15" i="7"/>
  <c r="AI14" i="5" s="1"/>
  <c r="DE16" i="7"/>
  <c r="AI15" i="5" s="1"/>
  <c r="DE17" i="7"/>
  <c r="AI16" i="5" s="1"/>
  <c r="DE18" i="7"/>
  <c r="AI17" i="5" s="1"/>
  <c r="DE19" i="7"/>
  <c r="AI18" i="5" s="1"/>
  <c r="DE20" i="7"/>
  <c r="AI19" i="5" s="1"/>
  <c r="DE21" i="7"/>
  <c r="AI20" i="5" s="1"/>
  <c r="DE22" i="7"/>
  <c r="AI21" i="5" s="1"/>
  <c r="DE23" i="7"/>
  <c r="AI22" i="5" s="1"/>
  <c r="DE24" i="7"/>
  <c r="AI23" i="5" s="1"/>
  <c r="DE25" i="7"/>
  <c r="AI24" i="5" s="1"/>
  <c r="DE26" i="7"/>
  <c r="AI25" i="5" s="1"/>
  <c r="DE27" i="7"/>
  <c r="AI26" i="5" s="1"/>
  <c r="DE28" i="7"/>
  <c r="AI27" i="5" s="1"/>
  <c r="DE29" i="7"/>
  <c r="AI28" i="5" s="1"/>
  <c r="DE30" i="7"/>
  <c r="AI29" i="5" s="1"/>
  <c r="DE31" i="7"/>
  <c r="AI30" i="5" s="1"/>
  <c r="DE32" i="7"/>
  <c r="AI31" i="5" s="1"/>
  <c r="DE33" i="7"/>
  <c r="AI32" i="5" s="1"/>
  <c r="DE34" i="7"/>
  <c r="AI33" i="5" s="1"/>
  <c r="DE35" i="7"/>
  <c r="AI34" i="5" s="1"/>
  <c r="DE36" i="7"/>
  <c r="AI35" i="5" s="1"/>
  <c r="DE37" i="7"/>
  <c r="AI36" i="5" s="1"/>
  <c r="DE38" i="7"/>
  <c r="AI37" i="5" s="1"/>
  <c r="DE39" i="7"/>
  <c r="AI38" i="5" s="1"/>
  <c r="DE40" i="7"/>
  <c r="AI39" i="5" s="1"/>
  <c r="DE41" i="7"/>
  <c r="AI40" i="5" s="1"/>
  <c r="DE42" i="7"/>
  <c r="AI41" i="5" s="1"/>
  <c r="DE43" i="7"/>
  <c r="AI42" i="5" s="1"/>
  <c r="DE44" i="7"/>
  <c r="AI43" i="5" s="1"/>
  <c r="DE45" i="7"/>
  <c r="AI44" i="5" s="1"/>
  <c r="DE46" i="7"/>
  <c r="AI45" i="5" s="1"/>
  <c r="DE47" i="7"/>
  <c r="AI46" i="5" s="1"/>
  <c r="DE48" i="7"/>
  <c r="AI47" i="5" s="1"/>
  <c r="DE49" i="7"/>
  <c r="AI48" i="5" s="1"/>
  <c r="DE50" i="7"/>
  <c r="AI49" i="5" s="1"/>
  <c r="DE51" i="7"/>
  <c r="AI50" i="5" s="1"/>
  <c r="DE52" i="7"/>
  <c r="AI51" i="5" s="1"/>
  <c r="DE53" i="7"/>
  <c r="AI52" i="5" s="1"/>
  <c r="DE54" i="7"/>
  <c r="AI53" i="5" s="1"/>
  <c r="DE55" i="7"/>
  <c r="AI54" i="5" s="1"/>
  <c r="DE56" i="7"/>
  <c r="AI55" i="5" s="1"/>
  <c r="DE57" i="7"/>
  <c r="AI56" i="5" s="1"/>
  <c r="DE58" i="7"/>
  <c r="AI57" i="5" s="1"/>
  <c r="DE59" i="7"/>
  <c r="AI58" i="5" s="1"/>
  <c r="DE60" i="7"/>
  <c r="AI59" i="5" s="1"/>
  <c r="DE61" i="7"/>
  <c r="AI60" i="5" s="1"/>
  <c r="DE62" i="7"/>
  <c r="AI61" i="5" s="1"/>
  <c r="DE63" i="7"/>
  <c r="AI62" i="5" s="1"/>
  <c r="DE64" i="7"/>
  <c r="AI63" i="5" s="1"/>
  <c r="DE65" i="7"/>
  <c r="AI64" i="5" s="1"/>
  <c r="DE66" i="7"/>
  <c r="AI65" i="5" s="1"/>
  <c r="DE67" i="7"/>
  <c r="AI66" i="5" s="1"/>
  <c r="DE68" i="7"/>
  <c r="AI67" i="5" s="1"/>
  <c r="DE69" i="7"/>
  <c r="AI68" i="5" s="1"/>
  <c r="DE70" i="7"/>
  <c r="AI69" i="5" s="1"/>
  <c r="DE71" i="7"/>
  <c r="AI70" i="5" s="1"/>
  <c r="DE72" i="7"/>
  <c r="AI71" i="5" s="1"/>
  <c r="DE73" i="7"/>
  <c r="AI72" i="5" s="1"/>
  <c r="DE74" i="7"/>
  <c r="AI73" i="5" s="1"/>
  <c r="DE75" i="7"/>
  <c r="AI74" i="5" s="1"/>
  <c r="DE76" i="7"/>
  <c r="AI75" i="5" s="1"/>
  <c r="DE77" i="7"/>
  <c r="AI76" i="5" s="1"/>
  <c r="DE78" i="7"/>
  <c r="AI77" i="5" s="1"/>
  <c r="DE79" i="7"/>
  <c r="AI78" i="5" s="1"/>
  <c r="DE80" i="7"/>
  <c r="AI79" i="5" s="1"/>
  <c r="DE81" i="7"/>
  <c r="AI80" i="5" s="1"/>
  <c r="DE82" i="7"/>
  <c r="AI81" i="5" s="1"/>
  <c r="DE83" i="7"/>
  <c r="AI82" i="5" s="1"/>
  <c r="DE84" i="7"/>
  <c r="AI83" i="5" s="1"/>
  <c r="DE85" i="7"/>
  <c r="AI84" i="5" s="1"/>
  <c r="DE86" i="7"/>
  <c r="AI85" i="5" s="1"/>
  <c r="DE87" i="7"/>
  <c r="AI86" i="5" s="1"/>
  <c r="DE88" i="7"/>
  <c r="AI87" i="5" s="1"/>
  <c r="DE89" i="7"/>
  <c r="AI88" i="5" s="1"/>
  <c r="DE90" i="7"/>
  <c r="AI89" i="5" s="1"/>
  <c r="DE91" i="7"/>
  <c r="AI90" i="5" s="1"/>
  <c r="DE92" i="7"/>
  <c r="AI91" i="5" s="1"/>
  <c r="DE93" i="7"/>
  <c r="AI92" i="5" s="1"/>
  <c r="DE94" i="7"/>
  <c r="AI93" i="5" s="1"/>
  <c r="DE95" i="7"/>
  <c r="AI94" i="5" s="1"/>
  <c r="DE96" i="7"/>
  <c r="AI95" i="5" s="1"/>
  <c r="DE97" i="7"/>
  <c r="AI96" i="5" s="1"/>
  <c r="DE98" i="7"/>
  <c r="AI97" i="5" s="1"/>
  <c r="DE99" i="7"/>
  <c r="AI98" i="5" s="1"/>
  <c r="DE100" i="7"/>
  <c r="AI99" i="5" s="1"/>
  <c r="DE101" i="7"/>
  <c r="AI100" i="5" s="1"/>
  <c r="DE102" i="7"/>
  <c r="AI101" i="5" s="1"/>
  <c r="DE103" i="7"/>
  <c r="AI102" i="5" s="1"/>
  <c r="DE104" i="7"/>
  <c r="AI103" i="5" s="1"/>
  <c r="DE105" i="7"/>
  <c r="AI104" i="5" s="1"/>
  <c r="DE106" i="7"/>
  <c r="AI105" i="5" s="1"/>
  <c r="DE107" i="7"/>
  <c r="AI106" i="5" s="1"/>
  <c r="DE108" i="7"/>
  <c r="AI107" i="5" s="1"/>
  <c r="DE109" i="7"/>
  <c r="AI108" i="5" s="1"/>
  <c r="DE110" i="7"/>
  <c r="AI109" i="5" s="1"/>
  <c r="DE111" i="7"/>
  <c r="AI110" i="5" s="1"/>
  <c r="DE112" i="7"/>
  <c r="AI111" i="5" s="1"/>
  <c r="DE114" i="7"/>
  <c r="AI113" i="5" s="1"/>
  <c r="DE115" i="7"/>
  <c r="AI114" i="5" s="1"/>
  <c r="DE116" i="7"/>
  <c r="AI115" i="5" s="1"/>
  <c r="DE117" i="7"/>
  <c r="AI116" i="5" s="1"/>
  <c r="DE118" i="7"/>
  <c r="AI117" i="5" s="1"/>
  <c r="DE119" i="7"/>
  <c r="AI118" i="5" s="1"/>
  <c r="DE120" i="7"/>
  <c r="AI119" i="5" s="1"/>
  <c r="DE121" i="7"/>
  <c r="AI120" i="5" s="1"/>
  <c r="DE122" i="7"/>
  <c r="AI121" i="5" s="1"/>
  <c r="DE123" i="7"/>
  <c r="AI122" i="5" s="1"/>
  <c r="DE124" i="7"/>
  <c r="AI123" i="5" s="1"/>
  <c r="DE125" i="7"/>
  <c r="AI124" i="5" s="1"/>
  <c r="DE126" i="7"/>
  <c r="AI125" i="5" s="1"/>
  <c r="DE127" i="7"/>
  <c r="AI126" i="5" s="1"/>
  <c r="DE128" i="7"/>
  <c r="AI127" i="5" s="1"/>
  <c r="DE129" i="7"/>
  <c r="AI128" i="5" s="1"/>
  <c r="DE131" i="7"/>
  <c r="AI130" i="5" s="1"/>
  <c r="DE132" i="7"/>
  <c r="AI131" i="5" s="1"/>
  <c r="DE134" i="7"/>
  <c r="AI133" i="5" s="1"/>
  <c r="DE135" i="7"/>
  <c r="AI134" i="5" s="1"/>
  <c r="DE136" i="7"/>
  <c r="AI135" i="5" s="1"/>
  <c r="DE137" i="7"/>
  <c r="AI136" i="5" s="1"/>
  <c r="DE138" i="7"/>
  <c r="AI137" i="5" s="1"/>
  <c r="DE139" i="7"/>
  <c r="AI138" i="5" s="1"/>
  <c r="DE140" i="7"/>
  <c r="AI139" i="5" s="1"/>
  <c r="DE141" i="7"/>
  <c r="AI140" i="5" s="1"/>
  <c r="DE142" i="7"/>
  <c r="AI141" i="5" s="1"/>
  <c r="DE143" i="7"/>
  <c r="AI142" i="5" s="1"/>
  <c r="DE144" i="7"/>
  <c r="AI143" i="5" s="1"/>
  <c r="DE145" i="7"/>
  <c r="AI144" i="5" s="1"/>
  <c r="DE146" i="7"/>
  <c r="AI145" i="5" s="1"/>
  <c r="DE147" i="7"/>
  <c r="AI146" i="5" s="1"/>
  <c r="DE148" i="7"/>
  <c r="AI147" i="5" s="1"/>
  <c r="DE149" i="7"/>
  <c r="AI148" i="5" s="1"/>
  <c r="DE150" i="7"/>
  <c r="AI149" i="5" s="1"/>
  <c r="DE151" i="7"/>
  <c r="AI150" i="5" s="1"/>
  <c r="DE152" i="7"/>
  <c r="AI151" i="5" s="1"/>
  <c r="DE153" i="7"/>
  <c r="AI152" i="5" s="1"/>
  <c r="DE154" i="7"/>
  <c r="AI153" i="5" s="1"/>
  <c r="DE155" i="7"/>
  <c r="AI154" i="5" s="1"/>
  <c r="DE156" i="7"/>
  <c r="AI155" i="5" s="1"/>
  <c r="DE157" i="7"/>
  <c r="AI156" i="5" s="1"/>
  <c r="DE158" i="7"/>
  <c r="AI157" i="5" s="1"/>
  <c r="DE159" i="7"/>
  <c r="AI158" i="5" s="1"/>
  <c r="DE160" i="7"/>
  <c r="AI159" i="5" s="1"/>
  <c r="DE161" i="7"/>
  <c r="AI160" i="5" s="1"/>
  <c r="DE162" i="7"/>
  <c r="AI161" i="5" s="1"/>
  <c r="DE163" i="7"/>
  <c r="AI162" i="5" s="1"/>
  <c r="DE164" i="7"/>
  <c r="AI163" i="5" s="1"/>
  <c r="DE165" i="7"/>
  <c r="AI164" i="5" s="1"/>
  <c r="DE166" i="7"/>
  <c r="AI165" i="5" s="1"/>
  <c r="DE167" i="7"/>
  <c r="AI166" i="5" s="1"/>
  <c r="DE168" i="7"/>
  <c r="AI167" i="5" s="1"/>
  <c r="DE169" i="7"/>
  <c r="AI168" i="5" s="1"/>
  <c r="DE170" i="7"/>
  <c r="AI169" i="5" s="1"/>
  <c r="DE171" i="7"/>
  <c r="AI170" i="5" s="1"/>
  <c r="DE172" i="7"/>
  <c r="AI171" i="5" s="1"/>
  <c r="DE173" i="7"/>
  <c r="AI172" i="5" s="1"/>
  <c r="DE174" i="7"/>
  <c r="AI173" i="5" s="1"/>
  <c r="DE175" i="7"/>
  <c r="AI174" i="5" s="1"/>
  <c r="DE176" i="7"/>
  <c r="AI175" i="5" s="1"/>
  <c r="DE177" i="7"/>
  <c r="AI176" i="5" s="1"/>
  <c r="DE178" i="7"/>
  <c r="AI177" i="5" s="1"/>
  <c r="DE179" i="7"/>
  <c r="AI178" i="5" s="1"/>
  <c r="DE180" i="7"/>
  <c r="AI179" i="5" s="1"/>
  <c r="DE181" i="7"/>
  <c r="AI180" i="5" s="1"/>
  <c r="DE182" i="7"/>
  <c r="AI181" i="5" s="1"/>
  <c r="DE183" i="7"/>
  <c r="AI182" i="5" s="1"/>
  <c r="DE184" i="7"/>
  <c r="AI183" i="5" s="1"/>
  <c r="DE185" i="7"/>
  <c r="AI184" i="5" s="1"/>
  <c r="DE186" i="7"/>
  <c r="AI185" i="5" s="1"/>
  <c r="DE187" i="7"/>
  <c r="AI186" i="5" s="1"/>
  <c r="DE188" i="7"/>
  <c r="AI187" i="5" s="1"/>
  <c r="DE189" i="7"/>
  <c r="AI188" i="5" s="1"/>
  <c r="DE190" i="7"/>
  <c r="AI189" i="5" s="1"/>
  <c r="DE191" i="7"/>
  <c r="AI190" i="5" s="1"/>
  <c r="DE192" i="7"/>
  <c r="AI191" i="5" s="1"/>
  <c r="DE193" i="7"/>
  <c r="AI192" i="5" s="1"/>
  <c r="DE194" i="7"/>
  <c r="AI193" i="5" s="1"/>
  <c r="DE195" i="7"/>
  <c r="AI194" i="5" s="1"/>
  <c r="DE196" i="7"/>
  <c r="AI195" i="5" s="1"/>
  <c r="DE197" i="7"/>
  <c r="AI196" i="5" s="1"/>
  <c r="DE198" i="7"/>
  <c r="AI197" i="5" s="1"/>
  <c r="DE199" i="7"/>
  <c r="AI198" i="5" s="1"/>
  <c r="DE200" i="7"/>
  <c r="AI199" i="5" s="1"/>
  <c r="DE201" i="7"/>
  <c r="AI200" i="5" s="1"/>
  <c r="DE202" i="7"/>
  <c r="AI201" i="5" s="1"/>
  <c r="DE203" i="7"/>
  <c r="AI202" i="5" s="1"/>
  <c r="DE204" i="7"/>
  <c r="AI203" i="5" s="1"/>
  <c r="DE205" i="7"/>
  <c r="AI204" i="5" s="1"/>
  <c r="DE206" i="7"/>
  <c r="AI205" i="5" s="1"/>
  <c r="DE207" i="7"/>
  <c r="AI206" i="5" s="1"/>
  <c r="DE208" i="7"/>
  <c r="AI207" i="5" s="1"/>
  <c r="DE209" i="7"/>
  <c r="AI208" i="5" s="1"/>
  <c r="DE210" i="7"/>
  <c r="AI209" i="5" s="1"/>
  <c r="DE211" i="7"/>
  <c r="AI210" i="5" s="1"/>
  <c r="DE212" i="7"/>
  <c r="AI211" i="5" s="1"/>
  <c r="DE213" i="7"/>
  <c r="AI212" i="5" s="1"/>
  <c r="DE214" i="7"/>
  <c r="AI213" i="5" s="1"/>
  <c r="DE215" i="7"/>
  <c r="AI214" i="5" s="1"/>
  <c r="DE216" i="7"/>
  <c r="AI215" i="5" s="1"/>
  <c r="DE217" i="7"/>
  <c r="AI216" i="5" s="1"/>
  <c r="DE218" i="7"/>
  <c r="AI217" i="5" s="1"/>
  <c r="DE219" i="7"/>
  <c r="AI218" i="5" s="1"/>
  <c r="DE220" i="7"/>
  <c r="AI219" i="5" s="1"/>
  <c r="DE221" i="7"/>
  <c r="DE222" i="7"/>
  <c r="DE223" i="7"/>
  <c r="DE224" i="7"/>
  <c r="DE225" i="7"/>
  <c r="DE226" i="7"/>
  <c r="DE227" i="7"/>
  <c r="DE228" i="7"/>
  <c r="DE229" i="7"/>
  <c r="DE230" i="7"/>
  <c r="DE231" i="7"/>
  <c r="DE232" i="7"/>
  <c r="DE233" i="7"/>
  <c r="DE234" i="7"/>
  <c r="DE235" i="7"/>
  <c r="DE241" i="7"/>
  <c r="DE242" i="7"/>
  <c r="DE243" i="7"/>
  <c r="DE244" i="7"/>
  <c r="DE245" i="7"/>
  <c r="DE246" i="7"/>
  <c r="DE247" i="7"/>
  <c r="DE248" i="7"/>
  <c r="DE249" i="7"/>
  <c r="DE250" i="7"/>
  <c r="DE251" i="7"/>
  <c r="DE252" i="7"/>
  <c r="DE253" i="7"/>
  <c r="DE254" i="7"/>
  <c r="DE255" i="7"/>
  <c r="DE256" i="7"/>
  <c r="DE257" i="7"/>
  <c r="DE258" i="7"/>
  <c r="DE259" i="7"/>
  <c r="DE260" i="7"/>
  <c r="DE261" i="7"/>
  <c r="DE262" i="7"/>
  <c r="DE263" i="7"/>
  <c r="DE4" i="7"/>
  <c r="AI3" i="5" s="1"/>
  <c r="AI240" i="5" s="1"/>
  <c r="BG5" i="2"/>
  <c r="BH5" i="2"/>
  <c r="BG6" i="2"/>
  <c r="BH6" i="2"/>
  <c r="BG7" i="2"/>
  <c r="BH7" i="2"/>
  <c r="BG8" i="2"/>
  <c r="BH8" i="2"/>
  <c r="BG9" i="2"/>
  <c r="BH9" i="2"/>
  <c r="BG10" i="2"/>
  <c r="BH10" i="2"/>
  <c r="BG11" i="2"/>
  <c r="BH11" i="2"/>
  <c r="BG12" i="2"/>
  <c r="BH12" i="2"/>
  <c r="BG13" i="2"/>
  <c r="BH13" i="2"/>
  <c r="BG14" i="2"/>
  <c r="BH14" i="2"/>
  <c r="BG15" i="2"/>
  <c r="BH15" i="2"/>
  <c r="BG16" i="2"/>
  <c r="BH16" i="2"/>
  <c r="BG17" i="2"/>
  <c r="BH17" i="2"/>
  <c r="BG18" i="2"/>
  <c r="BH18" i="2"/>
  <c r="BG19" i="2"/>
  <c r="BH19" i="2"/>
  <c r="BG20" i="2"/>
  <c r="BH20" i="2"/>
  <c r="BG21" i="2"/>
  <c r="BH21" i="2"/>
  <c r="BG22" i="2"/>
  <c r="BH22" i="2"/>
  <c r="BG23" i="2"/>
  <c r="BH23" i="2"/>
  <c r="BG24" i="2"/>
  <c r="BH24" i="2"/>
  <c r="BG25" i="2"/>
  <c r="BH25" i="2"/>
  <c r="BG26" i="2"/>
  <c r="BH26" i="2"/>
  <c r="BG27" i="2"/>
  <c r="BH27" i="2"/>
  <c r="BG28" i="2"/>
  <c r="BH28" i="2"/>
  <c r="BG29" i="2"/>
  <c r="BH29" i="2"/>
  <c r="BG30" i="2"/>
  <c r="BH30" i="2"/>
  <c r="BG31" i="2"/>
  <c r="BH31" i="2"/>
  <c r="BG32" i="2"/>
  <c r="BH32" i="2"/>
  <c r="BG33" i="2"/>
  <c r="BH33" i="2"/>
  <c r="BG34" i="2"/>
  <c r="BH34" i="2"/>
  <c r="BG35" i="2"/>
  <c r="BH35" i="2"/>
  <c r="BG36" i="2"/>
  <c r="BH36" i="2"/>
  <c r="BG37" i="2"/>
  <c r="BH37" i="2"/>
  <c r="BG38" i="2"/>
  <c r="BH38" i="2"/>
  <c r="BG39" i="2"/>
  <c r="BH39" i="2"/>
  <c r="BG40" i="2"/>
  <c r="BH40" i="2"/>
  <c r="BG41" i="2"/>
  <c r="BH41" i="2"/>
  <c r="BG42" i="2"/>
  <c r="BH42" i="2"/>
  <c r="BG43" i="2"/>
  <c r="BH43" i="2"/>
  <c r="BG44" i="2"/>
  <c r="BH44" i="2"/>
  <c r="BG45" i="2"/>
  <c r="BH45" i="2"/>
  <c r="BG46" i="2"/>
  <c r="BH46" i="2"/>
  <c r="BG47" i="2"/>
  <c r="BH47" i="2"/>
  <c r="BG48" i="2"/>
  <c r="BH48" i="2"/>
  <c r="BG49" i="2"/>
  <c r="BH49" i="2"/>
  <c r="BG50" i="2"/>
  <c r="BH50" i="2"/>
  <c r="BG51" i="2"/>
  <c r="BH51" i="2"/>
  <c r="BG52" i="2"/>
  <c r="BH52" i="2"/>
  <c r="BG54" i="2"/>
  <c r="BH54" i="2"/>
  <c r="BG55" i="2"/>
  <c r="BH55" i="2"/>
  <c r="BG56" i="2"/>
  <c r="BH56" i="2"/>
  <c r="BG57" i="2"/>
  <c r="BH57" i="2"/>
  <c r="BG58" i="2"/>
  <c r="BH58" i="2"/>
  <c r="BG59" i="2"/>
  <c r="BH59" i="2"/>
  <c r="BG60" i="2"/>
  <c r="BH60" i="2"/>
  <c r="BG61" i="2"/>
  <c r="BH61" i="2"/>
  <c r="BG62" i="2"/>
  <c r="BH62" i="2"/>
  <c r="BG63" i="2"/>
  <c r="BH63" i="2"/>
  <c r="BG64" i="2"/>
  <c r="BH64" i="2"/>
  <c r="BG65" i="2"/>
  <c r="BH65" i="2"/>
  <c r="BG66" i="2"/>
  <c r="BH66" i="2"/>
  <c r="BG67" i="2"/>
  <c r="BH67" i="2"/>
  <c r="BG68" i="2"/>
  <c r="BH68" i="2"/>
  <c r="BG69" i="2"/>
  <c r="BH69" i="2"/>
  <c r="BG70" i="2"/>
  <c r="BH70" i="2"/>
  <c r="BG71" i="2"/>
  <c r="BH71" i="2"/>
  <c r="BG72" i="2"/>
  <c r="BH72" i="2"/>
  <c r="BG73" i="2"/>
  <c r="BH73" i="2"/>
  <c r="BG74" i="2"/>
  <c r="BH74" i="2"/>
  <c r="BG75" i="2"/>
  <c r="BH75" i="2"/>
  <c r="BG76" i="2"/>
  <c r="BH76" i="2"/>
  <c r="BG77" i="2"/>
  <c r="BH77" i="2"/>
  <c r="BG78" i="2"/>
  <c r="BH78" i="2"/>
  <c r="BG79" i="2"/>
  <c r="BH79" i="2"/>
  <c r="BG80" i="2"/>
  <c r="BH80" i="2"/>
  <c r="BG81" i="2"/>
  <c r="BH81" i="2"/>
  <c r="BG82" i="2"/>
  <c r="BH82" i="2"/>
  <c r="BG83" i="2"/>
  <c r="BH83" i="2"/>
  <c r="BG84" i="2"/>
  <c r="BH84" i="2"/>
  <c r="BG85" i="2"/>
  <c r="BH85" i="2"/>
  <c r="BG86" i="2"/>
  <c r="BH86" i="2"/>
  <c r="BG87" i="2"/>
  <c r="BH87" i="2"/>
  <c r="BG88" i="2"/>
  <c r="BH88" i="2"/>
  <c r="BG89" i="2"/>
  <c r="BH89" i="2"/>
  <c r="BG90" i="2"/>
  <c r="BH90" i="2"/>
  <c r="BG91" i="2"/>
  <c r="BH91" i="2"/>
  <c r="BG92" i="2"/>
  <c r="BH92" i="2"/>
  <c r="BG93" i="2"/>
  <c r="BH93" i="2"/>
  <c r="BG94" i="2"/>
  <c r="BH94" i="2"/>
  <c r="BG95" i="2"/>
  <c r="BH95" i="2"/>
  <c r="BG96" i="2"/>
  <c r="BH96" i="2"/>
  <c r="BG97" i="2"/>
  <c r="BH97" i="2"/>
  <c r="BG98" i="2"/>
  <c r="BH98" i="2"/>
  <c r="BG99" i="2"/>
  <c r="BH99" i="2"/>
  <c r="BG100" i="2"/>
  <c r="BH100" i="2"/>
  <c r="BG101" i="2"/>
  <c r="BH101" i="2"/>
  <c r="BG102" i="2"/>
  <c r="BH102" i="2"/>
  <c r="BG103" i="2"/>
  <c r="BH103" i="2"/>
  <c r="BG104" i="2"/>
  <c r="BH104" i="2"/>
  <c r="BG105" i="2"/>
  <c r="BH105" i="2"/>
  <c r="BG106" i="2"/>
  <c r="BH106" i="2"/>
  <c r="BG107" i="2"/>
  <c r="BH107" i="2"/>
  <c r="BG108" i="2"/>
  <c r="BH108" i="2"/>
  <c r="BG109" i="2"/>
  <c r="BH109" i="2"/>
  <c r="BG110" i="2"/>
  <c r="BH110" i="2"/>
  <c r="BG111" i="2"/>
  <c r="BH111" i="2"/>
  <c r="BG112" i="2"/>
  <c r="BH112" i="2"/>
  <c r="BG114" i="2"/>
  <c r="BH114" i="2"/>
  <c r="BG115" i="2"/>
  <c r="BH115" i="2"/>
  <c r="BG116" i="2"/>
  <c r="BH116" i="2"/>
  <c r="BG117" i="2"/>
  <c r="BH117" i="2"/>
  <c r="BG118" i="2"/>
  <c r="BH118" i="2"/>
  <c r="BG119" i="2"/>
  <c r="BH119" i="2"/>
  <c r="BG120" i="2"/>
  <c r="BH120" i="2"/>
  <c r="BG121" i="2"/>
  <c r="BH121" i="2"/>
  <c r="BG122" i="2"/>
  <c r="BH122" i="2"/>
  <c r="BG123" i="2"/>
  <c r="BH123" i="2"/>
  <c r="BG124" i="2"/>
  <c r="BH124" i="2"/>
  <c r="BG125" i="2"/>
  <c r="BH125" i="2"/>
  <c r="BG126" i="2"/>
  <c r="BH126" i="2"/>
  <c r="BG127" i="2"/>
  <c r="BH127" i="2"/>
  <c r="BG128" i="2"/>
  <c r="BH128" i="2"/>
  <c r="BG129" i="2"/>
  <c r="BH129" i="2"/>
  <c r="BG130" i="2"/>
  <c r="BH130" i="2"/>
  <c r="BG131" i="2"/>
  <c r="BH131" i="2"/>
  <c r="BG132" i="2"/>
  <c r="BH132" i="2"/>
  <c r="BG134" i="2"/>
  <c r="BH134" i="2"/>
  <c r="BG135" i="2"/>
  <c r="BH135" i="2"/>
  <c r="BG136" i="2"/>
  <c r="BH136" i="2"/>
  <c r="BG137" i="2"/>
  <c r="BH137" i="2"/>
  <c r="BG138" i="2"/>
  <c r="BH138" i="2"/>
  <c r="BG139" i="2"/>
  <c r="BH139" i="2"/>
  <c r="BG140" i="2"/>
  <c r="BH140" i="2"/>
  <c r="BG141" i="2"/>
  <c r="BH141" i="2"/>
  <c r="BG142" i="2"/>
  <c r="BH142" i="2"/>
  <c r="BG143" i="2"/>
  <c r="BH143" i="2"/>
  <c r="BG144" i="2"/>
  <c r="BH144" i="2"/>
  <c r="BG145" i="2"/>
  <c r="BH145" i="2"/>
  <c r="BG146" i="2"/>
  <c r="BH146" i="2"/>
  <c r="BG147" i="2"/>
  <c r="BH147" i="2"/>
  <c r="BG148" i="2"/>
  <c r="BH148" i="2"/>
  <c r="BG149" i="2"/>
  <c r="BH149" i="2"/>
  <c r="BG150" i="2"/>
  <c r="BH150" i="2"/>
  <c r="BG151" i="2"/>
  <c r="BH151" i="2"/>
  <c r="BG152" i="2"/>
  <c r="BH152" i="2"/>
  <c r="BG153" i="2"/>
  <c r="BH153" i="2"/>
  <c r="BG154" i="2"/>
  <c r="BH154" i="2"/>
  <c r="BG155" i="2"/>
  <c r="BH155" i="2"/>
  <c r="BG156" i="2"/>
  <c r="BH156" i="2"/>
  <c r="BG157" i="2"/>
  <c r="BH157" i="2"/>
  <c r="BG158" i="2"/>
  <c r="BH158" i="2"/>
  <c r="BG159" i="2"/>
  <c r="BH159" i="2"/>
  <c r="BG160" i="2"/>
  <c r="BH160" i="2"/>
  <c r="BG161" i="2"/>
  <c r="BH161" i="2"/>
  <c r="BG162" i="2"/>
  <c r="BH162" i="2"/>
  <c r="BG163" i="2"/>
  <c r="BH163" i="2"/>
  <c r="BG164" i="2"/>
  <c r="BH164" i="2"/>
  <c r="BG165" i="2"/>
  <c r="BH165" i="2"/>
  <c r="BG166" i="2"/>
  <c r="BH166" i="2"/>
  <c r="BG167" i="2"/>
  <c r="BH167" i="2"/>
  <c r="BG168" i="2"/>
  <c r="BH168" i="2"/>
  <c r="BG169" i="2"/>
  <c r="BH169" i="2"/>
  <c r="BG170" i="2"/>
  <c r="BH170" i="2"/>
  <c r="BG171" i="2"/>
  <c r="BH171" i="2"/>
  <c r="BG172" i="2"/>
  <c r="BH172" i="2"/>
  <c r="BG173" i="2"/>
  <c r="BH173" i="2"/>
  <c r="BG174" i="2"/>
  <c r="BH174" i="2"/>
  <c r="BG175" i="2"/>
  <c r="BH175" i="2"/>
  <c r="BG176" i="2"/>
  <c r="BH176" i="2"/>
  <c r="BG177" i="2"/>
  <c r="BH177" i="2"/>
  <c r="BG178" i="2"/>
  <c r="BH178" i="2"/>
  <c r="BG179" i="2"/>
  <c r="BH179" i="2"/>
  <c r="BG180" i="2"/>
  <c r="BH180" i="2"/>
  <c r="BG181" i="2"/>
  <c r="BH181" i="2"/>
  <c r="BG183" i="2"/>
  <c r="BH183" i="2"/>
  <c r="BG184" i="2"/>
  <c r="BH184" i="2"/>
  <c r="BG185" i="2"/>
  <c r="BH185" i="2"/>
  <c r="BG186" i="2"/>
  <c r="BH186" i="2"/>
  <c r="BG187" i="2"/>
  <c r="BH187" i="2"/>
  <c r="BG188" i="2"/>
  <c r="BH188" i="2"/>
  <c r="BG189" i="2"/>
  <c r="BH189" i="2"/>
  <c r="BG190" i="2"/>
  <c r="BH190" i="2"/>
  <c r="BG191" i="2"/>
  <c r="BH191" i="2"/>
  <c r="BG192" i="2"/>
  <c r="BH192" i="2"/>
  <c r="BG193" i="2"/>
  <c r="BH193" i="2"/>
  <c r="BG194" i="2"/>
  <c r="BH194" i="2"/>
  <c r="BG195" i="2"/>
  <c r="BH195" i="2"/>
  <c r="BG196" i="2"/>
  <c r="BH196" i="2"/>
  <c r="BG197" i="2"/>
  <c r="BH197" i="2"/>
  <c r="BG198" i="2"/>
  <c r="BH198" i="2"/>
  <c r="BG199" i="2"/>
  <c r="BH199" i="2"/>
  <c r="BG200" i="2"/>
  <c r="BH200" i="2"/>
  <c r="BG201" i="2"/>
  <c r="BH201" i="2"/>
  <c r="BG202" i="2"/>
  <c r="BH202" i="2"/>
  <c r="BG203" i="2"/>
  <c r="BH203" i="2"/>
  <c r="BG204" i="2"/>
  <c r="BH204" i="2"/>
  <c r="BG205" i="2"/>
  <c r="BH205" i="2"/>
  <c r="BG206" i="2"/>
  <c r="BH206" i="2"/>
  <c r="BG207" i="2"/>
  <c r="BH207" i="2"/>
  <c r="BG208" i="2"/>
  <c r="BH208" i="2"/>
  <c r="BG209" i="2"/>
  <c r="BH209" i="2"/>
  <c r="BG210" i="2"/>
  <c r="BH210" i="2"/>
  <c r="BG211" i="2"/>
  <c r="BH211" i="2"/>
  <c r="BG212" i="2"/>
  <c r="BH212" i="2"/>
  <c r="BG213" i="2"/>
  <c r="BH213" i="2"/>
  <c r="BG214" i="2"/>
  <c r="BH214" i="2"/>
  <c r="BG215" i="2"/>
  <c r="BH215" i="2"/>
  <c r="BG216" i="2"/>
  <c r="BH216" i="2"/>
  <c r="BG217" i="2"/>
  <c r="BH217" i="2"/>
  <c r="BG218" i="2"/>
  <c r="BH218" i="2"/>
  <c r="BG219" i="2"/>
  <c r="BH219" i="2"/>
  <c r="BG220" i="2"/>
  <c r="BH220" i="2"/>
  <c r="BG221" i="2"/>
  <c r="BH221" i="2"/>
  <c r="BG222" i="2"/>
  <c r="BH222" i="2"/>
  <c r="BG223" i="2"/>
  <c r="BH223" i="2"/>
  <c r="BG224" i="2"/>
  <c r="BH224" i="2"/>
  <c r="BG225" i="2"/>
  <c r="BH225" i="2"/>
  <c r="BG226" i="2"/>
  <c r="BH226" i="2"/>
  <c r="BG227" i="2"/>
  <c r="BH227" i="2"/>
  <c r="BG228" i="2"/>
  <c r="BH228" i="2"/>
  <c r="BG229" i="2"/>
  <c r="BH229" i="2"/>
  <c r="BG230" i="2"/>
  <c r="BH230" i="2"/>
  <c r="BG231" i="2"/>
  <c r="BH231" i="2"/>
  <c r="BG232" i="2"/>
  <c r="BH232" i="2"/>
  <c r="BG233" i="2"/>
  <c r="BH233" i="2"/>
  <c r="BG234" i="2"/>
  <c r="BH234" i="2"/>
  <c r="BG239" i="2"/>
  <c r="BH239" i="2"/>
  <c r="BG4" i="2"/>
  <c r="BH4" i="2"/>
  <c r="Q234" i="2"/>
  <c r="DG234" i="7" s="1"/>
  <c r="P234" i="2"/>
  <c r="O234" i="2"/>
  <c r="Q233" i="2"/>
  <c r="DG233" i="7" s="1"/>
  <c r="P233" i="2"/>
  <c r="O233" i="2"/>
  <c r="Q232" i="2"/>
  <c r="DG232" i="7" s="1"/>
  <c r="P232" i="2"/>
  <c r="O232" i="2"/>
  <c r="Q231" i="2"/>
  <c r="DG231" i="7" s="1"/>
  <c r="P231" i="2"/>
  <c r="O231" i="2"/>
  <c r="Q230" i="2"/>
  <c r="DG230" i="7" s="1"/>
  <c r="P230" i="2"/>
  <c r="O230" i="2"/>
  <c r="Q229" i="2"/>
  <c r="DG229" i="7" s="1"/>
  <c r="P229" i="2"/>
  <c r="O229" i="2"/>
  <c r="Q228" i="2"/>
  <c r="DG228" i="7" s="1"/>
  <c r="P228" i="2"/>
  <c r="O228" i="2"/>
  <c r="Q227" i="2"/>
  <c r="DG227" i="7" s="1"/>
  <c r="P227" i="2"/>
  <c r="O227" i="2"/>
  <c r="Q226" i="2"/>
  <c r="DG226" i="7" s="1"/>
  <c r="P226" i="2"/>
  <c r="O226" i="2"/>
  <c r="Q225" i="2"/>
  <c r="DG225" i="7" s="1"/>
  <c r="P225" i="2"/>
  <c r="O225" i="2"/>
  <c r="Q224" i="2"/>
  <c r="DG224" i="7" s="1"/>
  <c r="P224" i="2"/>
  <c r="O224" i="2"/>
  <c r="Q223" i="2"/>
  <c r="DG223" i="7" s="1"/>
  <c r="P223" i="2"/>
  <c r="O223" i="2"/>
  <c r="Q222" i="2"/>
  <c r="DG222" i="7" s="1"/>
  <c r="P222" i="2"/>
  <c r="O222" i="2"/>
  <c r="Q221" i="2"/>
  <c r="DG221" i="7" s="1"/>
  <c r="P221" i="2"/>
  <c r="O221" i="2"/>
  <c r="Q220" i="2"/>
  <c r="DG220" i="7" s="1"/>
  <c r="P220" i="2"/>
  <c r="O220" i="2"/>
  <c r="Q219" i="2"/>
  <c r="DG219" i="7" s="1"/>
  <c r="P219" i="2"/>
  <c r="O219" i="2"/>
  <c r="Q218" i="2"/>
  <c r="DG218" i="7" s="1"/>
  <c r="P218" i="2"/>
  <c r="O218" i="2"/>
  <c r="Q217" i="2"/>
  <c r="DG217" i="7" s="1"/>
  <c r="P217" i="2"/>
  <c r="O217" i="2"/>
  <c r="Q216" i="2"/>
  <c r="DG216" i="7" s="1"/>
  <c r="P216" i="2"/>
  <c r="O216" i="2"/>
  <c r="DG215" i="7"/>
  <c r="O215" i="2"/>
  <c r="Q214" i="2"/>
  <c r="DG214" i="7" s="1"/>
  <c r="P214" i="2"/>
  <c r="O214" i="2"/>
  <c r="Q213" i="2"/>
  <c r="DG213" i="7" s="1"/>
  <c r="P213" i="2"/>
  <c r="O213" i="2"/>
  <c r="Q212" i="2"/>
  <c r="DG212" i="7" s="1"/>
  <c r="P212" i="2"/>
  <c r="O212" i="2"/>
  <c r="Q211" i="2"/>
  <c r="DG211" i="7" s="1"/>
  <c r="P211" i="2"/>
  <c r="O211" i="2"/>
  <c r="Q210" i="2"/>
  <c r="DG210" i="7" s="1"/>
  <c r="P210" i="2"/>
  <c r="O210" i="2"/>
  <c r="Q209" i="2"/>
  <c r="DG209" i="7" s="1"/>
  <c r="P209" i="2"/>
  <c r="O209" i="2"/>
  <c r="Q208" i="2"/>
  <c r="DG208" i="7" s="1"/>
  <c r="P208" i="2"/>
  <c r="O208" i="2"/>
  <c r="Q207" i="2"/>
  <c r="DG207" i="7" s="1"/>
  <c r="P207" i="2"/>
  <c r="O207" i="2"/>
  <c r="Q206" i="2"/>
  <c r="DG206" i="7" s="1"/>
  <c r="P206" i="2"/>
  <c r="O206" i="2"/>
  <c r="Q205" i="2"/>
  <c r="DG205" i="7" s="1"/>
  <c r="P205" i="2"/>
  <c r="O205" i="2"/>
  <c r="Q204" i="2"/>
  <c r="DG204" i="7" s="1"/>
  <c r="P204" i="2"/>
  <c r="O204" i="2"/>
  <c r="Q203" i="2"/>
  <c r="DG203" i="7" s="1"/>
  <c r="P203" i="2"/>
  <c r="O203" i="2"/>
  <c r="Q202" i="2"/>
  <c r="DG202" i="7" s="1"/>
  <c r="P202" i="2"/>
  <c r="O202" i="2"/>
  <c r="Q201" i="2"/>
  <c r="DG201" i="7" s="1"/>
  <c r="P201" i="2"/>
  <c r="O201" i="2"/>
  <c r="Q200" i="2"/>
  <c r="DG200" i="7" s="1"/>
  <c r="P200" i="2"/>
  <c r="O200" i="2"/>
  <c r="Q199" i="2"/>
  <c r="DG199" i="7" s="1"/>
  <c r="P199" i="2"/>
  <c r="O199" i="2"/>
  <c r="Q198" i="2"/>
  <c r="DG198" i="7" s="1"/>
  <c r="P198" i="2"/>
  <c r="O198" i="2"/>
  <c r="Q197" i="2"/>
  <c r="DG197" i="7" s="1"/>
  <c r="P197" i="2"/>
  <c r="O197" i="2"/>
  <c r="Q196" i="2"/>
  <c r="DG196" i="7" s="1"/>
  <c r="P196" i="2"/>
  <c r="O196" i="2"/>
  <c r="Q195" i="2"/>
  <c r="DG195" i="7" s="1"/>
  <c r="P195" i="2"/>
  <c r="O195" i="2"/>
  <c r="Q194" i="2"/>
  <c r="DG194" i="7" s="1"/>
  <c r="P194" i="2"/>
  <c r="O194" i="2"/>
  <c r="Q193" i="2"/>
  <c r="DG193" i="7" s="1"/>
  <c r="P193" i="2"/>
  <c r="O193" i="2"/>
  <c r="Q192" i="2"/>
  <c r="DG192" i="7" s="1"/>
  <c r="P192" i="2"/>
  <c r="O192" i="2"/>
  <c r="Q191" i="2"/>
  <c r="DG191" i="7" s="1"/>
  <c r="P191" i="2"/>
  <c r="O191" i="2"/>
  <c r="Q190" i="2"/>
  <c r="DG190" i="7" s="1"/>
  <c r="P190" i="2"/>
  <c r="O190" i="2"/>
  <c r="Q189" i="2"/>
  <c r="DG189" i="7" s="1"/>
  <c r="P189" i="2"/>
  <c r="O189" i="2"/>
  <c r="Q188" i="2"/>
  <c r="DG188" i="7" s="1"/>
  <c r="P188" i="2"/>
  <c r="O188" i="2"/>
  <c r="Q187" i="2"/>
  <c r="DG187" i="7" s="1"/>
  <c r="P187" i="2"/>
  <c r="O187" i="2"/>
  <c r="Q186" i="2"/>
  <c r="DG186" i="7" s="1"/>
  <c r="P186" i="2"/>
  <c r="O186" i="2"/>
  <c r="Q185" i="2"/>
  <c r="DG185" i="7" s="1"/>
  <c r="P185" i="2"/>
  <c r="O185" i="2"/>
  <c r="Q184" i="2"/>
  <c r="DG184" i="7" s="1"/>
  <c r="P184" i="2"/>
  <c r="O184" i="2"/>
  <c r="Q183" i="2"/>
  <c r="DG183" i="7" s="1"/>
  <c r="P183" i="2"/>
  <c r="O183" i="2"/>
  <c r="Q181" i="2"/>
  <c r="DG181" i="7" s="1"/>
  <c r="P181" i="2"/>
  <c r="O181" i="2"/>
  <c r="Q180" i="2"/>
  <c r="DG180" i="7" s="1"/>
  <c r="P180" i="2"/>
  <c r="O180" i="2"/>
  <c r="Q179" i="2"/>
  <c r="DG179" i="7" s="1"/>
  <c r="P179" i="2"/>
  <c r="O179" i="2"/>
  <c r="Q178" i="2"/>
  <c r="DG178" i="7" s="1"/>
  <c r="P178" i="2"/>
  <c r="O178" i="2"/>
  <c r="Q177" i="2"/>
  <c r="DG177" i="7" s="1"/>
  <c r="P177" i="2"/>
  <c r="O177" i="2"/>
  <c r="Q176" i="2"/>
  <c r="DG176" i="7" s="1"/>
  <c r="P176" i="2"/>
  <c r="O176" i="2"/>
  <c r="Q175" i="2"/>
  <c r="DG175" i="7" s="1"/>
  <c r="P175" i="2"/>
  <c r="O175" i="2"/>
  <c r="Q174" i="2"/>
  <c r="DG174" i="7" s="1"/>
  <c r="P174" i="2"/>
  <c r="O174" i="2"/>
  <c r="Q173" i="2"/>
  <c r="DG173" i="7" s="1"/>
  <c r="P173" i="2"/>
  <c r="O173" i="2"/>
  <c r="Q172" i="2"/>
  <c r="DG172" i="7" s="1"/>
  <c r="P172" i="2"/>
  <c r="O172" i="2"/>
  <c r="Q171" i="2"/>
  <c r="DG171" i="7" s="1"/>
  <c r="P171" i="2"/>
  <c r="O171" i="2"/>
  <c r="Q170" i="2"/>
  <c r="DG170" i="7" s="1"/>
  <c r="P170" i="2"/>
  <c r="O170" i="2"/>
  <c r="Q169" i="2"/>
  <c r="DG169" i="7" s="1"/>
  <c r="P169" i="2"/>
  <c r="O169" i="2"/>
  <c r="Q168" i="2"/>
  <c r="DG168" i="7" s="1"/>
  <c r="P168" i="2"/>
  <c r="O168" i="2"/>
  <c r="Q167" i="2"/>
  <c r="DG167" i="7" s="1"/>
  <c r="P167" i="2"/>
  <c r="O167" i="2"/>
  <c r="Q166" i="2"/>
  <c r="DG166" i="7" s="1"/>
  <c r="P166" i="2"/>
  <c r="O166" i="2"/>
  <c r="Q165" i="2"/>
  <c r="DG165" i="7" s="1"/>
  <c r="P165" i="2"/>
  <c r="O165" i="2"/>
  <c r="Q164" i="2"/>
  <c r="DG164" i="7" s="1"/>
  <c r="P164" i="2"/>
  <c r="O164" i="2"/>
  <c r="Q163" i="2"/>
  <c r="DG163" i="7" s="1"/>
  <c r="P163" i="2"/>
  <c r="O163" i="2"/>
  <c r="Q162" i="2"/>
  <c r="DG162" i="7" s="1"/>
  <c r="P162" i="2"/>
  <c r="O162" i="2"/>
  <c r="Q161" i="2"/>
  <c r="DG161" i="7" s="1"/>
  <c r="P161" i="2"/>
  <c r="O161" i="2"/>
  <c r="Q160" i="2"/>
  <c r="DG160" i="7" s="1"/>
  <c r="P160" i="2"/>
  <c r="O160" i="2"/>
  <c r="Q159" i="2"/>
  <c r="DG159" i="7" s="1"/>
  <c r="P159" i="2"/>
  <c r="O159" i="2"/>
  <c r="Q158" i="2"/>
  <c r="DG158" i="7" s="1"/>
  <c r="P158" i="2"/>
  <c r="O158" i="2"/>
  <c r="Q157" i="2"/>
  <c r="DG157" i="7" s="1"/>
  <c r="P157" i="2"/>
  <c r="O157" i="2"/>
  <c r="Q156" i="2"/>
  <c r="DG156" i="7" s="1"/>
  <c r="P156" i="2"/>
  <c r="O156" i="2"/>
  <c r="Q155" i="2"/>
  <c r="DG155" i="7" s="1"/>
  <c r="P155" i="2"/>
  <c r="O155" i="2"/>
  <c r="Q154" i="2"/>
  <c r="DG154" i="7" s="1"/>
  <c r="P154" i="2"/>
  <c r="O154" i="2"/>
  <c r="Q153" i="2"/>
  <c r="DG153" i="7" s="1"/>
  <c r="P153" i="2"/>
  <c r="O153" i="2"/>
  <c r="Q152" i="2"/>
  <c r="DG152" i="7" s="1"/>
  <c r="P152" i="2"/>
  <c r="O152" i="2"/>
  <c r="Q151" i="2"/>
  <c r="DG151" i="7" s="1"/>
  <c r="P151" i="2"/>
  <c r="O151" i="2"/>
  <c r="Q150" i="2"/>
  <c r="DG150" i="7" s="1"/>
  <c r="P150" i="2"/>
  <c r="O150" i="2"/>
  <c r="Q149" i="2"/>
  <c r="DG149" i="7" s="1"/>
  <c r="P149" i="2"/>
  <c r="O149" i="2"/>
  <c r="Q148" i="2"/>
  <c r="DG148" i="7" s="1"/>
  <c r="P148" i="2"/>
  <c r="O148" i="2"/>
  <c r="Q147" i="2"/>
  <c r="DG147" i="7" s="1"/>
  <c r="P147" i="2"/>
  <c r="O147" i="2"/>
  <c r="Q146" i="2"/>
  <c r="DG146" i="7" s="1"/>
  <c r="P146" i="2"/>
  <c r="O146" i="2"/>
  <c r="Q145" i="2"/>
  <c r="DG145" i="7" s="1"/>
  <c r="P145" i="2"/>
  <c r="O145" i="2"/>
  <c r="Q144" i="2"/>
  <c r="DG144" i="7" s="1"/>
  <c r="P144" i="2"/>
  <c r="O144" i="2"/>
  <c r="Q143" i="2"/>
  <c r="DG143" i="7" s="1"/>
  <c r="P143" i="2"/>
  <c r="O143" i="2"/>
  <c r="Q142" i="2"/>
  <c r="DG142" i="7" s="1"/>
  <c r="P142" i="2"/>
  <c r="O142" i="2"/>
  <c r="Q141" i="2"/>
  <c r="DG141" i="7" s="1"/>
  <c r="P141" i="2"/>
  <c r="O141" i="2"/>
  <c r="Q140" i="2"/>
  <c r="DG140" i="7" s="1"/>
  <c r="P140" i="2"/>
  <c r="O140" i="2"/>
  <c r="Q139" i="2"/>
  <c r="DG139" i="7" s="1"/>
  <c r="P139" i="2"/>
  <c r="O139" i="2"/>
  <c r="Q138" i="2"/>
  <c r="DG138" i="7" s="1"/>
  <c r="P138" i="2"/>
  <c r="O138" i="2"/>
  <c r="Q137" i="2"/>
  <c r="DG137" i="7" s="1"/>
  <c r="P137" i="2"/>
  <c r="O137" i="2"/>
  <c r="Q136" i="2"/>
  <c r="DG136" i="7" s="1"/>
  <c r="P136" i="2"/>
  <c r="O136" i="2"/>
  <c r="Q135" i="2"/>
  <c r="DG135" i="7" s="1"/>
  <c r="P135" i="2"/>
  <c r="O135" i="2"/>
  <c r="Q134" i="2"/>
  <c r="DG134" i="7" s="1"/>
  <c r="P134" i="2"/>
  <c r="O134" i="2"/>
  <c r="Q132" i="2"/>
  <c r="DG132" i="7" s="1"/>
  <c r="P132" i="2"/>
  <c r="O132" i="2"/>
  <c r="Q131" i="2"/>
  <c r="DG131" i="7" s="1"/>
  <c r="P131" i="2"/>
  <c r="O131" i="2"/>
  <c r="Q130" i="2"/>
  <c r="DG130" i="7" s="1"/>
  <c r="P130" i="2"/>
  <c r="O130" i="2"/>
  <c r="Q129" i="2"/>
  <c r="DG129" i="7" s="1"/>
  <c r="P129" i="2"/>
  <c r="O129" i="2"/>
  <c r="Q128" i="2"/>
  <c r="DG128" i="7" s="1"/>
  <c r="P128" i="2"/>
  <c r="O128" i="2"/>
  <c r="Q127" i="2"/>
  <c r="DG127" i="7" s="1"/>
  <c r="P127" i="2"/>
  <c r="O127" i="2"/>
  <c r="Q126" i="2"/>
  <c r="DG126" i="7" s="1"/>
  <c r="P126" i="2"/>
  <c r="O126" i="2"/>
  <c r="Q125" i="2"/>
  <c r="DG125" i="7" s="1"/>
  <c r="P125" i="2"/>
  <c r="O125" i="2"/>
  <c r="Q124" i="2"/>
  <c r="DG124" i="7" s="1"/>
  <c r="P124" i="2"/>
  <c r="O124" i="2"/>
  <c r="Q123" i="2"/>
  <c r="DG123" i="7" s="1"/>
  <c r="P123" i="2"/>
  <c r="O123" i="2"/>
  <c r="Q122" i="2"/>
  <c r="DG122" i="7" s="1"/>
  <c r="P122" i="2"/>
  <c r="O122" i="2"/>
  <c r="Q121" i="2"/>
  <c r="DG121" i="7" s="1"/>
  <c r="P121" i="2"/>
  <c r="O121" i="2"/>
  <c r="Q120" i="2"/>
  <c r="DG120" i="7" s="1"/>
  <c r="P120" i="2"/>
  <c r="O120" i="2"/>
  <c r="Q119" i="2"/>
  <c r="DG119" i="7" s="1"/>
  <c r="P119" i="2"/>
  <c r="O119" i="2"/>
  <c r="Q118" i="2"/>
  <c r="DG118" i="7" s="1"/>
  <c r="P118" i="2"/>
  <c r="O118" i="2"/>
  <c r="Q117" i="2"/>
  <c r="DG117" i="7" s="1"/>
  <c r="P117" i="2"/>
  <c r="O117" i="2"/>
  <c r="Q116" i="2"/>
  <c r="DG116" i="7" s="1"/>
  <c r="P116" i="2"/>
  <c r="O116" i="2"/>
  <c r="Q115" i="2"/>
  <c r="DG115" i="7" s="1"/>
  <c r="O115" i="2"/>
  <c r="Q114" i="2"/>
  <c r="DG114" i="7" s="1"/>
  <c r="P114" i="2"/>
  <c r="O114" i="2"/>
  <c r="Q112" i="2"/>
  <c r="DG112" i="7" s="1"/>
  <c r="P112" i="2"/>
  <c r="O112" i="2"/>
  <c r="Q111" i="2"/>
  <c r="DG111" i="7" s="1"/>
  <c r="P111" i="2"/>
  <c r="O111" i="2"/>
  <c r="Q110" i="2"/>
  <c r="DG110" i="7" s="1"/>
  <c r="P110" i="2"/>
  <c r="O110" i="2"/>
  <c r="Q109" i="2"/>
  <c r="DG109" i="7" s="1"/>
  <c r="P109" i="2"/>
  <c r="O109" i="2"/>
  <c r="Q108" i="2"/>
  <c r="DG108" i="7" s="1"/>
  <c r="P108" i="2"/>
  <c r="O108" i="2"/>
  <c r="Q107" i="2"/>
  <c r="DG107" i="7" s="1"/>
  <c r="P107" i="2"/>
  <c r="O107" i="2"/>
  <c r="Q106" i="2"/>
  <c r="DG106" i="7" s="1"/>
  <c r="P106" i="2"/>
  <c r="O106" i="2"/>
  <c r="Q105" i="2"/>
  <c r="DG105" i="7" s="1"/>
  <c r="P105" i="2"/>
  <c r="O105" i="2"/>
  <c r="Q104" i="2"/>
  <c r="DG104" i="7" s="1"/>
  <c r="P104" i="2"/>
  <c r="O104" i="2"/>
  <c r="Q103" i="2"/>
  <c r="DG103" i="7" s="1"/>
  <c r="P103" i="2"/>
  <c r="O103" i="2"/>
  <c r="Q102" i="2"/>
  <c r="DG102" i="7" s="1"/>
  <c r="P102" i="2"/>
  <c r="O102" i="2"/>
  <c r="Q101" i="2"/>
  <c r="DG101" i="7" s="1"/>
  <c r="P101" i="2"/>
  <c r="O101" i="2"/>
  <c r="Q100" i="2"/>
  <c r="DG100" i="7" s="1"/>
  <c r="P100" i="2"/>
  <c r="O100" i="2"/>
  <c r="Q99" i="2"/>
  <c r="DG99" i="7" s="1"/>
  <c r="P99" i="2"/>
  <c r="O99" i="2"/>
  <c r="Q98" i="2"/>
  <c r="DG98" i="7" s="1"/>
  <c r="P98" i="2"/>
  <c r="O98" i="2"/>
  <c r="Q97" i="2"/>
  <c r="DG97" i="7" s="1"/>
  <c r="P97" i="2"/>
  <c r="O97" i="2"/>
  <c r="Q96" i="2"/>
  <c r="DG96" i="7" s="1"/>
  <c r="P96" i="2"/>
  <c r="O96" i="2"/>
  <c r="Q95" i="2"/>
  <c r="DG95" i="7" s="1"/>
  <c r="P95" i="2"/>
  <c r="O95" i="2"/>
  <c r="Q94" i="2"/>
  <c r="DG94" i="7" s="1"/>
  <c r="P94" i="2"/>
  <c r="O94" i="2"/>
  <c r="Q93" i="2"/>
  <c r="DG93" i="7" s="1"/>
  <c r="P93" i="2"/>
  <c r="O93" i="2"/>
  <c r="Q92" i="2"/>
  <c r="DG92" i="7" s="1"/>
  <c r="P92" i="2"/>
  <c r="Q91" i="2"/>
  <c r="DG91" i="7" s="1"/>
  <c r="P91" i="2"/>
  <c r="O91" i="2"/>
  <c r="Q90" i="2"/>
  <c r="DG90" i="7" s="1"/>
  <c r="P90" i="2"/>
  <c r="O90" i="2"/>
  <c r="Q89" i="2"/>
  <c r="DG89" i="7" s="1"/>
  <c r="P89" i="2"/>
  <c r="O89" i="2"/>
  <c r="Q88" i="2"/>
  <c r="DG88" i="7" s="1"/>
  <c r="P88" i="2"/>
  <c r="O88" i="2"/>
  <c r="Q87" i="2"/>
  <c r="DG87" i="7" s="1"/>
  <c r="P87" i="2"/>
  <c r="O87" i="2"/>
  <c r="Q86" i="2"/>
  <c r="DG86" i="7" s="1"/>
  <c r="P86" i="2"/>
  <c r="O86" i="2"/>
  <c r="Q85" i="2"/>
  <c r="DG85" i="7" s="1"/>
  <c r="P85" i="2"/>
  <c r="O85" i="2"/>
  <c r="Q84" i="2"/>
  <c r="DG84" i="7" s="1"/>
  <c r="P84" i="2"/>
  <c r="O84" i="2"/>
  <c r="Q83" i="2"/>
  <c r="DG83" i="7" s="1"/>
  <c r="P83" i="2"/>
  <c r="O83" i="2"/>
  <c r="Q82" i="2"/>
  <c r="DG82" i="7" s="1"/>
  <c r="P82" i="2"/>
  <c r="O82" i="2"/>
  <c r="Q81" i="2"/>
  <c r="DG81" i="7" s="1"/>
  <c r="P81" i="2"/>
  <c r="O81" i="2"/>
  <c r="Q80" i="2"/>
  <c r="DG80" i="7" s="1"/>
  <c r="P80" i="2"/>
  <c r="O80" i="2"/>
  <c r="Q79" i="2"/>
  <c r="DG79" i="7" s="1"/>
  <c r="P79" i="2"/>
  <c r="O79" i="2"/>
  <c r="Q78" i="2"/>
  <c r="DG78" i="7" s="1"/>
  <c r="P78" i="2"/>
  <c r="O78" i="2"/>
  <c r="Q77" i="2"/>
  <c r="DG77" i="7" s="1"/>
  <c r="P77" i="2"/>
  <c r="O77" i="2"/>
  <c r="Q76" i="2"/>
  <c r="DG76" i="7" s="1"/>
  <c r="P76" i="2"/>
  <c r="O76" i="2"/>
  <c r="Q75" i="2"/>
  <c r="DG75" i="7" s="1"/>
  <c r="P75" i="2"/>
  <c r="O75" i="2"/>
  <c r="Q74" i="2"/>
  <c r="DG74" i="7" s="1"/>
  <c r="P74" i="2"/>
  <c r="O74" i="2"/>
  <c r="Q73" i="2"/>
  <c r="DG73" i="7" s="1"/>
  <c r="P73" i="2"/>
  <c r="O73" i="2"/>
  <c r="Q72" i="2"/>
  <c r="DG72" i="7" s="1"/>
  <c r="P72" i="2"/>
  <c r="O72" i="2"/>
  <c r="Q71" i="2"/>
  <c r="DG71" i="7" s="1"/>
  <c r="P71" i="2"/>
  <c r="O71" i="2"/>
  <c r="Q70" i="2"/>
  <c r="DG70" i="7" s="1"/>
  <c r="P70" i="2"/>
  <c r="O70" i="2"/>
  <c r="Q69" i="2"/>
  <c r="DG69" i="7" s="1"/>
  <c r="P69" i="2"/>
  <c r="O69" i="2"/>
  <c r="Q68" i="2"/>
  <c r="DG68" i="7" s="1"/>
  <c r="P68" i="2"/>
  <c r="O68" i="2"/>
  <c r="Q67" i="2"/>
  <c r="DG67" i="7" s="1"/>
  <c r="P67" i="2"/>
  <c r="O67" i="2"/>
  <c r="Q66" i="2"/>
  <c r="DG66" i="7" s="1"/>
  <c r="P66" i="2"/>
  <c r="O66" i="2"/>
  <c r="Q65" i="2"/>
  <c r="DG65" i="7" s="1"/>
  <c r="P65" i="2"/>
  <c r="O65" i="2"/>
  <c r="Q64" i="2"/>
  <c r="DG64" i="7" s="1"/>
  <c r="P64" i="2"/>
  <c r="O64" i="2"/>
  <c r="Q63" i="2"/>
  <c r="DG63" i="7" s="1"/>
  <c r="P63" i="2"/>
  <c r="O63" i="2"/>
  <c r="Q62" i="2"/>
  <c r="DG62" i="7" s="1"/>
  <c r="P62" i="2"/>
  <c r="O62" i="2"/>
  <c r="Q61" i="2"/>
  <c r="DG61" i="7" s="1"/>
  <c r="P61" i="2"/>
  <c r="O61" i="2"/>
  <c r="Q60" i="2"/>
  <c r="DG60" i="7" s="1"/>
  <c r="P60" i="2"/>
  <c r="O60" i="2"/>
  <c r="Q59" i="2"/>
  <c r="DG59" i="7" s="1"/>
  <c r="P59" i="2"/>
  <c r="O59" i="2"/>
  <c r="Q58" i="2"/>
  <c r="DG58" i="7" s="1"/>
  <c r="P58" i="2"/>
  <c r="O58" i="2"/>
  <c r="Q57" i="2"/>
  <c r="DG57" i="7" s="1"/>
  <c r="P57" i="2"/>
  <c r="O57" i="2"/>
  <c r="Q56" i="2"/>
  <c r="DG56" i="7" s="1"/>
  <c r="P56" i="2"/>
  <c r="O56" i="2"/>
  <c r="Q55" i="2"/>
  <c r="DG55" i="7" s="1"/>
  <c r="P55" i="2"/>
  <c r="O55" i="2"/>
  <c r="Q54" i="2"/>
  <c r="DG54" i="7" s="1"/>
  <c r="P54" i="2"/>
  <c r="O54" i="2"/>
  <c r="Q52" i="2"/>
  <c r="DG52" i="7" s="1"/>
  <c r="P52" i="2"/>
  <c r="O52" i="2"/>
  <c r="Q51" i="2"/>
  <c r="DG51" i="7" s="1"/>
  <c r="P51" i="2"/>
  <c r="O51" i="2"/>
  <c r="Q50" i="2"/>
  <c r="DG50" i="7" s="1"/>
  <c r="P50" i="2"/>
  <c r="O50" i="2"/>
  <c r="Q49" i="2"/>
  <c r="DG49" i="7" s="1"/>
  <c r="P49" i="2"/>
  <c r="O49" i="2"/>
  <c r="Q48" i="2"/>
  <c r="DG48" i="7" s="1"/>
  <c r="P48" i="2"/>
  <c r="O48" i="2"/>
  <c r="Q47" i="2"/>
  <c r="DG47" i="7" s="1"/>
  <c r="P47" i="2"/>
  <c r="O47" i="2"/>
  <c r="Q46" i="2"/>
  <c r="DG46" i="7" s="1"/>
  <c r="P46" i="2"/>
  <c r="O46" i="2"/>
  <c r="Q45" i="2"/>
  <c r="DG45" i="7" s="1"/>
  <c r="P45" i="2"/>
  <c r="O45" i="2"/>
  <c r="Q44" i="2"/>
  <c r="DG44" i="7" s="1"/>
  <c r="P44" i="2"/>
  <c r="O44" i="2"/>
  <c r="Q43" i="2"/>
  <c r="DG43" i="7" s="1"/>
  <c r="P43" i="2"/>
  <c r="O43" i="2"/>
  <c r="Q42" i="2"/>
  <c r="DG42" i="7" s="1"/>
  <c r="P42" i="2"/>
  <c r="O42" i="2"/>
  <c r="Q41" i="2"/>
  <c r="DG41" i="7" s="1"/>
  <c r="P41" i="2"/>
  <c r="O41" i="2"/>
  <c r="Q40" i="2"/>
  <c r="DG40" i="7" s="1"/>
  <c r="P40" i="2"/>
  <c r="O40" i="2"/>
  <c r="Q39" i="2"/>
  <c r="DG39" i="7" s="1"/>
  <c r="P39" i="2"/>
  <c r="O39" i="2"/>
  <c r="Q38" i="2"/>
  <c r="DG38" i="7" s="1"/>
  <c r="P38" i="2"/>
  <c r="O38" i="2"/>
  <c r="Q37" i="2"/>
  <c r="DG37" i="7" s="1"/>
  <c r="P37" i="2"/>
  <c r="O37" i="2"/>
  <c r="Q36" i="2"/>
  <c r="DG36" i="7" s="1"/>
  <c r="P36" i="2"/>
  <c r="O36" i="2"/>
  <c r="Q35" i="2"/>
  <c r="DG35" i="7" s="1"/>
  <c r="P35" i="2"/>
  <c r="O35" i="2"/>
  <c r="Q34" i="2"/>
  <c r="DG34" i="7" s="1"/>
  <c r="P34" i="2"/>
  <c r="O34" i="2"/>
  <c r="Q33" i="2"/>
  <c r="DG33" i="7" s="1"/>
  <c r="P33" i="2"/>
  <c r="O33" i="2"/>
  <c r="Q32" i="2"/>
  <c r="DG32" i="7" s="1"/>
  <c r="P32" i="2"/>
  <c r="O32" i="2"/>
  <c r="Q31" i="2"/>
  <c r="DG31" i="7" s="1"/>
  <c r="P31" i="2"/>
  <c r="O31" i="2"/>
  <c r="Q30" i="2"/>
  <c r="DG30" i="7" s="1"/>
  <c r="P30" i="2"/>
  <c r="O30" i="2"/>
  <c r="Q29" i="2"/>
  <c r="DG29" i="7" s="1"/>
  <c r="P29" i="2"/>
  <c r="O29" i="2"/>
  <c r="Q28" i="2"/>
  <c r="DG28" i="7" s="1"/>
  <c r="P28" i="2"/>
  <c r="O28" i="2"/>
  <c r="Q27" i="2"/>
  <c r="DG27" i="7" s="1"/>
  <c r="P27" i="2"/>
  <c r="O27" i="2"/>
  <c r="Q26" i="2"/>
  <c r="DG26" i="7" s="1"/>
  <c r="P26" i="2"/>
  <c r="O26" i="2"/>
  <c r="Q25" i="2"/>
  <c r="DG25" i="7" s="1"/>
  <c r="P25" i="2"/>
  <c r="O25" i="2"/>
  <c r="Q24" i="2"/>
  <c r="DG24" i="7" s="1"/>
  <c r="P24" i="2"/>
  <c r="O24" i="2"/>
  <c r="Q23" i="2"/>
  <c r="DG23" i="7" s="1"/>
  <c r="P23" i="2"/>
  <c r="O23" i="2"/>
  <c r="Q22" i="2"/>
  <c r="DG22" i="7" s="1"/>
  <c r="P22" i="2"/>
  <c r="O22" i="2"/>
  <c r="Q21" i="2"/>
  <c r="DG21" i="7" s="1"/>
  <c r="P21" i="2"/>
  <c r="O21" i="2"/>
  <c r="Q20" i="2"/>
  <c r="DG20" i="7" s="1"/>
  <c r="P20" i="2"/>
  <c r="O20" i="2"/>
  <c r="Q19" i="2"/>
  <c r="DG19" i="7" s="1"/>
  <c r="P19" i="2"/>
  <c r="O19" i="2"/>
  <c r="Q18" i="2"/>
  <c r="DG18" i="7" s="1"/>
  <c r="P18" i="2"/>
  <c r="O18" i="2"/>
  <c r="Q17" i="2"/>
  <c r="DG17" i="7" s="1"/>
  <c r="P17" i="2"/>
  <c r="O17" i="2"/>
  <c r="Q16" i="2"/>
  <c r="DG16" i="7" s="1"/>
  <c r="P16" i="2"/>
  <c r="O16" i="2"/>
  <c r="Q15" i="2"/>
  <c r="DG15" i="7" s="1"/>
  <c r="P15" i="2"/>
  <c r="O15" i="2"/>
  <c r="Q14" i="2"/>
  <c r="DG14" i="7" s="1"/>
  <c r="P14" i="2"/>
  <c r="O14" i="2"/>
  <c r="Q13" i="2"/>
  <c r="DG13" i="7" s="1"/>
  <c r="P13" i="2"/>
  <c r="O13" i="2"/>
  <c r="Q12" i="2"/>
  <c r="DG12" i="7" s="1"/>
  <c r="P12" i="2"/>
  <c r="O12" i="2"/>
  <c r="Q11" i="2"/>
  <c r="DG11" i="7" s="1"/>
  <c r="P11" i="2"/>
  <c r="O11" i="2"/>
  <c r="Q10" i="2"/>
  <c r="DG10" i="7" s="1"/>
  <c r="P10" i="2"/>
  <c r="O10" i="2"/>
  <c r="Q9" i="2"/>
  <c r="DG9" i="7" s="1"/>
  <c r="P9" i="2"/>
  <c r="O9" i="2"/>
  <c r="Q8" i="2"/>
  <c r="DG8" i="7" s="1"/>
  <c r="P8" i="2"/>
  <c r="O8" i="2"/>
  <c r="Q7" i="2"/>
  <c r="DG7" i="7" s="1"/>
  <c r="P7" i="2"/>
  <c r="O7" i="2"/>
  <c r="Q6" i="2"/>
  <c r="DG6" i="7" s="1"/>
  <c r="P6" i="2"/>
  <c r="O6" i="2"/>
  <c r="Q5" i="2"/>
  <c r="DG5" i="7" s="1"/>
  <c r="P5" i="2"/>
  <c r="O5" i="2"/>
  <c r="Q4" i="2"/>
  <c r="DG4" i="7" s="1"/>
  <c r="P4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W241" i="2"/>
  <c r="Y241" i="2"/>
  <c r="O4" i="2"/>
  <c r="M5" i="2"/>
  <c r="B4" i="5" s="1"/>
  <c r="M6" i="2"/>
  <c r="B5" i="5" s="1"/>
  <c r="M7" i="2"/>
  <c r="B6" i="5" s="1"/>
  <c r="M8" i="2"/>
  <c r="B7" i="5" s="1"/>
  <c r="M9" i="2"/>
  <c r="B8" i="5" s="1"/>
  <c r="M10" i="2"/>
  <c r="B9" i="5" s="1"/>
  <c r="M11" i="2"/>
  <c r="B10" i="5" s="1"/>
  <c r="M12" i="2"/>
  <c r="B11" i="5" s="1"/>
  <c r="M13" i="2"/>
  <c r="B12" i="5" s="1"/>
  <c r="M14" i="2"/>
  <c r="B13" i="5" s="1"/>
  <c r="M15" i="2"/>
  <c r="B14" i="5" s="1"/>
  <c r="M16" i="2"/>
  <c r="B15" i="5" s="1"/>
  <c r="M17" i="2"/>
  <c r="B16" i="5" s="1"/>
  <c r="M18" i="2"/>
  <c r="B17" i="5" s="1"/>
  <c r="M19" i="2"/>
  <c r="B18" i="5" s="1"/>
  <c r="M20" i="2"/>
  <c r="B19" i="5" s="1"/>
  <c r="M21" i="2"/>
  <c r="B20" i="5" s="1"/>
  <c r="M22" i="2"/>
  <c r="B21" i="5" s="1"/>
  <c r="M23" i="2"/>
  <c r="B22" i="5" s="1"/>
  <c r="M24" i="2"/>
  <c r="B23" i="5" s="1"/>
  <c r="M25" i="2"/>
  <c r="B24" i="5" s="1"/>
  <c r="M26" i="2"/>
  <c r="B25" i="5" s="1"/>
  <c r="M27" i="2"/>
  <c r="B26" i="5" s="1"/>
  <c r="M28" i="2"/>
  <c r="B27" i="5" s="1"/>
  <c r="M29" i="2"/>
  <c r="B28" i="5" s="1"/>
  <c r="M30" i="2"/>
  <c r="B29" i="5" s="1"/>
  <c r="M31" i="2"/>
  <c r="B30" i="5" s="1"/>
  <c r="M32" i="2"/>
  <c r="B31" i="5" s="1"/>
  <c r="M33" i="2"/>
  <c r="B32" i="5" s="1"/>
  <c r="M34" i="2"/>
  <c r="B33" i="5" s="1"/>
  <c r="M35" i="2"/>
  <c r="B34" i="5" s="1"/>
  <c r="M36" i="2"/>
  <c r="B35" i="5" s="1"/>
  <c r="M37" i="2"/>
  <c r="B36" i="5" s="1"/>
  <c r="M38" i="2"/>
  <c r="B37" i="5" s="1"/>
  <c r="M39" i="2"/>
  <c r="B38" i="5" s="1"/>
  <c r="M40" i="2"/>
  <c r="B39" i="5" s="1"/>
  <c r="M41" i="2"/>
  <c r="B40" i="5" s="1"/>
  <c r="M42" i="2"/>
  <c r="B41" i="5" s="1"/>
  <c r="M43" i="2"/>
  <c r="B42" i="5" s="1"/>
  <c r="M44" i="2"/>
  <c r="B43" i="5" s="1"/>
  <c r="M45" i="2"/>
  <c r="B44" i="5" s="1"/>
  <c r="M46" i="2"/>
  <c r="B45" i="5" s="1"/>
  <c r="M47" i="2"/>
  <c r="B46" i="5" s="1"/>
  <c r="M48" i="2"/>
  <c r="B47" i="5" s="1"/>
  <c r="M49" i="2"/>
  <c r="B48" i="5" s="1"/>
  <c r="M51" i="2"/>
  <c r="B50" i="5" s="1"/>
  <c r="M52" i="2"/>
  <c r="B51" i="5" s="1"/>
  <c r="M54" i="2"/>
  <c r="B53" i="5" s="1"/>
  <c r="M55" i="2"/>
  <c r="B54" i="5" s="1"/>
  <c r="M56" i="2"/>
  <c r="B55" i="5" s="1"/>
  <c r="M57" i="2"/>
  <c r="B56" i="5" s="1"/>
  <c r="M58" i="2"/>
  <c r="B57" i="5" s="1"/>
  <c r="M59" i="2"/>
  <c r="B58" i="5" s="1"/>
  <c r="M60" i="2"/>
  <c r="B59" i="5" s="1"/>
  <c r="M61" i="2"/>
  <c r="B60" i="5" s="1"/>
  <c r="M62" i="2"/>
  <c r="B61" i="5" s="1"/>
  <c r="M63" i="2"/>
  <c r="B62" i="5" s="1"/>
  <c r="M64" i="2"/>
  <c r="B63" i="5" s="1"/>
  <c r="M65" i="2"/>
  <c r="B64" i="5" s="1"/>
  <c r="M66" i="2"/>
  <c r="B65" i="5" s="1"/>
  <c r="M67" i="2"/>
  <c r="B66" i="5" s="1"/>
  <c r="M68" i="2"/>
  <c r="B67" i="5" s="1"/>
  <c r="M69" i="2"/>
  <c r="B68" i="5" s="1"/>
  <c r="M70" i="2"/>
  <c r="B69" i="5" s="1"/>
  <c r="M71" i="2"/>
  <c r="B70" i="5" s="1"/>
  <c r="M72" i="2"/>
  <c r="B71" i="5" s="1"/>
  <c r="M73" i="2"/>
  <c r="B72" i="5" s="1"/>
  <c r="M74" i="2"/>
  <c r="B73" i="5" s="1"/>
  <c r="M75" i="2"/>
  <c r="B74" i="5" s="1"/>
  <c r="M77" i="2"/>
  <c r="B76" i="5" s="1"/>
  <c r="M78" i="2"/>
  <c r="B77" i="5" s="1"/>
  <c r="M79" i="2"/>
  <c r="B78" i="5" s="1"/>
  <c r="M80" i="2"/>
  <c r="B79" i="5" s="1"/>
  <c r="M81" i="2"/>
  <c r="B80" i="5" s="1"/>
  <c r="M82" i="2"/>
  <c r="B81" i="5" s="1"/>
  <c r="M83" i="2"/>
  <c r="B82" i="5" s="1"/>
  <c r="M84" i="2"/>
  <c r="B83" i="5" s="1"/>
  <c r="M85" i="2"/>
  <c r="B84" i="5" s="1"/>
  <c r="M86" i="2"/>
  <c r="B85" i="5" s="1"/>
  <c r="M87" i="2"/>
  <c r="B86" i="5" s="1"/>
  <c r="M88" i="2"/>
  <c r="B87" i="5" s="1"/>
  <c r="M89" i="2"/>
  <c r="B88" i="5" s="1"/>
  <c r="M90" i="2"/>
  <c r="B89" i="5" s="1"/>
  <c r="M91" i="2"/>
  <c r="B90" i="5" s="1"/>
  <c r="M92" i="2"/>
  <c r="B91" i="5" s="1"/>
  <c r="M93" i="2"/>
  <c r="B92" i="5" s="1"/>
  <c r="M94" i="2"/>
  <c r="B93" i="5" s="1"/>
  <c r="M95" i="2"/>
  <c r="B94" i="5" s="1"/>
  <c r="M96" i="2"/>
  <c r="B95" i="5" s="1"/>
  <c r="M97" i="2"/>
  <c r="B96" i="5" s="1"/>
  <c r="M98" i="2"/>
  <c r="B97" i="5" s="1"/>
  <c r="M99" i="2"/>
  <c r="B98" i="5" s="1"/>
  <c r="M101" i="2"/>
  <c r="B100" i="5" s="1"/>
  <c r="M102" i="2"/>
  <c r="B101" i="5" s="1"/>
  <c r="M103" i="2"/>
  <c r="B102" i="5" s="1"/>
  <c r="M104" i="2"/>
  <c r="B103" i="5" s="1"/>
  <c r="M105" i="2"/>
  <c r="B104" i="5" s="1"/>
  <c r="M106" i="2"/>
  <c r="B105" i="5" s="1"/>
  <c r="M107" i="2"/>
  <c r="B106" i="5" s="1"/>
  <c r="M108" i="2"/>
  <c r="B107" i="5" s="1"/>
  <c r="M109" i="2"/>
  <c r="B108" i="5" s="1"/>
  <c r="M110" i="2"/>
  <c r="B109" i="5" s="1"/>
  <c r="M111" i="2"/>
  <c r="B110" i="5" s="1"/>
  <c r="M112" i="2"/>
  <c r="B111" i="5" s="1"/>
  <c r="M114" i="2"/>
  <c r="B113" i="5" s="1"/>
  <c r="M115" i="2"/>
  <c r="B114" i="5" s="1"/>
  <c r="M116" i="2"/>
  <c r="B115" i="5" s="1"/>
  <c r="M117" i="2"/>
  <c r="B116" i="5" s="1"/>
  <c r="M118" i="2"/>
  <c r="B117" i="5" s="1"/>
  <c r="M119" i="2"/>
  <c r="B118" i="5" s="1"/>
  <c r="M120" i="2"/>
  <c r="B119" i="5" s="1"/>
  <c r="M121" i="2"/>
  <c r="B120" i="5" s="1"/>
  <c r="M122" i="2"/>
  <c r="B121" i="5" s="1"/>
  <c r="M123" i="2"/>
  <c r="B122" i="5" s="1"/>
  <c r="M124" i="2"/>
  <c r="B123" i="5" s="1"/>
  <c r="M125" i="2"/>
  <c r="B124" i="5" s="1"/>
  <c r="M126" i="2"/>
  <c r="B125" i="5" s="1"/>
  <c r="M127" i="2"/>
  <c r="B126" i="5" s="1"/>
  <c r="M128" i="2"/>
  <c r="B127" i="5" s="1"/>
  <c r="M129" i="2"/>
  <c r="B128" i="5" s="1"/>
  <c r="M130" i="2"/>
  <c r="B129" i="5" s="1"/>
  <c r="M131" i="2"/>
  <c r="B130" i="5" s="1"/>
  <c r="M132" i="2"/>
  <c r="B131" i="5" s="1"/>
  <c r="M134" i="2"/>
  <c r="B133" i="5" s="1"/>
  <c r="M135" i="2"/>
  <c r="B134" i="5" s="1"/>
  <c r="M136" i="2"/>
  <c r="B135" i="5" s="1"/>
  <c r="M137" i="2"/>
  <c r="B136" i="5" s="1"/>
  <c r="M138" i="2"/>
  <c r="B137" i="5" s="1"/>
  <c r="M139" i="2"/>
  <c r="B138" i="5" s="1"/>
  <c r="M140" i="2"/>
  <c r="B139" i="5" s="1"/>
  <c r="M141" i="2"/>
  <c r="B140" i="5" s="1"/>
  <c r="M142" i="2"/>
  <c r="B141" i="5" s="1"/>
  <c r="M143" i="2"/>
  <c r="B142" i="5" s="1"/>
  <c r="M144" i="2"/>
  <c r="B143" i="5" s="1"/>
  <c r="M145" i="2"/>
  <c r="B144" i="5" s="1"/>
  <c r="M146" i="2"/>
  <c r="B145" i="5" s="1"/>
  <c r="M147" i="2"/>
  <c r="B146" i="5" s="1"/>
  <c r="M148" i="2"/>
  <c r="B147" i="5" s="1"/>
  <c r="M149" i="2"/>
  <c r="B148" i="5" s="1"/>
  <c r="M150" i="2"/>
  <c r="B149" i="5" s="1"/>
  <c r="M151" i="2"/>
  <c r="B150" i="5" s="1"/>
  <c r="M152" i="2"/>
  <c r="B151" i="5" s="1"/>
  <c r="M153" i="2"/>
  <c r="B152" i="5" s="1"/>
  <c r="M154" i="2"/>
  <c r="B153" i="5" s="1"/>
  <c r="M155" i="2"/>
  <c r="B154" i="5" s="1"/>
  <c r="M156" i="2"/>
  <c r="B155" i="5" s="1"/>
  <c r="M157" i="2"/>
  <c r="B156" i="5" s="1"/>
  <c r="M158" i="2"/>
  <c r="B157" i="5" s="1"/>
  <c r="M159" i="2"/>
  <c r="B158" i="5" s="1"/>
  <c r="M160" i="2"/>
  <c r="B159" i="5" s="1"/>
  <c r="M163" i="2"/>
  <c r="B162" i="5" s="1"/>
  <c r="M164" i="2"/>
  <c r="B163" i="5" s="1"/>
  <c r="M165" i="2"/>
  <c r="B164" i="5" s="1"/>
  <c r="M166" i="2"/>
  <c r="B165" i="5" s="1"/>
  <c r="M167" i="2"/>
  <c r="B166" i="5" s="1"/>
  <c r="M168" i="2"/>
  <c r="B167" i="5" s="1"/>
  <c r="M169" i="2"/>
  <c r="B168" i="5" s="1"/>
  <c r="M170" i="2"/>
  <c r="B169" i="5" s="1"/>
  <c r="M171" i="2"/>
  <c r="B170" i="5" s="1"/>
  <c r="M172" i="2"/>
  <c r="B171" i="5" s="1"/>
  <c r="M173" i="2"/>
  <c r="B172" i="5" s="1"/>
  <c r="M174" i="2"/>
  <c r="B173" i="5" s="1"/>
  <c r="M175" i="2"/>
  <c r="B174" i="5" s="1"/>
  <c r="M176" i="2"/>
  <c r="B175" i="5" s="1"/>
  <c r="M177" i="2"/>
  <c r="B176" i="5" s="1"/>
  <c r="M178" i="2"/>
  <c r="B177" i="5" s="1"/>
  <c r="M179" i="2"/>
  <c r="B178" i="5" s="1"/>
  <c r="M180" i="2"/>
  <c r="B179" i="5" s="1"/>
  <c r="M183" i="2"/>
  <c r="B182" i="5" s="1"/>
  <c r="M184" i="2"/>
  <c r="B183" i="5" s="1"/>
  <c r="M185" i="2"/>
  <c r="B184" i="5" s="1"/>
  <c r="M186" i="2"/>
  <c r="B185" i="5" s="1"/>
  <c r="M187" i="2"/>
  <c r="B186" i="5" s="1"/>
  <c r="M188" i="2"/>
  <c r="B187" i="5" s="1"/>
  <c r="M189" i="2"/>
  <c r="B188" i="5" s="1"/>
  <c r="M190" i="2"/>
  <c r="B189" i="5" s="1"/>
  <c r="M191" i="2"/>
  <c r="B190" i="5" s="1"/>
  <c r="M192" i="2"/>
  <c r="B191" i="5" s="1"/>
  <c r="M193" i="2"/>
  <c r="B192" i="5" s="1"/>
  <c r="M194" i="2"/>
  <c r="B193" i="5" s="1"/>
  <c r="M195" i="2"/>
  <c r="B194" i="5" s="1"/>
  <c r="M196" i="2"/>
  <c r="B195" i="5" s="1"/>
  <c r="M197" i="2"/>
  <c r="B196" i="5" s="1"/>
  <c r="M198" i="2"/>
  <c r="B197" i="5" s="1"/>
  <c r="M199" i="2"/>
  <c r="B198" i="5" s="1"/>
  <c r="M200" i="2"/>
  <c r="B199" i="5" s="1"/>
  <c r="M201" i="2"/>
  <c r="B200" i="5" s="1"/>
  <c r="M202" i="2"/>
  <c r="B201" i="5" s="1"/>
  <c r="M203" i="2"/>
  <c r="B202" i="5" s="1"/>
  <c r="M204" i="2"/>
  <c r="B203" i="5" s="1"/>
  <c r="M205" i="2"/>
  <c r="B204" i="5" s="1"/>
  <c r="M206" i="2"/>
  <c r="B205" i="5" s="1"/>
  <c r="M207" i="2"/>
  <c r="B206" i="5" s="1"/>
  <c r="M208" i="2"/>
  <c r="B207" i="5" s="1"/>
  <c r="M209" i="2"/>
  <c r="B208" i="5" s="1"/>
  <c r="M210" i="2"/>
  <c r="B209" i="5" s="1"/>
  <c r="M211" i="2"/>
  <c r="B210" i="5" s="1"/>
  <c r="M212" i="2"/>
  <c r="B211" i="5" s="1"/>
  <c r="M213" i="2"/>
  <c r="B212" i="5" s="1"/>
  <c r="M214" i="2"/>
  <c r="B213" i="5" s="1"/>
  <c r="M215" i="2"/>
  <c r="B214" i="5" s="1"/>
  <c r="M216" i="2"/>
  <c r="B215" i="5" s="1"/>
  <c r="M217" i="2"/>
  <c r="B216" i="5" s="1"/>
  <c r="M218" i="2"/>
  <c r="B217" i="5" s="1"/>
  <c r="M219" i="2"/>
  <c r="B218" i="5" s="1"/>
  <c r="M220" i="2"/>
  <c r="B219" i="5" s="1"/>
  <c r="M221" i="2"/>
  <c r="B220" i="5" s="1"/>
  <c r="M222" i="2"/>
  <c r="B221" i="5" s="1"/>
  <c r="M223" i="2"/>
  <c r="B222" i="5" s="1"/>
  <c r="M224" i="2"/>
  <c r="B223" i="5" s="1"/>
  <c r="M225" i="2"/>
  <c r="B224" i="5" s="1"/>
  <c r="M226" i="2"/>
  <c r="B225" i="5" s="1"/>
  <c r="M227" i="2"/>
  <c r="B226" i="5" s="1"/>
  <c r="M228" i="2"/>
  <c r="B227" i="5" s="1"/>
  <c r="M229" i="2"/>
  <c r="B228" i="5" s="1"/>
  <c r="M230" i="2"/>
  <c r="B229" i="5" s="1"/>
  <c r="M231" i="2"/>
  <c r="B230" i="5" s="1"/>
  <c r="M232" i="2"/>
  <c r="B231" i="5" s="1"/>
  <c r="M233" i="2"/>
  <c r="B232" i="5" s="1"/>
  <c r="M234" i="2"/>
  <c r="B233" i="5" s="1"/>
  <c r="M239" i="2"/>
  <c r="B238" i="5" s="1"/>
  <c r="M4" i="2"/>
  <c r="B3" i="5" s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7" i="2"/>
  <c r="L79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3" i="2"/>
  <c r="L184" i="2"/>
  <c r="L185" i="2"/>
  <c r="L186" i="2"/>
  <c r="L187" i="2"/>
  <c r="L188" i="2"/>
  <c r="L189" i="2"/>
  <c r="L190" i="2"/>
  <c r="L191" i="2"/>
  <c r="L192" i="2"/>
  <c r="L193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9" i="2"/>
  <c r="L4" i="2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I2" i="5" s="1"/>
  <c r="C2" i="5"/>
  <c r="C3" i="5"/>
  <c r="C240" i="5" s="1"/>
  <c r="DG264" i="7"/>
  <c r="DG263" i="7"/>
  <c r="DG262" i="7"/>
  <c r="DG261" i="7"/>
  <c r="DG260" i="7"/>
  <c r="DG259" i="7"/>
  <c r="DG258" i="7"/>
  <c r="DG257" i="7"/>
  <c r="DG256" i="7"/>
  <c r="DG255" i="7"/>
  <c r="DG254" i="7"/>
  <c r="DG253" i="7"/>
  <c r="DG252" i="7"/>
  <c r="DG251" i="7"/>
  <c r="DG250" i="7"/>
  <c r="DG249" i="7"/>
  <c r="DG248" i="7"/>
  <c r="DG247" i="7"/>
  <c r="DG246" i="7"/>
  <c r="DG245" i="7"/>
  <c r="DG244" i="7"/>
  <c r="DG243" i="7"/>
  <c r="DG242" i="7"/>
  <c r="DG241" i="7"/>
  <c r="F264" i="7"/>
  <c r="B264" i="7"/>
  <c r="C264" i="7"/>
  <c r="E264" i="7"/>
  <c r="D264" i="7"/>
  <c r="D91" i="7"/>
  <c r="D174" i="7"/>
  <c r="E189" i="7"/>
  <c r="F141" i="7"/>
  <c r="C90" i="7"/>
  <c r="F78" i="7"/>
  <c r="B19" i="7"/>
  <c r="B90" i="7"/>
  <c r="E116" i="7"/>
  <c r="F90" i="7"/>
  <c r="B42" i="7"/>
  <c r="D75" i="7"/>
  <c r="E66" i="7"/>
  <c r="D29" i="7"/>
  <c r="E18" i="7"/>
  <c r="B66" i="7"/>
  <c r="D140" i="7"/>
  <c r="C66" i="7"/>
  <c r="F42" i="7"/>
  <c r="B18" i="7"/>
  <c r="E91" i="7"/>
  <c r="E28" i="7"/>
  <c r="B174" i="7"/>
  <c r="E140" i="7"/>
  <c r="F30" i="7"/>
  <c r="C18" i="7"/>
  <c r="B223" i="7"/>
  <c r="B199" i="7"/>
  <c r="F199" i="7"/>
  <c r="C199" i="7"/>
  <c r="B167" i="7"/>
  <c r="F167" i="7"/>
  <c r="C167" i="7"/>
  <c r="B126" i="7"/>
  <c r="F126" i="7"/>
  <c r="C126" i="7"/>
  <c r="F53" i="7"/>
  <c r="B53" i="7"/>
  <c r="F29" i="7"/>
  <c r="B29" i="7"/>
  <c r="C53" i="7"/>
  <c r="E223" i="7"/>
  <c r="E199" i="7"/>
  <c r="E126" i="7"/>
  <c r="E53" i="7"/>
  <c r="E29" i="7"/>
  <c r="C91" i="7"/>
  <c r="C28" i="7"/>
  <c r="B28" i="7" l="1"/>
  <c r="B52" i="7"/>
  <c r="E100" i="7"/>
  <c r="C152" i="7"/>
  <c r="F212" i="7"/>
  <c r="E188" i="7"/>
  <c r="B30" i="7"/>
  <c r="E42" i="7"/>
  <c r="F18" i="7"/>
  <c r="C42" i="7"/>
  <c r="F66" i="7"/>
  <c r="C200" i="7"/>
  <c r="D164" i="7"/>
  <c r="C140" i="7"/>
  <c r="E176" i="7"/>
  <c r="F125" i="7"/>
  <c r="D90" i="7"/>
  <c r="F99" i="7"/>
  <c r="D27" i="7"/>
  <c r="C141" i="7"/>
  <c r="F189" i="7"/>
  <c r="C27" i="7"/>
  <c r="B116" i="7"/>
  <c r="E27" i="7"/>
  <c r="B141" i="7"/>
  <c r="C189" i="7"/>
  <c r="D141" i="7"/>
  <c r="B27" i="7"/>
  <c r="D189" i="7"/>
  <c r="F19" i="7"/>
  <c r="F43" i="7"/>
  <c r="D116" i="7"/>
  <c r="D165" i="7"/>
  <c r="D43" i="7"/>
  <c r="E19" i="7"/>
  <c r="E43" i="7"/>
  <c r="C116" i="7"/>
  <c r="E173" i="7"/>
  <c r="D197" i="7"/>
  <c r="B75" i="7"/>
  <c r="C124" i="7"/>
  <c r="C19" i="7"/>
  <c r="B43" i="7"/>
  <c r="F173" i="7"/>
  <c r="C197" i="7"/>
  <c r="B91" i="7"/>
  <c r="E124" i="7"/>
  <c r="D173" i="7"/>
  <c r="F34" i="7"/>
  <c r="C109" i="7"/>
  <c r="F37" i="7"/>
  <c r="B37" i="7"/>
  <c r="C207" i="7"/>
  <c r="B26" i="7"/>
  <c r="C37" i="7"/>
  <c r="F26" i="7"/>
  <c r="E37" i="7"/>
  <c r="C34" i="7"/>
  <c r="E98" i="7"/>
  <c r="D106" i="7"/>
  <c r="F207" i="7"/>
  <c r="E50" i="7"/>
  <c r="E123" i="7"/>
  <c r="E159" i="7"/>
  <c r="F135" i="7"/>
  <c r="B231" i="7"/>
  <c r="C85" i="7"/>
  <c r="B135" i="7"/>
  <c r="C159" i="7"/>
  <c r="B85" i="7"/>
  <c r="F208" i="7"/>
  <c r="F159" i="7"/>
  <c r="D109" i="7"/>
  <c r="E26" i="7"/>
  <c r="F98" i="7"/>
  <c r="C123" i="7"/>
  <c r="B159" i="7"/>
  <c r="E220" i="7"/>
  <c r="E109" i="7"/>
  <c r="C26" i="7"/>
  <c r="D123" i="7"/>
  <c r="F85" i="7"/>
  <c r="F50" i="7"/>
  <c r="E135" i="7"/>
  <c r="F109" i="7"/>
  <c r="C50" i="7"/>
  <c r="E86" i="7"/>
  <c r="F123" i="7"/>
  <c r="D86" i="7"/>
  <c r="F86" i="7"/>
  <c r="E207" i="7"/>
  <c r="C135" i="7"/>
  <c r="B207" i="7"/>
  <c r="F220" i="7"/>
  <c r="E85" i="7"/>
  <c r="E132" i="7"/>
  <c r="B142" i="7"/>
  <c r="F157" i="7"/>
  <c r="E82" i="7"/>
  <c r="E69" i="7"/>
  <c r="B108" i="7"/>
  <c r="E205" i="7"/>
  <c r="B46" i="7"/>
  <c r="F205" i="7"/>
  <c r="D107" i="7"/>
  <c r="B34" i="7"/>
  <c r="C45" i="7"/>
  <c r="E45" i="7"/>
  <c r="E107" i="7"/>
  <c r="C131" i="7"/>
  <c r="B107" i="7"/>
  <c r="F107" i="7"/>
  <c r="C106" i="7"/>
  <c r="F134" i="7"/>
  <c r="E46" i="7"/>
  <c r="D205" i="7"/>
  <c r="F191" i="7"/>
  <c r="F158" i="7"/>
  <c r="B59" i="7"/>
  <c r="C132" i="7"/>
  <c r="E143" i="7"/>
  <c r="B83" i="7"/>
  <c r="B69" i="7"/>
  <c r="C206" i="7"/>
  <c r="D44" i="7"/>
  <c r="C157" i="7"/>
  <c r="B35" i="7"/>
  <c r="C82" i="7"/>
  <c r="B106" i="7"/>
  <c r="C83" i="7"/>
  <c r="F69" i="7"/>
  <c r="B206" i="7"/>
  <c r="F192" i="7"/>
  <c r="D220" i="7"/>
  <c r="C181" i="7"/>
  <c r="D82" i="7"/>
  <c r="E106" i="7"/>
  <c r="E204" i="7"/>
  <c r="B205" i="7"/>
  <c r="E182" i="7"/>
  <c r="C204" i="7"/>
  <c r="D59" i="7"/>
  <c r="E83" i="7"/>
  <c r="E118" i="7"/>
  <c r="E93" i="7"/>
  <c r="F59" i="7"/>
  <c r="C158" i="7"/>
  <c r="E34" i="7"/>
  <c r="C59" i="7"/>
  <c r="B132" i="7"/>
  <c r="C44" i="7"/>
  <c r="B166" i="7"/>
  <c r="D132" i="7"/>
  <c r="D83" i="7"/>
  <c r="F131" i="7"/>
  <c r="C70" i="7"/>
  <c r="C143" i="7"/>
  <c r="E131" i="7"/>
  <c r="C69" i="7"/>
  <c r="E158" i="7"/>
  <c r="C35" i="7"/>
  <c r="B45" i="7"/>
  <c r="B71" i="7"/>
  <c r="F143" i="7"/>
  <c r="F156" i="7"/>
  <c r="C182" i="7"/>
  <c r="E167" i="7"/>
  <c r="B143" i="7"/>
  <c r="B182" i="7"/>
  <c r="D156" i="7"/>
  <c r="D35" i="7"/>
  <c r="F82" i="7"/>
  <c r="F118" i="7"/>
  <c r="B118" i="7"/>
  <c r="E120" i="7"/>
  <c r="C118" i="7"/>
  <c r="F119" i="7"/>
  <c r="C119" i="7"/>
  <c r="E84" i="7"/>
  <c r="D39" i="7"/>
  <c r="B119" i="7"/>
  <c r="D131" i="7"/>
  <c r="E208" i="7"/>
  <c r="D98" i="7"/>
  <c r="C220" i="7"/>
  <c r="C98" i="7"/>
  <c r="F117" i="7"/>
  <c r="F166" i="7"/>
  <c r="C117" i="7"/>
  <c r="C142" i="7"/>
  <c r="E142" i="7"/>
  <c r="D142" i="7"/>
  <c r="D117" i="7"/>
  <c r="E117" i="7"/>
  <c r="C166" i="7"/>
  <c r="B157" i="7"/>
  <c r="E157" i="7"/>
  <c r="C173" i="7"/>
  <c r="C169" i="7"/>
  <c r="E160" i="7"/>
  <c r="B115" i="7"/>
  <c r="E115" i="7"/>
  <c r="F115" i="7"/>
  <c r="D115" i="7"/>
  <c r="C58" i="7"/>
  <c r="D58" i="7"/>
  <c r="F58" i="7"/>
  <c r="E58" i="7"/>
  <c r="C148" i="7"/>
  <c r="E148" i="7"/>
  <c r="D148" i="7"/>
  <c r="F148" i="7"/>
  <c r="E221" i="7"/>
  <c r="C229" i="7"/>
  <c r="B229" i="7"/>
  <c r="E229" i="7"/>
  <c r="E177" i="7"/>
  <c r="C63" i="7"/>
  <c r="F105" i="7"/>
  <c r="F147" i="7"/>
  <c r="C25" i="7"/>
  <c r="E33" i="7"/>
  <c r="F25" i="7"/>
  <c r="F130" i="7"/>
  <c r="B25" i="7"/>
  <c r="C41" i="7"/>
  <c r="B41" i="7"/>
  <c r="F41" i="7"/>
  <c r="C17" i="7"/>
  <c r="C33" i="7"/>
  <c r="C81" i="7"/>
  <c r="D89" i="7"/>
  <c r="E17" i="7"/>
  <c r="E65" i="7"/>
  <c r="F17" i="7"/>
  <c r="F33" i="7"/>
  <c r="E41" i="7"/>
  <c r="E25" i="7"/>
  <c r="B17" i="7"/>
  <c r="B33" i="7"/>
  <c r="E187" i="7"/>
  <c r="E235" i="7"/>
  <c r="C227" i="7"/>
  <c r="F114" i="7"/>
  <c r="D122" i="7"/>
  <c r="F227" i="7"/>
  <c r="E195" i="7"/>
  <c r="C65" i="7"/>
  <c r="F65" i="7"/>
  <c r="C179" i="7"/>
  <c r="C130" i="7"/>
  <c r="E155" i="7"/>
  <c r="B65" i="7"/>
  <c r="F122" i="7"/>
  <c r="B179" i="7"/>
  <c r="C89" i="7"/>
  <c r="E97" i="7"/>
  <c r="C163" i="7"/>
  <c r="E211" i="7"/>
  <c r="C147" i="7"/>
  <c r="F179" i="7"/>
  <c r="E89" i="7"/>
  <c r="C97" i="7"/>
  <c r="E105" i="7"/>
  <c r="F89" i="7"/>
  <c r="F235" i="7"/>
  <c r="B122" i="7"/>
  <c r="B114" i="7"/>
  <c r="D155" i="7"/>
  <c r="B187" i="7"/>
  <c r="E122" i="7"/>
  <c r="E163" i="7"/>
  <c r="E219" i="7"/>
  <c r="B235" i="7"/>
  <c r="B163" i="7"/>
  <c r="C187" i="7"/>
  <c r="B211" i="7"/>
  <c r="C114" i="7"/>
  <c r="F97" i="7"/>
  <c r="E114" i="7"/>
  <c r="E147" i="7"/>
  <c r="F163" i="7"/>
  <c r="F219" i="7"/>
  <c r="C105" i="7"/>
  <c r="B97" i="7"/>
  <c r="F155" i="7"/>
  <c r="B219" i="7"/>
  <c r="E130" i="7"/>
  <c r="E179" i="7"/>
  <c r="E227" i="7"/>
  <c r="B130" i="7"/>
  <c r="B147" i="7"/>
  <c r="B195" i="7"/>
  <c r="C219" i="7"/>
  <c r="F81" i="7"/>
  <c r="B105" i="7"/>
  <c r="D81" i="7"/>
  <c r="E81" i="7"/>
  <c r="F56" i="7"/>
  <c r="B146" i="7"/>
  <c r="C40" i="7"/>
  <c r="C96" i="7"/>
  <c r="F64" i="7"/>
  <c r="D121" i="7"/>
  <c r="B121" i="7"/>
  <c r="B24" i="7"/>
  <c r="C146" i="7"/>
  <c r="F96" i="7"/>
  <c r="D210" i="7"/>
  <c r="C24" i="7"/>
  <c r="B154" i="7"/>
  <c r="F186" i="7"/>
  <c r="C129" i="7"/>
  <c r="E88" i="7"/>
  <c r="B72" i="7"/>
  <c r="F232" i="7"/>
  <c r="E127" i="7"/>
  <c r="E121" i="7"/>
  <c r="C72" i="7"/>
  <c r="B96" i="7"/>
  <c r="D218" i="7"/>
  <c r="C154" i="7"/>
  <c r="F104" i="7"/>
  <c r="F46" i="7"/>
  <c r="F138" i="7"/>
  <c r="D146" i="7"/>
  <c r="C121" i="7"/>
  <c r="E72" i="7"/>
  <c r="D64" i="7"/>
  <c r="D154" i="7"/>
  <c r="F72" i="7"/>
  <c r="B56" i="7"/>
  <c r="F38" i="7"/>
  <c r="B186" i="7"/>
  <c r="D40" i="7"/>
  <c r="B138" i="7"/>
  <c r="E96" i="7"/>
  <c r="B80" i="7"/>
  <c r="F202" i="7"/>
  <c r="C38" i="7"/>
  <c r="D70" i="7"/>
  <c r="E40" i="7"/>
  <c r="B32" i="7"/>
  <c r="B64" i="7"/>
  <c r="C138" i="7"/>
  <c r="C162" i="7"/>
  <c r="C88" i="7"/>
  <c r="B104" i="7"/>
  <c r="B38" i="7"/>
  <c r="C127" i="7"/>
  <c r="B136" i="7"/>
  <c r="D160" i="7"/>
  <c r="E32" i="7"/>
  <c r="B39" i="7"/>
  <c r="B70" i="7"/>
  <c r="F161" i="7"/>
  <c r="E186" i="7"/>
  <c r="E146" i="7"/>
  <c r="E129" i="7"/>
  <c r="C104" i="7"/>
  <c r="E38" i="7"/>
  <c r="F127" i="7"/>
  <c r="D30" i="7"/>
  <c r="F129" i="7"/>
  <c r="C86" i="7"/>
  <c r="C56" i="7"/>
  <c r="B127" i="7"/>
  <c r="B216" i="7"/>
  <c r="D32" i="7"/>
  <c r="D110" i="7"/>
  <c r="D103" i="7"/>
  <c r="C32" i="7"/>
  <c r="C64" i="7"/>
  <c r="E104" i="7"/>
  <c r="F88" i="7"/>
  <c r="C144" i="7"/>
  <c r="E22" i="7"/>
  <c r="B144" i="7"/>
  <c r="E162" i="7"/>
  <c r="E55" i="7"/>
  <c r="E70" i="7"/>
  <c r="E154" i="7"/>
  <c r="D186" i="7"/>
  <c r="B129" i="7"/>
  <c r="E24" i="7"/>
  <c r="B40" i="7"/>
  <c r="B88" i="7"/>
  <c r="B218" i="7"/>
  <c r="C168" i="7"/>
  <c r="E30" i="7"/>
  <c r="E119" i="7"/>
  <c r="D56" i="7"/>
  <c r="F94" i="7"/>
  <c r="E110" i="7"/>
  <c r="D24" i="7"/>
  <c r="B217" i="7"/>
  <c r="D217" i="7"/>
  <c r="C71" i="7"/>
  <c r="C31" i="7"/>
  <c r="C39" i="7"/>
  <c r="F55" i="7"/>
  <c r="C120" i="7"/>
  <c r="D145" i="7"/>
  <c r="B161" i="7"/>
  <c r="C185" i="7"/>
  <c r="D166" i="7"/>
  <c r="C92" i="7"/>
  <c r="D28" i="7"/>
  <c r="D87" i="7"/>
  <c r="D125" i="7"/>
  <c r="F31" i="7"/>
  <c r="C55" i="7"/>
  <c r="B153" i="7"/>
  <c r="C161" i="7"/>
  <c r="B185" i="7"/>
  <c r="B225" i="7"/>
  <c r="E20" i="7"/>
  <c r="D60" i="7"/>
  <c r="F87" i="7"/>
  <c r="B31" i="7"/>
  <c r="B60" i="7"/>
  <c r="C103" i="7"/>
  <c r="C108" i="7"/>
  <c r="F108" i="7"/>
  <c r="E44" i="7"/>
  <c r="E198" i="7"/>
  <c r="C222" i="7"/>
  <c r="E174" i="7"/>
  <c r="D182" i="7"/>
  <c r="F44" i="7"/>
  <c r="E95" i="7"/>
  <c r="E185" i="7"/>
  <c r="E31" i="7"/>
  <c r="E128" i="7"/>
  <c r="C137" i="7"/>
  <c r="F185" i="7"/>
  <c r="B201" i="7"/>
  <c r="E209" i="7"/>
  <c r="D128" i="7"/>
  <c r="E108" i="7"/>
  <c r="E60" i="7"/>
  <c r="F169" i="7"/>
  <c r="E161" i="7"/>
  <c r="C201" i="7"/>
  <c r="E23" i="7"/>
  <c r="D120" i="7"/>
  <c r="B128" i="7"/>
  <c r="D201" i="7"/>
  <c r="F209" i="7"/>
  <c r="D198" i="7"/>
  <c r="C95" i="7"/>
  <c r="C79" i="7"/>
  <c r="B103" i="7"/>
  <c r="E153" i="7"/>
  <c r="E71" i="7"/>
  <c r="B20" i="7"/>
  <c r="C60" i="7"/>
  <c r="B134" i="7"/>
  <c r="C190" i="7"/>
  <c r="C20" i="7"/>
  <c r="B87" i="7"/>
  <c r="C134" i="7"/>
  <c r="C100" i="7"/>
  <c r="B84" i="7"/>
  <c r="B100" i="7"/>
  <c r="C198" i="7"/>
  <c r="F95" i="7"/>
  <c r="E169" i="7"/>
  <c r="E201" i="7"/>
  <c r="B55" i="7"/>
  <c r="F120" i="7"/>
  <c r="C128" i="7"/>
  <c r="B209" i="7"/>
  <c r="D20" i="7"/>
  <c r="D71" i="7"/>
  <c r="E103" i="7"/>
  <c r="R241" i="2"/>
  <c r="F237" i="7"/>
  <c r="E137" i="7"/>
  <c r="D209" i="7"/>
  <c r="C87" i="7"/>
  <c r="B158" i="7"/>
  <c r="E76" i="7"/>
  <c r="C84" i="7"/>
  <c r="F84" i="7"/>
  <c r="F100" i="7"/>
  <c r="C174" i="7"/>
  <c r="B198" i="7"/>
  <c r="F111" i="7"/>
  <c r="D169" i="7"/>
  <c r="D225" i="7"/>
  <c r="E63" i="7"/>
  <c r="D134" i="7"/>
  <c r="D79" i="7"/>
  <c r="D239" i="7"/>
  <c r="E236" i="7"/>
  <c r="C236" i="7"/>
  <c r="B236" i="7"/>
  <c r="D236" i="7"/>
  <c r="H84" i="7"/>
  <c r="DF84" i="7" s="1"/>
  <c r="DH84" i="7" s="1"/>
  <c r="B133" i="7"/>
  <c r="B240" i="7"/>
  <c r="E133" i="7"/>
  <c r="C239" i="7"/>
  <c r="B238" i="7"/>
  <c r="B140" i="7"/>
  <c r="F110" i="7"/>
  <c r="D237" i="7"/>
  <c r="B113" i="7"/>
  <c r="D238" i="7"/>
  <c r="D133" i="7"/>
  <c r="C238" i="7"/>
  <c r="B237" i="7"/>
  <c r="D124" i="7"/>
  <c r="C133" i="7"/>
  <c r="C237" i="7"/>
  <c r="H264" i="7"/>
  <c r="DF264" i="7" s="1"/>
  <c r="DH264" i="7" s="1"/>
  <c r="H256" i="7"/>
  <c r="DF256" i="7" s="1"/>
  <c r="DH256" i="7" s="1"/>
  <c r="H248" i="7"/>
  <c r="DF248" i="7" s="1"/>
  <c r="DH248" i="7" s="1"/>
  <c r="H127" i="7"/>
  <c r="DF127" i="7" s="1"/>
  <c r="DH127" i="7" s="1"/>
  <c r="H59" i="7"/>
  <c r="DF59" i="7" s="1"/>
  <c r="DH59" i="7" s="1"/>
  <c r="H257" i="7"/>
  <c r="DF257" i="7" s="1"/>
  <c r="DH257" i="7" s="1"/>
  <c r="H249" i="7"/>
  <c r="DF249" i="7" s="1"/>
  <c r="DH249" i="7" s="1"/>
  <c r="H241" i="7"/>
  <c r="DF241" i="7" s="1"/>
  <c r="DH241" i="7" s="1"/>
  <c r="H189" i="7"/>
  <c r="DF189" i="7" s="1"/>
  <c r="DH189" i="7" s="1"/>
  <c r="H159" i="7"/>
  <c r="DF159" i="7" s="1"/>
  <c r="DH159" i="7" s="1"/>
  <c r="H69" i="7"/>
  <c r="DF69" i="7" s="1"/>
  <c r="DH69" i="7" s="1"/>
  <c r="H258" i="7"/>
  <c r="DF258" i="7" s="1"/>
  <c r="DH258" i="7" s="1"/>
  <c r="H250" i="7"/>
  <c r="DF250" i="7" s="1"/>
  <c r="DH250" i="7" s="1"/>
  <c r="H242" i="7"/>
  <c r="DF242" i="7" s="1"/>
  <c r="DH242" i="7" s="1"/>
  <c r="H238" i="7"/>
  <c r="DF238" i="7" s="1"/>
  <c r="DH238" i="7" s="1"/>
  <c r="H167" i="7"/>
  <c r="DF167" i="7" s="1"/>
  <c r="DH167" i="7" s="1"/>
  <c r="H141" i="7"/>
  <c r="DF141" i="7" s="1"/>
  <c r="DH141" i="7" s="1"/>
  <c r="H19" i="7"/>
  <c r="DF19" i="7" s="1"/>
  <c r="DH19" i="7" s="1"/>
  <c r="H259" i="7"/>
  <c r="DF259" i="7" s="1"/>
  <c r="DH259" i="7" s="1"/>
  <c r="H251" i="7"/>
  <c r="DF251" i="7" s="1"/>
  <c r="DH251" i="7" s="1"/>
  <c r="H243" i="7"/>
  <c r="DF243" i="7" s="1"/>
  <c r="DH243" i="7" s="1"/>
  <c r="H260" i="7"/>
  <c r="DF260" i="7" s="1"/>
  <c r="DH260" i="7" s="1"/>
  <c r="H252" i="7"/>
  <c r="DF252" i="7" s="1"/>
  <c r="DH252" i="7" s="1"/>
  <c r="H244" i="7"/>
  <c r="DF244" i="7" s="1"/>
  <c r="DH244" i="7" s="1"/>
  <c r="H96" i="7"/>
  <c r="DF96" i="7" s="1"/>
  <c r="DH96" i="7" s="1"/>
  <c r="H261" i="7"/>
  <c r="DF261" i="7" s="1"/>
  <c r="DH261" i="7" s="1"/>
  <c r="H253" i="7"/>
  <c r="DF253" i="7" s="1"/>
  <c r="DH253" i="7" s="1"/>
  <c r="H245" i="7"/>
  <c r="DF245" i="7" s="1"/>
  <c r="DH245" i="7" s="1"/>
  <c r="H120" i="7"/>
  <c r="DF120" i="7" s="1"/>
  <c r="DH120" i="7" s="1"/>
  <c r="H106" i="7"/>
  <c r="DF106" i="7" s="1"/>
  <c r="DH106" i="7" s="1"/>
  <c r="H34" i="7"/>
  <c r="DF34" i="7" s="1"/>
  <c r="DH34" i="7" s="1"/>
  <c r="H262" i="7"/>
  <c r="DF262" i="7" s="1"/>
  <c r="DH262" i="7" s="1"/>
  <c r="H254" i="7"/>
  <c r="DF254" i="7" s="1"/>
  <c r="DH254" i="7" s="1"/>
  <c r="H246" i="7"/>
  <c r="DF246" i="7" s="1"/>
  <c r="DH246" i="7" s="1"/>
  <c r="C61" i="7"/>
  <c r="H116" i="7"/>
  <c r="DF116" i="7" s="1"/>
  <c r="DH116" i="7" s="1"/>
  <c r="H88" i="7"/>
  <c r="DF88" i="7" s="1"/>
  <c r="DH88" i="7" s="1"/>
  <c r="H40" i="7"/>
  <c r="DF40" i="7" s="1"/>
  <c r="DH40" i="7" s="1"/>
  <c r="H263" i="7"/>
  <c r="DF263" i="7" s="1"/>
  <c r="DH263" i="7" s="1"/>
  <c r="H255" i="7"/>
  <c r="DF255" i="7" s="1"/>
  <c r="DH255" i="7" s="1"/>
  <c r="H247" i="7"/>
  <c r="DF247" i="7" s="1"/>
  <c r="DH247" i="7" s="1"/>
  <c r="E138" i="7"/>
  <c r="D92" i="7"/>
  <c r="H44" i="7"/>
  <c r="DF44" i="7" s="1"/>
  <c r="DH44" i="7" s="1"/>
  <c r="H30" i="7"/>
  <c r="DF30" i="7" s="1"/>
  <c r="DH30" i="7" s="1"/>
  <c r="H26" i="7"/>
  <c r="DF26" i="7" s="1"/>
  <c r="DH26" i="7" s="1"/>
  <c r="C151" i="7"/>
  <c r="F197" i="7"/>
  <c r="E11" i="7"/>
  <c r="C215" i="7"/>
  <c r="E215" i="7"/>
  <c r="F215" i="7"/>
  <c r="B215" i="7"/>
  <c r="E217" i="7"/>
  <c r="F217" i="7"/>
  <c r="D68" i="7"/>
  <c r="E68" i="7"/>
  <c r="F206" i="7"/>
  <c r="H207" i="7"/>
  <c r="DF207" i="7" s="1"/>
  <c r="DH207" i="7" s="1"/>
  <c r="C155" i="7"/>
  <c r="F57" i="7"/>
  <c r="B57" i="7"/>
  <c r="E57" i="7"/>
  <c r="C57" i="7"/>
  <c r="C49" i="7"/>
  <c r="F49" i="7"/>
  <c r="B49" i="7"/>
  <c r="E49" i="7"/>
  <c r="B197" i="7"/>
  <c r="H76" i="7"/>
  <c r="DF76" i="7" s="1"/>
  <c r="DH76" i="7" s="1"/>
  <c r="H131" i="7"/>
  <c r="DF131" i="7" s="1"/>
  <c r="DH131" i="7" s="1"/>
  <c r="H155" i="7"/>
  <c r="DF155" i="7" s="1"/>
  <c r="DH155" i="7" s="1"/>
  <c r="H147" i="7"/>
  <c r="DF147" i="7" s="1"/>
  <c r="DH147" i="7" s="1"/>
  <c r="H85" i="7"/>
  <c r="DF85" i="7" s="1"/>
  <c r="DH85" i="7" s="1"/>
  <c r="H27" i="7"/>
  <c r="DF27" i="7" s="1"/>
  <c r="DH27" i="7" s="1"/>
  <c r="H21" i="7"/>
  <c r="DF21" i="7" s="1"/>
  <c r="DH21" i="7" s="1"/>
  <c r="C210" i="7"/>
  <c r="B204" i="7"/>
  <c r="D162" i="7"/>
  <c r="F52" i="7"/>
  <c r="C240" i="7"/>
  <c r="B239" i="7"/>
  <c r="E238" i="7"/>
  <c r="H190" i="7"/>
  <c r="DF190" i="7" s="1"/>
  <c r="DH190" i="7" s="1"/>
  <c r="H184" i="7"/>
  <c r="DF184" i="7" s="1"/>
  <c r="DH184" i="7" s="1"/>
  <c r="H79" i="7"/>
  <c r="DF79" i="7" s="1"/>
  <c r="DH79" i="7" s="1"/>
  <c r="D144" i="7"/>
  <c r="H240" i="7"/>
  <c r="DF240" i="7" s="1"/>
  <c r="DH240" i="7" s="1"/>
  <c r="F239" i="7"/>
  <c r="H154" i="7"/>
  <c r="DF154" i="7" s="1"/>
  <c r="DH154" i="7" s="1"/>
  <c r="H117" i="7"/>
  <c r="DF117" i="7" s="1"/>
  <c r="DH117" i="7" s="1"/>
  <c r="D99" i="7"/>
  <c r="F240" i="7"/>
  <c r="H132" i="7"/>
  <c r="DF132" i="7" s="1"/>
  <c r="DH132" i="7" s="1"/>
  <c r="H107" i="7"/>
  <c r="DF107" i="7" s="1"/>
  <c r="DH107" i="7" s="1"/>
  <c r="H41" i="7"/>
  <c r="DF41" i="7" s="1"/>
  <c r="DH41" i="7" s="1"/>
  <c r="H20" i="7"/>
  <c r="DF20" i="7" s="1"/>
  <c r="DH20" i="7" s="1"/>
  <c r="C218" i="7"/>
  <c r="E240" i="7"/>
  <c r="H239" i="7"/>
  <c r="DF239" i="7" s="1"/>
  <c r="DH239" i="7" s="1"/>
  <c r="H173" i="7"/>
  <c r="DF173" i="7" s="1"/>
  <c r="DH173" i="7" s="1"/>
  <c r="H202" i="7"/>
  <c r="DF202" i="7" s="1"/>
  <c r="DH202" i="7" s="1"/>
  <c r="E196" i="7"/>
  <c r="D196" i="7"/>
  <c r="F196" i="7"/>
  <c r="C196" i="7"/>
  <c r="E200" i="7"/>
  <c r="F200" i="7"/>
  <c r="B200" i="7"/>
  <c r="C156" i="7"/>
  <c r="B156" i="7"/>
  <c r="B150" i="7"/>
  <c r="F150" i="7"/>
  <c r="B152" i="7"/>
  <c r="D149" i="7"/>
  <c r="H56" i="7"/>
  <c r="DF56" i="7" s="1"/>
  <c r="DH56" i="7" s="1"/>
  <c r="D206" i="7"/>
  <c r="F172" i="7"/>
  <c r="D168" i="7"/>
  <c r="F171" i="7"/>
  <c r="C172" i="7"/>
  <c r="D172" i="7"/>
  <c r="F76" i="7"/>
  <c r="C76" i="7"/>
  <c r="B76" i="7"/>
  <c r="B203" i="7"/>
  <c r="F203" i="7"/>
  <c r="E203" i="7"/>
  <c r="C203" i="7"/>
  <c r="B202" i="7"/>
  <c r="D202" i="7"/>
  <c r="C202" i="7"/>
  <c r="F204" i="7"/>
  <c r="B172" i="7"/>
  <c r="F152" i="7"/>
  <c r="E152" i="7"/>
  <c r="B151" i="7"/>
  <c r="E150" i="7"/>
  <c r="F153" i="7"/>
  <c r="D153" i="7"/>
  <c r="C150" i="7"/>
  <c r="D36" i="7"/>
  <c r="C36" i="7"/>
  <c r="E35" i="7"/>
  <c r="F36" i="7"/>
  <c r="B36" i="7"/>
  <c r="H201" i="7"/>
  <c r="DF201" i="7" s="1"/>
  <c r="DH201" i="7" s="1"/>
  <c r="H119" i="7"/>
  <c r="DF119" i="7" s="1"/>
  <c r="DH119" i="7" s="1"/>
  <c r="H108" i="7"/>
  <c r="DF108" i="7" s="1"/>
  <c r="DH108" i="7" s="1"/>
  <c r="H87" i="7"/>
  <c r="DF87" i="7" s="1"/>
  <c r="DH87" i="7" s="1"/>
  <c r="H81" i="7"/>
  <c r="DF81" i="7" s="1"/>
  <c r="DH81" i="7" s="1"/>
  <c r="H58" i="7"/>
  <c r="DF58" i="7" s="1"/>
  <c r="DH58" i="7" s="1"/>
  <c r="H42" i="7"/>
  <c r="DF42" i="7" s="1"/>
  <c r="DH42" i="7" s="1"/>
  <c r="H29" i="7"/>
  <c r="DF29" i="7" s="1"/>
  <c r="DH29" i="7" s="1"/>
  <c r="H236" i="7"/>
  <c r="DF236" i="7" s="1"/>
  <c r="DH236" i="7" s="1"/>
  <c r="H218" i="7"/>
  <c r="DF218" i="7" s="1"/>
  <c r="DH218" i="7" s="1"/>
  <c r="H185" i="7"/>
  <c r="DF185" i="7" s="1"/>
  <c r="DH185" i="7" s="1"/>
  <c r="H165" i="7"/>
  <c r="DF165" i="7" s="1"/>
  <c r="DH165" i="7" s="1"/>
  <c r="H138" i="7"/>
  <c r="DF138" i="7" s="1"/>
  <c r="DH138" i="7" s="1"/>
  <c r="H137" i="7"/>
  <c r="DF137" i="7" s="1"/>
  <c r="DH137" i="7" s="1"/>
  <c r="H129" i="7"/>
  <c r="DF129" i="7" s="1"/>
  <c r="DH129" i="7" s="1"/>
  <c r="H109" i="7"/>
  <c r="DF109" i="7" s="1"/>
  <c r="DH109" i="7" s="1"/>
  <c r="H104" i="7"/>
  <c r="DF104" i="7" s="1"/>
  <c r="DH104" i="7" s="1"/>
  <c r="H103" i="7"/>
  <c r="DF103" i="7" s="1"/>
  <c r="DH103" i="7" s="1"/>
  <c r="H82" i="7"/>
  <c r="DF82" i="7" s="1"/>
  <c r="DH82" i="7" s="1"/>
  <c r="H71" i="7"/>
  <c r="DF71" i="7" s="1"/>
  <c r="DH71" i="7" s="1"/>
  <c r="H43" i="7"/>
  <c r="DF43" i="7" s="1"/>
  <c r="DH43" i="7" s="1"/>
  <c r="H37" i="7"/>
  <c r="DF37" i="7" s="1"/>
  <c r="DH37" i="7" s="1"/>
  <c r="H36" i="7"/>
  <c r="DF36" i="7" s="1"/>
  <c r="DH36" i="7" s="1"/>
  <c r="H25" i="7"/>
  <c r="DF25" i="7" s="1"/>
  <c r="DH25" i="7" s="1"/>
  <c r="H24" i="7"/>
  <c r="DF24" i="7" s="1"/>
  <c r="DH24" i="7" s="1"/>
  <c r="H17" i="7"/>
  <c r="DF17" i="7" s="1"/>
  <c r="DH17" i="7" s="1"/>
  <c r="H216" i="7"/>
  <c r="DF216" i="7" s="1"/>
  <c r="DH216" i="7" s="1"/>
  <c r="H133" i="7"/>
  <c r="DF133" i="7" s="1"/>
  <c r="DH133" i="7" s="1"/>
  <c r="H23" i="7"/>
  <c r="DF23" i="7" s="1"/>
  <c r="DH23" i="7" s="1"/>
  <c r="H237" i="7"/>
  <c r="DF237" i="7" s="1"/>
  <c r="DH237" i="7" s="1"/>
  <c r="H208" i="7"/>
  <c r="DF208" i="7" s="1"/>
  <c r="DH208" i="7" s="1"/>
  <c r="H205" i="7"/>
  <c r="DF205" i="7" s="1"/>
  <c r="DH205" i="7" s="1"/>
  <c r="H166" i="7"/>
  <c r="DF166" i="7" s="1"/>
  <c r="DH166" i="7" s="1"/>
  <c r="H160" i="7"/>
  <c r="DF160" i="7" s="1"/>
  <c r="DH160" i="7" s="1"/>
  <c r="H157" i="7"/>
  <c r="DF157" i="7" s="1"/>
  <c r="DH157" i="7" s="1"/>
  <c r="H130" i="7"/>
  <c r="DF130" i="7" s="1"/>
  <c r="DH130" i="7" s="1"/>
  <c r="H128" i="7"/>
  <c r="DF128" i="7" s="1"/>
  <c r="DH128" i="7" s="1"/>
  <c r="H122" i="7"/>
  <c r="DF122" i="7" s="1"/>
  <c r="DH122" i="7" s="1"/>
  <c r="H105" i="7"/>
  <c r="DF105" i="7" s="1"/>
  <c r="DH105" i="7" s="1"/>
  <c r="H101" i="7"/>
  <c r="DF101" i="7" s="1"/>
  <c r="DH101" i="7" s="1"/>
  <c r="H90" i="7"/>
  <c r="DF90" i="7" s="1"/>
  <c r="DH90" i="7" s="1"/>
  <c r="H72" i="7"/>
  <c r="DF72" i="7" s="1"/>
  <c r="DH72" i="7" s="1"/>
  <c r="H70" i="7"/>
  <c r="DF70" i="7" s="1"/>
  <c r="DH70" i="7" s="1"/>
  <c r="H64" i="7"/>
  <c r="DF64" i="7" s="1"/>
  <c r="DH64" i="7" s="1"/>
  <c r="H38" i="7"/>
  <c r="DF38" i="7" s="1"/>
  <c r="DH38" i="7" s="1"/>
  <c r="H35" i="7"/>
  <c r="DF35" i="7" s="1"/>
  <c r="DH35" i="7" s="1"/>
  <c r="H32" i="7"/>
  <c r="DF32" i="7" s="1"/>
  <c r="DH32" i="7" s="1"/>
  <c r="H18" i="7"/>
  <c r="DF18" i="7" s="1"/>
  <c r="DH18" i="7" s="1"/>
  <c r="H153" i="7"/>
  <c r="DF153" i="7" s="1"/>
  <c r="DH153" i="7" s="1"/>
  <c r="H206" i="7"/>
  <c r="DF206" i="7" s="1"/>
  <c r="DH206" i="7" s="1"/>
  <c r="H204" i="7"/>
  <c r="DF204" i="7" s="1"/>
  <c r="DH204" i="7" s="1"/>
  <c r="H200" i="7"/>
  <c r="DF200" i="7" s="1"/>
  <c r="DH200" i="7" s="1"/>
  <c r="H158" i="7"/>
  <c r="DF158" i="7" s="1"/>
  <c r="DH158" i="7" s="1"/>
  <c r="H156" i="7"/>
  <c r="DF156" i="7" s="1"/>
  <c r="DH156" i="7" s="1"/>
  <c r="H148" i="7"/>
  <c r="DF148" i="7" s="1"/>
  <c r="DH148" i="7" s="1"/>
  <c r="H123" i="7"/>
  <c r="DF123" i="7" s="1"/>
  <c r="DH123" i="7" s="1"/>
  <c r="H121" i="7"/>
  <c r="DF121" i="7" s="1"/>
  <c r="DH121" i="7" s="1"/>
  <c r="H118" i="7"/>
  <c r="DF118" i="7" s="1"/>
  <c r="DH118" i="7" s="1"/>
  <c r="H91" i="7"/>
  <c r="DF91" i="7" s="1"/>
  <c r="DH91" i="7" s="1"/>
  <c r="H89" i="7"/>
  <c r="DF89" i="7" s="1"/>
  <c r="DH89" i="7" s="1"/>
  <c r="H86" i="7"/>
  <c r="DF86" i="7" s="1"/>
  <c r="DH86" i="7" s="1"/>
  <c r="H65" i="7"/>
  <c r="DF65" i="7" s="1"/>
  <c r="DH65" i="7" s="1"/>
  <c r="H60" i="7"/>
  <c r="DF60" i="7" s="1"/>
  <c r="DH60" i="7" s="1"/>
  <c r="H57" i="7"/>
  <c r="DF57" i="7" s="1"/>
  <c r="DH57" i="7" s="1"/>
  <c r="H33" i="7"/>
  <c r="DF33" i="7" s="1"/>
  <c r="DH33" i="7" s="1"/>
  <c r="H31" i="7"/>
  <c r="DF31" i="7" s="1"/>
  <c r="DH31" i="7" s="1"/>
  <c r="H28" i="7"/>
  <c r="DF28" i="7" s="1"/>
  <c r="DH28" i="7" s="1"/>
  <c r="H188" i="7"/>
  <c r="DF188" i="7" s="1"/>
  <c r="DH188" i="7" s="1"/>
  <c r="H187" i="7"/>
  <c r="DF187" i="7" s="1"/>
  <c r="DH187" i="7" s="1"/>
  <c r="H186" i="7"/>
  <c r="DF186" i="7" s="1"/>
  <c r="DH186" i="7" s="1"/>
  <c r="H150" i="7"/>
  <c r="DF150" i="7" s="1"/>
  <c r="DH150" i="7" s="1"/>
  <c r="H142" i="7"/>
  <c r="DF142" i="7" s="1"/>
  <c r="DH142" i="7" s="1"/>
  <c r="H140" i="7"/>
  <c r="DF140" i="7" s="1"/>
  <c r="DH140" i="7" s="1"/>
  <c r="H134" i="7"/>
  <c r="DF134" i="7" s="1"/>
  <c r="DH134" i="7" s="1"/>
  <c r="H114" i="7"/>
  <c r="DF114" i="7" s="1"/>
  <c r="DH114" i="7" s="1"/>
  <c r="H113" i="7"/>
  <c r="DF113" i="7" s="1"/>
  <c r="DH113" i="7" s="1"/>
  <c r="H110" i="7"/>
  <c r="DF110" i="7" s="1"/>
  <c r="DH110" i="7" s="1"/>
  <c r="H73" i="7"/>
  <c r="DF73" i="7" s="1"/>
  <c r="DH73" i="7" s="1"/>
  <c r="H39" i="7"/>
  <c r="DF39" i="7" s="1"/>
  <c r="DH39" i="7" s="1"/>
  <c r="H221" i="7"/>
  <c r="DF221" i="7" s="1"/>
  <c r="DH221" i="7" s="1"/>
  <c r="H220" i="7"/>
  <c r="DF220" i="7" s="1"/>
  <c r="DH220" i="7" s="1"/>
  <c r="H219" i="7"/>
  <c r="DF219" i="7" s="1"/>
  <c r="DH219" i="7" s="1"/>
  <c r="H217" i="7"/>
  <c r="DF217" i="7" s="1"/>
  <c r="DH217" i="7" s="1"/>
  <c r="H215" i="7"/>
  <c r="DF215" i="7" s="1"/>
  <c r="DH215" i="7" s="1"/>
  <c r="H210" i="7"/>
  <c r="DF210" i="7" s="1"/>
  <c r="DH210" i="7" s="1"/>
  <c r="H203" i="7"/>
  <c r="DF203" i="7" s="1"/>
  <c r="DH203" i="7" s="1"/>
  <c r="H199" i="7"/>
  <c r="DF199" i="7" s="1"/>
  <c r="DH199" i="7" s="1"/>
  <c r="H197" i="7"/>
  <c r="DF197" i="7" s="1"/>
  <c r="DH197" i="7" s="1"/>
  <c r="H196" i="7"/>
  <c r="DF196" i="7" s="1"/>
  <c r="DH196" i="7" s="1"/>
  <c r="H194" i="7"/>
  <c r="DF194" i="7" s="1"/>
  <c r="DH194" i="7" s="1"/>
  <c r="H164" i="7"/>
  <c r="DF164" i="7" s="1"/>
  <c r="DH164" i="7" s="1"/>
  <c r="H163" i="7"/>
  <c r="DF163" i="7" s="1"/>
  <c r="DH163" i="7" s="1"/>
  <c r="H162" i="7"/>
  <c r="DF162" i="7" s="1"/>
  <c r="DH162" i="7" s="1"/>
  <c r="H161" i="7"/>
  <c r="DF161" i="7" s="1"/>
  <c r="DH161" i="7" s="1"/>
  <c r="H49" i="7"/>
  <c r="DF49" i="7" s="1"/>
  <c r="DH49" i="7" s="1"/>
  <c r="H45" i="7"/>
  <c r="DF45" i="7" s="1"/>
  <c r="DH45" i="7" s="1"/>
  <c r="H22" i="7"/>
  <c r="DF22" i="7" s="1"/>
  <c r="DH22" i="7" s="1"/>
  <c r="H172" i="7"/>
  <c r="DF172" i="7" s="1"/>
  <c r="DH172" i="7" s="1"/>
  <c r="H169" i="7"/>
  <c r="DF169" i="7" s="1"/>
  <c r="DH169" i="7" s="1"/>
  <c r="H168" i="7"/>
  <c r="DF168" i="7" s="1"/>
  <c r="DH168" i="7" s="1"/>
  <c r="H146" i="7"/>
  <c r="DF146" i="7" s="1"/>
  <c r="DH146" i="7" s="1"/>
  <c r="H115" i="7"/>
  <c r="DF115" i="7" s="1"/>
  <c r="DH115" i="7" s="1"/>
  <c r="H99" i="7"/>
  <c r="DF99" i="7" s="1"/>
  <c r="DH99" i="7" s="1"/>
  <c r="H97" i="7"/>
  <c r="DF97" i="7" s="1"/>
  <c r="DH97" i="7" s="1"/>
  <c r="H83" i="7"/>
  <c r="DF83" i="7" s="1"/>
  <c r="DH83" i="7" s="1"/>
  <c r="H53" i="7"/>
  <c r="DF53" i="7" s="1"/>
  <c r="DH53" i="7" s="1"/>
  <c r="H235" i="7"/>
  <c r="DF235" i="7" s="1"/>
  <c r="DH235" i="7" s="1"/>
  <c r="E218" i="7"/>
  <c r="C8" i="7"/>
  <c r="D137" i="7"/>
  <c r="F137" i="7"/>
  <c r="B63" i="7"/>
  <c r="D63" i="7"/>
  <c r="H61" i="7"/>
  <c r="DF61" i="7" s="1"/>
  <c r="DH61" i="7" s="1"/>
  <c r="H63" i="7"/>
  <c r="DF63" i="7" s="1"/>
  <c r="DH63" i="7" s="1"/>
  <c r="H176" i="7"/>
  <c r="DF176" i="7" s="1"/>
  <c r="DH176" i="7" s="1"/>
  <c r="B178" i="7"/>
  <c r="D178" i="7"/>
  <c r="B165" i="7"/>
  <c r="F165" i="7"/>
  <c r="E165" i="7"/>
  <c r="F164" i="7"/>
  <c r="H152" i="7"/>
  <c r="DF152" i="7" s="1"/>
  <c r="DH152" i="7" s="1"/>
  <c r="E181" i="7"/>
  <c r="D181" i="7"/>
  <c r="H198" i="7"/>
  <c r="DF198" i="7" s="1"/>
  <c r="DH198" i="7" s="1"/>
  <c r="D4" i="7"/>
  <c r="B12" i="7"/>
  <c r="E8" i="7"/>
  <c r="C15" i="7"/>
  <c r="B8" i="7"/>
  <c r="D15" i="7"/>
  <c r="E12" i="7"/>
  <c r="C75" i="7"/>
  <c r="E75" i="7"/>
  <c r="B74" i="7"/>
  <c r="C73" i="7"/>
  <c r="E77" i="7"/>
  <c r="H74" i="7"/>
  <c r="DF74" i="7" s="1"/>
  <c r="DH74" i="7" s="1"/>
  <c r="D77" i="7"/>
  <c r="H75" i="7"/>
  <c r="DF75" i="7" s="1"/>
  <c r="DH75" i="7" s="1"/>
  <c r="H62" i="7"/>
  <c r="DF62" i="7" s="1"/>
  <c r="DH62" i="7" s="1"/>
  <c r="E61" i="7"/>
  <c r="B61" i="7"/>
  <c r="D61" i="7"/>
  <c r="C216" i="7"/>
  <c r="D216" i="7"/>
  <c r="E216" i="7"/>
  <c r="C213" i="7"/>
  <c r="E213" i="7"/>
  <c r="H214" i="7"/>
  <c r="DF214" i="7" s="1"/>
  <c r="DH214" i="7" s="1"/>
  <c r="E214" i="7"/>
  <c r="B214" i="7"/>
  <c r="H212" i="7"/>
  <c r="DF212" i="7" s="1"/>
  <c r="DH212" i="7" s="1"/>
  <c r="H211" i="7"/>
  <c r="DF211" i="7" s="1"/>
  <c r="DH211" i="7" s="1"/>
  <c r="C52" i="7"/>
  <c r="E52" i="7"/>
  <c r="D54" i="7"/>
  <c r="H55" i="7"/>
  <c r="DF55" i="7" s="1"/>
  <c r="DH55" i="7" s="1"/>
  <c r="E54" i="7"/>
  <c r="F54" i="7"/>
  <c r="D193" i="7"/>
  <c r="B193" i="7"/>
  <c r="H191" i="7"/>
  <c r="DF191" i="7" s="1"/>
  <c r="DH191" i="7" s="1"/>
  <c r="F193" i="7"/>
  <c r="H151" i="7"/>
  <c r="DF151" i="7" s="1"/>
  <c r="DH151" i="7" s="1"/>
  <c r="E151" i="7"/>
  <c r="D151" i="7"/>
  <c r="D12" i="7"/>
  <c r="F8" i="7"/>
  <c r="B15" i="7"/>
  <c r="F12" i="7"/>
  <c r="E15" i="7"/>
  <c r="H192" i="7"/>
  <c r="DF192" i="7" s="1"/>
  <c r="DH192" i="7" s="1"/>
  <c r="H126" i="7"/>
  <c r="DF126" i="7" s="1"/>
  <c r="DH126" i="7" s="1"/>
  <c r="H125" i="7"/>
  <c r="DF125" i="7" s="1"/>
  <c r="DH125" i="7" s="1"/>
  <c r="H124" i="7"/>
  <c r="DF124" i="7" s="1"/>
  <c r="DH124" i="7" s="1"/>
  <c r="E191" i="7"/>
  <c r="C195" i="7"/>
  <c r="F188" i="7"/>
  <c r="B190" i="7"/>
  <c r="D188" i="7"/>
  <c r="E192" i="7"/>
  <c r="C193" i="7"/>
  <c r="D192" i="7"/>
  <c r="F190" i="7"/>
  <c r="C191" i="7"/>
  <c r="B191" i="7"/>
  <c r="F195" i="7"/>
  <c r="B192" i="7"/>
  <c r="E190" i="7"/>
  <c r="C188" i="7"/>
  <c r="F184" i="7"/>
  <c r="E184" i="7"/>
  <c r="C184" i="7"/>
  <c r="D184" i="7"/>
  <c r="F187" i="7"/>
  <c r="D14" i="7"/>
  <c r="F14" i="7"/>
  <c r="F5" i="7"/>
  <c r="B5" i="7"/>
  <c r="AC3" i="2"/>
  <c r="C1" i="5"/>
  <c r="F73" i="7"/>
  <c r="D73" i="7"/>
  <c r="E73" i="7"/>
  <c r="F22" i="7"/>
  <c r="C22" i="7"/>
  <c r="B22" i="7"/>
  <c r="E21" i="7"/>
  <c r="B21" i="7"/>
  <c r="D23" i="7"/>
  <c r="C23" i="7"/>
  <c r="F21" i="7"/>
  <c r="F23" i="7"/>
  <c r="C21" i="7"/>
  <c r="H170" i="7"/>
  <c r="DF170" i="7" s="1"/>
  <c r="DH170" i="7" s="1"/>
  <c r="C170" i="7"/>
  <c r="F170" i="7"/>
  <c r="E170" i="7"/>
  <c r="B170" i="7"/>
  <c r="F168" i="7"/>
  <c r="E168" i="7"/>
  <c r="D50" i="7"/>
  <c r="B51" i="7"/>
  <c r="H52" i="7"/>
  <c r="DF52" i="7" s="1"/>
  <c r="DH52" i="7" s="1"/>
  <c r="H50" i="7"/>
  <c r="DF50" i="7" s="1"/>
  <c r="DH50" i="7" s="1"/>
  <c r="D51" i="7"/>
  <c r="C51" i="7"/>
  <c r="E51" i="7"/>
  <c r="H51" i="7"/>
  <c r="DF51" i="7" s="1"/>
  <c r="DH51" i="7" s="1"/>
  <c r="C194" i="7"/>
  <c r="D194" i="7"/>
  <c r="H171" i="7"/>
  <c r="DF171" i="7" s="1"/>
  <c r="DH171" i="7" s="1"/>
  <c r="H145" i="7"/>
  <c r="DF145" i="7" s="1"/>
  <c r="DH145" i="7" s="1"/>
  <c r="H143" i="7"/>
  <c r="DF143" i="7" s="1"/>
  <c r="DH143" i="7" s="1"/>
  <c r="H193" i="7"/>
  <c r="DF193" i="7" s="1"/>
  <c r="DH193" i="7" s="1"/>
  <c r="D171" i="7"/>
  <c r="B171" i="7"/>
  <c r="C171" i="7"/>
  <c r="F194" i="7"/>
  <c r="H144" i="7"/>
  <c r="DF144" i="7" s="1"/>
  <c r="DH144" i="7" s="1"/>
  <c r="B194" i="7"/>
  <c r="E194" i="7"/>
  <c r="B125" i="7"/>
  <c r="E125" i="7"/>
  <c r="F124" i="7"/>
  <c r="H195" i="7"/>
  <c r="DF195" i="7" s="1"/>
  <c r="DH195" i="7" s="1"/>
  <c r="C111" i="7"/>
  <c r="H111" i="7"/>
  <c r="DF111" i="7" s="1"/>
  <c r="DH111" i="7" s="1"/>
  <c r="C112" i="7"/>
  <c r="B111" i="7"/>
  <c r="D111" i="7"/>
  <c r="H112" i="7"/>
  <c r="DF112" i="7" s="1"/>
  <c r="DH112" i="7" s="1"/>
  <c r="D112" i="7"/>
  <c r="E113" i="7"/>
  <c r="F112" i="7"/>
  <c r="C110" i="7"/>
  <c r="F113" i="7"/>
  <c r="E112" i="7"/>
  <c r="D113" i="7"/>
  <c r="D102" i="7"/>
  <c r="H102" i="7"/>
  <c r="DF102" i="7" s="1"/>
  <c r="DH102" i="7" s="1"/>
  <c r="B101" i="7"/>
  <c r="C101" i="7"/>
  <c r="H100" i="7"/>
  <c r="DF100" i="7" s="1"/>
  <c r="DH100" i="7" s="1"/>
  <c r="B99" i="7"/>
  <c r="C99" i="7"/>
  <c r="H98" i="7"/>
  <c r="DF98" i="7" s="1"/>
  <c r="DH98" i="7" s="1"/>
  <c r="E5" i="7"/>
  <c r="D5" i="7"/>
  <c r="E39" i="7"/>
  <c r="B7" i="7"/>
  <c r="B11" i="7"/>
  <c r="H10" i="7"/>
  <c r="DF10" i="7" s="1"/>
  <c r="DH10" i="7" s="1"/>
  <c r="C13" i="7"/>
  <c r="D7" i="7"/>
  <c r="D11" i="7"/>
  <c r="B14" i="7"/>
  <c r="E14" i="7"/>
  <c r="F11" i="7"/>
  <c r="C16" i="7"/>
  <c r="F176" i="7"/>
  <c r="B176" i="7"/>
  <c r="C176" i="7"/>
  <c r="H174" i="7"/>
  <c r="DF174" i="7" s="1"/>
  <c r="DH174" i="7" s="1"/>
  <c r="D180" i="7"/>
  <c r="F183" i="7"/>
  <c r="F180" i="7"/>
  <c r="H183" i="7"/>
  <c r="DF183" i="7" s="1"/>
  <c r="DH183" i="7" s="1"/>
  <c r="D74" i="7"/>
  <c r="F74" i="7"/>
  <c r="E74" i="7"/>
  <c r="B208" i="7"/>
  <c r="H177" i="7"/>
  <c r="DF177" i="7" s="1"/>
  <c r="DH177" i="7" s="1"/>
  <c r="D177" i="7"/>
  <c r="H179" i="7"/>
  <c r="DF179" i="7" s="1"/>
  <c r="DH179" i="7" s="1"/>
  <c r="C178" i="7"/>
  <c r="F178" i="7"/>
  <c r="E183" i="7"/>
  <c r="C183" i="7"/>
  <c r="D183" i="7"/>
  <c r="H181" i="7"/>
  <c r="DF181" i="7" s="1"/>
  <c r="DH181" i="7" s="1"/>
  <c r="H180" i="7"/>
  <c r="DF180" i="7" s="1"/>
  <c r="DH180" i="7" s="1"/>
  <c r="H182" i="7"/>
  <c r="DF182" i="7" s="1"/>
  <c r="DH182" i="7" s="1"/>
  <c r="H175" i="7"/>
  <c r="DF175" i="7" s="1"/>
  <c r="DH175" i="7" s="1"/>
  <c r="D175" i="7"/>
  <c r="C175" i="7"/>
  <c r="E175" i="7"/>
  <c r="B175" i="7"/>
  <c r="H5" i="7"/>
  <c r="DF5" i="7" s="1"/>
  <c r="DH5" i="7" s="1"/>
  <c r="B6" i="7"/>
  <c r="D6" i="7"/>
  <c r="E6" i="7"/>
  <c r="H13" i="7"/>
  <c r="DF13" i="7" s="1"/>
  <c r="DH13" i="7" s="1"/>
  <c r="E164" i="7"/>
  <c r="B164" i="7"/>
  <c r="B149" i="7"/>
  <c r="E149" i="7"/>
  <c r="C149" i="7"/>
  <c r="H149" i="7"/>
  <c r="DF149" i="7" s="1"/>
  <c r="DH149" i="7" s="1"/>
  <c r="H136" i="7"/>
  <c r="DF136" i="7" s="1"/>
  <c r="DH136" i="7" s="1"/>
  <c r="H135" i="7"/>
  <c r="DF135" i="7" s="1"/>
  <c r="DH135" i="7" s="1"/>
  <c r="F136" i="7"/>
  <c r="C136" i="7"/>
  <c r="E136" i="7"/>
  <c r="F101" i="7"/>
  <c r="E101" i="7"/>
  <c r="C102" i="7"/>
  <c r="F102" i="7"/>
  <c r="E102" i="7"/>
  <c r="F80" i="7"/>
  <c r="D80" i="7"/>
  <c r="E80" i="7"/>
  <c r="H80" i="7"/>
  <c r="DF80" i="7" s="1"/>
  <c r="DH80" i="7" s="1"/>
  <c r="E79" i="7"/>
  <c r="H77" i="7"/>
  <c r="DF77" i="7" s="1"/>
  <c r="DH77" i="7" s="1"/>
  <c r="B79" i="7"/>
  <c r="B68" i="7"/>
  <c r="C68" i="7"/>
  <c r="H68" i="7"/>
  <c r="DF68" i="7" s="1"/>
  <c r="DH68" i="7" s="1"/>
  <c r="H67" i="7"/>
  <c r="DF67" i="7" s="1"/>
  <c r="DH67" i="7" s="1"/>
  <c r="H66" i="7"/>
  <c r="DF66" i="7" s="1"/>
  <c r="DH66" i="7" s="1"/>
  <c r="F67" i="7"/>
  <c r="B62" i="7"/>
  <c r="H178" i="7"/>
  <c r="DF178" i="7" s="1"/>
  <c r="DH178" i="7" s="1"/>
  <c r="B177" i="7"/>
  <c r="F177" i="7"/>
  <c r="C180" i="7"/>
  <c r="E180" i="7"/>
  <c r="F181" i="7"/>
  <c r="D62" i="7"/>
  <c r="E62" i="7"/>
  <c r="F62" i="7"/>
  <c r="E145" i="7"/>
  <c r="B145" i="7"/>
  <c r="C145" i="7"/>
  <c r="F144" i="7"/>
  <c r="F160" i="7"/>
  <c r="C160" i="7"/>
  <c r="F162" i="7"/>
  <c r="F6" i="7"/>
  <c r="B10" i="7"/>
  <c r="B16" i="7"/>
  <c r="E13" i="7"/>
  <c r="B13" i="7"/>
  <c r="H14" i="7"/>
  <c r="DF14" i="7" s="1"/>
  <c r="DH14" i="7" s="1"/>
  <c r="H9" i="7"/>
  <c r="DF9" i="7" s="1"/>
  <c r="DH9" i="7" s="1"/>
  <c r="H6" i="7"/>
  <c r="DF6" i="7" s="1"/>
  <c r="DH6" i="7" s="1"/>
  <c r="F13" i="7"/>
  <c r="H7" i="7"/>
  <c r="DF7" i="7" s="1"/>
  <c r="DH7" i="7" s="1"/>
  <c r="F234" i="7"/>
  <c r="E230" i="7"/>
  <c r="C234" i="7"/>
  <c r="B234" i="7"/>
  <c r="C228" i="7"/>
  <c r="E228" i="7"/>
  <c r="D228" i="7"/>
  <c r="C230" i="7"/>
  <c r="C224" i="7"/>
  <c r="D234" i="7"/>
  <c r="B224" i="7"/>
  <c r="H223" i="7"/>
  <c r="DF223" i="7" s="1"/>
  <c r="DH223" i="7" s="1"/>
  <c r="C221" i="7"/>
  <c r="B221" i="7"/>
  <c r="F221" i="7"/>
  <c r="H222" i="7"/>
  <c r="DF222" i="7" s="1"/>
  <c r="DH222" i="7" s="1"/>
  <c r="D223" i="7"/>
  <c r="C223" i="7"/>
  <c r="B222" i="7"/>
  <c r="E222" i="7"/>
  <c r="D222" i="7"/>
  <c r="H213" i="7"/>
  <c r="DF213" i="7" s="1"/>
  <c r="DH213" i="7" s="1"/>
  <c r="E212" i="7"/>
  <c r="F211" i="7"/>
  <c r="C212" i="7"/>
  <c r="C214" i="7"/>
  <c r="F213" i="7"/>
  <c r="D214" i="7"/>
  <c r="B213" i="7"/>
  <c r="B212" i="7"/>
  <c r="C211" i="7"/>
  <c r="H209" i="7"/>
  <c r="DF209" i="7" s="1"/>
  <c r="DH209" i="7" s="1"/>
  <c r="F210" i="7"/>
  <c r="C208" i="7"/>
  <c r="B210" i="7"/>
  <c r="H231" i="7"/>
  <c r="DF231" i="7" s="1"/>
  <c r="DH231" i="7" s="1"/>
  <c r="B227" i="7"/>
  <c r="F224" i="7"/>
  <c r="E224" i="7"/>
  <c r="F225" i="7"/>
  <c r="F229" i="7"/>
  <c r="C233" i="7"/>
  <c r="H227" i="7"/>
  <c r="DF227" i="7" s="1"/>
  <c r="DH227" i="7" s="1"/>
  <c r="E231" i="7"/>
  <c r="C231" i="7"/>
  <c r="E225" i="7"/>
  <c r="H234" i="7"/>
  <c r="DF234" i="7" s="1"/>
  <c r="DH234" i="7" s="1"/>
  <c r="H232" i="7"/>
  <c r="DF232" i="7" s="1"/>
  <c r="DH232" i="7" s="1"/>
  <c r="H229" i="7"/>
  <c r="DF229" i="7" s="1"/>
  <c r="DH229" i="7" s="1"/>
  <c r="F231" i="7"/>
  <c r="F226" i="7"/>
  <c r="C232" i="7"/>
  <c r="D232" i="7"/>
  <c r="D226" i="7"/>
  <c r="E232" i="7"/>
  <c r="D233" i="7"/>
  <c r="B233" i="7"/>
  <c r="D230" i="7"/>
  <c r="H230" i="7"/>
  <c r="DF230" i="7" s="1"/>
  <c r="DH230" i="7" s="1"/>
  <c r="H228" i="7"/>
  <c r="DF228" i="7" s="1"/>
  <c r="DH228" i="7" s="1"/>
  <c r="H225" i="7"/>
  <c r="DF225" i="7" s="1"/>
  <c r="DH225" i="7" s="1"/>
  <c r="H226" i="7"/>
  <c r="DF226" i="7" s="1"/>
  <c r="DH226" i="7" s="1"/>
  <c r="H224" i="7"/>
  <c r="DF224" i="7" s="1"/>
  <c r="DH224" i="7" s="1"/>
  <c r="F228" i="7"/>
  <c r="B230" i="7"/>
  <c r="E233" i="7"/>
  <c r="H233" i="7"/>
  <c r="DF233" i="7" s="1"/>
  <c r="DH233" i="7" s="1"/>
  <c r="B226" i="7"/>
  <c r="E226" i="7"/>
  <c r="D235" i="7"/>
  <c r="H47" i="7"/>
  <c r="DF47" i="7" s="1"/>
  <c r="DH47" i="7" s="1"/>
  <c r="C48" i="7"/>
  <c r="F48" i="7"/>
  <c r="D48" i="7"/>
  <c r="B48" i="7"/>
  <c r="F47" i="7"/>
  <c r="B47" i="7"/>
  <c r="D46" i="7"/>
  <c r="D47" i="7"/>
  <c r="E47" i="7"/>
  <c r="H48" i="7"/>
  <c r="DF48" i="7" s="1"/>
  <c r="DH48" i="7" s="1"/>
  <c r="H46" i="7"/>
  <c r="DF46" i="7" s="1"/>
  <c r="DH46" i="7" s="1"/>
  <c r="F45" i="7"/>
  <c r="H95" i="7"/>
  <c r="DF95" i="7" s="1"/>
  <c r="DH95" i="7" s="1"/>
  <c r="H94" i="7"/>
  <c r="DF94" i="7" s="1"/>
  <c r="DH94" i="7" s="1"/>
  <c r="H92" i="7"/>
  <c r="DF92" i="7" s="1"/>
  <c r="DH92" i="7" s="1"/>
  <c r="B95" i="7"/>
  <c r="F93" i="7"/>
  <c r="C93" i="7"/>
  <c r="D93" i="7"/>
  <c r="E94" i="7"/>
  <c r="B139" i="7"/>
  <c r="H139" i="7"/>
  <c r="DF139" i="7" s="1"/>
  <c r="DH139" i="7" s="1"/>
  <c r="F139" i="7"/>
  <c r="C139" i="7"/>
  <c r="D139" i="7"/>
  <c r="H93" i="7"/>
  <c r="DF93" i="7" s="1"/>
  <c r="DH93" i="7" s="1"/>
  <c r="B94" i="7"/>
  <c r="E92" i="7"/>
  <c r="F92" i="7"/>
  <c r="C94" i="7"/>
  <c r="Z240" i="5"/>
  <c r="H54" i="7"/>
  <c r="DF54" i="7" s="1"/>
  <c r="DH54" i="7" s="1"/>
  <c r="B54" i="7"/>
  <c r="C67" i="7"/>
  <c r="E67" i="7"/>
  <c r="D67" i="7"/>
  <c r="H78" i="7"/>
  <c r="DF78" i="7" s="1"/>
  <c r="DH78" i="7" s="1"/>
  <c r="B77" i="7"/>
  <c r="B78" i="7"/>
  <c r="E78" i="7"/>
  <c r="AG240" i="5"/>
  <c r="AE240" i="5"/>
  <c r="X240" i="5"/>
  <c r="W240" i="5"/>
  <c r="U240" i="5"/>
  <c r="P240" i="5"/>
  <c r="O240" i="5"/>
  <c r="N240" i="5"/>
  <c r="M240" i="5"/>
  <c r="K240" i="5"/>
  <c r="J240" i="5"/>
  <c r="I240" i="5"/>
  <c r="H240" i="5"/>
  <c r="F77" i="7"/>
  <c r="D78" i="7"/>
  <c r="A4" i="9"/>
  <c r="C4" i="9" s="1"/>
  <c r="B5" i="9"/>
  <c r="E7" i="7"/>
  <c r="F7" i="7"/>
  <c r="C4" i="7"/>
  <c r="B4" i="7"/>
  <c r="E4" i="7"/>
  <c r="A3" i="9"/>
  <c r="C3" i="9" s="1"/>
  <c r="H4" i="7"/>
  <c r="DF4" i="7" s="1"/>
  <c r="DH4" i="7" s="1"/>
  <c r="D240" i="5"/>
  <c r="AF240" i="5"/>
  <c r="AD240" i="5"/>
  <c r="AC240" i="5"/>
  <c r="AB240" i="5"/>
  <c r="AA240" i="5"/>
  <c r="Y240" i="5"/>
  <c r="V240" i="5"/>
  <c r="T240" i="5"/>
  <c r="S240" i="5"/>
  <c r="R240" i="5"/>
  <c r="Q240" i="5"/>
  <c r="L240" i="5"/>
  <c r="G240" i="5"/>
  <c r="F240" i="5"/>
  <c r="E240" i="5"/>
  <c r="D16" i="7"/>
  <c r="E16" i="7"/>
  <c r="F10" i="7"/>
  <c r="D10" i="7"/>
  <c r="E10" i="7"/>
  <c r="H12" i="7"/>
  <c r="DF12" i="7" s="1"/>
  <c r="DH12" i="7" s="1"/>
  <c r="H11" i="7"/>
  <c r="DF11" i="7" s="1"/>
  <c r="DH11" i="7" s="1"/>
  <c r="F9" i="7"/>
  <c r="B9" i="7"/>
  <c r="C9" i="7"/>
  <c r="E9" i="7"/>
  <c r="H16" i="7"/>
  <c r="DF16" i="7" s="1"/>
  <c r="DH16" i="7" s="1"/>
  <c r="H15" i="7"/>
  <c r="DF15" i="7" s="1"/>
  <c r="DH15" i="7" s="1"/>
  <c r="H8" i="7"/>
  <c r="DF8" i="7" s="1"/>
  <c r="DH8" i="7" s="1"/>
  <c r="AD3" i="2" l="1"/>
  <c r="D1" i="5"/>
  <c r="B6" i="9"/>
  <c r="A5" i="9"/>
  <c r="C5" i="9" s="1"/>
  <c r="AE3" i="2" l="1"/>
  <c r="E1" i="5"/>
  <c r="B7" i="9"/>
  <c r="A6" i="9"/>
  <c r="C6" i="9" s="1"/>
  <c r="AF3" i="2" l="1"/>
  <c r="F1" i="5"/>
  <c r="B8" i="9"/>
  <c r="A7" i="9"/>
  <c r="C7" i="9" s="1"/>
  <c r="G1" i="5" l="1"/>
  <c r="AG3" i="2"/>
  <c r="A8" i="9"/>
  <c r="C8" i="9" s="1"/>
  <c r="B9" i="9"/>
  <c r="H1" i="5" l="1"/>
  <c r="AH3" i="2"/>
  <c r="B10" i="9"/>
  <c r="A9" i="9"/>
  <c r="C9" i="9" s="1"/>
  <c r="AI3" i="2" l="1"/>
  <c r="I1" i="5"/>
  <c r="B11" i="9"/>
  <c r="A10" i="9"/>
  <c r="C10" i="9" s="1"/>
  <c r="AJ3" i="2" l="1"/>
  <c r="J1" i="5"/>
  <c r="B12" i="9"/>
  <c r="A11" i="9"/>
  <c r="C11" i="9" s="1"/>
  <c r="AK3" i="2" l="1"/>
  <c r="K1" i="5"/>
  <c r="A12" i="9"/>
  <c r="C12" i="9" s="1"/>
  <c r="B13" i="9"/>
  <c r="L1" i="5" l="1"/>
  <c r="AL3" i="2"/>
  <c r="A13" i="9"/>
  <c r="C13" i="9" s="1"/>
  <c r="B14" i="9"/>
  <c r="AM3" i="2" l="1"/>
  <c r="M1" i="5"/>
  <c r="A14" i="9"/>
  <c r="C14" i="9" s="1"/>
  <c r="B15" i="9"/>
  <c r="N1" i="5" l="1"/>
  <c r="AN3" i="2"/>
  <c r="B16" i="9"/>
  <c r="A15" i="9"/>
  <c r="C15" i="9" s="1"/>
  <c r="O1" i="5" l="1"/>
  <c r="AO3" i="2"/>
  <c r="B17" i="9"/>
  <c r="A16" i="9"/>
  <c r="C16" i="9" s="1"/>
  <c r="P1" i="5" l="1"/>
  <c r="AP3" i="2"/>
  <c r="A17" i="9"/>
  <c r="C17" i="9" s="1"/>
  <c r="B18" i="9"/>
  <c r="AQ3" i="2" l="1"/>
  <c r="Q1" i="5"/>
  <c r="B19" i="9"/>
  <c r="A18" i="9"/>
  <c r="C18" i="9" s="1"/>
  <c r="AR3" i="2" l="1"/>
  <c r="R1" i="5"/>
  <c r="A19" i="9"/>
  <c r="C19" i="9" s="1"/>
  <c r="B20" i="9"/>
  <c r="AS3" i="2" l="1"/>
  <c r="S1" i="5"/>
  <c r="B21" i="9"/>
  <c r="A20" i="9"/>
  <c r="C20" i="9" s="1"/>
  <c r="AT3" i="2" l="1"/>
  <c r="T1" i="5"/>
  <c r="A21" i="9"/>
  <c r="C21" i="9" s="1"/>
  <c r="B22" i="9"/>
  <c r="AU3" i="2" l="1"/>
  <c r="U1" i="5"/>
  <c r="A22" i="9"/>
  <c r="C22" i="9" s="1"/>
  <c r="B23" i="9"/>
  <c r="AV3" i="2" l="1"/>
  <c r="V1" i="5"/>
  <c r="B24" i="9"/>
  <c r="A23" i="9"/>
  <c r="C23" i="9" s="1"/>
  <c r="AW3" i="2" l="1"/>
  <c r="W1" i="5"/>
  <c r="B25" i="9"/>
  <c r="A24" i="9"/>
  <c r="C24" i="9" s="1"/>
  <c r="AX3" i="2" l="1"/>
  <c r="X1" i="5"/>
  <c r="A25" i="9"/>
  <c r="C25" i="9" s="1"/>
  <c r="B26" i="9"/>
  <c r="Y1" i="5" l="1"/>
  <c r="AY3" i="2"/>
  <c r="A26" i="9"/>
  <c r="C26" i="9" s="1"/>
  <c r="B27" i="9"/>
  <c r="AZ3" i="2" l="1"/>
  <c r="Z1" i="5"/>
  <c r="A27" i="9"/>
  <c r="C27" i="9" s="1"/>
  <c r="B28" i="9"/>
  <c r="BA3" i="2" l="1"/>
  <c r="AA1" i="5"/>
  <c r="B29" i="9"/>
  <c r="A28" i="9"/>
  <c r="C28" i="9" s="1"/>
  <c r="BB3" i="2" l="1"/>
  <c r="AB1" i="5"/>
  <c r="A29" i="9"/>
  <c r="C29" i="9" s="1"/>
  <c r="B30" i="9"/>
  <c r="BC3" i="2" l="1"/>
  <c r="AC1" i="5"/>
  <c r="A30" i="9"/>
  <c r="C30" i="9" s="1"/>
  <c r="B31" i="9"/>
  <c r="BD3" i="2" l="1"/>
  <c r="AD1" i="5"/>
  <c r="B32" i="9"/>
  <c r="A31" i="9"/>
  <c r="C31" i="9" s="1"/>
  <c r="AE1" i="5" l="1"/>
  <c r="BE3" i="2"/>
  <c r="A32" i="9"/>
  <c r="C32" i="9" s="1"/>
  <c r="B33" i="9"/>
  <c r="BF3" i="2" l="1"/>
  <c r="AG1" i="5" s="1"/>
  <c r="AF1" i="5"/>
  <c r="A33" i="9"/>
  <c r="C33" i="9" s="1"/>
  <c r="B34" i="9"/>
  <c r="A34" i="9" l="1"/>
  <c r="C34" i="9" s="1"/>
  <c r="B35" i="9"/>
  <c r="A35" i="9" l="1"/>
  <c r="C35" i="9" s="1"/>
  <c r="B36" i="9"/>
  <c r="B37" i="9" s="1"/>
  <c r="B38" i="9" l="1"/>
  <c r="A37" i="9"/>
  <c r="C37" i="9" s="1"/>
  <c r="A36" i="9"/>
  <c r="C36" i="9" s="1"/>
  <c r="B39" i="9" l="1"/>
  <c r="A39" i="9" s="1"/>
  <c r="C39" i="9" s="1"/>
  <c r="A38" i="9"/>
  <c r="C38" i="9" s="1"/>
  <c r="T137" i="2"/>
  <c r="W137" i="2" s="1"/>
  <c r="R137" i="2" s="1"/>
  <c r="T93" i="2"/>
  <c r="W93" i="2" s="1"/>
  <c r="R93" i="2" s="1"/>
  <c r="T165" i="2"/>
  <c r="W165" i="2" s="1"/>
  <c r="R165" i="2" s="1"/>
  <c r="T134" i="2"/>
  <c r="W134" i="2" s="1"/>
  <c r="R134" i="2" s="1"/>
  <c r="T238" i="2"/>
  <c r="W238" i="2" s="1"/>
  <c r="R238" i="2" s="1"/>
  <c r="T177" i="2"/>
  <c r="W177" i="2" s="1"/>
  <c r="R177" i="2" s="1"/>
  <c r="T143" i="2"/>
  <c r="W143" i="2" s="1"/>
  <c r="R143" i="2" s="1"/>
  <c r="T10" i="2"/>
  <c r="W10" i="2" s="1"/>
  <c r="R10" i="2" s="1"/>
  <c r="T118" i="2"/>
  <c r="W118" i="2" s="1"/>
  <c r="R118" i="2" s="1"/>
  <c r="T39" i="2"/>
  <c r="W39" i="2" s="1"/>
  <c r="R39" i="2" s="1"/>
  <c r="T79" i="2"/>
  <c r="W79" i="2" s="1"/>
  <c r="R79" i="2" s="1"/>
  <c r="T126" i="2"/>
  <c r="W126" i="2" s="1"/>
  <c r="R126" i="2" s="1"/>
  <c r="T124" i="2"/>
  <c r="W124" i="2" s="1"/>
  <c r="R124" i="2" s="1"/>
  <c r="T104" i="2"/>
  <c r="W104" i="2" s="1"/>
  <c r="R104" i="2" s="1"/>
  <c r="T204" i="2"/>
  <c r="W204" i="2" s="1"/>
  <c r="R204" i="2" s="1"/>
  <c r="T176" i="2"/>
  <c r="W176" i="2" s="1"/>
  <c r="R176" i="2" s="1"/>
  <c r="T198" i="2"/>
  <c r="W198" i="2" s="1"/>
  <c r="R198" i="2" s="1"/>
  <c r="T160" i="2"/>
  <c r="W160" i="2" s="1"/>
  <c r="R160" i="2" s="1"/>
  <c r="T15" i="2"/>
  <c r="W15" i="2" s="1"/>
  <c r="R15" i="2" s="1"/>
  <c r="T99" i="2"/>
  <c r="W99" i="2" s="1"/>
  <c r="R99" i="2" s="1"/>
  <c r="T203" i="2"/>
  <c r="W203" i="2" s="1"/>
  <c r="R203" i="2" s="1"/>
  <c r="T180" i="2"/>
  <c r="W180" i="2" s="1"/>
  <c r="R180" i="2" s="1"/>
  <c r="T234" i="2"/>
  <c r="W234" i="2" s="1"/>
  <c r="R234" i="2" s="1"/>
  <c r="T89" i="2"/>
  <c r="W89" i="2" s="1"/>
  <c r="R89" i="2" s="1"/>
  <c r="T42" i="2"/>
  <c r="W42" i="2" s="1"/>
  <c r="R42" i="2" s="1"/>
  <c r="T121" i="2"/>
  <c r="W121" i="2" s="1"/>
  <c r="R121" i="2" s="1"/>
  <c r="T186" i="2"/>
  <c r="W186" i="2" s="1"/>
  <c r="R186" i="2" s="1"/>
  <c r="T168" i="2"/>
  <c r="W168" i="2" s="1"/>
  <c r="R168" i="2" s="1"/>
  <c r="T87" i="2"/>
  <c r="W87" i="2" s="1"/>
  <c r="R87" i="2" s="1"/>
  <c r="T27" i="2"/>
  <c r="W27" i="2" s="1"/>
  <c r="R27" i="2" s="1"/>
  <c r="T227" i="2"/>
  <c r="W227" i="2" s="1"/>
  <c r="R227" i="2" s="1"/>
  <c r="T201" i="2"/>
  <c r="W201" i="2" s="1"/>
  <c r="R201" i="2" s="1"/>
  <c r="T38" i="2"/>
  <c r="W38" i="2" s="1"/>
  <c r="R38" i="2" s="1"/>
  <c r="T88" i="2"/>
  <c r="W88" i="2" s="1"/>
  <c r="R88" i="2" s="1"/>
  <c r="T51" i="2"/>
  <c r="W51" i="2" s="1"/>
  <c r="R51" i="2" s="1"/>
  <c r="T92" i="2"/>
  <c r="W92" i="2" s="1"/>
  <c r="R92" i="2" s="1"/>
  <c r="T174" i="2"/>
  <c r="W174" i="2" s="1"/>
  <c r="R174" i="2" s="1"/>
  <c r="T122" i="2"/>
  <c r="W122" i="2" s="1"/>
  <c r="R122" i="2" s="1"/>
  <c r="T106" i="2"/>
  <c r="W106" i="2" s="1"/>
  <c r="R106" i="2" s="1"/>
  <c r="T167" i="2"/>
  <c r="W167" i="2" s="1"/>
  <c r="R167" i="2" s="1"/>
  <c r="T107" i="2"/>
  <c r="W107" i="2" s="1"/>
  <c r="R107" i="2" s="1"/>
  <c r="T211" i="2"/>
  <c r="W211" i="2" s="1"/>
  <c r="R211" i="2" s="1"/>
  <c r="T63" i="2"/>
  <c r="W63" i="2" s="1"/>
  <c r="R63" i="2" s="1"/>
  <c r="T35" i="2"/>
  <c r="W35" i="2" s="1"/>
  <c r="R35" i="2" s="1"/>
  <c r="T22" i="2"/>
  <c r="W22" i="2" s="1"/>
  <c r="R22" i="2" s="1"/>
  <c r="T239" i="2"/>
  <c r="W239" i="2" s="1"/>
  <c r="R239" i="2" s="1"/>
  <c r="T28" i="2"/>
  <c r="W28" i="2" s="1"/>
  <c r="R28" i="2" s="1"/>
  <c r="T138" i="2"/>
  <c r="W138" i="2" s="1"/>
  <c r="R138" i="2" s="1"/>
  <c r="T71" i="2"/>
  <c r="W71" i="2" s="1"/>
  <c r="R71" i="2" s="1"/>
  <c r="T182" i="2"/>
  <c r="W182" i="2" s="1"/>
  <c r="R182" i="2" s="1"/>
  <c r="T189" i="2"/>
  <c r="W189" i="2" s="1"/>
  <c r="R189" i="2" s="1"/>
  <c r="T68" i="2"/>
  <c r="W68" i="2" s="1"/>
  <c r="R68" i="2" s="1"/>
  <c r="T188" i="2"/>
  <c r="W188" i="2" s="1"/>
  <c r="R188" i="2" s="1"/>
  <c r="T14" i="2"/>
  <c r="W14" i="2" s="1"/>
  <c r="R14" i="2" s="1"/>
  <c r="T18" i="2"/>
  <c r="W18" i="2" s="1"/>
  <c r="R18" i="2" s="1"/>
  <c r="T162" i="2"/>
  <c r="W162" i="2" s="1"/>
  <c r="R162" i="2" s="1"/>
  <c r="T97" i="2"/>
  <c r="W97" i="2" s="1"/>
  <c r="R97" i="2" s="1"/>
  <c r="T73" i="2"/>
  <c r="W73" i="2" s="1"/>
  <c r="R73" i="2" s="1"/>
  <c r="T16" i="2"/>
  <c r="W16" i="2" s="1"/>
  <c r="R16" i="2" s="1"/>
  <c r="T46" i="2"/>
  <c r="W46" i="2" s="1"/>
  <c r="R46" i="2" s="1"/>
  <c r="T123" i="2"/>
  <c r="W123" i="2" s="1"/>
  <c r="R123" i="2" s="1"/>
  <c r="T82" i="2"/>
  <c r="W82" i="2" s="1"/>
  <c r="R82" i="2" s="1"/>
  <c r="T222" i="2"/>
  <c r="W222" i="2" s="1"/>
  <c r="R222" i="2" s="1"/>
  <c r="T191" i="2"/>
  <c r="W191" i="2" s="1"/>
  <c r="R191" i="2" s="1"/>
  <c r="T240" i="2"/>
  <c r="W240" i="2" s="1"/>
  <c r="R240" i="2" s="1"/>
  <c r="T141" i="2"/>
  <c r="W141" i="2" s="1"/>
  <c r="R141" i="2" s="1"/>
  <c r="T200" i="2"/>
  <c r="W200" i="2" s="1"/>
  <c r="R200" i="2" s="1"/>
  <c r="T128" i="2"/>
  <c r="W128" i="2" s="1"/>
  <c r="R128" i="2" s="1"/>
  <c r="T135" i="2"/>
  <c r="W135" i="2" s="1"/>
  <c r="R135" i="2" s="1"/>
  <c r="T101" i="2"/>
  <c r="W101" i="2" s="1"/>
  <c r="R101" i="2" s="1"/>
  <c r="T94" i="2"/>
  <c r="W94" i="2" s="1"/>
  <c r="R94" i="2" s="1"/>
  <c r="T33" i="2"/>
  <c r="W33" i="2" s="1"/>
  <c r="R33" i="2" s="1"/>
  <c r="T26" i="2"/>
  <c r="W26" i="2" s="1"/>
  <c r="R26" i="2" s="1"/>
  <c r="T25" i="2"/>
  <c r="W25" i="2" s="1"/>
  <c r="R25" i="2" s="1"/>
  <c r="T178" i="2"/>
  <c r="W178" i="2" s="1"/>
  <c r="R178" i="2" s="1"/>
  <c r="T125" i="2"/>
  <c r="W125" i="2" s="1"/>
  <c r="R125" i="2" s="1"/>
  <c r="T145" i="2"/>
  <c r="W145" i="2" s="1"/>
  <c r="R145" i="2" s="1"/>
  <c r="T11" i="2"/>
  <c r="W11" i="2" s="1"/>
  <c r="R11" i="2" s="1"/>
  <c r="T77" i="2"/>
  <c r="W77" i="2" s="1"/>
  <c r="R77" i="2" s="1"/>
  <c r="T69" i="2"/>
  <c r="W69" i="2" s="1"/>
  <c r="R69" i="2" s="1"/>
  <c r="T231" i="2"/>
  <c r="W231" i="2" s="1"/>
  <c r="R231" i="2" s="1"/>
  <c r="T105" i="2"/>
  <c r="W105" i="2" s="1"/>
  <c r="R105" i="2" s="1"/>
  <c r="T212" i="2"/>
  <c r="W212" i="2" s="1"/>
  <c r="R212" i="2" s="1"/>
  <c r="T215" i="2"/>
  <c r="W215" i="2" s="1"/>
  <c r="R215" i="2" s="1"/>
  <c r="T139" i="2"/>
  <c r="W139" i="2" s="1"/>
  <c r="R139" i="2" s="1"/>
  <c r="T52" i="2"/>
  <c r="W52" i="2" s="1"/>
  <c r="R52" i="2" s="1"/>
  <c r="T67" i="2"/>
  <c r="W67" i="2" s="1"/>
  <c r="R67" i="2" s="1"/>
  <c r="T133" i="2"/>
  <c r="W133" i="2" s="1"/>
  <c r="R133" i="2" s="1"/>
  <c r="T76" i="2"/>
  <c r="W76" i="2" s="1"/>
  <c r="R76" i="2" s="1"/>
  <c r="T4" i="2"/>
  <c r="W4" i="2" s="1"/>
  <c r="R4" i="2" s="1"/>
  <c r="T129" i="2"/>
  <c r="W129" i="2" s="1"/>
  <c r="R129" i="2" s="1"/>
  <c r="T53" i="2"/>
  <c r="W53" i="2" s="1"/>
  <c r="R53" i="2" s="1"/>
  <c r="T91" i="2"/>
  <c r="W91" i="2" s="1"/>
  <c r="R91" i="2" s="1"/>
  <c r="T155" i="2"/>
  <c r="W155" i="2" s="1"/>
  <c r="R155" i="2" s="1"/>
  <c r="T110" i="2"/>
  <c r="W110" i="2" s="1"/>
  <c r="R110" i="2" s="1"/>
  <c r="T187" i="2"/>
  <c r="W187" i="2" s="1"/>
  <c r="R187" i="2" s="1"/>
  <c r="T45" i="2"/>
  <c r="W45" i="2" s="1"/>
  <c r="R45" i="2" s="1"/>
  <c r="T185" i="2"/>
  <c r="W185" i="2" s="1"/>
  <c r="R185" i="2" s="1"/>
  <c r="T84" i="2"/>
  <c r="W84" i="2" s="1"/>
  <c r="R84" i="2" s="1"/>
  <c r="T171" i="2"/>
  <c r="W171" i="2" s="1"/>
  <c r="R171" i="2" s="1"/>
  <c r="T173" i="2"/>
  <c r="W173" i="2" s="1"/>
  <c r="R173" i="2" s="1"/>
  <c r="T233" i="2"/>
  <c r="W233" i="2" s="1"/>
  <c r="R233" i="2" s="1"/>
  <c r="T132" i="2"/>
  <c r="W132" i="2" s="1"/>
  <c r="R132" i="2" s="1"/>
  <c r="T224" i="2"/>
  <c r="W224" i="2" s="1"/>
  <c r="R224" i="2" s="1"/>
  <c r="T40" i="2"/>
  <c r="W40" i="2" s="1"/>
  <c r="R40" i="2" s="1"/>
  <c r="T120" i="2"/>
  <c r="W120" i="2" s="1"/>
  <c r="R120" i="2" s="1"/>
  <c r="T217" i="2"/>
  <c r="W217" i="2" s="1"/>
  <c r="R217" i="2" s="1"/>
  <c r="T163" i="2"/>
  <c r="W163" i="2" s="1"/>
  <c r="R163" i="2" s="1"/>
  <c r="T65" i="2"/>
  <c r="W65" i="2" s="1"/>
  <c r="R65" i="2" s="1"/>
  <c r="T23" i="2"/>
  <c r="W23" i="2" s="1"/>
  <c r="R23" i="2" s="1"/>
  <c r="T66" i="2"/>
  <c r="W66" i="2" s="1"/>
  <c r="R66" i="2" s="1"/>
  <c r="T216" i="2"/>
  <c r="W216" i="2" s="1"/>
  <c r="R216" i="2" s="1"/>
  <c r="T219" i="2"/>
  <c r="W219" i="2" s="1"/>
  <c r="R219" i="2" s="1"/>
  <c r="T194" i="2"/>
  <c r="W194" i="2" s="1"/>
  <c r="R194" i="2" s="1"/>
  <c r="T161" i="2"/>
  <c r="W161" i="2" s="1"/>
  <c r="R161" i="2" s="1"/>
  <c r="T50" i="2"/>
  <c r="W50" i="2" s="1"/>
  <c r="R50" i="2" s="1"/>
  <c r="T54" i="2"/>
  <c r="W54" i="2" s="1"/>
  <c r="R54" i="2" s="1"/>
  <c r="T159" i="2"/>
  <c r="W159" i="2" s="1"/>
  <c r="R159" i="2" s="1"/>
  <c r="T142" i="2"/>
  <c r="W142" i="2" s="1"/>
  <c r="R142" i="2" s="1"/>
  <c r="T153" i="2"/>
  <c r="W153" i="2" s="1"/>
  <c r="R153" i="2" s="1"/>
  <c r="T164" i="2"/>
  <c r="W164" i="2" s="1"/>
  <c r="R164" i="2" s="1"/>
  <c r="T207" i="2"/>
  <c r="W207" i="2" s="1"/>
  <c r="R207" i="2" s="1"/>
  <c r="T205" i="2"/>
  <c r="W205" i="2" s="1"/>
  <c r="R205" i="2" s="1"/>
  <c r="T148" i="2"/>
  <c r="W148" i="2" s="1"/>
  <c r="R148" i="2" s="1"/>
  <c r="T17" i="2"/>
  <c r="W17" i="2" s="1"/>
  <c r="R17" i="2" s="1"/>
  <c r="T172" i="2"/>
  <c r="W172" i="2" s="1"/>
  <c r="R172" i="2" s="1"/>
  <c r="T119" i="2"/>
  <c r="W119" i="2" s="1"/>
  <c r="R119" i="2" s="1"/>
  <c r="T64" i="2"/>
  <c r="W64" i="2" s="1"/>
  <c r="R64" i="2" s="1"/>
  <c r="T37" i="2"/>
  <c r="W37" i="2" s="1"/>
  <c r="R37" i="2" s="1"/>
  <c r="T223" i="2"/>
  <c r="W223" i="2" s="1"/>
  <c r="R223" i="2" s="1"/>
  <c r="T170" i="2"/>
  <c r="W170" i="2" s="1"/>
  <c r="R170" i="2" s="1"/>
  <c r="T175" i="2"/>
  <c r="W175" i="2" s="1"/>
  <c r="R175" i="2" s="1"/>
  <c r="T30" i="2"/>
  <c r="W30" i="2" s="1"/>
  <c r="R30" i="2" s="1"/>
  <c r="T237" i="2"/>
  <c r="W237" i="2" s="1"/>
  <c r="R237" i="2" s="1"/>
  <c r="T34" i="2"/>
  <c r="W34" i="2" s="1"/>
  <c r="R34" i="2" s="1"/>
  <c r="T166" i="2"/>
  <c r="W166" i="2" s="1"/>
  <c r="R166" i="2" s="1"/>
  <c r="T113" i="2"/>
  <c r="W113" i="2" s="1"/>
  <c r="R113" i="2" s="1"/>
  <c r="T32" i="2"/>
  <c r="W32" i="2" s="1"/>
  <c r="R32" i="2" s="1"/>
  <c r="T228" i="2"/>
  <c r="W228" i="2" s="1"/>
  <c r="R228" i="2" s="1"/>
  <c r="T100" i="2"/>
  <c r="W100" i="2" s="1"/>
  <c r="R100" i="2" s="1"/>
  <c r="T70" i="2"/>
  <c r="W70" i="2" s="1"/>
  <c r="R70" i="2" s="1"/>
  <c r="T90" i="2"/>
  <c r="W90" i="2" s="1"/>
  <c r="R90" i="2" s="1"/>
  <c r="T184" i="2"/>
  <c r="W184" i="2" s="1"/>
  <c r="R184" i="2" s="1"/>
  <c r="T85" i="2"/>
  <c r="W85" i="2" s="1"/>
  <c r="R85" i="2" s="1"/>
  <c r="T8" i="2"/>
  <c r="W8" i="2" s="1"/>
  <c r="R8" i="2" s="1"/>
  <c r="T131" i="2"/>
  <c r="W131" i="2" s="1"/>
  <c r="R131" i="2" s="1"/>
  <c r="T146" i="2"/>
  <c r="W146" i="2" s="1"/>
  <c r="R146" i="2" s="1"/>
  <c r="T108" i="2"/>
  <c r="W108" i="2" s="1"/>
  <c r="R108" i="2" s="1"/>
  <c r="T149" i="2"/>
  <c r="W149" i="2" s="1"/>
  <c r="R149" i="2" s="1"/>
  <c r="T190" i="2"/>
  <c r="W190" i="2" s="1"/>
  <c r="R190" i="2" s="1"/>
  <c r="T117" i="2"/>
  <c r="W117" i="2" s="1"/>
  <c r="R117" i="2" s="1"/>
  <c r="T130" i="2"/>
  <c r="W130" i="2" s="1"/>
  <c r="R130" i="2" s="1"/>
  <c r="T48" i="2"/>
  <c r="W48" i="2" s="1"/>
  <c r="R48" i="2" s="1"/>
  <c r="T62" i="2"/>
  <c r="W62" i="2" s="1"/>
  <c r="R62" i="2" s="1"/>
  <c r="T169" i="2"/>
  <c r="W169" i="2" s="1"/>
  <c r="R169" i="2" s="1"/>
  <c r="T21" i="2"/>
  <c r="W21" i="2" s="1"/>
  <c r="R21" i="2" s="1"/>
  <c r="T208" i="2"/>
  <c r="W208" i="2" s="1"/>
  <c r="R208" i="2" s="1"/>
  <c r="T218" i="2"/>
  <c r="W218" i="2" s="1"/>
  <c r="R218" i="2" s="1"/>
  <c r="T20" i="2"/>
  <c r="W20" i="2" s="1"/>
  <c r="R20" i="2" s="1"/>
  <c r="T151" i="2"/>
  <c r="W151" i="2" s="1"/>
  <c r="R151" i="2" s="1"/>
  <c r="T109" i="2"/>
  <c r="W109" i="2" s="1"/>
  <c r="R109" i="2" s="1"/>
  <c r="T221" i="2"/>
  <c r="W221" i="2" s="1"/>
  <c r="R221" i="2" s="1"/>
  <c r="T236" i="2"/>
  <c r="W236" i="2" s="1"/>
  <c r="R236" i="2" s="1"/>
  <c r="T213" i="2"/>
  <c r="W213" i="2" s="1"/>
  <c r="R213" i="2" s="1"/>
  <c r="T154" i="2"/>
  <c r="W154" i="2" s="1"/>
  <c r="R154" i="2" s="1"/>
  <c r="T9" i="2"/>
  <c r="W9" i="2" s="1"/>
  <c r="R9" i="2" s="1"/>
  <c r="T24" i="2"/>
  <c r="W24" i="2" s="1"/>
  <c r="R24" i="2" s="1"/>
  <c r="T225" i="2"/>
  <c r="W225" i="2" s="1"/>
  <c r="R225" i="2" s="1"/>
  <c r="T150" i="2"/>
  <c r="W150" i="2" s="1"/>
  <c r="R150" i="2" s="1"/>
  <c r="T147" i="2"/>
  <c r="W147" i="2" s="1"/>
  <c r="R147" i="2" s="1"/>
  <c r="T47" i="2"/>
  <c r="W47" i="2" s="1"/>
  <c r="R47" i="2" s="1"/>
  <c r="T112" i="2"/>
  <c r="W112" i="2" s="1"/>
  <c r="R112" i="2" s="1"/>
  <c r="T60" i="2"/>
  <c r="W60" i="2" s="1"/>
  <c r="R60" i="2" s="1"/>
  <c r="T19" i="2"/>
  <c r="W19" i="2" s="1"/>
  <c r="R19" i="2" s="1"/>
  <c r="T72" i="2"/>
  <c r="W72" i="2" s="1"/>
  <c r="R72" i="2" s="1"/>
  <c r="T6" i="2"/>
  <c r="W6" i="2" s="1"/>
  <c r="R6" i="2" s="1"/>
  <c r="T81" i="2"/>
  <c r="W81" i="2" s="1"/>
  <c r="R81" i="2" s="1"/>
  <c r="T31" i="2"/>
  <c r="W31" i="2" s="1"/>
  <c r="R31" i="2" s="1"/>
  <c r="T103" i="2"/>
  <c r="W103" i="2" s="1"/>
  <c r="R103" i="2" s="1"/>
  <c r="T158" i="2"/>
  <c r="W158" i="2" s="1"/>
  <c r="R158" i="2" s="1"/>
  <c r="T111" i="2"/>
  <c r="W111" i="2" s="1"/>
  <c r="R111" i="2" s="1"/>
  <c r="T230" i="2"/>
  <c r="W230" i="2" s="1"/>
  <c r="R230" i="2" s="1"/>
  <c r="T116" i="2"/>
  <c r="W116" i="2" s="1"/>
  <c r="R116" i="2" s="1"/>
  <c r="T210" i="2"/>
  <c r="W210" i="2" s="1"/>
  <c r="R210" i="2" s="1"/>
  <c r="T115" i="2"/>
  <c r="W115" i="2" s="1"/>
  <c r="R115" i="2" s="1"/>
  <c r="T12" i="2"/>
  <c r="W12" i="2" s="1"/>
  <c r="R12" i="2" s="1"/>
  <c r="T181" i="2"/>
  <c r="W181" i="2" s="1"/>
  <c r="R181" i="2" s="1"/>
  <c r="T5" i="2"/>
  <c r="W5" i="2" s="1"/>
  <c r="R5" i="2" s="1"/>
  <c r="T232" i="2"/>
  <c r="W232" i="2" s="1"/>
  <c r="R232" i="2" s="1"/>
  <c r="T44" i="2"/>
  <c r="W44" i="2" s="1"/>
  <c r="R44" i="2" s="1"/>
  <c r="T195" i="2"/>
  <c r="W195" i="2" s="1"/>
  <c r="R195" i="2" s="1"/>
  <c r="T220" i="2"/>
  <c r="W220" i="2" s="1"/>
  <c r="R220" i="2" s="1"/>
  <c r="T95" i="2"/>
  <c r="W95" i="2" s="1"/>
  <c r="R95" i="2" s="1"/>
  <c r="T98" i="2"/>
  <c r="W98" i="2" s="1"/>
  <c r="R98" i="2" s="1"/>
  <c r="T136" i="2"/>
  <c r="W136" i="2" s="1"/>
  <c r="R136" i="2" s="1"/>
  <c r="T102" i="2"/>
  <c r="W102" i="2" s="1"/>
  <c r="R102" i="2" s="1"/>
  <c r="T206" i="2"/>
  <c r="W206" i="2" s="1"/>
  <c r="R206" i="2" s="1"/>
  <c r="T55" i="2"/>
  <c r="W55" i="2" s="1"/>
  <c r="R55" i="2" s="1"/>
  <c r="T197" i="2"/>
  <c r="W197" i="2" s="1"/>
  <c r="R197" i="2" s="1"/>
  <c r="T49" i="2"/>
  <c r="W49" i="2" s="1"/>
  <c r="R49" i="2" s="1"/>
  <c r="T235" i="2"/>
  <c r="W235" i="2" s="1"/>
  <c r="R235" i="2" s="1"/>
  <c r="T226" i="2"/>
  <c r="W226" i="2" s="1"/>
  <c r="R226" i="2" s="1"/>
  <c r="T202" i="2"/>
  <c r="W202" i="2" s="1"/>
  <c r="R202" i="2" s="1"/>
  <c r="T78" i="2"/>
  <c r="W78" i="2" s="1"/>
  <c r="R78" i="2" s="1"/>
  <c r="T140" i="2"/>
  <c r="W140" i="2" s="1"/>
  <c r="R140" i="2" s="1"/>
  <c r="T83" i="2"/>
  <c r="W83" i="2" s="1"/>
  <c r="R83" i="2" s="1"/>
  <c r="T96" i="2"/>
  <c r="W96" i="2" s="1"/>
  <c r="R96" i="2" s="1"/>
  <c r="T36" i="2"/>
  <c r="W36" i="2" s="1"/>
  <c r="R36" i="2" s="1"/>
  <c r="T74" i="2"/>
  <c r="W74" i="2" s="1"/>
  <c r="R74" i="2" s="1"/>
  <c r="T29" i="2"/>
  <c r="W29" i="2" s="1"/>
  <c r="R29" i="2" s="1"/>
  <c r="T156" i="2"/>
  <c r="W156" i="2" s="1"/>
  <c r="R156" i="2" s="1"/>
  <c r="T86" i="2"/>
  <c r="W86" i="2" s="1"/>
  <c r="R86" i="2" s="1"/>
  <c r="T75" i="2"/>
  <c r="W75" i="2" s="1"/>
  <c r="R75" i="2" s="1"/>
  <c r="T43" i="2"/>
  <c r="W43" i="2" s="1"/>
  <c r="R43" i="2" s="1"/>
  <c r="T58" i="2"/>
  <c r="W58" i="2" s="1"/>
  <c r="R58" i="2" s="1"/>
  <c r="T229" i="2"/>
  <c r="W229" i="2" s="1"/>
  <c r="R229" i="2" s="1"/>
  <c r="T179" i="2"/>
  <c r="W179" i="2" s="1"/>
  <c r="R179" i="2" s="1"/>
  <c r="T41" i="2"/>
  <c r="W41" i="2" s="1"/>
  <c r="R41" i="2" s="1"/>
  <c r="T192" i="2"/>
  <c r="W192" i="2" s="1"/>
  <c r="R192" i="2" s="1"/>
  <c r="T209" i="2"/>
  <c r="W209" i="2" s="1"/>
  <c r="R209" i="2" s="1"/>
  <c r="T199" i="2"/>
  <c r="W199" i="2" s="1"/>
  <c r="R199" i="2" s="1"/>
  <c r="T59" i="2"/>
  <c r="W59" i="2" s="1"/>
  <c r="R59" i="2" s="1"/>
  <c r="T56" i="2"/>
  <c r="W56" i="2" s="1"/>
  <c r="R56" i="2" s="1"/>
  <c r="T13" i="2"/>
  <c r="W13" i="2" s="1"/>
  <c r="R13" i="2" s="1"/>
  <c r="T61" i="2"/>
  <c r="W61" i="2" s="1"/>
  <c r="R61" i="2" s="1"/>
  <c r="T7" i="2"/>
  <c r="W7" i="2" s="1"/>
  <c r="R7" i="2" s="1"/>
  <c r="T127" i="2"/>
  <c r="W127" i="2" s="1"/>
  <c r="R127" i="2" s="1"/>
  <c r="T183" i="2"/>
  <c r="W183" i="2" s="1"/>
  <c r="R183" i="2" s="1"/>
  <c r="T80" i="2"/>
  <c r="W80" i="2" s="1"/>
  <c r="R80" i="2" s="1"/>
  <c r="T196" i="2"/>
  <c r="W196" i="2" s="1"/>
  <c r="R196" i="2" s="1"/>
  <c r="T144" i="2"/>
  <c r="W144" i="2" s="1"/>
  <c r="R144" i="2" s="1"/>
  <c r="T57" i="2"/>
  <c r="W57" i="2" s="1"/>
  <c r="R57" i="2" s="1"/>
  <c r="T114" i="2"/>
  <c r="W114" i="2" s="1"/>
  <c r="R114" i="2" s="1"/>
  <c r="T214" i="2"/>
  <c r="W214" i="2" s="1"/>
  <c r="R214" i="2" s="1"/>
  <c r="T152" i="2"/>
  <c r="W152" i="2" s="1"/>
  <c r="R152" i="2" s="1"/>
  <c r="T193" i="2"/>
  <c r="W193" i="2" s="1"/>
  <c r="R193" i="2" s="1"/>
  <c r="T157" i="2"/>
  <c r="W157" i="2" s="1"/>
  <c r="R157" i="2" s="1"/>
</calcChain>
</file>

<file path=xl/comments1.xml><?xml version="1.0" encoding="utf-8"?>
<comments xmlns="http://schemas.openxmlformats.org/spreadsheetml/2006/main">
  <authors>
    <author>(上海)000于鹏飞</author>
  </authors>
  <commentList>
    <comment ref="M2" authorId="0" shapeId="0">
      <text>
        <r>
          <rPr>
            <b/>
            <sz val="9"/>
            <color indexed="81"/>
            <rFont val="宋体"/>
            <family val="3"/>
            <charset val="134"/>
          </rPr>
          <t>点击此处的倒三角，从中选择自店号码。</t>
        </r>
      </text>
    </comment>
  </commentList>
</comments>
</file>

<file path=xl/sharedStrings.xml><?xml version="1.0" encoding="utf-8"?>
<sst xmlns="http://schemas.openxmlformats.org/spreadsheetml/2006/main" count="2342" uniqueCount="906">
  <si>
    <t>规格</t>
  </si>
  <si>
    <t>库存量</t>
  </si>
  <si>
    <t>万元用量</t>
  </si>
  <si>
    <t>安全系数</t>
  </si>
  <si>
    <t>需求量</t>
  </si>
  <si>
    <t>前次合计</t>
  </si>
  <si>
    <t>前次（1）</t>
  </si>
  <si>
    <t>前次（2）</t>
  </si>
  <si>
    <t>建议量</t>
  </si>
  <si>
    <t>订货单位</t>
  </si>
  <si>
    <t>可口可乐糖浆</t>
  </si>
  <si>
    <t>桶</t>
  </si>
  <si>
    <t>雪碧糖浆</t>
  </si>
  <si>
    <t>芬达橙汁糖浆</t>
  </si>
  <si>
    <t>飞想柠檬红茶</t>
  </si>
  <si>
    <t>袋</t>
  </si>
  <si>
    <t>个</t>
  </si>
  <si>
    <t>可乐糖浆</t>
  </si>
  <si>
    <t>箱</t>
  </si>
  <si>
    <t>芬达糖浆</t>
  </si>
  <si>
    <t>蔬菜底料</t>
  </si>
  <si>
    <t>混合生菜</t>
  </si>
  <si>
    <t>芝麻菜</t>
  </si>
  <si>
    <t>猕猴桃</t>
  </si>
  <si>
    <t>大蒜</t>
  </si>
  <si>
    <t>番茄</t>
  </si>
  <si>
    <t>柠檬</t>
  </si>
  <si>
    <t>盒</t>
  </si>
  <si>
    <t>102新紫茂广场</t>
  </si>
  <si>
    <t>103嘉定同济广场</t>
  </si>
  <si>
    <t>107苏州人民路店</t>
  </si>
  <si>
    <t>108近铁广场</t>
  </si>
  <si>
    <t>大蒜黄油</t>
  </si>
  <si>
    <t xml:space="preserve">109青浦吾悦广场     </t>
  </si>
  <si>
    <t>110无锡T12</t>
  </si>
  <si>
    <t>酱蒜汁</t>
  </si>
  <si>
    <t>111家乐福高青路店</t>
  </si>
  <si>
    <t>112苏州观前街食百家美食广场</t>
  </si>
  <si>
    <t>113上蔬永辉</t>
  </si>
  <si>
    <t xml:space="preserve">114鑫都广场 </t>
  </si>
  <si>
    <t>115殷高西路店</t>
  </si>
  <si>
    <t>蔬菜汤</t>
  </si>
  <si>
    <t>116人民西路店</t>
  </si>
  <si>
    <t>117钦州北路店</t>
  </si>
  <si>
    <t>118乐虹坊店</t>
  </si>
  <si>
    <t>119苏州永旺园区店</t>
  </si>
  <si>
    <t>120金鼎路店</t>
  </si>
  <si>
    <t>121苏州宝带西路店</t>
  </si>
  <si>
    <t>瓶</t>
  </si>
  <si>
    <t>122云台路店</t>
  </si>
  <si>
    <t>123罗芬路店</t>
  </si>
  <si>
    <t>124胜竹路店</t>
  </si>
  <si>
    <t>125苏州长江路店</t>
  </si>
  <si>
    <t>126川沙路店</t>
  </si>
  <si>
    <t>127武夷路店</t>
  </si>
  <si>
    <t>128南中路店</t>
  </si>
  <si>
    <t>130纪翟路店</t>
  </si>
  <si>
    <t>131（昆山）萧林中路店</t>
  </si>
  <si>
    <t>132通河路店</t>
  </si>
  <si>
    <t>133秀沿路店</t>
  </si>
  <si>
    <t>135鸿音路店</t>
  </si>
  <si>
    <t>136控江路店</t>
  </si>
  <si>
    <t>137槎溪路店</t>
  </si>
  <si>
    <t>138铜川路店</t>
  </si>
  <si>
    <t>139浦建路二店</t>
  </si>
  <si>
    <t>143昆山人民南路店</t>
  </si>
  <si>
    <t>144苏州企鸿路店</t>
  </si>
  <si>
    <t>丘比沙拉酱</t>
  </si>
  <si>
    <t>146天山路二店</t>
  </si>
  <si>
    <t>148宝安公路店</t>
  </si>
  <si>
    <t>150南京北京东路店</t>
  </si>
  <si>
    <t>151南京石鼓路店</t>
  </si>
  <si>
    <t>153苏州南园南路店</t>
  </si>
  <si>
    <t>154控江路二店</t>
  </si>
  <si>
    <t>155嘉涌路店</t>
  </si>
  <si>
    <t>156龙茗路店</t>
  </si>
  <si>
    <t>157漕宝路店</t>
  </si>
  <si>
    <t>面粉</t>
  </si>
  <si>
    <t>158阿克苏路店</t>
  </si>
  <si>
    <t>159古北路店</t>
  </si>
  <si>
    <t>160武威路店</t>
  </si>
  <si>
    <t>161南京百润路店</t>
  </si>
  <si>
    <t>162年家浜路店</t>
  </si>
  <si>
    <t>163南京华电路店</t>
  </si>
  <si>
    <t>164水产路店</t>
  </si>
  <si>
    <t>美国辣椒仔</t>
  </si>
  <si>
    <t>法排小切</t>
  </si>
  <si>
    <t>美滋乐玉米汁</t>
  </si>
  <si>
    <t>柠檬+C糖浆</t>
  </si>
  <si>
    <t>日期</t>
  </si>
  <si>
    <t>单位</t>
  </si>
  <si>
    <t>合计</t>
  </si>
  <si>
    <t>数量</t>
  </si>
  <si>
    <t>生产日期</t>
  </si>
  <si>
    <t>保质期</t>
  </si>
  <si>
    <t>上海申美饮料食品有限公司</t>
  </si>
  <si>
    <t>日冷食品贸易（上海）有限公司</t>
  </si>
  <si>
    <t>上海捷仪经贸有限公司</t>
  </si>
  <si>
    <t>山东日龙食品有限公司</t>
  </si>
  <si>
    <t>青岛国辉食品有限公司</t>
  </si>
  <si>
    <t>嘉兴铃吉食品有限公司</t>
  </si>
  <si>
    <t>丹东永明食品有限公司</t>
  </si>
  <si>
    <t>上海蓬澜食品有限公司</t>
  </si>
  <si>
    <t>上海煜晟贸易有限公司</t>
  </si>
  <si>
    <t>福建好日子食品有限公司</t>
  </si>
  <si>
    <t>上海亮珠米业有限公司</t>
  </si>
  <si>
    <t>上海熠泽食品有限公司</t>
  </si>
  <si>
    <t>福建圣农食品有限公司</t>
  </si>
  <si>
    <t>承武贸易（上海）有限公司</t>
  </si>
  <si>
    <t>北京美滋乐源食品有限公司</t>
  </si>
  <si>
    <t>预估营业额</t>
  </si>
  <si>
    <t>星期</t>
  </si>
  <si>
    <t>日累计</t>
  </si>
  <si>
    <t>日累计(万元)</t>
  </si>
  <si>
    <t>娜米克食品（昆山）有限公司</t>
  </si>
  <si>
    <t>上海潜深实业有限公司</t>
  </si>
  <si>
    <t>沈阳华美食品有限公司</t>
  </si>
  <si>
    <t>辣西西里（北京）国际贸易有限公司</t>
  </si>
  <si>
    <t>上海煦臻实业有限公司</t>
  </si>
  <si>
    <t>雷州市绿河食品实业有限公司</t>
  </si>
  <si>
    <t xml:space="preserve">杭州丘比食品有限公司 </t>
  </si>
  <si>
    <t>上海福新面粉有限公司</t>
  </si>
  <si>
    <t>广州华糖食品有限公司</t>
  </si>
  <si>
    <t>福克斯食品有限公司</t>
  </si>
  <si>
    <t>Mcllhenny Company</t>
  </si>
  <si>
    <t>中盐金坛盐化有限责任公司</t>
  </si>
  <si>
    <t>内蒙古草原鑫河食品有限公司</t>
  </si>
  <si>
    <t>广州京业食品有限公司</t>
  </si>
  <si>
    <t>浙江大菱海洋食品有限公司</t>
  </si>
  <si>
    <t>江苏太古可口可乐饮料有限公司</t>
  </si>
  <si>
    <t>上海百蒂凯蔬果种植专业合作社</t>
  </si>
  <si>
    <t>火龙果</t>
  </si>
  <si>
    <t>卡利酒庄蓝布鲁斯科低泡葡萄酒</t>
  </si>
  <si>
    <t>马塞研磨干酪粉</t>
  </si>
  <si>
    <t>辣西西里5#直条形意大利面</t>
  </si>
  <si>
    <t>辣西西里特级初榨橄榄油</t>
  </si>
  <si>
    <t>1kg*10pc</t>
  </si>
  <si>
    <t>萨莉亚鸡排</t>
  </si>
  <si>
    <t>海鲜味调味汁</t>
  </si>
  <si>
    <t>菠萝小扇块</t>
  </si>
  <si>
    <t>750ml*6瓶</t>
  </si>
  <si>
    <t>10L</t>
  </si>
  <si>
    <t>飞想茶糖浆</t>
  </si>
  <si>
    <t>黑胡椒碎</t>
  </si>
  <si>
    <t>萨莉亚翅中</t>
  </si>
  <si>
    <t>原汤粉（YT）</t>
  </si>
  <si>
    <t>好日子红茶</t>
  </si>
  <si>
    <t>好日子绿茶</t>
  </si>
  <si>
    <t>好日子茉莉花茶</t>
  </si>
  <si>
    <t>肉酱</t>
  </si>
  <si>
    <t>焦糖布丁蛋糕</t>
  </si>
  <si>
    <t>萨莉亚速冻蜗牛肉</t>
  </si>
  <si>
    <t>万家宴一级大豆油</t>
  </si>
  <si>
    <t>牛排粉NPF</t>
  </si>
  <si>
    <t>精制盐</t>
  </si>
  <si>
    <t>脱水欧芹片</t>
  </si>
  <si>
    <t>超大熔岩蛋糕</t>
  </si>
  <si>
    <t>香草鸡排串</t>
  </si>
  <si>
    <t>伊利冰淇淋（香草口味）</t>
  </si>
  <si>
    <t>牛肚配菜(实验店铺用）</t>
  </si>
  <si>
    <t>刀叉盒60只/箱（绿色）</t>
  </si>
  <si>
    <t>环保打包盒（酱汁盒）1000套</t>
  </si>
  <si>
    <t>密胺骨盘（白边）</t>
  </si>
  <si>
    <t>石纹水杯</t>
  </si>
  <si>
    <t>圆碟（咖啡色边）</t>
  </si>
  <si>
    <t>刀叉盒（咖啡色）</t>
  </si>
  <si>
    <t>Pastificio Guido Ferrara S.p.A</t>
  </si>
  <si>
    <t>Biolevante Srl</t>
  </si>
  <si>
    <t>PR.I.V.I. SRL CHIARLI 1860</t>
  </si>
  <si>
    <t>Basso Sebastiano Srl</t>
  </si>
  <si>
    <t>Dolceria Alba SPA</t>
  </si>
  <si>
    <t>浙江德馨饮料有限公司</t>
  </si>
  <si>
    <t>雷州市英利得宝罐头果脯食品厂</t>
  </si>
  <si>
    <t>上海铭欣咖啡有限公司</t>
  </si>
  <si>
    <t>冷凍</t>
  </si>
  <si>
    <t>常温</t>
  </si>
  <si>
    <t>冷蔵</t>
  </si>
  <si>
    <t>0.5kg</t>
  </si>
  <si>
    <t>1kg</t>
  </si>
  <si>
    <t>20L</t>
  </si>
  <si>
    <t>60ml*12瓶</t>
  </si>
  <si>
    <t>商品名称</t>
    <phoneticPr fontId="4" type="noConversion"/>
  </si>
  <si>
    <t>供应商名称</t>
    <phoneticPr fontId="4" type="noConversion"/>
  </si>
  <si>
    <t>深圳城建竹木塑胶制品有限公司</t>
  </si>
  <si>
    <t>早餐培根1</t>
  </si>
  <si>
    <t>保存条件</t>
  </si>
  <si>
    <t>包装規格</t>
  </si>
  <si>
    <t>注文単位</t>
  </si>
  <si>
    <t>100个/箱</t>
  </si>
  <si>
    <t>1000个/箱</t>
  </si>
  <si>
    <t>36个/箱</t>
  </si>
  <si>
    <t>161个/箱</t>
  </si>
  <si>
    <t>162个/箱</t>
  </si>
  <si>
    <t>万元使用量</t>
    <phoneticPr fontId="4" type="noConversion"/>
  </si>
  <si>
    <t>月实用</t>
    <phoneticPr fontId="4" type="noConversion"/>
  </si>
  <si>
    <t>上月盘库数</t>
    <phoneticPr fontId="4" type="noConversion"/>
  </si>
  <si>
    <t>本月盘库数</t>
    <phoneticPr fontId="4" type="noConversion"/>
  </si>
  <si>
    <t>由仓库</t>
  </si>
  <si>
    <t>由厂商</t>
  </si>
  <si>
    <t>全店</t>
  </si>
  <si>
    <t>0.08kg</t>
  </si>
  <si>
    <t>0.2kg</t>
  </si>
  <si>
    <t>0.6kg</t>
  </si>
  <si>
    <t>0.1kg</t>
  </si>
  <si>
    <t>0.095kg</t>
  </si>
  <si>
    <t>店营业额↓</t>
    <phoneticPr fontId="4" type="noConversion"/>
  </si>
  <si>
    <r>
      <t xml:space="preserve">         </t>
    </r>
    <r>
      <rPr>
        <b/>
        <sz val="10"/>
        <color rgb="FF0070C0"/>
        <rFont val="宋体"/>
        <family val="3"/>
        <charset val="134"/>
      </rPr>
      <t xml:space="preserve"> ③</t>
    </r>
    <r>
      <rPr>
        <b/>
        <sz val="10"/>
        <color rgb="FFFF0000"/>
        <rFont val="宋体"/>
        <family val="3"/>
        <charset val="134"/>
      </rPr>
      <t>盘库未开封最小原始包装单位（即：Ｅ列末尾标示单位→袋、瓶、罐、块）</t>
    </r>
    <phoneticPr fontId="4" type="noConversion"/>
  </si>
  <si>
    <t>实验店</t>
  </si>
  <si>
    <t>盘点导出</t>
    <phoneticPr fontId="4" type="noConversion"/>
  </si>
  <si>
    <t>每月更新日期</t>
    <phoneticPr fontId="4" type="noConversion"/>
  </si>
  <si>
    <t>每月请将食材マスター的下记内容复制粘贴在A-J列</t>
    <phoneticPr fontId="4" type="noConversion"/>
  </si>
  <si>
    <t>月初填写</t>
    <phoneticPr fontId="4" type="noConversion"/>
  </si>
  <si>
    <r>
      <rPr>
        <b/>
        <sz val="7"/>
        <color theme="1"/>
        <rFont val="宋体"/>
        <family val="3"/>
        <charset val="134"/>
      </rPr>
      <t>点击下框，选店号</t>
    </r>
    <r>
      <rPr>
        <b/>
        <sz val="7"/>
        <color rgb="FFFF0000"/>
        <rFont val="宋体"/>
        <family val="3"/>
        <charset val="134"/>
      </rPr>
      <t>↓</t>
    </r>
    <phoneticPr fontId="4" type="noConversion"/>
  </si>
  <si>
    <r>
      <rPr>
        <b/>
        <u val="double"/>
        <sz val="7"/>
        <color rgb="FFFF0000"/>
        <rFont val="宋体"/>
        <family val="3"/>
        <charset val="134"/>
      </rPr>
      <t>注意事项</t>
    </r>
    <r>
      <rPr>
        <b/>
        <sz val="7"/>
        <color rgb="FFFF0000"/>
        <rFont val="宋体"/>
        <family val="3"/>
        <charset val="134"/>
      </rPr>
      <t>：①</t>
    </r>
    <r>
      <rPr>
        <b/>
        <u val="double"/>
        <sz val="7"/>
        <color rgb="FF00B0F0"/>
        <rFont val="宋体"/>
        <family val="3"/>
        <charset val="134"/>
      </rPr>
      <t>《浅蓝》</t>
    </r>
    <r>
      <rPr>
        <b/>
        <sz val="7"/>
        <color rgb="FFFF0000"/>
        <rFont val="宋体"/>
        <family val="3"/>
        <charset val="134"/>
      </rPr>
      <t>为必填内容。</t>
    </r>
    <phoneticPr fontId="4" type="noConversion"/>
  </si>
  <si>
    <t>开店时完成更新</t>
    <phoneticPr fontId="4" type="noConversion"/>
  </si>
  <si>
    <t>订货数</t>
    <phoneticPr fontId="4" type="noConversion"/>
  </si>
  <si>
    <t>商品编码</t>
    <phoneticPr fontId="4" type="noConversion"/>
  </si>
  <si>
    <t>商品名</t>
    <phoneticPr fontId="4" type="noConversion"/>
  </si>
  <si>
    <t>供应商名</t>
    <phoneticPr fontId="4" type="noConversion"/>
  </si>
  <si>
    <t>生产商</t>
    <phoneticPr fontId="4" type="noConversion"/>
  </si>
  <si>
    <t>配送</t>
    <phoneticPr fontId="4" type="noConversion"/>
  </si>
  <si>
    <t>店序列</t>
    <phoneticPr fontId="4" type="noConversion"/>
  </si>
  <si>
    <t>供应商名</t>
    <phoneticPr fontId="4" type="noConversion"/>
  </si>
  <si>
    <t>商品名</t>
    <phoneticPr fontId="4" type="noConversion"/>
  </si>
  <si>
    <r>
      <t>下次送货日</t>
    </r>
    <r>
      <rPr>
        <b/>
        <sz val="7"/>
        <color rgb="FFFF0000"/>
        <rFont val="宋体"/>
        <family val="3"/>
        <charset val="134"/>
      </rPr>
      <t>↓</t>
    </r>
    <phoneticPr fontId="4" type="noConversion"/>
  </si>
  <si>
    <t>保管</t>
    <phoneticPr fontId="4" type="noConversion"/>
  </si>
  <si>
    <t>规格</t>
    <phoneticPr fontId="4" type="noConversion"/>
  </si>
  <si>
    <t>订货限定</t>
    <phoneticPr fontId="4" type="noConversion"/>
  </si>
  <si>
    <t>SALES预估</t>
    <phoneticPr fontId="4" type="noConversion"/>
  </si>
  <si>
    <t>生产商名称</t>
    <phoneticPr fontId="4" type="noConversion"/>
  </si>
  <si>
    <r>
      <t>订货日期</t>
    </r>
    <r>
      <rPr>
        <b/>
        <sz val="7"/>
        <color rgb="FFFF0000"/>
        <rFont val="宋体"/>
        <family val="3"/>
        <charset val="134"/>
      </rPr>
      <t>↓</t>
    </r>
    <phoneticPr fontId="4" type="noConversion"/>
  </si>
  <si>
    <r>
      <t xml:space="preserve">   浅绿色每次订货需要确认修改</t>
    </r>
    <r>
      <rPr>
        <b/>
        <sz val="14"/>
        <color rgb="FFFF0000"/>
        <rFont val="宋体"/>
        <family val="3"/>
        <charset val="134"/>
      </rPr>
      <t>↓</t>
    </r>
    <phoneticPr fontId="4" type="noConversion"/>
  </si>
  <si>
    <t>注意填写正确信息</t>
    <phoneticPr fontId="4" type="noConversion"/>
  </si>
  <si>
    <t>9寸实验饼底</t>
  </si>
  <si>
    <t>中萃碳酸（仅限南京店用）</t>
  </si>
  <si>
    <t>盒色拉</t>
  </si>
  <si>
    <t>匹萨托盘（烤盘盖）</t>
  </si>
  <si>
    <t>色拉架（单价低）</t>
  </si>
  <si>
    <t>色拉架（单价高）</t>
  </si>
  <si>
    <t>3kg*6</t>
  </si>
  <si>
    <t>10g*600pc</t>
  </si>
  <si>
    <t>1kg*20pc</t>
  </si>
  <si>
    <t>2g*100pc*30pc大</t>
  </si>
  <si>
    <t>3kg*4pc</t>
  </si>
  <si>
    <t>1kg*6pc</t>
  </si>
  <si>
    <t>2.5kg*4pc</t>
  </si>
  <si>
    <t>2kg*5pc</t>
  </si>
  <si>
    <t>210g*80</t>
  </si>
  <si>
    <t>160g*60</t>
  </si>
  <si>
    <t>96g*50pc</t>
  </si>
  <si>
    <t>1kg*15pc</t>
  </si>
  <si>
    <t>1kg*10</t>
  </si>
  <si>
    <t>1L*12本</t>
  </si>
  <si>
    <t>750ml*6本</t>
  </si>
  <si>
    <t>1kg*6</t>
  </si>
  <si>
    <t>100g*9块/盒</t>
  </si>
  <si>
    <t>1kg*12pc</t>
  </si>
  <si>
    <t>5L*4pc</t>
  </si>
  <si>
    <t>1L*12pc</t>
  </si>
  <si>
    <t>1kg*12</t>
  </si>
  <si>
    <t>203.4g*5小包*20</t>
  </si>
  <si>
    <t>0.5kg*40pc</t>
  </si>
  <si>
    <t>2kg*6pc</t>
  </si>
  <si>
    <t>150g</t>
  </si>
  <si>
    <t>1.14kg*12pc</t>
  </si>
  <si>
    <t>90g*18块/盒</t>
  </si>
  <si>
    <t>0.15kg*8枚*10pc</t>
  </si>
  <si>
    <t>0.15kg*100pc</t>
  </si>
  <si>
    <t>3kg*6缶</t>
  </si>
  <si>
    <t>3.5kg</t>
  </si>
  <si>
    <t>58个</t>
  </si>
  <si>
    <t>曼可顿食品（上海）有限公司</t>
  </si>
  <si>
    <t>上海亚太国际蔬菜有限公司</t>
  </si>
  <si>
    <r>
      <rPr>
        <b/>
        <sz val="12"/>
        <color theme="1"/>
        <rFont val="宋体"/>
        <family val="3"/>
        <charset val="134"/>
      </rPr>
      <t>注意事项：</t>
    </r>
    <r>
      <rPr>
        <b/>
        <sz val="10"/>
        <color rgb="FF0070C0"/>
        <rFont val="宋体"/>
        <family val="3"/>
        <charset val="134"/>
      </rPr>
      <t>①</t>
    </r>
    <r>
      <rPr>
        <b/>
        <sz val="10"/>
        <color rgb="FFFF0000"/>
        <rFont val="宋体"/>
        <family val="3"/>
        <charset val="134"/>
      </rPr>
      <t>数量将从“订货1”自动导入。</t>
    </r>
    <r>
      <rPr>
        <b/>
        <sz val="10"/>
        <color rgb="FF0070C0"/>
        <rFont val="宋体"/>
        <family val="3"/>
        <charset val="134"/>
      </rPr>
      <t>②</t>
    </r>
    <r>
      <rPr>
        <b/>
        <sz val="10"/>
        <color rgb="FFFF0000"/>
        <rFont val="宋体"/>
        <family val="3"/>
        <charset val="134"/>
      </rPr>
      <t>生产日期、保质期按实际填写（填写方法如下:2019/1/21）。</t>
    </r>
    <phoneticPr fontId="4" type="noConversion"/>
  </si>
  <si>
    <t>097苏州泉屋百货</t>
  </si>
  <si>
    <t>096莲花广场</t>
  </si>
  <si>
    <t>092新龙阳广场</t>
  </si>
  <si>
    <t>090苏州万科美好广场</t>
  </si>
  <si>
    <t>089中星城店</t>
  </si>
  <si>
    <t>088正大乐城店</t>
  </si>
  <si>
    <t>083三号湾</t>
  </si>
  <si>
    <t>082七宝凯德嘉茂</t>
  </si>
  <si>
    <t>188苏州石湖西路店</t>
  </si>
  <si>
    <t>187逸仙路店</t>
  </si>
  <si>
    <t>186无锡盛岸西路店</t>
  </si>
  <si>
    <t>185南京红山路店</t>
  </si>
  <si>
    <t>184苏州狮山店</t>
  </si>
  <si>
    <t>183无锡三阳广场店</t>
  </si>
  <si>
    <t>181丹霞山路店</t>
  </si>
  <si>
    <t>180田林路二店</t>
  </si>
  <si>
    <t>177胜辛路店</t>
  </si>
  <si>
    <t>175东靖路二店</t>
  </si>
  <si>
    <t>173江桥万达店</t>
  </si>
  <si>
    <t>172国和路店</t>
  </si>
  <si>
    <t>171高科东路店</t>
  </si>
  <si>
    <t>170南京软件大道店</t>
  </si>
  <si>
    <t>168陈春路店</t>
  </si>
  <si>
    <t>167崮山路店</t>
  </si>
  <si>
    <t>166江镇新都会店</t>
  </si>
  <si>
    <t>零度可乐糖浆</t>
  </si>
  <si>
    <t>7g*250pc</t>
  </si>
  <si>
    <t>680g</t>
  </si>
  <si>
    <t>189 场中路店</t>
  </si>
  <si>
    <t>萨莉亚logo牛皮纸拎袋</t>
  </si>
  <si>
    <t>萨莉亚logo匹萨打包盒</t>
  </si>
  <si>
    <t>萨莉亚logo椭圆打包盒</t>
  </si>
  <si>
    <t>锡纸打包盒</t>
  </si>
  <si>
    <t>萨莉亚logo刀叉组</t>
  </si>
  <si>
    <t>“幸福阳光”纸手帕</t>
  </si>
  <si>
    <t>200个/箱</t>
  </si>
  <si>
    <t>560个/箱</t>
  </si>
  <si>
    <t>1000个/箱</t>
    <phoneticPr fontId="4" type="noConversion"/>
  </si>
  <si>
    <t>上海联球印刷有限公司</t>
  </si>
  <si>
    <t>上海汤浦印务有限公司</t>
  </si>
  <si>
    <t>上海特硕包装制品有限公司</t>
  </si>
  <si>
    <t>上海加颂纸业有限公司</t>
  </si>
  <si>
    <t>1kg</t>
    <phoneticPr fontId="4" type="noConversion"/>
  </si>
  <si>
    <t>140苏州城际路店</t>
  </si>
  <si>
    <t>141苏州中山东路店</t>
  </si>
  <si>
    <t>142上中西路店</t>
  </si>
  <si>
    <t>190淀山湖大道二店</t>
  </si>
  <si>
    <t>SAIZERIYA AUSTRALIA PTY LTD</t>
  </si>
  <si>
    <t>1kg*10pkt/箱</t>
  </si>
  <si>
    <t>萨莉亚LOGO牛皮纸拎袋（小）</t>
  </si>
  <si>
    <t>法式羊排</t>
  </si>
  <si>
    <t>上海盒成食品有限公司</t>
  </si>
  <si>
    <t>750ml*6</t>
    <phoneticPr fontId="4" type="noConversion"/>
  </si>
  <si>
    <t>Consorzio Casalasco del Pomodoro</t>
  </si>
  <si>
    <t>金牌巴西甜橙（糖浆）</t>
  </si>
  <si>
    <t>5kg*4pc</t>
  </si>
  <si>
    <t>山东泰乐源农业科技有限公司</t>
  </si>
  <si>
    <t>金牌印度阿方索芒果（糖浆）</t>
  </si>
  <si>
    <t>蓝莓（糖浆）</t>
  </si>
  <si>
    <t>柯万特酒庄蒂安诺干红葡萄酒</t>
  </si>
  <si>
    <t>城堡酒庄卡尔卡耐卡干白葡萄酒</t>
  </si>
  <si>
    <t>辣西西里-披萨调味酱</t>
  </si>
  <si>
    <t>4.1kg*3pc</t>
  </si>
  <si>
    <t>60个/箱</t>
  </si>
  <si>
    <t>嘉兴市潜鑫食品有限公司</t>
  </si>
  <si>
    <t>NV Eurofreez</t>
  </si>
  <si>
    <r>
      <t>1</t>
    </r>
    <r>
      <rPr>
        <b/>
        <sz val="7"/>
        <color rgb="FF0070C0"/>
        <rFont val="宋体"/>
        <family val="3"/>
        <charset val="134"/>
      </rPr>
      <t>日</t>
    </r>
    <phoneticPr fontId="4" type="noConversion"/>
  </si>
  <si>
    <r>
      <t>2</t>
    </r>
    <r>
      <rPr>
        <b/>
        <sz val="7"/>
        <color rgb="FF0070C0"/>
        <rFont val="宋体"/>
        <family val="3"/>
        <charset val="134"/>
      </rPr>
      <t>日</t>
    </r>
    <phoneticPr fontId="4" type="noConversion"/>
  </si>
  <si>
    <t>油浸金枪鱼</t>
  </si>
  <si>
    <t>1.1kg*12pkt</t>
  </si>
  <si>
    <t>川商（大連）貿易有限公司</t>
  </si>
  <si>
    <t>栄成嘉源食品有限公司</t>
  </si>
  <si>
    <t>混合色拉</t>
  </si>
  <si>
    <t>0.5kg*6pkt</t>
  </si>
  <si>
    <t>1kg*10pkt</t>
  </si>
  <si>
    <t>炸大蒜调味料（新）</t>
    <phoneticPr fontId="4" type="noConversion"/>
  </si>
  <si>
    <t>西冷牛排切片SA（新）</t>
    <phoneticPr fontId="4" type="noConversion"/>
  </si>
  <si>
    <t>熟虾尾（新）</t>
    <phoneticPr fontId="4" type="noConversion"/>
  </si>
  <si>
    <t>冷冻三文鱼块（新）</t>
    <phoneticPr fontId="4" type="noConversion"/>
  </si>
  <si>
    <t>鑫阿拉红椰果罐头</t>
  </si>
  <si>
    <t>0.12kg*50pc</t>
    <phoneticPr fontId="4" type="noConversion"/>
  </si>
  <si>
    <t>北京爱必思福国际贸易有限公司</t>
  </si>
  <si>
    <t>浙江太古可口可乐饮料有限公司</t>
  </si>
  <si>
    <t>冻鱿鱼</t>
  </si>
  <si>
    <t>0.6kg</t>
    <phoneticPr fontId="4" type="noConversion"/>
  </si>
  <si>
    <t>237启帆路二店</t>
  </si>
  <si>
    <t>意式肉酱</t>
    <phoneticPr fontId="4" type="noConversion"/>
  </si>
  <si>
    <t>上海香尚香食品有限公司</t>
  </si>
  <si>
    <t>萨莉亚特制沙拉酱</t>
  </si>
  <si>
    <t>仙波食品（浙江）有限公司</t>
  </si>
  <si>
    <t>妃群果芳红葡萄果汁饮料浓浆</t>
  </si>
  <si>
    <t>妃群果芳蔓越莓果汁饮料浓浆</t>
  </si>
  <si>
    <t>妃群果芳芒果果汁饮料浓浆</t>
  </si>
  <si>
    <t>妃群果芳柳橙果汁饮料浓浆</t>
  </si>
  <si>
    <t>乌拉特中旗青青草原羊业有限公司</t>
  </si>
  <si>
    <t>爱味客原味土豆泥</t>
  </si>
  <si>
    <t>樱桃番茄</t>
  </si>
  <si>
    <t>脆爽沙拉</t>
    <phoneticPr fontId="4" type="noConversion"/>
  </si>
  <si>
    <t>柏林沙拉（新）</t>
  </si>
  <si>
    <t>萨莉亚沙拉酱</t>
  </si>
  <si>
    <t>意文全脂牛奶</t>
  </si>
  <si>
    <t>烘炒咖啡豆</t>
  </si>
  <si>
    <t>亨氏（青岛）食品有限公司</t>
  </si>
  <si>
    <t>亨氏番茄调味酱</t>
  </si>
  <si>
    <t>白砂糖</t>
  </si>
  <si>
    <t>白糖包</t>
    <phoneticPr fontId="4" type="noConversion"/>
  </si>
  <si>
    <t>白沙司</t>
    <phoneticPr fontId="4" type="noConversion"/>
  </si>
  <si>
    <t>上海承祖食品有限公司</t>
  </si>
  <si>
    <t>泰州宝堰食品有限公司</t>
  </si>
  <si>
    <t>日邦食品（上海）有限公司</t>
  </si>
  <si>
    <t>好时巧克力浆</t>
  </si>
  <si>
    <t>披萨专用面团</t>
  </si>
  <si>
    <t>麻辣肉酱</t>
  </si>
  <si>
    <t>罗勒松子酱</t>
  </si>
  <si>
    <t>黑胡椒酱</t>
  </si>
  <si>
    <t>冻鱿鱼圈</t>
  </si>
  <si>
    <t>冻煮杂色蛤</t>
  </si>
  <si>
    <t>格益莎油浸金枪鱼袋包装</t>
  </si>
  <si>
    <t>芝士粉</t>
  </si>
  <si>
    <t>圆碟（白色）</t>
  </si>
  <si>
    <t>喜力啤酒</t>
  </si>
  <si>
    <t>330ml*24btl</t>
  </si>
  <si>
    <t>五目肠</t>
  </si>
  <si>
    <t>烟熏烤肠</t>
  </si>
  <si>
    <t>SLY烟熏香肠</t>
  </si>
  <si>
    <t>三旺实业有限公司</t>
  </si>
  <si>
    <t>萨莉亚冷冻小法棍600g</t>
    <phoneticPr fontId="4" type="noConversion"/>
  </si>
  <si>
    <t>246杭州延安路店</t>
  </si>
  <si>
    <t xml:space="preserve">朝一温泉蛋 </t>
  </si>
  <si>
    <t>朝一蛋品（上海）有限公司</t>
  </si>
  <si>
    <t>其它</t>
  </si>
  <si>
    <t>申美碳酸</t>
    <phoneticPr fontId="4" type="noConversion"/>
  </si>
  <si>
    <t>新香烤翅中</t>
    <rPh sb="0" eb="2">
      <t>ﾂｲｶ</t>
    </rPh>
    <phoneticPr fontId="107" type="noConversion"/>
  </si>
  <si>
    <t>1kg*12pkt</t>
    <phoneticPr fontId="4" type="noConversion"/>
  </si>
  <si>
    <t>长粒香大米</t>
  </si>
  <si>
    <t>原味鸡腿排</t>
    <rPh sb="0" eb="2">
      <t>ﾂｲｶ</t>
    </rPh>
    <phoneticPr fontId="108" type="noConversion"/>
  </si>
  <si>
    <t>萨莉亚鸡排串</t>
  </si>
  <si>
    <t>神明大米</t>
  </si>
  <si>
    <t>1.1kg*20</t>
  </si>
  <si>
    <t>成都荣町食品有限公司上海分公司</t>
  </si>
  <si>
    <t>奶油蘑菇汤</t>
  </si>
  <si>
    <t>锦州新和盛食品有限公司</t>
  </si>
  <si>
    <t>浙江宝立食品科技有限公司</t>
  </si>
  <si>
    <t>熠沣实业（上海）有限公司</t>
  </si>
  <si>
    <t>面包虾</t>
    <rPh sb="0" eb="2">
      <t>ﾂｲｶ</t>
    </rPh>
    <phoneticPr fontId="108" type="noConversion"/>
  </si>
  <si>
    <t>湛江国联水产开发股份有限公司</t>
  </si>
  <si>
    <t>怡然洋菠萝扇块罐头</t>
    <rPh sb="0" eb="2">
      <t>ﾂｲｶ</t>
    </rPh>
    <phoneticPr fontId="108" type="noConversion"/>
  </si>
  <si>
    <t>3kg*6can</t>
  </si>
  <si>
    <t>湛江怡然庄食品有限公司</t>
  </si>
  <si>
    <t>0.1kg*6pc</t>
  </si>
  <si>
    <t>干辣椒段</t>
  </si>
  <si>
    <t>河北乾亿食品股份有限公司</t>
  </si>
  <si>
    <t>小青菜</t>
  </si>
  <si>
    <t>262水产路二店</t>
  </si>
  <si>
    <t>263苏州御窑路店</t>
  </si>
  <si>
    <t>265苏州东吴南路店</t>
  </si>
  <si>
    <t>0.5kg</t>
    <phoneticPr fontId="4" type="noConversion"/>
  </si>
  <si>
    <t>266杭州世纪大道西店</t>
  </si>
  <si>
    <t>0.9kg*14pc</t>
  </si>
  <si>
    <t>宿州皇冠食品有限公司</t>
  </si>
  <si>
    <t>安丘福华食品有限公司</t>
  </si>
  <si>
    <t>上海长濑贸易有限公司</t>
  </si>
  <si>
    <t>内蒙古鑫蒙腾肉业有限公司</t>
  </si>
  <si>
    <t>1.08kg*12pkt</t>
  </si>
  <si>
    <t>0.16kg*50pc</t>
  </si>
  <si>
    <t>10L*2瓶</t>
    <phoneticPr fontId="4" type="noConversion"/>
  </si>
  <si>
    <t>辣西西里摩德纳黑醋</t>
  </si>
  <si>
    <t>Fattorie Giacobazzi srl</t>
  </si>
  <si>
    <t>0.5l</t>
  </si>
  <si>
    <t>广州萨莉亚食品有限公司</t>
  </si>
  <si>
    <t>速冻菠菜段</t>
    <rPh sb="0" eb="2">
      <t>ﾂｲｶ</t>
    </rPh>
    <phoneticPr fontId="0" type="noConversion"/>
  </si>
  <si>
    <t>速冻甜玉米粒</t>
  </si>
  <si>
    <t>山東三涛食品有限公司</t>
  </si>
  <si>
    <t>全店</t>
    <phoneticPr fontId="4" type="noConversion"/>
  </si>
  <si>
    <t xml:space="preserve">意大利面 </t>
  </si>
  <si>
    <t>上海萨莉亚餐饮有限公司</t>
  </si>
  <si>
    <t>La Molisana S.P.A</t>
  </si>
  <si>
    <t>275南京龙华路店</t>
  </si>
  <si>
    <t>276南京文景路店</t>
  </si>
  <si>
    <t>焦糖布丁</t>
  </si>
  <si>
    <t>菌菇调理包</t>
  </si>
  <si>
    <t>肉桂风味调味粉</t>
    <phoneticPr fontId="4" type="noConversion"/>
  </si>
  <si>
    <t>法式羊排</t>
    <phoneticPr fontId="4" type="noConversion"/>
  </si>
  <si>
    <t>泛泰番茄丁</t>
  </si>
  <si>
    <t xml:space="preserve">玉米浓汤 </t>
  </si>
  <si>
    <t>2.85kg*6can</t>
  </si>
  <si>
    <t>内蒙古联瑞农产品有限公司</t>
  </si>
  <si>
    <t>上海宝立食品科技股份有限公司</t>
  </si>
  <si>
    <t>冷冻西兰花</t>
  </si>
  <si>
    <t>278佘月路店（松江）</t>
  </si>
  <si>
    <t>0.5kg*16pc</t>
    <phoneticPr fontId="4" type="noConversion"/>
  </si>
  <si>
    <t>黄桃丁罐头（825g）</t>
  </si>
  <si>
    <t>0.825kg*24can</t>
  </si>
  <si>
    <t>椰果罐头（850g）</t>
  </si>
  <si>
    <t>0.85kg*12can</t>
  </si>
  <si>
    <t>150个/箱</t>
    <phoneticPr fontId="4" type="noConversion"/>
  </si>
  <si>
    <t>杭州洲际食品有限公司</t>
  </si>
  <si>
    <t>293徐家汇路店</t>
  </si>
  <si>
    <t>294苏州狮山路二店</t>
  </si>
  <si>
    <t>295鸿音路三店</t>
  </si>
  <si>
    <t>296永跃路二店</t>
  </si>
  <si>
    <t>凯达冷冻圆形薯饼</t>
  </si>
  <si>
    <t>2kg*5</t>
  </si>
  <si>
    <t>内蒙古薯都凯达食品有限公司</t>
  </si>
  <si>
    <t>半壳贻贝</t>
  </si>
  <si>
    <t>0.5kg*20pkt</t>
  </si>
  <si>
    <t>上海迎田食品有限公司</t>
    <phoneticPr fontId="4" type="noConversion"/>
  </si>
  <si>
    <t>一世一代（上海）食品有限公司</t>
    <phoneticPr fontId="4" type="noConversion"/>
  </si>
  <si>
    <t>屯河番茄丁</t>
  </si>
  <si>
    <t>中粮屯河（杭锦后旗）番茄制品有限公司</t>
  </si>
  <si>
    <t>蒜香黄油酱</t>
  </si>
  <si>
    <t>123地域</t>
  </si>
  <si>
    <t>4地域&amp;教育店铺&amp;123地域</t>
  </si>
  <si>
    <t>其它</t>
    <phoneticPr fontId="4" type="noConversion"/>
  </si>
  <si>
    <t>大丰英茂糖业有限公司</t>
  </si>
  <si>
    <t>承德倍斯特乳品有限公司</t>
  </si>
  <si>
    <t>露恬纯牛奶</t>
  </si>
  <si>
    <t>茄汁千层面</t>
  </si>
  <si>
    <t>0.1kg*64pc</t>
  </si>
  <si>
    <t>油炸饭团</t>
  </si>
  <si>
    <t>0.4kg*20pc</t>
  </si>
  <si>
    <t>山东丰龙食品有限公司</t>
  </si>
  <si>
    <t>卓典食品科技（江苏）有限公司</t>
  </si>
  <si>
    <t>大洋世家（舟山）优品有限公司</t>
  </si>
  <si>
    <t>上海盛科果蔬专业合作社</t>
  </si>
  <si>
    <t>湖南知味大师食品有限公司</t>
  </si>
  <si>
    <t>上海威铭食品有限公司第一分公司</t>
  </si>
  <si>
    <t>河北亿食特食品有限公司</t>
  </si>
  <si>
    <t>上海妙可蓝多食品科技股份有限公司</t>
  </si>
  <si>
    <t>妙可蓝多（天津）食品科技有限公司</t>
  </si>
  <si>
    <t>上海宝浓食品股份有限公司</t>
  </si>
  <si>
    <t>融滋合味（上海）科技有限公司</t>
  </si>
  <si>
    <t>合肥伊利乳业有限责任公司</t>
  </si>
  <si>
    <t>HERSHEY MALAYSIASDNBHD</t>
  </si>
  <si>
    <t>荣町（东港）农业科技有限公司</t>
  </si>
  <si>
    <t>烟台龙荣食品有限公司</t>
  </si>
  <si>
    <t>上海富升食品有限公司</t>
  </si>
  <si>
    <t>雪花啤酒（嘉善）有限公司</t>
  </si>
  <si>
    <t>福建圣农食品（浦城）有限公司</t>
  </si>
  <si>
    <t>曼可顿（上海）实业有限公司</t>
  </si>
  <si>
    <t>1kg*12pkt</t>
    <phoneticPr fontId="4" type="noConversion"/>
  </si>
  <si>
    <t>意式风干火腿</t>
  </si>
  <si>
    <t>0.04kg</t>
  </si>
  <si>
    <t>包</t>
    <phoneticPr fontId="4" type="noConversion"/>
  </si>
  <si>
    <t>马鞍山百瑞食品有限公司</t>
  </si>
  <si>
    <t>超薄脆比萨饼底</t>
  </si>
  <si>
    <t>15*4pc</t>
    <phoneticPr fontId="4" type="noConversion"/>
  </si>
  <si>
    <t>麦西恩食品（上海）有限公司</t>
  </si>
  <si>
    <t>304杭州景兴路店</t>
  </si>
  <si>
    <t>305长阳路二店</t>
  </si>
  <si>
    <t>双层手指饼提拉米苏蛋糕</t>
  </si>
  <si>
    <t>85g*8个/盒</t>
  </si>
  <si>
    <t>蒜蓉辣椒酱</t>
  </si>
  <si>
    <t>墨鱼复合调味汁</t>
  </si>
  <si>
    <t>200g*45袋</t>
  </si>
  <si>
    <t>贝贝罗尼意式萨拉米</t>
  </si>
  <si>
    <t xml:space="preserve">萨莉亚香酥鸡柳 </t>
  </si>
  <si>
    <t>蓝纹干酪制品酱</t>
  </si>
  <si>
    <t>0.5kg*20pc</t>
    <phoneticPr fontId="4" type="noConversion"/>
  </si>
  <si>
    <t>广州萨莉亚餐饮有限公司</t>
  </si>
  <si>
    <t xml:space="preserve">Lacto Asia Pte Ltd </t>
  </si>
  <si>
    <t>1kg*6pc</t>
    <phoneticPr fontId="4" type="noConversion"/>
  </si>
  <si>
    <t>冷冻薯块</t>
  </si>
  <si>
    <t>经典辣肠</t>
  </si>
  <si>
    <t>0.2kg*20pc</t>
  </si>
  <si>
    <t>土豆泥</t>
  </si>
  <si>
    <t>调理雪花牛肉粒</t>
  </si>
  <si>
    <t>0.15kg*80pc</t>
  </si>
  <si>
    <t>曼可顿面包干</t>
  </si>
  <si>
    <t>0.65kg*4pkt</t>
  </si>
  <si>
    <t>90g冷冻披萨面团</t>
  </si>
  <si>
    <t>0.09kg*100pc</t>
  </si>
  <si>
    <t>辣泡椒</t>
  </si>
  <si>
    <t>0.5kg*30pc</t>
  </si>
  <si>
    <t>贵州省贵三红食品有限公司</t>
  </si>
  <si>
    <t>2345地域</t>
    <phoneticPr fontId="4" type="noConversion"/>
  </si>
  <si>
    <t>太古碳酸（仅限浙江店铺用）</t>
  </si>
  <si>
    <t>冷冻意大利面</t>
    <phoneticPr fontId="4" type="noConversion"/>
  </si>
  <si>
    <t>200g*30</t>
    <phoneticPr fontId="4" type="noConversion"/>
  </si>
  <si>
    <t>青岛亚是加食品有限公司</t>
  </si>
  <si>
    <t>全店</t>
    <phoneticPr fontId="4" type="noConversion"/>
  </si>
  <si>
    <t>箱</t>
    <phoneticPr fontId="4" type="noConversion"/>
  </si>
  <si>
    <t>1678地域</t>
    <phoneticPr fontId="4" type="noConversion"/>
  </si>
  <si>
    <t>实验店</t>
    <phoneticPr fontId="4" type="noConversion"/>
  </si>
  <si>
    <t>利梭多粉</t>
  </si>
  <si>
    <t>可可粉</t>
  </si>
  <si>
    <t>包</t>
    <phoneticPr fontId="4" type="noConversion"/>
  </si>
  <si>
    <t>0.5kg</t>
    <phoneticPr fontId="4" type="noConversion"/>
  </si>
  <si>
    <t>33g*20包*20袋/箱</t>
  </si>
  <si>
    <t>启东欧瑞食品有限公司</t>
  </si>
  <si>
    <r>
      <rPr>
        <b/>
        <sz val="6"/>
        <color theme="1"/>
        <rFont val="宋体"/>
        <family val="3"/>
        <charset val="134"/>
      </rPr>
      <t>订货人姓名</t>
    </r>
    <r>
      <rPr>
        <b/>
        <sz val="6"/>
        <color rgb="FFFF0000"/>
        <rFont val="宋体"/>
        <family val="3"/>
        <charset val="134"/>
      </rPr>
      <t>↓</t>
    </r>
    <phoneticPr fontId="4" type="noConversion"/>
  </si>
  <si>
    <t>榴莲果肉</t>
    <phoneticPr fontId="4" type="noConversion"/>
  </si>
  <si>
    <t>Sunshine International Co., Ltd</t>
  </si>
  <si>
    <t>香酥鸡柳</t>
  </si>
  <si>
    <t>香酥翅中</t>
  </si>
  <si>
    <t>50*100g</t>
  </si>
  <si>
    <t>披萨酱</t>
  </si>
  <si>
    <t>500g*20袋</t>
  </si>
  <si>
    <t>0.1kg*40</t>
    <phoneticPr fontId="4" type="noConversion"/>
  </si>
  <si>
    <t>0.25kg</t>
    <phoneticPr fontId="4" type="noConversion"/>
  </si>
  <si>
    <t>包</t>
    <phoneticPr fontId="4" type="noConversion"/>
  </si>
  <si>
    <t>1kg</t>
    <phoneticPr fontId="4" type="noConversion"/>
  </si>
  <si>
    <t>上海粮满仓粮油发展有限公司</t>
    <phoneticPr fontId="4" type="noConversion"/>
  </si>
  <si>
    <t>赛沛弗科技发展（浙江）有限公司</t>
  </si>
  <si>
    <t>045巴黎春天宝山店（松江）</t>
  </si>
  <si>
    <t>050南京环亚店</t>
  </si>
  <si>
    <t>058莘庄龙之梦店（松江）</t>
  </si>
  <si>
    <t>059嘉亭荟</t>
  </si>
  <si>
    <t>065真光路二店</t>
  </si>
  <si>
    <t>067南京德盈店</t>
  </si>
  <si>
    <t>069宣化路店</t>
  </si>
  <si>
    <t>071长阳路店</t>
  </si>
  <si>
    <t>073金山百联店（松江）</t>
  </si>
  <si>
    <t>074香港名都（松江）</t>
  </si>
  <si>
    <t>080沪航公路店（松江）</t>
  </si>
  <si>
    <t>091永德生活广场店（松江）</t>
  </si>
  <si>
    <t>099苏州永旺店</t>
  </si>
  <si>
    <t>101松江万达（松江）</t>
  </si>
  <si>
    <t>129荣乐西路店（松江）</t>
  </si>
  <si>
    <t>134都市路店（松江）</t>
  </si>
  <si>
    <t>145江月路店（松江）</t>
  </si>
  <si>
    <t>147万荣路店（松江）</t>
  </si>
  <si>
    <t>149莘松路店（松江）</t>
  </si>
  <si>
    <t>152新松江路店（松江）</t>
  </si>
  <si>
    <t>165蒲汇路店（松江）</t>
  </si>
  <si>
    <t>169鹤庆路店（松江）</t>
  </si>
  <si>
    <t>174沪太路店（松江）</t>
  </si>
  <si>
    <t>176泗宝路店（松江）</t>
  </si>
  <si>
    <t>178龙皓路店（松江）</t>
  </si>
  <si>
    <t>179南京龙津路店</t>
  </si>
  <si>
    <t>182四川北路三店（松江）</t>
  </si>
  <si>
    <t>191归昌路店</t>
  </si>
  <si>
    <t>192妙境路店</t>
  </si>
  <si>
    <t>193南京葛关路店</t>
  </si>
  <si>
    <t>194南京仙林大道店</t>
  </si>
  <si>
    <t>195南京大桥北路店</t>
  </si>
  <si>
    <t>196申滨南路店</t>
  </si>
  <si>
    <t>197华泾路店（松江）</t>
  </si>
  <si>
    <t>198环城路店</t>
  </si>
  <si>
    <t>199金钻路店</t>
  </si>
  <si>
    <t>200都市路二店（松江）</t>
  </si>
  <si>
    <t>201周家嘴路店（松江）</t>
  </si>
  <si>
    <t>202长宁路二店</t>
  </si>
  <si>
    <t>203常州通江中路店</t>
  </si>
  <si>
    <t>204常州劳动西路店</t>
  </si>
  <si>
    <t>205金沙江路店</t>
  </si>
  <si>
    <t>206闸殷路店</t>
  </si>
  <si>
    <t>207光新路店</t>
  </si>
  <si>
    <t>208永跃路店（松江）</t>
  </si>
  <si>
    <t>209经地路店</t>
  </si>
  <si>
    <t>210沪南路店</t>
  </si>
  <si>
    <t>211剑川路店（松江）</t>
  </si>
  <si>
    <t>212零陵路二店</t>
  </si>
  <si>
    <t>213沪青平公路店</t>
  </si>
  <si>
    <t>214澄浏中路店</t>
  </si>
  <si>
    <t>215金科路店</t>
  </si>
  <si>
    <t>216南京潭园西路店</t>
  </si>
  <si>
    <t>217苏州江陵西路店</t>
  </si>
  <si>
    <t>218临沂路店</t>
  </si>
  <si>
    <t>219航南公路店（松江）</t>
  </si>
  <si>
    <t>220年家浜路二店</t>
  </si>
  <si>
    <t>221仙霞西路店</t>
  </si>
  <si>
    <t>222长清路店（松江）</t>
  </si>
  <si>
    <t>223无锡金石路店</t>
  </si>
  <si>
    <t>224张杨路四店</t>
  </si>
  <si>
    <t>225常州武宜北路店</t>
  </si>
  <si>
    <t>226川沙路二店</t>
  </si>
  <si>
    <t>227中山北二路店（松江）</t>
  </si>
  <si>
    <t>228杭州江汉路店</t>
  </si>
  <si>
    <t>229东方路店</t>
  </si>
  <si>
    <t>230苏州中山南路店</t>
  </si>
  <si>
    <t>231杭州乐提汇店</t>
  </si>
  <si>
    <t>232曹杨路二店</t>
  </si>
  <si>
    <t>233一二八纪念路店</t>
  </si>
  <si>
    <t>234泸定路店</t>
  </si>
  <si>
    <t>235无锡锡沪路店</t>
  </si>
  <si>
    <t>238富岩路店（松江）</t>
  </si>
  <si>
    <t>239共和新路二店（松江）</t>
  </si>
  <si>
    <t>240真北路二店</t>
  </si>
  <si>
    <t>241芳甸路店</t>
  </si>
  <si>
    <t>242成山路二店</t>
  </si>
  <si>
    <t>243杭州余杭塘路店</t>
  </si>
  <si>
    <t>244无锡梁溪路店</t>
  </si>
  <si>
    <t>245鸿音路二店</t>
  </si>
  <si>
    <t>247陈行公路二店（松江）</t>
  </si>
  <si>
    <t>248邯郸路二店</t>
  </si>
  <si>
    <t>249上南路三店</t>
  </si>
  <si>
    <t>250杭州古墩路店</t>
  </si>
  <si>
    <t>251杭州汇德隆印象城店</t>
  </si>
  <si>
    <t>252杭州丁城路店</t>
  </si>
  <si>
    <t>253通河路二店</t>
  </si>
  <si>
    <t>254广灵二路店</t>
  </si>
  <si>
    <t>255盈港路店</t>
  </si>
  <si>
    <t>256杭州丰潭路店</t>
  </si>
  <si>
    <t>257沪太路二店</t>
  </si>
  <si>
    <t>258广粤路店（松江）</t>
  </si>
  <si>
    <t>259百齐路二店（松江）</t>
  </si>
  <si>
    <t>260华山路店</t>
  </si>
  <si>
    <t>261苏州亭谊街店</t>
  </si>
  <si>
    <t>264莘松路二店（松江）</t>
  </si>
  <si>
    <t>267西藏北路店（松江）</t>
  </si>
  <si>
    <t>268南行港路店（松江）</t>
  </si>
  <si>
    <t>269杭州滨盛路店</t>
  </si>
  <si>
    <t>270杭州金沙大道店</t>
  </si>
  <si>
    <t>271杭州古墩路二店</t>
  </si>
  <si>
    <t>272南京北京东路二店</t>
  </si>
  <si>
    <t>273杭州隐秀路店</t>
  </si>
  <si>
    <t>274  353广场店</t>
  </si>
  <si>
    <t>277水产路四店</t>
  </si>
  <si>
    <t>279苏州劳动路店</t>
  </si>
  <si>
    <t>280大渡河路二店</t>
  </si>
  <si>
    <t>281无锡蠡湖大道店</t>
  </si>
  <si>
    <t>282漕宝路二店</t>
  </si>
  <si>
    <t>283鹤恒路店</t>
  </si>
  <si>
    <t>284仙霞西路二店</t>
  </si>
  <si>
    <t>285杭州杭行路店</t>
  </si>
  <si>
    <t>286天山路三店</t>
  </si>
  <si>
    <t>287七莘路三店</t>
  </si>
  <si>
    <t>288南京江东中路店</t>
  </si>
  <si>
    <t>289南京栖霞大道店</t>
  </si>
  <si>
    <t>290顾唐路店</t>
  </si>
  <si>
    <t>291杭州九沙大道店</t>
  </si>
  <si>
    <t>292申滨南路二店</t>
  </si>
  <si>
    <t>297苏州相城大道店</t>
  </si>
  <si>
    <t>298高科东路二店</t>
  </si>
  <si>
    <t>299南京光明路店</t>
  </si>
  <si>
    <t>300常州离宫路店</t>
  </si>
  <si>
    <t>301常州勤业路店</t>
  </si>
  <si>
    <t>302丰翔路店</t>
  </si>
  <si>
    <t>303铜川路二店</t>
  </si>
  <si>
    <t>306武宁路店</t>
  </si>
  <si>
    <t>307长宁路三店</t>
  </si>
  <si>
    <t>308玉树路店</t>
  </si>
  <si>
    <t>309松汇中路二店</t>
  </si>
  <si>
    <t>310南京向秀路店</t>
  </si>
  <si>
    <t>311沪太路四店</t>
  </si>
  <si>
    <t>312杭州延安路二店</t>
  </si>
  <si>
    <t>313南京双龙大道店</t>
  </si>
  <si>
    <t>314都市路三店</t>
  </si>
  <si>
    <t>315南京中央路店</t>
  </si>
  <si>
    <t>316西江湾路二店</t>
  </si>
  <si>
    <t>317宁波万象城店</t>
  </si>
  <si>
    <t>318无锡太湖大道店</t>
  </si>
  <si>
    <t>319世茂广场</t>
  </si>
  <si>
    <t>320南京安德门大街店</t>
  </si>
  <si>
    <t>321牡丹江路店</t>
  </si>
  <si>
    <t>322遵义路二店</t>
  </si>
  <si>
    <t>323世纪大道店</t>
  </si>
  <si>
    <t>324宁波天童南路店</t>
  </si>
  <si>
    <t>325陆家嘴西路二店</t>
  </si>
  <si>
    <t>326苏州苏绣路店</t>
  </si>
  <si>
    <t>327淞沪路店</t>
  </si>
  <si>
    <t>328闵虹路店</t>
  </si>
  <si>
    <t>329徐家汇路二店</t>
  </si>
  <si>
    <t>330东大名路店</t>
  </si>
  <si>
    <t>331古美路店</t>
  </si>
  <si>
    <t>332南京中山门大街店</t>
  </si>
  <si>
    <t>333同济路店</t>
  </si>
  <si>
    <t>华美裹粉鸡胗</t>
  </si>
  <si>
    <t>40g*20*12</t>
  </si>
  <si>
    <t>苏州欧福蛋液股份有限公司</t>
  </si>
  <si>
    <t>稀奶油</t>
  </si>
  <si>
    <t xml:space="preserve">8英寸薄脆比萨饼底 </t>
  </si>
  <si>
    <t>4pc*15</t>
  </si>
  <si>
    <t>小可颂</t>
  </si>
  <si>
    <t>20g*50pc</t>
  </si>
  <si>
    <t>55g*16*10pc</t>
  </si>
  <si>
    <t>黑椒牛肉片</t>
  </si>
  <si>
    <t>0.4kg*30</t>
  </si>
  <si>
    <t>百瑞猪肉卷</t>
  </si>
  <si>
    <t>600g*9pc</t>
  </si>
  <si>
    <t>500g*20pc</t>
    <phoneticPr fontId="4" type="noConversion"/>
  </si>
  <si>
    <t>150g*24btl</t>
    <phoneticPr fontId="4" type="noConversion"/>
  </si>
  <si>
    <t>黑松露风味酱</t>
    <phoneticPr fontId="4" type="noConversion"/>
  </si>
  <si>
    <t>明太子</t>
    <phoneticPr fontId="4" type="noConversion"/>
  </si>
  <si>
    <t>山东美佳集团有限公司市</t>
  </si>
  <si>
    <t>1kg*12</t>
    <phoneticPr fontId="4" type="noConversion"/>
  </si>
  <si>
    <t>1L*12</t>
    <phoneticPr fontId="4" type="noConversion"/>
  </si>
  <si>
    <t>0.5kg*10pc</t>
    <phoneticPr fontId="4" type="noConversion"/>
  </si>
  <si>
    <t>白桃乌龙（茶饮浓缩液）</t>
  </si>
  <si>
    <t>3L*4pc</t>
    <phoneticPr fontId="4" type="noConversion"/>
  </si>
  <si>
    <t>金绿源（中国）生物科技有限公司</t>
    <phoneticPr fontId="4" type="noConversion"/>
  </si>
  <si>
    <t>（组）巴氏杀菌冰全蛋</t>
    <phoneticPr fontId="4" type="noConversion"/>
  </si>
  <si>
    <t>970g*6</t>
    <phoneticPr fontId="4" type="noConversion"/>
  </si>
  <si>
    <t>组</t>
    <phoneticPr fontId="4" type="noConversion"/>
  </si>
  <si>
    <t>盒</t>
    <phoneticPr fontId="4" type="noConversion"/>
  </si>
  <si>
    <t>1234地域</t>
    <phoneticPr fontId="4" type="noConversion"/>
  </si>
  <si>
    <t>牛肝菌菌菇调理包</t>
    <phoneticPr fontId="4" type="noConversion"/>
  </si>
  <si>
    <t>威海佳康食品有限公司</t>
  </si>
  <si>
    <t>60g*4*4</t>
    <phoneticPr fontId="4" type="noConversion"/>
  </si>
  <si>
    <t>山东美佳集团有限公司</t>
    <phoneticPr fontId="4" type="noConversion"/>
  </si>
  <si>
    <t>泰州顶淳食品有限公司</t>
  </si>
  <si>
    <t>TENUTA POGGIO ALLA SALA SOCIETA' AGRICOLA SRL</t>
  </si>
  <si>
    <t>Cantine Riondo SpA</t>
  </si>
  <si>
    <t xml:space="preserve"> Hochwald Foods GmbH</t>
  </si>
  <si>
    <t>上海意文食品科技有限公司</t>
  </si>
  <si>
    <t>上海良龙粮油发展有限公司</t>
    <phoneticPr fontId="4" type="noConversion"/>
  </si>
  <si>
    <t>苏州康宝塑胶有限公司</t>
  </si>
  <si>
    <t>冷冻土豆泥</t>
    <phoneticPr fontId="4" type="noConversion"/>
  </si>
  <si>
    <t>1kg*10</t>
    <phoneticPr fontId="4" type="noConversion"/>
  </si>
  <si>
    <t>冷冻意式披萨</t>
  </si>
  <si>
    <t>山东匠造烘焙食品有限公司</t>
  </si>
  <si>
    <t>347余姚城东路店</t>
  </si>
  <si>
    <t xml:space="preserve">348绍兴解放南路店 </t>
  </si>
  <si>
    <t xml:space="preserve">349虹湾路店 </t>
  </si>
  <si>
    <t>350常州通江中路二店</t>
  </si>
  <si>
    <t>352新环西路店</t>
  </si>
  <si>
    <t>20pc*450g</t>
  </si>
  <si>
    <t>fallini formaggi s.r.l</t>
  </si>
  <si>
    <t>酥皮蛋糕</t>
    <phoneticPr fontId="4" type="noConversion"/>
  </si>
  <si>
    <t>110g*60pc</t>
    <phoneticPr fontId="4" type="noConversion"/>
  </si>
  <si>
    <t>箱</t>
    <phoneticPr fontId="4" type="noConversion"/>
  </si>
  <si>
    <t>彩椒丝</t>
    <phoneticPr fontId="4" type="noConversion"/>
  </si>
  <si>
    <t>0.2kg</t>
    <phoneticPr fontId="4" type="noConversion"/>
  </si>
  <si>
    <t>炸鱿鱼圈</t>
  </si>
  <si>
    <t>速冻甜青豆</t>
  </si>
  <si>
    <t>意式甜椒核桃酱</t>
  </si>
  <si>
    <t>海苔片2*35毫米</t>
  </si>
  <si>
    <t>500g*10pc</t>
  </si>
  <si>
    <t>1kg*4pc</t>
  </si>
  <si>
    <t>200g*20pc</t>
  </si>
  <si>
    <t>连云港明洋食品有限公司</t>
  </si>
  <si>
    <t>100g</t>
    <phoneticPr fontId="4" type="noConversion"/>
  </si>
  <si>
    <t>包</t>
    <phoneticPr fontId="4" type="noConversion"/>
  </si>
  <si>
    <t>萨莉亚原味鸡腿</t>
  </si>
  <si>
    <t>原味鸡胗串20g</t>
  </si>
  <si>
    <t>220g/枚*12枚/包*4包/箱</t>
  </si>
  <si>
    <t>20g/串*20串/袋*24袋/箱</t>
  </si>
  <si>
    <t>藤椒鸡胗串20g</t>
  </si>
  <si>
    <t>原味香肠A</t>
  </si>
  <si>
    <t>原味香肠</t>
  </si>
  <si>
    <t>酸汤鱼金汤料</t>
  </si>
  <si>
    <t>实验经典辣肠</t>
  </si>
  <si>
    <t>25g*40*10pc</t>
  </si>
  <si>
    <t>萨莉亚鸡米花</t>
  </si>
  <si>
    <t>博洛尼亚风味白肉酱</t>
  </si>
  <si>
    <t>500g*20pc</t>
  </si>
  <si>
    <t>薄脆茄红烤翅</t>
  </si>
  <si>
    <t>福建圣农食品(浦城)有限公司</t>
  </si>
  <si>
    <t>0.6kg*6pkt</t>
    <phoneticPr fontId="4" type="noConversion"/>
  </si>
  <si>
    <t>1kg*12pc</t>
    <phoneticPr fontId="4" type="noConversion"/>
  </si>
  <si>
    <t>苹果派</t>
  </si>
  <si>
    <t>Pan Surgelati Srl</t>
  </si>
  <si>
    <t>76g*7*4pc</t>
  </si>
  <si>
    <t>500g*18pc</t>
    <phoneticPr fontId="4" type="noConversion"/>
  </si>
  <si>
    <t>萨莉亚黑椒鸡腿</t>
    <phoneticPr fontId="4" type="noConversion"/>
  </si>
  <si>
    <t>凯达薯业冷冻小方形薯饼</t>
  </si>
  <si>
    <t>2KG*5包</t>
  </si>
  <si>
    <t>内蒙古薯都凯达食品有限公司报价单</t>
  </si>
  <si>
    <t>酱料碟</t>
  </si>
  <si>
    <t>66个</t>
  </si>
  <si>
    <t>原味香肠（长）</t>
    <phoneticPr fontId="4" type="noConversion"/>
  </si>
  <si>
    <t>免浆罗非鱼片</t>
    <phoneticPr fontId="4" type="noConversion"/>
  </si>
  <si>
    <t>广东国美水产食品有限公司</t>
  </si>
  <si>
    <t>23567地域</t>
  </si>
  <si>
    <t>江浙店铺（宁波余姚除外）</t>
  </si>
  <si>
    <t>2地域</t>
  </si>
  <si>
    <t>1,4,8,9,10地域</t>
  </si>
  <si>
    <t>上海店铺&amp;宁波余姚</t>
  </si>
  <si>
    <t>上海店铺及宁波余姚</t>
  </si>
  <si>
    <t>1，3-10地域</t>
  </si>
  <si>
    <t>上海店铺&amp;宁波余姚</t>
    <phoneticPr fontId="4" type="noConversion"/>
  </si>
  <si>
    <t>浙江店（嘉兴桐乡除外）</t>
    <phoneticPr fontId="4" type="noConversion"/>
  </si>
  <si>
    <t>南京常州扬州镇江泰州店</t>
    <phoneticPr fontId="4" type="noConversion"/>
  </si>
  <si>
    <t>1.1kg*10pc</t>
    <phoneticPr fontId="4" type="noConversion"/>
  </si>
  <si>
    <t>zz</t>
    <phoneticPr fontId="4" type="noConversion"/>
  </si>
  <si>
    <t>扁可颂面包</t>
  </si>
  <si>
    <t>辣西西-布拉塔干酪（迷你）</t>
  </si>
  <si>
    <t>FORMALACTIS S.r.L</t>
  </si>
  <si>
    <t>200g*8盒</t>
  </si>
  <si>
    <t>罗勒松子调味酱</t>
  </si>
  <si>
    <t>箱</t>
    <phoneticPr fontId="4" type="noConversion"/>
  </si>
  <si>
    <t>意式红烩鸡肉块</t>
  </si>
  <si>
    <t>赛罗牌黑甜醋调味酱</t>
  </si>
  <si>
    <t>多趣乐-巧克力碎牛奶冰激凌</t>
  </si>
  <si>
    <t>Dolceria Alba S.p.A.</t>
  </si>
  <si>
    <t>250g*48pc</t>
  </si>
  <si>
    <t>1瓶</t>
  </si>
  <si>
    <t>常温</t>
    <phoneticPr fontId="4" type="noConversion"/>
  </si>
  <si>
    <t>65g*12个</t>
    <phoneticPr fontId="4" type="noConversion"/>
  </si>
  <si>
    <t>双裕速冻甜玉米粒</t>
  </si>
  <si>
    <t>3KG×4 袋</t>
  </si>
  <si>
    <t>秦皇岛双裕食品制造有限公司</t>
  </si>
  <si>
    <t>速冻玉米粒（实验）</t>
  </si>
  <si>
    <t>Condimenteria SRL.</t>
  </si>
  <si>
    <t>原切谷饲安格斯西冷牛排</t>
  </si>
  <si>
    <t>150g*100pc</t>
    <phoneticPr fontId="4" type="noConversion"/>
  </si>
  <si>
    <t>萨莉亚餐巾纸</t>
  </si>
  <si>
    <t>100张*60包/箱</t>
  </si>
  <si>
    <t>合肥华资纸业有限公司</t>
  </si>
  <si>
    <t>5地域</t>
    <phoneticPr fontId="4" type="noConversion"/>
  </si>
  <si>
    <t>7地域</t>
    <phoneticPr fontId="4" type="noConversion"/>
  </si>
  <si>
    <t>5,7地域以外店铺</t>
    <phoneticPr fontId="4" type="noConversion"/>
  </si>
  <si>
    <t>薄荷巧克力味冰淇淋</t>
  </si>
  <si>
    <t>85g*9</t>
  </si>
  <si>
    <t>100g*20*6pc</t>
    <phoneticPr fontId="4" type="noConversion"/>
  </si>
  <si>
    <t>盒</t>
    <phoneticPr fontId="4" type="noConversion"/>
  </si>
  <si>
    <t>金牌红葡萄（糖浆）</t>
    <phoneticPr fontId="4" type="noConversion"/>
  </si>
  <si>
    <t xml:space="preserve">367三门路店 </t>
  </si>
  <si>
    <t>236永泰路店（松江）</t>
  </si>
  <si>
    <t>334宁波钱湖北路店</t>
  </si>
  <si>
    <t>335漕宝路三店</t>
  </si>
  <si>
    <t>336南京竹山路店</t>
  </si>
  <si>
    <t>337苏州苏震桃路二店</t>
  </si>
  <si>
    <t>338吉贝路店</t>
  </si>
  <si>
    <t>339张杨路五店</t>
  </si>
  <si>
    <t>340杭州启智街店</t>
  </si>
  <si>
    <t>341金海公路店</t>
  </si>
  <si>
    <t>342杭州通惠南路店</t>
  </si>
  <si>
    <t>343杭州余杭塘路二店</t>
  </si>
  <si>
    <t>344南京大壮观路店</t>
  </si>
  <si>
    <t>345南京中和路店</t>
  </si>
  <si>
    <t>346天钥桥路三店</t>
  </si>
  <si>
    <t>351江阴虹桥南路店</t>
  </si>
  <si>
    <t>353静安1788</t>
  </si>
  <si>
    <t>354扬州文昌中路店</t>
  </si>
  <si>
    <t>355嘉兴八佰伴店</t>
  </si>
  <si>
    <t>356扬州京华城路店</t>
  </si>
  <si>
    <t>357桐乡万象汇店</t>
  </si>
  <si>
    <t>358老沪闵路店</t>
  </si>
  <si>
    <t>359长寿路二店</t>
  </si>
  <si>
    <t>360杭州科城街店</t>
  </si>
  <si>
    <t>361镇江中山东路店</t>
  </si>
  <si>
    <t>362常熟东南大道店</t>
  </si>
  <si>
    <t>363德淳路店</t>
  </si>
  <si>
    <t>364樱花路店</t>
  </si>
  <si>
    <t>365淮海路三店</t>
  </si>
  <si>
    <t>366杭州崇杭街店</t>
  </si>
  <si>
    <t>368南通星湖大道店</t>
  </si>
  <si>
    <t>中粮屯河番茄有限公司</t>
  </si>
  <si>
    <t>妙可蓝多马苏里拉奶酪</t>
    <phoneticPr fontId="4" type="noConversion"/>
  </si>
  <si>
    <t>袁艳艳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</si>
</sst>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8">
    <numFmt numFmtId="6" formatCode="&quot;¥&quot;#,##0;[Red]&quot;¥&quot;\-#,##0"/>
    <numFmt numFmtId="7" formatCode="&quot;¥&quot;#,##0.00;&quot;¥&quot;\-#,##0.00"/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¥&quot;* #,##0_-;\-&quot;¥&quot;* #,##0_-;_-&quot;¥&quot;* &quot;-&quot;_-;_-@_-"/>
    <numFmt numFmtId="177" formatCode="_-* #,##0_-;\-* #,##0_-;_-* &quot;-&quot;_-;_-@_-"/>
    <numFmt numFmtId="178" formatCode="_-* #,##0.00_-;\-* #,##0.00_-;_-* &quot;-&quot;??_-;_-@_-"/>
    <numFmt numFmtId="179" formatCode="0_ ;[Red]\-0\ "/>
    <numFmt numFmtId="180" formatCode="0.00_);[Red]\(0.00\)"/>
    <numFmt numFmtId="181" formatCode="0.0_);[Red]\(0.0\)"/>
    <numFmt numFmtId="182" formatCode="0.00_ ;[Red]\-0.00\ "/>
    <numFmt numFmtId="183" formatCode="0_);[Red]\(0\)"/>
    <numFmt numFmtId="184" formatCode="m/d;@"/>
    <numFmt numFmtId="185" formatCode="_(* #,##0.00_);_(* \(#,##0.00\);_(* &quot;-&quot;??_);_(@_)"/>
    <numFmt numFmtId="186" formatCode="m/d\(aaa\)"/>
    <numFmt numFmtId="187" formatCode="#,##0_ ;[Red]&quot;¥&quot;\!\-#,##0&quot;¥&quot;\!\ "/>
    <numFmt numFmtId="188" formatCode="_ * #,##0_ ;_ * \-#,##0_ ;_ * \-_ ;_ @_ "/>
    <numFmt numFmtId="189" formatCode="_ * #,##0.00_ ;_ * \-#,##0.00_ ;_ * \-??_ ;_ @_ "/>
    <numFmt numFmtId="190" formatCode="#,##0;\-#,##0;&quot;-&quot;"/>
    <numFmt numFmtId="191" formatCode="&quot;$&quot;#,##0_);[Red]\(&quot;$&quot;#,##0\)"/>
    <numFmt numFmtId="192" formatCode="&quot;$&quot;#,##0.00_);[Red]\(&quot;$&quot;#,##0.00\)"/>
    <numFmt numFmtId="193" formatCode="_ [$€-2]* #,##0.00_ ;_ [$€-2]* \-#,##0.00_ ;_ [$€-2]* &quot;-&quot;??_ "/>
    <numFmt numFmtId="194" formatCode="#,##0.00;[Red]\(#,##0.00\)"/>
    <numFmt numFmtId="195" formatCode="&quot;$&quot;#,##0_);\(&quot;$&quot;#,##0\)"/>
    <numFmt numFmtId="196" formatCode="_ &quot;￥&quot;* #,##0.00_ ;_ &quot;￥&quot;* \-#,##0.00_ ;_ &quot;￥&quot;* &quot;-&quot;??_ ;_ @_ "/>
    <numFmt numFmtId="197" formatCode="_-&quot;$&quot;* #,##0.00_-;\-&quot;$&quot;* #,##0.00_-;_-&quot;$&quot;* &quot;-&quot;??_-;_-@_-"/>
    <numFmt numFmtId="198" formatCode="[$-404]e/m/d;@"/>
    <numFmt numFmtId="199" formatCode="yyyy/m/d;@"/>
    <numFmt numFmtId="200" formatCode="yy/m/d;@"/>
    <numFmt numFmtId="201" formatCode="0.00_ "/>
    <numFmt numFmtId="202" formatCode="#,##0_ "/>
    <numFmt numFmtId="203" formatCode="0_ "/>
    <numFmt numFmtId="204" formatCode="0.000_ "/>
    <numFmt numFmtId="205" formatCode="0.000_);[Red]\(0.000\)"/>
    <numFmt numFmtId="206" formatCode="[$-F800]dddd\,\ mmmm\ dd\,\ yyyy"/>
    <numFmt numFmtId="207" formatCode="[$-F400]h:mm:ss\ AM/PM"/>
  </numFmts>
  <fonts count="356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9"/>
      <color indexed="10"/>
      <name val="宋体"/>
      <family val="3"/>
      <charset val="134"/>
    </font>
    <font>
      <sz val="10"/>
      <color indexed="10"/>
      <name val="宋体"/>
      <family val="3"/>
      <charset val="134"/>
    </font>
    <font>
      <sz val="12"/>
      <name val="宋体"/>
      <family val="3"/>
      <charset val="134"/>
    </font>
    <font>
      <b/>
      <sz val="18"/>
      <color theme="3"/>
      <name val="宋体"/>
      <family val="2"/>
      <charset val="134"/>
      <scheme val="major"/>
    </font>
    <font>
      <sz val="11"/>
      <color rgb="FF006100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0"/>
      <color theme="1"/>
      <name val="宋体"/>
      <family val="3"/>
      <charset val="134"/>
    </font>
    <font>
      <sz val="8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20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color theme="1"/>
      <name val="宋体"/>
      <family val="2"/>
      <charset val="128"/>
      <scheme val="minor"/>
    </font>
    <font>
      <sz val="11"/>
      <color indexed="8"/>
      <name val="宋体"/>
      <family val="3"/>
      <charset val="128"/>
    </font>
    <font>
      <sz val="11"/>
      <color theme="1"/>
      <name val="宋体"/>
      <family val="3"/>
      <charset val="128"/>
      <scheme val="minor"/>
    </font>
    <font>
      <sz val="11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9"/>
      <name val="ＭＳ Ｐゴシック"/>
      <family val="2"/>
      <charset val="128"/>
    </font>
    <font>
      <sz val="11"/>
      <color indexed="9"/>
      <name val="Calibri"/>
      <family val="2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i/>
      <sz val="11"/>
      <color indexed="23"/>
      <name val="Calibri"/>
      <family val="2"/>
    </font>
    <font>
      <b/>
      <sz val="11"/>
      <color indexed="52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11"/>
      <color indexed="10"/>
      <name val="Calibri"/>
      <family val="2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17"/>
      <name val="Calibri"/>
      <family val="2"/>
    </font>
    <font>
      <sz val="10"/>
      <color indexed="17"/>
      <name val="宋体"/>
      <family val="3"/>
      <charset val="134"/>
    </font>
    <font>
      <sz val="11"/>
      <color indexed="20"/>
      <name val="Calibri"/>
      <family val="2"/>
    </font>
    <font>
      <sz val="10"/>
      <color indexed="20"/>
      <name val="宋体"/>
      <family val="3"/>
      <charset val="134"/>
    </font>
    <font>
      <b/>
      <sz val="11"/>
      <color indexed="8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name val="ＭＳ Ｐゴシック"/>
      <family val="2"/>
    </font>
    <font>
      <sz val="11"/>
      <color theme="1"/>
      <name val="MS PGothic"/>
      <family val="2"/>
    </font>
    <font>
      <sz val="10"/>
      <color theme="1"/>
      <name val="宋体"/>
      <family val="3"/>
      <charset val="134"/>
    </font>
    <font>
      <i/>
      <sz val="11"/>
      <color indexed="23"/>
      <name val="ＭＳ Ｐゴシック"/>
      <family val="2"/>
      <charset val="128"/>
    </font>
    <font>
      <u/>
      <sz val="10"/>
      <color theme="10"/>
      <name val="宋体"/>
      <family val="3"/>
      <charset val="134"/>
    </font>
    <font>
      <sz val="11"/>
      <color indexed="62"/>
      <name val="ＭＳ Ｐゴシック"/>
      <family val="2"/>
      <charset val="128"/>
    </font>
    <font>
      <sz val="10"/>
      <color indexed="10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1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52"/>
      <name val="Calibri"/>
      <family val="2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2"/>
      <charset val="128"/>
      <scheme val="minor"/>
    </font>
    <font>
      <sz val="10"/>
      <color theme="1"/>
      <name val="宋体"/>
      <family val="3"/>
      <charset val="134"/>
      <scheme val="minor"/>
    </font>
    <font>
      <sz val="11"/>
      <color rgb="FF9C0006"/>
      <name val="宋体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2"/>
      <name val="ＭＳ 明朝"/>
      <family val="3"/>
      <charset val="128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8"/>
      <name val="Sans EE"/>
      <family val="2"/>
    </font>
    <font>
      <sz val="12"/>
      <name val="Times New Roman"/>
      <family val="1"/>
    </font>
    <font>
      <sz val="12"/>
      <name val="ＭＳ 明朝"/>
      <family val="1"/>
      <charset val="128"/>
    </font>
    <font>
      <sz val="11"/>
      <color indexed="8"/>
      <name val="ＭＳ Ｐゴシック"/>
      <family val="2"/>
    </font>
    <font>
      <sz val="11"/>
      <color indexed="9"/>
      <name val="ＭＳ Ｐゴシック"/>
      <family val="3"/>
      <charset val="128"/>
    </font>
    <font>
      <sz val="11"/>
      <color indexed="9"/>
      <name val="ＭＳ Ｐゴシック"/>
      <family val="2"/>
    </font>
    <font>
      <sz val="10"/>
      <color indexed="9"/>
      <name val="宋体"/>
      <family val="3"/>
      <charset val="134"/>
    </font>
    <font>
      <sz val="11"/>
      <name val="ＭＳ Ｐゴシック"/>
      <family val="3"/>
      <charset val="128"/>
    </font>
    <font>
      <b/>
      <sz val="12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3"/>
      <charset val="128"/>
    </font>
    <font>
      <sz val="11"/>
      <color indexed="60"/>
      <name val="ＭＳ Ｐゴシック"/>
      <family val="2"/>
    </font>
    <font>
      <sz val="9"/>
      <name val="ＭＳ Ｐゴシック"/>
      <family val="2"/>
    </font>
    <font>
      <sz val="11"/>
      <color indexed="52"/>
      <name val="ＭＳ Ｐゴシック"/>
      <family val="3"/>
      <charset val="128"/>
    </font>
    <font>
      <sz val="11"/>
      <color indexed="52"/>
      <name val="ＭＳ Ｐゴシック"/>
      <family val="2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</font>
    <font>
      <sz val="11"/>
      <color indexed="8"/>
      <name val="宋体"/>
      <family val="2"/>
      <charset val="134"/>
    </font>
    <font>
      <sz val="11"/>
      <color theme="1"/>
      <name val="宋体"/>
      <family val="3"/>
      <charset val="134"/>
    </font>
    <font>
      <sz val="11"/>
      <color theme="1"/>
      <name val="ＭＳ Ｐゴシック"/>
      <family val="2"/>
      <charset val="128"/>
    </font>
    <font>
      <sz val="11"/>
      <color indexed="20"/>
      <name val="ＭＳ Ｐゴシック"/>
      <family val="2"/>
    </font>
    <font>
      <sz val="11"/>
      <color indexed="28"/>
      <name val="Calibri"/>
      <family val="2"/>
    </font>
    <font>
      <sz val="11"/>
      <color indexed="8"/>
      <name val="Tahoma"/>
      <family val="2"/>
    </font>
    <font>
      <b/>
      <sz val="11"/>
      <color indexed="63"/>
      <name val="ＭＳ Ｐゴシック"/>
      <family val="3"/>
      <charset val="128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8"/>
      <name val="ＭＳ Ｐゴシック"/>
      <family val="2"/>
    </font>
    <font>
      <b/>
      <sz val="10"/>
      <color indexed="52"/>
      <name val="宋体"/>
      <family val="3"/>
      <charset val="134"/>
    </font>
    <font>
      <b/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2"/>
    </font>
    <font>
      <b/>
      <sz val="10"/>
      <color indexed="9"/>
      <name val="宋体"/>
      <family val="3"/>
      <charset val="134"/>
    </font>
    <font>
      <b/>
      <sz val="15"/>
      <color indexed="56"/>
      <name val="ＭＳ Ｐゴシック"/>
      <family val="3"/>
      <charset val="128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3"/>
      <charset val="128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3"/>
      <charset val="128"/>
    </font>
    <font>
      <b/>
      <sz val="11"/>
      <color indexed="56"/>
      <name val="ＭＳ Ｐゴシック"/>
      <family val="2"/>
    </font>
    <font>
      <i/>
      <sz val="10"/>
      <color indexed="23"/>
      <name val="宋体"/>
      <family val="3"/>
      <charset val="134"/>
    </font>
    <font>
      <sz val="11"/>
      <color indexed="10"/>
      <name val="ＭＳ Ｐゴシック"/>
      <family val="3"/>
      <charset val="128"/>
    </font>
    <font>
      <sz val="11"/>
      <color indexed="10"/>
      <name val="ＭＳ Ｐゴシック"/>
      <family val="2"/>
    </font>
    <font>
      <sz val="10"/>
      <color indexed="52"/>
      <name val="宋体"/>
      <family val="3"/>
      <charset val="134"/>
    </font>
    <font>
      <sz val="11"/>
      <color indexed="17"/>
      <name val="ＭＳ Ｐゴシック"/>
      <family val="3"/>
      <charset val="128"/>
    </font>
    <font>
      <sz val="11"/>
      <color indexed="17"/>
      <name val="ＭＳ Ｐゴシック"/>
      <family val="2"/>
    </font>
    <font>
      <sz val="11"/>
      <color indexed="62"/>
      <name val="ＭＳ Ｐゴシック"/>
      <family val="3"/>
      <charset val="128"/>
    </font>
    <font>
      <sz val="11"/>
      <color indexed="62"/>
      <name val="ＭＳ Ｐゴシック"/>
      <family val="2"/>
    </font>
    <font>
      <sz val="10"/>
      <color indexed="60"/>
      <name val="宋体"/>
      <family val="3"/>
      <charset val="134"/>
    </font>
    <font>
      <b/>
      <sz val="10"/>
      <color indexed="63"/>
      <name val="宋体"/>
      <family val="3"/>
      <charset val="134"/>
    </font>
    <font>
      <sz val="10"/>
      <color indexed="62"/>
      <name val="宋体"/>
      <family val="3"/>
      <charset val="134"/>
    </font>
    <font>
      <i/>
      <sz val="11"/>
      <color indexed="23"/>
      <name val="ＭＳ Ｐゴシック"/>
      <family val="3"/>
      <charset val="128"/>
    </font>
    <font>
      <i/>
      <sz val="11"/>
      <color indexed="23"/>
      <name val="ＭＳ Ｐゴシック"/>
      <family val="2"/>
    </font>
    <font>
      <sz val="14"/>
      <name val="ＭＳ 明朝"/>
      <family val="3"/>
      <charset val="128"/>
    </font>
    <font>
      <sz val="12"/>
      <name val="宋体"/>
      <family val="3"/>
      <charset val="128"/>
    </font>
    <font>
      <sz val="12"/>
      <color indexed="8"/>
      <name val="新細明體"/>
      <family val="1"/>
      <charset val="136"/>
    </font>
    <font>
      <sz val="11"/>
      <color indexed="8"/>
      <name val="ＭＳ Ｐゴシック"/>
      <family val="3"/>
    </font>
    <font>
      <sz val="12"/>
      <color indexed="9"/>
      <name val="新細明體"/>
      <family val="1"/>
      <charset val="136"/>
    </font>
    <font>
      <sz val="11"/>
      <color indexed="9"/>
      <name val="ＭＳ Ｐゴシック"/>
      <family val="3"/>
    </font>
    <font>
      <sz val="10"/>
      <color indexed="8"/>
      <name val="Arial"/>
      <family val="2"/>
    </font>
    <font>
      <b/>
      <sz val="10"/>
      <color indexed="9"/>
      <name val="ＭＳ ゴシック"/>
      <family val="3"/>
    </font>
    <font>
      <b/>
      <sz val="8"/>
      <color indexed="9"/>
      <name val="ＭＳ ゴシック"/>
      <family val="3"/>
    </font>
    <font>
      <b/>
      <sz val="8"/>
      <color indexed="8"/>
      <name val="ＭＳ ゴシック"/>
      <family val="3"/>
    </font>
    <font>
      <sz val="10"/>
      <name val="MS Sans Serif"/>
      <family val="2"/>
    </font>
    <font>
      <sz val="9"/>
      <name val="Times New Roman"/>
      <family val="1"/>
    </font>
    <font>
      <b/>
      <sz val="10"/>
      <color indexed="8"/>
      <name val="ＭＳ ゴシック"/>
      <family val="3"/>
    </font>
    <font>
      <sz val="10"/>
      <name val="Arial"/>
      <family val="2"/>
      <charset val="134"/>
    </font>
    <font>
      <sz val="10"/>
      <color indexed="8"/>
      <name val="_x001b_$B#M#S_x001b_(B _x001b_$B%4%7%C%/_x001b_(B"/>
      <family val="1"/>
    </font>
    <font>
      <b/>
      <i/>
      <sz val="10"/>
      <color indexed="8"/>
      <name val="_x001b_$B#M#S_x001b_(B _x001b_$B%4%7%C%/_x001b_(B"/>
      <family val="1"/>
    </font>
    <font>
      <b/>
      <sz val="10"/>
      <color indexed="9"/>
      <name val="_x001b_$B#M#S_x001b_(B _x001b_$B%4%7%C%/_x001b_(B"/>
      <family val="1"/>
    </font>
    <font>
      <b/>
      <sz val="10"/>
      <color indexed="17"/>
      <name val="_x001b_$B#M#S_x001b_(B _x001b_$B%4%7%C%/_x001b_(B"/>
      <family val="1"/>
    </font>
    <font>
      <b/>
      <sz val="16"/>
      <color indexed="13"/>
      <name val="_x001b_$B#M#S_x001b_(B _x001b_$B%4%7%C%/_x001b_(B"/>
      <family val="1"/>
    </font>
    <font>
      <b/>
      <sz val="12"/>
      <color indexed="8"/>
      <name val="ＭＳ ゴシック"/>
      <family val="3"/>
    </font>
    <font>
      <sz val="8"/>
      <color indexed="16"/>
      <name val="Century Schoolbook"/>
      <family val="1"/>
    </font>
    <font>
      <sz val="8"/>
      <color indexed="8"/>
      <name val="ＭＳ ゴシック"/>
      <family val="3"/>
    </font>
    <font>
      <sz val="8"/>
      <color indexed="12"/>
      <name val="ＭＳ ゴシック"/>
      <family val="3"/>
    </font>
    <font>
      <b/>
      <i/>
      <sz val="10"/>
      <name val="Times New Roman"/>
      <family val="1"/>
    </font>
    <font>
      <sz val="8"/>
      <color indexed="8"/>
      <name val="Wingdings"/>
      <charset val="2"/>
    </font>
    <font>
      <u/>
      <sz val="11"/>
      <color indexed="12"/>
      <name val="ＭＳ Ｐゴシック"/>
      <family val="2"/>
      <charset val="128"/>
    </font>
    <font>
      <sz val="11"/>
      <name val="ＭＳ Ｐゴシック"/>
      <family val="2"/>
      <charset val="134"/>
    </font>
    <font>
      <b/>
      <sz val="15"/>
      <color indexed="56"/>
      <name val="ＭＳ Ｐゴシック"/>
      <family val="3"/>
    </font>
    <font>
      <b/>
      <sz val="13"/>
      <color indexed="56"/>
      <name val="ＭＳ Ｐゴシック"/>
      <family val="3"/>
    </font>
    <font>
      <b/>
      <sz val="11"/>
      <color indexed="56"/>
      <name val="ＭＳ Ｐゴシック"/>
      <family val="3"/>
    </font>
    <font>
      <b/>
      <sz val="18"/>
      <color indexed="56"/>
      <name val="ＭＳ Ｐゴシック"/>
      <family val="3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0"/>
      <name val="ＭＳ Ｐゴシック"/>
      <family val="2"/>
    </font>
    <font>
      <sz val="11"/>
      <color indexed="20"/>
      <name val="ＭＳ Ｐゴシック"/>
      <family val="3"/>
    </font>
    <font>
      <sz val="11"/>
      <color rgb="FF9C0006"/>
      <name val="宋体"/>
      <family val="3"/>
      <charset val="134"/>
      <scheme val="minor"/>
    </font>
    <font>
      <sz val="11"/>
      <color rgb="FF9C0006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1"/>
      <color indexed="17"/>
      <name val="ＭＳ Ｐゴシック"/>
      <family val="3"/>
    </font>
    <font>
      <sz val="11"/>
      <color rgb="FF006100"/>
      <name val="宋体"/>
      <family val="3"/>
      <charset val="134"/>
      <scheme val="minor"/>
    </font>
    <font>
      <sz val="11"/>
      <color indexed="17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rgb="FF006100"/>
      <name val="宋体"/>
      <family val="3"/>
      <charset val="134"/>
    </font>
    <font>
      <b/>
      <sz val="12"/>
      <color indexed="8"/>
      <name val="新細明體"/>
      <family val="1"/>
      <charset val="136"/>
    </font>
    <font>
      <sz val="12"/>
      <color theme="1"/>
      <name val="宋体"/>
      <family val="3"/>
      <charset val="128"/>
      <scheme val="minor"/>
    </font>
    <font>
      <sz val="10.75"/>
      <color indexed="8"/>
      <name val="Elite Expanded"/>
      <family val="2"/>
    </font>
    <font>
      <sz val="12"/>
      <color indexed="20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8"/>
      <name val="ＭＳ Ｐゴシック"/>
      <family val="3"/>
    </font>
    <font>
      <b/>
      <sz val="11"/>
      <color indexed="52"/>
      <name val="ＭＳ Ｐゴシック"/>
      <family val="3"/>
    </font>
    <font>
      <b/>
      <sz val="12"/>
      <color indexed="52"/>
      <name val="新細明體"/>
      <family val="1"/>
      <charset val="136"/>
    </font>
    <font>
      <b/>
      <sz val="11"/>
      <color indexed="9"/>
      <name val="ＭＳ Ｐゴシック"/>
      <family val="3"/>
    </font>
    <font>
      <b/>
      <sz val="12"/>
      <color indexed="9"/>
      <name val="新細明體"/>
      <family val="1"/>
      <charset val="136"/>
    </font>
    <font>
      <i/>
      <sz val="11"/>
      <color indexed="23"/>
      <name val="ＭＳ Ｐゴシック"/>
      <family val="3"/>
    </font>
    <font>
      <sz val="11"/>
      <color indexed="10"/>
      <name val="ＭＳ Ｐゴシック"/>
      <family val="3"/>
    </font>
    <font>
      <sz val="12"/>
      <color indexed="10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indexed="52"/>
      <name val="ＭＳ Ｐゴシック"/>
      <family val="3"/>
    </font>
    <font>
      <sz val="10.75"/>
      <color indexed="8"/>
      <name val="明朝"/>
      <family val="1"/>
      <charset val="128"/>
    </font>
    <font>
      <b/>
      <sz val="10.75"/>
      <color indexed="8"/>
      <name val="明朝"/>
      <family val="1"/>
      <charset val="128"/>
    </font>
    <font>
      <sz val="11"/>
      <color indexed="60"/>
      <name val="ＭＳ Ｐゴシック"/>
      <family val="3"/>
    </font>
    <font>
      <b/>
      <sz val="11"/>
      <color indexed="63"/>
      <name val="ＭＳ Ｐゴシック"/>
      <family val="3"/>
    </font>
    <font>
      <sz val="11"/>
      <color indexed="62"/>
      <name val="ＭＳ Ｐゴシック"/>
      <family val="3"/>
    </font>
    <font>
      <b/>
      <sz val="12"/>
      <color indexed="63"/>
      <name val="新細明體"/>
      <family val="1"/>
      <charset val="136"/>
    </font>
    <font>
      <sz val="12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4"/>
      <name val="ＭＳ 明朝"/>
      <family val="3"/>
    </font>
    <font>
      <sz val="14"/>
      <name val="ＭＳ 明朝"/>
      <family val="1"/>
    </font>
    <font>
      <sz val="10"/>
      <color indexed="1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sz val="11"/>
      <color theme="0"/>
      <name val="宋体"/>
      <family val="2"/>
      <charset val="128"/>
      <scheme val="minor"/>
    </font>
    <font>
      <sz val="10"/>
      <color indexed="8"/>
      <name val="Arial"/>
      <family val="2"/>
      <charset val="134"/>
    </font>
    <font>
      <b/>
      <sz val="12"/>
      <name val="Arial"/>
      <family val="2"/>
      <charset val="134"/>
    </font>
    <font>
      <b/>
      <sz val="18"/>
      <color theme="3"/>
      <name val="宋体"/>
      <family val="2"/>
      <charset val="128"/>
      <scheme val="major"/>
    </font>
    <font>
      <b/>
      <sz val="11"/>
      <color theme="0"/>
      <name val="宋体"/>
      <family val="2"/>
      <charset val="128"/>
      <scheme val="minor"/>
    </font>
    <font>
      <sz val="11"/>
      <color rgb="FF9C6500"/>
      <name val="宋体"/>
      <family val="2"/>
      <charset val="128"/>
      <scheme val="minor"/>
    </font>
    <font>
      <sz val="11"/>
      <color rgb="FFFA7D00"/>
      <name val="宋体"/>
      <family val="2"/>
      <charset val="128"/>
      <scheme val="minor"/>
    </font>
    <font>
      <sz val="11"/>
      <color indexed="8"/>
      <name val="ＭＳ Ｐゴシック"/>
      <family val="2"/>
      <charset val="134"/>
    </font>
    <font>
      <sz val="9"/>
      <name val="ＭＳ Ｐゴシック"/>
      <family val="2"/>
      <charset val="134"/>
    </font>
    <font>
      <b/>
      <sz val="11"/>
      <color rgb="FF3F3F3F"/>
      <name val="宋体"/>
      <family val="2"/>
      <charset val="128"/>
      <scheme val="minor"/>
    </font>
    <font>
      <b/>
      <sz val="11"/>
      <color theme="1"/>
      <name val="宋体"/>
      <family val="2"/>
      <charset val="128"/>
      <scheme val="minor"/>
    </font>
    <font>
      <b/>
      <sz val="11"/>
      <color rgb="FFFA7D00"/>
      <name val="宋体"/>
      <family val="2"/>
      <charset val="128"/>
      <scheme val="minor"/>
    </font>
    <font>
      <b/>
      <sz val="15"/>
      <color theme="3"/>
      <name val="宋体"/>
      <family val="2"/>
      <charset val="128"/>
      <scheme val="minor"/>
    </font>
    <font>
      <b/>
      <sz val="13"/>
      <color theme="3"/>
      <name val="宋体"/>
      <family val="2"/>
      <charset val="128"/>
      <scheme val="minor"/>
    </font>
    <font>
      <b/>
      <sz val="11"/>
      <color theme="3"/>
      <name val="宋体"/>
      <family val="2"/>
      <charset val="128"/>
      <scheme val="minor"/>
    </font>
    <font>
      <sz val="11"/>
      <color rgb="FFFF0000"/>
      <name val="宋体"/>
      <family val="2"/>
      <charset val="128"/>
      <scheme val="minor"/>
    </font>
    <font>
      <sz val="11"/>
      <color rgb="FF006100"/>
      <name val="宋体"/>
      <family val="2"/>
      <charset val="128"/>
      <scheme val="minor"/>
    </font>
    <font>
      <sz val="11"/>
      <color rgb="FF3F3F76"/>
      <name val="宋体"/>
      <family val="2"/>
      <charset val="128"/>
      <scheme val="minor"/>
    </font>
    <font>
      <i/>
      <sz val="11"/>
      <color rgb="FF7F7F7F"/>
      <name val="宋体"/>
      <family val="2"/>
      <charset val="128"/>
      <scheme val="minor"/>
    </font>
    <font>
      <sz val="14"/>
      <name val="ＭＳ 明朝"/>
      <family val="3"/>
      <charset val="134"/>
    </font>
    <font>
      <sz val="11"/>
      <color theme="0"/>
      <name val="宋体"/>
      <family val="3"/>
      <charset val="134"/>
      <scheme val="minor"/>
    </font>
    <font>
      <sz val="11"/>
      <color indexed="42"/>
      <name val="宋体"/>
      <family val="3"/>
      <charset val="134"/>
    </font>
    <font>
      <b/>
      <sz val="10"/>
      <name val="MS Sans Serif"/>
      <family val="2"/>
    </font>
    <font>
      <b/>
      <sz val="8"/>
      <name val="Arial"/>
      <family val="2"/>
    </font>
    <font>
      <sz val="8"/>
      <name val="Arial"/>
      <family val="2"/>
    </font>
    <font>
      <sz val="14"/>
      <name val="ＭＳ ゴシック"/>
      <family val="3"/>
      <charset val="128"/>
    </font>
    <font>
      <sz val="10"/>
      <name val="ＭＳ 明朝"/>
      <family val="3"/>
      <charset val="128"/>
    </font>
    <font>
      <sz val="12"/>
      <name val="??"/>
      <family val="2"/>
    </font>
    <font>
      <b/>
      <sz val="18"/>
      <color theme="3"/>
      <name val="宋体"/>
      <family val="3"/>
      <charset val="134"/>
      <scheme val="major"/>
    </font>
    <font>
      <b/>
      <sz val="11"/>
      <color theme="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0"/>
      <color theme="1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rgb="FFFA7D00"/>
      <name val="宋体"/>
      <family val="3"/>
      <charset val="134"/>
      <scheme val="minor"/>
    </font>
    <font>
      <b/>
      <sz val="15"/>
      <color indexed="62"/>
      <name val="宋体"/>
      <family val="3"/>
      <charset val="134"/>
    </font>
    <font>
      <b/>
      <sz val="15"/>
      <color theme="3"/>
      <name val="宋体"/>
      <family val="3"/>
      <charset val="134"/>
      <scheme val="minor"/>
    </font>
    <font>
      <b/>
      <sz val="13"/>
      <color indexed="62"/>
      <name val="宋体"/>
      <family val="3"/>
      <charset val="134"/>
    </font>
    <font>
      <b/>
      <sz val="13"/>
      <color theme="3"/>
      <name val="宋体"/>
      <family val="3"/>
      <charset val="134"/>
      <scheme val="minor"/>
    </font>
    <font>
      <b/>
      <sz val="11"/>
      <color indexed="62"/>
      <name val="宋体"/>
      <family val="3"/>
      <charset val="134"/>
    </font>
    <font>
      <b/>
      <sz val="11"/>
      <color theme="3"/>
      <name val="宋体"/>
      <family val="3"/>
      <charset val="134"/>
      <scheme val="minor"/>
    </font>
    <font>
      <b/>
      <sz val="18"/>
      <color indexed="62"/>
      <name val="宋体"/>
      <family val="3"/>
      <charset val="134"/>
    </font>
    <font>
      <sz val="10"/>
      <color theme="1"/>
      <name val="Meiryo UI"/>
      <family val="2"/>
      <charset val="128"/>
    </font>
    <font>
      <sz val="12"/>
      <color indexed="20"/>
      <name val="宋体"/>
      <family val="3"/>
      <charset val="134"/>
    </font>
    <font>
      <u/>
      <sz val="10.199999999999999"/>
      <color indexed="12"/>
      <name val="宋体"/>
      <family val="3"/>
      <charset val="134"/>
    </font>
    <font>
      <u/>
      <sz val="12"/>
      <color indexed="12"/>
      <name val="宋体"/>
      <family val="3"/>
      <charset val="128"/>
    </font>
    <font>
      <u/>
      <sz val="12"/>
      <color theme="10"/>
      <name val="宋体"/>
      <family val="3"/>
      <charset val="134"/>
    </font>
    <font>
      <sz val="12"/>
      <color indexed="17"/>
      <name val="宋体"/>
      <family val="3"/>
      <charset val="134"/>
    </font>
    <font>
      <u/>
      <sz val="15"/>
      <color indexed="36"/>
      <name val="宋体"/>
      <family val="3"/>
      <charset val="134"/>
    </font>
    <font>
      <b/>
      <sz val="11"/>
      <color indexed="42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i/>
      <sz val="12"/>
      <color indexed="23"/>
      <name val="宋体"/>
      <family val="3"/>
      <charset val="134"/>
    </font>
    <font>
      <sz val="12"/>
      <color indexed="60"/>
      <name val="宋体"/>
      <family val="3"/>
      <charset val="134"/>
    </font>
    <font>
      <sz val="12"/>
      <color theme="1"/>
      <name val="宋体"/>
      <family val="2"/>
      <charset val="136"/>
      <scheme val="minor"/>
    </font>
    <font>
      <sz val="11"/>
      <color indexed="8"/>
      <name val="宋体"/>
      <family val="3"/>
      <charset val="136"/>
    </font>
    <font>
      <sz val="11"/>
      <color theme="0"/>
      <name val="宋体"/>
      <family val="3"/>
      <charset val="128"/>
      <scheme val="minor"/>
    </font>
    <font>
      <sz val="10"/>
      <name val="ＭＳ Ｐゴシック"/>
      <family val="3"/>
    </font>
    <font>
      <sz val="11"/>
      <color rgb="FF0061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8"/>
      <color theme="3"/>
      <name val="宋体"/>
      <family val="3"/>
      <charset val="128"/>
      <scheme val="major"/>
    </font>
    <font>
      <b/>
      <sz val="11"/>
      <color theme="0"/>
      <name val="宋体"/>
      <family val="3"/>
      <charset val="128"/>
      <scheme val="minor"/>
    </font>
    <font>
      <sz val="11"/>
      <color rgb="FF9C6500"/>
      <name val="宋体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宋体"/>
      <family val="3"/>
      <charset val="136"/>
    </font>
    <font>
      <sz val="11"/>
      <color indexed="8"/>
      <name val="新細明體"/>
      <family val="1"/>
      <charset val="136"/>
    </font>
    <font>
      <sz val="9"/>
      <name val="ＭＳ Ｐゴシック"/>
      <family val="3"/>
      <charset val="128"/>
    </font>
    <font>
      <sz val="11"/>
      <color rgb="FFFA7D00"/>
      <name val="宋体"/>
      <family val="3"/>
      <charset val="128"/>
      <scheme val="minor"/>
    </font>
    <font>
      <sz val="12"/>
      <name val="宋体"/>
      <family val="3"/>
      <charset val="136"/>
    </font>
    <font>
      <sz val="12"/>
      <color theme="1"/>
      <name val="宋体"/>
      <family val="1"/>
      <charset val="136"/>
      <scheme val="minor"/>
    </font>
    <font>
      <sz val="10"/>
      <color theme="1"/>
      <name val="Tahoma"/>
      <family val="2"/>
    </font>
    <font>
      <sz val="10"/>
      <color theme="1"/>
      <name val="MS PGothic"/>
      <family val="3"/>
    </font>
    <font>
      <sz val="11"/>
      <name val="ＭＳ 明朝"/>
      <family val="1"/>
      <charset val="128"/>
    </font>
    <font>
      <sz val="10"/>
      <color indexed="20"/>
      <name val="宋体"/>
      <family val="3"/>
      <charset val="136"/>
    </font>
    <font>
      <sz val="11"/>
      <color indexed="20"/>
      <name val="宋体"/>
      <family val="3"/>
      <charset val="136"/>
    </font>
    <font>
      <b/>
      <sz val="11"/>
      <color rgb="FF3F3F3F"/>
      <name val="宋体"/>
      <family val="3"/>
      <charset val="128"/>
      <scheme val="minor"/>
    </font>
    <font>
      <sz val="11"/>
      <color rgb="FF9C0006"/>
      <name val="宋体"/>
      <family val="3"/>
      <charset val="128"/>
      <scheme val="minor"/>
    </font>
    <font>
      <sz val="11"/>
      <color indexed="17"/>
      <name val="宋体"/>
      <family val="3"/>
      <charset val="136"/>
    </font>
    <font>
      <sz val="10"/>
      <color indexed="17"/>
      <name val="宋体"/>
      <family val="3"/>
      <charset val="136"/>
    </font>
    <font>
      <sz val="8"/>
      <color theme="1"/>
      <name val="MS PGothic"/>
      <family val="3"/>
    </font>
    <font>
      <b/>
      <sz val="11"/>
      <color indexed="8"/>
      <name val="宋体"/>
      <family val="3"/>
      <charset val="136"/>
    </font>
    <font>
      <b/>
      <sz val="11"/>
      <color theme="1"/>
      <name val="宋体"/>
      <family val="3"/>
      <charset val="128"/>
      <scheme val="minor"/>
    </font>
    <font>
      <b/>
      <sz val="11"/>
      <color indexed="52"/>
      <name val="宋体"/>
      <family val="3"/>
      <charset val="136"/>
    </font>
    <font>
      <b/>
      <sz val="11"/>
      <color rgb="FFFA7D00"/>
      <name val="宋体"/>
      <family val="3"/>
      <charset val="128"/>
      <scheme val="minor"/>
    </font>
    <font>
      <b/>
      <sz val="15"/>
      <color theme="3"/>
      <name val="宋体"/>
      <family val="3"/>
      <charset val="128"/>
      <scheme val="minor"/>
    </font>
    <font>
      <b/>
      <sz val="13"/>
      <color theme="3"/>
      <name val="宋体"/>
      <family val="3"/>
      <charset val="128"/>
      <scheme val="minor"/>
    </font>
    <font>
      <b/>
      <sz val="11"/>
      <color theme="3"/>
      <name val="宋体"/>
      <family val="3"/>
      <charset val="128"/>
      <scheme val="minor"/>
    </font>
    <font>
      <sz val="11"/>
      <color rgb="FFFF0000"/>
      <name val="宋体"/>
      <family val="3"/>
      <charset val="128"/>
      <scheme val="minor"/>
    </font>
    <font>
      <sz val="11"/>
      <color rgb="FF006100"/>
      <name val="宋体"/>
      <family val="3"/>
      <charset val="128"/>
      <scheme val="minor"/>
    </font>
    <font>
      <sz val="11"/>
      <color rgb="FF3F3F76"/>
      <name val="宋体"/>
      <family val="3"/>
      <charset val="128"/>
      <scheme val="minor"/>
    </font>
    <font>
      <b/>
      <sz val="11"/>
      <color indexed="63"/>
      <name val="宋体"/>
      <family val="3"/>
      <charset val="136"/>
    </font>
    <font>
      <sz val="11"/>
      <color indexed="62"/>
      <name val="宋体"/>
      <family val="3"/>
      <charset val="136"/>
    </font>
    <font>
      <i/>
      <sz val="11"/>
      <color rgb="FF7F7F7F"/>
      <name val="宋体"/>
      <family val="3"/>
      <charset val="128"/>
      <scheme val="minor"/>
    </font>
    <font>
      <sz val="11"/>
      <color theme="1"/>
      <name val="宋体"/>
      <family val="1"/>
      <charset val="136"/>
      <scheme val="minor"/>
    </font>
    <font>
      <sz val="12"/>
      <color rgb="FFFF0000"/>
      <name val="宋体"/>
      <family val="3"/>
      <charset val="134"/>
    </font>
    <font>
      <sz val="8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7"/>
      <color theme="1"/>
      <name val="宋体"/>
      <family val="3"/>
      <charset val="134"/>
    </font>
    <font>
      <b/>
      <sz val="9"/>
      <color rgb="FFFF0000"/>
      <name val="Arial"/>
      <family val="2"/>
    </font>
    <font>
      <b/>
      <sz val="8"/>
      <color rgb="FFFF0000"/>
      <name val="宋体"/>
      <family val="3"/>
      <charset val="134"/>
    </font>
    <font>
      <b/>
      <sz val="9"/>
      <color rgb="FFFF0000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6"/>
      <color rgb="FFFF0000"/>
      <name val="宋体"/>
      <family val="3"/>
      <charset val="134"/>
    </font>
    <font>
      <b/>
      <sz val="10"/>
      <color rgb="FF0070C0"/>
      <name val="宋体"/>
      <family val="3"/>
      <charset val="134"/>
    </font>
    <font>
      <b/>
      <sz val="10"/>
      <name val="宋体"/>
      <family val="3"/>
      <charset val="134"/>
    </font>
    <font>
      <b/>
      <sz val="8"/>
      <name val="宋体"/>
      <family val="3"/>
      <charset val="134"/>
    </font>
    <font>
      <sz val="6"/>
      <color theme="1"/>
      <name val="宋体"/>
      <family val="3"/>
      <charset val="134"/>
    </font>
    <font>
      <b/>
      <sz val="8"/>
      <color theme="1"/>
      <name val="宋体"/>
      <family val="3"/>
      <charset val="134"/>
    </font>
    <font>
      <sz val="8"/>
      <color rgb="FFFF0000"/>
      <name val="宋体"/>
      <family val="3"/>
      <charset val="134"/>
    </font>
    <font>
      <sz val="8"/>
      <color theme="0"/>
      <name val="宋体"/>
      <family val="3"/>
      <charset val="134"/>
    </font>
    <font>
      <b/>
      <sz val="7"/>
      <color rgb="FFFF0000"/>
      <name val="Arial"/>
      <family val="2"/>
    </font>
    <font>
      <b/>
      <sz val="7"/>
      <color rgb="FFFF0000"/>
      <name val="宋体"/>
      <family val="3"/>
      <charset val="134"/>
    </font>
    <font>
      <b/>
      <sz val="16"/>
      <color rgb="FFFF0000"/>
      <name val="宋体"/>
      <family val="3"/>
      <charset val="134"/>
    </font>
    <font>
      <sz val="7"/>
      <color rgb="FFFF0000"/>
      <name val="宋体"/>
      <family val="3"/>
      <charset val="134"/>
    </font>
    <font>
      <sz val="7"/>
      <name val="宋体"/>
      <family val="3"/>
      <charset val="134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7"/>
      <color theme="1"/>
      <name val="宋体"/>
      <family val="3"/>
      <charset val="134"/>
    </font>
    <font>
      <b/>
      <sz val="7"/>
      <color rgb="FF0070C0"/>
      <name val="宋体"/>
      <family val="3"/>
      <charset val="134"/>
    </font>
    <font>
      <b/>
      <sz val="7"/>
      <name val="宋体"/>
      <family val="3"/>
      <charset val="134"/>
    </font>
    <font>
      <b/>
      <u val="double"/>
      <sz val="7"/>
      <color rgb="FFFF0000"/>
      <name val="宋体"/>
      <family val="3"/>
      <charset val="134"/>
    </font>
    <font>
      <b/>
      <u val="double"/>
      <sz val="7"/>
      <color rgb="FF00B0F0"/>
      <name val="宋体"/>
      <family val="3"/>
      <charset val="134"/>
    </font>
    <font>
      <b/>
      <sz val="7"/>
      <color rgb="FF0070C0"/>
      <name val="Arial"/>
      <family val="2"/>
    </font>
    <font>
      <sz val="7"/>
      <color rgb="FF0070C0"/>
      <name val="宋体"/>
      <family val="3"/>
      <charset val="134"/>
    </font>
    <font>
      <b/>
      <sz val="7"/>
      <color rgb="FFC00000"/>
      <name val="宋体"/>
      <family val="3"/>
      <charset val="134"/>
    </font>
    <font>
      <b/>
      <sz val="14"/>
      <color rgb="FFFF0000"/>
      <name val="宋体"/>
      <family val="3"/>
      <charset val="134"/>
    </font>
    <font>
      <b/>
      <sz val="8"/>
      <color theme="1"/>
      <name val="Arial"/>
      <family val="2"/>
    </font>
    <font>
      <b/>
      <sz val="14"/>
      <color rgb="FFFF0000"/>
      <name val="Arial"/>
      <family val="2"/>
    </font>
    <font>
      <b/>
      <sz val="8"/>
      <color rgb="FF0070C0"/>
      <name val="宋体"/>
      <family val="3"/>
      <charset val="134"/>
    </font>
    <font>
      <sz val="12"/>
      <color theme="1"/>
      <name val="宋体"/>
      <family val="3"/>
      <charset val="134"/>
    </font>
    <font>
      <sz val="7"/>
      <color rgb="FF002060"/>
      <name val="宋体"/>
      <family val="3"/>
      <charset val="134"/>
    </font>
    <font>
      <b/>
      <sz val="6"/>
      <color theme="1"/>
      <name val="宋体"/>
      <family val="3"/>
      <charset val="134"/>
    </font>
    <font>
      <sz val="6"/>
      <color rgb="FFFF0000"/>
      <name val="宋体"/>
      <family val="3"/>
      <charset val="134"/>
    </font>
    <font>
      <b/>
      <sz val="7"/>
      <color rgb="FF002060"/>
      <name val="宋体"/>
      <family val="3"/>
      <charset val="134"/>
    </font>
    <font>
      <sz val="7"/>
      <name val="宋体"/>
      <family val="3"/>
      <charset val="134"/>
      <scheme val="major"/>
    </font>
    <font>
      <sz val="9"/>
      <name val="宋体"/>
      <family val="3"/>
      <charset val="134"/>
      <scheme val="minor"/>
    </font>
  </fonts>
  <fills count="11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31"/>
        <bgColor indexed="22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38"/>
        <bgColor indexed="57"/>
      </patternFill>
    </fill>
    <fill>
      <patternFill patternType="solid">
        <fgColor indexed="51"/>
        <bgColor indexed="13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26"/>
        <bgColor indexed="9"/>
      </patternFill>
    </fill>
    <fill>
      <patternFill patternType="solid">
        <fgColor indexed="2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DEDB3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43E9FB"/>
        <bgColor indexed="64"/>
      </patternFill>
    </fill>
    <fill>
      <patternFill patternType="solid">
        <fgColor rgb="FF40F5F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5D7FF"/>
        <bgColor indexed="64"/>
      </patternFill>
    </fill>
    <fill>
      <patternFill patternType="solid">
        <fgColor rgb="FF00FF00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rgb="FF0070C0"/>
      </left>
      <right style="thin">
        <color rgb="FF0070C0"/>
      </right>
      <top style="dashed">
        <color rgb="FF0070C0"/>
      </top>
      <bottom style="dashed">
        <color rgb="FF0070C0"/>
      </bottom>
      <diagonal/>
    </border>
    <border>
      <left style="thin">
        <color rgb="FF0070C0"/>
      </left>
      <right style="thin">
        <color rgb="FF0070C0"/>
      </right>
      <top style="dashed">
        <color rgb="FF0070C0"/>
      </top>
      <bottom style="dashed">
        <color rgb="FF0070C0"/>
      </bottom>
      <diagonal/>
    </border>
    <border>
      <left style="thin">
        <color rgb="FF0070C0"/>
      </left>
      <right style="medium">
        <color rgb="FF0070C0"/>
      </right>
      <top style="dashed">
        <color rgb="FF0070C0"/>
      </top>
      <bottom style="dashed">
        <color rgb="FF0070C0"/>
      </bottom>
      <diagonal/>
    </border>
    <border>
      <left style="medium">
        <color rgb="FF0070C0"/>
      </left>
      <right style="thin">
        <color rgb="FF0070C0"/>
      </right>
      <top style="dashed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dashed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dashed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 style="dashed">
        <color rgb="FF0070C0"/>
      </bottom>
      <diagonal/>
    </border>
    <border>
      <left style="thin">
        <color rgb="FF0070C0"/>
      </left>
      <right style="medium">
        <color rgb="FF0070C0"/>
      </right>
      <top/>
      <bottom style="dashed">
        <color rgb="FF0070C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double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double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double">
        <color rgb="FF0070C0"/>
      </bottom>
      <diagonal/>
    </border>
    <border>
      <left style="thin">
        <color rgb="FF0070C0"/>
      </left>
      <right/>
      <top style="medium">
        <color rgb="FF0070C0"/>
      </top>
      <bottom style="double">
        <color rgb="FF0070C0"/>
      </bottom>
      <diagonal/>
    </border>
    <border>
      <left/>
      <right style="thin">
        <color rgb="FF0070C0"/>
      </right>
      <top style="medium">
        <color rgb="FF0070C0"/>
      </top>
      <bottom style="double">
        <color rgb="FF0070C0"/>
      </bottom>
      <diagonal/>
    </border>
    <border>
      <left/>
      <right/>
      <top style="medium">
        <color rgb="FF0070C0"/>
      </top>
      <bottom style="double">
        <color rgb="FF0070C0"/>
      </bottom>
      <diagonal/>
    </border>
    <border>
      <left style="medium">
        <color rgb="FF0070C0"/>
      </left>
      <right/>
      <top style="medium">
        <color rgb="FF0070C0"/>
      </top>
      <bottom style="dashed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dashed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dashed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52">
    <xf numFmtId="0" fontId="0" fillId="0" borderId="0"/>
    <xf numFmtId="0" fontId="8" fillId="0" borderId="0"/>
    <xf numFmtId="0" fontId="17" fillId="0" borderId="0"/>
    <xf numFmtId="43" fontId="8" fillId="0" borderId="0" applyFont="0" applyFill="0" applyBorder="0" applyAlignment="0" applyProtection="0">
      <alignment vertical="center"/>
    </xf>
    <xf numFmtId="0" fontId="2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/>
    <xf numFmtId="0" fontId="8" fillId="0" borderId="0">
      <alignment vertical="top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0" borderId="0" applyNumberFormat="0" applyFill="0" applyBorder="0" applyAlignment="0" applyProtection="0">
      <alignment vertical="top"/>
      <protection locked="0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185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33" fillId="0" borderId="0">
      <alignment vertical="center"/>
    </xf>
    <xf numFmtId="0" fontId="3" fillId="0" borderId="0"/>
    <xf numFmtId="0" fontId="8" fillId="0" borderId="0">
      <alignment vertical="center"/>
    </xf>
    <xf numFmtId="9" fontId="3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34" fillId="45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46" borderId="0" applyNumberFormat="0" applyBorder="0" applyAlignment="0" applyProtection="0"/>
    <xf numFmtId="0" fontId="34" fillId="49" borderId="0" applyNumberFormat="0" applyBorder="0" applyAlignment="0" applyProtection="0"/>
    <xf numFmtId="0" fontId="34" fillId="52" borderId="0" applyNumberFormat="0" applyBorder="0" applyAlignment="0" applyProtection="0"/>
    <xf numFmtId="0" fontId="35" fillId="53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6" fillId="53" borderId="0" applyNumberFormat="0" applyBorder="0" applyAlignment="0" applyProtection="0"/>
    <xf numFmtId="0" fontId="36" fillId="50" borderId="0" applyNumberFormat="0" applyBorder="0" applyAlignment="0" applyProtection="0"/>
    <xf numFmtId="0" fontId="36" fillId="51" borderId="0" applyNumberFormat="0" applyBorder="0" applyAlignment="0" applyProtection="0"/>
    <xf numFmtId="0" fontId="36" fillId="54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8" fillId="0" borderId="0">
      <alignment vertical="center"/>
    </xf>
    <xf numFmtId="0" fontId="8" fillId="0" borderId="0">
      <alignment vertical="top"/>
    </xf>
    <xf numFmtId="0" fontId="35" fillId="57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3" fillId="63" borderId="20" applyNumberFormat="0" applyFont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/>
    <xf numFmtId="0" fontId="43" fillId="64" borderId="22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43" fontId="3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43" borderId="0" applyNumberFormat="0" applyBorder="0" applyAlignment="0" applyProtection="0"/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1" fillId="42" borderId="0" applyNumberFormat="0" applyBorder="0" applyAlignment="0" applyProtection="0"/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54" fillId="64" borderId="27" applyNumberFormat="0" applyAlignment="0" applyProtection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/>
    <xf numFmtId="0" fontId="8" fillId="0" borderId="0"/>
    <xf numFmtId="0" fontId="8" fillId="0" borderId="0">
      <alignment vertical="top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55" fillId="0" borderId="0">
      <alignment vertical="center"/>
    </xf>
    <xf numFmtId="0" fontId="22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56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22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center"/>
    </xf>
    <xf numFmtId="0" fontId="3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3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57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58" fillId="0" borderId="0" applyNumberForma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8" fillId="63" borderId="20" applyNumberFormat="0" applyFont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48" borderId="22" applyNumberFormat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61" fillId="0" borderId="0"/>
    <xf numFmtId="0" fontId="31" fillId="0" borderId="0"/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62" fillId="43" borderId="0" applyNumberFormat="0" applyBorder="0" applyAlignment="0" applyProtection="0">
      <alignment vertical="center"/>
    </xf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9" borderId="0" applyNumberFormat="0" applyBorder="0" applyAlignment="0" applyProtection="0"/>
    <xf numFmtId="0" fontId="36" fillId="54" borderId="0" applyNumberFormat="0" applyBorder="0" applyAlignment="0" applyProtection="0"/>
    <xf numFmtId="0" fontId="36" fillId="55" borderId="0" applyNumberFormat="0" applyBorder="0" applyAlignment="0" applyProtection="0"/>
    <xf numFmtId="0" fontId="36" fillId="60" borderId="0" applyNumberFormat="0" applyBorder="0" applyAlignment="0" applyProtection="0"/>
    <xf numFmtId="0" fontId="63" fillId="0" borderId="23" applyNumberFormat="0" applyFill="0" applyAlignment="0" applyProtection="0"/>
    <xf numFmtId="0" fontId="64" fillId="0" borderId="24" applyNumberFormat="0" applyFill="0" applyAlignment="0" applyProtection="0"/>
    <xf numFmtId="0" fontId="65" fillId="0" borderId="25" applyNumberFormat="0" applyFill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61" borderId="19" applyNumberFormat="0" applyAlignment="0" applyProtection="0"/>
    <xf numFmtId="0" fontId="68" fillId="0" borderId="26" applyNumberFormat="0" applyFill="0" applyAlignment="0" applyProtection="0"/>
    <xf numFmtId="0" fontId="69" fillId="64" borderId="22" applyNumberFormat="0" applyAlignment="0" applyProtection="0"/>
    <xf numFmtId="0" fontId="70" fillId="64" borderId="27" applyNumberFormat="0" applyAlignment="0" applyProtection="0"/>
    <xf numFmtId="0" fontId="71" fillId="48" borderId="22" applyNumberFormat="0" applyAlignment="0" applyProtection="0"/>
    <xf numFmtId="0" fontId="72" fillId="62" borderId="0" applyNumberFormat="0" applyBorder="0" applyAlignment="0" applyProtection="0"/>
    <xf numFmtId="0" fontId="73" fillId="0" borderId="21" applyNumberFormat="0" applyFill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7" fillId="0" borderId="0"/>
    <xf numFmtId="0" fontId="55" fillId="0" borderId="0">
      <alignment vertical="center"/>
    </xf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38" fontId="30" fillId="0" borderId="0" applyFont="0" applyFill="0" applyBorder="0" applyAlignment="0" applyProtection="0">
      <alignment vertical="center"/>
    </xf>
    <xf numFmtId="0" fontId="3" fillId="0" borderId="0"/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26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23" fillId="0" borderId="0"/>
    <xf numFmtId="0" fontId="8" fillId="0" borderId="0"/>
    <xf numFmtId="0" fontId="22" fillId="65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80" fillId="72" borderId="0" applyNumberFormat="0" applyBorder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66" borderId="0" applyNumberFormat="0" applyBorder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7" fillId="74" borderId="19" applyNumberForma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80" fillId="75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80" fillId="77" borderId="0" applyNumberFormat="0" applyBorder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3" fillId="0" borderId="0"/>
    <xf numFmtId="0" fontId="2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 applyNumberFormat="0" applyFill="0" applyBorder="0" applyProtection="0">
      <alignment vertical="center"/>
    </xf>
    <xf numFmtId="1" fontId="94" fillId="0" borderId="0"/>
    <xf numFmtId="0" fontId="95" fillId="0" borderId="0"/>
    <xf numFmtId="0" fontId="8" fillId="0" borderId="0"/>
    <xf numFmtId="0" fontId="8" fillId="0" borderId="0"/>
    <xf numFmtId="0" fontId="8" fillId="0" borderId="0"/>
    <xf numFmtId="0" fontId="96" fillId="0" borderId="29" applyNumberFormat="0" applyFont="0" applyFill="0" applyAlignment="0" applyProtection="0"/>
    <xf numFmtId="0" fontId="79" fillId="0" borderId="29" applyNumberFormat="0" applyFont="0" applyFill="0" applyAlignment="0" applyProtection="0"/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78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98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100" fillId="53" borderId="0" applyNumberFormat="0" applyBorder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100" fillId="53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100" fillId="50" borderId="0" applyNumberFormat="0" applyBorder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100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100" fillId="51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100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100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100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100" fillId="56" borderId="0" applyNumberFormat="0" applyBorder="0" applyAlignment="0" applyProtection="0">
      <alignment vertical="center"/>
    </xf>
    <xf numFmtId="0" fontId="80" fillId="72" borderId="0" applyNumberFormat="0" applyBorder="0" applyAlignment="0" applyProtection="0">
      <alignment vertical="center"/>
    </xf>
    <xf numFmtId="0" fontId="100" fillId="56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187" fontId="101" fillId="0" borderId="0" applyFill="0" applyBorder="0" applyAlignment="0"/>
    <xf numFmtId="187" fontId="101" fillId="0" borderId="0" applyFill="0" applyBorder="0" applyAlignment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188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02" fillId="0" borderId="30" applyNumberFormat="0" applyAlignment="0" applyProtection="0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65" fillId="0" borderId="25" applyNumberFormat="0" applyFill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23" fillId="0" borderId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98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98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23" fillId="0" borderId="0"/>
    <xf numFmtId="0" fontId="23" fillId="0" borderId="0"/>
    <xf numFmtId="0" fontId="37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105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107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3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33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33" fillId="63" borderId="20" applyNumberFormat="0" applyFont="0" applyAlignment="0" applyProtection="0">
      <alignment vertical="center"/>
    </xf>
    <xf numFmtId="0" fontId="33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22" fillId="0" borderId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22" fillId="0" borderId="0" applyProtection="0">
      <alignment vertical="center"/>
    </xf>
    <xf numFmtId="9" fontId="22" fillId="0" borderId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22" fillId="0" borderId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22" fillId="0" borderId="0" applyProtection="0">
      <alignment vertical="center"/>
    </xf>
    <xf numFmtId="9" fontId="22" fillId="0" borderId="0" applyProtection="0">
      <alignment vertical="center"/>
    </xf>
    <xf numFmtId="9" fontId="22" fillId="0" borderId="0" applyProtection="0">
      <alignment vertical="center"/>
    </xf>
    <xf numFmtId="9" fontId="22" fillId="0" borderId="0" applyProtection="0">
      <alignment vertical="center"/>
    </xf>
    <xf numFmtId="9" fontId="22" fillId="0" borderId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/>
    <xf numFmtId="9" fontId="22" fillId="0" borderId="0" applyProtection="0">
      <alignment vertical="center"/>
    </xf>
    <xf numFmtId="9" fontId="22" fillId="0" borderId="0" applyProtection="0">
      <alignment vertical="center"/>
    </xf>
    <xf numFmtId="9" fontId="22" fillId="0" borderId="0" applyProtection="0">
      <alignment vertical="center"/>
    </xf>
    <xf numFmtId="9" fontId="22" fillId="0" borderId="0" applyProtection="0">
      <alignment vertical="center"/>
    </xf>
    <xf numFmtId="9" fontId="22" fillId="0" borderId="0" applyProtection="0">
      <alignment vertical="center"/>
    </xf>
    <xf numFmtId="9" fontId="22" fillId="0" borderId="0" applyProtection="0">
      <alignment vertical="center"/>
    </xf>
    <xf numFmtId="9" fontId="76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33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12" fillId="0" borderId="0">
      <alignment vertical="center"/>
    </xf>
    <xf numFmtId="0" fontId="33" fillId="0" borderId="0"/>
    <xf numFmtId="0" fontId="33" fillId="0" borderId="0"/>
    <xf numFmtId="0" fontId="30" fillId="0" borderId="0">
      <alignment vertical="center"/>
    </xf>
    <xf numFmtId="0" fontId="74" fillId="0" borderId="0">
      <alignment vertical="center"/>
    </xf>
    <xf numFmtId="0" fontId="101" fillId="0" borderId="0">
      <alignment vertical="center"/>
    </xf>
    <xf numFmtId="0" fontId="74" fillId="0" borderId="0">
      <alignment vertical="center"/>
    </xf>
    <xf numFmtId="0" fontId="8" fillId="0" borderId="0">
      <alignment vertical="center"/>
    </xf>
    <xf numFmtId="0" fontId="8" fillId="0" borderId="0"/>
    <xf numFmtId="0" fontId="113" fillId="0" borderId="0"/>
    <xf numFmtId="0" fontId="97" fillId="0" borderId="0">
      <alignment vertical="center"/>
    </xf>
    <xf numFmtId="0" fontId="33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8" fillId="0" borderId="0"/>
    <xf numFmtId="0" fontId="97" fillId="0" borderId="0">
      <alignment vertical="center"/>
    </xf>
    <xf numFmtId="0" fontId="8" fillId="0" borderId="0"/>
    <xf numFmtId="0" fontId="55" fillId="0" borderId="0"/>
    <xf numFmtId="0" fontId="3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>
      <alignment vertical="center"/>
    </xf>
    <xf numFmtId="0" fontId="55" fillId="0" borderId="0">
      <alignment vertical="center"/>
    </xf>
    <xf numFmtId="0" fontId="33" fillId="0" borderId="0">
      <alignment vertical="center"/>
    </xf>
    <xf numFmtId="0" fontId="55" fillId="0" borderId="0">
      <alignment vertical="center"/>
    </xf>
    <xf numFmtId="0" fontId="61" fillId="0" borderId="0"/>
    <xf numFmtId="0" fontId="8" fillId="0" borderId="0">
      <alignment vertical="center"/>
    </xf>
    <xf numFmtId="0" fontId="61" fillId="0" borderId="0"/>
    <xf numFmtId="0" fontId="30" fillId="0" borderId="0">
      <alignment vertical="center"/>
    </xf>
    <xf numFmtId="0" fontId="114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55" fillId="0" borderId="0"/>
    <xf numFmtId="0" fontId="101" fillId="0" borderId="0"/>
    <xf numFmtId="0" fontId="97" fillId="0" borderId="0"/>
    <xf numFmtId="0" fontId="55" fillId="0" borderId="0"/>
    <xf numFmtId="0" fontId="24" fillId="0" borderId="0"/>
    <xf numFmtId="0" fontId="55" fillId="0" borderId="0"/>
    <xf numFmtId="0" fontId="55" fillId="0" borderId="0"/>
    <xf numFmtId="0" fontId="24" fillId="0" borderId="0"/>
    <xf numFmtId="0" fontId="55" fillId="0" borderId="0"/>
    <xf numFmtId="0" fontId="55" fillId="0" borderId="0"/>
    <xf numFmtId="0" fontId="24" fillId="0" borderId="0"/>
    <xf numFmtId="0" fontId="55" fillId="0" borderId="0"/>
    <xf numFmtId="0" fontId="22" fillId="0" borderId="0">
      <alignment vertical="center"/>
    </xf>
    <xf numFmtId="0" fontId="24" fillId="0" borderId="0"/>
    <xf numFmtId="0" fontId="22" fillId="0" borderId="0">
      <alignment vertical="center"/>
    </xf>
    <xf numFmtId="0" fontId="24" fillId="0" borderId="0"/>
    <xf numFmtId="0" fontId="2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/>
    <xf numFmtId="0" fontId="24" fillId="0" borderId="0"/>
    <xf numFmtId="0" fontId="3" fillId="0" borderId="0"/>
    <xf numFmtId="0" fontId="24" fillId="0" borderId="0"/>
    <xf numFmtId="0" fontId="55" fillId="0" borderId="0"/>
    <xf numFmtId="0" fontId="55" fillId="0" borderId="0"/>
    <xf numFmtId="0" fontId="101" fillId="0" borderId="0"/>
    <xf numFmtId="0" fontId="101" fillId="0" borderId="0">
      <alignment vertical="center"/>
    </xf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3" fillId="0" borderId="0"/>
    <xf numFmtId="0" fontId="22" fillId="0" borderId="0">
      <alignment vertical="center"/>
    </xf>
    <xf numFmtId="0" fontId="3" fillId="0" borderId="0"/>
    <xf numFmtId="0" fontId="33" fillId="0" borderId="0"/>
    <xf numFmtId="0" fontId="33" fillId="0" borderId="0"/>
    <xf numFmtId="0" fontId="2" fillId="0" borderId="0">
      <alignment vertical="center"/>
    </xf>
    <xf numFmtId="0" fontId="55" fillId="0" borderId="0"/>
    <xf numFmtId="0" fontId="101" fillId="0" borderId="0"/>
    <xf numFmtId="0" fontId="8" fillId="0" borderId="0"/>
    <xf numFmtId="0" fontId="55" fillId="0" borderId="0">
      <alignment vertical="center"/>
    </xf>
    <xf numFmtId="0" fontId="11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22" fillId="0" borderId="0"/>
    <xf numFmtId="0" fontId="55" fillId="0" borderId="0">
      <alignment vertical="center"/>
    </xf>
    <xf numFmtId="0" fontId="22" fillId="0" borderId="0"/>
    <xf numFmtId="0" fontId="8" fillId="0" borderId="0"/>
    <xf numFmtId="0" fontId="22" fillId="0" borderId="0"/>
    <xf numFmtId="0" fontId="22" fillId="0" borderId="0"/>
    <xf numFmtId="0" fontId="116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33" fillId="0" borderId="0"/>
    <xf numFmtId="0" fontId="55" fillId="0" borderId="0">
      <alignment vertical="center"/>
    </xf>
    <xf numFmtId="0" fontId="55" fillId="0" borderId="0">
      <alignment vertical="center"/>
    </xf>
    <xf numFmtId="0" fontId="33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33" fillId="0" borderId="0"/>
    <xf numFmtId="0" fontId="74" fillId="0" borderId="0">
      <alignment vertical="center"/>
    </xf>
    <xf numFmtId="0" fontId="55" fillId="0" borderId="0"/>
    <xf numFmtId="0" fontId="22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32" fillId="0" borderId="0">
      <alignment vertical="center"/>
    </xf>
    <xf numFmtId="0" fontId="11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42" borderId="0" applyNumberFormat="0" applyBorder="0" applyAlignment="0" applyProtection="0"/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18" fillId="79" borderId="0" applyNumberFormat="0" applyBorder="0" applyAlignment="0" applyProtection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118" fillId="79" borderId="0" applyNumberFormat="0" applyBorder="0" applyAlignment="0" applyProtection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18" fillId="79" borderId="0" applyNumberFormat="0" applyBorder="0" applyAlignment="0" applyProtection="0"/>
    <xf numFmtId="0" fontId="41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3" fillId="0" borderId="0">
      <alignment vertical="center"/>
    </xf>
    <xf numFmtId="0" fontId="5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55" fillId="0" borderId="0">
      <alignment vertical="center"/>
    </xf>
    <xf numFmtId="0" fontId="8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5" fillId="0" borderId="0"/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33" fillId="0" borderId="0">
      <alignment vertical="center"/>
    </xf>
    <xf numFmtId="0" fontId="55" fillId="0" borderId="0">
      <alignment vertical="center"/>
    </xf>
    <xf numFmtId="0" fontId="33" fillId="0" borderId="0"/>
    <xf numFmtId="0" fontId="8" fillId="0" borderId="0">
      <alignment vertical="center"/>
    </xf>
    <xf numFmtId="0" fontId="5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101" fillId="0" borderId="0">
      <alignment vertical="center"/>
    </xf>
    <xf numFmtId="0" fontId="8" fillId="0" borderId="0"/>
    <xf numFmtId="0" fontId="55" fillId="0" borderId="0" applyProtection="0"/>
    <xf numFmtId="0" fontId="8" fillId="0" borderId="0"/>
    <xf numFmtId="0" fontId="55" fillId="0" borderId="0" applyProtection="0"/>
    <xf numFmtId="0" fontId="55" fillId="0" borderId="0" applyProtection="0"/>
    <xf numFmtId="0" fontId="55" fillId="0" borderId="0" applyProtection="0"/>
    <xf numFmtId="0" fontId="7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3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5" fillId="0" borderId="0">
      <alignment vertical="center"/>
    </xf>
    <xf numFmtId="0" fontId="55" fillId="0" borderId="0" applyProtection="0"/>
    <xf numFmtId="0" fontId="22" fillId="0" borderId="0">
      <alignment vertical="center"/>
    </xf>
    <xf numFmtId="0" fontId="55" fillId="0" borderId="0" applyProtection="0"/>
    <xf numFmtId="0" fontId="55" fillId="0" borderId="0" applyProtection="0"/>
    <xf numFmtId="0" fontId="55" fillId="0" borderId="0" applyProtection="0"/>
    <xf numFmtId="0" fontId="119" fillId="0" borderId="0">
      <alignment vertical="center"/>
    </xf>
    <xf numFmtId="0" fontId="55" fillId="0" borderId="0">
      <alignment vertical="center"/>
    </xf>
    <xf numFmtId="0" fontId="33" fillId="0" borderId="0">
      <alignment vertical="center"/>
    </xf>
    <xf numFmtId="0" fontId="55" fillId="0" borderId="0" applyProtection="0"/>
    <xf numFmtId="0" fontId="55" fillId="0" borderId="0" applyProtection="0"/>
    <xf numFmtId="0" fontId="55" fillId="0" borderId="0" applyProtection="0"/>
    <xf numFmtId="0" fontId="55" fillId="0" borderId="0" applyProtection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33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33" fillId="0" borderId="0"/>
    <xf numFmtId="0" fontId="55" fillId="0" borderId="0"/>
    <xf numFmtId="0" fontId="8" fillId="0" borderId="0"/>
    <xf numFmtId="0" fontId="11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8" fillId="0" borderId="0"/>
    <xf numFmtId="0" fontId="8" fillId="0" borderId="0"/>
    <xf numFmtId="0" fontId="33" fillId="0" borderId="0"/>
    <xf numFmtId="0" fontId="5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 applyProtection="0">
      <alignment vertical="center"/>
    </xf>
    <xf numFmtId="0" fontId="8" fillId="0" borderId="0"/>
    <xf numFmtId="0" fontId="22" fillId="0" borderId="0" applyProtection="0">
      <alignment vertical="center"/>
    </xf>
    <xf numFmtId="0" fontId="22" fillId="0" borderId="0" applyProtection="0">
      <alignment vertical="center"/>
    </xf>
    <xf numFmtId="0" fontId="22" fillId="0" borderId="0" applyProtection="0">
      <alignment vertical="center"/>
    </xf>
    <xf numFmtId="0" fontId="22" fillId="0" borderId="0" applyProtection="0">
      <alignment vertical="center"/>
    </xf>
    <xf numFmtId="0" fontId="22" fillId="0" borderId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3" fillId="0" borderId="0"/>
    <xf numFmtId="0" fontId="55" fillId="0" borderId="0"/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8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 applyProtection="0">
      <alignment vertical="center"/>
    </xf>
    <xf numFmtId="0" fontId="22" fillId="0" borderId="0" applyProtection="0">
      <alignment vertical="center"/>
    </xf>
    <xf numFmtId="0" fontId="22" fillId="0" borderId="0" applyProtection="0">
      <alignment vertical="center"/>
    </xf>
    <xf numFmtId="0" fontId="22" fillId="0" borderId="0" applyProtection="0">
      <alignment vertical="center"/>
    </xf>
    <xf numFmtId="0" fontId="22" fillId="0" borderId="0" applyProtection="0">
      <alignment vertical="center"/>
    </xf>
    <xf numFmtId="0" fontId="22" fillId="0" borderId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4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74" fillId="0" borderId="0"/>
    <xf numFmtId="0" fontId="74" fillId="0" borderId="0"/>
    <xf numFmtId="0" fontId="74" fillId="0" borderId="0"/>
    <xf numFmtId="0" fontId="2" fillId="0" borderId="0">
      <alignment vertical="center"/>
    </xf>
    <xf numFmtId="0" fontId="74" fillId="0" borderId="0"/>
    <xf numFmtId="0" fontId="2" fillId="0" borderId="0">
      <alignment vertical="center"/>
    </xf>
    <xf numFmtId="0" fontId="17" fillId="0" borderId="0"/>
    <xf numFmtId="0" fontId="17" fillId="0" borderId="0"/>
    <xf numFmtId="0" fontId="74" fillId="0" borderId="0"/>
    <xf numFmtId="0" fontId="3" fillId="0" borderId="0" applyProtection="0"/>
    <xf numFmtId="0" fontId="3" fillId="0" borderId="0" applyProtection="0"/>
    <xf numFmtId="0" fontId="3" fillId="0" borderId="0"/>
    <xf numFmtId="0" fontId="3" fillId="0" borderId="0"/>
    <xf numFmtId="0" fontId="76" fillId="0" borderId="0">
      <alignment vertical="center"/>
    </xf>
    <xf numFmtId="0" fontId="3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7" fillId="0" borderId="0"/>
    <xf numFmtId="0" fontId="2" fillId="0" borderId="0">
      <alignment vertical="center"/>
    </xf>
    <xf numFmtId="0" fontId="17" fillId="0" borderId="0"/>
    <xf numFmtId="0" fontId="55" fillId="0" borderId="0"/>
    <xf numFmtId="0" fontId="55" fillId="0" borderId="0"/>
    <xf numFmtId="0" fontId="8" fillId="0" borderId="0" applyProtection="0"/>
    <xf numFmtId="0" fontId="8" fillId="0" borderId="0" applyProtection="0"/>
    <xf numFmtId="0" fontId="8" fillId="0" borderId="0"/>
    <xf numFmtId="0" fontId="8" fillId="0" borderId="0"/>
    <xf numFmtId="0" fontId="33" fillId="0" borderId="0"/>
    <xf numFmtId="0" fontId="8" fillId="0" borderId="0"/>
    <xf numFmtId="0" fontId="17" fillId="0" borderId="0"/>
    <xf numFmtId="0" fontId="17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74" fillId="0" borderId="0">
      <alignment vertical="center"/>
    </xf>
    <xf numFmtId="0" fontId="55" fillId="0" borderId="0">
      <alignment vertical="center"/>
    </xf>
    <xf numFmtId="0" fontId="33" fillId="0" borderId="0">
      <alignment vertical="center"/>
    </xf>
    <xf numFmtId="0" fontId="55" fillId="0" borderId="0">
      <alignment vertical="center"/>
    </xf>
    <xf numFmtId="0" fontId="8" fillId="0" borderId="0">
      <alignment vertical="center"/>
    </xf>
    <xf numFmtId="0" fontId="3" fillId="0" borderId="0"/>
    <xf numFmtId="0" fontId="3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54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54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54" fillId="64" borderId="27" applyNumberFormat="0" applyAlignment="0" applyProtection="0">
      <alignment vertical="center"/>
    </xf>
    <xf numFmtId="0" fontId="54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22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/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49" fillId="80" borderId="0" applyNumberFormat="0" applyBorder="0" applyAlignment="0" applyProtection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49" fillId="80" borderId="0" applyNumberFormat="0" applyBorder="0" applyAlignment="0" applyProtection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49" fillId="80" borderId="0" applyNumberFormat="0" applyBorder="0" applyAlignment="0" applyProtection="0"/>
    <xf numFmtId="0" fontId="62" fillId="43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40" fontId="55" fillId="0" borderId="0" applyFont="0" applyFill="0" applyBorder="0" applyAlignment="0" applyProtection="0">
      <alignment vertical="center"/>
    </xf>
    <xf numFmtId="40" fontId="55" fillId="0" borderId="0" applyFont="0" applyFill="0" applyBorder="0" applyAlignment="0" applyProtection="0">
      <alignment vertical="center"/>
    </xf>
    <xf numFmtId="40" fontId="55" fillId="0" borderId="0" applyFont="0" applyFill="0" applyBorder="0" applyAlignment="0" applyProtection="0">
      <alignment vertical="center"/>
    </xf>
    <xf numFmtId="40" fontId="55" fillId="0" borderId="0" applyFont="0" applyFill="0" applyBorder="0" applyAlignment="0" applyProtection="0">
      <alignment vertical="center"/>
    </xf>
    <xf numFmtId="40" fontId="55" fillId="0" borderId="0" applyFont="0" applyFill="0" applyBorder="0" applyAlignment="0" applyProtection="0">
      <alignment vertical="center"/>
    </xf>
    <xf numFmtId="40" fontId="55" fillId="0" borderId="0" applyFont="0" applyFill="0" applyBorder="0" applyAlignment="0" applyProtection="0">
      <alignment vertical="center"/>
    </xf>
    <xf numFmtId="40" fontId="55" fillId="0" borderId="0" applyFont="0" applyFill="0" applyBorder="0" applyAlignment="0" applyProtection="0">
      <alignment vertical="center"/>
    </xf>
    <xf numFmtId="40" fontId="55" fillId="0" borderId="0" applyFont="0" applyFill="0" applyBorder="0" applyAlignment="0" applyProtection="0">
      <alignment vertical="center"/>
    </xf>
    <xf numFmtId="40" fontId="55" fillId="0" borderId="0" applyFont="0" applyFill="0" applyBorder="0" applyAlignment="0" applyProtection="0">
      <alignment vertical="center"/>
    </xf>
    <xf numFmtId="40" fontId="55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0" fontId="33" fillId="0" borderId="0" applyFont="0" applyFill="0" applyBorder="0" applyAlignment="0" applyProtection="0"/>
    <xf numFmtId="43" fontId="8" fillId="0" borderId="0" applyFont="0" applyFill="0" applyBorder="0" applyAlignment="0" applyProtection="0"/>
    <xf numFmtId="40" fontId="55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/>
    <xf numFmtId="38" fontId="55" fillId="0" borderId="0" applyFont="0" applyFill="0" applyBorder="0" applyAlignment="0" applyProtection="0"/>
    <xf numFmtId="38" fontId="55" fillId="0" borderId="0" applyFont="0" applyFill="0" applyBorder="0" applyAlignment="0" applyProtection="0"/>
    <xf numFmtId="38" fontId="55" fillId="0" borderId="0" applyFont="0" applyFill="0" applyBorder="0" applyAlignment="0" applyProtection="0"/>
    <xf numFmtId="38" fontId="33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/>
    <xf numFmtId="38" fontId="55" fillId="0" borderId="0" applyFont="0" applyFill="0" applyBorder="0" applyAlignment="0" applyProtection="0"/>
    <xf numFmtId="38" fontId="101" fillId="0" borderId="0" applyFont="0" applyFill="0" applyBorder="0" applyAlignment="0" applyProtection="0"/>
    <xf numFmtId="41" fontId="8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38" fontId="55" fillId="0" borderId="0" applyFont="0" applyFill="0" applyBorder="0" applyAlignment="0" applyProtection="0"/>
    <xf numFmtId="41" fontId="8" fillId="0" borderId="0" applyFont="0" applyFill="0" applyBorder="0" applyAlignment="0" applyProtection="0"/>
    <xf numFmtId="38" fontId="101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116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41" fontId="3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43" fillId="64" borderId="22" applyNumberFormat="0" applyAlignment="0" applyProtection="0">
      <alignment vertical="center"/>
    </xf>
    <xf numFmtId="0" fontId="43" fillId="64" borderId="22" applyNumberFormat="0" applyAlignment="0" applyProtection="0">
      <alignment vertical="center"/>
    </xf>
    <xf numFmtId="0" fontId="125" fillId="64" borderId="22" applyNumberFormat="0" applyAlignment="0" applyProtection="0">
      <alignment vertical="center"/>
    </xf>
    <xf numFmtId="0" fontId="125" fillId="64" borderId="22" applyNumberFormat="0" applyAlignment="0" applyProtection="0">
      <alignment vertical="center"/>
    </xf>
    <xf numFmtId="0" fontId="125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5" fillId="64" borderId="22" applyNumberFormat="0" applyAlignment="0" applyProtection="0">
      <alignment vertical="center"/>
    </xf>
    <xf numFmtId="0" fontId="125" fillId="64" borderId="22" applyNumberFormat="0" applyAlignment="0" applyProtection="0">
      <alignment vertical="center"/>
    </xf>
    <xf numFmtId="0" fontId="125" fillId="64" borderId="22" applyNumberFormat="0" applyAlignment="0" applyProtection="0">
      <alignment vertical="center"/>
    </xf>
    <xf numFmtId="0" fontId="125" fillId="64" borderId="22" applyNumberFormat="0" applyAlignment="0" applyProtection="0">
      <alignment vertical="center"/>
    </xf>
    <xf numFmtId="0" fontId="43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128" fillId="61" borderId="19" applyNumberFormat="0" applyAlignment="0" applyProtection="0">
      <alignment vertical="center"/>
    </xf>
    <xf numFmtId="0" fontId="87" fillId="74" borderId="19" applyNumberFormat="0" applyAlignment="0" applyProtection="0">
      <alignment vertical="center"/>
    </xf>
    <xf numFmtId="0" fontId="128" fillId="61" borderId="19" applyNumberFormat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129" fillId="0" borderId="23" applyNumberFormat="0" applyFill="0" applyAlignment="0" applyProtection="0">
      <alignment vertical="center"/>
    </xf>
    <xf numFmtId="0" fontId="130" fillId="0" borderId="23" applyNumberFormat="0" applyFill="0" applyAlignment="0" applyProtection="0">
      <alignment vertical="center"/>
    </xf>
    <xf numFmtId="0" fontId="130" fillId="0" borderId="23" applyNumberFormat="0" applyFill="0" applyAlignment="0" applyProtection="0">
      <alignment vertical="center"/>
    </xf>
    <xf numFmtId="0" fontId="130" fillId="0" borderId="23" applyNumberFormat="0" applyFill="0" applyAlignment="0" applyProtection="0">
      <alignment vertical="center"/>
    </xf>
    <xf numFmtId="0" fontId="130" fillId="0" borderId="23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131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133" fillId="0" borderId="25" applyNumberFormat="0" applyFill="0" applyAlignment="0" applyProtection="0">
      <alignment vertical="center"/>
    </xf>
    <xf numFmtId="0" fontId="134" fillId="0" borderId="25" applyNumberFormat="0" applyFill="0" applyAlignment="0" applyProtection="0">
      <alignment vertical="center"/>
    </xf>
    <xf numFmtId="0" fontId="134" fillId="0" borderId="25" applyNumberFormat="0" applyFill="0" applyAlignment="0" applyProtection="0">
      <alignment vertical="center"/>
    </xf>
    <xf numFmtId="0" fontId="134" fillId="0" borderId="25" applyNumberFormat="0" applyFill="0" applyAlignment="0" applyProtection="0">
      <alignment vertical="center"/>
    </xf>
    <xf numFmtId="0" fontId="134" fillId="0" borderId="25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138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138" fillId="0" borderId="21" applyNumberFormat="0" applyFill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139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22" fillId="0" borderId="0" applyProtection="0">
      <alignment vertical="center"/>
    </xf>
    <xf numFmtId="43" fontId="22" fillId="0" borderId="0" applyProtection="0">
      <alignment vertical="center"/>
    </xf>
    <xf numFmtId="43" fontId="22" fillId="0" borderId="0" applyProtection="0">
      <alignment vertical="center"/>
    </xf>
    <xf numFmtId="43" fontId="22" fillId="0" borderId="0" applyProtection="0">
      <alignment vertical="center"/>
    </xf>
    <xf numFmtId="43" fontId="22" fillId="0" borderId="0" applyProtection="0">
      <alignment vertical="center"/>
    </xf>
    <xf numFmtId="43" fontId="22" fillId="0" borderId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9" fontId="8" fillId="0" borderId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38" fontId="7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22" fillId="0" borderId="0" applyProtection="0">
      <alignment vertical="center"/>
    </xf>
    <xf numFmtId="38" fontId="22" fillId="0" borderId="0" applyProtection="0">
      <alignment vertical="center"/>
    </xf>
    <xf numFmtId="38" fontId="22" fillId="0" borderId="0" applyProtection="0">
      <alignment vertical="center"/>
    </xf>
    <xf numFmtId="38" fontId="22" fillId="0" borderId="0" applyProtection="0">
      <alignment vertical="center"/>
    </xf>
    <xf numFmtId="38" fontId="22" fillId="0" borderId="0" applyProtection="0">
      <alignment vertical="center"/>
    </xf>
    <xf numFmtId="38" fontId="22" fillId="0" borderId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22" fillId="0" borderId="0" applyProtection="0">
      <alignment vertical="center"/>
    </xf>
    <xf numFmtId="38" fontId="22" fillId="0" borderId="0" applyProtection="0">
      <alignment vertical="center"/>
    </xf>
    <xf numFmtId="38" fontId="22" fillId="0" borderId="0" applyProtection="0">
      <alignment vertical="center"/>
    </xf>
    <xf numFmtId="38" fontId="22" fillId="0" borderId="0" applyProtection="0">
      <alignment vertical="center"/>
    </xf>
    <xf numFmtId="38" fontId="22" fillId="0" borderId="0" applyProtection="0">
      <alignment vertical="center"/>
    </xf>
    <xf numFmtId="38" fontId="22" fillId="0" borderId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38" fontId="22" fillId="0" borderId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100" fillId="57" borderId="0" applyNumberFormat="0" applyBorder="0" applyAlignment="0" applyProtection="0">
      <alignment vertical="center"/>
    </xf>
    <xf numFmtId="0" fontId="80" fillId="75" borderId="0" applyNumberFormat="0" applyBorder="0" applyAlignment="0" applyProtection="0">
      <alignment vertical="center"/>
    </xf>
    <xf numFmtId="0" fontId="100" fillId="57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100" fillId="58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100" fillId="58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100" fillId="59" borderId="0" applyNumberFormat="0" applyBorder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100" fillId="59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100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100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100" fillId="60" borderId="0" applyNumberFormat="0" applyBorder="0" applyAlignment="0" applyProtection="0">
      <alignment vertical="center"/>
    </xf>
    <xf numFmtId="0" fontId="80" fillId="77" borderId="0" applyNumberFormat="0" applyBorder="0" applyAlignment="0" applyProtection="0">
      <alignment vertical="center"/>
    </xf>
    <xf numFmtId="0" fontId="100" fillId="60" borderId="0" applyNumberFormat="0" applyBorder="0" applyAlignment="0" applyProtection="0">
      <alignment vertical="center"/>
    </xf>
    <xf numFmtId="0" fontId="60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60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60" fillId="48" borderId="22" applyNumberFormat="0" applyAlignment="0" applyProtection="0">
      <alignment vertical="center"/>
    </xf>
    <xf numFmtId="0" fontId="60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143" fillId="62" borderId="0" applyNumberFormat="0" applyBorder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143" fillId="62" borderId="0" applyNumberFormat="0" applyBorder="0" applyAlignment="0" applyProtection="0">
      <alignment vertical="center"/>
    </xf>
    <xf numFmtId="0" fontId="54" fillId="64" borderId="27" applyNumberFormat="0" applyAlignment="0" applyProtection="0">
      <alignment vertical="center"/>
    </xf>
    <xf numFmtId="0" fontId="54" fillId="64" borderId="27" applyNumberFormat="0" applyAlignment="0" applyProtection="0">
      <alignment vertical="center"/>
    </xf>
    <xf numFmtId="0" fontId="144" fillId="64" borderId="27" applyNumberFormat="0" applyAlignment="0" applyProtection="0">
      <alignment vertical="center"/>
    </xf>
    <xf numFmtId="0" fontId="144" fillId="64" borderId="27" applyNumberFormat="0" applyAlignment="0" applyProtection="0">
      <alignment vertical="center"/>
    </xf>
    <xf numFmtId="0" fontId="144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44" fillId="64" borderId="27" applyNumberFormat="0" applyAlignment="0" applyProtection="0">
      <alignment vertical="center"/>
    </xf>
    <xf numFmtId="0" fontId="144" fillId="64" borderId="27" applyNumberFormat="0" applyAlignment="0" applyProtection="0">
      <alignment vertical="center"/>
    </xf>
    <xf numFmtId="0" fontId="144" fillId="64" borderId="27" applyNumberFormat="0" applyAlignment="0" applyProtection="0">
      <alignment vertical="center"/>
    </xf>
    <xf numFmtId="0" fontId="144" fillId="64" borderId="27" applyNumberFormat="0" applyAlignment="0" applyProtection="0">
      <alignment vertical="center"/>
    </xf>
    <xf numFmtId="0" fontId="60" fillId="48" borderId="22" applyNumberFormat="0" applyAlignment="0" applyProtection="0">
      <alignment vertical="center"/>
    </xf>
    <xf numFmtId="0" fontId="60" fillId="48" borderId="22" applyNumberFormat="0" applyAlignment="0" applyProtection="0">
      <alignment vertical="center"/>
    </xf>
    <xf numFmtId="0" fontId="145" fillId="48" borderId="22" applyNumberFormat="0" applyAlignment="0" applyProtection="0">
      <alignment vertical="center"/>
    </xf>
    <xf numFmtId="0" fontId="145" fillId="48" borderId="22" applyNumberFormat="0" applyAlignment="0" applyProtection="0">
      <alignment vertical="center"/>
    </xf>
    <xf numFmtId="0" fontId="145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5" fillId="48" borderId="22" applyNumberFormat="0" applyAlignment="0" applyProtection="0">
      <alignment vertical="center"/>
    </xf>
    <xf numFmtId="0" fontId="145" fillId="48" borderId="22" applyNumberFormat="0" applyAlignment="0" applyProtection="0">
      <alignment vertical="center"/>
    </xf>
    <xf numFmtId="0" fontId="145" fillId="48" borderId="22" applyNumberFormat="0" applyAlignment="0" applyProtection="0">
      <alignment vertical="center"/>
    </xf>
    <xf numFmtId="0" fontId="145" fillId="48" borderId="22" applyNumberForma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8" fillId="0" borderId="0"/>
    <xf numFmtId="0" fontId="148" fillId="0" borderId="0"/>
    <xf numFmtId="0" fontId="91" fillId="62" borderId="0" applyNumberFormat="0" applyBorder="0" applyAlignment="0" applyProtection="0">
      <alignment vertical="center"/>
    </xf>
    <xf numFmtId="0" fontId="23" fillId="0" borderId="0"/>
    <xf numFmtId="0" fontId="33" fillId="63" borderId="20" applyNumberFormat="0" applyFont="0" applyAlignment="0" applyProtection="0">
      <alignment vertical="center"/>
    </xf>
    <xf numFmtId="0" fontId="33" fillId="63" borderId="20" applyNumberFormat="0" applyFont="0" applyAlignment="0" applyProtection="0">
      <alignment vertical="center"/>
    </xf>
    <xf numFmtId="0" fontId="3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3" fillId="63" borderId="20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2" fillId="17" borderId="17" applyNumberFormat="0" applyFont="0" applyAlignment="0" applyProtection="0">
      <alignment vertical="center"/>
    </xf>
    <xf numFmtId="0" fontId="2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3" fillId="63" borderId="20" applyNumberFormat="0" applyFont="0" applyAlignment="0" applyProtection="0">
      <alignment vertical="center"/>
    </xf>
    <xf numFmtId="0" fontId="3" fillId="63" borderId="20" applyNumberFormat="0" applyFont="0" applyAlignment="0" applyProtection="0">
      <alignment vertical="center"/>
    </xf>
    <xf numFmtId="0" fontId="30" fillId="0" borderId="0">
      <alignment vertical="center"/>
    </xf>
    <xf numFmtId="0" fontId="199" fillId="64" borderId="22" applyNumberFormat="0" applyAlignment="0" applyProtection="0">
      <alignment vertical="center"/>
    </xf>
    <xf numFmtId="0" fontId="14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49" fillId="0" borderId="0"/>
    <xf numFmtId="0" fontId="149" fillId="0" borderId="0"/>
    <xf numFmtId="0" fontId="149" fillId="0" borderId="0"/>
    <xf numFmtId="0" fontId="34" fillId="45" borderId="0" applyNumberFormat="0" applyBorder="0" applyAlignment="0" applyProtection="0"/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34" fillId="42" borderId="0" applyNumberFormat="0" applyBorder="0" applyAlignment="0" applyProtection="0"/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34" fillId="43" borderId="0" applyNumberFormat="0" applyBorder="0" applyAlignment="0" applyProtection="0"/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34" fillId="46" borderId="0" applyNumberFormat="0" applyBorder="0" applyAlignment="0" applyProtection="0"/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34" fillId="47" borderId="0" applyNumberFormat="0" applyBorder="0" applyAlignment="0" applyProtection="0"/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34" fillId="48" borderId="0" applyNumberFormat="0" applyBorder="0" applyAlignment="0" applyProtection="0"/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" fillId="0" borderId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50" fillId="45" borderId="0" applyNumberFormat="0" applyBorder="0" applyAlignment="0" applyProtection="0">
      <alignment vertical="center"/>
    </xf>
    <xf numFmtId="0" fontId="150" fillId="42" borderId="0" applyNumberFormat="0" applyBorder="0" applyAlignment="0" applyProtection="0">
      <alignment vertical="center"/>
    </xf>
    <xf numFmtId="0" fontId="150" fillId="43" borderId="0" applyNumberFormat="0" applyBorder="0" applyAlignment="0" applyProtection="0">
      <alignment vertical="center"/>
    </xf>
    <xf numFmtId="0" fontId="150" fillId="46" borderId="0" applyNumberFormat="0" applyBorder="0" applyAlignment="0" applyProtection="0">
      <alignment vertical="center"/>
    </xf>
    <xf numFmtId="0" fontId="150" fillId="47" borderId="0" applyNumberFormat="0" applyBorder="0" applyAlignment="0" applyProtection="0">
      <alignment vertical="center"/>
    </xf>
    <xf numFmtId="0" fontId="150" fillId="48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151" fillId="45" borderId="0" applyNumberFormat="0" applyBorder="0" applyAlignment="0" applyProtection="0">
      <alignment vertical="center"/>
    </xf>
    <xf numFmtId="0" fontId="34" fillId="81" borderId="0" applyNumberFormat="0" applyBorder="0" applyAlignment="0" applyProtection="0"/>
    <xf numFmtId="0" fontId="22" fillId="45" borderId="0" applyNumberFormat="0" applyBorder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51" fillId="42" borderId="0" applyNumberFormat="0" applyBorder="0" applyAlignment="0" applyProtection="0">
      <alignment vertical="center"/>
    </xf>
    <xf numFmtId="0" fontId="34" fillId="79" borderId="0" applyNumberFormat="0" applyBorder="0" applyAlignment="0" applyProtection="0"/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151" fillId="43" borderId="0" applyNumberFormat="0" applyBorder="0" applyAlignment="0" applyProtection="0">
      <alignment vertical="center"/>
    </xf>
    <xf numFmtId="0" fontId="34" fillId="80" borderId="0" applyNumberFormat="0" applyBorder="0" applyAlignment="0" applyProtection="0"/>
    <xf numFmtId="0" fontId="22" fillId="43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51" fillId="46" borderId="0" applyNumberFormat="0" applyBorder="0" applyAlignment="0" applyProtection="0">
      <alignment vertical="center"/>
    </xf>
    <xf numFmtId="0" fontId="34" fillId="82" borderId="0" applyNumberFormat="0" applyBorder="0" applyAlignment="0" applyProtection="0"/>
    <xf numFmtId="0" fontId="22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51" fillId="47" borderId="0" applyNumberFormat="0" applyBorder="0" applyAlignment="0" applyProtection="0">
      <alignment vertical="center"/>
    </xf>
    <xf numFmtId="0" fontId="34" fillId="83" borderId="0" applyNumberFormat="0" applyBorder="0" applyAlignment="0" applyProtection="0"/>
    <xf numFmtId="0" fontId="22" fillId="47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51" fillId="48" borderId="0" applyNumberFormat="0" applyBorder="0" applyAlignment="0" applyProtection="0">
      <alignment vertical="center"/>
    </xf>
    <xf numFmtId="0" fontId="34" fillId="84" borderId="0" applyNumberFormat="0" applyBorder="0" applyAlignment="0" applyProtection="0"/>
    <xf numFmtId="0" fontId="22" fillId="48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34" fillId="49" borderId="0" applyNumberFormat="0" applyBorder="0" applyAlignment="0" applyProtection="0"/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34" fillId="50" borderId="0" applyNumberFormat="0" applyBorder="0" applyAlignment="0" applyProtection="0"/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34" fillId="51" borderId="0" applyNumberFormat="0" applyBorder="0" applyAlignment="0" applyProtection="0"/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34" fillId="46" borderId="0" applyNumberFormat="0" applyBorder="0" applyAlignment="0" applyProtection="0"/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34" fillId="49" borderId="0" applyNumberFormat="0" applyBorder="0" applyAlignment="0" applyProtection="0"/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34" fillId="52" borderId="0" applyNumberFormat="0" applyBorder="0" applyAlignment="0" applyProtection="0"/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50" fillId="49" borderId="0" applyNumberFormat="0" applyBorder="0" applyAlignment="0" applyProtection="0">
      <alignment vertical="center"/>
    </xf>
    <xf numFmtId="0" fontId="150" fillId="50" borderId="0" applyNumberFormat="0" applyBorder="0" applyAlignment="0" applyProtection="0">
      <alignment vertical="center"/>
    </xf>
    <xf numFmtId="0" fontId="150" fillId="51" borderId="0" applyNumberFormat="0" applyBorder="0" applyAlignment="0" applyProtection="0">
      <alignment vertical="center"/>
    </xf>
    <xf numFmtId="0" fontId="150" fillId="46" borderId="0" applyNumberFormat="0" applyBorder="0" applyAlignment="0" applyProtection="0">
      <alignment vertical="center"/>
    </xf>
    <xf numFmtId="0" fontId="150" fillId="49" borderId="0" applyNumberFormat="0" applyBorder="0" applyAlignment="0" applyProtection="0">
      <alignment vertical="center"/>
    </xf>
    <xf numFmtId="0" fontId="150" fillId="52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51" fillId="49" borderId="0" applyNumberFormat="0" applyBorder="0" applyAlignment="0" applyProtection="0">
      <alignment vertical="center"/>
    </xf>
    <xf numFmtId="0" fontId="34" fillId="85" borderId="0" applyNumberFormat="0" applyBorder="0" applyAlignment="0" applyProtection="0"/>
    <xf numFmtId="0" fontId="22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51" fillId="50" borderId="0" applyNumberFormat="0" applyBorder="0" applyAlignment="0" applyProtection="0">
      <alignment vertical="center"/>
    </xf>
    <xf numFmtId="0" fontId="34" fillId="86" borderId="0" applyNumberFormat="0" applyBorder="0" applyAlignment="0" applyProtection="0"/>
    <xf numFmtId="0" fontId="22" fillId="50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151" fillId="51" borderId="0" applyNumberFormat="0" applyBorder="0" applyAlignment="0" applyProtection="0">
      <alignment vertical="center"/>
    </xf>
    <xf numFmtId="0" fontId="34" fillId="87" borderId="0" applyNumberFormat="0" applyBorder="0" applyAlignment="0" applyProtection="0"/>
    <xf numFmtId="0" fontId="22" fillId="5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51" fillId="46" borderId="0" applyNumberFormat="0" applyBorder="0" applyAlignment="0" applyProtection="0">
      <alignment vertical="center"/>
    </xf>
    <xf numFmtId="0" fontId="34" fillId="82" borderId="0" applyNumberFormat="0" applyBorder="0" applyAlignment="0" applyProtection="0"/>
    <xf numFmtId="0" fontId="22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51" fillId="49" borderId="0" applyNumberFormat="0" applyBorder="0" applyAlignment="0" applyProtection="0">
      <alignment vertical="center"/>
    </xf>
    <xf numFmtId="0" fontId="34" fillId="85" borderId="0" applyNumberFormat="0" applyBorder="0" applyAlignment="0" applyProtection="0"/>
    <xf numFmtId="0" fontId="22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51" fillId="52" borderId="0" applyNumberFormat="0" applyBorder="0" applyAlignment="0" applyProtection="0">
      <alignment vertical="center"/>
    </xf>
    <xf numFmtId="0" fontId="34" fillId="88" borderId="0" applyNumberFormat="0" applyBorder="0" applyAlignment="0" applyProtection="0"/>
    <xf numFmtId="0" fontId="22" fillId="5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6" fillId="53" borderId="0" applyNumberFormat="0" applyBorder="0" applyAlignment="0" applyProtection="0"/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36" fillId="50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36" fillId="51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36" fillId="54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36" fillId="55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36" fillId="56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72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72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52" fillId="53" borderId="0" applyNumberFormat="0" applyBorder="0" applyAlignment="0" applyProtection="0">
      <alignment vertical="center"/>
    </xf>
    <xf numFmtId="0" fontId="152" fillId="50" borderId="0" applyNumberFormat="0" applyBorder="0" applyAlignment="0" applyProtection="0">
      <alignment vertical="center"/>
    </xf>
    <xf numFmtId="0" fontId="152" fillId="51" borderId="0" applyNumberFormat="0" applyBorder="0" applyAlignment="0" applyProtection="0">
      <alignment vertical="center"/>
    </xf>
    <xf numFmtId="0" fontId="152" fillId="54" borderId="0" applyNumberFormat="0" applyBorder="0" applyAlignment="0" applyProtection="0">
      <alignment vertical="center"/>
    </xf>
    <xf numFmtId="0" fontId="152" fillId="55" borderId="0" applyNumberFormat="0" applyBorder="0" applyAlignment="0" applyProtection="0">
      <alignment vertical="center"/>
    </xf>
    <xf numFmtId="0" fontId="152" fillId="56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153" fillId="53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153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153" fillId="51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153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153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153" fillId="56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72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72" borderId="0" applyNumberFormat="0" applyBorder="0" applyAlignment="0" applyProtection="0">
      <alignment vertical="center"/>
    </xf>
    <xf numFmtId="0" fontId="36" fillId="57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36" fillId="58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36" fillId="59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36" fillId="54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36" fillId="55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36" fillId="60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51" fillId="42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190" fontId="154" fillId="0" borderId="0" applyFill="0" applyBorder="0" applyAlignment="0"/>
    <xf numFmtId="0" fontId="69" fillId="64" borderId="22" applyNumberFormat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7" fillId="61" borderId="19" applyNumberFormat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55" fillId="89" borderId="0">
      <alignment horizontal="left"/>
    </xf>
    <xf numFmtId="0" fontId="155" fillId="89" borderId="0">
      <alignment horizontal="left"/>
    </xf>
    <xf numFmtId="0" fontId="156" fillId="89" borderId="0">
      <alignment horizontal="right"/>
    </xf>
    <xf numFmtId="0" fontId="156" fillId="89" borderId="0">
      <alignment horizontal="right"/>
    </xf>
    <xf numFmtId="0" fontId="157" fillId="90" borderId="0">
      <alignment horizontal="center"/>
    </xf>
    <xf numFmtId="0" fontId="157" fillId="90" borderId="0">
      <alignment horizontal="center"/>
    </xf>
    <xf numFmtId="0" fontId="156" fillId="89" borderId="0">
      <alignment horizontal="right"/>
    </xf>
    <xf numFmtId="0" fontId="156" fillId="89" borderId="0">
      <alignment horizontal="right"/>
    </xf>
    <xf numFmtId="0" fontId="157" fillId="90" borderId="0">
      <alignment horizontal="left"/>
    </xf>
    <xf numFmtId="0" fontId="157" fillId="90" borderId="0">
      <alignment horizontal="left"/>
    </xf>
    <xf numFmtId="43" fontId="23" fillId="0" borderId="0" applyFont="0" applyFill="0" applyBorder="0" applyAlignment="0" applyProtection="0"/>
    <xf numFmtId="191" fontId="158" fillId="0" borderId="0" applyFont="0" applyFill="0" applyBorder="0" applyAlignment="0" applyProtection="0"/>
    <xf numFmtId="192" fontId="158" fillId="0" borderId="0" applyFont="0" applyFill="0" applyBorder="0" applyAlignment="0" applyProtection="0"/>
    <xf numFmtId="0" fontId="159" fillId="0" borderId="0">
      <alignment horizontal="left"/>
    </xf>
    <xf numFmtId="193" fontId="8" fillId="0" borderId="0" applyFont="0" applyFill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42" fillId="0" borderId="0" applyNumberFormat="0" applyFill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49" fillId="43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63" fillId="0" borderId="23" applyNumberFormat="0" applyFill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64" fillId="0" borderId="24" applyNumberFormat="0" applyFill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65" fillId="0" borderId="0" applyNumberFormat="0" applyFill="0" applyBorder="0" applyAlignment="0" applyProtection="0"/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71" fillId="48" borderId="22" applyNumberFormat="0" applyAlignment="0" applyProtection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155" fillId="89" borderId="0">
      <alignment horizontal="left"/>
    </xf>
    <xf numFmtId="0" fontId="155" fillId="89" borderId="0">
      <alignment horizontal="left"/>
    </xf>
    <xf numFmtId="0" fontId="160" fillId="90" borderId="0">
      <alignment horizontal="left"/>
    </xf>
    <xf numFmtId="0" fontId="160" fillId="90" borderId="0">
      <alignment horizontal="left"/>
    </xf>
    <xf numFmtId="0" fontId="73" fillId="0" borderId="21" applyNumberFormat="0" applyFill="0" applyAlignment="0" applyProtection="0"/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61" fillId="0" borderId="0" applyProtection="0">
      <alignment vertical="center"/>
    </xf>
    <xf numFmtId="0" fontId="72" fillId="62" borderId="0" applyNumberFormat="0" applyBorder="0" applyAlignment="0" applyProtection="0"/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23" fillId="63" borderId="20" applyNumberFormat="0" applyFont="0" applyAlignment="0" applyProtection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70" fillId="64" borderId="27" applyNumberFormat="0" applyAlignment="0" applyProtection="0"/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194" fontId="162" fillId="90" borderId="0">
      <alignment horizontal="right"/>
    </xf>
    <xf numFmtId="0" fontId="163" fillId="91" borderId="0">
      <alignment horizontal="center"/>
    </xf>
    <xf numFmtId="0" fontId="164" fillId="92" borderId="0"/>
    <xf numFmtId="0" fontId="165" fillId="90" borderId="0" applyBorder="0">
      <alignment horizontal="centerContinuous"/>
    </xf>
    <xf numFmtId="0" fontId="166" fillId="92" borderId="0" applyBorder="0">
      <alignment horizontal="centerContinuous"/>
    </xf>
    <xf numFmtId="4" fontId="159" fillId="0" borderId="0">
      <alignment horizontal="right"/>
    </xf>
    <xf numFmtId="0" fontId="158" fillId="0" borderId="0" applyNumberFormat="0" applyFont="0" applyFill="0" applyBorder="0" applyAlignment="0" applyProtection="0">
      <alignment horizontal="left"/>
    </xf>
    <xf numFmtId="0" fontId="160" fillId="62" borderId="0">
      <alignment horizontal="center"/>
    </xf>
    <xf numFmtId="0" fontId="160" fillId="62" borderId="0">
      <alignment horizontal="center"/>
    </xf>
    <xf numFmtId="49" fontId="167" fillId="90" borderId="0">
      <alignment horizontal="center"/>
    </xf>
    <xf numFmtId="49" fontId="167" fillId="90" borderId="0">
      <alignment horizontal="center"/>
    </xf>
    <xf numFmtId="4" fontId="168" fillId="0" borderId="0">
      <alignment horizontal="right"/>
    </xf>
    <xf numFmtId="0" fontId="156" fillId="89" borderId="0">
      <alignment horizontal="center"/>
    </xf>
    <xf numFmtId="0" fontId="156" fillId="89" borderId="0">
      <alignment horizontal="center"/>
    </xf>
    <xf numFmtId="0" fontId="156" fillId="89" borderId="0">
      <alignment horizontal="centerContinuous"/>
    </xf>
    <xf numFmtId="0" fontId="156" fillId="89" borderId="0">
      <alignment horizontal="centerContinuous"/>
    </xf>
    <xf numFmtId="0" fontId="169" fillId="90" borderId="0">
      <alignment horizontal="left"/>
    </xf>
    <xf numFmtId="0" fontId="169" fillId="90" borderId="0">
      <alignment horizontal="left"/>
    </xf>
    <xf numFmtId="49" fontId="169" fillId="90" borderId="0">
      <alignment horizontal="center"/>
    </xf>
    <xf numFmtId="49" fontId="169" fillId="90" borderId="0">
      <alignment horizontal="center"/>
    </xf>
    <xf numFmtId="0" fontId="155" fillId="89" borderId="0">
      <alignment horizontal="left"/>
    </xf>
    <xf numFmtId="0" fontId="155" fillId="89" borderId="0">
      <alignment horizontal="left"/>
    </xf>
    <xf numFmtId="49" fontId="169" fillId="90" borderId="0">
      <alignment horizontal="left"/>
    </xf>
    <xf numFmtId="49" fontId="169" fillId="90" borderId="0">
      <alignment horizontal="left"/>
    </xf>
    <xf numFmtId="0" fontId="155" fillId="89" borderId="0">
      <alignment horizontal="centerContinuous"/>
    </xf>
    <xf numFmtId="0" fontId="155" fillId="89" borderId="0">
      <alignment horizontal="centerContinuous"/>
    </xf>
    <xf numFmtId="0" fontId="155" fillId="89" borderId="0">
      <alignment horizontal="right"/>
    </xf>
    <xf numFmtId="0" fontId="155" fillId="89" borderId="0">
      <alignment horizontal="right"/>
    </xf>
    <xf numFmtId="49" fontId="160" fillId="90" borderId="0">
      <alignment horizontal="left"/>
    </xf>
    <xf numFmtId="49" fontId="160" fillId="90" borderId="0">
      <alignment horizontal="left"/>
    </xf>
    <xf numFmtId="0" fontId="156" fillId="89" borderId="0">
      <alignment horizontal="right"/>
    </xf>
    <xf numFmtId="0" fontId="156" fillId="89" borderId="0">
      <alignment horizontal="right"/>
    </xf>
    <xf numFmtId="0" fontId="169" fillId="48" borderId="0">
      <alignment horizontal="center"/>
    </xf>
    <xf numFmtId="0" fontId="169" fillId="48" borderId="0">
      <alignment horizontal="center"/>
    </xf>
    <xf numFmtId="0" fontId="170" fillId="48" borderId="0">
      <alignment horizontal="center"/>
    </xf>
    <xf numFmtId="0" fontId="170" fillId="48" borderId="0">
      <alignment horizontal="center"/>
    </xf>
    <xf numFmtId="0" fontId="171" fillId="0" borderId="0">
      <alignment horizontal="left"/>
    </xf>
    <xf numFmtId="0" fontId="23" fillId="0" borderId="0"/>
    <xf numFmtId="0" fontId="66" fillId="0" borderId="0" applyNumberFormat="0" applyFill="0" applyBorder="0" applyAlignment="0" applyProtection="0"/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68" fillId="0" borderId="26" applyNumberFormat="0" applyFill="0" applyAlignment="0" applyProtection="0"/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172" fillId="90" borderId="0">
      <alignment horizontal="center"/>
    </xf>
    <xf numFmtId="0" fontId="45" fillId="0" borderId="0" applyNumberFormat="0" applyFill="0" applyBorder="0" applyAlignment="0" applyProtection="0"/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75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75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77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77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7" fillId="74" borderId="19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7" fillId="74" borderId="19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13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151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15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0" fontId="173" fillId="0" borderId="0" applyNumberFormat="0" applyFill="0" applyBorder="0" applyAlignment="0" applyProtection="0">
      <alignment vertical="top"/>
      <protection locked="0"/>
    </xf>
    <xf numFmtId="0" fontId="55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0" fontId="86" fillId="64" borderId="22" applyNumberForma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8" fillId="0" borderId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33" fillId="0" borderId="0" applyFont="0" applyFill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9" fillId="0" borderId="23" applyNumberFormat="0" applyFill="0" applyAlignment="0" applyProtection="0">
      <alignment vertical="center"/>
    </xf>
    <xf numFmtId="0" fontId="175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31" fillId="0" borderId="24" applyNumberFormat="0" applyFill="0" applyAlignment="0" applyProtection="0">
      <alignment vertical="center"/>
    </xf>
    <xf numFmtId="0" fontId="176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33" fillId="0" borderId="25" applyNumberFormat="0" applyFill="0" applyAlignment="0" applyProtection="0">
      <alignment vertical="center"/>
    </xf>
    <xf numFmtId="0" fontId="17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80" fillId="0" borderId="23" applyNumberFormat="0" applyFill="0" applyAlignment="0" applyProtection="0">
      <alignment vertical="center"/>
    </xf>
    <xf numFmtId="0" fontId="181" fillId="0" borderId="24" applyNumberFormat="0" applyFill="0" applyAlignment="0" applyProtection="0">
      <alignment vertical="center"/>
    </xf>
    <xf numFmtId="0" fontId="182" fillId="0" borderId="25" applyNumberFormat="0" applyFill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01" fillId="0" borderId="0"/>
    <xf numFmtId="0" fontId="86" fillId="64" borderId="22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5" fillId="0" borderId="0">
      <alignment vertical="center"/>
    </xf>
    <xf numFmtId="0" fontId="113" fillId="0" borderId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86" fillId="64" borderId="22" applyNumberFormat="0" applyAlignment="0" applyProtection="0">
      <alignment vertical="center"/>
    </xf>
    <xf numFmtId="0" fontId="113" fillId="0" borderId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55" fillId="0" borderId="0"/>
    <xf numFmtId="0" fontId="113" fillId="0" borderId="0"/>
    <xf numFmtId="0" fontId="22" fillId="0" borderId="0"/>
    <xf numFmtId="0" fontId="86" fillId="64" borderId="22" applyNumberFormat="0" applyAlignment="0" applyProtection="0">
      <alignment vertical="center"/>
    </xf>
    <xf numFmtId="0" fontId="55" fillId="0" borderId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13" fillId="0" borderId="0"/>
    <xf numFmtId="0" fontId="101" fillId="0" borderId="0"/>
    <xf numFmtId="0" fontId="55" fillId="0" borderId="0"/>
    <xf numFmtId="0" fontId="32" fillId="0" borderId="0">
      <alignment vertical="center"/>
    </xf>
    <xf numFmtId="0" fontId="32" fillId="0" borderId="0">
      <alignment vertical="center"/>
    </xf>
    <xf numFmtId="0" fontId="86" fillId="73" borderId="22" applyNumberFormat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86" fillId="73" borderId="22" applyNumberFormat="0" applyAlignment="0" applyProtection="0">
      <alignment vertical="center"/>
    </xf>
    <xf numFmtId="0" fontId="183" fillId="0" borderId="0"/>
    <xf numFmtId="0" fontId="183" fillId="0" borderId="0"/>
    <xf numFmtId="0" fontId="183" fillId="0" borderId="0"/>
    <xf numFmtId="0" fontId="183" fillId="0" borderId="0"/>
    <xf numFmtId="0" fontId="183" fillId="0" borderId="0"/>
    <xf numFmtId="0" fontId="183" fillId="0" borderId="0"/>
    <xf numFmtId="0" fontId="183" fillId="0" borderId="0"/>
    <xf numFmtId="0" fontId="183" fillId="0" borderId="0"/>
    <xf numFmtId="0" fontId="183" fillId="0" borderId="0"/>
    <xf numFmtId="0" fontId="55" fillId="0" borderId="0">
      <alignment vertical="center"/>
    </xf>
    <xf numFmtId="0" fontId="86" fillId="73" borderId="22" applyNumberFormat="0" applyAlignment="0" applyProtection="0">
      <alignment vertical="center"/>
    </xf>
    <xf numFmtId="0" fontId="113" fillId="0" borderId="0">
      <alignment vertical="center"/>
    </xf>
    <xf numFmtId="0" fontId="127" fillId="64" borderId="22" applyNumberFormat="0" applyAlignment="0" applyProtection="0">
      <alignment vertical="center"/>
    </xf>
    <xf numFmtId="0" fontId="183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8" fillId="0" borderId="0">
      <alignment vertical="center"/>
    </xf>
    <xf numFmtId="0" fontId="74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55" fillId="0" borderId="0">
      <alignment vertical="center"/>
    </xf>
    <xf numFmtId="0" fontId="113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13" fillId="0" borderId="0">
      <alignment vertical="center"/>
    </xf>
    <xf numFmtId="0" fontId="127" fillId="64" borderId="22" applyNumberFormat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97" fillId="0" borderId="0">
      <alignment vertical="center"/>
    </xf>
    <xf numFmtId="0" fontId="8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27" fillId="64" borderId="22" applyNumberFormat="0" applyAlignment="0" applyProtection="0">
      <alignment vertical="center"/>
    </xf>
    <xf numFmtId="0" fontId="33" fillId="0" borderId="0"/>
    <xf numFmtId="0" fontId="8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7" fillId="64" borderId="22" applyNumberFormat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33" fillId="0" borderId="0"/>
    <xf numFmtId="0" fontId="74" fillId="0" borderId="0">
      <alignment vertical="center"/>
    </xf>
    <xf numFmtId="0" fontId="55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8" fillId="0" borderId="0"/>
    <xf numFmtId="0" fontId="74" fillId="0" borderId="0">
      <alignment vertical="center"/>
    </xf>
    <xf numFmtId="0" fontId="97" fillId="0" borderId="0"/>
    <xf numFmtId="0" fontId="151" fillId="0" borderId="0"/>
    <xf numFmtId="0" fontId="74" fillId="0" borderId="0">
      <alignment vertical="center"/>
    </xf>
    <xf numFmtId="0" fontId="97" fillId="0" borderId="0"/>
    <xf numFmtId="0" fontId="78" fillId="0" borderId="0"/>
    <xf numFmtId="0" fontId="74" fillId="0" borderId="0">
      <alignment vertical="center"/>
    </xf>
    <xf numFmtId="0" fontId="97" fillId="0" borderId="0"/>
    <xf numFmtId="0" fontId="78" fillId="0" borderId="0"/>
    <xf numFmtId="0" fontId="74" fillId="0" borderId="0">
      <alignment vertical="center"/>
    </xf>
    <xf numFmtId="0" fontId="97" fillId="0" borderId="0"/>
    <xf numFmtId="0" fontId="78" fillId="0" borderId="0"/>
    <xf numFmtId="0" fontId="97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74" fillId="0" borderId="0">
      <alignment vertical="center"/>
    </xf>
    <xf numFmtId="0" fontId="97" fillId="0" borderId="0"/>
    <xf numFmtId="0" fontId="74" fillId="0" borderId="0">
      <alignment vertical="center"/>
    </xf>
    <xf numFmtId="0" fontId="7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>
      <alignment vertical="center"/>
    </xf>
    <xf numFmtId="0" fontId="74" fillId="0" borderId="0">
      <alignment vertical="center"/>
    </xf>
    <xf numFmtId="0" fontId="8" fillId="0" borderId="0"/>
    <xf numFmtId="0" fontId="55" fillId="0" borderId="0">
      <alignment vertical="center"/>
    </xf>
    <xf numFmtId="0" fontId="97" fillId="0" borderId="0"/>
    <xf numFmtId="0" fontId="8" fillId="0" borderId="0"/>
    <xf numFmtId="0" fontId="8" fillId="0" borderId="0"/>
    <xf numFmtId="0" fontId="97" fillId="0" borderId="0"/>
    <xf numFmtId="0" fontId="97" fillId="0" borderId="0"/>
    <xf numFmtId="0" fontId="8" fillId="0" borderId="0"/>
    <xf numFmtId="0" fontId="97" fillId="0" borderId="0"/>
    <xf numFmtId="0" fontId="97" fillId="0" borderId="0"/>
    <xf numFmtId="0" fontId="8" fillId="0" borderId="0"/>
    <xf numFmtId="0" fontId="97" fillId="0" borderId="0"/>
    <xf numFmtId="0" fontId="97" fillId="0" borderId="0"/>
    <xf numFmtId="0" fontId="8" fillId="0" borderId="0"/>
    <xf numFmtId="0" fontId="8" fillId="0" borderId="0"/>
    <xf numFmtId="0" fontId="55" fillId="0" borderId="0">
      <alignment vertical="center"/>
    </xf>
    <xf numFmtId="0" fontId="127" fillId="64" borderId="22" applyNumberFormat="0" applyAlignment="0" applyProtection="0">
      <alignment vertical="center"/>
    </xf>
    <xf numFmtId="0" fontId="8" fillId="0" borderId="0"/>
    <xf numFmtId="0" fontId="22" fillId="0" borderId="0"/>
    <xf numFmtId="0" fontId="8" fillId="0" borderId="0"/>
    <xf numFmtId="0" fontId="8" fillId="0" borderId="0"/>
    <xf numFmtId="0" fontId="22" fillId="0" borderId="0"/>
    <xf numFmtId="0" fontId="22" fillId="0" borderId="0"/>
    <xf numFmtId="0" fontId="8" fillId="0" borderId="0"/>
    <xf numFmtId="0" fontId="55" fillId="0" borderId="0">
      <alignment vertical="center"/>
    </xf>
    <xf numFmtId="0" fontId="22" fillId="0" borderId="0">
      <alignment vertical="center"/>
    </xf>
    <xf numFmtId="0" fontId="33" fillId="0" borderId="0">
      <alignment vertical="center"/>
    </xf>
    <xf numFmtId="0" fontId="22" fillId="0" borderId="0">
      <alignment vertical="center"/>
    </xf>
    <xf numFmtId="0" fontId="33" fillId="0" borderId="0"/>
    <xf numFmtId="0" fontId="127" fillId="64" borderId="22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5" fillId="0" borderId="0"/>
    <xf numFmtId="0" fontId="127" fillId="64" borderId="2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22" fillId="0" borderId="0"/>
    <xf numFmtId="0" fontId="127" fillId="64" borderId="22" applyNumberFormat="0" applyAlignment="0" applyProtection="0">
      <alignment vertical="center"/>
    </xf>
    <xf numFmtId="0" fontId="22" fillId="0" borderId="0"/>
    <xf numFmtId="0" fontId="8" fillId="0" borderId="0"/>
    <xf numFmtId="0" fontId="22" fillId="0" borderId="0"/>
    <xf numFmtId="0" fontId="127" fillId="64" borderId="22" applyNumberFormat="0" applyAlignment="0" applyProtection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55" fillId="0" borderId="0">
      <alignment vertical="center"/>
    </xf>
    <xf numFmtId="0" fontId="113" fillId="0" borderId="0"/>
    <xf numFmtId="0" fontId="127" fillId="64" borderId="22" applyNumberFormat="0" applyAlignment="0" applyProtection="0">
      <alignment vertical="center"/>
    </xf>
    <xf numFmtId="0" fontId="113" fillId="0" borderId="0">
      <alignment vertical="center"/>
    </xf>
    <xf numFmtId="0" fontId="109" fillId="0" borderId="0">
      <alignment vertical="center"/>
    </xf>
    <xf numFmtId="0" fontId="127" fillId="64" borderId="22" applyNumberFormat="0" applyAlignment="0" applyProtection="0">
      <alignment vertical="center"/>
    </xf>
    <xf numFmtId="0" fontId="8" fillId="0" borderId="0"/>
    <xf numFmtId="0" fontId="86" fillId="73" borderId="22" applyNumberFormat="0" applyAlignment="0" applyProtection="0">
      <alignment vertical="center"/>
    </xf>
    <xf numFmtId="0" fontId="33" fillId="0" borderId="0"/>
    <xf numFmtId="0" fontId="33" fillId="0" borderId="0"/>
    <xf numFmtId="0" fontId="8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55" fillId="0" borderId="0"/>
    <xf numFmtId="0" fontId="109" fillId="0" borderId="0">
      <alignment vertical="center"/>
    </xf>
    <xf numFmtId="0" fontId="33" fillId="0" borderId="0"/>
    <xf numFmtId="0" fontId="55" fillId="0" borderId="0"/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22" fillId="0" borderId="0">
      <alignment vertical="center"/>
    </xf>
    <xf numFmtId="0" fontId="86" fillId="73" borderId="22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5" fillId="0" borderId="0"/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84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14" fillId="0" borderId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2" fillId="0" borderId="0"/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22" fillId="0" borderId="0"/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3" fillId="0" borderId="0"/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Protection="0"/>
    <xf numFmtId="0" fontId="25" fillId="42" borderId="0" applyNumberFormat="0" applyBorder="0" applyAlignment="0" applyProtection="0">
      <alignment vertical="center"/>
    </xf>
    <xf numFmtId="0" fontId="25" fillId="7" borderId="0" applyProtection="0"/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Protection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74" fillId="0" borderId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55" fillId="0" borderId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14" fillId="0" borderId="0">
      <alignment vertical="center"/>
    </xf>
    <xf numFmtId="0" fontId="115" fillId="0" borderId="0"/>
    <xf numFmtId="0" fontId="8" fillId="0" borderId="0"/>
    <xf numFmtId="0" fontId="8" fillId="0" borderId="0"/>
    <xf numFmtId="0" fontId="8" fillId="0" borderId="0"/>
    <xf numFmtId="0" fontId="92" fillId="64" borderId="2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>
      <alignment vertical="center"/>
    </xf>
    <xf numFmtId="0" fontId="22" fillId="0" borderId="0"/>
    <xf numFmtId="0" fontId="8" fillId="0" borderId="0"/>
    <xf numFmtId="0" fontId="92" fillId="64" borderId="27" applyNumberFormat="0" applyAlignment="0" applyProtection="0">
      <alignment vertical="center"/>
    </xf>
    <xf numFmtId="0" fontId="8" fillId="0" borderId="0"/>
    <xf numFmtId="0" fontId="8" fillId="0" borderId="0"/>
    <xf numFmtId="0" fontId="92" fillId="64" borderId="2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4" fillId="0" borderId="0"/>
    <xf numFmtId="0" fontId="8" fillId="0" borderId="0"/>
    <xf numFmtId="0" fontId="2" fillId="0" borderId="0">
      <alignment vertical="center"/>
    </xf>
    <xf numFmtId="0" fontId="92" fillId="64" borderId="27" applyNumberFormat="0" applyAlignment="0" applyProtection="0">
      <alignment vertical="center"/>
    </xf>
    <xf numFmtId="0" fontId="8" fillId="0" borderId="0"/>
    <xf numFmtId="0" fontId="92" fillId="64" borderId="27" applyNumberFormat="0" applyAlignment="0" applyProtection="0">
      <alignment vertical="center"/>
    </xf>
    <xf numFmtId="0" fontId="8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4" fillId="0" borderId="0"/>
    <xf numFmtId="0" fontId="8" fillId="0" borderId="0"/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8" fillId="0" borderId="0"/>
    <xf numFmtId="0" fontId="8" fillId="0" borderId="0"/>
    <xf numFmtId="0" fontId="92" fillId="64" borderId="27" applyNumberFormat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74" fillId="0" borderId="0"/>
    <xf numFmtId="0" fontId="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8" fillId="0" borderId="0"/>
    <xf numFmtId="0" fontId="74" fillId="0" borderId="0">
      <alignment vertical="center"/>
    </xf>
    <xf numFmtId="0" fontId="8" fillId="0" borderId="0"/>
    <xf numFmtId="0" fontId="8" fillId="0" borderId="0"/>
    <xf numFmtId="0" fontId="74" fillId="0" borderId="0">
      <alignment vertical="center"/>
    </xf>
    <xf numFmtId="0" fontId="149" fillId="0" borderId="0"/>
    <xf numFmtId="0" fontId="149" fillId="0" borderId="0">
      <alignment vertical="center"/>
    </xf>
    <xf numFmtId="0" fontId="32" fillId="0" borderId="0">
      <alignment vertical="center"/>
    </xf>
    <xf numFmtId="0" fontId="8" fillId="0" borderId="0"/>
    <xf numFmtId="0" fontId="8" fillId="0" borderId="0"/>
    <xf numFmtId="0" fontId="8" fillId="0" borderId="0"/>
    <xf numFmtId="0" fontId="74" fillId="0" borderId="0">
      <alignment vertical="center"/>
    </xf>
    <xf numFmtId="0" fontId="7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3" fillId="0" borderId="0"/>
    <xf numFmtId="0" fontId="8" fillId="0" borderId="0"/>
    <xf numFmtId="0" fontId="55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33" fillId="0" borderId="0"/>
    <xf numFmtId="0" fontId="8" fillId="0" borderId="0"/>
    <xf numFmtId="0" fontId="3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8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93" fillId="48" borderId="22" applyNumberFormat="0" applyAlignment="0" applyProtection="0">
      <alignment vertical="center"/>
    </xf>
    <xf numFmtId="0" fontId="55" fillId="0" borderId="0"/>
    <xf numFmtId="0" fontId="33" fillId="0" borderId="0"/>
    <xf numFmtId="0" fontId="8" fillId="0" borderId="0"/>
    <xf numFmtId="0" fontId="55" fillId="0" borderId="0"/>
    <xf numFmtId="0" fontId="33" fillId="0" borderId="0"/>
    <xf numFmtId="0" fontId="8" fillId="0" borderId="0"/>
    <xf numFmtId="0" fontId="55" fillId="0" borderId="0"/>
    <xf numFmtId="0" fontId="33" fillId="0" borderId="0"/>
    <xf numFmtId="0" fontId="8" fillId="0" borderId="0"/>
    <xf numFmtId="0" fontId="55" fillId="0" borderId="0"/>
    <xf numFmtId="0" fontId="33" fillId="0" borderId="0"/>
    <xf numFmtId="0" fontId="8" fillId="0" borderId="0"/>
    <xf numFmtId="0" fontId="55" fillId="0" borderId="0"/>
    <xf numFmtId="0" fontId="33" fillId="0" borderId="0"/>
    <xf numFmtId="0" fontId="8" fillId="0" borderId="0"/>
    <xf numFmtId="0" fontId="55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15" fillId="0" borderId="0"/>
    <xf numFmtId="0" fontId="8" fillId="0" borderId="0"/>
    <xf numFmtId="0" fontId="8" fillId="0" borderId="0"/>
    <xf numFmtId="0" fontId="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3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93" fillId="48" borderId="2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8" fillId="0" borderId="0"/>
    <xf numFmtId="0" fontId="8" fillId="0" borderId="0"/>
    <xf numFmtId="0" fontId="93" fillId="48" borderId="22" applyNumberFormat="0" applyAlignment="0" applyProtection="0">
      <alignment vertical="center"/>
    </xf>
    <xf numFmtId="0" fontId="8" fillId="0" borderId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2" fillId="0" borderId="0">
      <alignment vertical="center"/>
    </xf>
    <xf numFmtId="0" fontId="8" fillId="0" borderId="0"/>
    <xf numFmtId="0" fontId="22" fillId="0" borderId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8" fillId="0" borderId="0"/>
    <xf numFmtId="0" fontId="8" fillId="0" borderId="0"/>
    <xf numFmtId="0" fontId="11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4" fillId="0" borderId="0">
      <alignment vertical="center"/>
    </xf>
    <xf numFmtId="0" fontId="7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>
      <alignment vertical="center"/>
    </xf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3" fillId="48" borderId="22" applyNumberFormat="0" applyAlignment="0" applyProtection="0">
      <alignment vertical="center"/>
    </xf>
    <xf numFmtId="0" fontId="3" fillId="0" borderId="0"/>
    <xf numFmtId="0" fontId="8" fillId="0" borderId="0"/>
    <xf numFmtId="0" fontId="8" fillId="0" borderId="0"/>
    <xf numFmtId="0" fontId="22" fillId="0" borderId="0">
      <alignment vertical="center"/>
    </xf>
    <xf numFmtId="0" fontId="8" fillId="0" borderId="0"/>
    <xf numFmtId="0" fontId="8" fillId="0" borderId="0"/>
    <xf numFmtId="0" fontId="55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8" fillId="0" borderId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55" fillId="0" borderId="0"/>
    <xf numFmtId="0" fontId="8" fillId="0" borderId="0"/>
    <xf numFmtId="0" fontId="8" fillId="0" borderId="0"/>
    <xf numFmtId="0" fontId="17" fillId="0" borderId="0"/>
    <xf numFmtId="0" fontId="8" fillId="0" borderId="0">
      <alignment vertical="center"/>
    </xf>
    <xf numFmtId="0" fontId="8" fillId="0" borderId="0">
      <alignment vertical="center"/>
    </xf>
    <xf numFmtId="0" fontId="33" fillId="0" borderId="0"/>
    <xf numFmtId="0" fontId="8" fillId="0" borderId="0">
      <alignment vertical="center"/>
    </xf>
    <xf numFmtId="0" fontId="55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3" fillId="48" borderId="22" applyNumberFormat="0" applyAlignment="0" applyProtection="0">
      <alignment vertical="center"/>
    </xf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4" fillId="0" borderId="0">
      <alignment vertical="center"/>
    </xf>
    <xf numFmtId="0" fontId="8" fillId="0" borderId="0"/>
    <xf numFmtId="0" fontId="2" fillId="0" borderId="0">
      <alignment vertical="center"/>
    </xf>
    <xf numFmtId="0" fontId="8" fillId="0" borderId="0"/>
    <xf numFmtId="0" fontId="74" fillId="0" borderId="0">
      <alignment vertical="center"/>
    </xf>
    <xf numFmtId="0" fontId="2" fillId="0" borderId="0">
      <alignment vertical="center"/>
    </xf>
    <xf numFmtId="0" fontId="5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7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115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93" fillId="48" borderId="2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52" fillId="57" borderId="0" applyNumberFormat="0" applyBorder="0" applyAlignment="0" applyProtection="0">
      <alignment vertical="center"/>
    </xf>
    <xf numFmtId="0" fontId="152" fillId="58" borderId="0" applyNumberFormat="0" applyBorder="0" applyAlignment="0" applyProtection="0">
      <alignment vertical="center"/>
    </xf>
    <xf numFmtId="0" fontId="152" fillId="59" borderId="0" applyNumberFormat="0" applyBorder="0" applyAlignment="0" applyProtection="0">
      <alignment vertical="center"/>
    </xf>
    <xf numFmtId="0" fontId="152" fillId="54" borderId="0" applyNumberFormat="0" applyBorder="0" applyAlignment="0" applyProtection="0">
      <alignment vertical="center"/>
    </xf>
    <xf numFmtId="0" fontId="152" fillId="55" borderId="0" applyNumberFormat="0" applyBorder="0" applyAlignment="0" applyProtection="0">
      <alignment vertical="center"/>
    </xf>
    <xf numFmtId="0" fontId="152" fillId="60" borderId="0" applyNumberFormat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88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90" fillId="43" borderId="0" applyNumberFormat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91" fillId="43" borderId="0" applyNumberFormat="0" applyBorder="0" applyAlignment="0" applyProtection="0">
      <alignment vertical="center"/>
    </xf>
    <xf numFmtId="0" fontId="191" fillId="43" borderId="0" applyNumberFormat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191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Protection="0"/>
    <xf numFmtId="0" fontId="27" fillId="43" borderId="0" applyNumberFormat="0" applyBorder="0" applyAlignment="0" applyProtection="0">
      <alignment vertical="center"/>
    </xf>
    <xf numFmtId="0" fontId="27" fillId="66" borderId="0" applyProtection="0"/>
    <xf numFmtId="0" fontId="191" fillId="43" borderId="0" applyNumberFormat="0" applyBorder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Protection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43" fontId="3" fillId="0" borderId="0" applyFont="0" applyFill="0" applyBorder="0" applyAlignment="0" applyProtection="0"/>
    <xf numFmtId="0" fontId="8" fillId="78" borderId="20" applyNumberFormat="0" applyFont="0" applyAlignment="0" applyProtection="0">
      <alignment vertical="center"/>
    </xf>
    <xf numFmtId="185" fontId="194" fillId="0" borderId="0" applyFont="0" applyFill="0" applyBorder="0" applyAlignment="0" applyProtection="0">
      <alignment vertical="center"/>
    </xf>
    <xf numFmtId="185" fontId="194" fillId="0" borderId="0" applyFon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38" fontId="33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/>
    <xf numFmtId="38" fontId="3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38" fontId="32" fillId="0" borderId="0" applyFon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38" fontId="33" fillId="0" borderId="0" applyFont="0" applyFill="0" applyBorder="0" applyAlignment="0" applyProtection="0"/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38" fontId="174" fillId="0" borderId="0" applyFont="0" applyFill="0" applyBorder="0" applyAlignment="0" applyProtection="0">
      <alignment vertical="center"/>
    </xf>
    <xf numFmtId="38" fontId="114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195" fillId="0" borderId="0" applyNumberFormat="0" applyFill="0" applyBorder="0" applyAlignment="0" applyProtection="0">
      <alignment horizontal="left"/>
      <protection locked="0"/>
    </xf>
    <xf numFmtId="0" fontId="196" fillId="42" borderId="0" applyNumberFormat="0" applyBorder="0" applyAlignment="0" applyProtection="0">
      <alignment vertical="center"/>
    </xf>
    <xf numFmtId="0" fontId="197" fillId="42" borderId="0" applyNumberFormat="0" applyBorder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176" fontId="33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201" fillId="61" borderId="19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87" fillId="74" borderId="19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87" fillId="74" borderId="19" applyNumberFormat="0" applyAlignment="0" applyProtection="0">
      <alignment vertical="center"/>
    </xf>
    <xf numFmtId="0" fontId="202" fillId="61" borderId="19" applyNumberFormat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130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13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6" fillId="0" borderId="21" applyNumberFormat="0" applyFill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0" fontId="207" fillId="0" borderId="21" applyNumberFormat="0" applyFill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08" fillId="0" borderId="9" applyNumberFormat="0" applyFill="0" applyBorder="0" applyAlignment="0" applyProtection="0">
      <protection locked="0"/>
    </xf>
    <xf numFmtId="0" fontId="208" fillId="0" borderId="0" applyNumberFormat="0" applyFill="0" applyBorder="0" applyAlignment="0" applyProtection="0">
      <alignment horizontal="left"/>
      <protection locked="0"/>
    </xf>
    <xf numFmtId="0" fontId="209" fillId="0" borderId="0" applyNumberFormat="0" applyFill="0" applyBorder="0" applyAlignment="0" applyProtection="0">
      <alignment horizontal="left"/>
      <protection locked="0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38" fontId="113" fillId="0" borderId="0" applyFont="0" applyFill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38" fontId="101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63" borderId="20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153" fillId="57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75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75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153" fillId="58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153" fillId="59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153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153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153" fillId="60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80" fillId="77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80" fillId="77" borderId="0" applyNumberFormat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210" fillId="62" borderId="0" applyNumberFormat="0" applyBorder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6" fontId="33" fillId="0" borderId="0" applyFont="0" applyFill="0" applyBorder="0" applyAlignment="0" applyProtection="0"/>
    <xf numFmtId="0" fontId="216" fillId="0" borderId="0"/>
    <xf numFmtId="0" fontId="217" fillId="0" borderId="0"/>
    <xf numFmtId="0" fontId="217" fillId="0" borderId="0"/>
    <xf numFmtId="0" fontId="216" fillId="0" borderId="0"/>
    <xf numFmtId="0" fontId="120" fillId="64" borderId="27" applyNumberFormat="0" applyAlignment="0" applyProtection="0">
      <alignment vertical="center"/>
    </xf>
    <xf numFmtId="0" fontId="30" fillId="0" borderId="0">
      <alignment vertical="center"/>
    </xf>
    <xf numFmtId="0" fontId="218" fillId="0" borderId="0" applyBorder="0">
      <alignment horizontal="left"/>
      <protection locked="0"/>
    </xf>
    <xf numFmtId="0" fontId="23" fillId="0" borderId="0"/>
    <xf numFmtId="0" fontId="101" fillId="0" borderId="0"/>
    <xf numFmtId="0" fontId="101" fillId="0" borderId="0"/>
    <xf numFmtId="0" fontId="219" fillId="62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55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69" fillId="64" borderId="22" applyNumberFormat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71" fillId="48" borderId="22" applyNumberFormat="0" applyAlignment="0" applyProtection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23" fillId="63" borderId="20" applyNumberFormat="0" applyFont="0" applyAlignment="0" applyProtection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30" fillId="0" borderId="0">
      <alignment vertical="center"/>
    </xf>
    <xf numFmtId="0" fontId="97" fillId="0" borderId="0"/>
    <xf numFmtId="0" fontId="97" fillId="0" borderId="0"/>
    <xf numFmtId="0" fontId="97" fillId="0" borderId="0"/>
    <xf numFmtId="0" fontId="25" fillId="42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3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4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8" fillId="0" borderId="9" applyNumberFormat="0" applyFill="0" applyBorder="0" applyAlignment="0" applyProtection="0">
      <protection locked="0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3" fillId="0" borderId="0"/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2" fillId="0" borderId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2" fillId="0" borderId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14" fillId="0" borderId="0">
      <alignment vertical="center"/>
    </xf>
    <xf numFmtId="0" fontId="198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68" fillId="0" borderId="26" applyNumberFormat="0" applyFill="0" applyAlignment="0" applyProtection="0"/>
    <xf numFmtId="0" fontId="85" fillId="0" borderId="26" applyNumberFormat="0" applyFill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3" fillId="63" borderId="20" applyNumberFormat="0" applyFont="0" applyAlignment="0" applyProtection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71" fillId="48" borderId="22" applyNumberFormat="0" applyAlignment="0" applyProtection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69" fillId="64" borderId="22" applyNumberFormat="0" applyAlignment="0" applyProtection="0"/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0" borderId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93" borderId="20" applyNumberFormat="0" applyAlignment="0" applyProtection="0"/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85" fillId="0" borderId="26" applyNumberFormat="0" applyFill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93" borderId="20" applyNumberFormat="0" applyAlignment="0" applyProtection="0"/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70" fillId="64" borderId="27" applyNumberFormat="0" applyAlignment="0" applyProtection="0"/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3" fillId="63" borderId="20" applyNumberFormat="0" applyFont="0" applyAlignment="0" applyProtection="0"/>
    <xf numFmtId="0" fontId="22" fillId="63" borderId="20" applyNumberFormat="0" applyFont="0" applyAlignment="0" applyProtection="0">
      <alignment vertical="center"/>
    </xf>
    <xf numFmtId="0" fontId="71" fillId="48" borderId="22" applyNumberFormat="0" applyAlignment="0" applyProtection="0"/>
    <xf numFmtId="0" fontId="93" fillId="48" borderId="22" applyNumberFormat="0" applyAlignment="0" applyProtection="0">
      <alignment vertical="center"/>
    </xf>
    <xf numFmtId="0" fontId="69" fillId="64" borderId="22" applyNumberFormat="0" applyAlignment="0" applyProtection="0"/>
    <xf numFmtId="0" fontId="86" fillId="64" borderId="22" applyNumberForma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68" fillId="0" borderId="26" applyNumberFormat="0" applyFill="0" applyAlignment="0" applyProtection="0"/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2" fillId="0" borderId="31">
      <alignment horizontal="left"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/>
    <xf numFmtId="0" fontId="114" fillId="0" borderId="0">
      <alignment vertical="center"/>
    </xf>
    <xf numFmtId="0" fontId="22" fillId="0" borderId="0"/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55" fillId="0" borderId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68" fillId="0" borderId="26" applyNumberFormat="0" applyFill="0" applyAlignment="0" applyProtection="0"/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70" fillId="64" borderId="27" applyNumberFormat="0" applyAlignment="0" applyProtection="0"/>
    <xf numFmtId="0" fontId="70" fillId="64" borderId="27" applyNumberFormat="0" applyAlignment="0" applyProtection="0"/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3" fillId="63" borderId="20" applyNumberFormat="0" applyFont="0" applyAlignment="0" applyProtection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71" fillId="48" borderId="22" applyNumberFormat="0" applyAlignment="0" applyProtection="0"/>
    <xf numFmtId="0" fontId="71" fillId="48" borderId="22" applyNumberFormat="0" applyAlignment="0" applyProtection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69" fillId="64" borderId="22" applyNumberFormat="0" applyAlignment="0" applyProtection="0"/>
    <xf numFmtId="0" fontId="69" fillId="64" borderId="22" applyNumberFormat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69" fillId="64" borderId="22" applyNumberFormat="0" applyAlignment="0" applyProtection="0"/>
    <xf numFmtId="0" fontId="22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/>
    <xf numFmtId="0" fontId="55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09" fillId="0" borderId="0">
      <alignment vertical="center"/>
    </xf>
    <xf numFmtId="0" fontId="55" fillId="0" borderId="0">
      <alignment vertical="center"/>
    </xf>
    <xf numFmtId="0" fontId="109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22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68" fillId="0" borderId="26" applyNumberFormat="0" applyFill="0" applyAlignment="0" applyProtection="0"/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199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71" fillId="48" borderId="22" applyNumberFormat="0" applyAlignment="0" applyProtection="0"/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2" fillId="78" borderId="20" applyProtection="0">
      <alignment vertical="center"/>
    </xf>
    <xf numFmtId="0" fontId="30" fillId="0" borderId="0">
      <alignment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23" fillId="63" borderId="20" applyNumberFormat="0" applyFont="0" applyAlignment="0" applyProtection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55" fillId="0" borderId="0">
      <alignment vertical="center"/>
    </xf>
    <xf numFmtId="0" fontId="114" fillId="0" borderId="0">
      <alignment vertical="center"/>
    </xf>
    <xf numFmtId="0" fontId="22" fillId="0" borderId="0"/>
    <xf numFmtId="0" fontId="22" fillId="0" borderId="0"/>
    <xf numFmtId="0" fontId="3" fillId="0" borderId="0"/>
    <xf numFmtId="0" fontId="2" fillId="0" borderId="0">
      <alignment vertical="center"/>
    </xf>
    <xf numFmtId="0" fontId="3" fillId="0" borderId="0"/>
    <xf numFmtId="0" fontId="22" fillId="0" borderId="0"/>
    <xf numFmtId="0" fontId="22" fillId="0" borderId="0"/>
    <xf numFmtId="0" fontId="114" fillId="0" borderId="0">
      <alignment vertical="center"/>
    </xf>
    <xf numFmtId="0" fontId="22" fillId="0" borderId="0"/>
    <xf numFmtId="0" fontId="3" fillId="0" borderId="0"/>
    <xf numFmtId="0" fontId="109" fillId="0" borderId="0">
      <alignment vertical="center"/>
    </xf>
    <xf numFmtId="0" fontId="109" fillId="0" borderId="0">
      <alignment vertical="center"/>
    </xf>
    <xf numFmtId="0" fontId="74" fillId="0" borderId="0">
      <alignment vertical="center"/>
    </xf>
    <xf numFmtId="0" fontId="55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30" fillId="0" borderId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30" fillId="0" borderId="0">
      <alignment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30" fillId="0" borderId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23" fillId="63" borderId="20" applyNumberFormat="0" applyFont="0" applyAlignment="0" applyProtection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19" borderId="0" applyNumberFormat="0" applyBorder="0" applyAlignment="0" applyProtection="0">
      <alignment vertical="center"/>
    </xf>
    <xf numFmtId="0" fontId="22" fillId="0" borderId="0"/>
    <xf numFmtId="0" fontId="30" fillId="23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2" fillId="0" borderId="0"/>
    <xf numFmtId="0" fontId="30" fillId="3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20" fillId="21" borderId="0" applyNumberFormat="0" applyBorder="0" applyAlignment="0" applyProtection="0">
      <alignment vertical="center"/>
    </xf>
    <xf numFmtId="0" fontId="220" fillId="25" borderId="0" applyNumberFormat="0" applyBorder="0" applyAlignment="0" applyProtection="0">
      <alignment vertical="center"/>
    </xf>
    <xf numFmtId="0" fontId="3" fillId="0" borderId="0"/>
    <xf numFmtId="0" fontId="220" fillId="29" borderId="0" applyNumberFormat="0" applyBorder="0" applyAlignment="0" applyProtection="0">
      <alignment vertical="center"/>
    </xf>
    <xf numFmtId="0" fontId="220" fillId="33" borderId="0" applyNumberFormat="0" applyBorder="0" applyAlignment="0" applyProtection="0">
      <alignment vertical="center"/>
    </xf>
    <xf numFmtId="0" fontId="220" fillId="37" borderId="0" applyNumberFormat="0" applyBorder="0" applyAlignment="0" applyProtection="0">
      <alignment vertical="center"/>
    </xf>
    <xf numFmtId="0" fontId="220" fillId="41" borderId="0" applyNumberFormat="0" applyBorder="0" applyAlignment="0" applyProtection="0">
      <alignment vertical="center"/>
    </xf>
    <xf numFmtId="190" fontId="154" fillId="0" borderId="0" applyFill="0" applyBorder="0" applyAlignment="0">
      <alignment vertical="center"/>
    </xf>
    <xf numFmtId="190" fontId="221" fillId="0" borderId="0" applyFill="0" applyBorder="0" applyAlignment="0">
      <alignment vertical="center"/>
    </xf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102" fillId="0" borderId="30" applyNumberFormat="0" applyAlignment="0" applyProtection="0">
      <alignment horizontal="left" vertical="center"/>
    </xf>
    <xf numFmtId="0" fontId="222" fillId="0" borderId="30" applyNumberFormat="0" applyAlignment="0" applyProtection="0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22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222" fillId="0" borderId="31">
      <alignment horizontal="left" vertical="center"/>
    </xf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220" fillId="18" borderId="0" applyNumberFormat="0" applyBorder="0" applyAlignment="0" applyProtection="0">
      <alignment vertical="center"/>
    </xf>
    <xf numFmtId="0" fontId="220" fillId="22" borderId="0" applyNumberFormat="0" applyBorder="0" applyAlignment="0" applyProtection="0">
      <alignment vertical="center"/>
    </xf>
    <xf numFmtId="0" fontId="220" fillId="26" borderId="0" applyNumberFormat="0" applyBorder="0" applyAlignment="0" applyProtection="0">
      <alignment vertical="center"/>
    </xf>
    <xf numFmtId="0" fontId="220" fillId="30" borderId="0" applyNumberFormat="0" applyBorder="0" applyAlignment="0" applyProtection="0">
      <alignment vertical="center"/>
    </xf>
    <xf numFmtId="0" fontId="220" fillId="34" borderId="0" applyNumberFormat="0" applyBorder="0" applyAlignment="0" applyProtection="0">
      <alignment vertical="center"/>
    </xf>
    <xf numFmtId="0" fontId="220" fillId="38" borderId="0" applyNumberFormat="0" applyBorder="0" applyAlignment="0" applyProtection="0">
      <alignment vertical="center"/>
    </xf>
    <xf numFmtId="0" fontId="23" fillId="0" borderId="0">
      <alignment vertical="center"/>
    </xf>
    <xf numFmtId="0" fontId="161" fillId="0" borderId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4" fillId="16" borderId="16" applyNumberFormat="0" applyAlignment="0" applyProtection="0">
      <alignment vertical="center"/>
    </xf>
    <xf numFmtId="0" fontId="225" fillId="13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0" fillId="17" borderId="17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6" fillId="0" borderId="15" applyNumberFormat="0" applyFill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8" fillId="0" borderId="0"/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9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5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9" fillId="0" borderId="0">
      <alignment vertical="center"/>
    </xf>
    <xf numFmtId="0" fontId="228" fillId="0" borderId="0">
      <alignment vertical="center"/>
    </xf>
    <xf numFmtId="0" fontId="109" fillId="0" borderId="0">
      <alignment vertical="center"/>
    </xf>
    <xf numFmtId="0" fontId="228" fillId="0" borderId="0">
      <alignment vertical="center"/>
    </xf>
    <xf numFmtId="0" fontId="174" fillId="0" borderId="0">
      <alignment vertical="center"/>
    </xf>
    <xf numFmtId="0" fontId="55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4" fillId="0" borderId="0">
      <alignment vertical="center"/>
    </xf>
    <xf numFmtId="0" fontId="8" fillId="0" borderId="0"/>
    <xf numFmtId="0" fontId="8" fillId="0" borderId="0"/>
    <xf numFmtId="0" fontId="8" fillId="0" borderId="0"/>
    <xf numFmtId="0" fontId="5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4" fillId="0" borderId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29" fillId="15" borderId="14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22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22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230" fillId="0" borderId="18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31" fillId="15" borderId="13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32" fillId="0" borderId="10" applyNumberFormat="0" applyFill="0" applyAlignment="0" applyProtection="0">
      <alignment vertical="center"/>
    </xf>
    <xf numFmtId="0" fontId="233" fillId="0" borderId="11" applyNumberFormat="0" applyFill="0" applyAlignment="0" applyProtection="0">
      <alignment vertical="center"/>
    </xf>
    <xf numFmtId="0" fontId="234" fillId="0" borderId="12" applyNumberFormat="0" applyFill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5" fillId="0" borderId="0" applyNumberFormat="0" applyFill="0" applyBorder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08" fillId="0" borderId="9" applyNumberFormat="0" applyFill="0" applyBorder="0" applyAlignment="0" applyProtection="0">
      <protection locked="0"/>
    </xf>
    <xf numFmtId="0" fontId="208" fillId="0" borderId="9" applyNumberFormat="0" applyFill="0" applyBorder="0" applyAlignment="0" applyProtection="0">
      <protection locked="0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37" fillId="14" borderId="13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16" fillId="0" borderId="0">
      <alignment vertical="center"/>
    </xf>
    <xf numFmtId="0" fontId="239" fillId="0" borderId="0">
      <alignment vertical="center"/>
    </xf>
    <xf numFmtId="0" fontId="23" fillId="0" borderId="0">
      <alignment vertical="center"/>
    </xf>
    <xf numFmtId="0" fontId="161" fillId="0" borderId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14" fillId="0" borderId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30" fillId="0" borderId="0">
      <alignment vertical="center"/>
    </xf>
    <xf numFmtId="38" fontId="30" fillId="0" borderId="0" applyFont="0" applyFill="0" applyBorder="0" applyAlignment="0" applyProtection="0">
      <alignment vertical="center"/>
    </xf>
    <xf numFmtId="0" fontId="149" fillId="0" borderId="0"/>
    <xf numFmtId="178" fontId="23" fillId="0" borderId="0" applyFont="0" applyFill="0" applyBorder="0" applyAlignment="0" applyProtection="0"/>
    <xf numFmtId="0" fontId="149" fillId="0" borderId="0"/>
    <xf numFmtId="0" fontId="149" fillId="0" borderId="0"/>
    <xf numFmtId="0" fontId="149" fillId="0" borderId="0"/>
    <xf numFmtId="0" fontId="149" fillId="0" borderId="0"/>
    <xf numFmtId="177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49" fillId="0" borderId="0"/>
    <xf numFmtId="0" fontId="149" fillId="0" borderId="0"/>
    <xf numFmtId="0" fontId="149" fillId="0" borderId="0"/>
    <xf numFmtId="0" fontId="95" fillId="0" borderId="0"/>
    <xf numFmtId="0" fontId="149" fillId="0" borderId="0"/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65" borderId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78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78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78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7" borderId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66" borderId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9" borderId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4" borderId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67" borderId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51" fillId="45" borderId="0" applyNumberFormat="0" applyBorder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2" fillId="9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51" fillId="4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51" fillId="43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2" fillId="6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51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2" fillId="9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51" fillId="47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34" fillId="83" borderId="0" applyNumberFormat="0" applyBorder="0" applyAlignment="0" applyProtection="0"/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51" fillId="48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34" fillId="84" borderId="0" applyNumberFormat="0" applyBorder="0" applyAlignment="0" applyProtection="0"/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" borderId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68" borderId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" borderId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9" borderId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" borderId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10" borderId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51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2" fillId="6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151" fillId="50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34" fillId="86" borderId="0" applyNumberFormat="0" applyBorder="0" applyAlignment="0" applyProtection="0"/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2" fillId="0" borderId="0">
      <alignment vertical="center"/>
    </xf>
    <xf numFmtId="0" fontId="28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151" fillId="5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2" fillId="6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51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2" fillId="6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51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34" fillId="85" borderId="0" applyNumberFormat="0" applyBorder="0" applyAlignment="0" applyProtection="0"/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151" fillId="5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69" borderId="0" applyProtection="0">
      <alignment vertical="center"/>
    </xf>
    <xf numFmtId="0" fontId="240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68" borderId="0" applyProtection="0">
      <alignment vertical="center"/>
    </xf>
    <xf numFmtId="0" fontId="240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98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98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98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" borderId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94" borderId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71" borderId="0" applyProtection="0">
      <alignment vertical="center"/>
    </xf>
    <xf numFmtId="0" fontId="240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80" fillId="72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80" fillId="72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80" fillId="72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72" borderId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153" fillId="53" borderId="0" applyNumberFormat="0" applyBorder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241" fillId="71" borderId="0" applyNumberFormat="0" applyBorder="0" applyAlignment="0" applyProtection="0">
      <alignment vertical="center"/>
    </xf>
    <xf numFmtId="0" fontId="100" fillId="53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69" borderId="0" applyProtection="0">
      <alignment vertical="center"/>
    </xf>
    <xf numFmtId="0" fontId="100" fillId="53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153" fillId="50" borderId="0" applyNumberFormat="0" applyBorder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241" fillId="68" borderId="0" applyNumberFormat="0" applyBorder="0" applyAlignment="0" applyProtection="0">
      <alignment vertical="center"/>
    </xf>
    <xf numFmtId="0" fontId="10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68" borderId="0" applyProtection="0">
      <alignment vertical="center"/>
    </xf>
    <xf numFmtId="0" fontId="10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153" fillId="51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241" fillId="2" borderId="0" applyNumberFormat="0" applyBorder="0" applyAlignment="0" applyProtection="0">
      <alignment vertical="center"/>
    </xf>
    <xf numFmtId="0" fontId="100" fillId="51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" borderId="0" applyProtection="0">
      <alignment vertical="center"/>
    </xf>
    <xf numFmtId="0" fontId="100" fillId="51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153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241" fillId="73" borderId="0" applyNumberFormat="0" applyBorder="0" applyAlignment="0" applyProtection="0">
      <alignment vertical="center"/>
    </xf>
    <xf numFmtId="0" fontId="10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94" borderId="0" applyProtection="0">
      <alignment vertical="center"/>
    </xf>
    <xf numFmtId="0" fontId="10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153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241" fillId="71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71" borderId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153" fillId="56" borderId="0" applyNumberFormat="0" applyBorder="0" applyAlignment="0" applyProtection="0">
      <alignment vertical="center"/>
    </xf>
    <xf numFmtId="0" fontId="80" fillId="72" borderId="0" applyNumberFormat="0" applyBorder="0" applyAlignment="0" applyProtection="0">
      <alignment vertical="center"/>
    </xf>
    <xf numFmtId="0" fontId="241" fillId="67" borderId="0" applyNumberFormat="0" applyBorder="0" applyAlignment="0" applyProtection="0">
      <alignment vertical="center"/>
    </xf>
    <xf numFmtId="0" fontId="100" fillId="56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72" borderId="0" applyProtection="0">
      <alignment vertical="center"/>
    </xf>
    <xf numFmtId="0" fontId="100" fillId="56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195" fontId="242" fillId="0" borderId="28" applyAlignment="0" applyProtection="0"/>
    <xf numFmtId="195" fontId="242" fillId="0" borderId="28" applyAlignment="0" applyProtection="0"/>
    <xf numFmtId="195" fontId="242" fillId="0" borderId="28" applyAlignment="0" applyProtection="0"/>
    <xf numFmtId="195" fontId="242" fillId="0" borderId="28" applyAlignment="0" applyProtection="0"/>
    <xf numFmtId="190" fontId="154" fillId="0" borderId="0" applyFill="0" applyBorder="0" applyAlignment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243" fillId="0" borderId="32">
      <alignment horizontal="center"/>
    </xf>
    <xf numFmtId="193" fontId="8" fillId="0" borderId="0" applyFont="0" applyFill="0" applyBorder="0" applyAlignment="0" applyProtection="0"/>
    <xf numFmtId="188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38" fontId="244" fillId="73" borderId="0" applyNumberFormat="0" applyBorder="0" applyAlignment="0" applyProtection="0"/>
    <xf numFmtId="0" fontId="102" fillId="0" borderId="31">
      <alignment horizontal="left"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10" fontId="244" fillId="78" borderId="1" applyNumberFormat="0" applyBorder="0" applyAlignment="0" applyProtection="0"/>
    <xf numFmtId="0" fontId="90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245" fillId="0" borderId="0">
      <alignment horizontal="centerContinuous" vertical="top"/>
    </xf>
    <xf numFmtId="0" fontId="246" fillId="0" borderId="1" applyBorder="0" applyAlignment="0">
      <alignment horizontal="left" vertical="center"/>
    </xf>
    <xf numFmtId="0" fontId="246" fillId="0" borderId="1" applyBorder="0" applyAlignment="0">
      <alignment horizontal="left" vertical="center"/>
    </xf>
    <xf numFmtId="0" fontId="246" fillId="0" borderId="1" applyBorder="0" applyAlignment="0">
      <alignment horizontal="left" vertical="center"/>
    </xf>
    <xf numFmtId="0" fontId="246" fillId="0" borderId="1" applyBorder="0" applyAlignment="0">
      <alignment horizontal="left" vertical="center"/>
    </xf>
    <xf numFmtId="0" fontId="246" fillId="0" borderId="1" applyBorder="0" applyAlignment="0">
      <alignment horizontal="left" vertical="center"/>
    </xf>
    <xf numFmtId="0" fontId="91" fillId="62" borderId="0" applyNumberFormat="0" applyBorder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247" fillId="0" borderId="0"/>
    <xf numFmtId="0" fontId="247" fillId="0" borderId="0"/>
    <xf numFmtId="0" fontId="247" fillId="0" borderId="0"/>
    <xf numFmtId="0" fontId="247" fillId="0" borderId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10" fontId="23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80" fillId="75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80" fillId="75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80" fillId="75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75" borderId="0" applyProtection="0">
      <alignment vertical="center"/>
    </xf>
    <xf numFmtId="0" fontId="240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6" borderId="0" applyProtection="0">
      <alignment vertical="center"/>
    </xf>
    <xf numFmtId="0" fontId="240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98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98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98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76" borderId="0" applyProtection="0">
      <alignment vertical="center"/>
    </xf>
    <xf numFmtId="0" fontId="240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94" borderId="0" applyProtection="0">
      <alignment vertical="center"/>
    </xf>
    <xf numFmtId="0" fontId="240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71" borderId="0" applyProtection="0">
      <alignment vertical="center"/>
    </xf>
    <xf numFmtId="0" fontId="240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98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80" fillId="77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80" fillId="77" borderId="0" applyNumberFormat="0" applyBorder="0" applyAlignment="0" applyProtection="0">
      <alignment vertical="center"/>
    </xf>
    <xf numFmtId="0" fontId="98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80" fillId="77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98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77" borderId="0" applyProtection="0">
      <alignment vertical="center"/>
    </xf>
    <xf numFmtId="0" fontId="240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Protection="0">
      <alignment vertical="center"/>
    </xf>
    <xf numFmtId="0" fontId="24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105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87" fillId="74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87" fillId="74" borderId="19" applyNumberFormat="0" applyAlignment="0" applyProtection="0">
      <alignment vertical="center"/>
    </xf>
    <xf numFmtId="0" fontId="105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87" fillId="74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105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74" borderId="19" applyProtection="0">
      <alignment vertical="center"/>
    </xf>
    <xf numFmtId="0" fontId="249" fillId="16" borderId="16" applyNumberFormat="0" applyAlignment="0" applyProtection="0">
      <alignment vertical="center"/>
    </xf>
    <xf numFmtId="0" fontId="13" fillId="16" borderId="16" applyNumberFormat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107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107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107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2" borderId="0" applyProtection="0">
      <alignment vertical="center"/>
    </xf>
    <xf numFmtId="0" fontId="250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9" fontId="101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25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9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101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top"/>
      <protection locked="0"/>
    </xf>
    <xf numFmtId="0" fontId="253" fillId="0" borderId="0" applyNumberFormat="0" applyFill="0" applyBorder="0" applyAlignment="0" applyProtection="0">
      <alignment vertical="top"/>
      <protection locked="0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33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Protection="0">
      <alignment vertical="center"/>
    </xf>
    <xf numFmtId="0" fontId="254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11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8" fillId="0" borderId="0" applyFill="0" applyBorder="0" applyAlignment="0" applyProtection="0"/>
    <xf numFmtId="0" fontId="33" fillId="0" borderId="0"/>
    <xf numFmtId="9" fontId="8" fillId="0" borderId="0" applyFill="0" applyBorder="0" applyAlignment="0" applyProtection="0"/>
    <xf numFmtId="0" fontId="33" fillId="0" borderId="0"/>
    <xf numFmtId="9" fontId="22" fillId="0" borderId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33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3" fillId="0" borderId="0"/>
    <xf numFmtId="9" fontId="8" fillId="0" borderId="0" applyFont="0" applyFill="0" applyBorder="0" applyAlignment="0" applyProtection="0">
      <alignment vertical="center"/>
    </xf>
    <xf numFmtId="0" fontId="33" fillId="0" borderId="0"/>
    <xf numFmtId="9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33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3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3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3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3" fillId="0" borderId="0"/>
    <xf numFmtId="9" fontId="8" fillId="0" borderId="0" applyFont="0" applyFill="0" applyBorder="0" applyAlignment="0" applyProtection="0">
      <alignment vertical="center"/>
    </xf>
    <xf numFmtId="0" fontId="33" fillId="0" borderId="0"/>
    <xf numFmtId="9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46" fillId="0" borderId="23" applyNumberFormat="0" applyFill="0" applyAlignment="0" applyProtection="0">
      <alignment vertical="center"/>
    </xf>
    <xf numFmtId="0" fontId="175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255" fillId="0" borderId="3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33" fillId="0" borderId="0"/>
    <xf numFmtId="0" fontId="82" fillId="0" borderId="23" applyNumberFormat="0" applyFill="0" applyAlignment="0" applyProtection="0">
      <alignment vertical="center"/>
    </xf>
    <xf numFmtId="0" fontId="256" fillId="0" borderId="10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176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257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33" fillId="0" borderId="0"/>
    <xf numFmtId="0" fontId="83" fillId="0" borderId="24" applyNumberFormat="0" applyFill="0" applyAlignment="0" applyProtection="0">
      <alignment vertical="center"/>
    </xf>
    <xf numFmtId="0" fontId="258" fillId="0" borderId="11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17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259" fillId="0" borderId="34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33" fillId="0" borderId="0"/>
    <xf numFmtId="0" fontId="84" fillId="0" borderId="25" applyNumberFormat="0" applyFill="0" applyAlignment="0" applyProtection="0">
      <alignment vertical="center"/>
    </xf>
    <xf numFmtId="0" fontId="260" fillId="0" borderId="12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33" fillId="0" borderId="0"/>
    <xf numFmtId="0" fontId="84" fillId="0" borderId="0" applyNumberFormat="0" applyFill="0" applyBorder="0" applyAlignment="0" applyProtection="0">
      <alignment vertical="center"/>
    </xf>
    <xf numFmtId="0" fontId="260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6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Protection="0">
      <alignment vertical="center"/>
    </xf>
    <xf numFmtId="0" fontId="248" fillId="0" borderId="0" applyNumberFormat="0" applyFill="0" applyBorder="0" applyAlignment="0" applyProtection="0">
      <alignment vertical="center"/>
    </xf>
    <xf numFmtId="0" fontId="33" fillId="0" borderId="0"/>
    <xf numFmtId="0" fontId="81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3" fillId="0" borderId="0"/>
    <xf numFmtId="0" fontId="22" fillId="0" borderId="0">
      <alignment vertical="center"/>
    </xf>
    <xf numFmtId="0" fontId="33" fillId="0" borderId="0"/>
    <xf numFmtId="0" fontId="10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3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5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5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2" fillId="0" borderId="0">
      <alignment vertical="center"/>
    </xf>
    <xf numFmtId="0" fontId="33" fillId="0" borderId="0"/>
    <xf numFmtId="0" fontId="33" fillId="0" borderId="0"/>
    <xf numFmtId="0" fontId="10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5" fillId="0" borderId="0"/>
    <xf numFmtId="0" fontId="2" fillId="0" borderId="0">
      <alignment vertical="center"/>
    </xf>
    <xf numFmtId="0" fontId="2" fillId="0" borderId="0">
      <alignment vertical="center"/>
    </xf>
    <xf numFmtId="0" fontId="55" fillId="0" borderId="0"/>
    <xf numFmtId="0" fontId="33" fillId="0" borderId="0"/>
    <xf numFmtId="0" fontId="30" fillId="0" borderId="0">
      <alignment vertical="center"/>
    </xf>
    <xf numFmtId="0" fontId="30" fillId="0" borderId="0">
      <alignment vertical="center"/>
    </xf>
    <xf numFmtId="0" fontId="101" fillId="0" borderId="0"/>
    <xf numFmtId="0" fontId="8" fillId="0" borderId="0">
      <alignment vertical="center"/>
    </xf>
    <xf numFmtId="0" fontId="194" fillId="0" borderId="0">
      <alignment vertical="center"/>
    </xf>
    <xf numFmtId="0" fontId="33" fillId="0" borderId="0"/>
    <xf numFmtId="0" fontId="74" fillId="0" borderId="0">
      <alignment vertical="center"/>
    </xf>
    <xf numFmtId="0" fontId="61" fillId="0" borderId="0"/>
    <xf numFmtId="0" fontId="113" fillId="0" borderId="0"/>
    <xf numFmtId="0" fontId="113" fillId="0" borderId="0">
      <alignment vertical="center"/>
    </xf>
    <xf numFmtId="0" fontId="113" fillId="0" borderId="0">
      <alignment vertical="center"/>
    </xf>
    <xf numFmtId="0" fontId="183" fillId="0" borderId="0"/>
    <xf numFmtId="0" fontId="101" fillId="0" borderId="0">
      <alignment vertical="center"/>
    </xf>
    <xf numFmtId="0" fontId="101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8" fillId="0" borderId="0"/>
    <xf numFmtId="0" fontId="8" fillId="0" borderId="0"/>
    <xf numFmtId="0" fontId="33" fillId="0" borderId="0"/>
    <xf numFmtId="0" fontId="113" fillId="0" borderId="0">
      <alignment vertical="center"/>
    </xf>
    <xf numFmtId="0" fontId="113" fillId="0" borderId="0">
      <alignment vertical="center"/>
    </xf>
    <xf numFmtId="0" fontId="101" fillId="0" borderId="0"/>
    <xf numFmtId="0" fontId="8" fillId="0" borderId="0">
      <alignment vertical="center"/>
    </xf>
    <xf numFmtId="0" fontId="8" fillId="0" borderId="0"/>
    <xf numFmtId="0" fontId="8" fillId="0" borderId="0"/>
    <xf numFmtId="0" fontId="101" fillId="0" borderId="0">
      <alignment vertical="center"/>
    </xf>
    <xf numFmtId="0" fontId="8" fillId="0" borderId="0"/>
    <xf numFmtId="0" fontId="113" fillId="0" borderId="0">
      <alignment vertical="center"/>
    </xf>
    <xf numFmtId="0" fontId="30" fillId="0" borderId="0">
      <alignment vertical="center"/>
    </xf>
    <xf numFmtId="0" fontId="33" fillId="0" borderId="0">
      <alignment vertical="center"/>
    </xf>
    <xf numFmtId="0" fontId="113" fillId="0" borderId="0">
      <alignment vertical="center"/>
    </xf>
    <xf numFmtId="0" fontId="3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55" fillId="0" borderId="0">
      <alignment vertical="center"/>
    </xf>
    <xf numFmtId="0" fontId="30" fillId="0" borderId="0">
      <alignment vertical="center"/>
    </xf>
    <xf numFmtId="0" fontId="113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13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1" fillId="0" borderId="0">
      <alignment vertical="center"/>
    </xf>
    <xf numFmtId="0" fontId="8" fillId="0" borderId="0"/>
    <xf numFmtId="0" fontId="8" fillId="0" borderId="0"/>
    <xf numFmtId="0" fontId="33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55" fillId="0" borderId="0">
      <alignment vertical="center"/>
    </xf>
    <xf numFmtId="0" fontId="3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5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5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5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8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4" fillId="0" borderId="0">
      <alignment vertical="center"/>
    </xf>
    <xf numFmtId="0" fontId="8" fillId="0" borderId="0"/>
    <xf numFmtId="0" fontId="30" fillId="0" borderId="0">
      <alignment vertical="center"/>
    </xf>
    <xf numFmtId="0" fontId="30" fillId="0" borderId="0">
      <alignment vertical="center"/>
    </xf>
    <xf numFmtId="0" fontId="8" fillId="0" borderId="0"/>
    <xf numFmtId="0" fontId="1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4" fillId="0" borderId="0">
      <alignment vertical="center"/>
    </xf>
    <xf numFmtId="0" fontId="33" fillId="0" borderId="0"/>
    <xf numFmtId="0" fontId="55" fillId="0" borderId="0"/>
    <xf numFmtId="0" fontId="97" fillId="0" borderId="0"/>
    <xf numFmtId="0" fontId="97" fillId="0" borderId="0"/>
    <xf numFmtId="0" fontId="97" fillId="0" borderId="0"/>
    <xf numFmtId="0" fontId="8" fillId="0" borderId="0"/>
    <xf numFmtId="0" fontId="74" fillId="0" borderId="0">
      <alignment vertical="center"/>
    </xf>
    <xf numFmtId="0" fontId="33" fillId="0" borderId="0"/>
    <xf numFmtId="0" fontId="55" fillId="0" borderId="0"/>
    <xf numFmtId="0" fontId="8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8" fillId="0" borderId="0"/>
    <xf numFmtId="0" fontId="97" fillId="0" borderId="0"/>
    <xf numFmtId="0" fontId="97" fillId="0" borderId="0"/>
    <xf numFmtId="0" fontId="97" fillId="0" borderId="0"/>
    <xf numFmtId="0" fontId="74" fillId="0" borderId="0">
      <alignment vertical="center"/>
    </xf>
    <xf numFmtId="0" fontId="33" fillId="0" borderId="0"/>
    <xf numFmtId="0" fontId="15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74" fillId="0" borderId="0">
      <alignment vertical="center"/>
    </xf>
    <xf numFmtId="0" fontId="22" fillId="0" borderId="0">
      <alignment vertical="center"/>
    </xf>
    <xf numFmtId="0" fontId="78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74" fillId="0" borderId="0">
      <alignment vertical="center"/>
    </xf>
    <xf numFmtId="0" fontId="24" fillId="0" borderId="0"/>
    <xf numFmtId="0" fontId="78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78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10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2" fillId="0" borderId="0">
      <alignment vertical="center"/>
    </xf>
    <xf numFmtId="0" fontId="8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97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22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>
      <alignment vertical="center"/>
    </xf>
    <xf numFmtId="0" fontId="8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10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33" fillId="0" borderId="0"/>
    <xf numFmtId="0" fontId="3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0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33" fillId="0" borderId="0"/>
    <xf numFmtId="0" fontId="33" fillId="0" borderId="0"/>
    <xf numFmtId="0" fontId="55" fillId="0" borderId="0">
      <alignment vertical="center"/>
    </xf>
    <xf numFmtId="0" fontId="33" fillId="0" borderId="0"/>
    <xf numFmtId="0" fontId="33" fillId="0" borderId="0"/>
    <xf numFmtId="0" fontId="113" fillId="0" borderId="0"/>
    <xf numFmtId="0" fontId="113" fillId="0" borderId="0"/>
    <xf numFmtId="0" fontId="33" fillId="0" borderId="0"/>
    <xf numFmtId="0" fontId="33" fillId="0" borderId="0"/>
    <xf numFmtId="0" fontId="33" fillId="0" borderId="0"/>
    <xf numFmtId="0" fontId="113" fillId="0" borderId="0">
      <alignment vertical="center"/>
    </xf>
    <xf numFmtId="0" fontId="33" fillId="0" borderId="0"/>
    <xf numFmtId="0" fontId="116" fillId="0" borderId="0">
      <alignment vertical="center"/>
    </xf>
    <xf numFmtId="0" fontId="116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101" fillId="0" borderId="0"/>
    <xf numFmtId="0" fontId="33" fillId="0" borderId="0"/>
    <xf numFmtId="0" fontId="33" fillId="0" borderId="0"/>
    <xf numFmtId="0" fontId="174" fillId="0" borderId="0">
      <alignment vertical="center"/>
    </xf>
    <xf numFmtId="0" fontId="55" fillId="0" borderId="0"/>
    <xf numFmtId="0" fontId="33" fillId="0" borderId="0"/>
    <xf numFmtId="0" fontId="8" fillId="0" borderId="0"/>
    <xf numFmtId="0" fontId="8" fillId="0" borderId="0"/>
    <xf numFmtId="0" fontId="55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2" fillId="0" borderId="0">
      <alignment vertical="center"/>
    </xf>
    <xf numFmtId="0" fontId="8" fillId="0" borderId="0"/>
    <xf numFmtId="0" fontId="8" fillId="0" borderId="0"/>
    <xf numFmtId="0" fontId="8" fillId="0" borderId="0"/>
    <xf numFmtId="0" fontId="30" fillId="0" borderId="0">
      <alignment vertical="center"/>
    </xf>
    <xf numFmtId="0" fontId="33" fillId="0" borderId="0"/>
    <xf numFmtId="0" fontId="109" fillId="0" borderId="0">
      <alignment vertical="center"/>
    </xf>
    <xf numFmtId="0" fontId="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22" fillId="0" borderId="0">
      <alignment vertical="center"/>
    </xf>
    <xf numFmtId="0" fontId="33" fillId="0" borderId="0"/>
    <xf numFmtId="0" fontId="101" fillId="0" borderId="0"/>
    <xf numFmtId="0" fontId="33" fillId="0" borderId="0"/>
    <xf numFmtId="0" fontId="30" fillId="0" borderId="0">
      <alignment vertical="center"/>
    </xf>
    <xf numFmtId="0" fontId="41" fillId="42" borderId="0" applyNumberFormat="0" applyBorder="0" applyAlignment="0" applyProtection="0">
      <alignment vertical="center"/>
    </xf>
    <xf numFmtId="0" fontId="184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63" fillId="42" borderId="0" applyNumberFormat="0" applyBorder="0" applyAlignment="0" applyProtection="0">
      <alignment vertical="center"/>
    </xf>
    <xf numFmtId="0" fontId="263" fillId="42" borderId="0" applyNumberFormat="0" applyBorder="0" applyAlignment="0" applyProtection="0">
      <alignment vertical="center"/>
    </xf>
    <xf numFmtId="0" fontId="263" fillId="42" borderId="0" applyNumberFormat="0" applyBorder="0" applyAlignment="0" applyProtection="0">
      <alignment vertical="center"/>
    </xf>
    <xf numFmtId="0" fontId="263" fillId="42" borderId="0" applyNumberFormat="0" applyBorder="0" applyAlignment="0" applyProtection="0">
      <alignment vertical="center"/>
    </xf>
    <xf numFmtId="0" fontId="263" fillId="42" borderId="0" applyNumberFormat="0" applyBorder="0" applyAlignment="0" applyProtection="0">
      <alignment vertical="center"/>
    </xf>
    <xf numFmtId="0" fontId="263" fillId="42" borderId="0" applyNumberFormat="0" applyBorder="0" applyAlignment="0" applyProtection="0">
      <alignment vertical="center"/>
    </xf>
    <xf numFmtId="0" fontId="263" fillId="42" borderId="0" applyNumberFormat="0" applyBorder="0" applyAlignment="0" applyProtection="0">
      <alignment vertical="center"/>
    </xf>
    <xf numFmtId="0" fontId="263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118" fillId="79" borderId="0" applyNumberFormat="0" applyBorder="0" applyAlignment="0" applyProtection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17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33" fillId="0" borderId="0"/>
    <xf numFmtId="0" fontId="8" fillId="0" borderId="0"/>
    <xf numFmtId="0" fontId="8" fillId="0" borderId="0"/>
    <xf numFmtId="0" fontId="115" fillId="0" borderId="0"/>
    <xf numFmtId="0" fontId="8" fillId="0" borderId="0">
      <alignment vertical="center"/>
    </xf>
    <xf numFmtId="7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8" fillId="0" borderId="0"/>
    <xf numFmtId="0" fontId="33" fillId="0" borderId="0"/>
    <xf numFmtId="0" fontId="8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3" fillId="0" borderId="0"/>
    <xf numFmtId="0" fontId="8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8" fillId="0" borderId="0"/>
    <xf numFmtId="0" fontId="33" fillId="0" borderId="0"/>
    <xf numFmtId="0" fontId="8" fillId="0" borderId="0"/>
    <xf numFmtId="0" fontId="33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>
      <alignment vertical="center"/>
    </xf>
    <xf numFmtId="0" fontId="33" fillId="0" borderId="0"/>
    <xf numFmtId="0" fontId="8" fillId="0" borderId="0">
      <alignment vertical="center"/>
    </xf>
    <xf numFmtId="0" fontId="8" fillId="0" borderId="0">
      <alignment vertical="center"/>
    </xf>
    <xf numFmtId="0" fontId="33" fillId="0" borderId="0"/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33" fillId="0" borderId="0"/>
    <xf numFmtId="0" fontId="8" fillId="0" borderId="0"/>
    <xf numFmtId="0" fontId="22" fillId="0" borderId="0">
      <alignment vertical="center"/>
    </xf>
    <xf numFmtId="0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33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33" fillId="0" borderId="0"/>
    <xf numFmtId="0" fontId="8" fillId="0" borderId="0"/>
    <xf numFmtId="0" fontId="8" fillId="0" borderId="0"/>
    <xf numFmtId="0" fontId="149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9" fillId="0" borderId="0">
      <alignment vertical="center"/>
    </xf>
    <xf numFmtId="0" fontId="17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33" fillId="0" borderId="0"/>
    <xf numFmtId="0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32" fillId="0" borderId="0">
      <alignment vertical="center"/>
    </xf>
    <xf numFmtId="0" fontId="8" fillId="0" borderId="0">
      <alignment vertical="center"/>
    </xf>
    <xf numFmtId="0" fontId="3" fillId="0" borderId="0"/>
    <xf numFmtId="0" fontId="55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158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/>
    <xf numFmtId="0" fontId="8" fillId="0" borderId="0"/>
    <xf numFmtId="0" fontId="8" fillId="0" borderId="0"/>
    <xf numFmtId="7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/>
    <xf numFmtId="0" fontId="8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8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8" fillId="0" borderId="0"/>
    <xf numFmtId="0" fontId="8" fillId="0" borderId="0"/>
    <xf numFmtId="7" fontId="8" fillId="0" borderId="0">
      <alignment vertical="center"/>
    </xf>
    <xf numFmtId="0" fontId="8" fillId="0" borderId="0"/>
    <xf numFmtId="0" fontId="8" fillId="0" borderId="0"/>
    <xf numFmtId="0" fontId="8" fillId="0" borderId="0"/>
    <xf numFmtId="7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33" fillId="0" borderId="0"/>
    <xf numFmtId="0" fontId="113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55" fillId="0" borderId="0" applyProtection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33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33" fillId="0" borderId="0"/>
    <xf numFmtId="0" fontId="55" fillId="0" borderId="0" applyProtection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8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33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113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113" fillId="0" borderId="0"/>
    <xf numFmtId="0" fontId="8" fillId="0" borderId="0"/>
    <xf numFmtId="0" fontId="3" fillId="0" borderId="0"/>
    <xf numFmtId="0" fontId="1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>
      <alignment vertical="center"/>
    </xf>
    <xf numFmtId="0" fontId="8" fillId="0" borderId="0" applyProtection="0">
      <alignment vertical="center"/>
    </xf>
    <xf numFmtId="0" fontId="33" fillId="0" borderId="0"/>
    <xf numFmtId="0" fontId="8" fillId="0" borderId="0" applyProtection="0">
      <alignment vertical="center"/>
    </xf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3" fillId="0" borderId="0"/>
    <xf numFmtId="0" fontId="115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5" fillId="0" borderId="0"/>
    <xf numFmtId="0" fontId="3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33" fillId="0" borderId="0"/>
    <xf numFmtId="0" fontId="8" fillId="0" borderId="0"/>
    <xf numFmtId="0" fontId="33" fillId="0" borderId="0"/>
    <xf numFmtId="0" fontId="8" fillId="0" borderId="0"/>
    <xf numFmtId="0" fontId="8" fillId="0" borderId="0"/>
    <xf numFmtId="0" fontId="33" fillId="0" borderId="0"/>
    <xf numFmtId="0" fontId="115" fillId="0" borderId="0"/>
    <xf numFmtId="7" fontId="8" fillId="0" borderId="0">
      <alignment vertical="center"/>
    </xf>
    <xf numFmtId="0" fontId="8" fillId="0" borderId="0"/>
    <xf numFmtId="0" fontId="3" fillId="0" borderId="0"/>
    <xf numFmtId="0" fontId="101" fillId="0" borderId="0"/>
    <xf numFmtId="0" fontId="33" fillId="0" borderId="0"/>
    <xf numFmtId="0" fontId="8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8" fillId="0" borderId="0"/>
    <xf numFmtId="0" fontId="8" fillId="0" borderId="0"/>
    <xf numFmtId="0" fontId="33" fillId="0" borderId="0"/>
    <xf numFmtId="0" fontId="115" fillId="0" borderId="0"/>
    <xf numFmtId="0" fontId="3" fillId="0" borderId="0"/>
    <xf numFmtId="0" fontId="101" fillId="0" borderId="0"/>
    <xf numFmtId="0" fontId="10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1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0" fontId="33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33" fillId="0" borderId="0"/>
    <xf numFmtId="0" fontId="8" fillId="0" borderId="0"/>
    <xf numFmtId="0" fontId="32" fillId="0" borderId="0"/>
    <xf numFmtId="0" fontId="8" fillId="0" borderId="0"/>
    <xf numFmtId="0" fontId="3" fillId="0" borderId="0"/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33" fillId="0" borderId="0"/>
    <xf numFmtId="0" fontId="8" fillId="0" borderId="0"/>
    <xf numFmtId="0" fontId="8" fillId="0" borderId="0"/>
    <xf numFmtId="0" fontId="33" fillId="0" borderId="0"/>
    <xf numFmtId="0" fontId="8" fillId="0" borderId="0"/>
    <xf numFmtId="0" fontId="8" fillId="0" borderId="0"/>
    <xf numFmtId="0" fontId="33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33" fillId="0" borderId="0"/>
    <xf numFmtId="0" fontId="8" fillId="0" borderId="0"/>
    <xf numFmtId="0" fontId="8" fillId="0" borderId="0"/>
    <xf numFmtId="0" fontId="33" fillId="0" borderId="0"/>
    <xf numFmtId="0" fontId="8" fillId="0" borderId="0"/>
    <xf numFmtId="0" fontId="8" fillId="0" borderId="0"/>
    <xf numFmtId="0" fontId="149" fillId="0" borderId="0"/>
    <xf numFmtId="0" fontId="8" fillId="0" borderId="0"/>
    <xf numFmtId="0" fontId="22" fillId="0" borderId="0">
      <alignment vertical="center"/>
    </xf>
    <xf numFmtId="0" fontId="22" fillId="0" borderId="0">
      <alignment vertical="center"/>
    </xf>
    <xf numFmtId="0" fontId="8" fillId="0" borderId="0"/>
    <xf numFmtId="0" fontId="22" fillId="0" borderId="0">
      <alignment vertical="center"/>
    </xf>
    <xf numFmtId="0" fontId="8" fillId="0" borderId="0"/>
    <xf numFmtId="0" fontId="33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119" fillId="0" borderId="0">
      <alignment vertical="center"/>
    </xf>
    <xf numFmtId="0" fontId="8" fillId="0" borderId="0"/>
    <xf numFmtId="0" fontId="8" fillId="0" borderId="0"/>
    <xf numFmtId="0" fontId="32" fillId="0" borderId="0">
      <alignment vertical="center"/>
    </xf>
    <xf numFmtId="0" fontId="8" fillId="0" borderId="0"/>
    <xf numFmtId="0" fontId="8" fillId="0" borderId="0"/>
    <xf numFmtId="0" fontId="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4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8" fillId="0" borderId="0">
      <alignment vertical="center"/>
    </xf>
    <xf numFmtId="0" fontId="33" fillId="0" borderId="0"/>
    <xf numFmtId="0" fontId="149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55" fillId="0" borderId="0"/>
    <xf numFmtId="0" fontId="113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8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8" fillId="0" borderId="0">
      <alignment vertical="center"/>
    </xf>
    <xf numFmtId="0" fontId="11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7" fillId="0" borderId="0"/>
    <xf numFmtId="0" fontId="8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8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8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32" fillId="0" borderId="0">
      <alignment vertical="center"/>
    </xf>
    <xf numFmtId="0" fontId="32" fillId="0" borderId="0">
      <alignment vertical="center"/>
    </xf>
    <xf numFmtId="0" fontId="8" fillId="0" borderId="0"/>
    <xf numFmtId="0" fontId="32" fillId="0" borderId="0">
      <alignment vertical="center"/>
    </xf>
    <xf numFmtId="0" fontId="32" fillId="0" borderId="0">
      <alignment vertical="center"/>
    </xf>
    <xf numFmtId="0" fontId="33" fillId="0" borderId="0"/>
    <xf numFmtId="0" fontId="8" fillId="0" borderId="0"/>
    <xf numFmtId="0" fontId="32" fillId="0" borderId="0">
      <alignment vertical="center"/>
    </xf>
    <xf numFmtId="0" fontId="33" fillId="0" borderId="0"/>
    <xf numFmtId="0" fontId="8" fillId="0" borderId="0"/>
    <xf numFmtId="0" fontId="22" fillId="0" borderId="0"/>
    <xf numFmtId="0" fontId="74" fillId="0" borderId="0"/>
    <xf numFmtId="0" fontId="22" fillId="0" borderId="0"/>
    <xf numFmtId="0" fontId="8" fillId="0" borderId="0">
      <alignment vertical="center"/>
    </xf>
    <xf numFmtId="0" fontId="8" fillId="0" borderId="0"/>
    <xf numFmtId="0" fontId="8" fillId="0" borderId="0"/>
    <xf numFmtId="0" fontId="32" fillId="0" borderId="0">
      <alignment vertical="center"/>
    </xf>
    <xf numFmtId="0" fontId="32" fillId="0" borderId="0">
      <alignment vertical="center"/>
    </xf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32" fillId="0" borderId="0">
      <alignment vertical="center"/>
    </xf>
    <xf numFmtId="0" fontId="32" fillId="0" borderId="0">
      <alignment vertical="center"/>
    </xf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55" fillId="0" borderId="0"/>
    <xf numFmtId="0" fontId="33" fillId="0" borderId="0"/>
    <xf numFmtId="0" fontId="8" fillId="0" borderId="0"/>
    <xf numFmtId="0" fontId="33" fillId="0" borderId="0"/>
    <xf numFmtId="0" fontId="8" fillId="0" borderId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55" fillId="0" borderId="0">
      <alignment vertical="center"/>
    </xf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74" fillId="0" borderId="0">
      <alignment vertical="center"/>
    </xf>
    <xf numFmtId="0" fontId="115" fillId="0" borderId="0"/>
    <xf numFmtId="0" fontId="74" fillId="0" borderId="0">
      <alignment vertical="center"/>
    </xf>
    <xf numFmtId="0" fontId="74" fillId="0" borderId="0">
      <alignment vertical="center"/>
    </xf>
    <xf numFmtId="0" fontId="8" fillId="0" borderId="0"/>
    <xf numFmtId="0" fontId="7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33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33" fillId="0" borderId="0"/>
    <xf numFmtId="0" fontId="8" fillId="0" borderId="0">
      <alignment vertical="center"/>
    </xf>
    <xf numFmtId="0" fontId="8" fillId="0" borderId="0">
      <alignment vertical="center"/>
    </xf>
    <xf numFmtId="0" fontId="33" fillId="0" borderId="0"/>
    <xf numFmtId="0" fontId="8" fillId="0" borderId="0">
      <alignment vertical="center"/>
    </xf>
    <xf numFmtId="0" fontId="17" fillId="0" borderId="0"/>
    <xf numFmtId="0" fontId="8" fillId="0" borderId="0">
      <alignment vertical="center"/>
    </xf>
    <xf numFmtId="0" fontId="17" fillId="0" borderId="0"/>
    <xf numFmtId="0" fontId="8" fillId="0" borderId="0">
      <alignment vertical="center"/>
    </xf>
    <xf numFmtId="0" fontId="17" fillId="0" borderId="0"/>
    <xf numFmtId="0" fontId="8" fillId="0" borderId="0">
      <alignment vertical="center"/>
    </xf>
    <xf numFmtId="0" fontId="17" fillId="0" borderId="0"/>
    <xf numFmtId="0" fontId="8" fillId="0" borderId="0">
      <alignment vertical="center"/>
    </xf>
    <xf numFmtId="0" fontId="17" fillId="0" borderId="0"/>
    <xf numFmtId="0" fontId="8" fillId="0" borderId="0">
      <alignment vertical="center"/>
    </xf>
    <xf numFmtId="0" fontId="3" fillId="0" borderId="0"/>
    <xf numFmtId="0" fontId="8" fillId="0" borderId="0"/>
    <xf numFmtId="0" fontId="3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264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33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33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33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33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33" fillId="0" borderId="0"/>
    <xf numFmtId="0" fontId="33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66" fillId="0" borderId="0" applyNumberFormat="0" applyFill="0" applyBorder="0" applyAlignment="0" applyProtection="0">
      <alignment vertical="top"/>
      <protection locked="0"/>
    </xf>
    <xf numFmtId="0" fontId="26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4" fillId="0" borderId="0" applyNumberFormat="0" applyFill="0" applyBorder="0" applyAlignment="0" applyProtection="0">
      <alignment vertical="top"/>
      <protection locked="0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54" fillId="64" borderId="27" applyNumberFormat="0" applyAlignment="0" applyProtection="0">
      <alignment vertical="center"/>
    </xf>
    <xf numFmtId="0" fontId="54" fillId="64" borderId="27" applyNumberFormat="0" applyAlignment="0" applyProtection="0">
      <alignment vertical="center"/>
    </xf>
    <xf numFmtId="0" fontId="54" fillId="64" borderId="27" applyNumberFormat="0" applyAlignment="0" applyProtection="0">
      <alignment vertical="center"/>
    </xf>
    <xf numFmtId="0" fontId="54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33" fillId="0" borderId="0"/>
    <xf numFmtId="0" fontId="33" fillId="0" borderId="0"/>
    <xf numFmtId="0" fontId="117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17" fillId="42" borderId="0" applyNumberFormat="0" applyBorder="0" applyAlignment="0" applyProtection="0">
      <alignment vertical="center"/>
    </xf>
    <xf numFmtId="0" fontId="122" fillId="42" borderId="0" applyNumberFormat="0" applyBorder="0" applyAlignment="0" applyProtection="0">
      <alignment vertical="center"/>
    </xf>
    <xf numFmtId="0" fontId="33" fillId="0" borderId="0"/>
    <xf numFmtId="0" fontId="117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17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17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22" fillId="42" borderId="0" applyNumberFormat="0" applyBorder="0" applyAlignment="0" applyProtection="0">
      <alignment vertical="center"/>
    </xf>
    <xf numFmtId="0" fontId="33" fillId="0" borderId="0"/>
    <xf numFmtId="0" fontId="117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17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17" fillId="42" borderId="0" applyNumberFormat="0" applyBorder="0" applyAlignment="0" applyProtection="0">
      <alignment vertical="center"/>
    </xf>
    <xf numFmtId="0" fontId="122" fillId="42" borderId="0" applyNumberFormat="0" applyBorder="0" applyAlignment="0" applyProtection="0">
      <alignment vertical="center"/>
    </xf>
    <xf numFmtId="0" fontId="33" fillId="0" borderId="0"/>
    <xf numFmtId="0" fontId="117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188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10" fillId="11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62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49" fillId="80" borderId="0" applyNumberFormat="0" applyBorder="0" applyAlignment="0" applyProtection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66" borderId="0" applyProtection="0">
      <alignment vertical="center"/>
    </xf>
    <xf numFmtId="0" fontId="33" fillId="0" borderId="0"/>
    <xf numFmtId="0" fontId="33" fillId="0" borderId="0"/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49" fillId="80" borderId="0" applyNumberFormat="0" applyBorder="0" applyAlignment="0" applyProtection="0"/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67" fillId="43" borderId="0" applyNumberFormat="0" applyBorder="0" applyAlignment="0" applyProtection="0">
      <alignment vertical="center"/>
    </xf>
    <xf numFmtId="0" fontId="267" fillId="43" borderId="0" applyNumberFormat="0" applyBorder="0" applyAlignment="0" applyProtection="0">
      <alignment vertical="center"/>
    </xf>
    <xf numFmtId="0" fontId="267" fillId="43" borderId="0" applyNumberFormat="0" applyBorder="0" applyAlignment="0" applyProtection="0">
      <alignment vertical="center"/>
    </xf>
    <xf numFmtId="0" fontId="267" fillId="43" borderId="0" applyNumberFormat="0" applyBorder="0" applyAlignment="0" applyProtection="0">
      <alignment vertical="center"/>
    </xf>
    <xf numFmtId="0" fontId="267" fillId="43" borderId="0" applyNumberFormat="0" applyBorder="0" applyAlignment="0" applyProtection="0">
      <alignment vertical="center"/>
    </xf>
    <xf numFmtId="0" fontId="267" fillId="43" borderId="0" applyNumberFormat="0" applyBorder="0" applyAlignment="0" applyProtection="0">
      <alignment vertical="center"/>
    </xf>
    <xf numFmtId="0" fontId="267" fillId="43" borderId="0" applyNumberFormat="0" applyBorder="0" applyAlignment="0" applyProtection="0">
      <alignment vertical="center"/>
    </xf>
    <xf numFmtId="0" fontId="267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66" borderId="0" applyProtection="0">
      <alignment vertical="center"/>
    </xf>
    <xf numFmtId="0" fontId="33" fillId="0" borderId="0"/>
    <xf numFmtId="0" fontId="33" fillId="0" borderId="0"/>
    <xf numFmtId="0" fontId="50" fillId="66" borderId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49" fillId="80" borderId="0" applyNumberFormat="0" applyBorder="0" applyAlignment="0" applyProtection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4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62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62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40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0" fontId="55" fillId="0" borderId="0" applyFont="0" applyFill="0" applyBorder="0" applyAlignment="0" applyProtection="0">
      <alignment vertical="center"/>
    </xf>
    <xf numFmtId="40" fontId="113" fillId="0" borderId="0" applyFont="0" applyFill="0" applyBorder="0" applyAlignment="0" applyProtection="0">
      <alignment vertical="center"/>
    </xf>
    <xf numFmtId="0" fontId="33" fillId="0" borderId="0"/>
    <xf numFmtId="40" fontId="30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0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0" fontId="5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0" fontId="55" fillId="0" borderId="0" applyFont="0" applyFill="0" applyBorder="0" applyAlignment="0" applyProtection="0">
      <alignment vertical="center"/>
    </xf>
    <xf numFmtId="40" fontId="3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114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3" fontId="2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1" fontId="22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0" fontId="33" fillId="0" borderId="0"/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251" fillId="0" borderId="0" applyFont="0" applyFill="0" applyBorder="0" applyAlignment="0" applyProtection="0">
      <alignment vertical="center"/>
    </xf>
    <xf numFmtId="38" fontId="251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/>
    <xf numFmtId="38" fontId="101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0" fontId="33" fillId="0" borderId="0"/>
    <xf numFmtId="38" fontId="55" fillId="0" borderId="0" applyFont="0" applyFill="0" applyBorder="0" applyAlignment="0" applyProtection="0"/>
    <xf numFmtId="38" fontId="11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/>
    <xf numFmtId="38" fontId="11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38" fontId="101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38" fontId="75" fillId="0" borderId="0" applyFont="0" applyFill="0" applyBorder="0" applyAlignment="0" applyProtection="0"/>
    <xf numFmtId="41" fontId="8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0" fontId="33" fillId="0" borderId="0"/>
    <xf numFmtId="38" fontId="55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0" fontId="33" fillId="0" borderId="0"/>
    <xf numFmtId="38" fontId="151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97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97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0" fontId="33" fillId="0" borderId="0"/>
    <xf numFmtId="41" fontId="22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0" fontId="33" fillId="0" borderId="0"/>
    <xf numFmtId="41" fontId="3" fillId="0" borderId="0" applyFont="0" applyFill="0" applyBorder="0" applyAlignment="0" applyProtection="0"/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0" fontId="33" fillId="0" borderId="0"/>
    <xf numFmtId="38" fontId="5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0" fontId="33" fillId="0" borderId="0"/>
    <xf numFmtId="38" fontId="55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0" fontId="33" fillId="0" borderId="0"/>
    <xf numFmtId="38" fontId="55" fillId="0" borderId="0" applyFont="0" applyFill="0" applyBorder="0" applyAlignment="0" applyProtection="0">
      <alignment vertical="center"/>
    </xf>
    <xf numFmtId="0" fontId="268" fillId="0" borderId="0" applyNumberFormat="0" applyFill="0" applyBorder="0" applyAlignment="0" applyProtection="0">
      <alignment vertical="top"/>
      <protection locked="0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35" applyNumberFormat="0" applyFill="0" applyAlignment="0" applyProtection="0">
      <alignment vertical="center"/>
    </xf>
    <xf numFmtId="0" fontId="85" fillId="0" borderId="35" applyNumberFormat="0" applyFill="0" applyAlignment="0" applyProtection="0">
      <alignment vertical="center"/>
    </xf>
    <xf numFmtId="196" fontId="8" fillId="0" borderId="0" applyFont="0" applyFill="0" applyBorder="0" applyAlignment="0" applyProtection="0"/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6" fillId="90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43" fillId="64" borderId="22" applyNumberFormat="0" applyAlignment="0" applyProtection="0">
      <alignment vertical="center"/>
    </xf>
    <xf numFmtId="0" fontId="43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201" fillId="61" borderId="19" applyNumberFormat="0" applyAlignment="0" applyProtection="0">
      <alignment vertical="center"/>
    </xf>
    <xf numFmtId="0" fontId="87" fillId="74" borderId="19" applyNumberFormat="0" applyAlignment="0" applyProtection="0">
      <alignment vertical="center"/>
    </xf>
    <xf numFmtId="0" fontId="33" fillId="0" borderId="0"/>
    <xf numFmtId="0" fontId="269" fillId="74" borderId="19" applyNumberFormat="0" applyAlignment="0" applyProtection="0">
      <alignment vertical="center"/>
    </xf>
    <xf numFmtId="0" fontId="87" fillId="74" borderId="19" applyProtection="0">
      <alignment vertical="center"/>
    </xf>
    <xf numFmtId="0" fontId="128" fillId="61" borderId="19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249" fillId="16" borderId="16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33" fillId="0" borderId="0"/>
    <xf numFmtId="0" fontId="87" fillId="61" borderId="19" applyNumberFormat="0" applyAlignment="0" applyProtection="0">
      <alignment vertical="center"/>
    </xf>
    <xf numFmtId="0" fontId="33" fillId="0" borderId="0"/>
    <xf numFmtId="0" fontId="130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3" fillId="0" borderId="0"/>
    <xf numFmtId="0" fontId="33" fillId="0" borderId="0"/>
    <xf numFmtId="0" fontId="130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33" fillId="0" borderId="0"/>
    <xf numFmtId="0" fontId="33" fillId="0" borderId="0"/>
    <xf numFmtId="0" fontId="130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33" fillId="0" borderId="0"/>
    <xf numFmtId="0" fontId="132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33" fillId="0" borderId="0"/>
    <xf numFmtId="0" fontId="33" fillId="0" borderId="0"/>
    <xf numFmtId="0" fontId="132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33" fillId="0" borderId="0"/>
    <xf numFmtId="0" fontId="33" fillId="0" borderId="0"/>
    <xf numFmtId="0" fontId="132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33" fillId="0" borderId="0"/>
    <xf numFmtId="0" fontId="13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33" fillId="0" borderId="0"/>
    <xf numFmtId="0" fontId="33" fillId="0" borderId="0"/>
    <xf numFmtId="0" fontId="13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33" fillId="0" borderId="0"/>
    <xf numFmtId="0" fontId="33" fillId="0" borderId="0"/>
    <xf numFmtId="0" fontId="13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33" fillId="0" borderId="0"/>
    <xf numFmtId="0" fontId="13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13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13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Protection="0">
      <alignment vertical="center"/>
    </xf>
    <xf numFmtId="0" fontId="33" fillId="0" borderId="0"/>
    <xf numFmtId="0" fontId="33" fillId="0" borderId="0"/>
    <xf numFmtId="0" fontId="15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33" fillId="0" borderId="0"/>
    <xf numFmtId="0" fontId="88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137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137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0" borderId="0"/>
    <xf numFmtId="0" fontId="13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137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137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0" borderId="0"/>
    <xf numFmtId="0" fontId="13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137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137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0" borderId="0"/>
    <xf numFmtId="0" fontId="137" fillId="0" borderId="0" applyNumberFormat="0" applyFill="0" applyBorder="0" applyAlignment="0" applyProtection="0">
      <alignment vertical="center"/>
    </xf>
    <xf numFmtId="0" fontId="137" fillId="0" borderId="0" applyProtection="0">
      <alignment vertical="center"/>
    </xf>
    <xf numFmtId="0" fontId="33" fillId="0" borderId="0"/>
    <xf numFmtId="0" fontId="1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Protection="0">
      <alignment vertical="center"/>
    </xf>
    <xf numFmtId="0" fontId="33" fillId="0" borderId="0"/>
    <xf numFmtId="0" fontId="89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33" fillId="0" borderId="0"/>
    <xf numFmtId="0" fontId="89" fillId="0" borderId="0" applyNumberFormat="0" applyFill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207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0" fillId="0" borderId="21" applyProtection="0">
      <alignment vertical="center"/>
    </xf>
    <xf numFmtId="0" fontId="33" fillId="0" borderId="0"/>
    <xf numFmtId="0" fontId="90" fillId="0" borderId="21" applyNumberFormat="0" applyFill="0" applyAlignment="0" applyProtection="0">
      <alignment vertical="center"/>
    </xf>
    <xf numFmtId="0" fontId="254" fillId="0" borderId="15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33" fillId="0" borderId="0"/>
    <xf numFmtId="0" fontId="90" fillId="0" borderId="21" applyNumberFormat="0" applyFill="0" applyAlignment="0" applyProtection="0">
      <alignment vertical="center"/>
    </xf>
    <xf numFmtId="0" fontId="33" fillId="0" borderId="0"/>
    <xf numFmtId="0" fontId="33" fillId="0" borderId="0"/>
    <xf numFmtId="0" fontId="14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40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139" fillId="43" borderId="0" applyNumberFormat="0" applyBorder="0" applyAlignment="0" applyProtection="0">
      <alignment vertical="center"/>
    </xf>
    <xf numFmtId="0" fontId="33" fillId="0" borderId="0"/>
    <xf numFmtId="0" fontId="140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4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40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139" fillId="43" borderId="0" applyNumberFormat="0" applyBorder="0" applyAlignment="0" applyProtection="0">
      <alignment vertical="center"/>
    </xf>
    <xf numFmtId="0" fontId="33" fillId="0" borderId="0"/>
    <xf numFmtId="0" fontId="140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4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40" fillId="43" borderId="0" applyNumberFormat="0" applyBorder="0" applyAlignment="0" applyProtection="0">
      <alignment vertical="center"/>
    </xf>
    <xf numFmtId="0" fontId="139" fillId="43" borderId="0" applyNumberFormat="0" applyBorder="0" applyAlignment="0" applyProtection="0">
      <alignment vertical="center"/>
    </xf>
    <xf numFmtId="0" fontId="33" fillId="0" borderId="0"/>
    <xf numFmtId="0" fontId="14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62" fillId="4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22" fillId="0" borderId="0" applyProtection="0">
      <alignment vertical="center"/>
    </xf>
    <xf numFmtId="43" fontId="22" fillId="0" borderId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2" fillId="0" borderId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89" fontId="8" fillId="0" borderId="0" applyFill="0" applyBorder="0" applyAlignment="0" applyProtection="0"/>
    <xf numFmtId="40" fontId="32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1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0" fontId="101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/>
    <xf numFmtId="38" fontId="10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33" fillId="0" borderId="0"/>
    <xf numFmtId="38" fontId="55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41" fontId="8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188" fontId="8" fillId="0" borderId="0" applyFill="0" applyBorder="0" applyAlignment="0" applyProtection="0"/>
    <xf numFmtId="188" fontId="8" fillId="0" borderId="0" applyFill="0" applyBorder="0" applyAlignment="0" applyProtection="0"/>
    <xf numFmtId="0" fontId="33" fillId="0" borderId="0"/>
    <xf numFmtId="0" fontId="33" fillId="0" borderId="0"/>
    <xf numFmtId="0" fontId="3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33" fillId="0" borderId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153" fillId="57" borderId="0" applyNumberFormat="0" applyBorder="0" applyAlignment="0" applyProtection="0">
      <alignment vertical="center"/>
    </xf>
    <xf numFmtId="0" fontId="80" fillId="75" borderId="0" applyNumberFormat="0" applyBorder="0" applyAlignment="0" applyProtection="0">
      <alignment vertical="center"/>
    </xf>
    <xf numFmtId="0" fontId="33" fillId="0" borderId="0"/>
    <xf numFmtId="0" fontId="100" fillId="57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240" fillId="18" borderId="0" applyNumberFormat="0" applyBorder="0" applyAlignment="0" applyProtection="0">
      <alignment vertical="center"/>
    </xf>
    <xf numFmtId="0" fontId="80" fillId="75" borderId="0" applyProtection="0">
      <alignment vertical="center"/>
    </xf>
    <xf numFmtId="0" fontId="33" fillId="0" borderId="0"/>
    <xf numFmtId="0" fontId="80" fillId="57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153" fillId="58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33" fillId="0" borderId="0"/>
    <xf numFmtId="0" fontId="100" fillId="58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240" fillId="22" borderId="0" applyNumberFormat="0" applyBorder="0" applyAlignment="0" applyProtection="0">
      <alignment vertical="center"/>
    </xf>
    <xf numFmtId="0" fontId="80" fillId="6" borderId="0" applyProtection="0">
      <alignment vertical="center"/>
    </xf>
    <xf numFmtId="0" fontId="33" fillId="0" borderId="0"/>
    <xf numFmtId="0" fontId="80" fillId="58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153" fillId="59" borderId="0" applyNumberFormat="0" applyBorder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33" fillId="0" borderId="0"/>
    <xf numFmtId="0" fontId="100" fillId="59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240" fillId="26" borderId="0" applyNumberFormat="0" applyBorder="0" applyAlignment="0" applyProtection="0">
      <alignment vertical="center"/>
    </xf>
    <xf numFmtId="0" fontId="80" fillId="76" borderId="0" applyProtection="0">
      <alignment vertical="center"/>
    </xf>
    <xf numFmtId="0" fontId="33" fillId="0" borderId="0"/>
    <xf numFmtId="0" fontId="80" fillId="59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153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33" fillId="0" borderId="0"/>
    <xf numFmtId="0" fontId="10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240" fillId="30" borderId="0" applyNumberFormat="0" applyBorder="0" applyAlignment="0" applyProtection="0">
      <alignment vertical="center"/>
    </xf>
    <xf numFmtId="0" fontId="80" fillId="94" borderId="0" applyProtection="0">
      <alignment vertical="center"/>
    </xf>
    <xf numFmtId="0" fontId="33" fillId="0" borderId="0"/>
    <xf numFmtId="0" fontId="80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153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33" fillId="0" borderId="0"/>
    <xf numFmtId="0" fontId="10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240" fillId="34" borderId="0" applyNumberFormat="0" applyBorder="0" applyAlignment="0" applyProtection="0">
      <alignment vertical="center"/>
    </xf>
    <xf numFmtId="0" fontId="80" fillId="71" borderId="0" applyProtection="0">
      <alignment vertical="center"/>
    </xf>
    <xf numFmtId="0" fontId="33" fillId="0" borderId="0"/>
    <xf numFmtId="0" fontId="80" fillId="55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153" fillId="60" borderId="0" applyNumberFormat="0" applyBorder="0" applyAlignment="0" applyProtection="0">
      <alignment vertical="center"/>
    </xf>
    <xf numFmtId="0" fontId="80" fillId="77" borderId="0" applyNumberFormat="0" applyBorder="0" applyAlignment="0" applyProtection="0">
      <alignment vertical="center"/>
    </xf>
    <xf numFmtId="0" fontId="33" fillId="0" borderId="0"/>
    <xf numFmtId="0" fontId="100" fillId="60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240" fillId="38" borderId="0" applyNumberFormat="0" applyBorder="0" applyAlignment="0" applyProtection="0">
      <alignment vertical="center"/>
    </xf>
    <xf numFmtId="0" fontId="80" fillId="77" borderId="0" applyProtection="0">
      <alignment vertical="center"/>
    </xf>
    <xf numFmtId="0" fontId="33" fillId="0" borderId="0"/>
    <xf numFmtId="0" fontId="80" fillId="60" borderId="0" applyNumberFormat="0" applyBorder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60" fillId="48" borderId="22" applyNumberFormat="0" applyAlignment="0" applyProtection="0">
      <alignment vertical="center"/>
    </xf>
    <xf numFmtId="0" fontId="60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210" fillId="62" borderId="0" applyNumberFormat="0" applyBorder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91" fillId="2" borderId="0" applyProtection="0">
      <alignment vertical="center"/>
    </xf>
    <xf numFmtId="0" fontId="33" fillId="0" borderId="0"/>
    <xf numFmtId="0" fontId="91" fillId="62" borderId="0" applyNumberFormat="0" applyBorder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250" fillId="13" borderId="0" applyNumberFormat="0" applyBorder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33" fillId="0" borderId="0"/>
    <xf numFmtId="0" fontId="91" fillId="62" borderId="0" applyNumberFormat="0" applyBorder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90" borderId="27" applyNumberFormat="0" applyAlignment="0" applyProtection="0">
      <alignment vertical="center"/>
    </xf>
    <xf numFmtId="0" fontId="92" fillId="90" borderId="27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71" fillId="0" borderId="0" applyNumberFormat="0" applyFill="0" applyBorder="0" applyAlignment="0" applyProtection="0"/>
    <xf numFmtId="0" fontId="271" fillId="0" borderId="0" applyNumberFormat="0" applyFill="0" applyBorder="0" applyAlignment="0" applyProtection="0"/>
    <xf numFmtId="0" fontId="271" fillId="0" borderId="0" applyNumberFormat="0" applyFill="0" applyBorder="0" applyAlignment="0" applyProtection="0"/>
    <xf numFmtId="0" fontId="271" fillId="0" borderId="0" applyNumberFormat="0" applyFill="0" applyBorder="0" applyAlignment="0" applyProtection="0"/>
    <xf numFmtId="0" fontId="33" fillId="0" borderId="0"/>
    <xf numFmtId="0" fontId="14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14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147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58" fillId="0" borderId="0" applyNumberFormat="0" applyFill="0" applyBorder="0" applyAlignment="0" applyProtection="0">
      <alignment vertical="center"/>
    </xf>
    <xf numFmtId="197" fontId="23" fillId="0" borderId="0" applyFont="0" applyFill="0" applyBorder="0" applyAlignment="0" applyProtection="0"/>
    <xf numFmtId="6" fontId="33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0" fontId="148" fillId="0" borderId="0"/>
    <xf numFmtId="0" fontId="217" fillId="0" borderId="0"/>
    <xf numFmtId="0" fontId="217" fillId="0" borderId="0"/>
    <xf numFmtId="0" fontId="272" fillId="2" borderId="0" applyNumberFormat="0" applyBorder="0" applyAlignment="0" applyProtection="0"/>
    <xf numFmtId="0" fontId="272" fillId="2" borderId="0" applyNumberFormat="0" applyBorder="0" applyAlignment="0" applyProtection="0"/>
    <xf numFmtId="0" fontId="272" fillId="2" borderId="0" applyNumberFormat="0" applyBorder="0" applyAlignment="0" applyProtection="0"/>
    <xf numFmtId="0" fontId="272" fillId="2" borderId="0" applyNumberFormat="0" applyBorder="0" applyAlignment="0" applyProtection="0"/>
    <xf numFmtId="0" fontId="80" fillId="57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149" fillId="63" borderId="20" applyNumberFormat="0" applyFont="0" applyAlignment="0" applyProtection="0">
      <alignment vertical="center"/>
    </xf>
    <xf numFmtId="0" fontId="149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149" fillId="63" borderId="20" applyNumberFormat="0" applyFont="0" applyAlignment="0" applyProtection="0">
      <alignment vertical="center"/>
    </xf>
    <xf numFmtId="0" fontId="149" fillId="63" borderId="20" applyNumberFormat="0" applyFont="0" applyAlignment="0" applyProtection="0">
      <alignment vertical="center"/>
    </xf>
    <xf numFmtId="0" fontId="149" fillId="63" borderId="20" applyNumberFormat="0" applyFont="0" applyAlignment="0" applyProtection="0">
      <alignment vertical="center"/>
    </xf>
    <xf numFmtId="0" fontId="113" fillId="78" borderId="20" applyNumberFormat="0" applyFont="0" applyAlignment="0" applyProtection="0">
      <alignment vertical="center"/>
    </xf>
    <xf numFmtId="0" fontId="113" fillId="78" borderId="20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73" fillId="0" borderId="0">
      <alignment vertical="center"/>
    </xf>
    <xf numFmtId="0" fontId="290" fillId="0" borderId="0">
      <alignment vertical="center"/>
    </xf>
    <xf numFmtId="0" fontId="32" fillId="19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274" fillId="45" borderId="0" applyNumberFormat="0" applyBorder="0" applyAlignment="0" applyProtection="0">
      <alignment vertical="center"/>
    </xf>
    <xf numFmtId="0" fontId="274" fillId="45" borderId="0" applyNumberFormat="0" applyBorder="0" applyAlignment="0" applyProtection="0">
      <alignment vertical="center"/>
    </xf>
    <xf numFmtId="0" fontId="274" fillId="42" borderId="0" applyNumberFormat="0" applyBorder="0" applyAlignment="0" applyProtection="0">
      <alignment vertical="center"/>
    </xf>
    <xf numFmtId="0" fontId="274" fillId="42" borderId="0" applyNumberFormat="0" applyBorder="0" applyAlignment="0" applyProtection="0">
      <alignment vertical="center"/>
    </xf>
    <xf numFmtId="0" fontId="274" fillId="43" borderId="0" applyNumberFormat="0" applyBorder="0" applyAlignment="0" applyProtection="0">
      <alignment vertical="center"/>
    </xf>
    <xf numFmtId="0" fontId="274" fillId="43" borderId="0" applyNumberFormat="0" applyBorder="0" applyAlignment="0" applyProtection="0">
      <alignment vertical="center"/>
    </xf>
    <xf numFmtId="0" fontId="274" fillId="46" borderId="0" applyNumberFormat="0" applyBorder="0" applyAlignment="0" applyProtection="0">
      <alignment vertical="center"/>
    </xf>
    <xf numFmtId="0" fontId="274" fillId="46" borderId="0" applyNumberFormat="0" applyBorder="0" applyAlignment="0" applyProtection="0">
      <alignment vertical="center"/>
    </xf>
    <xf numFmtId="0" fontId="274" fillId="47" borderId="0" applyNumberFormat="0" applyBorder="0" applyAlignment="0" applyProtection="0">
      <alignment vertical="center"/>
    </xf>
    <xf numFmtId="0" fontId="274" fillId="47" borderId="0" applyNumberFormat="0" applyBorder="0" applyAlignment="0" applyProtection="0">
      <alignment vertical="center"/>
    </xf>
    <xf numFmtId="0" fontId="274" fillId="48" borderId="0" applyNumberFormat="0" applyBorder="0" applyAlignment="0" applyProtection="0">
      <alignment vertical="center"/>
    </xf>
    <xf numFmtId="0" fontId="274" fillId="48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274" fillId="49" borderId="0" applyNumberFormat="0" applyBorder="0" applyAlignment="0" applyProtection="0">
      <alignment vertical="center"/>
    </xf>
    <xf numFmtId="0" fontId="274" fillId="49" borderId="0" applyNumberFormat="0" applyBorder="0" applyAlignment="0" applyProtection="0">
      <alignment vertical="center"/>
    </xf>
    <xf numFmtId="0" fontId="274" fillId="50" borderId="0" applyNumberFormat="0" applyBorder="0" applyAlignment="0" applyProtection="0">
      <alignment vertical="center"/>
    </xf>
    <xf numFmtId="0" fontId="274" fillId="50" borderId="0" applyNumberFormat="0" applyBorder="0" applyAlignment="0" applyProtection="0">
      <alignment vertical="center"/>
    </xf>
    <xf numFmtId="0" fontId="274" fillId="51" borderId="0" applyNumberFormat="0" applyBorder="0" applyAlignment="0" applyProtection="0">
      <alignment vertical="center"/>
    </xf>
    <xf numFmtId="0" fontId="274" fillId="51" borderId="0" applyNumberFormat="0" applyBorder="0" applyAlignment="0" applyProtection="0">
      <alignment vertical="center"/>
    </xf>
    <xf numFmtId="0" fontId="274" fillId="46" borderId="0" applyNumberFormat="0" applyBorder="0" applyAlignment="0" applyProtection="0">
      <alignment vertical="center"/>
    </xf>
    <xf numFmtId="0" fontId="274" fillId="46" borderId="0" applyNumberFormat="0" applyBorder="0" applyAlignment="0" applyProtection="0">
      <alignment vertical="center"/>
    </xf>
    <xf numFmtId="0" fontId="274" fillId="49" borderId="0" applyNumberFormat="0" applyBorder="0" applyAlignment="0" applyProtection="0">
      <alignment vertical="center"/>
    </xf>
    <xf numFmtId="0" fontId="274" fillId="49" borderId="0" applyNumberFormat="0" applyBorder="0" applyAlignment="0" applyProtection="0">
      <alignment vertical="center"/>
    </xf>
    <xf numFmtId="0" fontId="274" fillId="52" borderId="0" applyNumberFormat="0" applyBorder="0" applyAlignment="0" applyProtection="0">
      <alignment vertical="center"/>
    </xf>
    <xf numFmtId="0" fontId="274" fillId="52" borderId="0" applyNumberFormat="0" applyBorder="0" applyAlignment="0" applyProtection="0">
      <alignment vertical="center"/>
    </xf>
    <xf numFmtId="0" fontId="275" fillId="21" borderId="0" applyNumberFormat="0" applyBorder="0" applyAlignment="0" applyProtection="0">
      <alignment vertical="center"/>
    </xf>
    <xf numFmtId="0" fontId="275" fillId="25" borderId="0" applyNumberFormat="0" applyBorder="0" applyAlignment="0" applyProtection="0">
      <alignment vertical="center"/>
    </xf>
    <xf numFmtId="0" fontId="275" fillId="29" borderId="0" applyNumberFormat="0" applyBorder="0" applyAlignment="0" applyProtection="0">
      <alignment vertical="center"/>
    </xf>
    <xf numFmtId="0" fontId="275" fillId="33" borderId="0" applyNumberFormat="0" applyBorder="0" applyAlignment="0" applyProtection="0">
      <alignment vertical="center"/>
    </xf>
    <xf numFmtId="0" fontId="275" fillId="37" borderId="0" applyNumberFormat="0" applyBorder="0" applyAlignment="0" applyProtection="0">
      <alignment vertical="center"/>
    </xf>
    <xf numFmtId="0" fontId="275" fillId="41" borderId="0" applyNumberFormat="0" applyBorder="0" applyAlignment="0" applyProtection="0">
      <alignment vertical="center"/>
    </xf>
    <xf numFmtId="177" fontId="276" fillId="0" borderId="0" applyFont="0" applyFill="0" applyBorder="0" applyAlignment="0" applyProtection="0"/>
    <xf numFmtId="0" fontId="277" fillId="11" borderId="0" applyNumberFormat="0" applyBorder="0" applyAlignment="0" applyProtection="0">
      <alignment vertical="center"/>
    </xf>
    <xf numFmtId="0" fontId="278" fillId="13" borderId="0" applyNumberFormat="0" applyBorder="0" applyAlignment="0" applyProtection="0">
      <alignment vertical="center"/>
    </xf>
    <xf numFmtId="0" fontId="23" fillId="0" borderId="0"/>
    <xf numFmtId="0" fontId="275" fillId="18" borderId="0" applyNumberFormat="0" applyBorder="0" applyAlignment="0" applyProtection="0">
      <alignment vertical="center"/>
    </xf>
    <xf numFmtId="0" fontId="275" fillId="22" borderId="0" applyNumberFormat="0" applyBorder="0" applyAlignment="0" applyProtection="0">
      <alignment vertical="center"/>
    </xf>
    <xf numFmtId="0" fontId="275" fillId="26" borderId="0" applyNumberFormat="0" applyBorder="0" applyAlignment="0" applyProtection="0">
      <alignment vertical="center"/>
    </xf>
    <xf numFmtId="0" fontId="275" fillId="30" borderId="0" applyNumberFormat="0" applyBorder="0" applyAlignment="0" applyProtection="0">
      <alignment vertical="center"/>
    </xf>
    <xf numFmtId="0" fontId="275" fillId="34" borderId="0" applyNumberFormat="0" applyBorder="0" applyAlignment="0" applyProtection="0">
      <alignment vertical="center"/>
    </xf>
    <xf numFmtId="0" fontId="275" fillId="38" borderId="0" applyNumberFormat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80" fillId="16" borderId="16" applyNumberFormat="0" applyAlignment="0" applyProtection="0">
      <alignment vertical="center"/>
    </xf>
    <xf numFmtId="0" fontId="281" fillId="13" borderId="0" applyNumberFormat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282" fillId="0" borderId="0" applyFont="0" applyFill="0" applyBorder="0" applyAlignment="0" applyProtection="0">
      <alignment vertical="center"/>
    </xf>
    <xf numFmtId="9" fontId="283" fillId="0" borderId="0" applyFont="0" applyFill="0" applyBorder="0" applyAlignment="0" applyProtection="0"/>
    <xf numFmtId="9" fontId="101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284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85" fillId="63" borderId="20" applyNumberFormat="0" applyFont="0" applyAlignment="0" applyProtection="0">
      <alignment vertical="center"/>
    </xf>
    <xf numFmtId="0" fontId="285" fillId="63" borderId="20" applyNumberFormat="0" applyFont="0" applyAlignment="0" applyProtection="0">
      <alignment vertical="center"/>
    </xf>
    <xf numFmtId="0" fontId="285" fillId="63" borderId="20" applyNumberFormat="0" applyFont="0" applyAlignment="0" applyProtection="0">
      <alignment vertical="center"/>
    </xf>
    <xf numFmtId="0" fontId="285" fillId="63" borderId="20" applyNumberFormat="0" applyFont="0" applyAlignment="0" applyProtection="0">
      <alignment vertical="center"/>
    </xf>
    <xf numFmtId="0" fontId="285" fillId="63" borderId="20" applyNumberFormat="0" applyFont="0" applyAlignment="0" applyProtection="0">
      <alignment vertical="center"/>
    </xf>
    <xf numFmtId="0" fontId="285" fillId="63" borderId="20" applyNumberFormat="0" applyFont="0" applyAlignment="0" applyProtection="0">
      <alignment vertical="center"/>
    </xf>
    <xf numFmtId="0" fontId="32" fillId="17" borderId="17" applyNumberFormat="0" applyFont="0" applyAlignment="0" applyProtection="0">
      <alignment vertical="center"/>
    </xf>
    <xf numFmtId="0" fontId="286" fillId="0" borderId="15" applyNumberFormat="0" applyFill="0" applyAlignment="0" applyProtection="0">
      <alignment vertical="center"/>
    </xf>
    <xf numFmtId="9" fontId="287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87" fillId="0" borderId="0" applyFont="0" applyFill="0" applyBorder="0" applyAlignment="0" applyProtection="0">
      <alignment vertical="center"/>
    </xf>
    <xf numFmtId="9" fontId="287" fillId="0" borderId="0" applyFont="0" applyFill="0" applyBorder="0" applyAlignment="0" applyProtection="0">
      <alignment vertical="center"/>
    </xf>
    <xf numFmtId="9" fontId="283" fillId="0" borderId="0" applyFont="0" applyFill="0" applyBorder="0" applyAlignment="0" applyProtection="0"/>
    <xf numFmtId="9" fontId="32" fillId="0" borderId="0" applyFont="0" applyFill="0" applyBorder="0" applyAlignment="0" applyProtection="0">
      <alignment vertical="center"/>
    </xf>
    <xf numFmtId="9" fontId="288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94" fillId="0" borderId="0">
      <alignment vertical="center"/>
    </xf>
    <xf numFmtId="0" fontId="30" fillId="0" borderId="0">
      <alignment vertical="center"/>
    </xf>
    <xf numFmtId="0" fontId="32" fillId="0" borderId="0">
      <alignment vertical="center"/>
    </xf>
    <xf numFmtId="0" fontId="30" fillId="0" borderId="0">
      <alignment vertical="center"/>
    </xf>
    <xf numFmtId="0" fontId="32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289" fillId="0" borderId="0"/>
    <xf numFmtId="0" fontId="290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32" fillId="0" borderId="0">
      <alignment vertical="center"/>
    </xf>
    <xf numFmtId="0" fontId="290" fillId="0" borderId="0">
      <alignment vertical="center"/>
    </xf>
    <xf numFmtId="0" fontId="32" fillId="0" borderId="0">
      <alignment vertical="center"/>
    </xf>
    <xf numFmtId="0" fontId="290" fillId="0" borderId="0">
      <alignment vertical="center"/>
    </xf>
    <xf numFmtId="0" fontId="32" fillId="0" borderId="0">
      <alignment vertical="center"/>
    </xf>
    <xf numFmtId="0" fontId="101" fillId="0" borderId="0">
      <alignment vertical="center"/>
    </xf>
    <xf numFmtId="0" fontId="290" fillId="0" borderId="0">
      <alignment vertical="center"/>
    </xf>
    <xf numFmtId="0" fontId="276" fillId="0" borderId="0"/>
    <xf numFmtId="0" fontId="32" fillId="0" borderId="0">
      <alignment vertical="center"/>
    </xf>
    <xf numFmtId="0" fontId="29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94" fillId="0" borderId="0">
      <alignment vertical="center"/>
    </xf>
    <xf numFmtId="0" fontId="32" fillId="0" borderId="0">
      <alignment vertical="center"/>
    </xf>
    <xf numFmtId="0" fontId="291" fillId="0" borderId="0">
      <alignment vertical="center"/>
    </xf>
    <xf numFmtId="0" fontId="290" fillId="0" borderId="0">
      <alignment vertical="center"/>
    </xf>
    <xf numFmtId="0" fontId="282" fillId="0" borderId="0"/>
    <xf numFmtId="0" fontId="3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0" fillId="0" borderId="0">
      <alignment vertical="center"/>
    </xf>
    <xf numFmtId="0" fontId="112" fillId="0" borderId="0">
      <alignment vertical="center"/>
    </xf>
    <xf numFmtId="0" fontId="283" fillId="0" borderId="0"/>
    <xf numFmtId="0" fontId="3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1" fillId="0" borderId="0"/>
    <xf numFmtId="0" fontId="292" fillId="42" borderId="0" applyNumberFormat="0" applyBorder="0" applyAlignment="0" applyProtection="0">
      <alignment vertical="center"/>
    </xf>
    <xf numFmtId="0" fontId="292" fillId="42" borderId="0" applyNumberFormat="0" applyBorder="0" applyAlignment="0" applyProtection="0">
      <alignment vertical="center"/>
    </xf>
    <xf numFmtId="0" fontId="292" fillId="42" borderId="0" applyNumberFormat="0" applyBorder="0" applyAlignment="0" applyProtection="0">
      <alignment vertical="center"/>
    </xf>
    <xf numFmtId="0" fontId="292" fillId="42" borderId="0" applyNumberFormat="0" applyBorder="0" applyAlignment="0" applyProtection="0">
      <alignment vertical="center"/>
    </xf>
    <xf numFmtId="0" fontId="292" fillId="42" borderId="0" applyNumberFormat="0" applyBorder="0" applyAlignment="0" applyProtection="0">
      <alignment vertical="center"/>
    </xf>
    <xf numFmtId="0" fontId="292" fillId="42" borderId="0" applyNumberFormat="0" applyBorder="0" applyAlignment="0" applyProtection="0">
      <alignment vertical="center"/>
    </xf>
    <xf numFmtId="0" fontId="292" fillId="42" borderId="0" applyNumberFormat="0" applyBorder="0" applyAlignment="0" applyProtection="0">
      <alignment vertical="center"/>
    </xf>
    <xf numFmtId="0" fontId="292" fillId="42" borderId="0" applyNumberFormat="0" applyBorder="0" applyAlignment="0" applyProtection="0">
      <alignment vertical="center"/>
    </xf>
    <xf numFmtId="0" fontId="293" fillId="42" borderId="0" applyNumberFormat="0" applyBorder="0" applyAlignment="0" applyProtection="0">
      <alignment vertical="center"/>
    </xf>
    <xf numFmtId="0" fontId="293" fillId="42" borderId="0" applyNumberFormat="0" applyBorder="0" applyAlignment="0" applyProtection="0">
      <alignment vertical="center"/>
    </xf>
    <xf numFmtId="0" fontId="293" fillId="42" borderId="0" applyNumberFormat="0" applyBorder="0" applyAlignment="0" applyProtection="0">
      <alignment vertical="center"/>
    </xf>
    <xf numFmtId="0" fontId="293" fillId="42" borderId="0" applyNumberFormat="0" applyBorder="0" applyAlignment="0" applyProtection="0">
      <alignment vertical="center"/>
    </xf>
    <xf numFmtId="0" fontId="292" fillId="42" borderId="0" applyNumberFormat="0" applyBorder="0" applyAlignment="0" applyProtection="0">
      <alignment vertical="center"/>
    </xf>
    <xf numFmtId="0" fontId="293" fillId="4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33" fillId="0" borderId="0">
      <alignment vertical="center"/>
    </xf>
    <xf numFmtId="0" fontId="287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287" fillId="0" borderId="0"/>
    <xf numFmtId="0" fontId="287" fillId="0" borderId="0"/>
    <xf numFmtId="0" fontId="290" fillId="0" borderId="0">
      <alignment vertical="center"/>
    </xf>
    <xf numFmtId="0" fontId="274" fillId="0" borderId="0">
      <alignment vertical="center"/>
    </xf>
    <xf numFmtId="0" fontId="274" fillId="0" borderId="0">
      <alignment vertical="center"/>
    </xf>
    <xf numFmtId="0" fontId="274" fillId="0" borderId="0">
      <alignment vertical="center"/>
    </xf>
    <xf numFmtId="0" fontId="283" fillId="0" borderId="0"/>
    <xf numFmtId="0" fontId="287" fillId="0" borderId="0"/>
    <xf numFmtId="0" fontId="283" fillId="0" borderId="0"/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294" fillId="15" borderId="14" applyNumberFormat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6" fillId="43" borderId="0" applyNumberFormat="0" applyBorder="0" applyAlignment="0" applyProtection="0">
      <alignment vertical="center"/>
    </xf>
    <xf numFmtId="0" fontId="297" fillId="43" borderId="0" applyNumberFormat="0" applyBorder="0" applyAlignment="0" applyProtection="0">
      <alignment vertical="center"/>
    </xf>
    <xf numFmtId="0" fontId="297" fillId="43" borderId="0" applyNumberFormat="0" applyBorder="0" applyAlignment="0" applyProtection="0">
      <alignment vertical="center"/>
    </xf>
    <xf numFmtId="0" fontId="297" fillId="43" borderId="0" applyNumberFormat="0" applyBorder="0" applyAlignment="0" applyProtection="0">
      <alignment vertical="center"/>
    </xf>
    <xf numFmtId="0" fontId="297" fillId="43" borderId="0" applyNumberFormat="0" applyBorder="0" applyAlignment="0" applyProtection="0">
      <alignment vertical="center"/>
    </xf>
    <xf numFmtId="0" fontId="297" fillId="43" borderId="0" applyNumberFormat="0" applyBorder="0" applyAlignment="0" applyProtection="0">
      <alignment vertical="center"/>
    </xf>
    <xf numFmtId="0" fontId="297" fillId="43" borderId="0" applyNumberFormat="0" applyBorder="0" applyAlignment="0" applyProtection="0">
      <alignment vertical="center"/>
    </xf>
    <xf numFmtId="0" fontId="297" fillId="43" borderId="0" applyNumberFormat="0" applyBorder="0" applyAlignment="0" applyProtection="0">
      <alignment vertical="center"/>
    </xf>
    <xf numFmtId="0" fontId="297" fillId="43" borderId="0" applyNumberFormat="0" applyBorder="0" applyAlignment="0" applyProtection="0">
      <alignment vertical="center"/>
    </xf>
    <xf numFmtId="0" fontId="296" fillId="43" borderId="0" applyNumberFormat="0" applyBorder="0" applyAlignment="0" applyProtection="0">
      <alignment vertical="center"/>
    </xf>
    <xf numFmtId="0" fontId="296" fillId="43" borderId="0" applyNumberFormat="0" applyBorder="0" applyAlignment="0" applyProtection="0">
      <alignment vertical="center"/>
    </xf>
    <xf numFmtId="0" fontId="296" fillId="43" borderId="0" applyNumberFormat="0" applyBorder="0" applyAlignment="0" applyProtection="0">
      <alignment vertical="center"/>
    </xf>
    <xf numFmtId="0" fontId="296" fillId="43" borderId="0" applyNumberFormat="0" applyBorder="0" applyAlignment="0" applyProtection="0">
      <alignment vertical="center"/>
    </xf>
    <xf numFmtId="0" fontId="297" fillId="43" borderId="0" applyNumberFormat="0" applyBorder="0" applyAlignment="0" applyProtection="0">
      <alignment vertical="center"/>
    </xf>
    <xf numFmtId="0" fontId="296" fillId="43" borderId="0" applyNumberFormat="0" applyBorder="0" applyAlignment="0" applyProtection="0">
      <alignment vertical="center"/>
    </xf>
    <xf numFmtId="43" fontId="283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2" fillId="0" borderId="0" applyFont="0" applyFill="0" applyBorder="0" applyAlignment="0" applyProtection="0">
      <alignment vertical="center"/>
    </xf>
    <xf numFmtId="41" fontId="283" fillId="0" borderId="0" applyFont="0" applyFill="0" applyBorder="0" applyAlignment="0" applyProtection="0"/>
    <xf numFmtId="38" fontId="32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>
      <alignment vertical="center"/>
    </xf>
    <xf numFmtId="38" fontId="298" fillId="0" borderId="0" applyFont="0" applyFill="0" applyBorder="0" applyAlignment="0" applyProtection="0">
      <alignment vertical="center"/>
    </xf>
    <xf numFmtId="177" fontId="276" fillId="0" borderId="0" applyFont="0" applyFill="0" applyBorder="0" applyAlignment="0" applyProtection="0"/>
    <xf numFmtId="38" fontId="101" fillId="0" borderId="0" applyFont="0" applyFill="0" applyBorder="0" applyAlignment="0" applyProtection="0">
      <alignment vertical="center"/>
    </xf>
    <xf numFmtId="38" fontId="32" fillId="0" borderId="0" applyFont="0" applyFill="0" applyBorder="0" applyAlignment="0" applyProtection="0">
      <alignment vertical="center"/>
    </xf>
    <xf numFmtId="38" fontId="32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>
      <alignment vertical="center"/>
    </xf>
    <xf numFmtId="38" fontId="32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2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284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194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2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0" fontId="299" fillId="0" borderId="26" applyNumberFormat="0" applyFill="0" applyAlignment="0" applyProtection="0">
      <alignment vertical="center"/>
    </xf>
    <xf numFmtId="198" fontId="101" fillId="0" borderId="0" applyFont="0" applyFill="0" applyBorder="0" applyAlignment="0" applyProtection="0"/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300" fillId="0" borderId="18" applyNumberFormat="0" applyFill="0" applyAlignment="0" applyProtection="0">
      <alignment vertical="center"/>
    </xf>
    <xf numFmtId="0" fontId="301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302" fillId="15" borderId="13" applyNumberFormat="0" applyAlignment="0" applyProtection="0">
      <alignment vertical="center"/>
    </xf>
    <xf numFmtId="0" fontId="129" fillId="0" borderId="23" applyNumberFormat="0" applyFill="0" applyAlignment="0" applyProtection="0">
      <alignment vertical="center"/>
    </xf>
    <xf numFmtId="0" fontId="129" fillId="0" borderId="23" applyNumberFormat="0" applyFill="0" applyAlignment="0" applyProtection="0">
      <alignment vertical="center"/>
    </xf>
    <xf numFmtId="0" fontId="303" fillId="0" borderId="10" applyNumberFormat="0" applyFill="0" applyAlignment="0" applyProtection="0">
      <alignment vertical="center"/>
    </xf>
    <xf numFmtId="0" fontId="131" fillId="0" borderId="24" applyNumberFormat="0" applyFill="0" applyAlignment="0" applyProtection="0">
      <alignment vertical="center"/>
    </xf>
    <xf numFmtId="0" fontId="131" fillId="0" borderId="24" applyNumberFormat="0" applyFill="0" applyAlignment="0" applyProtection="0">
      <alignment vertical="center"/>
    </xf>
    <xf numFmtId="0" fontId="304" fillId="0" borderId="11" applyNumberFormat="0" applyFill="0" applyAlignment="0" applyProtection="0">
      <alignment vertical="center"/>
    </xf>
    <xf numFmtId="0" fontId="133" fillId="0" borderId="25" applyNumberFormat="0" applyFill="0" applyAlignment="0" applyProtection="0">
      <alignment vertical="center"/>
    </xf>
    <xf numFmtId="0" fontId="133" fillId="0" borderId="25" applyNumberFormat="0" applyFill="0" applyAlignment="0" applyProtection="0">
      <alignment vertical="center"/>
    </xf>
    <xf numFmtId="0" fontId="305" fillId="0" borderId="12" applyNumberFormat="0" applyFill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305" fillId="0" borderId="0" applyNumberFormat="0" applyFill="0" applyBorder="0" applyAlignment="0" applyProtection="0">
      <alignment vertical="center"/>
    </xf>
    <xf numFmtId="0" fontId="306" fillId="0" borderId="0" applyNumberFormat="0" applyFill="0" applyBorder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178" fontId="183" fillId="0" borderId="0" applyFont="0" applyFill="0" applyBorder="0" applyAlignment="0" applyProtection="0"/>
    <xf numFmtId="178" fontId="276" fillId="0" borderId="0" applyFont="0" applyFill="0" applyBorder="0" applyAlignment="0" applyProtection="0"/>
    <xf numFmtId="178" fontId="288" fillId="0" borderId="0" applyFont="0" applyFill="0" applyBorder="0" applyAlignment="0" applyProtection="0">
      <alignment vertical="center"/>
    </xf>
    <xf numFmtId="178" fontId="288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/>
    <xf numFmtId="38" fontId="298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177" fontId="276" fillId="0" borderId="0" applyFont="0" applyFill="0" applyBorder="0" applyAlignment="0" applyProtection="0"/>
    <xf numFmtId="38" fontId="194" fillId="0" borderId="0" applyFont="0" applyFill="0" applyBorder="0" applyAlignment="0" applyProtection="0">
      <alignment vertical="center"/>
    </xf>
    <xf numFmtId="177" fontId="288" fillId="0" borderId="0" applyFont="0" applyFill="0" applyBorder="0" applyAlignment="0" applyProtection="0">
      <alignment vertical="center"/>
    </xf>
    <xf numFmtId="177" fontId="288" fillId="0" borderId="0" applyFont="0" applyFill="0" applyBorder="0" applyAlignment="0" applyProtection="0">
      <alignment vertical="center"/>
    </xf>
    <xf numFmtId="43" fontId="287" fillId="0" borderId="0" applyFont="0" applyFill="0" applyBorder="0" applyAlignment="0" applyProtection="0"/>
    <xf numFmtId="43" fontId="74" fillId="0" borderId="0" applyFont="0" applyFill="0" applyBorder="0" applyAlignment="0" applyProtection="0">
      <alignment vertical="center"/>
    </xf>
    <xf numFmtId="41" fontId="287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308" fillId="14" borderId="13" applyNumberFormat="0" applyAlignment="0" applyProtection="0">
      <alignment vertical="center"/>
    </xf>
    <xf numFmtId="0" fontId="309" fillId="64" borderId="27" applyNumberFormat="0" applyAlignment="0" applyProtection="0">
      <alignment vertical="center"/>
    </xf>
    <xf numFmtId="0" fontId="310" fillId="48" borderId="22" applyNumberFormat="0" applyAlignment="0" applyProtection="0">
      <alignment vertical="center"/>
    </xf>
    <xf numFmtId="0" fontId="2" fillId="0" borderId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311" fillId="0" borderId="0" applyNumberFormat="0" applyFill="0" applyBorder="0" applyAlignment="0" applyProtection="0">
      <alignment vertical="center"/>
    </xf>
    <xf numFmtId="6" fontId="101" fillId="0" borderId="0" applyFont="0" applyFill="0" applyBorder="0" applyAlignment="0" applyProtection="0"/>
    <xf numFmtId="6" fontId="30" fillId="0" borderId="0" applyFont="0" applyFill="0" applyBorder="0" applyAlignment="0" applyProtection="0">
      <alignment vertical="center"/>
    </xf>
    <xf numFmtId="0" fontId="183" fillId="0" borderId="0"/>
    <xf numFmtId="0" fontId="194" fillId="0" borderId="0">
      <alignment vertical="center"/>
    </xf>
    <xf numFmtId="0" fontId="194" fillId="0" borderId="0">
      <alignment vertical="center"/>
    </xf>
    <xf numFmtId="0" fontId="33" fillId="0" borderId="0"/>
    <xf numFmtId="0" fontId="33" fillId="0" borderId="0"/>
    <xf numFmtId="0" fontId="19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98" fillId="0" borderId="0">
      <alignment vertical="center"/>
    </xf>
    <xf numFmtId="0" fontId="312" fillId="0" borderId="0">
      <alignment vertical="center"/>
    </xf>
    <xf numFmtId="0" fontId="276" fillId="0" borderId="0"/>
    <xf numFmtId="0" fontId="194" fillId="0" borderId="0">
      <alignment vertical="center"/>
    </xf>
    <xf numFmtId="0" fontId="288" fillId="0" borderId="0">
      <alignment vertical="center"/>
    </xf>
    <xf numFmtId="0" fontId="273" fillId="0" borderId="0">
      <alignment vertical="center"/>
    </xf>
    <xf numFmtId="0" fontId="283" fillId="63" borderId="20" applyNumberFormat="0" applyFont="0" applyAlignment="0" applyProtection="0">
      <alignment vertical="center"/>
    </xf>
    <xf numFmtId="0" fontId="101" fillId="0" borderId="0">
      <alignment vertical="center"/>
    </xf>
    <xf numFmtId="0" fontId="32" fillId="0" borderId="0">
      <alignment vertical="center"/>
    </xf>
    <xf numFmtId="0" fontId="290" fillId="0" borderId="0">
      <alignment vertical="center"/>
    </xf>
    <xf numFmtId="0" fontId="289" fillId="0" borderId="0"/>
    <xf numFmtId="0" fontId="289" fillId="0" borderId="0"/>
    <xf numFmtId="0" fontId="290" fillId="0" borderId="0">
      <alignment vertical="center"/>
    </xf>
    <xf numFmtId="0" fontId="32" fillId="0" borderId="0">
      <alignment vertical="center"/>
    </xf>
    <xf numFmtId="0" fontId="101" fillId="0" borderId="0">
      <alignment vertical="center"/>
    </xf>
    <xf numFmtId="0" fontId="29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3" fillId="0" borderId="0"/>
    <xf numFmtId="0" fontId="151" fillId="0" borderId="0"/>
    <xf numFmtId="206" fontId="22" fillId="0" borderId="0">
      <alignment vertical="center"/>
    </xf>
    <xf numFmtId="206" fontId="22" fillId="0" borderId="0">
      <alignment vertical="center"/>
    </xf>
    <xf numFmtId="206" fontId="22" fillId="0" borderId="0">
      <alignment vertical="center"/>
    </xf>
    <xf numFmtId="206" fontId="22" fillId="0" borderId="0">
      <alignment vertical="center"/>
    </xf>
    <xf numFmtId="206" fontId="8" fillId="0" borderId="0">
      <alignment vertical="center"/>
    </xf>
    <xf numFmtId="206" fontId="8" fillId="0" borderId="0">
      <alignment vertical="center"/>
    </xf>
    <xf numFmtId="206" fontId="8" fillId="0" borderId="0"/>
    <xf numFmtId="206" fontId="8" fillId="0" borderId="0">
      <alignment vertical="center"/>
    </xf>
    <xf numFmtId="0" fontId="8" fillId="0" borderId="0"/>
    <xf numFmtId="0" fontId="8" fillId="0" borderId="0"/>
    <xf numFmtId="206" fontId="8" fillId="0" borderId="0"/>
    <xf numFmtId="206" fontId="8" fillId="0" borderId="0">
      <alignment vertical="center"/>
    </xf>
    <xf numFmtId="0" fontId="74" fillId="0" borderId="0"/>
    <xf numFmtId="206" fontId="22" fillId="0" borderId="0">
      <alignment vertical="center"/>
    </xf>
    <xf numFmtId="206" fontId="22" fillId="0" borderId="0">
      <alignment vertical="center"/>
    </xf>
    <xf numFmtId="0" fontId="22" fillId="0" borderId="0"/>
    <xf numFmtId="0" fontId="22" fillId="0" borderId="0"/>
    <xf numFmtId="207" fontId="74" fillId="0" borderId="0"/>
    <xf numFmtId="206" fontId="22" fillId="0" borderId="0">
      <alignment vertical="center"/>
    </xf>
    <xf numFmtId="206" fontId="8" fillId="0" borderId="0">
      <alignment vertical="center"/>
    </xf>
    <xf numFmtId="206" fontId="8" fillId="0" borderId="0">
      <alignment vertical="center"/>
    </xf>
    <xf numFmtId="206" fontId="8" fillId="0" borderId="0"/>
    <xf numFmtId="206" fontId="8" fillId="0" borderId="0">
      <alignment vertical="center"/>
    </xf>
    <xf numFmtId="0" fontId="8" fillId="0" borderId="0"/>
    <xf numFmtId="206" fontId="8" fillId="0" borderId="0"/>
    <xf numFmtId="206" fontId="8" fillId="0" borderId="0">
      <alignment vertical="center"/>
    </xf>
  </cellStyleXfs>
  <cellXfs count="319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181" fontId="5" fillId="0" borderId="2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81" fontId="5" fillId="0" borderId="3" xfId="0" applyNumberFormat="1" applyFont="1" applyBorder="1" applyAlignment="1">
      <alignment vertical="center"/>
    </xf>
    <xf numFmtId="181" fontId="5" fillId="0" borderId="4" xfId="0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81" fontId="5" fillId="0" borderId="5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80" fontId="6" fillId="2" borderId="1" xfId="0" applyNumberFormat="1" applyFont="1" applyFill="1" applyBorder="1" applyAlignment="1" applyProtection="1">
      <alignment horizontal="center" vertical="center"/>
      <protection locked="0"/>
    </xf>
    <xf numFmtId="182" fontId="4" fillId="0" borderId="1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vertical="center"/>
    </xf>
    <xf numFmtId="0" fontId="317" fillId="0" borderId="40" xfId="0" applyFont="1" applyBorder="1" applyAlignment="1">
      <alignment horizontal="left" vertical="center"/>
    </xf>
    <xf numFmtId="0" fontId="3" fillId="0" borderId="0" xfId="0" applyFont="1"/>
    <xf numFmtId="0" fontId="19" fillId="0" borderId="0" xfId="0" applyFont="1" applyAlignment="1">
      <alignment horizontal="left" vertical="center"/>
    </xf>
    <xf numFmtId="0" fontId="313" fillId="0" borderId="0" xfId="0" applyFont="1" applyAlignment="1">
      <alignment horizontal="left" vertical="center"/>
    </xf>
    <xf numFmtId="0" fontId="313" fillId="0" borderId="0" xfId="0" applyFont="1" applyAlignment="1">
      <alignment horizontal="left" vertical="center" wrapText="1"/>
    </xf>
    <xf numFmtId="0" fontId="314" fillId="0" borderId="0" xfId="0" applyFont="1" applyAlignment="1">
      <alignment horizontal="left" vertical="center" wrapText="1"/>
    </xf>
    <xf numFmtId="0" fontId="319" fillId="0" borderId="0" xfId="0" applyFont="1" applyAlignment="1">
      <alignment horizontal="center" vertical="center"/>
    </xf>
    <xf numFmtId="201" fontId="3" fillId="0" borderId="0" xfId="0" applyNumberFormat="1" applyFont="1"/>
    <xf numFmtId="201" fontId="0" fillId="0" borderId="0" xfId="0" applyNumberFormat="1"/>
    <xf numFmtId="0" fontId="324" fillId="0" borderId="0" xfId="0" applyFont="1" applyAlignment="1">
      <alignment horizontal="center" vertical="center"/>
    </xf>
    <xf numFmtId="201" fontId="324" fillId="0" borderId="0" xfId="0" applyNumberFormat="1" applyFont="1" applyAlignment="1">
      <alignment horizontal="center" vertical="center"/>
    </xf>
    <xf numFmtId="0" fontId="325" fillId="0" borderId="0" xfId="0" applyFont="1" applyAlignment="1">
      <alignment horizontal="center" vertical="center"/>
    </xf>
    <xf numFmtId="0" fontId="325" fillId="0" borderId="36" xfId="0" applyFont="1" applyBorder="1" applyAlignment="1">
      <alignment horizontal="center" vertical="center"/>
    </xf>
    <xf numFmtId="201" fontId="325" fillId="0" borderId="0" xfId="0" applyNumberFormat="1" applyFont="1" applyAlignment="1">
      <alignment horizontal="center" vertical="center"/>
    </xf>
    <xf numFmtId="0" fontId="314" fillId="0" borderId="37" xfId="0" applyFont="1" applyBorder="1" applyAlignment="1">
      <alignment horizontal="center" vertical="center"/>
    </xf>
    <xf numFmtId="0" fontId="314" fillId="0" borderId="0" xfId="0" applyFont="1" applyAlignment="1">
      <alignment horizontal="left" vertical="center"/>
    </xf>
    <xf numFmtId="0" fontId="314" fillId="0" borderId="0" xfId="0" applyFont="1" applyAlignment="1">
      <alignment horizontal="center" vertical="center"/>
    </xf>
    <xf numFmtId="184" fontId="4" fillId="0" borderId="0" xfId="0" applyNumberFormat="1" applyFont="1"/>
    <xf numFmtId="184" fontId="0" fillId="0" borderId="0" xfId="0" applyNumberFormat="1"/>
    <xf numFmtId="0" fontId="4" fillId="0" borderId="44" xfId="0" applyFont="1" applyBorder="1"/>
    <xf numFmtId="0" fontId="4" fillId="0" borderId="0" xfId="0" applyFont="1"/>
    <xf numFmtId="181" fontId="21" fillId="0" borderId="0" xfId="0" applyNumberFormat="1" applyFont="1" applyAlignment="1">
      <alignment horizontal="right" vertical="center"/>
    </xf>
    <xf numFmtId="0" fontId="328" fillId="0" borderId="0" xfId="0" applyFont="1" applyAlignment="1">
      <alignment horizontal="center" vertical="center"/>
    </xf>
    <xf numFmtId="183" fontId="329" fillId="0" borderId="0" xfId="0" applyNumberFormat="1" applyFont="1" applyAlignment="1">
      <alignment horizontal="right" vertical="center"/>
    </xf>
    <xf numFmtId="186" fontId="318" fillId="0" borderId="0" xfId="2" applyNumberFormat="1" applyFont="1" applyAlignment="1">
      <alignment horizontal="center" vertical="center"/>
    </xf>
    <xf numFmtId="181" fontId="314" fillId="98" borderId="40" xfId="0" applyNumberFormat="1" applyFont="1" applyFill="1" applyBorder="1" applyAlignment="1" applyProtection="1">
      <alignment horizontal="right" vertical="center"/>
      <protection locked="0"/>
    </xf>
    <xf numFmtId="0" fontId="317" fillId="0" borderId="37" xfId="1" applyFont="1" applyBorder="1" applyAlignment="1">
      <alignment horizontal="left" vertical="center"/>
    </xf>
    <xf numFmtId="0" fontId="328" fillId="0" borderId="40" xfId="0" applyFont="1" applyBorder="1" applyAlignment="1">
      <alignment horizontal="center" vertical="center"/>
    </xf>
    <xf numFmtId="0" fontId="21" fillId="0" borderId="41" xfId="0" applyFont="1" applyBorder="1"/>
    <xf numFmtId="0" fontId="317" fillId="0" borderId="38" xfId="1" applyFont="1" applyBorder="1" applyAlignment="1">
      <alignment horizontal="left" vertical="center"/>
    </xf>
    <xf numFmtId="0" fontId="3" fillId="0" borderId="36" xfId="0" applyFont="1" applyBorder="1"/>
    <xf numFmtId="0" fontId="317" fillId="0" borderId="37" xfId="1" applyFont="1" applyBorder="1" applyAlignment="1">
      <alignment horizontal="center" vertical="center"/>
    </xf>
    <xf numFmtId="0" fontId="19" fillId="98" borderId="47" xfId="0" applyFont="1" applyFill="1" applyBorder="1" applyAlignment="1">
      <alignment horizontal="center" vertical="center"/>
    </xf>
    <xf numFmtId="203" fontId="3" fillId="0" borderId="0" xfId="0" applyNumberFormat="1" applyFont="1"/>
    <xf numFmtId="203" fontId="3" fillId="0" borderId="37" xfId="0" applyNumberFormat="1" applyFont="1" applyBorder="1"/>
    <xf numFmtId="183" fontId="314" fillId="0" borderId="0" xfId="0" applyNumberFormat="1" applyFont="1" applyAlignment="1">
      <alignment horizontal="right" vertical="center"/>
    </xf>
    <xf numFmtId="183" fontId="314" fillId="98" borderId="37" xfId="0" applyNumberFormat="1" applyFont="1" applyFill="1" applyBorder="1" applyAlignment="1" applyProtection="1">
      <alignment horizontal="right" vertical="center"/>
      <protection locked="0"/>
    </xf>
    <xf numFmtId="183" fontId="335" fillId="0" borderId="0" xfId="0" applyNumberFormat="1" applyFont="1" applyAlignment="1">
      <alignment horizontal="right" vertical="center"/>
    </xf>
    <xf numFmtId="183" fontId="335" fillId="100" borderId="37" xfId="0" applyNumberFormat="1" applyFont="1" applyFill="1" applyBorder="1" applyAlignment="1">
      <alignment horizontal="right" vertical="center"/>
    </xf>
    <xf numFmtId="200" fontId="322" fillId="0" borderId="0" xfId="0" applyNumberFormat="1" applyFont="1" applyAlignment="1">
      <alignment horizontal="right" vertical="center"/>
    </xf>
    <xf numFmtId="0" fontId="314" fillId="0" borderId="0" xfId="0" applyFont="1" applyAlignment="1">
      <alignment horizontal="right" vertical="center"/>
    </xf>
    <xf numFmtId="200" fontId="326" fillId="0" borderId="0" xfId="0" applyNumberFormat="1" applyFont="1" applyAlignment="1">
      <alignment horizontal="right" vertical="center"/>
    </xf>
    <xf numFmtId="14" fontId="314" fillId="0" borderId="0" xfId="0" applyNumberFormat="1" applyFont="1" applyAlignment="1">
      <alignment horizontal="right" vertical="center"/>
    </xf>
    <xf numFmtId="183" fontId="319" fillId="0" borderId="0" xfId="0" applyNumberFormat="1" applyFont="1" applyAlignment="1">
      <alignment horizontal="right" vertical="center"/>
    </xf>
    <xf numFmtId="183" fontId="314" fillId="0" borderId="37" xfId="0" applyNumberFormat="1" applyFont="1" applyBorder="1" applyAlignment="1">
      <alignment horizontal="right" vertical="center"/>
    </xf>
    <xf numFmtId="183" fontId="314" fillId="0" borderId="40" xfId="0" applyNumberFormat="1" applyFont="1" applyBorder="1" applyAlignment="1">
      <alignment horizontal="right" vertical="center"/>
    </xf>
    <xf numFmtId="0" fontId="334" fillId="96" borderId="36" xfId="0" applyFont="1" applyFill="1" applyBorder="1" applyAlignment="1">
      <alignment horizontal="center" vertical="center" wrapText="1"/>
    </xf>
    <xf numFmtId="0" fontId="334" fillId="96" borderId="37" xfId="0" applyFont="1" applyFill="1" applyBorder="1" applyAlignment="1">
      <alignment horizontal="center" vertical="center" wrapText="1"/>
    </xf>
    <xf numFmtId="0" fontId="334" fillId="0" borderId="0" xfId="0" applyFont="1" applyAlignment="1">
      <alignment horizontal="center" vertical="center" wrapText="1"/>
    </xf>
    <xf numFmtId="0" fontId="334" fillId="96" borderId="36" xfId="0" applyFont="1" applyFill="1" applyBorder="1"/>
    <xf numFmtId="0" fontId="334" fillId="96" borderId="37" xfId="0" applyFont="1" applyFill="1" applyBorder="1"/>
    <xf numFmtId="0" fontId="343" fillId="96" borderId="37" xfId="0" applyFont="1" applyFill="1" applyBorder="1" applyAlignment="1">
      <alignment horizontal="right" vertical="center"/>
    </xf>
    <xf numFmtId="0" fontId="344" fillId="96" borderId="37" xfId="0" applyFont="1" applyFill="1" applyBorder="1" applyAlignment="1">
      <alignment horizontal="right" vertical="center"/>
    </xf>
    <xf numFmtId="0" fontId="333" fillId="0" borderId="37" xfId="0" applyFont="1" applyBorder="1" applyAlignment="1">
      <alignment horizontal="center" vertical="center"/>
    </xf>
    <xf numFmtId="58" fontId="317" fillId="0" borderId="37" xfId="1" applyNumberFormat="1" applyFont="1" applyBorder="1" applyAlignment="1">
      <alignment horizontal="center" vertical="center"/>
    </xf>
    <xf numFmtId="0" fontId="334" fillId="96" borderId="39" xfId="0" applyFont="1" applyFill="1" applyBorder="1"/>
    <xf numFmtId="0" fontId="334" fillId="96" borderId="40" xfId="0" applyFont="1" applyFill="1" applyBorder="1"/>
    <xf numFmtId="0" fontId="334" fillId="96" borderId="40" xfId="0" applyFont="1" applyFill="1" applyBorder="1" applyAlignment="1">
      <alignment horizontal="right" vertical="center"/>
    </xf>
    <xf numFmtId="0" fontId="333" fillId="0" borderId="40" xfId="0" applyFont="1" applyBorder="1" applyAlignment="1">
      <alignment horizontal="center" vertical="center"/>
    </xf>
    <xf numFmtId="0" fontId="317" fillId="0" borderId="40" xfId="0" applyFont="1" applyBorder="1" applyAlignment="1">
      <alignment horizontal="center" vertical="center"/>
    </xf>
    <xf numFmtId="0" fontId="337" fillId="0" borderId="40" xfId="0" applyFont="1" applyBorder="1" applyAlignment="1">
      <alignment horizontal="center" vertical="center"/>
    </xf>
    <xf numFmtId="0" fontId="334" fillId="0" borderId="0" xfId="0" applyFont="1"/>
    <xf numFmtId="0" fontId="334" fillId="0" borderId="0" xfId="0" applyFont="1" applyAlignment="1">
      <alignment horizontal="right" vertical="center"/>
    </xf>
    <xf numFmtId="0" fontId="333" fillId="0" borderId="0" xfId="0" applyFont="1" applyAlignment="1">
      <alignment horizontal="center" vertical="center"/>
    </xf>
    <xf numFmtId="0" fontId="334" fillId="0" borderId="0" xfId="0" applyFont="1" applyAlignment="1">
      <alignment horizontal="center" vertical="center"/>
    </xf>
    <xf numFmtId="0" fontId="334" fillId="0" borderId="0" xfId="0" applyFont="1" applyAlignment="1">
      <alignment horizontal="center"/>
    </xf>
    <xf numFmtId="203" fontId="334" fillId="0" borderId="0" xfId="0" applyNumberFormat="1" applyFont="1" applyAlignment="1">
      <alignment horizontal="right" vertical="center"/>
    </xf>
    <xf numFmtId="183" fontId="314" fillId="0" borderId="37" xfId="1" applyNumberFormat="1" applyFont="1" applyBorder="1" applyAlignment="1">
      <alignment horizontal="right" vertical="center"/>
    </xf>
    <xf numFmtId="183" fontId="314" fillId="0" borderId="40" xfId="1" applyNumberFormat="1" applyFont="1" applyBorder="1" applyAlignment="1">
      <alignment horizontal="right" vertical="center"/>
    </xf>
    <xf numFmtId="183" fontId="21" fillId="0" borderId="0" xfId="0" applyNumberFormat="1" applyFont="1" applyAlignment="1">
      <alignment horizontal="right" vertical="center"/>
    </xf>
    <xf numFmtId="183" fontId="314" fillId="98" borderId="40" xfId="0" applyNumberFormat="1" applyFont="1" applyFill="1" applyBorder="1" applyAlignment="1" applyProtection="1">
      <alignment horizontal="right" vertical="center"/>
      <protection locked="0"/>
    </xf>
    <xf numFmtId="202" fontId="324" fillId="97" borderId="54" xfId="0" applyNumberFormat="1" applyFont="1" applyFill="1" applyBorder="1" applyAlignment="1">
      <alignment horizontal="center" vertical="center"/>
    </xf>
    <xf numFmtId="0" fontId="325" fillId="0" borderId="42" xfId="0" applyFont="1" applyBorder="1" applyAlignment="1">
      <alignment horizontal="center" vertical="center"/>
    </xf>
    <xf numFmtId="202" fontId="324" fillId="0" borderId="42" xfId="0" applyNumberFormat="1" applyFont="1" applyBorder="1" applyAlignment="1">
      <alignment horizontal="center" vertical="center"/>
    </xf>
    <xf numFmtId="0" fontId="327" fillId="3" borderId="42" xfId="0" applyFont="1" applyFill="1" applyBorder="1" applyAlignment="1">
      <alignment horizontal="center" vertical="center"/>
    </xf>
    <xf numFmtId="183" fontId="327" fillId="100" borderId="42" xfId="0" applyNumberFormat="1" applyFont="1" applyFill="1" applyBorder="1" applyAlignment="1">
      <alignment horizontal="right" vertical="center"/>
    </xf>
    <xf numFmtId="183" fontId="327" fillId="3" borderId="42" xfId="0" applyNumberFormat="1" applyFont="1" applyFill="1" applyBorder="1" applyAlignment="1">
      <alignment horizontal="right" vertical="center"/>
    </xf>
    <xf numFmtId="200" fontId="327" fillId="3" borderId="42" xfId="0" applyNumberFormat="1" applyFont="1" applyFill="1" applyBorder="1" applyAlignment="1">
      <alignment horizontal="right" vertical="center"/>
    </xf>
    <xf numFmtId="183" fontId="327" fillId="0" borderId="42" xfId="0" applyNumberFormat="1" applyFont="1" applyBorder="1" applyAlignment="1">
      <alignment horizontal="right" vertical="center"/>
    </xf>
    <xf numFmtId="14" fontId="327" fillId="0" borderId="42" xfId="0" applyNumberFormat="1" applyFont="1" applyBorder="1" applyAlignment="1">
      <alignment horizontal="right" vertical="center"/>
    </xf>
    <xf numFmtId="14" fontId="327" fillId="3" borderId="42" xfId="0" applyNumberFormat="1" applyFont="1" applyFill="1" applyBorder="1" applyAlignment="1">
      <alignment horizontal="right" vertical="center"/>
    </xf>
    <xf numFmtId="203" fontId="325" fillId="0" borderId="42" xfId="0" applyNumberFormat="1" applyFont="1" applyBorder="1" applyAlignment="1">
      <alignment horizontal="center" vertical="center"/>
    </xf>
    <xf numFmtId="201" fontId="325" fillId="0" borderId="43" xfId="0" applyNumberFormat="1" applyFont="1" applyBorder="1" applyAlignment="1">
      <alignment horizontal="center" vertical="center"/>
    </xf>
    <xf numFmtId="0" fontId="324" fillId="0" borderId="48" xfId="0" applyFont="1" applyBorder="1" applyAlignment="1">
      <alignment horizontal="left" vertical="center"/>
    </xf>
    <xf numFmtId="202" fontId="324" fillId="0" borderId="49" xfId="0" applyNumberFormat="1" applyFont="1" applyBorder="1" applyAlignment="1">
      <alignment horizontal="center" vertical="center"/>
    </xf>
    <xf numFmtId="14" fontId="20" fillId="0" borderId="49" xfId="0" applyNumberFormat="1" applyFont="1" applyBorder="1" applyAlignment="1">
      <alignment horizontal="center" vertical="center"/>
    </xf>
    <xf numFmtId="183" fontId="336" fillId="100" borderId="49" xfId="0" applyNumberFormat="1" applyFont="1" applyFill="1" applyBorder="1" applyAlignment="1">
      <alignment horizontal="right" vertical="center"/>
    </xf>
    <xf numFmtId="0" fontId="333" fillId="0" borderId="37" xfId="0" applyFont="1" applyBorder="1" applyAlignment="1">
      <alignment horizontal="left" vertical="center"/>
    </xf>
    <xf numFmtId="0" fontId="333" fillId="0" borderId="40" xfId="0" applyFont="1" applyBorder="1" applyAlignment="1">
      <alignment horizontal="left" vertical="center"/>
    </xf>
    <xf numFmtId="0" fontId="333" fillId="0" borderId="0" xfId="0" applyFont="1" applyAlignment="1">
      <alignment horizontal="left" vertical="center"/>
    </xf>
    <xf numFmtId="203" fontId="320" fillId="101" borderId="49" xfId="0" applyNumberFormat="1" applyFont="1" applyFill="1" applyBorder="1" applyAlignment="1">
      <alignment vertical="center"/>
    </xf>
    <xf numFmtId="203" fontId="325" fillId="101" borderId="42" xfId="0" applyNumberFormat="1" applyFont="1" applyFill="1" applyBorder="1" applyAlignment="1">
      <alignment horizontal="center" vertical="center"/>
    </xf>
    <xf numFmtId="203" fontId="3" fillId="101" borderId="37" xfId="0" applyNumberFormat="1" applyFont="1" applyFill="1" applyBorder="1"/>
    <xf numFmtId="203" fontId="324" fillId="101" borderId="49" xfId="0" applyNumberFormat="1" applyFont="1" applyFill="1" applyBorder="1" applyAlignment="1">
      <alignment horizontal="center" vertical="center"/>
    </xf>
    <xf numFmtId="14" fontId="20" fillId="101" borderId="49" xfId="0" applyNumberFormat="1" applyFont="1" applyFill="1" applyBorder="1" applyAlignment="1">
      <alignment horizontal="center" vertical="center"/>
    </xf>
    <xf numFmtId="200" fontId="326" fillId="98" borderId="37" xfId="0" applyNumberFormat="1" applyFont="1" applyFill="1" applyBorder="1" applyAlignment="1" applyProtection="1">
      <alignment horizontal="right" vertical="center"/>
      <protection locked="0"/>
    </xf>
    <xf numFmtId="201" fontId="324" fillId="98" borderId="50" xfId="0" applyNumberFormat="1" applyFont="1" applyFill="1" applyBorder="1" applyAlignment="1" applyProtection="1">
      <alignment horizontal="center" vertical="center"/>
      <protection locked="0"/>
    </xf>
    <xf numFmtId="14" fontId="5" fillId="2" borderId="7" xfId="0" applyNumberFormat="1" applyFont="1" applyFill="1" applyBorder="1" applyAlignment="1" applyProtection="1">
      <alignment horizontal="center" vertical="center"/>
    </xf>
    <xf numFmtId="0" fontId="334" fillId="102" borderId="55" xfId="0" applyFont="1" applyFill="1" applyBorder="1" applyAlignment="1">
      <alignment vertical="center"/>
    </xf>
    <xf numFmtId="199" fontId="339" fillId="102" borderId="56" xfId="0" applyNumberFormat="1" applyFont="1" applyFill="1" applyBorder="1" applyAlignment="1">
      <alignment horizontal="center" vertical="center"/>
    </xf>
    <xf numFmtId="0" fontId="316" fillId="102" borderId="56" xfId="0" applyFont="1" applyFill="1" applyBorder="1" applyAlignment="1">
      <alignment horizontal="left" vertical="center"/>
    </xf>
    <xf numFmtId="0" fontId="334" fillId="102" borderId="56" xfId="0" applyFont="1" applyFill="1" applyBorder="1" applyAlignment="1">
      <alignment vertical="center"/>
    </xf>
    <xf numFmtId="0" fontId="333" fillId="102" borderId="56" xfId="0" applyFont="1" applyFill="1" applyBorder="1" applyAlignment="1">
      <alignment horizontal="center" vertical="center"/>
    </xf>
    <xf numFmtId="0" fontId="339" fillId="102" borderId="56" xfId="0" applyFont="1" applyFill="1" applyBorder="1" applyAlignment="1">
      <alignment vertical="center"/>
    </xf>
    <xf numFmtId="0" fontId="345" fillId="102" borderId="56" xfId="0" applyFont="1" applyFill="1" applyBorder="1" applyAlignment="1">
      <alignment horizontal="center" vertical="center"/>
    </xf>
    <xf numFmtId="0" fontId="331" fillId="102" borderId="56" xfId="0" applyFont="1" applyFill="1" applyBorder="1" applyAlignment="1">
      <alignment horizontal="center" vertical="center"/>
    </xf>
    <xf numFmtId="0" fontId="319" fillId="102" borderId="56" xfId="0" applyFont="1" applyFill="1" applyBorder="1" applyAlignment="1">
      <alignment horizontal="left" vertical="center"/>
    </xf>
    <xf numFmtId="0" fontId="328" fillId="102" borderId="56" xfId="0" applyFont="1" applyFill="1" applyBorder="1" applyAlignment="1">
      <alignment vertical="center"/>
    </xf>
    <xf numFmtId="199" fontId="339" fillId="102" borderId="36" xfId="0" applyNumberFormat="1" applyFont="1" applyFill="1" applyBorder="1" applyAlignment="1">
      <alignment horizontal="center" vertical="center"/>
    </xf>
    <xf numFmtId="199" fontId="331" fillId="102" borderId="37" xfId="0" applyNumberFormat="1" applyFont="1" applyFill="1" applyBorder="1" applyAlignment="1">
      <alignment vertical="center"/>
    </xf>
    <xf numFmtId="0" fontId="331" fillId="102" borderId="37" xfId="0" applyFont="1" applyFill="1" applyBorder="1" applyAlignment="1">
      <alignment horizontal="right" vertical="center"/>
    </xf>
    <xf numFmtId="0" fontId="334" fillId="102" borderId="37" xfId="0" applyFont="1" applyFill="1" applyBorder="1"/>
    <xf numFmtId="0" fontId="334" fillId="102" borderId="37" xfId="0" applyFont="1" applyFill="1" applyBorder="1" applyAlignment="1">
      <alignment horizontal="center" vertical="center"/>
    </xf>
    <xf numFmtId="199" fontId="339" fillId="102" borderId="37" xfId="0" applyNumberFormat="1" applyFont="1" applyFill="1" applyBorder="1" applyAlignment="1">
      <alignment horizontal="center" vertical="center"/>
    </xf>
    <xf numFmtId="14" fontId="331" fillId="102" borderId="37" xfId="0" applyNumberFormat="1" applyFont="1" applyFill="1" applyBorder="1" applyAlignment="1">
      <alignment vertical="center"/>
    </xf>
    <xf numFmtId="186" fontId="342" fillId="102" borderId="37" xfId="2" applyNumberFormat="1" applyFont="1" applyFill="1" applyBorder="1" applyAlignment="1">
      <alignment horizontal="center" vertical="center"/>
    </xf>
    <xf numFmtId="14" fontId="337" fillId="102" borderId="37" xfId="0" applyNumberFormat="1" applyFont="1" applyFill="1" applyBorder="1" applyAlignment="1">
      <alignment horizontal="left" vertical="center"/>
    </xf>
    <xf numFmtId="186" fontId="334" fillId="102" borderId="37" xfId="0" applyNumberFormat="1" applyFont="1" applyFill="1" applyBorder="1" applyAlignment="1">
      <alignment vertical="center"/>
    </xf>
    <xf numFmtId="186" fontId="346" fillId="102" borderId="37" xfId="2" applyNumberFormat="1" applyFont="1" applyFill="1" applyBorder="1" applyAlignment="1">
      <alignment horizontal="center" vertical="center"/>
    </xf>
    <xf numFmtId="186" fontId="347" fillId="102" borderId="37" xfId="2" applyNumberFormat="1" applyFont="1" applyFill="1" applyBorder="1" applyAlignment="1">
      <alignment horizontal="center" vertical="center"/>
    </xf>
    <xf numFmtId="0" fontId="319" fillId="98" borderId="37" xfId="0" applyFont="1" applyFill="1" applyBorder="1" applyAlignment="1" applyProtection="1">
      <alignment horizontal="center" vertical="center"/>
      <protection locked="0"/>
    </xf>
    <xf numFmtId="0" fontId="319" fillId="102" borderId="37" xfId="0" applyFont="1" applyFill="1" applyBorder="1" applyAlignment="1">
      <alignment horizontal="left" vertical="center"/>
    </xf>
    <xf numFmtId="14" fontId="348" fillId="102" borderId="37" xfId="0" applyNumberFormat="1" applyFont="1" applyFill="1" applyBorder="1" applyAlignment="1">
      <alignment horizontal="center" vertical="center"/>
    </xf>
    <xf numFmtId="0" fontId="331" fillId="99" borderId="37" xfId="0" applyFont="1" applyFill="1" applyBorder="1" applyAlignment="1">
      <alignment horizontal="center" vertical="center" wrapText="1"/>
    </xf>
    <xf numFmtId="0" fontId="334" fillId="96" borderId="37" xfId="0" applyFont="1" applyFill="1" applyBorder="1" applyAlignment="1">
      <alignment horizontal="center" vertical="center"/>
    </xf>
    <xf numFmtId="0" fontId="334" fillId="0" borderId="37" xfId="0" applyFont="1" applyBorder="1" applyAlignment="1">
      <alignment vertical="center" wrapText="1"/>
    </xf>
    <xf numFmtId="0" fontId="317" fillId="99" borderId="37" xfId="0" applyFont="1" applyFill="1" applyBorder="1" applyAlignment="1">
      <alignment horizontal="center" vertical="center" wrapText="1"/>
    </xf>
    <xf numFmtId="0" fontId="337" fillId="102" borderId="37" xfId="0" applyFont="1" applyFill="1" applyBorder="1" applyAlignment="1">
      <alignment horizontal="center" vertical="center" wrapText="1"/>
    </xf>
    <xf numFmtId="0" fontId="338" fillId="99" borderId="37" xfId="0" applyFont="1" applyFill="1" applyBorder="1" applyAlignment="1">
      <alignment horizontal="center" vertical="center" wrapText="1"/>
    </xf>
    <xf numFmtId="0" fontId="319" fillId="102" borderId="57" xfId="0" applyFont="1" applyFill="1" applyBorder="1" applyAlignment="1">
      <alignment horizontal="center" vertical="center"/>
    </xf>
    <xf numFmtId="203" fontId="328" fillId="102" borderId="58" xfId="0" applyNumberFormat="1" applyFont="1" applyFill="1" applyBorder="1" applyAlignment="1">
      <alignment horizontal="right" vertical="center"/>
    </xf>
    <xf numFmtId="0" fontId="328" fillId="102" borderId="59" xfId="0" applyFont="1" applyFill="1" applyBorder="1" applyAlignment="1">
      <alignment horizontal="left" vertical="center"/>
    </xf>
    <xf numFmtId="183" fontId="319" fillId="95" borderId="59" xfId="0" applyNumberFormat="1" applyFont="1" applyFill="1" applyBorder="1" applyAlignment="1">
      <alignment horizontal="right" vertical="center"/>
    </xf>
    <xf numFmtId="183" fontId="319" fillId="99" borderId="59" xfId="0" applyNumberFormat="1" applyFont="1" applyFill="1" applyBorder="1" applyAlignment="1">
      <alignment horizontal="right" vertical="center"/>
    </xf>
    <xf numFmtId="0" fontId="328" fillId="99" borderId="59" xfId="0" applyFont="1" applyFill="1" applyBorder="1" applyAlignment="1">
      <alignment horizontal="center" vertical="center"/>
    </xf>
    <xf numFmtId="0" fontId="21" fillId="95" borderId="61" xfId="0" applyFont="1" applyFill="1" applyBorder="1" applyAlignment="1">
      <alignment vertical="center"/>
    </xf>
    <xf numFmtId="203" fontId="327" fillId="102" borderId="37" xfId="0" applyNumberFormat="1" applyFont="1" applyFill="1" applyBorder="1" applyAlignment="1">
      <alignment horizontal="right" vertical="center"/>
    </xf>
    <xf numFmtId="14" fontId="327" fillId="102" borderId="37" xfId="0" applyNumberFormat="1" applyFont="1" applyFill="1" applyBorder="1" applyAlignment="1">
      <alignment horizontal="left" vertical="center"/>
    </xf>
    <xf numFmtId="181" fontId="20" fillId="102" borderId="37" xfId="0" applyNumberFormat="1" applyFont="1" applyFill="1" applyBorder="1" applyAlignment="1">
      <alignment vertical="center"/>
    </xf>
    <xf numFmtId="183" fontId="331" fillId="98" borderId="37" xfId="0" applyNumberFormat="1" applyFont="1" applyFill="1" applyBorder="1" applyAlignment="1">
      <alignment horizontal="right" vertical="center"/>
    </xf>
    <xf numFmtId="14" fontId="316" fillId="99" borderId="37" xfId="0" applyNumberFormat="1" applyFont="1" applyFill="1" applyBorder="1" applyAlignment="1">
      <alignment horizontal="center" vertical="center"/>
    </xf>
    <xf numFmtId="0" fontId="20" fillId="95" borderId="38" xfId="0" applyFont="1" applyFill="1" applyBorder="1" applyAlignment="1">
      <alignment horizontal="left" vertical="center" wrapText="1"/>
    </xf>
    <xf numFmtId="203" fontId="317" fillId="99" borderId="37" xfId="0" applyNumberFormat="1" applyFont="1" applyFill="1" applyBorder="1" applyAlignment="1">
      <alignment horizontal="right" vertical="center" wrapText="1"/>
    </xf>
    <xf numFmtId="0" fontId="331" fillId="99" borderId="37" xfId="0" applyFont="1" applyFill="1" applyBorder="1" applyAlignment="1">
      <alignment horizontal="left" vertical="center" wrapText="1"/>
    </xf>
    <xf numFmtId="183" fontId="317" fillId="99" borderId="37" xfId="0" applyNumberFormat="1" applyFont="1" applyFill="1" applyBorder="1" applyAlignment="1">
      <alignment horizontal="right" vertical="center" wrapText="1"/>
    </xf>
    <xf numFmtId="181" fontId="317" fillId="98" borderId="37" xfId="0" applyNumberFormat="1" applyFont="1" applyFill="1" applyBorder="1" applyAlignment="1">
      <alignment horizontal="right" vertical="center" wrapText="1"/>
    </xf>
    <xf numFmtId="183" fontId="317" fillId="98" borderId="37" xfId="0" applyNumberFormat="1" applyFont="1" applyFill="1" applyBorder="1" applyAlignment="1">
      <alignment horizontal="right" vertical="center" wrapText="1"/>
    </xf>
    <xf numFmtId="186" fontId="330" fillId="98" borderId="37" xfId="2" applyNumberFormat="1" applyFont="1" applyFill="1" applyBorder="1" applyAlignment="1">
      <alignment horizontal="center" vertical="center"/>
    </xf>
    <xf numFmtId="0" fontId="337" fillId="95" borderId="38" xfId="0" applyFont="1" applyFill="1" applyBorder="1" applyAlignment="1">
      <alignment horizontal="center" vertical="center" wrapText="1"/>
    </xf>
    <xf numFmtId="203" fontId="317" fillId="0" borderId="37" xfId="0" applyNumberFormat="1" applyFont="1" applyBorder="1" applyAlignment="1">
      <alignment horizontal="right" vertical="center"/>
    </xf>
    <xf numFmtId="181" fontId="314" fillId="98" borderId="37" xfId="0" applyNumberFormat="1" applyFont="1" applyFill="1" applyBorder="1" applyAlignment="1" applyProtection="1">
      <alignment horizontal="right" vertical="center"/>
      <protection locked="0"/>
    </xf>
    <xf numFmtId="0" fontId="333" fillId="0" borderId="37" xfId="1" applyFont="1" applyBorder="1" applyAlignment="1">
      <alignment horizontal="center" vertical="center"/>
    </xf>
    <xf numFmtId="203" fontId="317" fillId="0" borderId="40" xfId="0" applyNumberFormat="1" applyFont="1" applyBorder="1" applyAlignment="1">
      <alignment horizontal="right" vertical="center"/>
    </xf>
    <xf numFmtId="58" fontId="317" fillId="103" borderId="37" xfId="1" applyNumberFormat="1" applyFont="1" applyFill="1" applyBorder="1" applyAlignment="1">
      <alignment horizontal="center" vertical="center"/>
    </xf>
    <xf numFmtId="0" fontId="334" fillId="8" borderId="37" xfId="0" applyFont="1" applyFill="1" applyBorder="1"/>
    <xf numFmtId="0" fontId="334" fillId="8" borderId="36" xfId="0" applyFont="1" applyFill="1" applyBorder="1"/>
    <xf numFmtId="184" fontId="349" fillId="0" borderId="0" xfId="0" applyNumberFormat="1" applyFont="1"/>
    <xf numFmtId="186" fontId="336" fillId="0" borderId="0" xfId="2" applyNumberFormat="1" applyFont="1" applyAlignment="1">
      <alignment horizontal="center" vertical="center"/>
    </xf>
    <xf numFmtId="0" fontId="349" fillId="0" borderId="0" xfId="0" applyFont="1"/>
    <xf numFmtId="0" fontId="349" fillId="0" borderId="45" xfId="0" applyFont="1" applyBorder="1"/>
    <xf numFmtId="0" fontId="349" fillId="0" borderId="46" xfId="0" applyFont="1" applyBorder="1"/>
    <xf numFmtId="186" fontId="346" fillId="0" borderId="0" xfId="2" applyNumberFormat="1" applyFont="1" applyAlignment="1">
      <alignment horizontal="center" vertical="center"/>
    </xf>
    <xf numFmtId="0" fontId="314" fillId="0" borderId="62" xfId="0" applyFont="1" applyBorder="1"/>
    <xf numFmtId="186" fontId="315" fillId="0" borderId="62" xfId="2" applyNumberFormat="1" applyFont="1" applyBorder="1" applyAlignment="1">
      <alignment horizontal="left" vertical="center"/>
    </xf>
    <xf numFmtId="180" fontId="314" fillId="0" borderId="37" xfId="1" applyNumberFormat="1" applyFont="1" applyBorder="1" applyAlignment="1">
      <alignment horizontal="right" vertical="center"/>
    </xf>
    <xf numFmtId="0" fontId="317" fillId="8" borderId="37" xfId="1" applyFont="1" applyFill="1" applyBorder="1" applyAlignment="1">
      <alignment horizontal="left" vertical="center"/>
    </xf>
    <xf numFmtId="0" fontId="317" fillId="101" borderId="37" xfId="1" applyFont="1" applyFill="1" applyBorder="1" applyAlignment="1">
      <alignment horizontal="left" vertical="center"/>
    </xf>
    <xf numFmtId="0" fontId="333" fillId="8" borderId="37" xfId="0" applyFont="1" applyFill="1" applyBorder="1" applyAlignment="1">
      <alignment horizontal="left" vertical="center"/>
    </xf>
    <xf numFmtId="0" fontId="317" fillId="8" borderId="37" xfId="1" applyFont="1" applyFill="1" applyBorder="1" applyAlignment="1">
      <alignment horizontal="center" vertical="center"/>
    </xf>
    <xf numFmtId="0" fontId="317" fillId="101" borderId="37" xfId="1" applyFont="1" applyFill="1" applyBorder="1" applyAlignment="1">
      <alignment horizontal="center" vertical="center"/>
    </xf>
    <xf numFmtId="203" fontId="317" fillId="101" borderId="37" xfId="0" applyNumberFormat="1" applyFont="1" applyFill="1" applyBorder="1" applyAlignment="1">
      <alignment horizontal="right" vertical="center"/>
    </xf>
    <xf numFmtId="183" fontId="319" fillId="0" borderId="0" xfId="0" applyNumberFormat="1" applyFont="1" applyAlignment="1" applyProtection="1">
      <alignment horizontal="right" vertical="center"/>
      <protection locked="0"/>
    </xf>
    <xf numFmtId="200" fontId="322" fillId="0" borderId="0" xfId="0" applyNumberFormat="1" applyFont="1" applyAlignment="1" applyProtection="1">
      <alignment horizontal="right" vertical="center"/>
      <protection locked="0"/>
    </xf>
    <xf numFmtId="0" fontId="314" fillId="0" borderId="0" xfId="0" applyFont="1" applyAlignment="1" applyProtection="1">
      <alignment horizontal="right" vertical="center"/>
      <protection locked="0"/>
    </xf>
    <xf numFmtId="183" fontId="327" fillId="3" borderId="42" xfId="0" applyNumberFormat="1" applyFont="1" applyFill="1" applyBorder="1" applyAlignment="1" applyProtection="1">
      <alignment horizontal="right" vertical="center"/>
      <protection locked="0"/>
    </xf>
    <xf numFmtId="200" fontId="327" fillId="3" borderId="42" xfId="0" applyNumberFormat="1" applyFont="1" applyFill="1" applyBorder="1" applyAlignment="1" applyProtection="1">
      <alignment horizontal="right" vertical="center"/>
      <protection locked="0"/>
    </xf>
    <xf numFmtId="183" fontId="327" fillId="0" borderId="42" xfId="0" applyNumberFormat="1" applyFont="1" applyBorder="1" applyAlignment="1" applyProtection="1">
      <alignment horizontal="right" vertical="center"/>
      <protection locked="0"/>
    </xf>
    <xf numFmtId="14" fontId="327" fillId="0" borderId="42" xfId="0" applyNumberFormat="1" applyFont="1" applyBorder="1" applyAlignment="1" applyProtection="1">
      <alignment horizontal="right" vertical="center"/>
      <protection locked="0"/>
    </xf>
    <xf numFmtId="183" fontId="314" fillId="0" borderId="37" xfId="0" applyNumberFormat="1" applyFont="1" applyBorder="1" applyAlignment="1" applyProtection="1">
      <alignment horizontal="right" vertical="center"/>
      <protection locked="0"/>
    </xf>
    <xf numFmtId="183" fontId="314" fillId="0" borderId="0" xfId="0" applyNumberFormat="1" applyFont="1" applyAlignment="1" applyProtection="1">
      <alignment horizontal="right" vertical="center"/>
      <protection locked="0"/>
    </xf>
    <xf numFmtId="200" fontId="326" fillId="0" borderId="0" xfId="0" applyNumberFormat="1" applyFont="1" applyAlignment="1" applyProtection="1">
      <alignment horizontal="right" vertical="center"/>
      <protection locked="0"/>
    </xf>
    <xf numFmtId="14" fontId="314" fillId="0" borderId="0" xfId="0" applyNumberFormat="1" applyFont="1" applyAlignment="1" applyProtection="1">
      <alignment horizontal="right" vertical="center"/>
      <protection locked="0"/>
    </xf>
    <xf numFmtId="180" fontId="4" fillId="0" borderId="0" xfId="0" applyNumberFormat="1" applyFont="1" applyAlignment="1">
      <alignment horizontal="right" vertical="center"/>
    </xf>
    <xf numFmtId="180" fontId="320" fillId="0" borderId="49" xfId="0" applyNumberFormat="1" applyFont="1" applyBorder="1" applyAlignment="1">
      <alignment horizontal="right" vertical="center"/>
    </xf>
    <xf numFmtId="180" fontId="325" fillId="98" borderId="42" xfId="0" applyNumberFormat="1" applyFont="1" applyFill="1" applyBorder="1" applyAlignment="1">
      <alignment horizontal="right" vertical="center"/>
    </xf>
    <xf numFmtId="180" fontId="4" fillId="98" borderId="37" xfId="0" applyNumberFormat="1" applyFont="1" applyFill="1" applyBorder="1" applyAlignment="1" applyProtection="1">
      <alignment horizontal="right" vertical="center"/>
      <protection locked="0"/>
    </xf>
    <xf numFmtId="180" fontId="335" fillId="98" borderId="37" xfId="0" applyNumberFormat="1" applyFont="1" applyFill="1" applyBorder="1" applyAlignment="1" applyProtection="1">
      <alignment horizontal="right" vertical="center"/>
      <protection locked="0"/>
    </xf>
    <xf numFmtId="180" fontId="3" fillId="0" borderId="0" xfId="0" applyNumberFormat="1" applyFont="1"/>
    <xf numFmtId="180" fontId="320" fillId="98" borderId="49" xfId="0" applyNumberFormat="1" applyFont="1" applyFill="1" applyBorder="1" applyAlignment="1">
      <alignment vertical="center"/>
    </xf>
    <xf numFmtId="180" fontId="325" fillId="98" borderId="42" xfId="0" applyNumberFormat="1" applyFont="1" applyFill="1" applyBorder="1" applyAlignment="1">
      <alignment horizontal="center" vertical="center"/>
    </xf>
    <xf numFmtId="180" fontId="3" fillId="98" borderId="37" xfId="0" applyNumberFormat="1" applyFont="1" applyFill="1" applyBorder="1" applyProtection="1">
      <protection locked="0"/>
    </xf>
    <xf numFmtId="204" fontId="3" fillId="0" borderId="38" xfId="0" applyNumberFormat="1" applyFont="1" applyBorder="1"/>
    <xf numFmtId="0" fontId="3" fillId="8" borderId="36" xfId="0" applyFont="1" applyFill="1" applyBorder="1"/>
    <xf numFmtId="0" fontId="317" fillId="0" borderId="37" xfId="1" applyFont="1" applyFill="1" applyBorder="1" applyAlignment="1">
      <alignment horizontal="left" vertical="center"/>
    </xf>
    <xf numFmtId="180" fontId="20" fillId="102" borderId="37" xfId="0" applyNumberFormat="1" applyFont="1" applyFill="1" applyBorder="1" applyAlignment="1">
      <alignment vertical="center"/>
    </xf>
    <xf numFmtId="180" fontId="317" fillId="98" borderId="37" xfId="0" applyNumberFormat="1" applyFont="1" applyFill="1" applyBorder="1" applyAlignment="1">
      <alignment horizontal="right" vertical="center" wrapText="1"/>
    </xf>
    <xf numFmtId="180" fontId="314" fillId="98" borderId="37" xfId="0" applyNumberFormat="1" applyFont="1" applyFill="1" applyBorder="1" applyAlignment="1" applyProtection="1">
      <alignment horizontal="right" vertical="center"/>
      <protection locked="0"/>
    </xf>
    <xf numFmtId="180" fontId="314" fillId="98" borderId="40" xfId="0" applyNumberFormat="1" applyFont="1" applyFill="1" applyBorder="1" applyAlignment="1" applyProtection="1">
      <alignment horizontal="right" vertical="center"/>
      <protection locked="0"/>
    </xf>
    <xf numFmtId="180" fontId="21" fillId="0" borderId="0" xfId="0" applyNumberFormat="1" applyFont="1" applyAlignment="1">
      <alignment horizontal="right" vertical="center"/>
    </xf>
    <xf numFmtId="205" fontId="20" fillId="102" borderId="37" xfId="0" applyNumberFormat="1" applyFont="1" applyFill="1" applyBorder="1" applyAlignment="1">
      <alignment vertical="center"/>
    </xf>
    <xf numFmtId="205" fontId="317" fillId="98" borderId="37" xfId="0" applyNumberFormat="1" applyFont="1" applyFill="1" applyBorder="1" applyAlignment="1">
      <alignment horizontal="right" vertical="center" wrapText="1"/>
    </xf>
    <xf numFmtId="205" fontId="314" fillId="98" borderId="37" xfId="0" applyNumberFormat="1" applyFont="1" applyFill="1" applyBorder="1" applyAlignment="1" applyProtection="1">
      <alignment horizontal="right" vertical="center"/>
      <protection locked="0"/>
    </xf>
    <xf numFmtId="205" fontId="314" fillId="98" borderId="40" xfId="0" applyNumberFormat="1" applyFont="1" applyFill="1" applyBorder="1" applyAlignment="1" applyProtection="1">
      <alignment horizontal="right" vertical="center"/>
      <protection locked="0"/>
    </xf>
    <xf numFmtId="205" fontId="21" fillId="0" borderId="0" xfId="0" applyNumberFormat="1" applyFont="1" applyAlignment="1">
      <alignment horizontal="right" vertical="center"/>
    </xf>
    <xf numFmtId="183" fontId="350" fillId="98" borderId="37" xfId="0" applyNumberFormat="1" applyFont="1" applyFill="1" applyBorder="1" applyAlignment="1" applyProtection="1">
      <alignment horizontal="right" vertical="center"/>
      <protection locked="0"/>
    </xf>
    <xf numFmtId="183" fontId="350" fillId="98" borderId="40" xfId="0" applyNumberFormat="1" applyFont="1" applyFill="1" applyBorder="1" applyAlignment="1" applyProtection="1">
      <alignment horizontal="right" vertical="center"/>
      <protection locked="0"/>
    </xf>
    <xf numFmtId="0" fontId="343" fillId="8" borderId="37" xfId="0" applyFont="1" applyFill="1" applyBorder="1" applyAlignment="1">
      <alignment horizontal="right" vertical="center"/>
    </xf>
    <xf numFmtId="58" fontId="317" fillId="0" borderId="37" xfId="1" applyNumberFormat="1" applyFont="1" applyFill="1" applyBorder="1" applyAlignment="1">
      <alignment horizontal="center" vertical="center"/>
    </xf>
    <xf numFmtId="0" fontId="317" fillId="0" borderId="37" xfId="1" applyFont="1" applyFill="1" applyBorder="1" applyAlignment="1">
      <alignment horizontal="center" vertical="center"/>
    </xf>
    <xf numFmtId="203" fontId="317" fillId="0" borderId="37" xfId="0" applyNumberFormat="1" applyFont="1" applyFill="1" applyBorder="1" applyAlignment="1">
      <alignment horizontal="right" vertical="center"/>
    </xf>
    <xf numFmtId="0" fontId="333" fillId="0" borderId="37" xfId="0" applyFont="1" applyFill="1" applyBorder="1" applyAlignment="1">
      <alignment horizontal="left" vertical="center"/>
    </xf>
    <xf numFmtId="58" fontId="317" fillId="98" borderId="37" xfId="1" applyNumberFormat="1" applyFont="1" applyFill="1" applyBorder="1" applyAlignment="1" applyProtection="1">
      <alignment horizontal="center" vertical="center"/>
      <protection locked="0"/>
    </xf>
    <xf numFmtId="0" fontId="344" fillId="8" borderId="37" xfId="0" applyFont="1" applyFill="1" applyBorder="1" applyAlignment="1">
      <alignment horizontal="right" vertical="center"/>
    </xf>
    <xf numFmtId="0" fontId="334" fillId="0" borderId="0" xfId="0" applyFont="1" applyAlignment="1">
      <alignment wrapText="1"/>
    </xf>
    <xf numFmtId="0" fontId="334" fillId="105" borderId="36" xfId="0" applyFont="1" applyFill="1" applyBorder="1"/>
    <xf numFmtId="0" fontId="334" fillId="105" borderId="37" xfId="0" applyFont="1" applyFill="1" applyBorder="1"/>
    <xf numFmtId="0" fontId="314" fillId="0" borderId="37" xfId="1" applyFont="1" applyFill="1" applyBorder="1" applyAlignment="1">
      <alignment vertical="center"/>
    </xf>
    <xf numFmtId="0" fontId="314" fillId="0" borderId="37" xfId="1" applyFont="1" applyFill="1" applyBorder="1" applyAlignment="1">
      <alignment horizontal="left" vertical="center"/>
    </xf>
    <xf numFmtId="0" fontId="314" fillId="0" borderId="37" xfId="1" applyFont="1" applyBorder="1" applyAlignment="1">
      <alignment vertical="center"/>
    </xf>
    <xf numFmtId="0" fontId="314" fillId="0" borderId="37" xfId="1" applyFont="1" applyBorder="1" applyAlignment="1">
      <alignment horizontal="left" vertical="center"/>
    </xf>
    <xf numFmtId="0" fontId="314" fillId="8" borderId="37" xfId="1" applyFont="1" applyFill="1" applyBorder="1" applyAlignment="1">
      <alignment vertical="center"/>
    </xf>
    <xf numFmtId="0" fontId="314" fillId="8" borderId="37" xfId="1" applyFont="1" applyFill="1" applyBorder="1" applyAlignment="1">
      <alignment horizontal="left" vertical="center"/>
    </xf>
    <xf numFmtId="0" fontId="21" fillId="0" borderId="40" xfId="0" applyFont="1" applyBorder="1"/>
    <xf numFmtId="0" fontId="314" fillId="0" borderId="40" xfId="0" applyFont="1" applyBorder="1" applyAlignment="1">
      <alignment horizontal="left" vertical="center"/>
    </xf>
    <xf numFmtId="0" fontId="322" fillId="102" borderId="56" xfId="0" applyFont="1" applyFill="1" applyBorder="1" applyAlignment="1">
      <alignment horizontal="center" vertical="center"/>
    </xf>
    <xf numFmtId="0" fontId="352" fillId="8" borderId="37" xfId="0" applyFont="1" applyFill="1" applyBorder="1" applyAlignment="1">
      <alignment horizontal="left" vertical="center"/>
    </xf>
    <xf numFmtId="0" fontId="326" fillId="0" borderId="37" xfId="1" applyFont="1" applyFill="1" applyBorder="1" applyAlignment="1">
      <alignment horizontal="left" vertical="center"/>
    </xf>
    <xf numFmtId="0" fontId="326" fillId="0" borderId="37" xfId="1" applyFont="1" applyBorder="1" applyAlignment="1">
      <alignment horizontal="left" vertical="center"/>
    </xf>
    <xf numFmtId="0" fontId="326" fillId="8" borderId="37" xfId="1" applyFont="1" applyFill="1" applyBorder="1" applyAlignment="1">
      <alignment horizontal="left" vertical="center"/>
    </xf>
    <xf numFmtId="0" fontId="334" fillId="106" borderId="37" xfId="0" applyFont="1" applyFill="1" applyBorder="1"/>
    <xf numFmtId="0" fontId="334" fillId="107" borderId="36" xfId="0" applyFont="1" applyFill="1" applyBorder="1"/>
    <xf numFmtId="0" fontId="334" fillId="107" borderId="37" xfId="0" applyFont="1" applyFill="1" applyBorder="1"/>
    <xf numFmtId="0" fontId="314" fillId="106" borderId="37" xfId="1" applyFont="1" applyFill="1" applyBorder="1" applyAlignment="1">
      <alignment vertical="center"/>
    </xf>
    <xf numFmtId="0" fontId="326" fillId="106" borderId="37" xfId="1" applyFont="1" applyFill="1" applyBorder="1" applyAlignment="1">
      <alignment horizontal="left" vertical="center"/>
    </xf>
    <xf numFmtId="0" fontId="314" fillId="106" borderId="37" xfId="1" applyFont="1" applyFill="1" applyBorder="1" applyAlignment="1">
      <alignment horizontal="left" vertical="center"/>
    </xf>
    <xf numFmtId="0" fontId="317" fillId="106" borderId="37" xfId="1" applyFont="1" applyFill="1" applyBorder="1" applyAlignment="1">
      <alignment horizontal="left" vertical="center"/>
    </xf>
    <xf numFmtId="0" fontId="317" fillId="106" borderId="37" xfId="1" applyFont="1" applyFill="1" applyBorder="1" applyAlignment="1">
      <alignment horizontal="center" vertical="center"/>
    </xf>
    <xf numFmtId="0" fontId="334" fillId="0" borderId="36" xfId="0" applyFont="1" applyFill="1" applyBorder="1"/>
    <xf numFmtId="0" fontId="334" fillId="0" borderId="37" xfId="0" applyFont="1" applyFill="1" applyBorder="1"/>
    <xf numFmtId="0" fontId="314" fillId="108" borderId="37" xfId="1" applyFont="1" applyFill="1" applyBorder="1" applyAlignment="1">
      <alignment vertical="center"/>
    </xf>
    <xf numFmtId="0" fontId="326" fillId="108" borderId="37" xfId="1" applyFont="1" applyFill="1" applyBorder="1" applyAlignment="1">
      <alignment horizontal="left" vertical="center"/>
    </xf>
    <xf numFmtId="0" fontId="314" fillId="108" borderId="37" xfId="1" applyFont="1" applyFill="1" applyBorder="1" applyAlignment="1">
      <alignment horizontal="left" vertical="center"/>
    </xf>
    <xf numFmtId="0" fontId="333" fillId="104" borderId="37" xfId="0" applyFont="1" applyFill="1" applyBorder="1" applyAlignment="1">
      <alignment horizontal="left" vertical="center"/>
    </xf>
    <xf numFmtId="0" fontId="344" fillId="0" borderId="37" xfId="0" applyFont="1" applyFill="1" applyBorder="1" applyAlignment="1">
      <alignment horizontal="right" vertical="center"/>
    </xf>
    <xf numFmtId="0" fontId="333" fillId="109" borderId="37" xfId="0" applyFont="1" applyFill="1" applyBorder="1" applyAlignment="1">
      <alignment horizontal="left" vertical="center"/>
    </xf>
    <xf numFmtId="0" fontId="334" fillId="110" borderId="37" xfId="0" applyFont="1" applyFill="1" applyBorder="1"/>
    <xf numFmtId="180" fontId="6" fillId="2" borderId="63" xfId="0" applyNumberFormat="1" applyFont="1" applyFill="1" applyBorder="1" applyAlignment="1" applyProtection="1">
      <alignment horizontal="center" vertical="center"/>
      <protection locked="0"/>
    </xf>
    <xf numFmtId="0" fontId="333" fillId="96" borderId="37" xfId="0" applyFont="1" applyFill="1" applyBorder="1"/>
    <xf numFmtId="0" fontId="333" fillId="0" borderId="37" xfId="0" applyFont="1" applyFill="1" applyBorder="1"/>
    <xf numFmtId="0" fontId="333" fillId="106" borderId="37" xfId="0" applyFont="1" applyFill="1" applyBorder="1"/>
    <xf numFmtId="0" fontId="334" fillId="111" borderId="36" xfId="0" applyFont="1" applyFill="1" applyBorder="1"/>
    <xf numFmtId="0" fontId="334" fillId="111" borderId="37" xfId="0" applyFont="1" applyFill="1" applyBorder="1"/>
    <xf numFmtId="0" fontId="314" fillId="111" borderId="37" xfId="1" applyFont="1" applyFill="1" applyBorder="1" applyAlignment="1">
      <alignment vertical="center"/>
    </xf>
    <xf numFmtId="0" fontId="326" fillId="111" borderId="37" xfId="1" applyFont="1" applyFill="1" applyBorder="1" applyAlignment="1">
      <alignment horizontal="left" vertical="center"/>
    </xf>
    <xf numFmtId="0" fontId="314" fillId="111" borderId="37" xfId="1" applyFont="1" applyFill="1" applyBorder="1" applyAlignment="1">
      <alignment horizontal="left" vertical="center"/>
    </xf>
    <xf numFmtId="0" fontId="334" fillId="112" borderId="36" xfId="0" applyFont="1" applyFill="1" applyBorder="1"/>
    <xf numFmtId="0" fontId="334" fillId="112" borderId="37" xfId="0" applyFont="1" applyFill="1" applyBorder="1"/>
    <xf numFmtId="0" fontId="314" fillId="112" borderId="37" xfId="1" applyFont="1" applyFill="1" applyBorder="1" applyAlignment="1">
      <alignment vertical="center"/>
    </xf>
    <xf numFmtId="0" fontId="326" fillId="112" borderId="37" xfId="1" applyFont="1" applyFill="1" applyBorder="1" applyAlignment="1">
      <alignment horizontal="left" vertical="center"/>
    </xf>
    <xf numFmtId="0" fontId="314" fillId="112" borderId="37" xfId="1" applyFont="1" applyFill="1" applyBorder="1" applyAlignment="1">
      <alignment horizontal="left" vertical="center"/>
    </xf>
    <xf numFmtId="183" fontId="353" fillId="99" borderId="37" xfId="0" applyNumberFormat="1" applyFont="1" applyFill="1" applyBorder="1" applyAlignment="1" applyProtection="1">
      <alignment horizontal="right" vertical="center"/>
      <protection locked="0"/>
    </xf>
    <xf numFmtId="0" fontId="317" fillId="111" borderId="37" xfId="1" applyFont="1" applyFill="1" applyBorder="1" applyAlignment="1">
      <alignment horizontal="left" vertical="center"/>
    </xf>
    <xf numFmtId="0" fontId="317" fillId="111" borderId="37" xfId="1" applyFont="1" applyFill="1" applyBorder="1" applyAlignment="1">
      <alignment horizontal="center" vertical="center"/>
    </xf>
    <xf numFmtId="0" fontId="344" fillId="112" borderId="37" xfId="0" applyFont="1" applyFill="1" applyBorder="1" applyAlignment="1">
      <alignment horizontal="right" vertical="center"/>
    </xf>
    <xf numFmtId="0" fontId="343" fillId="112" borderId="37" xfId="0" applyFont="1" applyFill="1" applyBorder="1" applyAlignment="1">
      <alignment horizontal="right" vertical="center"/>
    </xf>
    <xf numFmtId="0" fontId="314" fillId="113" borderId="37" xfId="1" applyFont="1" applyFill="1" applyBorder="1" applyAlignment="1">
      <alignment vertical="center"/>
    </xf>
    <xf numFmtId="0" fontId="326" fillId="113" borderId="37" xfId="1" applyFont="1" applyFill="1" applyBorder="1" applyAlignment="1">
      <alignment horizontal="left" vertical="center"/>
    </xf>
    <xf numFmtId="0" fontId="314" fillId="113" borderId="37" xfId="1" applyFont="1" applyFill="1" applyBorder="1" applyAlignment="1">
      <alignment horizontal="left" vertical="center"/>
    </xf>
    <xf numFmtId="58" fontId="317" fillId="113" borderId="37" xfId="1" applyNumberFormat="1" applyFont="1" applyFill="1" applyBorder="1" applyAlignment="1">
      <alignment horizontal="center" vertical="center"/>
    </xf>
    <xf numFmtId="0" fontId="317" fillId="113" borderId="37" xfId="1" applyFont="1" applyFill="1" applyBorder="1" applyAlignment="1">
      <alignment horizontal="center" vertical="center"/>
    </xf>
    <xf numFmtId="0" fontId="317" fillId="113" borderId="37" xfId="1" applyFont="1" applyFill="1" applyBorder="1" applyAlignment="1">
      <alignment horizontal="left" vertical="center"/>
    </xf>
    <xf numFmtId="58" fontId="317" fillId="112" borderId="37" xfId="1" applyNumberFormat="1" applyFont="1" applyFill="1" applyBorder="1" applyAlignment="1">
      <alignment horizontal="center" vertical="center"/>
    </xf>
    <xf numFmtId="0" fontId="317" fillId="112" borderId="37" xfId="1" applyFont="1" applyFill="1" applyBorder="1" applyAlignment="1">
      <alignment horizontal="center" vertical="center"/>
    </xf>
    <xf numFmtId="0" fontId="317" fillId="112" borderId="37" xfId="1" applyFont="1" applyFill="1" applyBorder="1" applyAlignment="1">
      <alignment horizontal="left" vertical="center"/>
    </xf>
    <xf numFmtId="0" fontId="334" fillId="114" borderId="36" xfId="0" applyFont="1" applyFill="1" applyBorder="1"/>
    <xf numFmtId="0" fontId="334" fillId="114" borderId="37" xfId="0" applyFont="1" applyFill="1" applyBorder="1"/>
    <xf numFmtId="0" fontId="343" fillId="114" borderId="37" xfId="0" applyFont="1" applyFill="1" applyBorder="1" applyAlignment="1">
      <alignment horizontal="right" vertical="center"/>
    </xf>
    <xf numFmtId="203" fontId="317" fillId="112" borderId="37" xfId="0" applyNumberFormat="1" applyFont="1" applyFill="1" applyBorder="1" applyAlignment="1">
      <alignment horizontal="right" vertical="center"/>
    </xf>
    <xf numFmtId="0" fontId="343" fillId="0" borderId="37" xfId="0" applyFont="1" applyFill="1" applyBorder="1" applyAlignment="1">
      <alignment horizontal="right" vertical="center"/>
    </xf>
    <xf numFmtId="58" fontId="317" fillId="111" borderId="37" xfId="1" applyNumberFormat="1" applyFont="1" applyFill="1" applyBorder="1" applyAlignment="1">
      <alignment horizontal="center" vertical="center"/>
    </xf>
    <xf numFmtId="203" fontId="317" fillId="111" borderId="37" xfId="0" applyNumberFormat="1" applyFont="1" applyFill="1" applyBorder="1" applyAlignment="1">
      <alignment horizontal="right" vertical="center"/>
    </xf>
    <xf numFmtId="206" fontId="355" fillId="0" borderId="64" xfId="61126" applyFont="1" applyFill="1" applyBorder="1" applyAlignment="1">
      <alignment horizontal="left" vertical="top" wrapText="1"/>
    </xf>
    <xf numFmtId="0" fontId="334" fillId="115" borderId="36" xfId="0" applyFont="1" applyFill="1" applyBorder="1"/>
    <xf numFmtId="0" fontId="334" fillId="115" borderId="37" xfId="0" applyFont="1" applyFill="1" applyBorder="1"/>
    <xf numFmtId="0" fontId="343" fillId="115" borderId="37" xfId="0" applyFont="1" applyFill="1" applyBorder="1" applyAlignment="1">
      <alignment horizontal="right" vertical="center"/>
    </xf>
    <xf numFmtId="0" fontId="344" fillId="115" borderId="37" xfId="0" applyFont="1" applyFill="1" applyBorder="1" applyAlignment="1">
      <alignment horizontal="right" vertical="center"/>
    </xf>
    <xf numFmtId="0" fontId="354" fillId="115" borderId="37" xfId="0" applyFont="1" applyFill="1" applyBorder="1"/>
    <xf numFmtId="181" fontId="332" fillId="102" borderId="59" xfId="0" applyNumberFormat="1" applyFont="1" applyFill="1" applyBorder="1" applyAlignment="1">
      <alignment horizontal="center" vertical="center"/>
    </xf>
    <xf numFmtId="181" fontId="332" fillId="102" borderId="60" xfId="0" applyNumberFormat="1" applyFont="1" applyFill="1" applyBorder="1" applyAlignment="1">
      <alignment horizontal="center" vertical="center"/>
    </xf>
    <xf numFmtId="186" fontId="342" fillId="8" borderId="51" xfId="2" applyNumberFormat="1" applyFont="1" applyFill="1" applyBorder="1" applyAlignment="1" applyProtection="1">
      <alignment horizontal="center" vertical="center"/>
      <protection locked="0"/>
    </xf>
    <xf numFmtId="186" fontId="342" fillId="8" borderId="53" xfId="2" applyNumberFormat="1" applyFont="1" applyFill="1" applyBorder="1" applyAlignment="1" applyProtection="1">
      <alignment horizontal="center" vertical="center"/>
      <protection locked="0"/>
    </xf>
    <xf numFmtId="186" fontId="342" fillId="8" borderId="52" xfId="2" applyNumberFormat="1" applyFont="1" applyFill="1" applyBorder="1" applyAlignment="1" applyProtection="1">
      <alignment horizontal="center" vertical="center"/>
      <protection locked="0"/>
    </xf>
    <xf numFmtId="186" fontId="342" fillId="0" borderId="51" xfId="2" applyNumberFormat="1" applyFont="1" applyBorder="1" applyAlignment="1" applyProtection="1">
      <alignment horizontal="center" vertical="center"/>
      <protection locked="0"/>
    </xf>
    <xf numFmtId="186" fontId="342" fillId="0" borderId="53" xfId="2" applyNumberFormat="1" applyFont="1" applyBorder="1" applyAlignment="1" applyProtection="1">
      <alignment horizontal="center" vertical="center"/>
      <protection locked="0"/>
    </xf>
    <xf numFmtId="186" fontId="342" fillId="0" borderId="52" xfId="2" applyNumberFormat="1" applyFont="1" applyBorder="1" applyAlignment="1" applyProtection="1">
      <alignment horizontal="center" vertical="center"/>
      <protection locked="0"/>
    </xf>
    <xf numFmtId="186" fontId="342" fillId="8" borderId="51" xfId="2" applyNumberFormat="1" applyFont="1" applyFill="1" applyBorder="1" applyAlignment="1">
      <alignment horizontal="center" vertical="center"/>
    </xf>
    <xf numFmtId="186" fontId="342" fillId="8" borderId="53" xfId="2" applyNumberFormat="1" applyFont="1" applyFill="1" applyBorder="1" applyAlignment="1">
      <alignment horizontal="center" vertical="center"/>
    </xf>
    <xf numFmtId="186" fontId="342" fillId="8" borderId="52" xfId="2" applyNumberFormat="1" applyFont="1" applyFill="1" applyBorder="1" applyAlignment="1">
      <alignment horizontal="center" vertical="center"/>
    </xf>
    <xf numFmtId="186" fontId="342" fillId="0" borderId="51" xfId="2" applyNumberFormat="1" applyFont="1" applyBorder="1" applyAlignment="1">
      <alignment horizontal="center" vertical="center"/>
    </xf>
    <xf numFmtId="186" fontId="342" fillId="0" borderId="53" xfId="2" applyNumberFormat="1" applyFont="1" applyBorder="1" applyAlignment="1">
      <alignment horizontal="center" vertical="center"/>
    </xf>
    <xf numFmtId="186" fontId="342" fillId="0" borderId="52" xfId="2" applyNumberFormat="1" applyFont="1" applyBorder="1" applyAlignment="1">
      <alignment horizontal="center" vertical="center"/>
    </xf>
  </cellXfs>
  <cellStyles count="61152">
    <cellStyle name=" 1" xfId="772"/>
    <cellStyle name="??" xfId="773"/>
    <cellStyle name="?? 2" xfId="5503"/>
    <cellStyle name="?? 3" xfId="46446"/>
    <cellStyle name="??|?Revenuenuesy L" xfId="46447"/>
    <cellStyle name="?鹎%U龡&amp;H?_x0008__x001c__x001c_?_x0007__x0001__x0001_" xfId="774"/>
    <cellStyle name="?鹎%U龡&amp;H?_x0008__x001c__x001c_?_x0007__x0001__x0001_ 2" xfId="5504"/>
    <cellStyle name="?鹎%U龡&amp;H?_x0008__x001c__x001c_?_x0007__x0001__x0001_ 3" xfId="46448"/>
    <cellStyle name="?鹎%U龡&amp;H鼼_x0008__x0001__x001f_?_x0007__x0001__x0001_" xfId="775"/>
    <cellStyle name="?鹎%U龡&amp;H鼼_x0008__x0001__x001f_?_x0007__x0001__x0001_ 2" xfId="776"/>
    <cellStyle name="?鹎%U龡&amp;H鼼_x0008__x0001__x001f_?_x0007__x0001__x0001_ 2 2" xfId="5506"/>
    <cellStyle name="?鹎%U龡&amp;H鼼_x0008__x0001__x001f_?_x0007__x0001__x0001_ 2 3" xfId="46449"/>
    <cellStyle name="?鹎%U龡&amp;H鼼_x0008__x0001__x001f_?_x0007__x0001__x0001_ 3" xfId="777"/>
    <cellStyle name="?鹎%U龡&amp;H鼼_x0008__x0001__x001f_?_x0007__x0001__x0001_ 3 2" xfId="5507"/>
    <cellStyle name="?鹎%U龡&amp;H鼼_x0008__x0001__x001f_?_x0007__x0001__x0001_ 3 3" xfId="46450"/>
    <cellStyle name="?鹎%U龡&amp;H鼼_x0008__x0001__x001f_?_x0007__x0001__x0001_ 4" xfId="5505"/>
    <cellStyle name="?鹎%U龡&amp;H鼼_x0008__x0001__x001f_?_x0007__x0001__x0001_ 5" xfId="46451"/>
    <cellStyle name="?鹎%U龡&amp;H鼼_x0008__x0001__x001f_?_x0007__x0001__x0001__2011年东莞社保台帐-中原" xfId="778"/>
    <cellStyle name="?鹎%U龡&amp;H鼼_x005f_x0008__x005f_x0001__x005f_x001f_?_x005f_x0007__x005f_x0001__x005f_x0001_" xfId="779"/>
    <cellStyle name="@ET_Style?.font5" xfId="780"/>
    <cellStyle name="_ET_STYLE_NoName_00_" xfId="722"/>
    <cellStyle name="_萨莉亚费用试算 xls（11-12-7） (7)" xfId="781"/>
    <cellStyle name="¤d¤à|ì[0]_Revenuesy L" xfId="46452"/>
    <cellStyle name="¤d¤à|ì_Revenuenues" xfId="46453"/>
    <cellStyle name="0,0_x000d__x000a_NA_x000d__x000a_" xfId="782"/>
    <cellStyle name="0,0_x000d__x000a_NA_x000d__x000a_ 2" xfId="783"/>
    <cellStyle name="0,0_x000d__x000a_NA_x000d__x000a_ 2 2" xfId="784"/>
    <cellStyle name="0,0_x000d__x000a_NA_x000d__x000a_ 2 2 2" xfId="5513"/>
    <cellStyle name="0,0_x000d__x000a_NA_x000d__x000a_ 2 2 3" xfId="46454"/>
    <cellStyle name="0,0_x000d__x000a_NA_x000d__x000a_ 2 3" xfId="5512"/>
    <cellStyle name="0,0_x000d__x000a_NA_x000d__x000a_ 2 4" xfId="46455"/>
    <cellStyle name="0,0_x000d__x000a_NA_x000d__x000a_ 3" xfId="785"/>
    <cellStyle name="0,0_x000d__x000a_NA_x000d__x000a_ 3 2" xfId="5514"/>
    <cellStyle name="0,0_x000d__x000a_NA_x000d__x000a_ 3 3" xfId="46456"/>
    <cellStyle name="0,0_x000d__x000a_NA_x000d__x000a_ 4" xfId="46457"/>
    <cellStyle name="0,0_x000d__x000a_NA_x000d__x000a_ 5" xfId="46458"/>
    <cellStyle name="121" xfId="786"/>
    <cellStyle name="121 2" xfId="787"/>
    <cellStyle name="20% - Accent1" xfId="788"/>
    <cellStyle name="20% - Accent1 2" xfId="789"/>
    <cellStyle name="20% - Accent1 2 2" xfId="790"/>
    <cellStyle name="20% - Accent1 2 2 2" xfId="791"/>
    <cellStyle name="20% - Accent1 2 3" xfId="46459"/>
    <cellStyle name="20% - Accent1 2 3 2" xfId="46460"/>
    <cellStyle name="20% - Accent1 3" xfId="792"/>
    <cellStyle name="20% - Accent1 3 2" xfId="793"/>
    <cellStyle name="20% - Accent1 3 2 2" xfId="794"/>
    <cellStyle name="20% - Accent1 3 3" xfId="46461"/>
    <cellStyle name="20% - Accent1 3 3 2" xfId="46462"/>
    <cellStyle name="20% - Accent1 4" xfId="795"/>
    <cellStyle name="20% - Accent1 4 2" xfId="796"/>
    <cellStyle name="20% - Accent1 5" xfId="5515"/>
    <cellStyle name="20% - Accent1 5 2" xfId="46463"/>
    <cellStyle name="20% - Accent2" xfId="797"/>
    <cellStyle name="20% - Accent2 2" xfId="798"/>
    <cellStyle name="20% - Accent2 2 2" xfId="799"/>
    <cellStyle name="20% - Accent2 2 2 2" xfId="800"/>
    <cellStyle name="20% - Accent2 2 3" xfId="46464"/>
    <cellStyle name="20% - Accent2 2 3 2" xfId="46465"/>
    <cellStyle name="20% - Accent2 3" xfId="801"/>
    <cellStyle name="20% - Accent2 3 2" xfId="802"/>
    <cellStyle name="20% - Accent2 3 2 2" xfId="803"/>
    <cellStyle name="20% - Accent2 3 3" xfId="46466"/>
    <cellStyle name="20% - Accent2 3 3 2" xfId="46467"/>
    <cellStyle name="20% - Accent2 4" xfId="804"/>
    <cellStyle name="20% - Accent2 4 2" xfId="805"/>
    <cellStyle name="20% - Accent2 5" xfId="5518"/>
    <cellStyle name="20% - Accent2 5 2" xfId="46468"/>
    <cellStyle name="20% - Accent3" xfId="806"/>
    <cellStyle name="20% - Accent3 2" xfId="807"/>
    <cellStyle name="20% - Accent3 2 2" xfId="808"/>
    <cellStyle name="20% - Accent3 2 2 2" xfId="809"/>
    <cellStyle name="20% - Accent3 2 3" xfId="46469"/>
    <cellStyle name="20% - Accent3 2 3 2" xfId="46470"/>
    <cellStyle name="20% - Accent3 3" xfId="810"/>
    <cellStyle name="20% - Accent3 3 2" xfId="811"/>
    <cellStyle name="20% - Accent3 3 2 2" xfId="812"/>
    <cellStyle name="20% - Accent3 3 3" xfId="46471"/>
    <cellStyle name="20% - Accent3 3 3 2" xfId="46472"/>
    <cellStyle name="20% - Accent3 4" xfId="813"/>
    <cellStyle name="20% - Accent3 4 2" xfId="814"/>
    <cellStyle name="20% - Accent3 5" xfId="5521"/>
    <cellStyle name="20% - Accent3 5 2" xfId="46473"/>
    <cellStyle name="20% - Accent4" xfId="815"/>
    <cellStyle name="20% - Accent4 2" xfId="816"/>
    <cellStyle name="20% - Accent4 2 2" xfId="817"/>
    <cellStyle name="20% - Accent4 2 2 2" xfId="818"/>
    <cellStyle name="20% - Accent4 2 3" xfId="46474"/>
    <cellStyle name="20% - Accent4 2 3 2" xfId="46475"/>
    <cellStyle name="20% - Accent4 3" xfId="819"/>
    <cellStyle name="20% - Accent4 3 2" xfId="820"/>
    <cellStyle name="20% - Accent4 3 2 2" xfId="821"/>
    <cellStyle name="20% - Accent4 3 3" xfId="46476"/>
    <cellStyle name="20% - Accent4 3 3 2" xfId="46477"/>
    <cellStyle name="20% - Accent4 4" xfId="822"/>
    <cellStyle name="20% - Accent4 4 2" xfId="823"/>
    <cellStyle name="20% - Accent4 5" xfId="5524"/>
    <cellStyle name="20% - Accent4 5 2" xfId="46478"/>
    <cellStyle name="20% - Accent5" xfId="824"/>
    <cellStyle name="20% - Accent5 2" xfId="825"/>
    <cellStyle name="20% - Accent5 2 2" xfId="826"/>
    <cellStyle name="20% - Accent5 2 2 2" xfId="827"/>
    <cellStyle name="20% - Accent5 2 3" xfId="46479"/>
    <cellStyle name="20% - Accent5 2 3 2" xfId="46480"/>
    <cellStyle name="20% - Accent5 3" xfId="828"/>
    <cellStyle name="20% - Accent5 3 2" xfId="829"/>
    <cellStyle name="20% - Accent5 3 2 2" xfId="830"/>
    <cellStyle name="20% - Accent5 3 3" xfId="46481"/>
    <cellStyle name="20% - Accent5 3 3 2" xfId="46482"/>
    <cellStyle name="20% - Accent5 4" xfId="831"/>
    <cellStyle name="20% - Accent5 4 2" xfId="832"/>
    <cellStyle name="20% - Accent5 5" xfId="5527"/>
    <cellStyle name="20% - Accent5 5 2" xfId="46483"/>
    <cellStyle name="20% - Accent6" xfId="833"/>
    <cellStyle name="20% - Accent6 2" xfId="834"/>
    <cellStyle name="20% - Accent6 2 2" xfId="835"/>
    <cellStyle name="20% - Accent6 2 2 2" xfId="836"/>
    <cellStyle name="20% - Accent6 2 3" xfId="46484"/>
    <cellStyle name="20% - Accent6 2 3 2" xfId="46485"/>
    <cellStyle name="20% - Accent6 3" xfId="837"/>
    <cellStyle name="20% - Accent6 3 2" xfId="838"/>
    <cellStyle name="20% - Accent6 3 2 2" xfId="839"/>
    <cellStyle name="20% - Accent6 3 3" xfId="46486"/>
    <cellStyle name="20% - Accent6 3 3 2" xfId="46487"/>
    <cellStyle name="20% - Accent6 4" xfId="840"/>
    <cellStyle name="20% - Accent6 4 2" xfId="841"/>
    <cellStyle name="20% - Accent6 5" xfId="5530"/>
    <cellStyle name="20% - Accent6 5 2" xfId="46488"/>
    <cellStyle name="20% - アクセント 1" xfId="842"/>
    <cellStyle name="20% - アクセント 1 2" xfId="74"/>
    <cellStyle name="20% - アクセント 1 2 2" xfId="844"/>
    <cellStyle name="20% - アクセント 1 2 2 2" xfId="845"/>
    <cellStyle name="20% - アクセント 1 2 2 3" xfId="46489"/>
    <cellStyle name="20% - アクセント 1 2 2 4" xfId="46490"/>
    <cellStyle name="20% - アクセント 1 2 3" xfId="846"/>
    <cellStyle name="20% - アクセント 1 2 3 2" xfId="847"/>
    <cellStyle name="20% - アクセント 1 2 3 3" xfId="46491"/>
    <cellStyle name="20% - アクセント 1 2 3 4" xfId="46492"/>
    <cellStyle name="20% - アクセント 1 2 4" xfId="5537"/>
    <cellStyle name="20% - アクセント 1 2 5" xfId="46493"/>
    <cellStyle name="20% - アクセント 1 2 6" xfId="46494"/>
    <cellStyle name="20% - アクセント 1 2 7" xfId="46495"/>
    <cellStyle name="20% - アクセント 1 2 8" xfId="46496"/>
    <cellStyle name="20% - アクセント 1 2 9" xfId="843"/>
    <cellStyle name="20% - アクセント 1 3" xfId="848"/>
    <cellStyle name="20% - アクセント 1 3 2" xfId="849"/>
    <cellStyle name="20% - アクセント 1 3 2 2" xfId="850"/>
    <cellStyle name="20% - アクセント 1 3 2 3" xfId="46497"/>
    <cellStyle name="20% - アクセント 1 3 2 4" xfId="46498"/>
    <cellStyle name="20% - アクセント 1 3 3" xfId="851"/>
    <cellStyle name="20% - アクセント 1 3 3 2" xfId="852"/>
    <cellStyle name="20% - アクセント 1 3 3 3" xfId="46499"/>
    <cellStyle name="20% - アクセント 1 3 3 4" xfId="46500"/>
    <cellStyle name="20% - アクセント 1 3 4" xfId="853"/>
    <cellStyle name="20% - アクセント 1 3 4 2" xfId="5541"/>
    <cellStyle name="20% - アクセント 1 3 4 3" xfId="46501"/>
    <cellStyle name="20% - アクセント 1 3 5" xfId="46502"/>
    <cellStyle name="20% - アクセント 1 3 6" xfId="46503"/>
    <cellStyle name="20% - アクセント 1 3 7" xfId="46504"/>
    <cellStyle name="20% - アクセント 1 3 8" xfId="46505"/>
    <cellStyle name="20% - アクセント 1 4" xfId="854"/>
    <cellStyle name="20% - アクセント 1 4 2" xfId="855"/>
    <cellStyle name="20% - アクセント 1 4 2 2" xfId="856"/>
    <cellStyle name="20% - アクセント 1 4 2 3" xfId="46506"/>
    <cellStyle name="20% - アクセント 1 4 2 4" xfId="46507"/>
    <cellStyle name="20% - アクセント 1 4 3" xfId="857"/>
    <cellStyle name="20% - アクセント 1 4 3 2" xfId="858"/>
    <cellStyle name="20% - アクセント 1 4 3 3" xfId="46508"/>
    <cellStyle name="20% - アクセント 1 4 3 4" xfId="46509"/>
    <cellStyle name="20% - アクセント 1 4 4" xfId="859"/>
    <cellStyle name="20% - アクセント 1 4 5" xfId="46510"/>
    <cellStyle name="20% - アクセント 1 4 6" xfId="46511"/>
    <cellStyle name="20% - アクセント 1 4 7" xfId="46512"/>
    <cellStyle name="20% - アクセント 1 5" xfId="5533"/>
    <cellStyle name="20% - アクセント 1 5 2" xfId="23397"/>
    <cellStyle name="20% - アクセント 1 5 3" xfId="60837"/>
    <cellStyle name="20% - アクセント 1 6" xfId="46513"/>
    <cellStyle name="20% - アクセント 1 7" xfId="46514"/>
    <cellStyle name="20% - アクセント 1 8" xfId="46515"/>
    <cellStyle name="20% - アクセント 1 8 2" xfId="46516"/>
    <cellStyle name="20% - アクセント 2" xfId="860"/>
    <cellStyle name="20% - アクセント 2 2" xfId="75"/>
    <cellStyle name="20% - アクセント 2 2 2" xfId="862"/>
    <cellStyle name="20% - アクセント 2 2 2 2" xfId="863"/>
    <cellStyle name="20% - アクセント 2 2 2 3" xfId="46517"/>
    <cellStyle name="20% - アクセント 2 2 2 4" xfId="46518"/>
    <cellStyle name="20% - アクセント 2 2 3" xfId="864"/>
    <cellStyle name="20% - アクセント 2 2 3 2" xfId="865"/>
    <cellStyle name="20% - アクセント 2 2 3 3" xfId="46519"/>
    <cellStyle name="20% - アクセント 2 2 3 4" xfId="46520"/>
    <cellStyle name="20% - アクセント 2 2 4" xfId="5549"/>
    <cellStyle name="20% - アクセント 2 2 5" xfId="46521"/>
    <cellStyle name="20% - アクセント 2 2 6" xfId="46522"/>
    <cellStyle name="20% - アクセント 2 2 7" xfId="46523"/>
    <cellStyle name="20% - アクセント 2 2 8" xfId="46524"/>
    <cellStyle name="20% - アクセント 2 2 9" xfId="861"/>
    <cellStyle name="20% - アクセント 2 3" xfId="866"/>
    <cellStyle name="20% - アクセント 2 3 2" xfId="867"/>
    <cellStyle name="20% - アクセント 2 3 2 2" xfId="868"/>
    <cellStyle name="20% - アクセント 2 3 2 3" xfId="46525"/>
    <cellStyle name="20% - アクセント 2 3 2 4" xfId="46526"/>
    <cellStyle name="20% - アクセント 2 3 3" xfId="869"/>
    <cellStyle name="20% - アクセント 2 3 3 2" xfId="870"/>
    <cellStyle name="20% - アクセント 2 3 3 3" xfId="46527"/>
    <cellStyle name="20% - アクセント 2 3 3 4" xfId="46528"/>
    <cellStyle name="20% - アクセント 2 3 4" xfId="871"/>
    <cellStyle name="20% - アクセント 2 3 4 2" xfId="5553"/>
    <cellStyle name="20% - アクセント 2 3 4 3" xfId="46529"/>
    <cellStyle name="20% - アクセント 2 3 5" xfId="46530"/>
    <cellStyle name="20% - アクセント 2 3 6" xfId="46531"/>
    <cellStyle name="20% - アクセント 2 3 7" xfId="46532"/>
    <cellStyle name="20% - アクセント 2 3 8" xfId="46533"/>
    <cellStyle name="20% - アクセント 2 4" xfId="872"/>
    <cellStyle name="20% - アクセント 2 4 2" xfId="873"/>
    <cellStyle name="20% - アクセント 2 4 2 2" xfId="874"/>
    <cellStyle name="20% - アクセント 2 4 2 3" xfId="46534"/>
    <cellStyle name="20% - アクセント 2 4 2 4" xfId="46535"/>
    <cellStyle name="20% - アクセント 2 4 3" xfId="875"/>
    <cellStyle name="20% - アクセント 2 4 3 2" xfId="876"/>
    <cellStyle name="20% - アクセント 2 4 3 3" xfId="46536"/>
    <cellStyle name="20% - アクセント 2 4 3 4" xfId="46537"/>
    <cellStyle name="20% - アクセント 2 4 4" xfId="877"/>
    <cellStyle name="20% - アクセント 2 4 5" xfId="46538"/>
    <cellStyle name="20% - アクセント 2 4 6" xfId="46539"/>
    <cellStyle name="20% - アクセント 2 4 7" xfId="46540"/>
    <cellStyle name="20% - アクセント 2 5" xfId="5545"/>
    <cellStyle name="20% - アクセント 2 5 2" xfId="23399"/>
    <cellStyle name="20% - アクセント 2 5 3" xfId="60838"/>
    <cellStyle name="20% - アクセント 2 6" xfId="46541"/>
    <cellStyle name="20% - アクセント 2 7" xfId="46542"/>
    <cellStyle name="20% - アクセント 2 8" xfId="46543"/>
    <cellStyle name="20% - アクセント 2 8 2" xfId="46544"/>
    <cellStyle name="20% - アクセント 3" xfId="878"/>
    <cellStyle name="20% - アクセント 3 2" xfId="76"/>
    <cellStyle name="20% - アクセント 3 2 2" xfId="880"/>
    <cellStyle name="20% - アクセント 3 2 2 2" xfId="881"/>
    <cellStyle name="20% - アクセント 3 2 2 3" xfId="46545"/>
    <cellStyle name="20% - アクセント 3 2 2 4" xfId="46546"/>
    <cellStyle name="20% - アクセント 3 2 3" xfId="882"/>
    <cellStyle name="20% - アクセント 3 2 3 2" xfId="883"/>
    <cellStyle name="20% - アクセント 3 2 3 3" xfId="46547"/>
    <cellStyle name="20% - アクセント 3 2 3 4" xfId="46548"/>
    <cellStyle name="20% - アクセント 3 2 4" xfId="5561"/>
    <cellStyle name="20% - アクセント 3 2 5" xfId="46549"/>
    <cellStyle name="20% - アクセント 3 2 6" xfId="46550"/>
    <cellStyle name="20% - アクセント 3 2 7" xfId="46551"/>
    <cellStyle name="20% - アクセント 3 2 8" xfId="46552"/>
    <cellStyle name="20% - アクセント 3 2 9" xfId="879"/>
    <cellStyle name="20% - アクセント 3 3" xfId="884"/>
    <cellStyle name="20% - アクセント 3 3 2" xfId="885"/>
    <cellStyle name="20% - アクセント 3 3 2 2" xfId="886"/>
    <cellStyle name="20% - アクセント 3 3 2 3" xfId="46553"/>
    <cellStyle name="20% - アクセント 3 3 2 4" xfId="46554"/>
    <cellStyle name="20% - アクセント 3 3 3" xfId="887"/>
    <cellStyle name="20% - アクセント 3 3 3 2" xfId="888"/>
    <cellStyle name="20% - アクセント 3 3 3 3" xfId="46555"/>
    <cellStyle name="20% - アクセント 3 3 3 4" xfId="46556"/>
    <cellStyle name="20% - アクセント 3 3 4" xfId="889"/>
    <cellStyle name="20% - アクセント 3 3 4 2" xfId="5565"/>
    <cellStyle name="20% - アクセント 3 3 4 3" xfId="46557"/>
    <cellStyle name="20% - アクセント 3 3 5" xfId="46558"/>
    <cellStyle name="20% - アクセント 3 3 6" xfId="46559"/>
    <cellStyle name="20% - アクセント 3 3 7" xfId="46560"/>
    <cellStyle name="20% - アクセント 3 3 8" xfId="46561"/>
    <cellStyle name="20% - アクセント 3 4" xfId="890"/>
    <cellStyle name="20% - アクセント 3 4 2" xfId="891"/>
    <cellStyle name="20% - アクセント 3 4 2 2" xfId="892"/>
    <cellStyle name="20% - アクセント 3 4 2 3" xfId="46562"/>
    <cellStyle name="20% - アクセント 3 4 2 4" xfId="46563"/>
    <cellStyle name="20% - アクセント 3 4 3" xfId="893"/>
    <cellStyle name="20% - アクセント 3 4 3 2" xfId="894"/>
    <cellStyle name="20% - アクセント 3 4 3 3" xfId="46564"/>
    <cellStyle name="20% - アクセント 3 4 3 4" xfId="46565"/>
    <cellStyle name="20% - アクセント 3 4 4" xfId="895"/>
    <cellStyle name="20% - アクセント 3 4 5" xfId="46566"/>
    <cellStyle name="20% - アクセント 3 4 6" xfId="46567"/>
    <cellStyle name="20% - アクセント 3 4 7" xfId="46568"/>
    <cellStyle name="20% - アクセント 3 5" xfId="5557"/>
    <cellStyle name="20% - アクセント 3 5 2" xfId="23400"/>
    <cellStyle name="20% - アクセント 3 5 3" xfId="60839"/>
    <cellStyle name="20% - アクセント 3 6" xfId="46569"/>
    <cellStyle name="20% - アクセント 3 7" xfId="46570"/>
    <cellStyle name="20% - アクセント 3 8" xfId="46571"/>
    <cellStyle name="20% - アクセント 3 8 2" xfId="46572"/>
    <cellStyle name="20% - アクセント 4" xfId="896"/>
    <cellStyle name="20% - アクセント 4 2" xfId="77"/>
    <cellStyle name="20% - アクセント 4 2 2" xfId="898"/>
    <cellStyle name="20% - アクセント 4 2 2 2" xfId="899"/>
    <cellStyle name="20% - アクセント 4 2 2 3" xfId="46573"/>
    <cellStyle name="20% - アクセント 4 2 2 4" xfId="46574"/>
    <cellStyle name="20% - アクセント 4 2 3" xfId="900"/>
    <cellStyle name="20% - アクセント 4 2 3 2" xfId="901"/>
    <cellStyle name="20% - アクセント 4 2 3 3" xfId="46575"/>
    <cellStyle name="20% - アクセント 4 2 3 4" xfId="46576"/>
    <cellStyle name="20% - アクセント 4 2 4" xfId="5573"/>
    <cellStyle name="20% - アクセント 4 2 5" xfId="46577"/>
    <cellStyle name="20% - アクセント 4 2 6" xfId="46578"/>
    <cellStyle name="20% - アクセント 4 2 7" xfId="46579"/>
    <cellStyle name="20% - アクセント 4 2 8" xfId="46580"/>
    <cellStyle name="20% - アクセント 4 2 9" xfId="897"/>
    <cellStyle name="20% - アクセント 4 3" xfId="902"/>
    <cellStyle name="20% - アクセント 4 3 2" xfId="903"/>
    <cellStyle name="20% - アクセント 4 3 2 2" xfId="904"/>
    <cellStyle name="20% - アクセント 4 3 2 3" xfId="46581"/>
    <cellStyle name="20% - アクセント 4 3 2 4" xfId="46582"/>
    <cellStyle name="20% - アクセント 4 3 3" xfId="905"/>
    <cellStyle name="20% - アクセント 4 3 3 2" xfId="906"/>
    <cellStyle name="20% - アクセント 4 3 3 3" xfId="46583"/>
    <cellStyle name="20% - アクセント 4 3 3 4" xfId="46584"/>
    <cellStyle name="20% - アクセント 4 3 4" xfId="907"/>
    <cellStyle name="20% - アクセント 4 3 4 2" xfId="5577"/>
    <cellStyle name="20% - アクセント 4 3 4 3" xfId="46585"/>
    <cellStyle name="20% - アクセント 4 3 5" xfId="46586"/>
    <cellStyle name="20% - アクセント 4 3 6" xfId="46587"/>
    <cellStyle name="20% - アクセント 4 3 7" xfId="46588"/>
    <cellStyle name="20% - アクセント 4 3 8" xfId="46589"/>
    <cellStyle name="20% - アクセント 4 4" xfId="908"/>
    <cellStyle name="20% - アクセント 4 4 2" xfId="909"/>
    <cellStyle name="20% - アクセント 4 4 2 2" xfId="910"/>
    <cellStyle name="20% - アクセント 4 4 2 3" xfId="46590"/>
    <cellStyle name="20% - アクセント 4 4 2 4" xfId="46591"/>
    <cellStyle name="20% - アクセント 4 4 3" xfId="911"/>
    <cellStyle name="20% - アクセント 4 4 3 2" xfId="912"/>
    <cellStyle name="20% - アクセント 4 4 3 3" xfId="46592"/>
    <cellStyle name="20% - アクセント 4 4 3 4" xfId="46593"/>
    <cellStyle name="20% - アクセント 4 4 4" xfId="913"/>
    <cellStyle name="20% - アクセント 4 4 5" xfId="46594"/>
    <cellStyle name="20% - アクセント 4 4 6" xfId="46595"/>
    <cellStyle name="20% - アクセント 4 4 7" xfId="46596"/>
    <cellStyle name="20% - アクセント 4 5" xfId="5569"/>
    <cellStyle name="20% - アクセント 4 5 2" xfId="23401"/>
    <cellStyle name="20% - アクセント 4 5 3" xfId="60840"/>
    <cellStyle name="20% - アクセント 4 6" xfId="46597"/>
    <cellStyle name="20% - アクセント 4 7" xfId="46598"/>
    <cellStyle name="20% - アクセント 4 8" xfId="46599"/>
    <cellStyle name="20% - アクセント 4 8 2" xfId="46600"/>
    <cellStyle name="20% - アクセント 5" xfId="914"/>
    <cellStyle name="20% - アクセント 5 2" xfId="78"/>
    <cellStyle name="20% - アクセント 5 2 2" xfId="916"/>
    <cellStyle name="20% - アクセント 5 2 2 2" xfId="917"/>
    <cellStyle name="20% - アクセント 5 2 2 3" xfId="46601"/>
    <cellStyle name="20% - アクセント 5 2 2 4" xfId="46602"/>
    <cellStyle name="20% - アクセント 5 2 3" xfId="918"/>
    <cellStyle name="20% - アクセント 5 2 3 2" xfId="919"/>
    <cellStyle name="20% - アクセント 5 2 3 3" xfId="46603"/>
    <cellStyle name="20% - アクセント 5 2 3 4" xfId="46604"/>
    <cellStyle name="20% - アクセント 5 2 4" xfId="5585"/>
    <cellStyle name="20% - アクセント 5 2 5" xfId="46605"/>
    <cellStyle name="20% - アクセント 5 2 6" xfId="46606"/>
    <cellStyle name="20% - アクセント 5 2 7" xfId="46607"/>
    <cellStyle name="20% - アクセント 5 2 8" xfId="46608"/>
    <cellStyle name="20% - アクセント 5 2 9" xfId="915"/>
    <cellStyle name="20% - アクセント 5 3" xfId="920"/>
    <cellStyle name="20% - アクセント 5 3 2" xfId="921"/>
    <cellStyle name="20% - アクセント 5 3 2 2" xfId="922"/>
    <cellStyle name="20% - アクセント 5 3 2 3" xfId="46609"/>
    <cellStyle name="20% - アクセント 5 3 2 4" xfId="46610"/>
    <cellStyle name="20% - アクセント 5 3 3" xfId="923"/>
    <cellStyle name="20% - アクセント 5 3 3 2" xfId="924"/>
    <cellStyle name="20% - アクセント 5 3 3 3" xfId="46611"/>
    <cellStyle name="20% - アクセント 5 3 3 4" xfId="46612"/>
    <cellStyle name="20% - アクセント 5 3 4" xfId="925"/>
    <cellStyle name="20% - アクセント 5 3 4 2" xfId="5589"/>
    <cellStyle name="20% - アクセント 5 3 4 3" xfId="46613"/>
    <cellStyle name="20% - アクセント 5 3 5" xfId="46614"/>
    <cellStyle name="20% - アクセント 5 3 6" xfId="46615"/>
    <cellStyle name="20% - アクセント 5 3 7" xfId="46616"/>
    <cellStyle name="20% - アクセント 5 3 8" xfId="46617"/>
    <cellStyle name="20% - アクセント 5 4" xfId="926"/>
    <cellStyle name="20% - アクセント 5 4 2" xfId="927"/>
    <cellStyle name="20% - アクセント 5 4 2 2" xfId="928"/>
    <cellStyle name="20% - アクセント 5 4 2 3" xfId="46618"/>
    <cellStyle name="20% - アクセント 5 4 2 4" xfId="46619"/>
    <cellStyle name="20% - アクセント 5 4 3" xfId="929"/>
    <cellStyle name="20% - アクセント 5 4 3 2" xfId="930"/>
    <cellStyle name="20% - アクセント 5 4 3 3" xfId="46620"/>
    <cellStyle name="20% - アクセント 5 4 3 4" xfId="46621"/>
    <cellStyle name="20% - アクセント 5 4 4" xfId="931"/>
    <cellStyle name="20% - アクセント 5 4 5" xfId="46622"/>
    <cellStyle name="20% - アクセント 5 4 6" xfId="46623"/>
    <cellStyle name="20% - アクセント 5 4 7" xfId="46624"/>
    <cellStyle name="20% - アクセント 5 5" xfId="5581"/>
    <cellStyle name="20% - アクセント 5 5 2" xfId="23402"/>
    <cellStyle name="20% - アクセント 5 5 3" xfId="60841"/>
    <cellStyle name="20% - アクセント 5 6" xfId="46625"/>
    <cellStyle name="20% - アクセント 5 7" xfId="46626"/>
    <cellStyle name="20% - アクセント 5 8" xfId="46627"/>
    <cellStyle name="20% - アクセント 5 8 2" xfId="46628"/>
    <cellStyle name="20% - アクセント 6" xfId="932"/>
    <cellStyle name="20% - アクセント 6 2" xfId="79"/>
    <cellStyle name="20% - アクセント 6 2 2" xfId="934"/>
    <cellStyle name="20% - アクセント 6 2 2 2" xfId="935"/>
    <cellStyle name="20% - アクセント 6 2 2 3" xfId="46629"/>
    <cellStyle name="20% - アクセント 6 2 2 4" xfId="46630"/>
    <cellStyle name="20% - アクセント 6 2 3" xfId="936"/>
    <cellStyle name="20% - アクセント 6 2 3 2" xfId="937"/>
    <cellStyle name="20% - アクセント 6 2 3 3" xfId="46631"/>
    <cellStyle name="20% - アクセント 6 2 3 4" xfId="46632"/>
    <cellStyle name="20% - アクセント 6 2 4" xfId="5597"/>
    <cellStyle name="20% - アクセント 6 2 5" xfId="46633"/>
    <cellStyle name="20% - アクセント 6 2 6" xfId="46634"/>
    <cellStyle name="20% - アクセント 6 2 7" xfId="46635"/>
    <cellStyle name="20% - アクセント 6 2 8" xfId="46636"/>
    <cellStyle name="20% - アクセント 6 2 9" xfId="933"/>
    <cellStyle name="20% - アクセント 6 3" xfId="938"/>
    <cellStyle name="20% - アクセント 6 3 2" xfId="939"/>
    <cellStyle name="20% - アクセント 6 3 2 2" xfId="940"/>
    <cellStyle name="20% - アクセント 6 3 2 3" xfId="46637"/>
    <cellStyle name="20% - アクセント 6 3 2 4" xfId="46638"/>
    <cellStyle name="20% - アクセント 6 3 3" xfId="941"/>
    <cellStyle name="20% - アクセント 6 3 3 2" xfId="942"/>
    <cellStyle name="20% - アクセント 6 3 3 3" xfId="46639"/>
    <cellStyle name="20% - アクセント 6 3 3 4" xfId="46640"/>
    <cellStyle name="20% - アクセント 6 3 4" xfId="943"/>
    <cellStyle name="20% - アクセント 6 3 4 2" xfId="5601"/>
    <cellStyle name="20% - アクセント 6 3 4 3" xfId="46641"/>
    <cellStyle name="20% - アクセント 6 3 5" xfId="46642"/>
    <cellStyle name="20% - アクセント 6 3 6" xfId="46643"/>
    <cellStyle name="20% - アクセント 6 3 7" xfId="46644"/>
    <cellStyle name="20% - アクセント 6 3 8" xfId="46645"/>
    <cellStyle name="20% - アクセント 6 4" xfId="944"/>
    <cellStyle name="20% - アクセント 6 4 2" xfId="945"/>
    <cellStyle name="20% - アクセント 6 4 2 2" xfId="946"/>
    <cellStyle name="20% - アクセント 6 4 2 3" xfId="46646"/>
    <cellStyle name="20% - アクセント 6 4 2 4" xfId="46647"/>
    <cellStyle name="20% - アクセント 6 4 3" xfId="947"/>
    <cellStyle name="20% - アクセント 6 4 3 2" xfId="948"/>
    <cellStyle name="20% - アクセント 6 4 3 3" xfId="46648"/>
    <cellStyle name="20% - アクセント 6 4 3 4" xfId="46649"/>
    <cellStyle name="20% - アクセント 6 4 4" xfId="949"/>
    <cellStyle name="20% - アクセント 6 4 5" xfId="46650"/>
    <cellStyle name="20% - アクセント 6 4 6" xfId="46651"/>
    <cellStyle name="20% - アクセント 6 4 7" xfId="46652"/>
    <cellStyle name="20% - アクセント 6 5" xfId="5593"/>
    <cellStyle name="20% - アクセント 6 5 2" xfId="23404"/>
    <cellStyle name="20% - アクセント 6 5 3" xfId="60842"/>
    <cellStyle name="20% - アクセント 6 6" xfId="46653"/>
    <cellStyle name="20% - アクセント 6 7" xfId="46654"/>
    <cellStyle name="20% - アクセント 6 8" xfId="46655"/>
    <cellStyle name="20% - アクセント 6 8 2" xfId="46656"/>
    <cellStyle name="20% - 輔色1" xfId="5605"/>
    <cellStyle name="20% - 輔色2" xfId="5606"/>
    <cellStyle name="20% - 輔色3" xfId="5607"/>
    <cellStyle name="20% - 輔色4" xfId="5608"/>
    <cellStyle name="20% - 輔色5" xfId="5609"/>
    <cellStyle name="20% - 輔色6" xfId="5610"/>
    <cellStyle name="20% - 强调文字颜色 1 2" xfId="80"/>
    <cellStyle name="20% - 强调文字颜色 1 2 2" xfId="950"/>
    <cellStyle name="20% - 强调文字颜色 1 2 2 2" xfId="951"/>
    <cellStyle name="20% - 强调文字颜色 1 2 2 2 2" xfId="5613"/>
    <cellStyle name="20% - 强调文字颜色 1 2 2 2 3" xfId="46657"/>
    <cellStyle name="20% - 强调文字颜色 1 2 2 2 4" xfId="46658"/>
    <cellStyle name="20% - 强调文字颜色 1 2 2 3" xfId="952"/>
    <cellStyle name="20% - 强调文字颜色 1 2 2 4" xfId="5612"/>
    <cellStyle name="20% - 强调文字颜色 1 2 2 5" xfId="46659"/>
    <cellStyle name="20% - 强调文字颜色 1 2 2 6" xfId="60844"/>
    <cellStyle name="20% - 强调文字颜色 1 2 3" xfId="953"/>
    <cellStyle name="20% - 强调文字颜色 1 2 3 2" xfId="5614"/>
    <cellStyle name="20% - 强调文字颜色 1 2 4" xfId="46660"/>
    <cellStyle name="20% - 强调文字颜色 1 2 5" xfId="46661"/>
    <cellStyle name="20% - 强调文字颜色 1 2 6" xfId="46662"/>
    <cellStyle name="20% - 强调文字颜色 1 2 7" xfId="46663"/>
    <cellStyle name="20% - 强调文字颜色 1 2 8" xfId="724"/>
    <cellStyle name="20% - 强调文字颜色 1 2 9" xfId="60843"/>
    <cellStyle name="20% - 强调文字颜色 1 3" xfId="954"/>
    <cellStyle name="20% - 强调文字颜色 1 3 10" xfId="46664"/>
    <cellStyle name="20% - 强调文字颜色 1 3 11" xfId="46665"/>
    <cellStyle name="20% - 强调文字颜色 1 3 11 2" xfId="46666"/>
    <cellStyle name="20% - 强调文字颜色 1 3 11 2 2" xfId="46667"/>
    <cellStyle name="20% - 强调文字颜色 1 3 11 3" xfId="46668"/>
    <cellStyle name="20% - 强调文字颜色 1 3 12" xfId="46669"/>
    <cellStyle name="20% - 强调文字颜色 1 3 12 2" xfId="46670"/>
    <cellStyle name="20% - 强调文字颜色 1 3 12 2 2" xfId="46671"/>
    <cellStyle name="20% - 强调文字颜色 1 3 13" xfId="46672"/>
    <cellStyle name="20% - 强调文字颜色 1 3 13 2" xfId="46673"/>
    <cellStyle name="20% - 强调文字颜色 1 3 13 2 2" xfId="46674"/>
    <cellStyle name="20% - 强调文字颜色 1 3 13 3" xfId="46675"/>
    <cellStyle name="20% - 强调文字颜色 1 3 14" xfId="46676"/>
    <cellStyle name="20% - 强调文字颜色 1 3 2" xfId="955"/>
    <cellStyle name="20% - 强调文字颜色 1 3 2 2" xfId="956"/>
    <cellStyle name="20% - 强调文字颜色 1 3 2 3" xfId="5616"/>
    <cellStyle name="20% - 强调文字颜色 1 3 2 3 2" xfId="46677"/>
    <cellStyle name="20% - 强调文字颜色 1 3 2 3 2 2" xfId="46678"/>
    <cellStyle name="20% - 强调文字颜色 1 3 2 3 2 2 2" xfId="46679"/>
    <cellStyle name="20% - 强调文字颜色 1 3 2 3 2 3" xfId="46680"/>
    <cellStyle name="20% - 强调文字颜色 1 3 2 3 3" xfId="46681"/>
    <cellStyle name="20% - 强调文字颜色 1 3 2 3 3 2" xfId="46682"/>
    <cellStyle name="20% - 强调文字颜色 1 3 2 3 4" xfId="46683"/>
    <cellStyle name="20% - 强调文字颜色 1 3 2 4" xfId="46684"/>
    <cellStyle name="20% - 强调文字颜色 1 3 2 5" xfId="46685"/>
    <cellStyle name="20% - 强调文字颜色 1 3 2 5 2" xfId="46686"/>
    <cellStyle name="20% - 强调文字颜色 1 3 2 5 2 2" xfId="46687"/>
    <cellStyle name="20% - 强调文字颜色 1 3 2 5 3" xfId="46688"/>
    <cellStyle name="20% - 强调文字颜色 1 3 2 6" xfId="46689"/>
    <cellStyle name="20% - 强调文字颜色 1 3 2 6 2" xfId="46690"/>
    <cellStyle name="20% - 强调文字颜色 1 3 2 6 2 2" xfId="46691"/>
    <cellStyle name="20% - 强调文字颜色 1 3 2 6 3" xfId="46692"/>
    <cellStyle name="20% - 强调文字颜色 1 3 2 7" xfId="46693"/>
    <cellStyle name="20% - 强调文字颜色 1 3 2 7 2" xfId="46694"/>
    <cellStyle name="20% - 强调文字颜色 1 3 2 7 2 2" xfId="46695"/>
    <cellStyle name="20% - 强调文字颜色 1 3 2 7 3" xfId="46696"/>
    <cellStyle name="20% - 强调文字颜色 1 3 3" xfId="957"/>
    <cellStyle name="20% - 强调文字颜色 1 3 3 2" xfId="46697"/>
    <cellStyle name="20% - 强调文字颜色 1 3 3 2 2" xfId="46698"/>
    <cellStyle name="20% - 强调文字颜色 1 3 3 2 2 2" xfId="46699"/>
    <cellStyle name="20% - 强调文字颜色 1 3 3 2 3" xfId="46700"/>
    <cellStyle name="20% - 强调文字颜色 1 3 3 3" xfId="46701"/>
    <cellStyle name="20% - 强调文字颜色 1 3 3 3 2" xfId="46702"/>
    <cellStyle name="20% - 强调文字颜色 1 3 3 3 2 2" xfId="46703"/>
    <cellStyle name="20% - 强调文字颜色 1 3 3 3 3" xfId="46704"/>
    <cellStyle name="20% - 强调文字颜色 1 3 3 4" xfId="46705"/>
    <cellStyle name="20% - 强调文字颜色 1 3 3 4 2" xfId="46706"/>
    <cellStyle name="20% - 强调文字颜色 1 3 3 4 2 2" xfId="46707"/>
    <cellStyle name="20% - 强调文字颜色 1 3 3 4 3" xfId="46708"/>
    <cellStyle name="20% - 强调文字颜色 1 3 3 5" xfId="46709"/>
    <cellStyle name="20% - 强调文字颜色 1 3 3 5 2" xfId="46710"/>
    <cellStyle name="20% - 强调文字颜色 1 3 4" xfId="958"/>
    <cellStyle name="20% - 强调文字颜色 1 3 4 2" xfId="46711"/>
    <cellStyle name="20% - 强调文字颜色 1 3 4 2 2" xfId="46712"/>
    <cellStyle name="20% - 强调文字颜色 1 3 4 2 2 2" xfId="46713"/>
    <cellStyle name="20% - 强调文字颜色 1 3 4 2 3" xfId="46714"/>
    <cellStyle name="20% - 强调文字颜色 1 3 4 3" xfId="46715"/>
    <cellStyle name="20% - 强调文字颜色 1 3 4 3 2" xfId="46716"/>
    <cellStyle name="20% - 强调文字颜色 1 3 4 3 2 2" xfId="46717"/>
    <cellStyle name="20% - 强调文字颜色 1 3 4 3 3" xfId="46718"/>
    <cellStyle name="20% - 强调文字颜色 1 3 4 4" xfId="46719"/>
    <cellStyle name="20% - 强调文字颜色 1 3 4 4 2" xfId="46720"/>
    <cellStyle name="20% - 强调文字颜色 1 3 4 4 2 2" xfId="46721"/>
    <cellStyle name="20% - 强调文字颜色 1 3 4 4 3" xfId="46722"/>
    <cellStyle name="20% - 强调文字颜色 1 3 4 5" xfId="46723"/>
    <cellStyle name="20% - 强调文字颜色 1 3 4 5 2" xfId="46724"/>
    <cellStyle name="20% - 强调文字颜色 1 3 5" xfId="959"/>
    <cellStyle name="20% - 强调文字颜色 1 3 5 2" xfId="46725"/>
    <cellStyle name="20% - 强调文字颜色 1 3 5 2 2" xfId="46726"/>
    <cellStyle name="20% - 强调文字颜色 1 3 5 2 2 2" xfId="46727"/>
    <cellStyle name="20% - 强调文字颜色 1 3 5 2 3" xfId="46728"/>
    <cellStyle name="20% - 强调文字颜色 1 3 5 3" xfId="46729"/>
    <cellStyle name="20% - 强调文字颜色 1 3 5 3 2" xfId="46730"/>
    <cellStyle name="20% - 强调文字颜色 1 3 5 3 2 2" xfId="46731"/>
    <cellStyle name="20% - 强调文字颜色 1 3 5 3 3" xfId="46732"/>
    <cellStyle name="20% - 强调文字颜色 1 3 5 4" xfId="46733"/>
    <cellStyle name="20% - 强调文字颜色 1 3 5 4 2" xfId="46734"/>
    <cellStyle name="20% - 强调文字颜色 1 3 5 4 2 2" xfId="46735"/>
    <cellStyle name="20% - 强调文字颜色 1 3 5 4 3" xfId="46736"/>
    <cellStyle name="20% - 强调文字颜色 1 3 5 5" xfId="46737"/>
    <cellStyle name="20% - 强调文字颜色 1 3 5 5 2" xfId="46738"/>
    <cellStyle name="20% - 强调文字颜色 1 3 5 6" xfId="46739"/>
    <cellStyle name="20% - 强调文字颜色 1 3 6" xfId="960"/>
    <cellStyle name="20% - 强调文字颜色 1 3 6 2" xfId="46740"/>
    <cellStyle name="20% - 强调文字颜色 1 3 6 2 2" xfId="46741"/>
    <cellStyle name="20% - 强调文字颜色 1 3 6 2 2 2" xfId="46742"/>
    <cellStyle name="20% - 强调文字颜色 1 3 6 2 3" xfId="46743"/>
    <cellStyle name="20% - 强调文字颜色 1 3 6 3" xfId="46744"/>
    <cellStyle name="20% - 强调文字颜色 1 3 6 3 2" xfId="46745"/>
    <cellStyle name="20% - 强调文字颜色 1 3 6 3 2 2" xfId="46746"/>
    <cellStyle name="20% - 强调文字颜色 1 3 6 3 3" xfId="46747"/>
    <cellStyle name="20% - 强调文字颜色 1 3 6 4" xfId="46748"/>
    <cellStyle name="20% - 强调文字颜色 1 3 6 4 2" xfId="46749"/>
    <cellStyle name="20% - 强调文字颜色 1 3 6 4 2 2" xfId="46750"/>
    <cellStyle name="20% - 强调文字颜色 1 3 6 4 3" xfId="46751"/>
    <cellStyle name="20% - 强调文字颜色 1 3 6 5" xfId="46752"/>
    <cellStyle name="20% - 强调文字颜色 1 3 6 5 2" xfId="46753"/>
    <cellStyle name="20% - 强调文字颜色 1 3 6 6" xfId="46754"/>
    <cellStyle name="20% - 强调文字颜色 1 3 7" xfId="961"/>
    <cellStyle name="20% - 强调文字颜色 1 3 7 2" xfId="46755"/>
    <cellStyle name="20% - 强调文字颜色 1 3 7 2 2" xfId="46756"/>
    <cellStyle name="20% - 强调文字颜色 1 3 7 2 2 2" xfId="46757"/>
    <cellStyle name="20% - 强调文字颜色 1 3 7 2 3" xfId="46758"/>
    <cellStyle name="20% - 强调文字颜色 1 3 7 3" xfId="46759"/>
    <cellStyle name="20% - 强调文字颜色 1 3 7 3 2" xfId="46760"/>
    <cellStyle name="20% - 强调文字颜色 1 3 7 3 2 2" xfId="46761"/>
    <cellStyle name="20% - 强调文字颜色 1 3 7 3 3" xfId="46762"/>
    <cellStyle name="20% - 强调文字颜色 1 3 7 4" xfId="46763"/>
    <cellStyle name="20% - 强调文字颜色 1 3 7 4 2" xfId="46764"/>
    <cellStyle name="20% - 强调文字颜色 1 3 7 4 2 2" xfId="46765"/>
    <cellStyle name="20% - 强调文字颜色 1 3 7 4 3" xfId="46766"/>
    <cellStyle name="20% - 强调文字颜色 1 3 7 5" xfId="46767"/>
    <cellStyle name="20% - 强调文字颜色 1 3 7 5 2" xfId="46768"/>
    <cellStyle name="20% - 强调文字颜色 1 3 7 6" xfId="46769"/>
    <cellStyle name="20% - 强调文字颜色 1 3 8" xfId="5615"/>
    <cellStyle name="20% - 强调文字颜色 1 3 8 2" xfId="46770"/>
    <cellStyle name="20% - 强调文字颜色 1 3 8 2 2" xfId="46771"/>
    <cellStyle name="20% - 强调文字颜色 1 3 8 2 2 2" xfId="46772"/>
    <cellStyle name="20% - 强调文字颜色 1 3 8 2 3" xfId="46773"/>
    <cellStyle name="20% - 强调文字颜色 1 3 8 3" xfId="46774"/>
    <cellStyle name="20% - 强调文字颜色 1 3 8 3 2" xfId="46775"/>
    <cellStyle name="20% - 强调文字颜色 1 3 8 3 2 2" xfId="46776"/>
    <cellStyle name="20% - 强调文字颜色 1 3 8 3 3" xfId="46777"/>
    <cellStyle name="20% - 强调文字颜色 1 3 8 4" xfId="46778"/>
    <cellStyle name="20% - 强调文字颜色 1 3 8 4 2" xfId="46779"/>
    <cellStyle name="20% - 强调文字颜色 1 3 8 4 2 2" xfId="46780"/>
    <cellStyle name="20% - 强调文字颜色 1 3 8 4 3" xfId="46781"/>
    <cellStyle name="20% - 强调文字颜色 1 3 8 5" xfId="46782"/>
    <cellStyle name="20% - 强调文字颜色 1 3 8 5 2" xfId="46783"/>
    <cellStyle name="20% - 强调文字颜色 1 3 8 6" xfId="46784"/>
    <cellStyle name="20% - 强调文字颜色 1 3 9" xfId="46785"/>
    <cellStyle name="20% - 强调文字颜色 1 3 9 2" xfId="46786"/>
    <cellStyle name="20% - 强调文字颜色 1 3 9 2 2" xfId="46787"/>
    <cellStyle name="20% - 强调文字颜色 1 3 9 2 2 2" xfId="46788"/>
    <cellStyle name="20% - 强调文字颜色 1 3 9 2 3" xfId="46789"/>
    <cellStyle name="20% - 强调文字颜色 1 3 9 3" xfId="46790"/>
    <cellStyle name="20% - 强调文字颜色 1 3 9 3 2" xfId="46791"/>
    <cellStyle name="20% - 强调文字颜色 1 3 9 4" xfId="46792"/>
    <cellStyle name="20% - 强调文字颜色 1 4" xfId="962"/>
    <cellStyle name="20% - 强调文字颜色 1 4 2" xfId="5618"/>
    <cellStyle name="20% - 强调文字颜色 1 4 3" xfId="5617"/>
    <cellStyle name="20% - 强调文字颜色 1 4 4" xfId="46793"/>
    <cellStyle name="20% - 强调文字颜色 1 5" xfId="46794"/>
    <cellStyle name="20% - 强调文字颜色 1 6" xfId="46795"/>
    <cellStyle name="20% - 强调文字颜色 1 7" xfId="46796"/>
    <cellStyle name="20% - 强调文字颜色 1 7 2" xfId="46797"/>
    <cellStyle name="20% - 强调文字颜色 2 2" xfId="81"/>
    <cellStyle name="20% - 强调文字颜色 2 2 10" xfId="46798"/>
    <cellStyle name="20% - 强调文字颜色 2 2 11" xfId="725"/>
    <cellStyle name="20% - 强调文字颜色 2 2 12" xfId="60845"/>
    <cellStyle name="20% - 强调文字颜色 2 2 2" xfId="963"/>
    <cellStyle name="20% - 强调文字颜色 2 2 2 2" xfId="964"/>
    <cellStyle name="20% - 强调文字颜色 2 2 2 2 2" xfId="5621"/>
    <cellStyle name="20% - 强调文字颜色 2 2 2 2 3" xfId="46799"/>
    <cellStyle name="20% - 强调文字颜色 2 2 2 2 4" xfId="46800"/>
    <cellStyle name="20% - 强调文字颜色 2 2 2 3" xfId="965"/>
    <cellStyle name="20% - 强调文字颜色 2 2 2 4" xfId="5620"/>
    <cellStyle name="20% - 强调文字颜色 2 2 2 5" xfId="46801"/>
    <cellStyle name="20% - 强调文字颜色 2 2 2 6" xfId="60846"/>
    <cellStyle name="20% - 强调文字颜色 2 2 3" xfId="966"/>
    <cellStyle name="20% - 强调文字颜色 2 2 3 2" xfId="5622"/>
    <cellStyle name="20% - 强调文字颜色 2 2 3 3" xfId="5623"/>
    <cellStyle name="20% - 强调文字颜色 2 2 3 3 2" xfId="5624"/>
    <cellStyle name="20% - 强调文字颜色 2 2 3 3 2 2" xfId="5625"/>
    <cellStyle name="20% - 强调文字颜色 2 2 3 3 2 2 2" xfId="5626"/>
    <cellStyle name="20% - 强调文字颜色 2 2 3 3 2 2 2 2" xfId="23405"/>
    <cellStyle name="20% - 强调文字颜色 2 2 3 3 2 2 2 2 2" xfId="23406"/>
    <cellStyle name="20% - 强调文字颜色 2 2 3 3 2 2 3" xfId="23407"/>
    <cellStyle name="20% - 强调文字颜色 2 2 3 3 2 2 3 2" xfId="23408"/>
    <cellStyle name="20% - 强调文字颜色 2 2 3 3 2 3" xfId="23409"/>
    <cellStyle name="20% - 强调文字颜色 2 2 3 3 2 3 2" xfId="23410"/>
    <cellStyle name="20% - 强调文字颜色 2 2 3 3 2_試験・研修" xfId="5627"/>
    <cellStyle name="20% - 强调文字颜色 2 2 3 3 3" xfId="5628"/>
    <cellStyle name="20% - 强调文字颜色 2 2 3 3 3 2" xfId="5629"/>
    <cellStyle name="20% - 强调文字颜色 2 2 3 3 3 2 2" xfId="23411"/>
    <cellStyle name="20% - 强调文字颜色 2 2 3 3 3 2 2 2" xfId="23412"/>
    <cellStyle name="20% - 强调文字颜色 2 2 3 3 3 3" xfId="23413"/>
    <cellStyle name="20% - 强调文字颜色 2 2 3 3 3 3 2" xfId="23414"/>
    <cellStyle name="20% - 强调文字颜色 2 2 3 3 4" xfId="23415"/>
    <cellStyle name="20% - 强调文字颜色 2 2 3 3 4 2" xfId="23416"/>
    <cellStyle name="20% - 强调文字颜色 2 2 3 3_試験・研修" xfId="5630"/>
    <cellStyle name="20% - 强调文字颜色 2 2 4" xfId="46802"/>
    <cellStyle name="20% - 强调文字颜色 2 2 5" xfId="46803"/>
    <cellStyle name="20% - 强调文字颜色 2 2 6" xfId="46804"/>
    <cellStyle name="20% - 强调文字颜色 2 2 7" xfId="46805"/>
    <cellStyle name="20% - 强调文字颜色 2 2 8" xfId="46806"/>
    <cellStyle name="20% - 强调文字颜色 2 2 9" xfId="46807"/>
    <cellStyle name="20% - 强调文字颜色 2 3" xfId="967"/>
    <cellStyle name="20% - 强调文字颜色 2 3 10" xfId="46808"/>
    <cellStyle name="20% - 强调文字颜色 2 3 11" xfId="46809"/>
    <cellStyle name="20% - 强调文字颜色 2 3 11 2" xfId="46810"/>
    <cellStyle name="20% - 强调文字颜色 2 3 11 2 2" xfId="46811"/>
    <cellStyle name="20% - 强调文字颜色 2 3 11 3" xfId="46812"/>
    <cellStyle name="20% - 强调文字颜色 2 3 12" xfId="46813"/>
    <cellStyle name="20% - 强调文字颜色 2 3 12 2" xfId="46814"/>
    <cellStyle name="20% - 强调文字颜色 2 3 12 2 2" xfId="46815"/>
    <cellStyle name="20% - 强调文字颜色 2 3 13" xfId="46816"/>
    <cellStyle name="20% - 强调文字颜色 2 3 13 2" xfId="46817"/>
    <cellStyle name="20% - 强调文字颜色 2 3 13 2 2" xfId="46818"/>
    <cellStyle name="20% - 强调文字颜色 2 3 13 3" xfId="46819"/>
    <cellStyle name="20% - 强调文字颜色 2 3 14" xfId="46820"/>
    <cellStyle name="20% - 强调文字颜色 2 3 2" xfId="968"/>
    <cellStyle name="20% - 强调文字颜色 2 3 2 2" xfId="969"/>
    <cellStyle name="20% - 强调文字颜色 2 3 2 3" xfId="5632"/>
    <cellStyle name="20% - 强调文字颜色 2 3 2 3 2" xfId="46821"/>
    <cellStyle name="20% - 强调文字颜色 2 3 2 3 2 2" xfId="46822"/>
    <cellStyle name="20% - 强调文字颜色 2 3 2 3 2 2 2" xfId="46823"/>
    <cellStyle name="20% - 强调文字颜色 2 3 2 3 2 3" xfId="46824"/>
    <cellStyle name="20% - 强调文字颜色 2 3 2 3 3" xfId="46825"/>
    <cellStyle name="20% - 强调文字颜色 2 3 2 3 3 2" xfId="46826"/>
    <cellStyle name="20% - 强调文字颜色 2 3 2 3 4" xfId="46827"/>
    <cellStyle name="20% - 强调文字颜色 2 3 2 4" xfId="46828"/>
    <cellStyle name="20% - 强调文字颜色 2 3 2 5" xfId="46829"/>
    <cellStyle name="20% - 强调文字颜色 2 3 2 5 2" xfId="46830"/>
    <cellStyle name="20% - 强调文字颜色 2 3 2 5 2 2" xfId="46831"/>
    <cellStyle name="20% - 强调文字颜色 2 3 2 5 3" xfId="46832"/>
    <cellStyle name="20% - 强调文字颜色 2 3 2 6" xfId="46833"/>
    <cellStyle name="20% - 强调文字颜色 2 3 2 6 2" xfId="46834"/>
    <cellStyle name="20% - 强调文字颜色 2 3 2 6 2 2" xfId="46835"/>
    <cellStyle name="20% - 强调文字颜色 2 3 2 6 3" xfId="46836"/>
    <cellStyle name="20% - 强调文字颜色 2 3 2 7" xfId="46837"/>
    <cellStyle name="20% - 强调文字颜色 2 3 2 7 2" xfId="46838"/>
    <cellStyle name="20% - 强调文字颜色 2 3 2 7 2 2" xfId="46839"/>
    <cellStyle name="20% - 强调文字颜色 2 3 2 7 3" xfId="46840"/>
    <cellStyle name="20% - 强调文字颜色 2 3 3" xfId="970"/>
    <cellStyle name="20% - 强调文字颜色 2 3 3 2" xfId="46841"/>
    <cellStyle name="20% - 强调文字颜色 2 3 3 2 2" xfId="46842"/>
    <cellStyle name="20% - 强调文字颜色 2 3 3 2 2 2" xfId="46843"/>
    <cellStyle name="20% - 强调文字颜色 2 3 3 2 3" xfId="46844"/>
    <cellStyle name="20% - 强调文字颜色 2 3 3 3" xfId="46845"/>
    <cellStyle name="20% - 强调文字颜色 2 3 3 3 2" xfId="46846"/>
    <cellStyle name="20% - 强调文字颜色 2 3 3 3 2 2" xfId="46847"/>
    <cellStyle name="20% - 强调文字颜色 2 3 3 3 3" xfId="46848"/>
    <cellStyle name="20% - 强调文字颜色 2 3 3 4" xfId="46849"/>
    <cellStyle name="20% - 强调文字颜色 2 3 3 4 2" xfId="46850"/>
    <cellStyle name="20% - 强调文字颜色 2 3 3 4 2 2" xfId="46851"/>
    <cellStyle name="20% - 强调文字颜色 2 3 3 4 3" xfId="46852"/>
    <cellStyle name="20% - 强调文字颜色 2 3 3 5" xfId="46853"/>
    <cellStyle name="20% - 强调文字颜色 2 3 3 5 2" xfId="46854"/>
    <cellStyle name="20% - 强调文字颜色 2 3 4" xfId="971"/>
    <cellStyle name="20% - 强调文字颜色 2 3 4 2" xfId="46855"/>
    <cellStyle name="20% - 强调文字颜色 2 3 4 2 2" xfId="46856"/>
    <cellStyle name="20% - 强调文字颜色 2 3 4 2 2 2" xfId="46857"/>
    <cellStyle name="20% - 强调文字颜色 2 3 4 2 3" xfId="46858"/>
    <cellStyle name="20% - 强调文字颜色 2 3 4 3" xfId="46859"/>
    <cellStyle name="20% - 强调文字颜色 2 3 4 3 2" xfId="46860"/>
    <cellStyle name="20% - 强调文字颜色 2 3 4 3 2 2" xfId="46861"/>
    <cellStyle name="20% - 强调文字颜色 2 3 4 3 3" xfId="46862"/>
    <cellStyle name="20% - 强调文字颜色 2 3 4 4" xfId="46863"/>
    <cellStyle name="20% - 强调文字颜色 2 3 4 4 2" xfId="46864"/>
    <cellStyle name="20% - 强调文字颜色 2 3 4 4 2 2" xfId="46865"/>
    <cellStyle name="20% - 强调文字颜色 2 3 4 4 3" xfId="46866"/>
    <cellStyle name="20% - 强调文字颜色 2 3 4 5" xfId="46867"/>
    <cellStyle name="20% - 强调文字颜色 2 3 4 5 2" xfId="46868"/>
    <cellStyle name="20% - 强调文字颜色 2 3 5" xfId="972"/>
    <cellStyle name="20% - 强调文字颜色 2 3 5 2" xfId="46869"/>
    <cellStyle name="20% - 强调文字颜色 2 3 5 2 2" xfId="46870"/>
    <cellStyle name="20% - 强调文字颜色 2 3 5 2 2 2" xfId="46871"/>
    <cellStyle name="20% - 强调文字颜色 2 3 5 2 3" xfId="46872"/>
    <cellStyle name="20% - 强调文字颜色 2 3 5 3" xfId="46873"/>
    <cellStyle name="20% - 强调文字颜色 2 3 5 3 2" xfId="46874"/>
    <cellStyle name="20% - 强调文字颜色 2 3 5 3 2 2" xfId="46875"/>
    <cellStyle name="20% - 强调文字颜色 2 3 5 3 3" xfId="46876"/>
    <cellStyle name="20% - 强调文字颜色 2 3 5 4" xfId="46877"/>
    <cellStyle name="20% - 强调文字颜色 2 3 5 4 2" xfId="46878"/>
    <cellStyle name="20% - 强调文字颜色 2 3 5 4 2 2" xfId="46879"/>
    <cellStyle name="20% - 强调文字颜色 2 3 5 4 3" xfId="46880"/>
    <cellStyle name="20% - 强调文字颜色 2 3 5 5" xfId="46881"/>
    <cellStyle name="20% - 强调文字颜色 2 3 5 5 2" xfId="46882"/>
    <cellStyle name="20% - 强调文字颜色 2 3 5 6" xfId="46883"/>
    <cellStyle name="20% - 强调文字颜色 2 3 6" xfId="973"/>
    <cellStyle name="20% - 强调文字颜色 2 3 6 2" xfId="46884"/>
    <cellStyle name="20% - 强调文字颜色 2 3 6 2 2" xfId="46885"/>
    <cellStyle name="20% - 强调文字颜色 2 3 6 2 2 2" xfId="46886"/>
    <cellStyle name="20% - 强调文字颜色 2 3 6 2 3" xfId="46887"/>
    <cellStyle name="20% - 强调文字颜色 2 3 6 3" xfId="46888"/>
    <cellStyle name="20% - 强调文字颜色 2 3 6 3 2" xfId="46889"/>
    <cellStyle name="20% - 强调文字颜色 2 3 6 3 2 2" xfId="46890"/>
    <cellStyle name="20% - 强调文字颜色 2 3 6 3 3" xfId="46891"/>
    <cellStyle name="20% - 强调文字颜色 2 3 6 4" xfId="46892"/>
    <cellStyle name="20% - 强调文字颜色 2 3 6 4 2" xfId="46893"/>
    <cellStyle name="20% - 强调文字颜色 2 3 6 4 2 2" xfId="46894"/>
    <cellStyle name="20% - 强调文字颜色 2 3 6 4 3" xfId="46895"/>
    <cellStyle name="20% - 强调文字颜色 2 3 6 5" xfId="46896"/>
    <cellStyle name="20% - 强调文字颜色 2 3 6 5 2" xfId="46897"/>
    <cellStyle name="20% - 强调文字颜色 2 3 6 6" xfId="46898"/>
    <cellStyle name="20% - 强调文字颜色 2 3 7" xfId="974"/>
    <cellStyle name="20% - 强调文字颜色 2 3 7 2" xfId="46899"/>
    <cellStyle name="20% - 强调文字颜色 2 3 7 2 2" xfId="46900"/>
    <cellStyle name="20% - 强调文字颜色 2 3 7 2 2 2" xfId="46901"/>
    <cellStyle name="20% - 强调文字颜色 2 3 7 2 3" xfId="46902"/>
    <cellStyle name="20% - 强调文字颜色 2 3 7 3" xfId="46903"/>
    <cellStyle name="20% - 强调文字颜色 2 3 7 3 2" xfId="46904"/>
    <cellStyle name="20% - 强调文字颜色 2 3 7 3 2 2" xfId="46905"/>
    <cellStyle name="20% - 强调文字颜色 2 3 7 3 3" xfId="46906"/>
    <cellStyle name="20% - 强调文字颜色 2 3 7 4" xfId="46907"/>
    <cellStyle name="20% - 强调文字颜色 2 3 7 4 2" xfId="46908"/>
    <cellStyle name="20% - 强调文字颜色 2 3 7 4 2 2" xfId="46909"/>
    <cellStyle name="20% - 强调文字颜色 2 3 7 4 3" xfId="46910"/>
    <cellStyle name="20% - 强调文字颜色 2 3 7 5" xfId="46911"/>
    <cellStyle name="20% - 强调文字颜色 2 3 7 5 2" xfId="46912"/>
    <cellStyle name="20% - 强调文字颜色 2 3 7 6" xfId="46913"/>
    <cellStyle name="20% - 强调文字颜色 2 3 8" xfId="5631"/>
    <cellStyle name="20% - 强调文字颜色 2 3 8 2" xfId="46914"/>
    <cellStyle name="20% - 强调文字颜色 2 3 8 2 2" xfId="46915"/>
    <cellStyle name="20% - 强调文字颜色 2 3 8 2 2 2" xfId="46916"/>
    <cellStyle name="20% - 强调文字颜色 2 3 8 2 3" xfId="46917"/>
    <cellStyle name="20% - 强调文字颜色 2 3 8 3" xfId="46918"/>
    <cellStyle name="20% - 强调文字颜色 2 3 8 3 2" xfId="46919"/>
    <cellStyle name="20% - 强调文字颜色 2 3 8 3 2 2" xfId="46920"/>
    <cellStyle name="20% - 强调文字颜色 2 3 8 3 3" xfId="46921"/>
    <cellStyle name="20% - 强调文字颜色 2 3 8 4" xfId="46922"/>
    <cellStyle name="20% - 强调文字颜色 2 3 8 4 2" xfId="46923"/>
    <cellStyle name="20% - 强调文字颜色 2 3 8 4 2 2" xfId="46924"/>
    <cellStyle name="20% - 强调文字颜色 2 3 8 4 3" xfId="46925"/>
    <cellStyle name="20% - 强调文字颜色 2 3 8 5" xfId="46926"/>
    <cellStyle name="20% - 强调文字颜色 2 3 8 5 2" xfId="46927"/>
    <cellStyle name="20% - 强调文字颜色 2 3 8 6" xfId="46928"/>
    <cellStyle name="20% - 强调文字颜色 2 3 9" xfId="46929"/>
    <cellStyle name="20% - 强调文字颜色 2 3 9 2" xfId="46930"/>
    <cellStyle name="20% - 强调文字颜色 2 3 9 2 2" xfId="46931"/>
    <cellStyle name="20% - 强调文字颜色 2 3 9 2 2 2" xfId="46932"/>
    <cellStyle name="20% - 强调文字颜色 2 3 9 2 3" xfId="46933"/>
    <cellStyle name="20% - 强调文字颜色 2 3 9 3" xfId="46934"/>
    <cellStyle name="20% - 强调文字颜色 2 3 9 3 2" xfId="46935"/>
    <cellStyle name="20% - 强调文字颜色 2 3 9 4" xfId="46936"/>
    <cellStyle name="20% - 强调文字颜色 2 4" xfId="975"/>
    <cellStyle name="20% - 强调文字颜色 2 4 2" xfId="5634"/>
    <cellStyle name="20% - 强调文字颜色 2 4 3" xfId="5633"/>
    <cellStyle name="20% - 强调文字颜色 2 4 4" xfId="46937"/>
    <cellStyle name="20% - 强调文字颜色 2 5" xfId="46938"/>
    <cellStyle name="20% - 强调文字颜色 2 6" xfId="46939"/>
    <cellStyle name="20% - 强调文字颜色 2 7" xfId="46940"/>
    <cellStyle name="20% - 强调文字颜色 2 7 2" xfId="46941"/>
    <cellStyle name="20% - 强调文字颜色 3 2" xfId="82"/>
    <cellStyle name="20% - 强调文字颜色 3 2 2" xfId="976"/>
    <cellStyle name="20% - 强调文字颜色 3 2 2 2" xfId="977"/>
    <cellStyle name="20% - 强调文字颜色 3 2 2 2 2" xfId="5637"/>
    <cellStyle name="20% - 强调文字颜色 3 2 2 2 2 2" xfId="23417"/>
    <cellStyle name="20% - 强调文字颜色 3 2 2 2 3" xfId="46942"/>
    <cellStyle name="20% - 强调文字颜色 3 2 2 2 4" xfId="46943"/>
    <cellStyle name="20% - 强调文字颜色 3 2 2 3" xfId="978"/>
    <cellStyle name="20% - 强调文字颜色 3 2 2 3 2" xfId="23418"/>
    <cellStyle name="20% - 强调文字颜色 3 2 2 4" xfId="5636"/>
    <cellStyle name="20% - 强调文字颜色 3 2 2 5" xfId="46944"/>
    <cellStyle name="20% - 强调文字颜色 3 2 2 6" xfId="60848"/>
    <cellStyle name="20% - 强调文字颜色 3 2 3" xfId="979"/>
    <cellStyle name="20% - 强调文字颜色 3 2 3 2" xfId="5638"/>
    <cellStyle name="20% - 强调文字颜色 3 2 4" xfId="46945"/>
    <cellStyle name="20% - 强调文字颜色 3 2 5" xfId="46946"/>
    <cellStyle name="20% - 强调文字颜色 3 2 6" xfId="46947"/>
    <cellStyle name="20% - 强调文字颜色 3 2 7" xfId="46948"/>
    <cellStyle name="20% - 强调文字颜色 3 2 8" xfId="726"/>
    <cellStyle name="20% - 强调文字颜色 3 2 9" xfId="60847"/>
    <cellStyle name="20% - 强调文字颜色 3 3" xfId="980"/>
    <cellStyle name="20% - 强调文字颜色 3 3 10" xfId="46949"/>
    <cellStyle name="20% - 强调文字颜色 3 3 11" xfId="46950"/>
    <cellStyle name="20% - 强调文字颜色 3 3 11 2" xfId="46951"/>
    <cellStyle name="20% - 强调文字颜色 3 3 11 2 2" xfId="46952"/>
    <cellStyle name="20% - 强调文字颜色 3 3 11 3" xfId="46953"/>
    <cellStyle name="20% - 强调文字颜色 3 3 12" xfId="46954"/>
    <cellStyle name="20% - 强调文字颜色 3 3 12 2" xfId="46955"/>
    <cellStyle name="20% - 强调文字颜色 3 3 12 2 2" xfId="46956"/>
    <cellStyle name="20% - 强调文字颜色 3 3 13" xfId="46957"/>
    <cellStyle name="20% - 强调文字颜色 3 3 13 2" xfId="46958"/>
    <cellStyle name="20% - 强调文字颜色 3 3 13 2 2" xfId="46959"/>
    <cellStyle name="20% - 强调文字颜色 3 3 13 3" xfId="46960"/>
    <cellStyle name="20% - 强调文字颜色 3 3 14" xfId="46961"/>
    <cellStyle name="20% - 强调文字颜色 3 3 2" xfId="981"/>
    <cellStyle name="20% - 强调文字颜色 3 3 2 2" xfId="982"/>
    <cellStyle name="20% - 强调文字颜色 3 3 2 3" xfId="5640"/>
    <cellStyle name="20% - 强调文字颜色 3 3 2 3 2" xfId="46962"/>
    <cellStyle name="20% - 强调文字颜色 3 3 2 3 2 2" xfId="46963"/>
    <cellStyle name="20% - 强调文字颜色 3 3 2 3 2 2 2" xfId="46964"/>
    <cellStyle name="20% - 强调文字颜色 3 3 2 3 2 3" xfId="46965"/>
    <cellStyle name="20% - 强调文字颜色 3 3 2 3 3" xfId="46966"/>
    <cellStyle name="20% - 强调文字颜色 3 3 2 3 3 2" xfId="46967"/>
    <cellStyle name="20% - 强调文字颜色 3 3 2 3 4" xfId="46968"/>
    <cellStyle name="20% - 强调文字颜色 3 3 2 4" xfId="46969"/>
    <cellStyle name="20% - 强调文字颜色 3 3 2 5" xfId="46970"/>
    <cellStyle name="20% - 强调文字颜色 3 3 2 5 2" xfId="46971"/>
    <cellStyle name="20% - 强调文字颜色 3 3 2 5 2 2" xfId="46972"/>
    <cellStyle name="20% - 强调文字颜色 3 3 2 5 3" xfId="46973"/>
    <cellStyle name="20% - 强调文字颜色 3 3 2 6" xfId="46974"/>
    <cellStyle name="20% - 强调文字颜色 3 3 2 6 2" xfId="46975"/>
    <cellStyle name="20% - 强调文字颜色 3 3 2 6 2 2" xfId="46976"/>
    <cellStyle name="20% - 强调文字颜色 3 3 2 6 3" xfId="46977"/>
    <cellStyle name="20% - 强调文字颜色 3 3 2 7" xfId="46978"/>
    <cellStyle name="20% - 强调文字颜色 3 3 2 7 2" xfId="46979"/>
    <cellStyle name="20% - 强调文字颜色 3 3 2 7 2 2" xfId="46980"/>
    <cellStyle name="20% - 强调文字颜色 3 3 2 7 3" xfId="46981"/>
    <cellStyle name="20% - 强调文字颜色 3 3 3" xfId="983"/>
    <cellStyle name="20% - 强调文字颜色 3 3 3 2" xfId="46982"/>
    <cellStyle name="20% - 强调文字颜色 3 3 3 2 2" xfId="46983"/>
    <cellStyle name="20% - 强调文字颜色 3 3 3 2 2 2" xfId="46984"/>
    <cellStyle name="20% - 强调文字颜色 3 3 3 2 3" xfId="46985"/>
    <cellStyle name="20% - 强调文字颜色 3 3 3 3" xfId="46986"/>
    <cellStyle name="20% - 强调文字颜色 3 3 3 3 2" xfId="46987"/>
    <cellStyle name="20% - 强调文字颜色 3 3 3 3 2 2" xfId="46988"/>
    <cellStyle name="20% - 强调文字颜色 3 3 3 3 3" xfId="46989"/>
    <cellStyle name="20% - 强调文字颜色 3 3 3 4" xfId="46990"/>
    <cellStyle name="20% - 强调文字颜色 3 3 3 4 2" xfId="46991"/>
    <cellStyle name="20% - 强调文字颜色 3 3 3 4 2 2" xfId="46992"/>
    <cellStyle name="20% - 强调文字颜色 3 3 3 4 3" xfId="46993"/>
    <cellStyle name="20% - 强调文字颜色 3 3 3 5" xfId="46994"/>
    <cellStyle name="20% - 强调文字颜色 3 3 3 5 2" xfId="46995"/>
    <cellStyle name="20% - 强调文字颜色 3 3 4" xfId="984"/>
    <cellStyle name="20% - 强调文字颜色 3 3 4 2" xfId="46996"/>
    <cellStyle name="20% - 强调文字颜色 3 3 4 2 2" xfId="46997"/>
    <cellStyle name="20% - 强调文字颜色 3 3 4 2 2 2" xfId="46998"/>
    <cellStyle name="20% - 强调文字颜色 3 3 4 2 3" xfId="46999"/>
    <cellStyle name="20% - 强调文字颜色 3 3 4 3" xfId="47000"/>
    <cellStyle name="20% - 强调文字颜色 3 3 4 3 2" xfId="47001"/>
    <cellStyle name="20% - 强调文字颜色 3 3 4 3 2 2" xfId="47002"/>
    <cellStyle name="20% - 强调文字颜色 3 3 4 3 3" xfId="47003"/>
    <cellStyle name="20% - 强调文字颜色 3 3 4 4" xfId="47004"/>
    <cellStyle name="20% - 强调文字颜色 3 3 4 4 2" xfId="47005"/>
    <cellStyle name="20% - 强调文字颜色 3 3 4 4 2 2" xfId="47006"/>
    <cellStyle name="20% - 强调文字颜色 3 3 4 4 3" xfId="47007"/>
    <cellStyle name="20% - 强调文字颜色 3 3 4 5" xfId="47008"/>
    <cellStyle name="20% - 强调文字颜色 3 3 4 5 2" xfId="47009"/>
    <cellStyle name="20% - 强调文字颜色 3 3 5" xfId="985"/>
    <cellStyle name="20% - 强调文字颜色 3 3 5 2" xfId="47010"/>
    <cellStyle name="20% - 强调文字颜色 3 3 5 2 2" xfId="47011"/>
    <cellStyle name="20% - 强调文字颜色 3 3 5 2 2 2" xfId="47012"/>
    <cellStyle name="20% - 强调文字颜色 3 3 5 2 3" xfId="47013"/>
    <cellStyle name="20% - 强调文字颜色 3 3 5 3" xfId="47014"/>
    <cellStyle name="20% - 强调文字颜色 3 3 5 3 2" xfId="47015"/>
    <cellStyle name="20% - 强调文字颜色 3 3 5 3 2 2" xfId="47016"/>
    <cellStyle name="20% - 强调文字颜色 3 3 5 3 3" xfId="47017"/>
    <cellStyle name="20% - 强调文字颜色 3 3 5 4" xfId="47018"/>
    <cellStyle name="20% - 强调文字颜色 3 3 5 4 2" xfId="47019"/>
    <cellStyle name="20% - 强调文字颜色 3 3 5 4 2 2" xfId="47020"/>
    <cellStyle name="20% - 强调文字颜色 3 3 5 4 3" xfId="47021"/>
    <cellStyle name="20% - 强调文字颜色 3 3 5 5" xfId="47022"/>
    <cellStyle name="20% - 强调文字颜色 3 3 5 5 2" xfId="47023"/>
    <cellStyle name="20% - 强调文字颜色 3 3 5 6" xfId="47024"/>
    <cellStyle name="20% - 强调文字颜色 3 3 6" xfId="986"/>
    <cellStyle name="20% - 强调文字颜色 3 3 6 2" xfId="47025"/>
    <cellStyle name="20% - 强调文字颜色 3 3 6 2 2" xfId="47026"/>
    <cellStyle name="20% - 强调文字颜色 3 3 6 2 2 2" xfId="47027"/>
    <cellStyle name="20% - 强调文字颜色 3 3 6 2 3" xfId="47028"/>
    <cellStyle name="20% - 强调文字颜色 3 3 6 3" xfId="47029"/>
    <cellStyle name="20% - 强调文字颜色 3 3 6 3 2" xfId="47030"/>
    <cellStyle name="20% - 强调文字颜色 3 3 6 3 2 2" xfId="47031"/>
    <cellStyle name="20% - 强调文字颜色 3 3 6 3 3" xfId="47032"/>
    <cellStyle name="20% - 强调文字颜色 3 3 6 4" xfId="47033"/>
    <cellStyle name="20% - 强调文字颜色 3 3 6 4 2" xfId="47034"/>
    <cellStyle name="20% - 强调文字颜色 3 3 6 4 2 2" xfId="47035"/>
    <cellStyle name="20% - 强调文字颜色 3 3 6 4 3" xfId="47036"/>
    <cellStyle name="20% - 强调文字颜色 3 3 6 5" xfId="47037"/>
    <cellStyle name="20% - 强调文字颜色 3 3 6 5 2" xfId="47038"/>
    <cellStyle name="20% - 强调文字颜色 3 3 6 6" xfId="47039"/>
    <cellStyle name="20% - 强调文字颜色 3 3 7" xfId="987"/>
    <cellStyle name="20% - 强调文字颜色 3 3 7 2" xfId="47040"/>
    <cellStyle name="20% - 强调文字颜色 3 3 7 2 2" xfId="47041"/>
    <cellStyle name="20% - 强调文字颜色 3 3 7 2 2 2" xfId="47042"/>
    <cellStyle name="20% - 强调文字颜色 3 3 7 2 3" xfId="47043"/>
    <cellStyle name="20% - 强调文字颜色 3 3 7 3" xfId="47044"/>
    <cellStyle name="20% - 强调文字颜色 3 3 7 3 2" xfId="47045"/>
    <cellStyle name="20% - 强调文字颜色 3 3 7 3 2 2" xfId="47046"/>
    <cellStyle name="20% - 强调文字颜色 3 3 7 3 3" xfId="47047"/>
    <cellStyle name="20% - 强调文字颜色 3 3 7 4" xfId="47048"/>
    <cellStyle name="20% - 强调文字颜色 3 3 7 4 2" xfId="47049"/>
    <cellStyle name="20% - 强调文字颜色 3 3 7 4 2 2" xfId="47050"/>
    <cellStyle name="20% - 强调文字颜色 3 3 7 4 3" xfId="47051"/>
    <cellStyle name="20% - 强调文字颜色 3 3 7 5" xfId="47052"/>
    <cellStyle name="20% - 强调文字颜色 3 3 7 5 2" xfId="47053"/>
    <cellStyle name="20% - 强调文字颜色 3 3 7 6" xfId="47054"/>
    <cellStyle name="20% - 强调文字颜色 3 3 8" xfId="5639"/>
    <cellStyle name="20% - 强调文字颜色 3 3 8 2" xfId="47055"/>
    <cellStyle name="20% - 强调文字颜色 3 3 8 2 2" xfId="47056"/>
    <cellStyle name="20% - 强调文字颜色 3 3 8 2 2 2" xfId="47057"/>
    <cellStyle name="20% - 强调文字颜色 3 3 8 2 3" xfId="47058"/>
    <cellStyle name="20% - 强调文字颜色 3 3 8 3" xfId="47059"/>
    <cellStyle name="20% - 强调文字颜色 3 3 8 3 2" xfId="47060"/>
    <cellStyle name="20% - 强调文字颜色 3 3 8 3 2 2" xfId="47061"/>
    <cellStyle name="20% - 强调文字颜色 3 3 8 3 3" xfId="47062"/>
    <cellStyle name="20% - 强调文字颜色 3 3 8 4" xfId="47063"/>
    <cellStyle name="20% - 强调文字颜色 3 3 8 4 2" xfId="47064"/>
    <cellStyle name="20% - 强调文字颜色 3 3 8 4 2 2" xfId="47065"/>
    <cellStyle name="20% - 强调文字颜色 3 3 8 4 3" xfId="47066"/>
    <cellStyle name="20% - 强调文字颜色 3 3 8 5" xfId="47067"/>
    <cellStyle name="20% - 强调文字颜色 3 3 8 5 2" xfId="47068"/>
    <cellStyle name="20% - 强调文字颜色 3 3 8 6" xfId="47069"/>
    <cellStyle name="20% - 强调文字颜色 3 3 9" xfId="47070"/>
    <cellStyle name="20% - 强调文字颜色 3 3 9 2" xfId="47071"/>
    <cellStyle name="20% - 强调文字颜色 3 3 9 2 2" xfId="47072"/>
    <cellStyle name="20% - 强调文字颜色 3 3 9 2 2 2" xfId="47073"/>
    <cellStyle name="20% - 强调文字颜色 3 3 9 2 3" xfId="47074"/>
    <cellStyle name="20% - 强调文字颜色 3 3 9 3" xfId="47075"/>
    <cellStyle name="20% - 强调文字颜色 3 3 9 3 2" xfId="47076"/>
    <cellStyle name="20% - 强调文字颜色 3 3 9 4" xfId="47077"/>
    <cellStyle name="20% - 强调文字颜色 3 4" xfId="988"/>
    <cellStyle name="20% - 强调文字颜色 3 4 2" xfId="5642"/>
    <cellStyle name="20% - 强调文字颜色 3 4 3" xfId="5641"/>
    <cellStyle name="20% - 强调文字颜色 3 4 4" xfId="47078"/>
    <cellStyle name="20% - 强调文字颜色 3 5" xfId="47079"/>
    <cellStyle name="20% - 强调文字颜色 3 6" xfId="47080"/>
    <cellStyle name="20% - 强调文字颜色 3 7" xfId="47081"/>
    <cellStyle name="20% - 强调文字颜色 3 7 2" xfId="47082"/>
    <cellStyle name="20% - 强调文字颜色 4 2" xfId="83"/>
    <cellStyle name="20% - 强调文字颜色 4 2 2" xfId="989"/>
    <cellStyle name="20% - 强调文字颜色 4 2 2 2" xfId="990"/>
    <cellStyle name="20% - 强调文字颜色 4 2 2 2 2" xfId="5645"/>
    <cellStyle name="20% - 强调文字颜色 4 2 2 2 3" xfId="47083"/>
    <cellStyle name="20% - 强调文字颜色 4 2 2 2 4" xfId="47084"/>
    <cellStyle name="20% - 强调文字颜色 4 2 2 3" xfId="991"/>
    <cellStyle name="20% - 强调文字颜色 4 2 2 4" xfId="5644"/>
    <cellStyle name="20% - 强调文字颜色 4 2 2 5" xfId="47085"/>
    <cellStyle name="20% - 强调文字颜色 4 2 2 6" xfId="60850"/>
    <cellStyle name="20% - 强调文字颜色 4 2 2_2013年_1" xfId="23419"/>
    <cellStyle name="20% - 强调文字颜色 4 2 3" xfId="992"/>
    <cellStyle name="20% - 强调文字颜色 4 2 3 2" xfId="5646"/>
    <cellStyle name="20% - 强调文字颜色 4 2 4" xfId="47086"/>
    <cellStyle name="20% - 强调文字颜色 4 2 5" xfId="47087"/>
    <cellStyle name="20% - 强调文字颜色 4 2 6" xfId="47088"/>
    <cellStyle name="20% - 强调文字颜色 4 2 7" xfId="47089"/>
    <cellStyle name="20% - 强调文字颜色 4 2 8" xfId="727"/>
    <cellStyle name="20% - 强调文字颜色 4 2 9" xfId="60849"/>
    <cellStyle name="20% - 强调文字颜色 4 3" xfId="993"/>
    <cellStyle name="20% - 强调文字颜色 4 3 10" xfId="47090"/>
    <cellStyle name="20% - 强调文字颜色 4 3 11" xfId="47091"/>
    <cellStyle name="20% - 强调文字颜色 4 3 11 2" xfId="47092"/>
    <cellStyle name="20% - 强调文字颜色 4 3 11 2 2" xfId="47093"/>
    <cellStyle name="20% - 强调文字颜色 4 3 11 3" xfId="47094"/>
    <cellStyle name="20% - 强调文字颜色 4 3 12" xfId="47095"/>
    <cellStyle name="20% - 强调文字颜色 4 3 12 2" xfId="47096"/>
    <cellStyle name="20% - 强调文字颜色 4 3 12 2 2" xfId="47097"/>
    <cellStyle name="20% - 强调文字颜色 4 3 13" xfId="47098"/>
    <cellStyle name="20% - 强调文字颜色 4 3 13 2" xfId="47099"/>
    <cellStyle name="20% - 强调文字颜色 4 3 13 2 2" xfId="47100"/>
    <cellStyle name="20% - 强调文字颜色 4 3 13 3" xfId="47101"/>
    <cellStyle name="20% - 强调文字颜色 4 3 14" xfId="47102"/>
    <cellStyle name="20% - 强调文字颜色 4 3 2" xfId="994"/>
    <cellStyle name="20% - 强调文字颜色 4 3 2 2" xfId="995"/>
    <cellStyle name="20% - 强调文字颜色 4 3 2 3" xfId="5648"/>
    <cellStyle name="20% - 强调文字颜色 4 3 2 3 2" xfId="47103"/>
    <cellStyle name="20% - 强调文字颜色 4 3 2 3 2 2" xfId="47104"/>
    <cellStyle name="20% - 强调文字颜色 4 3 2 3 2 2 2" xfId="47105"/>
    <cellStyle name="20% - 强调文字颜色 4 3 2 3 2 3" xfId="47106"/>
    <cellStyle name="20% - 强调文字颜色 4 3 2 3 3" xfId="47107"/>
    <cellStyle name="20% - 强调文字颜色 4 3 2 3 3 2" xfId="47108"/>
    <cellStyle name="20% - 强调文字颜色 4 3 2 3 4" xfId="47109"/>
    <cellStyle name="20% - 强调文字颜色 4 3 2 4" xfId="47110"/>
    <cellStyle name="20% - 强调文字颜色 4 3 2 5" xfId="47111"/>
    <cellStyle name="20% - 强调文字颜色 4 3 2 5 2" xfId="47112"/>
    <cellStyle name="20% - 强调文字颜色 4 3 2 5 2 2" xfId="47113"/>
    <cellStyle name="20% - 强调文字颜色 4 3 2 5 3" xfId="47114"/>
    <cellStyle name="20% - 强调文字颜色 4 3 2 6" xfId="47115"/>
    <cellStyle name="20% - 强调文字颜色 4 3 2 6 2" xfId="47116"/>
    <cellStyle name="20% - 强调文字颜色 4 3 2 6 2 2" xfId="47117"/>
    <cellStyle name="20% - 强调文字颜色 4 3 2 6 3" xfId="47118"/>
    <cellStyle name="20% - 强调文字颜色 4 3 2 7" xfId="47119"/>
    <cellStyle name="20% - 强调文字颜色 4 3 2 7 2" xfId="47120"/>
    <cellStyle name="20% - 强调文字颜色 4 3 2 7 2 2" xfId="47121"/>
    <cellStyle name="20% - 强调文字颜色 4 3 2 7 3" xfId="47122"/>
    <cellStyle name="20% - 强调文字颜色 4 3 3" xfId="996"/>
    <cellStyle name="20% - 强调文字颜色 4 3 3 2" xfId="47123"/>
    <cellStyle name="20% - 强调文字颜色 4 3 3 2 2" xfId="47124"/>
    <cellStyle name="20% - 强调文字颜色 4 3 3 2 2 2" xfId="47125"/>
    <cellStyle name="20% - 强调文字颜色 4 3 3 2 3" xfId="47126"/>
    <cellStyle name="20% - 强调文字颜色 4 3 3 3" xfId="47127"/>
    <cellStyle name="20% - 强调文字颜色 4 3 3 3 2" xfId="47128"/>
    <cellStyle name="20% - 强调文字颜色 4 3 3 3 2 2" xfId="47129"/>
    <cellStyle name="20% - 强调文字颜色 4 3 3 3 3" xfId="47130"/>
    <cellStyle name="20% - 强调文字颜色 4 3 3 4" xfId="47131"/>
    <cellStyle name="20% - 强调文字颜色 4 3 3 4 2" xfId="47132"/>
    <cellStyle name="20% - 强调文字颜色 4 3 3 4 2 2" xfId="47133"/>
    <cellStyle name="20% - 强调文字颜色 4 3 3 4 3" xfId="47134"/>
    <cellStyle name="20% - 强调文字颜色 4 3 3 5" xfId="47135"/>
    <cellStyle name="20% - 强调文字颜色 4 3 3 5 2" xfId="47136"/>
    <cellStyle name="20% - 强调文字颜色 4 3 4" xfId="997"/>
    <cellStyle name="20% - 强调文字颜色 4 3 4 2" xfId="47137"/>
    <cellStyle name="20% - 强调文字颜色 4 3 4 2 2" xfId="47138"/>
    <cellStyle name="20% - 强调文字颜色 4 3 4 2 2 2" xfId="47139"/>
    <cellStyle name="20% - 强调文字颜色 4 3 4 2 3" xfId="47140"/>
    <cellStyle name="20% - 强调文字颜色 4 3 4 3" xfId="47141"/>
    <cellStyle name="20% - 强调文字颜色 4 3 4 3 2" xfId="47142"/>
    <cellStyle name="20% - 强调文字颜色 4 3 4 3 2 2" xfId="47143"/>
    <cellStyle name="20% - 强调文字颜色 4 3 4 3 3" xfId="47144"/>
    <cellStyle name="20% - 强调文字颜色 4 3 4 4" xfId="47145"/>
    <cellStyle name="20% - 强调文字颜色 4 3 4 4 2" xfId="47146"/>
    <cellStyle name="20% - 强调文字颜色 4 3 4 4 2 2" xfId="47147"/>
    <cellStyle name="20% - 强调文字颜色 4 3 4 4 3" xfId="47148"/>
    <cellStyle name="20% - 强调文字颜色 4 3 4 5" xfId="47149"/>
    <cellStyle name="20% - 强调文字颜色 4 3 4 5 2" xfId="47150"/>
    <cellStyle name="20% - 强调文字颜色 4 3 5" xfId="998"/>
    <cellStyle name="20% - 强调文字颜色 4 3 5 2" xfId="47151"/>
    <cellStyle name="20% - 强调文字颜色 4 3 5 2 2" xfId="47152"/>
    <cellStyle name="20% - 强调文字颜色 4 3 5 2 2 2" xfId="47153"/>
    <cellStyle name="20% - 强调文字颜色 4 3 5 2 3" xfId="47154"/>
    <cellStyle name="20% - 强调文字颜色 4 3 5 3" xfId="47155"/>
    <cellStyle name="20% - 强调文字颜色 4 3 5 3 2" xfId="47156"/>
    <cellStyle name="20% - 强调文字颜色 4 3 5 3 2 2" xfId="47157"/>
    <cellStyle name="20% - 强调文字颜色 4 3 5 3 3" xfId="47158"/>
    <cellStyle name="20% - 强调文字颜色 4 3 5 4" xfId="47159"/>
    <cellStyle name="20% - 强调文字颜色 4 3 5 4 2" xfId="47160"/>
    <cellStyle name="20% - 强调文字颜色 4 3 5 4 2 2" xfId="47161"/>
    <cellStyle name="20% - 强调文字颜色 4 3 5 4 3" xfId="47162"/>
    <cellStyle name="20% - 强调文字颜色 4 3 5 5" xfId="47163"/>
    <cellStyle name="20% - 强调文字颜色 4 3 5 5 2" xfId="47164"/>
    <cellStyle name="20% - 强调文字颜色 4 3 5 6" xfId="47165"/>
    <cellStyle name="20% - 强调文字颜色 4 3 6" xfId="999"/>
    <cellStyle name="20% - 强调文字颜色 4 3 6 2" xfId="47166"/>
    <cellStyle name="20% - 强调文字颜色 4 3 6 2 2" xfId="47167"/>
    <cellStyle name="20% - 强调文字颜色 4 3 6 2 2 2" xfId="47168"/>
    <cellStyle name="20% - 强调文字颜色 4 3 6 2 3" xfId="47169"/>
    <cellStyle name="20% - 强调文字颜色 4 3 6 3" xfId="47170"/>
    <cellStyle name="20% - 强调文字颜色 4 3 6 3 2" xfId="47171"/>
    <cellStyle name="20% - 强调文字颜色 4 3 6 3 2 2" xfId="47172"/>
    <cellStyle name="20% - 强调文字颜色 4 3 6 3 3" xfId="47173"/>
    <cellStyle name="20% - 强调文字颜色 4 3 6 4" xfId="47174"/>
    <cellStyle name="20% - 强调文字颜色 4 3 6 4 2" xfId="47175"/>
    <cellStyle name="20% - 强调文字颜色 4 3 6 4 2 2" xfId="47176"/>
    <cellStyle name="20% - 强调文字颜色 4 3 6 4 3" xfId="47177"/>
    <cellStyle name="20% - 强调文字颜色 4 3 6 5" xfId="47178"/>
    <cellStyle name="20% - 强调文字颜色 4 3 6 5 2" xfId="47179"/>
    <cellStyle name="20% - 强调文字颜色 4 3 6 6" xfId="47180"/>
    <cellStyle name="20% - 强调文字颜色 4 3 7" xfId="1000"/>
    <cellStyle name="20% - 强调文字颜色 4 3 7 2" xfId="47181"/>
    <cellStyle name="20% - 强调文字颜色 4 3 7 2 2" xfId="47182"/>
    <cellStyle name="20% - 强调文字颜色 4 3 7 2 2 2" xfId="47183"/>
    <cellStyle name="20% - 强调文字颜色 4 3 7 2 3" xfId="47184"/>
    <cellStyle name="20% - 强调文字颜色 4 3 7 3" xfId="47185"/>
    <cellStyle name="20% - 强调文字颜色 4 3 7 3 2" xfId="47186"/>
    <cellStyle name="20% - 强调文字颜色 4 3 7 3 2 2" xfId="47187"/>
    <cellStyle name="20% - 强调文字颜色 4 3 7 3 3" xfId="47188"/>
    <cellStyle name="20% - 强调文字颜色 4 3 7 4" xfId="47189"/>
    <cellStyle name="20% - 强调文字颜色 4 3 7 4 2" xfId="47190"/>
    <cellStyle name="20% - 强调文字颜色 4 3 7 4 2 2" xfId="47191"/>
    <cellStyle name="20% - 强调文字颜色 4 3 7 4 3" xfId="47192"/>
    <cellStyle name="20% - 强调文字颜色 4 3 7 5" xfId="47193"/>
    <cellStyle name="20% - 强调文字颜色 4 3 7 5 2" xfId="47194"/>
    <cellStyle name="20% - 强调文字颜色 4 3 7 6" xfId="47195"/>
    <cellStyle name="20% - 强调文字颜色 4 3 8" xfId="5647"/>
    <cellStyle name="20% - 强调文字颜色 4 3 8 2" xfId="47196"/>
    <cellStyle name="20% - 强调文字颜色 4 3 8 2 2" xfId="47197"/>
    <cellStyle name="20% - 强调文字颜色 4 3 8 2 2 2" xfId="47198"/>
    <cellStyle name="20% - 强调文字颜色 4 3 8 2 3" xfId="47199"/>
    <cellStyle name="20% - 强调文字颜色 4 3 8 3" xfId="47200"/>
    <cellStyle name="20% - 强调文字颜色 4 3 8 3 2" xfId="47201"/>
    <cellStyle name="20% - 强调文字颜色 4 3 8 3 2 2" xfId="47202"/>
    <cellStyle name="20% - 强调文字颜色 4 3 8 3 3" xfId="47203"/>
    <cellStyle name="20% - 强调文字颜色 4 3 8 4" xfId="47204"/>
    <cellStyle name="20% - 强调文字颜色 4 3 8 4 2" xfId="47205"/>
    <cellStyle name="20% - 强调文字颜色 4 3 8 4 2 2" xfId="47206"/>
    <cellStyle name="20% - 强调文字颜色 4 3 8 4 3" xfId="47207"/>
    <cellStyle name="20% - 强调文字颜色 4 3 8 5" xfId="47208"/>
    <cellStyle name="20% - 强调文字颜色 4 3 8 5 2" xfId="47209"/>
    <cellStyle name="20% - 强调文字颜色 4 3 8 6" xfId="47210"/>
    <cellStyle name="20% - 强调文字颜色 4 3 9" xfId="47211"/>
    <cellStyle name="20% - 强调文字颜色 4 3 9 2" xfId="47212"/>
    <cellStyle name="20% - 强调文字颜色 4 3 9 2 2" xfId="47213"/>
    <cellStyle name="20% - 强调文字颜色 4 3 9 2 2 2" xfId="47214"/>
    <cellStyle name="20% - 强调文字颜色 4 3 9 2 3" xfId="47215"/>
    <cellStyle name="20% - 强调文字颜色 4 3 9 3" xfId="47216"/>
    <cellStyle name="20% - 强调文字颜色 4 3 9 3 2" xfId="47217"/>
    <cellStyle name="20% - 强调文字颜色 4 3 9 4" xfId="47218"/>
    <cellStyle name="20% - 强调文字颜色 4 4" xfId="1001"/>
    <cellStyle name="20% - 强调文字颜色 4 4 2" xfId="5650"/>
    <cellStyle name="20% - 强调文字颜色 4 4 3" xfId="5649"/>
    <cellStyle name="20% - 强调文字颜色 4 4 4" xfId="47219"/>
    <cellStyle name="20% - 强调文字颜色 4 5" xfId="47220"/>
    <cellStyle name="20% - 强调文字颜色 4 6" xfId="47221"/>
    <cellStyle name="20% - 强调文字颜色 4 7" xfId="47222"/>
    <cellStyle name="20% - 强调文字颜色 4 7 2" xfId="47223"/>
    <cellStyle name="20% - 强调文字颜色 5 2" xfId="84"/>
    <cellStyle name="20% - 强调文字颜色 5 2 2" xfId="1002"/>
    <cellStyle name="20% - 强调文字颜色 5 2 2 2" xfId="1003"/>
    <cellStyle name="20% - 强调文字颜色 5 2 2 2 2" xfId="5653"/>
    <cellStyle name="20% - 强调文字颜色 5 2 2 2 3" xfId="47224"/>
    <cellStyle name="20% - 强调文字颜色 5 2 2 2 4" xfId="47225"/>
    <cellStyle name="20% - 强调文字颜色 5 2 2 3" xfId="1004"/>
    <cellStyle name="20% - 强调文字颜色 5 2 2 4" xfId="5652"/>
    <cellStyle name="20% - 强调文字颜色 5 2 2 5" xfId="47226"/>
    <cellStyle name="20% - 强调文字颜色 5 2 2 6" xfId="60852"/>
    <cellStyle name="20% - 强调文字颜色 5 2 3" xfId="1005"/>
    <cellStyle name="20% - 强调文字颜色 5 2 3 2" xfId="5654"/>
    <cellStyle name="20% - 强调文字颜色 5 2 3 3" xfId="47227"/>
    <cellStyle name="20% - 强调文字颜色 5 2 4" xfId="47228"/>
    <cellStyle name="20% - 强调文字颜色 5 2 5" xfId="47229"/>
    <cellStyle name="20% - 强调文字颜色 5 2 6" xfId="47230"/>
    <cellStyle name="20% - 强调文字颜色 5 2 7" xfId="47231"/>
    <cellStyle name="20% - 强调文字颜色 5 2 8" xfId="728"/>
    <cellStyle name="20% - 强调文字颜色 5 2 9" xfId="60851"/>
    <cellStyle name="20% - 强调文字颜色 5 3" xfId="1006"/>
    <cellStyle name="20% - 强调文字颜色 5 3 10" xfId="47232"/>
    <cellStyle name="20% - 强调文字颜色 5 3 11" xfId="47233"/>
    <cellStyle name="20% - 强调文字颜色 5 3 11 2" xfId="47234"/>
    <cellStyle name="20% - 强调文字颜色 5 3 11 2 2" xfId="47235"/>
    <cellStyle name="20% - 强调文字颜色 5 3 11 3" xfId="47236"/>
    <cellStyle name="20% - 强调文字颜色 5 3 12" xfId="47237"/>
    <cellStyle name="20% - 强调文字颜色 5 3 12 2" xfId="47238"/>
    <cellStyle name="20% - 强调文字颜色 5 3 12 2 2" xfId="47239"/>
    <cellStyle name="20% - 强调文字颜色 5 3 13" xfId="47240"/>
    <cellStyle name="20% - 强调文字颜色 5 3 13 2" xfId="47241"/>
    <cellStyle name="20% - 强调文字颜色 5 3 13 2 2" xfId="47242"/>
    <cellStyle name="20% - 强调文字颜色 5 3 13 3" xfId="47243"/>
    <cellStyle name="20% - 强调文字颜色 5 3 2" xfId="1007"/>
    <cellStyle name="20% - 强调文字颜色 5 3 2 2" xfId="5656"/>
    <cellStyle name="20% - 强调文字颜色 5 3 2 2 2" xfId="47244"/>
    <cellStyle name="20% - 强调文字颜色 5 3 2 2 2 2" xfId="47245"/>
    <cellStyle name="20% - 强调文字颜色 5 3 2 2 2 2 2" xfId="47246"/>
    <cellStyle name="20% - 强调文字颜色 5 3 2 2 2 3" xfId="47247"/>
    <cellStyle name="20% - 强调文字颜色 5 3 2 2 3" xfId="47248"/>
    <cellStyle name="20% - 强调文字颜色 5 3 2 2 3 2" xfId="47249"/>
    <cellStyle name="20% - 强调文字颜色 5 3 2 2 4" xfId="47250"/>
    <cellStyle name="20% - 强调文字颜色 5 3 2 3" xfId="47251"/>
    <cellStyle name="20% - 强调文字颜色 5 3 2 4" xfId="47252"/>
    <cellStyle name="20% - 强调文字颜色 5 3 2 4 2" xfId="47253"/>
    <cellStyle name="20% - 强调文字颜色 5 3 2 4 2 2" xfId="47254"/>
    <cellStyle name="20% - 强调文字颜色 5 3 2 4 3" xfId="47255"/>
    <cellStyle name="20% - 强调文字颜色 5 3 2 5" xfId="47256"/>
    <cellStyle name="20% - 强调文字颜色 5 3 2 5 2" xfId="47257"/>
    <cellStyle name="20% - 强调文字颜色 5 3 2 5 2 2" xfId="47258"/>
    <cellStyle name="20% - 强调文字颜色 5 3 2 5 3" xfId="47259"/>
    <cellStyle name="20% - 强调文字颜色 5 3 2 6" xfId="47260"/>
    <cellStyle name="20% - 强调文字颜色 5 3 2 6 2" xfId="47261"/>
    <cellStyle name="20% - 强调文字颜色 5 3 2 6 2 2" xfId="47262"/>
    <cellStyle name="20% - 强调文字颜色 5 3 2 6 3" xfId="47263"/>
    <cellStyle name="20% - 强调文字颜色 5 3 3" xfId="1008"/>
    <cellStyle name="20% - 强调文字颜色 5 3 3 2" xfId="47264"/>
    <cellStyle name="20% - 强调文字颜色 5 3 3 2 2" xfId="47265"/>
    <cellStyle name="20% - 强调文字颜色 5 3 3 2 2 2" xfId="47266"/>
    <cellStyle name="20% - 强调文字颜色 5 3 3 2 3" xfId="47267"/>
    <cellStyle name="20% - 强调文字颜色 5 3 3 3" xfId="47268"/>
    <cellStyle name="20% - 强调文字颜色 5 3 3 3 2" xfId="47269"/>
    <cellStyle name="20% - 强调文字颜色 5 3 3 3 2 2" xfId="47270"/>
    <cellStyle name="20% - 强调文字颜色 5 3 3 3 3" xfId="47271"/>
    <cellStyle name="20% - 强调文字颜色 5 3 3 4" xfId="47272"/>
    <cellStyle name="20% - 强调文字颜色 5 3 3 4 2" xfId="47273"/>
    <cellStyle name="20% - 强调文字颜色 5 3 3 4 2 2" xfId="47274"/>
    <cellStyle name="20% - 强调文字颜色 5 3 3 4 3" xfId="47275"/>
    <cellStyle name="20% - 强调文字颜色 5 3 3 5" xfId="47276"/>
    <cellStyle name="20% - 强调文字颜色 5 3 3 5 2" xfId="47277"/>
    <cellStyle name="20% - 强调文字颜色 5 3 4" xfId="1009"/>
    <cellStyle name="20% - 强调文字颜色 5 3 4 2" xfId="47278"/>
    <cellStyle name="20% - 强调文字颜色 5 3 4 2 2" xfId="47279"/>
    <cellStyle name="20% - 强调文字颜色 5 3 4 2 2 2" xfId="47280"/>
    <cellStyle name="20% - 强调文字颜色 5 3 4 2 3" xfId="47281"/>
    <cellStyle name="20% - 强调文字颜色 5 3 4 3" xfId="47282"/>
    <cellStyle name="20% - 强调文字颜色 5 3 4 3 2" xfId="47283"/>
    <cellStyle name="20% - 强调文字颜色 5 3 4 3 2 2" xfId="47284"/>
    <cellStyle name="20% - 强调文字颜色 5 3 4 3 3" xfId="47285"/>
    <cellStyle name="20% - 强调文字颜色 5 3 4 4" xfId="47286"/>
    <cellStyle name="20% - 强调文字颜色 5 3 4 4 2" xfId="47287"/>
    <cellStyle name="20% - 强调文字颜色 5 3 4 4 2 2" xfId="47288"/>
    <cellStyle name="20% - 强调文字颜色 5 3 4 4 3" xfId="47289"/>
    <cellStyle name="20% - 强调文字颜色 5 3 4 5" xfId="47290"/>
    <cellStyle name="20% - 强调文字颜色 5 3 4 5 2" xfId="47291"/>
    <cellStyle name="20% - 强调文字颜色 5 3 5" xfId="1010"/>
    <cellStyle name="20% - 强调文字颜色 5 3 5 2" xfId="47292"/>
    <cellStyle name="20% - 强调文字颜色 5 3 5 2 2" xfId="47293"/>
    <cellStyle name="20% - 强调文字颜色 5 3 5 2 2 2" xfId="47294"/>
    <cellStyle name="20% - 强调文字颜色 5 3 5 2 3" xfId="47295"/>
    <cellStyle name="20% - 强调文字颜色 5 3 5 3" xfId="47296"/>
    <cellStyle name="20% - 强调文字颜色 5 3 5 3 2" xfId="47297"/>
    <cellStyle name="20% - 强调文字颜色 5 3 5 3 2 2" xfId="47298"/>
    <cellStyle name="20% - 强调文字颜色 5 3 5 3 3" xfId="47299"/>
    <cellStyle name="20% - 强调文字颜色 5 3 5 4" xfId="47300"/>
    <cellStyle name="20% - 强调文字颜色 5 3 5 4 2" xfId="47301"/>
    <cellStyle name="20% - 强调文字颜色 5 3 5 4 2 2" xfId="47302"/>
    <cellStyle name="20% - 强调文字颜色 5 3 5 4 3" xfId="47303"/>
    <cellStyle name="20% - 强调文字颜色 5 3 5 5" xfId="47304"/>
    <cellStyle name="20% - 强调文字颜色 5 3 5 5 2" xfId="47305"/>
    <cellStyle name="20% - 强调文字颜色 5 3 5 6" xfId="47306"/>
    <cellStyle name="20% - 强调文字颜色 5 3 6" xfId="1011"/>
    <cellStyle name="20% - 强调文字颜色 5 3 6 2" xfId="47307"/>
    <cellStyle name="20% - 强调文字颜色 5 3 6 2 2" xfId="47308"/>
    <cellStyle name="20% - 强调文字颜色 5 3 6 2 2 2" xfId="47309"/>
    <cellStyle name="20% - 强调文字颜色 5 3 6 2 3" xfId="47310"/>
    <cellStyle name="20% - 强调文字颜色 5 3 6 3" xfId="47311"/>
    <cellStyle name="20% - 强调文字颜色 5 3 6 3 2" xfId="47312"/>
    <cellStyle name="20% - 强调文字颜色 5 3 6 3 2 2" xfId="47313"/>
    <cellStyle name="20% - 强调文字颜色 5 3 6 3 3" xfId="47314"/>
    <cellStyle name="20% - 强调文字颜色 5 3 6 4" xfId="47315"/>
    <cellStyle name="20% - 强调文字颜色 5 3 6 4 2" xfId="47316"/>
    <cellStyle name="20% - 强调文字颜色 5 3 6 4 2 2" xfId="47317"/>
    <cellStyle name="20% - 强调文字颜色 5 3 6 4 3" xfId="47318"/>
    <cellStyle name="20% - 强调文字颜色 5 3 6 5" xfId="47319"/>
    <cellStyle name="20% - 强调文字颜色 5 3 6 5 2" xfId="47320"/>
    <cellStyle name="20% - 强调文字颜色 5 3 6 6" xfId="47321"/>
    <cellStyle name="20% - 强调文字颜色 5 3 7" xfId="1012"/>
    <cellStyle name="20% - 强调文字颜色 5 3 7 2" xfId="47322"/>
    <cellStyle name="20% - 强调文字颜色 5 3 7 2 2" xfId="47323"/>
    <cellStyle name="20% - 强调文字颜色 5 3 7 2 2 2" xfId="47324"/>
    <cellStyle name="20% - 强调文字颜色 5 3 7 2 3" xfId="47325"/>
    <cellStyle name="20% - 强调文字颜色 5 3 7 3" xfId="47326"/>
    <cellStyle name="20% - 强调文字颜色 5 3 7 3 2" xfId="47327"/>
    <cellStyle name="20% - 强调文字颜色 5 3 7 3 2 2" xfId="47328"/>
    <cellStyle name="20% - 强调文字颜色 5 3 7 3 3" xfId="47329"/>
    <cellStyle name="20% - 强调文字颜色 5 3 7 4" xfId="47330"/>
    <cellStyle name="20% - 强调文字颜色 5 3 7 4 2" xfId="47331"/>
    <cellStyle name="20% - 强调文字颜色 5 3 7 4 2 2" xfId="47332"/>
    <cellStyle name="20% - 强调文字颜色 5 3 7 4 3" xfId="47333"/>
    <cellStyle name="20% - 强调文字颜色 5 3 7 5" xfId="47334"/>
    <cellStyle name="20% - 强调文字颜色 5 3 7 5 2" xfId="47335"/>
    <cellStyle name="20% - 强调文字颜色 5 3 7 6" xfId="47336"/>
    <cellStyle name="20% - 强调文字颜色 5 3 8" xfId="5655"/>
    <cellStyle name="20% - 强调文字颜色 5 3 8 2" xfId="47337"/>
    <cellStyle name="20% - 强调文字颜色 5 3 8 2 2" xfId="47338"/>
    <cellStyle name="20% - 强调文字颜色 5 3 8 2 2 2" xfId="47339"/>
    <cellStyle name="20% - 强调文字颜色 5 3 8 2 3" xfId="47340"/>
    <cellStyle name="20% - 强调文字颜色 5 3 8 3" xfId="47341"/>
    <cellStyle name="20% - 强调文字颜色 5 3 8 3 2" xfId="47342"/>
    <cellStyle name="20% - 强调文字颜色 5 3 8 3 2 2" xfId="47343"/>
    <cellStyle name="20% - 强调文字颜色 5 3 8 3 3" xfId="47344"/>
    <cellStyle name="20% - 强调文字颜色 5 3 8 4" xfId="47345"/>
    <cellStyle name="20% - 强调文字颜色 5 3 8 4 2" xfId="47346"/>
    <cellStyle name="20% - 强调文字颜色 5 3 8 4 2 2" xfId="47347"/>
    <cellStyle name="20% - 强调文字颜色 5 3 8 4 3" xfId="47348"/>
    <cellStyle name="20% - 强调文字颜色 5 3 8 5" xfId="47349"/>
    <cellStyle name="20% - 强调文字颜色 5 3 8 5 2" xfId="47350"/>
    <cellStyle name="20% - 强调文字颜色 5 3 8 6" xfId="47351"/>
    <cellStyle name="20% - 强调文字颜色 5 3 9" xfId="47352"/>
    <cellStyle name="20% - 强调文字颜色 5 3 9 2" xfId="47353"/>
    <cellStyle name="20% - 强调文字颜色 5 3 9 2 2" xfId="47354"/>
    <cellStyle name="20% - 强调文字颜色 5 3 9 2 2 2" xfId="47355"/>
    <cellStyle name="20% - 强调文字颜色 5 3 9 2 3" xfId="47356"/>
    <cellStyle name="20% - 强调文字颜色 5 3 9 3" xfId="47357"/>
    <cellStyle name="20% - 强调文字颜色 5 3 9 3 2" xfId="47358"/>
    <cellStyle name="20% - 强调文字颜色 5 3 9 4" xfId="47359"/>
    <cellStyle name="20% - 强调文字颜色 5 4" xfId="1013"/>
    <cellStyle name="20% - 强调文字颜色 5 4 2" xfId="5658"/>
    <cellStyle name="20% - 强调文字颜色 5 4 3" xfId="5657"/>
    <cellStyle name="20% - 强调文字颜色 5 4 4" xfId="47360"/>
    <cellStyle name="20% - 强调文字颜色 5 5" xfId="47361"/>
    <cellStyle name="20% - 强调文字颜色 5 6" xfId="47362"/>
    <cellStyle name="20% - 强调文字颜色 5 7" xfId="47363"/>
    <cellStyle name="20% - 强调文字颜色 5 7 2" xfId="47364"/>
    <cellStyle name="20% - 强调文字颜色 6 2" xfId="85"/>
    <cellStyle name="20% - 强调文字颜色 6 2 2" xfId="1014"/>
    <cellStyle name="20% - 强调文字颜色 6 2 2 2" xfId="1015"/>
    <cellStyle name="20% - 强调文字颜色 6 2 2 2 2" xfId="5661"/>
    <cellStyle name="20% - 强调文字颜色 6 2 2 2 3" xfId="47365"/>
    <cellStyle name="20% - 强调文字颜色 6 2 2 2 4" xfId="47366"/>
    <cellStyle name="20% - 强调文字颜色 6 2 2 3" xfId="1016"/>
    <cellStyle name="20% - 强调文字颜色 6 2 2 4" xfId="5660"/>
    <cellStyle name="20% - 强调文字颜色 6 2 2 5" xfId="47367"/>
    <cellStyle name="20% - 强调文字颜色 6 2 2 6" xfId="60854"/>
    <cellStyle name="20% - 强调文字颜色 6 2 3" xfId="1017"/>
    <cellStyle name="20% - 强调文字颜色 6 2 3 2" xfId="5662"/>
    <cellStyle name="20% - 强调文字颜色 6 2 3 3" xfId="47368"/>
    <cellStyle name="20% - 强调文字颜色 6 2 4" xfId="47369"/>
    <cellStyle name="20% - 强调文字颜色 6 2 5" xfId="47370"/>
    <cellStyle name="20% - 强调文字颜色 6 2 6" xfId="47371"/>
    <cellStyle name="20% - 强调文字颜色 6 2 7" xfId="47372"/>
    <cellStyle name="20% - 强调文字颜色 6 2 8" xfId="729"/>
    <cellStyle name="20% - 强调文字颜色 6 2 9" xfId="60853"/>
    <cellStyle name="20% - 强调文字颜色 6 3" xfId="1018"/>
    <cellStyle name="20% - 强调文字颜色 6 3 10" xfId="47373"/>
    <cellStyle name="20% - 强调文字颜色 6 3 11" xfId="47374"/>
    <cellStyle name="20% - 强调文字颜色 6 3 11 2" xfId="47375"/>
    <cellStyle name="20% - 强调文字颜色 6 3 11 2 2" xfId="47376"/>
    <cellStyle name="20% - 强调文字颜色 6 3 11 3" xfId="47377"/>
    <cellStyle name="20% - 强调文字颜色 6 3 12" xfId="47378"/>
    <cellStyle name="20% - 强调文字颜色 6 3 12 2" xfId="47379"/>
    <cellStyle name="20% - 强调文字颜色 6 3 12 2 2" xfId="47380"/>
    <cellStyle name="20% - 强调文字颜色 6 3 13" xfId="47381"/>
    <cellStyle name="20% - 强调文字颜色 6 3 13 2" xfId="47382"/>
    <cellStyle name="20% - 强调文字颜色 6 3 13 2 2" xfId="47383"/>
    <cellStyle name="20% - 强调文字颜色 6 3 13 3" xfId="47384"/>
    <cellStyle name="20% - 强调文字颜色 6 3 2" xfId="1019"/>
    <cellStyle name="20% - 强调文字颜色 6 3 2 2" xfId="5664"/>
    <cellStyle name="20% - 强调文字颜色 6 3 2 2 2" xfId="47385"/>
    <cellStyle name="20% - 强调文字颜色 6 3 2 2 2 2" xfId="47386"/>
    <cellStyle name="20% - 强调文字颜色 6 3 2 2 2 2 2" xfId="47387"/>
    <cellStyle name="20% - 强调文字颜色 6 3 2 2 2 3" xfId="47388"/>
    <cellStyle name="20% - 强调文字颜色 6 3 2 2 3" xfId="47389"/>
    <cellStyle name="20% - 强调文字颜色 6 3 2 2 3 2" xfId="47390"/>
    <cellStyle name="20% - 强调文字颜色 6 3 2 2 4" xfId="47391"/>
    <cellStyle name="20% - 强调文字颜色 6 3 2 3" xfId="47392"/>
    <cellStyle name="20% - 强调文字颜色 6 3 2 4" xfId="47393"/>
    <cellStyle name="20% - 强调文字颜色 6 3 2 4 2" xfId="47394"/>
    <cellStyle name="20% - 强调文字颜色 6 3 2 4 2 2" xfId="47395"/>
    <cellStyle name="20% - 强调文字颜色 6 3 2 4 3" xfId="47396"/>
    <cellStyle name="20% - 强调文字颜色 6 3 2 5" xfId="47397"/>
    <cellStyle name="20% - 强调文字颜色 6 3 2 5 2" xfId="47398"/>
    <cellStyle name="20% - 强调文字颜色 6 3 2 5 2 2" xfId="47399"/>
    <cellStyle name="20% - 强调文字颜色 6 3 2 5 3" xfId="47400"/>
    <cellStyle name="20% - 强调文字颜色 6 3 2 6" xfId="47401"/>
    <cellStyle name="20% - 强调文字颜色 6 3 2 6 2" xfId="47402"/>
    <cellStyle name="20% - 强调文字颜色 6 3 2 6 2 2" xfId="47403"/>
    <cellStyle name="20% - 强调文字颜色 6 3 2 6 3" xfId="47404"/>
    <cellStyle name="20% - 强调文字颜色 6 3 3" xfId="1020"/>
    <cellStyle name="20% - 强调文字颜色 6 3 3 2" xfId="47405"/>
    <cellStyle name="20% - 强调文字颜色 6 3 3 2 2" xfId="47406"/>
    <cellStyle name="20% - 强调文字颜色 6 3 3 2 2 2" xfId="47407"/>
    <cellStyle name="20% - 强调文字颜色 6 3 3 2 3" xfId="47408"/>
    <cellStyle name="20% - 强调文字颜色 6 3 3 3" xfId="47409"/>
    <cellStyle name="20% - 强调文字颜色 6 3 3 3 2" xfId="47410"/>
    <cellStyle name="20% - 强调文字颜色 6 3 3 3 2 2" xfId="47411"/>
    <cellStyle name="20% - 强调文字颜色 6 3 3 3 3" xfId="47412"/>
    <cellStyle name="20% - 强调文字颜色 6 3 3 4" xfId="47413"/>
    <cellStyle name="20% - 强调文字颜色 6 3 3 4 2" xfId="47414"/>
    <cellStyle name="20% - 强调文字颜色 6 3 3 4 2 2" xfId="47415"/>
    <cellStyle name="20% - 强调文字颜色 6 3 3 4 3" xfId="47416"/>
    <cellStyle name="20% - 强调文字颜色 6 3 3 5" xfId="47417"/>
    <cellStyle name="20% - 强调文字颜色 6 3 3 5 2" xfId="47418"/>
    <cellStyle name="20% - 强调文字颜色 6 3 4" xfId="1021"/>
    <cellStyle name="20% - 强调文字颜色 6 3 4 2" xfId="47419"/>
    <cellStyle name="20% - 强调文字颜色 6 3 4 2 2" xfId="47420"/>
    <cellStyle name="20% - 强调文字颜色 6 3 4 2 2 2" xfId="47421"/>
    <cellStyle name="20% - 强调文字颜色 6 3 4 2 3" xfId="47422"/>
    <cellStyle name="20% - 强调文字颜色 6 3 4 3" xfId="47423"/>
    <cellStyle name="20% - 强调文字颜色 6 3 4 3 2" xfId="47424"/>
    <cellStyle name="20% - 强调文字颜色 6 3 4 3 2 2" xfId="47425"/>
    <cellStyle name="20% - 强调文字颜色 6 3 4 3 3" xfId="47426"/>
    <cellStyle name="20% - 强调文字颜色 6 3 4 4" xfId="47427"/>
    <cellStyle name="20% - 强调文字颜色 6 3 4 4 2" xfId="47428"/>
    <cellStyle name="20% - 强调文字颜色 6 3 4 4 2 2" xfId="47429"/>
    <cellStyle name="20% - 强调文字颜色 6 3 4 4 3" xfId="47430"/>
    <cellStyle name="20% - 强调文字颜色 6 3 4 5" xfId="47431"/>
    <cellStyle name="20% - 强调文字颜色 6 3 4 5 2" xfId="47432"/>
    <cellStyle name="20% - 强调文字颜色 6 3 5" xfId="1022"/>
    <cellStyle name="20% - 强调文字颜色 6 3 5 2" xfId="47433"/>
    <cellStyle name="20% - 强调文字颜色 6 3 5 2 2" xfId="47434"/>
    <cellStyle name="20% - 强调文字颜色 6 3 5 2 2 2" xfId="47435"/>
    <cellStyle name="20% - 强调文字颜色 6 3 5 2 3" xfId="47436"/>
    <cellStyle name="20% - 强调文字颜色 6 3 5 3" xfId="47437"/>
    <cellStyle name="20% - 强调文字颜色 6 3 5 3 2" xfId="47438"/>
    <cellStyle name="20% - 强调文字颜色 6 3 5 3 2 2" xfId="47439"/>
    <cellStyle name="20% - 强调文字颜色 6 3 5 3 3" xfId="47440"/>
    <cellStyle name="20% - 强调文字颜色 6 3 5 4" xfId="47441"/>
    <cellStyle name="20% - 强调文字颜色 6 3 5 4 2" xfId="47442"/>
    <cellStyle name="20% - 强调文字颜色 6 3 5 4 2 2" xfId="47443"/>
    <cellStyle name="20% - 强调文字颜色 6 3 5 4 3" xfId="47444"/>
    <cellStyle name="20% - 强调文字颜色 6 3 5 5" xfId="47445"/>
    <cellStyle name="20% - 强调文字颜色 6 3 5 5 2" xfId="47446"/>
    <cellStyle name="20% - 强调文字颜色 6 3 5 6" xfId="47447"/>
    <cellStyle name="20% - 强调文字颜色 6 3 6" xfId="1023"/>
    <cellStyle name="20% - 强调文字颜色 6 3 6 2" xfId="47448"/>
    <cellStyle name="20% - 强调文字颜色 6 3 6 2 2" xfId="47449"/>
    <cellStyle name="20% - 强调文字颜色 6 3 6 2 2 2" xfId="47450"/>
    <cellStyle name="20% - 强调文字颜色 6 3 6 2 3" xfId="47451"/>
    <cellStyle name="20% - 强调文字颜色 6 3 6 3" xfId="47452"/>
    <cellStyle name="20% - 强调文字颜色 6 3 6 3 2" xfId="47453"/>
    <cellStyle name="20% - 强调文字颜色 6 3 6 3 2 2" xfId="47454"/>
    <cellStyle name="20% - 强调文字颜色 6 3 6 3 3" xfId="47455"/>
    <cellStyle name="20% - 强调文字颜色 6 3 6 4" xfId="47456"/>
    <cellStyle name="20% - 强调文字颜色 6 3 6 4 2" xfId="47457"/>
    <cellStyle name="20% - 强调文字颜色 6 3 6 4 2 2" xfId="47458"/>
    <cellStyle name="20% - 强调文字颜色 6 3 6 4 3" xfId="47459"/>
    <cellStyle name="20% - 强调文字颜色 6 3 6 5" xfId="47460"/>
    <cellStyle name="20% - 强调文字颜色 6 3 6 5 2" xfId="47461"/>
    <cellStyle name="20% - 强调文字颜色 6 3 6 6" xfId="47462"/>
    <cellStyle name="20% - 强调文字颜色 6 3 7" xfId="1024"/>
    <cellStyle name="20% - 强调文字颜色 6 3 7 2" xfId="47463"/>
    <cellStyle name="20% - 强调文字颜色 6 3 7 2 2" xfId="47464"/>
    <cellStyle name="20% - 强调文字颜色 6 3 7 2 2 2" xfId="47465"/>
    <cellStyle name="20% - 强调文字颜色 6 3 7 2 3" xfId="47466"/>
    <cellStyle name="20% - 强调文字颜色 6 3 7 3" xfId="47467"/>
    <cellStyle name="20% - 强调文字颜色 6 3 7 3 2" xfId="47468"/>
    <cellStyle name="20% - 强调文字颜色 6 3 7 3 2 2" xfId="47469"/>
    <cellStyle name="20% - 强调文字颜色 6 3 7 3 3" xfId="47470"/>
    <cellStyle name="20% - 强调文字颜色 6 3 7 4" xfId="47471"/>
    <cellStyle name="20% - 强调文字颜色 6 3 7 4 2" xfId="47472"/>
    <cellStyle name="20% - 强调文字颜色 6 3 7 4 2 2" xfId="47473"/>
    <cellStyle name="20% - 强调文字颜色 6 3 7 4 3" xfId="47474"/>
    <cellStyle name="20% - 强调文字颜色 6 3 7 5" xfId="47475"/>
    <cellStyle name="20% - 强调文字颜色 6 3 7 5 2" xfId="47476"/>
    <cellStyle name="20% - 强调文字颜色 6 3 7 6" xfId="47477"/>
    <cellStyle name="20% - 强调文字颜色 6 3 8" xfId="5663"/>
    <cellStyle name="20% - 强调文字颜色 6 3 8 2" xfId="47478"/>
    <cellStyle name="20% - 强调文字颜色 6 3 8 2 2" xfId="47479"/>
    <cellStyle name="20% - 强调文字颜色 6 3 8 2 2 2" xfId="47480"/>
    <cellStyle name="20% - 强调文字颜色 6 3 8 2 3" xfId="47481"/>
    <cellStyle name="20% - 强调文字颜色 6 3 8 3" xfId="47482"/>
    <cellStyle name="20% - 强调文字颜色 6 3 8 3 2" xfId="47483"/>
    <cellStyle name="20% - 强调文字颜色 6 3 8 3 2 2" xfId="47484"/>
    <cellStyle name="20% - 强调文字颜色 6 3 8 3 3" xfId="47485"/>
    <cellStyle name="20% - 强调文字颜色 6 3 8 4" xfId="47486"/>
    <cellStyle name="20% - 强调文字颜色 6 3 8 4 2" xfId="47487"/>
    <cellStyle name="20% - 强调文字颜色 6 3 8 4 2 2" xfId="47488"/>
    <cellStyle name="20% - 强调文字颜色 6 3 8 4 3" xfId="47489"/>
    <cellStyle name="20% - 强调文字颜色 6 3 8 5" xfId="47490"/>
    <cellStyle name="20% - 强调文字颜色 6 3 8 5 2" xfId="47491"/>
    <cellStyle name="20% - 强调文字颜色 6 3 8 6" xfId="47492"/>
    <cellStyle name="20% - 强调文字颜色 6 3 9" xfId="47493"/>
    <cellStyle name="20% - 强调文字颜色 6 3 9 2" xfId="47494"/>
    <cellStyle name="20% - 强调文字颜色 6 3 9 2 2" xfId="47495"/>
    <cellStyle name="20% - 强调文字颜色 6 3 9 2 2 2" xfId="47496"/>
    <cellStyle name="20% - 强调文字颜色 6 3 9 2 3" xfId="47497"/>
    <cellStyle name="20% - 强调文字颜色 6 3 9 3" xfId="47498"/>
    <cellStyle name="20% - 强调文字颜色 6 3 9 3 2" xfId="47499"/>
    <cellStyle name="20% - 强调文字颜色 6 3 9 4" xfId="47500"/>
    <cellStyle name="20% - 强调文字颜色 6 4" xfId="1025"/>
    <cellStyle name="20% - 强调文字颜色 6 4 2" xfId="5666"/>
    <cellStyle name="20% - 强调文字颜色 6 4 3" xfId="5665"/>
    <cellStyle name="20% - 强调文字颜色 6 4 4" xfId="47501"/>
    <cellStyle name="20% - 强调文字颜色 6 5" xfId="47502"/>
    <cellStyle name="20% - 强调文字颜色 6 6" xfId="47503"/>
    <cellStyle name="20% - 强调文字颜色 6 7" xfId="47504"/>
    <cellStyle name="20% - 强调文字颜色 6 7 2" xfId="47505"/>
    <cellStyle name="20% - 着色 1" xfId="47506"/>
    <cellStyle name="20% - 着色 2" xfId="47507"/>
    <cellStyle name="20% - 着色 3" xfId="47508"/>
    <cellStyle name="20% - 着色 4" xfId="47509"/>
    <cellStyle name="20% - 着色 5" xfId="47510"/>
    <cellStyle name="20% - 着色 6" xfId="47511"/>
    <cellStyle name="40% - Accent1" xfId="1026"/>
    <cellStyle name="40% - Accent1 2" xfId="1027"/>
    <cellStyle name="40% - Accent1 2 2" xfId="1028"/>
    <cellStyle name="40% - Accent1 2 2 2" xfId="1029"/>
    <cellStyle name="40% - Accent1 2 3" xfId="47512"/>
    <cellStyle name="40% - Accent1 2 3 2" xfId="47513"/>
    <cellStyle name="40% - Accent1 3" xfId="1030"/>
    <cellStyle name="40% - Accent1 3 2" xfId="1031"/>
    <cellStyle name="40% - Accent1 3 2 2" xfId="1032"/>
    <cellStyle name="40% - Accent1 3 3" xfId="47514"/>
    <cellStyle name="40% - Accent1 3 3 2" xfId="47515"/>
    <cellStyle name="40% - Accent1 4" xfId="1033"/>
    <cellStyle name="40% - Accent1 4 2" xfId="1034"/>
    <cellStyle name="40% - Accent1 5" xfId="5667"/>
    <cellStyle name="40% - Accent1 5 2" xfId="47516"/>
    <cellStyle name="40% - Accent2" xfId="1035"/>
    <cellStyle name="40% - Accent2 2" xfId="1036"/>
    <cellStyle name="40% - Accent2 2 2" xfId="1037"/>
    <cellStyle name="40% - Accent2 2 2 2" xfId="1038"/>
    <cellStyle name="40% - Accent2 2 3" xfId="47517"/>
    <cellStyle name="40% - Accent2 2 3 2" xfId="47518"/>
    <cellStyle name="40% - Accent2 3" xfId="1039"/>
    <cellStyle name="40% - Accent2 3 2" xfId="1040"/>
    <cellStyle name="40% - Accent2 3 2 2" xfId="1041"/>
    <cellStyle name="40% - Accent2 3 3" xfId="47519"/>
    <cellStyle name="40% - Accent2 3 3 2" xfId="47520"/>
    <cellStyle name="40% - Accent2 4" xfId="1042"/>
    <cellStyle name="40% - Accent2 4 2" xfId="1043"/>
    <cellStyle name="40% - Accent2 5" xfId="5670"/>
    <cellStyle name="40% - Accent2 5 2" xfId="47521"/>
    <cellStyle name="40% - Accent3" xfId="1044"/>
    <cellStyle name="40% - Accent3 2" xfId="1045"/>
    <cellStyle name="40% - Accent3 2 2" xfId="1046"/>
    <cellStyle name="40% - Accent3 2 2 2" xfId="1047"/>
    <cellStyle name="40% - Accent3 2 3" xfId="47522"/>
    <cellStyle name="40% - Accent3 2 3 2" xfId="47523"/>
    <cellStyle name="40% - Accent3 3" xfId="1048"/>
    <cellStyle name="40% - Accent3 3 2" xfId="1049"/>
    <cellStyle name="40% - Accent3 3 2 2" xfId="1050"/>
    <cellStyle name="40% - Accent3 3 3" xfId="47524"/>
    <cellStyle name="40% - Accent3 3 3 2" xfId="47525"/>
    <cellStyle name="40% - Accent3 4" xfId="1051"/>
    <cellStyle name="40% - Accent3 4 2" xfId="1052"/>
    <cellStyle name="40% - Accent3 5" xfId="5673"/>
    <cellStyle name="40% - Accent3 5 2" xfId="47526"/>
    <cellStyle name="40% - Accent4" xfId="1053"/>
    <cellStyle name="40% - Accent4 2" xfId="1054"/>
    <cellStyle name="40% - Accent4 2 2" xfId="1055"/>
    <cellStyle name="40% - Accent4 2 2 2" xfId="1056"/>
    <cellStyle name="40% - Accent4 2 3" xfId="47527"/>
    <cellStyle name="40% - Accent4 2 3 2" xfId="47528"/>
    <cellStyle name="40% - Accent4 3" xfId="1057"/>
    <cellStyle name="40% - Accent4 3 2" xfId="1058"/>
    <cellStyle name="40% - Accent4 3 2 2" xfId="1059"/>
    <cellStyle name="40% - Accent4 3 3" xfId="47529"/>
    <cellStyle name="40% - Accent4 3 3 2" xfId="47530"/>
    <cellStyle name="40% - Accent4 4" xfId="1060"/>
    <cellStyle name="40% - Accent4 4 2" xfId="1061"/>
    <cellStyle name="40% - Accent4 5" xfId="5676"/>
    <cellStyle name="40% - Accent4 5 2" xfId="47531"/>
    <cellStyle name="40% - Accent5" xfId="1062"/>
    <cellStyle name="40% - Accent5 2" xfId="1063"/>
    <cellStyle name="40% - Accent5 2 2" xfId="1064"/>
    <cellStyle name="40% - Accent5 2 2 2" xfId="1065"/>
    <cellStyle name="40% - Accent5 2 3" xfId="47532"/>
    <cellStyle name="40% - Accent5 2 3 2" xfId="47533"/>
    <cellStyle name="40% - Accent5 3" xfId="1066"/>
    <cellStyle name="40% - Accent5 3 2" xfId="1067"/>
    <cellStyle name="40% - Accent5 3 2 2" xfId="1068"/>
    <cellStyle name="40% - Accent5 3 3" xfId="47534"/>
    <cellStyle name="40% - Accent5 3 3 2" xfId="47535"/>
    <cellStyle name="40% - Accent5 4" xfId="1069"/>
    <cellStyle name="40% - Accent5 4 2" xfId="1070"/>
    <cellStyle name="40% - Accent5 5" xfId="5679"/>
    <cellStyle name="40% - Accent5 5 2" xfId="47536"/>
    <cellStyle name="40% - Accent6" xfId="1071"/>
    <cellStyle name="40% - Accent6 2" xfId="1072"/>
    <cellStyle name="40% - Accent6 2 2" xfId="1073"/>
    <cellStyle name="40% - Accent6 2 2 2" xfId="1074"/>
    <cellStyle name="40% - Accent6 2 3" xfId="47537"/>
    <cellStyle name="40% - Accent6 2 3 2" xfId="47538"/>
    <cellStyle name="40% - Accent6 3" xfId="1075"/>
    <cellStyle name="40% - Accent6 3 2" xfId="1076"/>
    <cellStyle name="40% - Accent6 3 2 2" xfId="1077"/>
    <cellStyle name="40% - Accent6 3 3" xfId="47539"/>
    <cellStyle name="40% - Accent6 3 3 2" xfId="47540"/>
    <cellStyle name="40% - Accent6 4" xfId="1078"/>
    <cellStyle name="40% - Accent6 4 2" xfId="1079"/>
    <cellStyle name="40% - Accent6 5" xfId="5682"/>
    <cellStyle name="40% - Accent6 5 2" xfId="47541"/>
    <cellStyle name="40% - アクセント 1" xfId="1080"/>
    <cellStyle name="40% - アクセント 1 2" xfId="86"/>
    <cellStyle name="40% - アクセント 1 2 2" xfId="1082"/>
    <cellStyle name="40% - アクセント 1 2 2 2" xfId="1083"/>
    <cellStyle name="40% - アクセント 1 2 2 3" xfId="47542"/>
    <cellStyle name="40% - アクセント 1 2 2 4" xfId="47543"/>
    <cellStyle name="40% - アクセント 1 2 3" xfId="1084"/>
    <cellStyle name="40% - アクセント 1 2 3 2" xfId="1085"/>
    <cellStyle name="40% - アクセント 1 2 3 3" xfId="47544"/>
    <cellStyle name="40% - アクセント 1 2 3 4" xfId="47545"/>
    <cellStyle name="40% - アクセント 1 2 4" xfId="5689"/>
    <cellStyle name="40% - アクセント 1 2 5" xfId="47546"/>
    <cellStyle name="40% - アクセント 1 2 6" xfId="47547"/>
    <cellStyle name="40% - アクセント 1 2 7" xfId="47548"/>
    <cellStyle name="40% - アクセント 1 2 8" xfId="47549"/>
    <cellStyle name="40% - アクセント 1 2 9" xfId="1081"/>
    <cellStyle name="40% - アクセント 1 3" xfId="1086"/>
    <cellStyle name="40% - アクセント 1 3 2" xfId="1087"/>
    <cellStyle name="40% - アクセント 1 3 2 2" xfId="1088"/>
    <cellStyle name="40% - アクセント 1 3 2 3" xfId="47550"/>
    <cellStyle name="40% - アクセント 1 3 2 4" xfId="47551"/>
    <cellStyle name="40% - アクセント 1 3 3" xfId="1089"/>
    <cellStyle name="40% - アクセント 1 3 3 2" xfId="1090"/>
    <cellStyle name="40% - アクセント 1 3 3 3" xfId="47552"/>
    <cellStyle name="40% - アクセント 1 3 3 4" xfId="47553"/>
    <cellStyle name="40% - アクセント 1 3 4" xfId="1091"/>
    <cellStyle name="40% - アクセント 1 3 4 2" xfId="5693"/>
    <cellStyle name="40% - アクセント 1 3 4 3" xfId="47554"/>
    <cellStyle name="40% - アクセント 1 3 5" xfId="47555"/>
    <cellStyle name="40% - アクセント 1 3 6" xfId="47556"/>
    <cellStyle name="40% - アクセント 1 3 7" xfId="47557"/>
    <cellStyle name="40% - アクセント 1 3 8" xfId="47558"/>
    <cellStyle name="40% - アクセント 1 4" xfId="1092"/>
    <cellStyle name="40% - アクセント 1 4 2" xfId="1093"/>
    <cellStyle name="40% - アクセント 1 4 2 2" xfId="1094"/>
    <cellStyle name="40% - アクセント 1 4 2 3" xfId="47559"/>
    <cellStyle name="40% - アクセント 1 4 2 4" xfId="47560"/>
    <cellStyle name="40% - アクセント 1 4 3" xfId="1095"/>
    <cellStyle name="40% - アクセント 1 4 3 2" xfId="1096"/>
    <cellStyle name="40% - アクセント 1 4 3 3" xfId="47561"/>
    <cellStyle name="40% - アクセント 1 4 3 4" xfId="47562"/>
    <cellStyle name="40% - アクセント 1 4 4" xfId="1097"/>
    <cellStyle name="40% - アクセント 1 4 5" xfId="47563"/>
    <cellStyle name="40% - アクセント 1 4 6" xfId="47564"/>
    <cellStyle name="40% - アクセント 1 4 7" xfId="47565"/>
    <cellStyle name="40% - アクセント 1 5" xfId="5685"/>
    <cellStyle name="40% - アクセント 1 5 2" xfId="23420"/>
    <cellStyle name="40% - アクセント 1 5 3" xfId="60855"/>
    <cellStyle name="40% - アクセント 1 6" xfId="47566"/>
    <cellStyle name="40% - アクセント 1 7" xfId="47567"/>
    <cellStyle name="40% - アクセント 1 8" xfId="47568"/>
    <cellStyle name="40% - アクセント 1 8 2" xfId="47569"/>
    <cellStyle name="40% - アクセント 2" xfId="1098"/>
    <cellStyle name="40% - アクセント 2 2" xfId="87"/>
    <cellStyle name="40% - アクセント 2 2 2" xfId="1100"/>
    <cellStyle name="40% - アクセント 2 2 2 2" xfId="1101"/>
    <cellStyle name="40% - アクセント 2 2 2 3" xfId="47570"/>
    <cellStyle name="40% - アクセント 2 2 2 4" xfId="47571"/>
    <cellStyle name="40% - アクセント 2 2 3" xfId="1102"/>
    <cellStyle name="40% - アクセント 2 2 3 2" xfId="1103"/>
    <cellStyle name="40% - アクセント 2 2 3 3" xfId="47572"/>
    <cellStyle name="40% - アクセント 2 2 3 4" xfId="47573"/>
    <cellStyle name="40% - アクセント 2 2 4" xfId="5701"/>
    <cellStyle name="40% - アクセント 2 2 5" xfId="47574"/>
    <cellStyle name="40% - アクセント 2 2 6" xfId="47575"/>
    <cellStyle name="40% - アクセント 2 2 7" xfId="47576"/>
    <cellStyle name="40% - アクセント 2 2 8" xfId="47577"/>
    <cellStyle name="40% - アクセント 2 2 9" xfId="1099"/>
    <cellStyle name="40% - アクセント 2 3" xfId="1104"/>
    <cellStyle name="40% - アクセント 2 3 2" xfId="1105"/>
    <cellStyle name="40% - アクセント 2 3 2 2" xfId="1106"/>
    <cellStyle name="40% - アクセント 2 3 2 3" xfId="47578"/>
    <cellStyle name="40% - アクセント 2 3 2 4" xfId="47579"/>
    <cellStyle name="40% - アクセント 2 3 3" xfId="1107"/>
    <cellStyle name="40% - アクセント 2 3 3 2" xfId="1108"/>
    <cellStyle name="40% - アクセント 2 3 3 3" xfId="47580"/>
    <cellStyle name="40% - アクセント 2 3 3 4" xfId="47581"/>
    <cellStyle name="40% - アクセント 2 3 4" xfId="1109"/>
    <cellStyle name="40% - アクセント 2 3 4 2" xfId="5705"/>
    <cellStyle name="40% - アクセント 2 3 4 3" xfId="47582"/>
    <cellStyle name="40% - アクセント 2 3 5" xfId="47583"/>
    <cellStyle name="40% - アクセント 2 3 6" xfId="47584"/>
    <cellStyle name="40% - アクセント 2 3 7" xfId="47585"/>
    <cellStyle name="40% - アクセント 2 3 8" xfId="47586"/>
    <cellStyle name="40% - アクセント 2 4" xfId="1110"/>
    <cellStyle name="40% - アクセント 2 4 2" xfId="1111"/>
    <cellStyle name="40% - アクセント 2 4 2 2" xfId="1112"/>
    <cellStyle name="40% - アクセント 2 4 2 3" xfId="47587"/>
    <cellStyle name="40% - アクセント 2 4 2 4" xfId="47588"/>
    <cellStyle name="40% - アクセント 2 4 3" xfId="1113"/>
    <cellStyle name="40% - アクセント 2 4 3 2" xfId="1114"/>
    <cellStyle name="40% - アクセント 2 4 3 3" xfId="47589"/>
    <cellStyle name="40% - アクセント 2 4 3 4" xfId="47590"/>
    <cellStyle name="40% - アクセント 2 4 4" xfId="1115"/>
    <cellStyle name="40% - アクセント 2 4 5" xfId="47591"/>
    <cellStyle name="40% - アクセント 2 4 6" xfId="47592"/>
    <cellStyle name="40% - アクセント 2 4 7" xfId="47593"/>
    <cellStyle name="40% - アクセント 2 5" xfId="5697"/>
    <cellStyle name="40% - アクセント 2 5 2" xfId="23421"/>
    <cellStyle name="40% - アクセント 2 5 3" xfId="60856"/>
    <cellStyle name="40% - アクセント 2 6" xfId="47594"/>
    <cellStyle name="40% - アクセント 2 7" xfId="47595"/>
    <cellStyle name="40% - アクセント 2 8" xfId="47596"/>
    <cellStyle name="40% - アクセント 2 8 2" xfId="47597"/>
    <cellStyle name="40% - アクセント 3" xfId="1116"/>
    <cellStyle name="40% - アクセント 3 2" xfId="88"/>
    <cellStyle name="40% - アクセント 3 2 2" xfId="1118"/>
    <cellStyle name="40% - アクセント 3 2 2 2" xfId="1119"/>
    <cellStyle name="40% - アクセント 3 2 2 3" xfId="47598"/>
    <cellStyle name="40% - アクセント 3 2 2 4" xfId="47599"/>
    <cellStyle name="40% - アクセント 3 2 3" xfId="1120"/>
    <cellStyle name="40% - アクセント 3 2 3 2" xfId="1121"/>
    <cellStyle name="40% - アクセント 3 2 3 3" xfId="47600"/>
    <cellStyle name="40% - アクセント 3 2 3 4" xfId="47601"/>
    <cellStyle name="40% - アクセント 3 2 4" xfId="5713"/>
    <cellStyle name="40% - アクセント 3 2 5" xfId="47602"/>
    <cellStyle name="40% - アクセント 3 2 6" xfId="47603"/>
    <cellStyle name="40% - アクセント 3 2 7" xfId="47604"/>
    <cellStyle name="40% - アクセント 3 2 8" xfId="47605"/>
    <cellStyle name="40% - アクセント 3 2 9" xfId="1117"/>
    <cellStyle name="40% - アクセント 3 3" xfId="1122"/>
    <cellStyle name="40% - アクセント 3 3 2" xfId="1123"/>
    <cellStyle name="40% - アクセント 3 3 2 2" xfId="1124"/>
    <cellStyle name="40% - アクセント 3 3 2 3" xfId="47606"/>
    <cellStyle name="40% - アクセント 3 3 2 4" xfId="47607"/>
    <cellStyle name="40% - アクセント 3 3 3" xfId="1125"/>
    <cellStyle name="40% - アクセント 3 3 3 2" xfId="1126"/>
    <cellStyle name="40% - アクセント 3 3 3 3" xfId="47608"/>
    <cellStyle name="40% - アクセント 3 3 3 4" xfId="47609"/>
    <cellStyle name="40% - アクセント 3 3 4" xfId="1127"/>
    <cellStyle name="40% - アクセント 3 3 4 2" xfId="5717"/>
    <cellStyle name="40% - アクセント 3 3 4 3" xfId="47610"/>
    <cellStyle name="40% - アクセント 3 3 5" xfId="47611"/>
    <cellStyle name="40% - アクセント 3 3 6" xfId="47612"/>
    <cellStyle name="40% - アクセント 3 3 7" xfId="47613"/>
    <cellStyle name="40% - アクセント 3 3 8" xfId="47614"/>
    <cellStyle name="40% - アクセント 3 4" xfId="1128"/>
    <cellStyle name="40% - アクセント 3 4 2" xfId="1129"/>
    <cellStyle name="40% - アクセント 3 4 2 2" xfId="1130"/>
    <cellStyle name="40% - アクセント 3 4 2 3" xfId="47615"/>
    <cellStyle name="40% - アクセント 3 4 2 4" xfId="47616"/>
    <cellStyle name="40% - アクセント 3 4 3" xfId="1131"/>
    <cellStyle name="40% - アクセント 3 4 3 2" xfId="1132"/>
    <cellStyle name="40% - アクセント 3 4 3 3" xfId="47617"/>
    <cellStyle name="40% - アクセント 3 4 3 4" xfId="47618"/>
    <cellStyle name="40% - アクセント 3 4 4" xfId="1133"/>
    <cellStyle name="40% - アクセント 3 4 5" xfId="47619"/>
    <cellStyle name="40% - アクセント 3 4 6" xfId="47620"/>
    <cellStyle name="40% - アクセント 3 4 7" xfId="47621"/>
    <cellStyle name="40% - アクセント 3 5" xfId="5709"/>
    <cellStyle name="40% - アクセント 3 5 2" xfId="23422"/>
    <cellStyle name="40% - アクセント 3 5 3" xfId="60857"/>
    <cellStyle name="40% - アクセント 3 6" xfId="47622"/>
    <cellStyle name="40% - アクセント 3 7" xfId="47623"/>
    <cellStyle name="40% - アクセント 3 8" xfId="47624"/>
    <cellStyle name="40% - アクセント 3 8 2" xfId="47625"/>
    <cellStyle name="40% - アクセント 4" xfId="1134"/>
    <cellStyle name="40% - アクセント 4 2" xfId="89"/>
    <cellStyle name="40% - アクセント 4 2 2" xfId="1136"/>
    <cellStyle name="40% - アクセント 4 2 2 2" xfId="1137"/>
    <cellStyle name="40% - アクセント 4 2 2 3" xfId="47626"/>
    <cellStyle name="40% - アクセント 4 2 2 4" xfId="47627"/>
    <cellStyle name="40% - アクセント 4 2 3" xfId="1138"/>
    <cellStyle name="40% - アクセント 4 2 3 2" xfId="1139"/>
    <cellStyle name="40% - アクセント 4 2 3 3" xfId="47628"/>
    <cellStyle name="40% - アクセント 4 2 3 4" xfId="47629"/>
    <cellStyle name="40% - アクセント 4 2 4" xfId="5725"/>
    <cellStyle name="40% - アクセント 4 2 5" xfId="47630"/>
    <cellStyle name="40% - アクセント 4 2 6" xfId="47631"/>
    <cellStyle name="40% - アクセント 4 2 7" xfId="47632"/>
    <cellStyle name="40% - アクセント 4 2 8" xfId="47633"/>
    <cellStyle name="40% - アクセント 4 2 9" xfId="1135"/>
    <cellStyle name="40% - アクセント 4 3" xfId="1140"/>
    <cellStyle name="40% - アクセント 4 3 2" xfId="1141"/>
    <cellStyle name="40% - アクセント 4 3 2 2" xfId="1142"/>
    <cellStyle name="40% - アクセント 4 3 2 3" xfId="47634"/>
    <cellStyle name="40% - アクセント 4 3 2 4" xfId="47635"/>
    <cellStyle name="40% - アクセント 4 3 3" xfId="1143"/>
    <cellStyle name="40% - アクセント 4 3 3 2" xfId="1144"/>
    <cellStyle name="40% - アクセント 4 3 3 3" xfId="47636"/>
    <cellStyle name="40% - アクセント 4 3 3 4" xfId="47637"/>
    <cellStyle name="40% - アクセント 4 3 4" xfId="1145"/>
    <cellStyle name="40% - アクセント 4 3 4 2" xfId="5729"/>
    <cellStyle name="40% - アクセント 4 3 4 3" xfId="47638"/>
    <cellStyle name="40% - アクセント 4 3 5" xfId="47639"/>
    <cellStyle name="40% - アクセント 4 3 6" xfId="47640"/>
    <cellStyle name="40% - アクセント 4 3 7" xfId="47641"/>
    <cellStyle name="40% - アクセント 4 3 8" xfId="47642"/>
    <cellStyle name="40% - アクセント 4 4" xfId="1146"/>
    <cellStyle name="40% - アクセント 4 4 2" xfId="1147"/>
    <cellStyle name="40% - アクセント 4 4 2 2" xfId="1148"/>
    <cellStyle name="40% - アクセント 4 4 2 3" xfId="47643"/>
    <cellStyle name="40% - アクセント 4 4 2 4" xfId="47644"/>
    <cellStyle name="40% - アクセント 4 4 3" xfId="1149"/>
    <cellStyle name="40% - アクセント 4 4 3 2" xfId="1150"/>
    <cellStyle name="40% - アクセント 4 4 3 3" xfId="47645"/>
    <cellStyle name="40% - アクセント 4 4 3 4" xfId="47646"/>
    <cellStyle name="40% - アクセント 4 4 4" xfId="1151"/>
    <cellStyle name="40% - アクセント 4 4 5" xfId="47647"/>
    <cellStyle name="40% - アクセント 4 4 6" xfId="47648"/>
    <cellStyle name="40% - アクセント 4 4 7" xfId="47649"/>
    <cellStyle name="40% - アクセント 4 5" xfId="5721"/>
    <cellStyle name="40% - アクセント 4 5 2" xfId="23423"/>
    <cellStyle name="40% - アクセント 4 5 3" xfId="60858"/>
    <cellStyle name="40% - アクセント 4 6" xfId="47650"/>
    <cellStyle name="40% - アクセント 4 7" xfId="47651"/>
    <cellStyle name="40% - アクセント 4 8" xfId="47652"/>
    <cellStyle name="40% - アクセント 4 8 2" xfId="47653"/>
    <cellStyle name="40% - アクセント 5" xfId="1152"/>
    <cellStyle name="40% - アクセント 5 2" xfId="90"/>
    <cellStyle name="40% - アクセント 5 2 2" xfId="1154"/>
    <cellStyle name="40% - アクセント 5 2 2 2" xfId="1155"/>
    <cellStyle name="40% - アクセント 5 2 2 3" xfId="47654"/>
    <cellStyle name="40% - アクセント 5 2 2 4" xfId="47655"/>
    <cellStyle name="40% - アクセント 5 2 3" xfId="1156"/>
    <cellStyle name="40% - アクセント 5 2 3 2" xfId="1157"/>
    <cellStyle name="40% - アクセント 5 2 3 3" xfId="47656"/>
    <cellStyle name="40% - アクセント 5 2 3 4" xfId="47657"/>
    <cellStyle name="40% - アクセント 5 2 4" xfId="5737"/>
    <cellStyle name="40% - アクセント 5 2 5" xfId="47658"/>
    <cellStyle name="40% - アクセント 5 2 6" xfId="47659"/>
    <cellStyle name="40% - アクセント 5 2 7" xfId="47660"/>
    <cellStyle name="40% - アクセント 5 2 8" xfId="47661"/>
    <cellStyle name="40% - アクセント 5 2 9" xfId="1153"/>
    <cellStyle name="40% - アクセント 5 3" xfId="1158"/>
    <cellStyle name="40% - アクセント 5 3 2" xfId="1159"/>
    <cellStyle name="40% - アクセント 5 3 2 2" xfId="1160"/>
    <cellStyle name="40% - アクセント 5 3 2 3" xfId="47662"/>
    <cellStyle name="40% - アクセント 5 3 2 4" xfId="47663"/>
    <cellStyle name="40% - アクセント 5 3 3" xfId="1161"/>
    <cellStyle name="40% - アクセント 5 3 3 2" xfId="1162"/>
    <cellStyle name="40% - アクセント 5 3 3 3" xfId="47664"/>
    <cellStyle name="40% - アクセント 5 3 3 4" xfId="47665"/>
    <cellStyle name="40% - アクセント 5 3 4" xfId="1163"/>
    <cellStyle name="40% - アクセント 5 3 4 2" xfId="5741"/>
    <cellStyle name="40% - アクセント 5 3 4 3" xfId="47666"/>
    <cellStyle name="40% - アクセント 5 3 5" xfId="47667"/>
    <cellStyle name="40% - アクセント 5 3 6" xfId="47668"/>
    <cellStyle name="40% - アクセント 5 3 7" xfId="47669"/>
    <cellStyle name="40% - アクセント 5 3 8" xfId="47670"/>
    <cellStyle name="40% - アクセント 5 4" xfId="1164"/>
    <cellStyle name="40% - アクセント 5 4 2" xfId="1165"/>
    <cellStyle name="40% - アクセント 5 4 2 2" xfId="1166"/>
    <cellStyle name="40% - アクセント 5 4 2 3" xfId="47671"/>
    <cellStyle name="40% - アクセント 5 4 2 4" xfId="47672"/>
    <cellStyle name="40% - アクセント 5 4 3" xfId="1167"/>
    <cellStyle name="40% - アクセント 5 4 3 2" xfId="1168"/>
    <cellStyle name="40% - アクセント 5 4 3 3" xfId="47673"/>
    <cellStyle name="40% - アクセント 5 4 3 4" xfId="47674"/>
    <cellStyle name="40% - アクセント 5 4 4" xfId="1169"/>
    <cellStyle name="40% - アクセント 5 4 5" xfId="47675"/>
    <cellStyle name="40% - アクセント 5 4 6" xfId="47676"/>
    <cellStyle name="40% - アクセント 5 4 7" xfId="47677"/>
    <cellStyle name="40% - アクセント 5 5" xfId="5733"/>
    <cellStyle name="40% - アクセント 5 5 2" xfId="23424"/>
    <cellStyle name="40% - アクセント 5 5 3" xfId="60859"/>
    <cellStyle name="40% - アクセント 5 6" xfId="47678"/>
    <cellStyle name="40% - アクセント 5 7" xfId="47679"/>
    <cellStyle name="40% - アクセント 5 8" xfId="47680"/>
    <cellStyle name="40% - アクセント 5 8 2" xfId="47681"/>
    <cellStyle name="40% - アクセント 6" xfId="1170"/>
    <cellStyle name="40% - アクセント 6 2" xfId="91"/>
    <cellStyle name="40% - アクセント 6 2 2" xfId="1172"/>
    <cellStyle name="40% - アクセント 6 2 2 2" xfId="1173"/>
    <cellStyle name="40% - アクセント 6 2 2 3" xfId="47682"/>
    <cellStyle name="40% - アクセント 6 2 2 4" xfId="47683"/>
    <cellStyle name="40% - アクセント 6 2 3" xfId="1174"/>
    <cellStyle name="40% - アクセント 6 2 3 2" xfId="1175"/>
    <cellStyle name="40% - アクセント 6 2 3 3" xfId="47684"/>
    <cellStyle name="40% - アクセント 6 2 3 4" xfId="47685"/>
    <cellStyle name="40% - アクセント 6 2 4" xfId="5749"/>
    <cellStyle name="40% - アクセント 6 2 5" xfId="47686"/>
    <cellStyle name="40% - アクセント 6 2 6" xfId="47687"/>
    <cellStyle name="40% - アクセント 6 2 7" xfId="47688"/>
    <cellStyle name="40% - アクセント 6 2 8" xfId="47689"/>
    <cellStyle name="40% - アクセント 6 2 9" xfId="1171"/>
    <cellStyle name="40% - アクセント 6 3" xfId="1176"/>
    <cellStyle name="40% - アクセント 6 3 2" xfId="1177"/>
    <cellStyle name="40% - アクセント 6 3 2 2" xfId="1178"/>
    <cellStyle name="40% - アクセント 6 3 2 3" xfId="47690"/>
    <cellStyle name="40% - アクセント 6 3 2 4" xfId="47691"/>
    <cellStyle name="40% - アクセント 6 3 3" xfId="1179"/>
    <cellStyle name="40% - アクセント 6 3 3 2" xfId="1180"/>
    <cellStyle name="40% - アクセント 6 3 3 3" xfId="47692"/>
    <cellStyle name="40% - アクセント 6 3 3 4" xfId="47693"/>
    <cellStyle name="40% - アクセント 6 3 4" xfId="1181"/>
    <cellStyle name="40% - アクセント 6 3 4 2" xfId="5753"/>
    <cellStyle name="40% - アクセント 6 3 4 3" xfId="47694"/>
    <cellStyle name="40% - アクセント 6 3 5" xfId="47695"/>
    <cellStyle name="40% - アクセント 6 3 6" xfId="47696"/>
    <cellStyle name="40% - アクセント 6 3 7" xfId="47697"/>
    <cellStyle name="40% - アクセント 6 3 8" xfId="47698"/>
    <cellStyle name="40% - アクセント 6 4" xfId="1182"/>
    <cellStyle name="40% - アクセント 6 4 2" xfId="1183"/>
    <cellStyle name="40% - アクセント 6 4 2 2" xfId="1184"/>
    <cellStyle name="40% - アクセント 6 4 2 3" xfId="47699"/>
    <cellStyle name="40% - アクセント 6 4 2 4" xfId="47700"/>
    <cellStyle name="40% - アクセント 6 4 3" xfId="1185"/>
    <cellStyle name="40% - アクセント 6 4 3 2" xfId="1186"/>
    <cellStyle name="40% - アクセント 6 4 3 3" xfId="47701"/>
    <cellStyle name="40% - アクセント 6 4 3 4" xfId="47702"/>
    <cellStyle name="40% - アクセント 6 4 4" xfId="1187"/>
    <cellStyle name="40% - アクセント 6 4 5" xfId="47703"/>
    <cellStyle name="40% - アクセント 6 4 6" xfId="47704"/>
    <cellStyle name="40% - アクセント 6 4 7" xfId="47705"/>
    <cellStyle name="40% - アクセント 6 5" xfId="5745"/>
    <cellStyle name="40% - アクセント 6 5 2" xfId="23425"/>
    <cellStyle name="40% - アクセント 6 5 3" xfId="60860"/>
    <cellStyle name="40% - アクセント 6 6" xfId="47706"/>
    <cellStyle name="40% - アクセント 6 7" xfId="47707"/>
    <cellStyle name="40% - アクセント 6 8" xfId="47708"/>
    <cellStyle name="40% - アクセント 6 8 2" xfId="47709"/>
    <cellStyle name="40% - 輔色1" xfId="5757"/>
    <cellStyle name="40% - 輔色2" xfId="5758"/>
    <cellStyle name="40% - 輔色3" xfId="5759"/>
    <cellStyle name="40% - 輔色4" xfId="5760"/>
    <cellStyle name="40% - 輔色5" xfId="5761"/>
    <cellStyle name="40% - 輔色6" xfId="5762"/>
    <cellStyle name="40% - 强调文字颜色 1 2" xfId="92"/>
    <cellStyle name="40% - 强调文字颜色 1 2 2" xfId="1188"/>
    <cellStyle name="40% - 强调文字颜色 1 2 2 2" xfId="1189"/>
    <cellStyle name="40% - 强调文字颜色 1 2 2 2 2" xfId="5765"/>
    <cellStyle name="40% - 强调文字颜色 1 2 2 2 3" xfId="47710"/>
    <cellStyle name="40% - 强调文字颜色 1 2 2 2 4" xfId="47711"/>
    <cellStyle name="40% - 强调文字颜色 1 2 2 3" xfId="1190"/>
    <cellStyle name="40% - 强调文字颜色 1 2 2 4" xfId="5764"/>
    <cellStyle name="40% - 强调文字颜色 1 2 2 5" xfId="47712"/>
    <cellStyle name="40% - 强调文字颜色 1 2 2 6" xfId="60862"/>
    <cellStyle name="40% - 强调文字颜色 1 2 3" xfId="1191"/>
    <cellStyle name="40% - 强调文字颜色 1 2 3 2" xfId="5766"/>
    <cellStyle name="40% - 强调文字颜色 1 2 4" xfId="47713"/>
    <cellStyle name="40% - 强调文字颜色 1 2 5" xfId="47714"/>
    <cellStyle name="40% - 强调文字颜色 1 2 6" xfId="47715"/>
    <cellStyle name="40% - 强调文字颜色 1 2 7" xfId="47716"/>
    <cellStyle name="40% - 强调文字颜色 1 2 8" xfId="730"/>
    <cellStyle name="40% - 强调文字颜色 1 2 9" xfId="60861"/>
    <cellStyle name="40% - 强调文字颜色 1 3" xfId="1192"/>
    <cellStyle name="40% - 强调文字颜色 1 3 10" xfId="47717"/>
    <cellStyle name="40% - 强调文字颜色 1 3 11" xfId="47718"/>
    <cellStyle name="40% - 强调文字颜色 1 3 11 2" xfId="47719"/>
    <cellStyle name="40% - 强调文字颜色 1 3 11 2 2" xfId="47720"/>
    <cellStyle name="40% - 强调文字颜色 1 3 11 3" xfId="47721"/>
    <cellStyle name="40% - 强调文字颜色 1 3 12" xfId="47722"/>
    <cellStyle name="40% - 强调文字颜色 1 3 12 2" xfId="47723"/>
    <cellStyle name="40% - 强调文字颜色 1 3 12 2 2" xfId="47724"/>
    <cellStyle name="40% - 强调文字颜色 1 3 13" xfId="47725"/>
    <cellStyle name="40% - 强调文字颜色 1 3 13 2" xfId="47726"/>
    <cellStyle name="40% - 强调文字颜色 1 3 13 2 2" xfId="47727"/>
    <cellStyle name="40% - 强调文字颜色 1 3 13 3" xfId="47728"/>
    <cellStyle name="40% - 强调文字颜色 1 3 14" xfId="47729"/>
    <cellStyle name="40% - 强调文字颜色 1 3 2" xfId="1193"/>
    <cellStyle name="40% - 强调文字颜色 1 3 2 2" xfId="5768"/>
    <cellStyle name="40% - 强调文字颜色 1 3 2 2 2" xfId="47730"/>
    <cellStyle name="40% - 强调文字颜色 1 3 2 2 2 2" xfId="47731"/>
    <cellStyle name="40% - 强调文字颜色 1 3 2 2 2 2 2" xfId="47732"/>
    <cellStyle name="40% - 强调文字颜色 1 3 2 2 2 3" xfId="47733"/>
    <cellStyle name="40% - 强调文字颜色 1 3 2 2 3" xfId="47734"/>
    <cellStyle name="40% - 强调文字颜色 1 3 2 2 3 2" xfId="47735"/>
    <cellStyle name="40% - 强调文字颜色 1 3 2 2 4" xfId="47736"/>
    <cellStyle name="40% - 强调文字颜色 1 3 2 3" xfId="47737"/>
    <cellStyle name="40% - 强调文字颜色 1 3 2 4" xfId="47738"/>
    <cellStyle name="40% - 强调文字颜色 1 3 2 4 2" xfId="47739"/>
    <cellStyle name="40% - 强调文字颜色 1 3 2 4 2 2" xfId="47740"/>
    <cellStyle name="40% - 强调文字颜色 1 3 2 4 3" xfId="47741"/>
    <cellStyle name="40% - 强调文字颜色 1 3 2 5" xfId="47742"/>
    <cellStyle name="40% - 强调文字颜色 1 3 2 5 2" xfId="47743"/>
    <cellStyle name="40% - 强调文字颜色 1 3 2 5 2 2" xfId="47744"/>
    <cellStyle name="40% - 强调文字颜色 1 3 2 5 3" xfId="47745"/>
    <cellStyle name="40% - 强调文字颜色 1 3 2 6" xfId="47746"/>
    <cellStyle name="40% - 强调文字颜色 1 3 2 6 2" xfId="47747"/>
    <cellStyle name="40% - 强调文字颜色 1 3 2 6 2 2" xfId="47748"/>
    <cellStyle name="40% - 强调文字颜色 1 3 2 6 3" xfId="47749"/>
    <cellStyle name="40% - 强调文字颜色 1 3 3" xfId="1194"/>
    <cellStyle name="40% - 强调文字颜色 1 3 3 2" xfId="47750"/>
    <cellStyle name="40% - 强调文字颜色 1 3 3 2 2" xfId="47751"/>
    <cellStyle name="40% - 强调文字颜色 1 3 3 2 2 2" xfId="47752"/>
    <cellStyle name="40% - 强调文字颜色 1 3 3 2 3" xfId="47753"/>
    <cellStyle name="40% - 强调文字颜色 1 3 3 3" xfId="47754"/>
    <cellStyle name="40% - 强调文字颜色 1 3 3 3 2" xfId="47755"/>
    <cellStyle name="40% - 强调文字颜色 1 3 3 3 2 2" xfId="47756"/>
    <cellStyle name="40% - 强调文字颜色 1 3 3 3 3" xfId="47757"/>
    <cellStyle name="40% - 强调文字颜色 1 3 3 4" xfId="47758"/>
    <cellStyle name="40% - 强调文字颜色 1 3 3 4 2" xfId="47759"/>
    <cellStyle name="40% - 强调文字颜色 1 3 3 4 2 2" xfId="47760"/>
    <cellStyle name="40% - 强调文字颜色 1 3 3 4 3" xfId="47761"/>
    <cellStyle name="40% - 强调文字颜色 1 3 3 5" xfId="47762"/>
    <cellStyle name="40% - 强调文字颜色 1 3 3 5 2" xfId="47763"/>
    <cellStyle name="40% - 强调文字颜色 1 3 4" xfId="1195"/>
    <cellStyle name="40% - 强调文字颜色 1 3 4 2" xfId="47764"/>
    <cellStyle name="40% - 强调文字颜色 1 3 4 2 2" xfId="47765"/>
    <cellStyle name="40% - 强调文字颜色 1 3 4 2 2 2" xfId="47766"/>
    <cellStyle name="40% - 强调文字颜色 1 3 4 2 3" xfId="47767"/>
    <cellStyle name="40% - 强调文字颜色 1 3 4 3" xfId="47768"/>
    <cellStyle name="40% - 强调文字颜色 1 3 4 3 2" xfId="47769"/>
    <cellStyle name="40% - 强调文字颜色 1 3 4 3 2 2" xfId="47770"/>
    <cellStyle name="40% - 强调文字颜色 1 3 4 3 3" xfId="47771"/>
    <cellStyle name="40% - 强调文字颜色 1 3 4 4" xfId="47772"/>
    <cellStyle name="40% - 强调文字颜色 1 3 4 4 2" xfId="47773"/>
    <cellStyle name="40% - 强调文字颜色 1 3 4 4 2 2" xfId="47774"/>
    <cellStyle name="40% - 强调文字颜色 1 3 4 4 3" xfId="47775"/>
    <cellStyle name="40% - 强调文字颜色 1 3 4 5" xfId="47776"/>
    <cellStyle name="40% - 强调文字颜色 1 3 4 5 2" xfId="47777"/>
    <cellStyle name="40% - 强调文字颜色 1 3 5" xfId="1196"/>
    <cellStyle name="40% - 强调文字颜色 1 3 5 2" xfId="47778"/>
    <cellStyle name="40% - 强调文字颜色 1 3 5 2 2" xfId="47779"/>
    <cellStyle name="40% - 强调文字颜色 1 3 5 2 2 2" xfId="47780"/>
    <cellStyle name="40% - 强调文字颜色 1 3 5 2 3" xfId="47781"/>
    <cellStyle name="40% - 强调文字颜色 1 3 5 3" xfId="47782"/>
    <cellStyle name="40% - 强调文字颜色 1 3 5 3 2" xfId="47783"/>
    <cellStyle name="40% - 强调文字颜色 1 3 5 3 2 2" xfId="47784"/>
    <cellStyle name="40% - 强调文字颜色 1 3 5 3 3" xfId="47785"/>
    <cellStyle name="40% - 强调文字颜色 1 3 5 4" xfId="47786"/>
    <cellStyle name="40% - 强调文字颜色 1 3 5 4 2" xfId="47787"/>
    <cellStyle name="40% - 强调文字颜色 1 3 5 4 2 2" xfId="47788"/>
    <cellStyle name="40% - 强调文字颜色 1 3 5 4 3" xfId="47789"/>
    <cellStyle name="40% - 强调文字颜色 1 3 5 5" xfId="47790"/>
    <cellStyle name="40% - 强调文字颜色 1 3 5 5 2" xfId="47791"/>
    <cellStyle name="40% - 强调文字颜色 1 3 5 6" xfId="47792"/>
    <cellStyle name="40% - 强调文字颜色 1 3 6" xfId="1197"/>
    <cellStyle name="40% - 强调文字颜色 1 3 6 2" xfId="47793"/>
    <cellStyle name="40% - 强调文字颜色 1 3 6 2 2" xfId="47794"/>
    <cellStyle name="40% - 强调文字颜色 1 3 6 2 2 2" xfId="47795"/>
    <cellStyle name="40% - 强调文字颜色 1 3 6 2 3" xfId="47796"/>
    <cellStyle name="40% - 强调文字颜色 1 3 6 3" xfId="47797"/>
    <cellStyle name="40% - 强调文字颜色 1 3 6 3 2" xfId="47798"/>
    <cellStyle name="40% - 强调文字颜色 1 3 6 3 2 2" xfId="47799"/>
    <cellStyle name="40% - 强调文字颜色 1 3 6 3 3" xfId="47800"/>
    <cellStyle name="40% - 强调文字颜色 1 3 6 4" xfId="47801"/>
    <cellStyle name="40% - 强调文字颜色 1 3 6 4 2" xfId="47802"/>
    <cellStyle name="40% - 强调文字颜色 1 3 6 4 2 2" xfId="47803"/>
    <cellStyle name="40% - 强调文字颜色 1 3 6 4 3" xfId="47804"/>
    <cellStyle name="40% - 强调文字颜色 1 3 6 5" xfId="47805"/>
    <cellStyle name="40% - 强调文字颜色 1 3 6 5 2" xfId="47806"/>
    <cellStyle name="40% - 强调文字颜色 1 3 6 6" xfId="47807"/>
    <cellStyle name="40% - 强调文字颜色 1 3 7" xfId="1198"/>
    <cellStyle name="40% - 强调文字颜色 1 3 7 2" xfId="47808"/>
    <cellStyle name="40% - 强调文字颜色 1 3 7 2 2" xfId="47809"/>
    <cellStyle name="40% - 强调文字颜色 1 3 7 2 2 2" xfId="47810"/>
    <cellStyle name="40% - 强调文字颜色 1 3 7 2 3" xfId="47811"/>
    <cellStyle name="40% - 强调文字颜色 1 3 7 3" xfId="47812"/>
    <cellStyle name="40% - 强调文字颜色 1 3 7 3 2" xfId="47813"/>
    <cellStyle name="40% - 强调文字颜色 1 3 7 3 2 2" xfId="47814"/>
    <cellStyle name="40% - 强调文字颜色 1 3 7 3 3" xfId="47815"/>
    <cellStyle name="40% - 强调文字颜色 1 3 7 4" xfId="47816"/>
    <cellStyle name="40% - 强调文字颜色 1 3 7 4 2" xfId="47817"/>
    <cellStyle name="40% - 强调文字颜色 1 3 7 4 2 2" xfId="47818"/>
    <cellStyle name="40% - 强调文字颜色 1 3 7 4 3" xfId="47819"/>
    <cellStyle name="40% - 强调文字颜色 1 3 7 5" xfId="47820"/>
    <cellStyle name="40% - 强调文字颜色 1 3 7 5 2" xfId="47821"/>
    <cellStyle name="40% - 强调文字颜色 1 3 7 6" xfId="47822"/>
    <cellStyle name="40% - 强调文字颜色 1 3 8" xfId="5767"/>
    <cellStyle name="40% - 强调文字颜色 1 3 8 2" xfId="47823"/>
    <cellStyle name="40% - 强调文字颜色 1 3 8 2 2" xfId="47824"/>
    <cellStyle name="40% - 强调文字颜色 1 3 8 2 2 2" xfId="47825"/>
    <cellStyle name="40% - 强调文字颜色 1 3 8 2 3" xfId="47826"/>
    <cellStyle name="40% - 强调文字颜色 1 3 8 3" xfId="47827"/>
    <cellStyle name="40% - 强调文字颜色 1 3 8 3 2" xfId="47828"/>
    <cellStyle name="40% - 强调文字颜色 1 3 8 3 2 2" xfId="47829"/>
    <cellStyle name="40% - 强调文字颜色 1 3 8 3 3" xfId="47830"/>
    <cellStyle name="40% - 强调文字颜色 1 3 8 4" xfId="47831"/>
    <cellStyle name="40% - 强调文字颜色 1 3 8 4 2" xfId="47832"/>
    <cellStyle name="40% - 强调文字颜色 1 3 8 4 2 2" xfId="47833"/>
    <cellStyle name="40% - 强调文字颜色 1 3 8 4 3" xfId="47834"/>
    <cellStyle name="40% - 强调文字颜色 1 3 8 5" xfId="47835"/>
    <cellStyle name="40% - 强调文字颜色 1 3 8 5 2" xfId="47836"/>
    <cellStyle name="40% - 强调文字颜色 1 3 8 6" xfId="47837"/>
    <cellStyle name="40% - 强调文字颜色 1 3 9" xfId="47838"/>
    <cellStyle name="40% - 强调文字颜色 1 3 9 2" xfId="47839"/>
    <cellStyle name="40% - 强调文字颜色 1 3 9 2 2" xfId="47840"/>
    <cellStyle name="40% - 强调文字颜色 1 3 9 2 2 2" xfId="47841"/>
    <cellStyle name="40% - 强调文字颜色 1 3 9 2 3" xfId="47842"/>
    <cellStyle name="40% - 强调文字颜色 1 3 9 3" xfId="47843"/>
    <cellStyle name="40% - 强调文字颜色 1 3 9 3 2" xfId="47844"/>
    <cellStyle name="40% - 强调文字颜色 1 3 9 4" xfId="47845"/>
    <cellStyle name="40% - 强调文字颜色 1 4" xfId="1199"/>
    <cellStyle name="40% - 强调文字颜色 1 4 2" xfId="5770"/>
    <cellStyle name="40% - 强调文字颜色 1 4 3" xfId="5769"/>
    <cellStyle name="40% - 强调文字颜色 1 4 4" xfId="47846"/>
    <cellStyle name="40% - 强调文字颜色 1 5" xfId="47847"/>
    <cellStyle name="40% - 强调文字颜色 1 6" xfId="47848"/>
    <cellStyle name="40% - 强调文字颜色 1 7" xfId="47849"/>
    <cellStyle name="40% - 强调文字颜色 1 7 2" xfId="47850"/>
    <cellStyle name="40% - 强调文字颜色 2 2" xfId="93"/>
    <cellStyle name="40% - 强调文字颜色 2 2 2" xfId="1200"/>
    <cellStyle name="40% - 强调文字颜色 2 2 2 2" xfId="1201"/>
    <cellStyle name="40% - 强调文字颜色 2 2 2 2 2" xfId="5773"/>
    <cellStyle name="40% - 强调文字颜色 2 2 2 2 3" xfId="47851"/>
    <cellStyle name="40% - 强调文字颜色 2 2 2 2 4" xfId="47852"/>
    <cellStyle name="40% - 强调文字颜色 2 2 2 3" xfId="1202"/>
    <cellStyle name="40% - 强调文字颜色 2 2 2 4" xfId="5772"/>
    <cellStyle name="40% - 强调文字颜色 2 2 2 5" xfId="47853"/>
    <cellStyle name="40% - 强调文字颜色 2 2 2 6" xfId="60864"/>
    <cellStyle name="40% - 强调文字颜色 2 2 3" xfId="1203"/>
    <cellStyle name="40% - 强调文字颜色 2 2 3 2" xfId="5774"/>
    <cellStyle name="40% - 强调文字颜色 2 2 3 3" xfId="47854"/>
    <cellStyle name="40% - 强调文字颜色 2 2 4" xfId="47855"/>
    <cellStyle name="40% - 强调文字颜色 2 2 5" xfId="47856"/>
    <cellStyle name="40% - 强调文字颜色 2 2 6" xfId="47857"/>
    <cellStyle name="40% - 强调文字颜色 2 2 7" xfId="47858"/>
    <cellStyle name="40% - 强调文字颜色 2 2 8" xfId="731"/>
    <cellStyle name="40% - 强调文字颜色 2 2 9" xfId="60863"/>
    <cellStyle name="40% - 强调文字颜色 2 3" xfId="1204"/>
    <cellStyle name="40% - 强调文字颜色 2 3 10" xfId="47859"/>
    <cellStyle name="40% - 强调文字颜色 2 3 11" xfId="47860"/>
    <cellStyle name="40% - 强调文字颜色 2 3 11 2" xfId="47861"/>
    <cellStyle name="40% - 强调文字颜色 2 3 11 2 2" xfId="47862"/>
    <cellStyle name="40% - 强调文字颜色 2 3 11 3" xfId="47863"/>
    <cellStyle name="40% - 强调文字颜色 2 3 12" xfId="47864"/>
    <cellStyle name="40% - 强调文字颜色 2 3 12 2" xfId="47865"/>
    <cellStyle name="40% - 强调文字颜色 2 3 12 2 2" xfId="47866"/>
    <cellStyle name="40% - 强调文字颜色 2 3 13" xfId="47867"/>
    <cellStyle name="40% - 强调文字颜色 2 3 13 2" xfId="47868"/>
    <cellStyle name="40% - 强调文字颜色 2 3 13 2 2" xfId="47869"/>
    <cellStyle name="40% - 强调文字颜色 2 3 13 3" xfId="47870"/>
    <cellStyle name="40% - 强调文字颜色 2 3 2" xfId="1205"/>
    <cellStyle name="40% - 强调文字颜色 2 3 2 2" xfId="5776"/>
    <cellStyle name="40% - 强调文字颜色 2 3 2 2 2" xfId="47871"/>
    <cellStyle name="40% - 强调文字颜色 2 3 2 2 2 2" xfId="47872"/>
    <cellStyle name="40% - 强调文字颜色 2 3 2 2 2 2 2" xfId="47873"/>
    <cellStyle name="40% - 强调文字颜色 2 3 2 2 2 3" xfId="47874"/>
    <cellStyle name="40% - 强调文字颜色 2 3 2 2 3" xfId="47875"/>
    <cellStyle name="40% - 强调文字颜色 2 3 2 2 3 2" xfId="47876"/>
    <cellStyle name="40% - 强调文字颜色 2 3 2 2 4" xfId="47877"/>
    <cellStyle name="40% - 强调文字颜色 2 3 2 3" xfId="47878"/>
    <cellStyle name="40% - 强调文字颜色 2 3 2 4" xfId="47879"/>
    <cellStyle name="40% - 强调文字颜色 2 3 2 4 2" xfId="47880"/>
    <cellStyle name="40% - 强调文字颜色 2 3 2 4 2 2" xfId="47881"/>
    <cellStyle name="40% - 强调文字颜色 2 3 2 4 3" xfId="47882"/>
    <cellStyle name="40% - 强调文字颜色 2 3 2 5" xfId="47883"/>
    <cellStyle name="40% - 强调文字颜色 2 3 2 5 2" xfId="47884"/>
    <cellStyle name="40% - 强调文字颜色 2 3 2 5 2 2" xfId="47885"/>
    <cellStyle name="40% - 强调文字颜色 2 3 2 5 3" xfId="47886"/>
    <cellStyle name="40% - 强调文字颜色 2 3 2 6" xfId="47887"/>
    <cellStyle name="40% - 强调文字颜色 2 3 2 6 2" xfId="47888"/>
    <cellStyle name="40% - 强调文字颜色 2 3 2 6 2 2" xfId="47889"/>
    <cellStyle name="40% - 强调文字颜色 2 3 2 6 3" xfId="47890"/>
    <cellStyle name="40% - 强调文字颜色 2 3 3" xfId="1206"/>
    <cellStyle name="40% - 强调文字颜色 2 3 3 2" xfId="47891"/>
    <cellStyle name="40% - 强调文字颜色 2 3 3 2 2" xfId="47892"/>
    <cellStyle name="40% - 强调文字颜色 2 3 3 2 2 2" xfId="47893"/>
    <cellStyle name="40% - 强调文字颜色 2 3 3 2 3" xfId="47894"/>
    <cellStyle name="40% - 强调文字颜色 2 3 3 3" xfId="47895"/>
    <cellStyle name="40% - 强调文字颜色 2 3 3 3 2" xfId="47896"/>
    <cellStyle name="40% - 强调文字颜色 2 3 3 3 2 2" xfId="47897"/>
    <cellStyle name="40% - 强调文字颜色 2 3 3 3 3" xfId="47898"/>
    <cellStyle name="40% - 强调文字颜色 2 3 3 4" xfId="47899"/>
    <cellStyle name="40% - 强调文字颜色 2 3 3 4 2" xfId="47900"/>
    <cellStyle name="40% - 强调文字颜色 2 3 3 4 2 2" xfId="47901"/>
    <cellStyle name="40% - 强调文字颜色 2 3 3 4 3" xfId="47902"/>
    <cellStyle name="40% - 强调文字颜色 2 3 3 5" xfId="47903"/>
    <cellStyle name="40% - 强调文字颜色 2 3 3 5 2" xfId="47904"/>
    <cellStyle name="40% - 强调文字颜色 2 3 4" xfId="1207"/>
    <cellStyle name="40% - 强调文字颜色 2 3 4 2" xfId="47905"/>
    <cellStyle name="40% - 强调文字颜色 2 3 4 2 2" xfId="47906"/>
    <cellStyle name="40% - 强调文字颜色 2 3 4 2 2 2" xfId="47907"/>
    <cellStyle name="40% - 强调文字颜色 2 3 4 2 3" xfId="47908"/>
    <cellStyle name="40% - 强调文字颜色 2 3 4 3" xfId="47909"/>
    <cellStyle name="40% - 强调文字颜色 2 3 4 3 2" xfId="47910"/>
    <cellStyle name="40% - 强调文字颜色 2 3 4 3 2 2" xfId="47911"/>
    <cellStyle name="40% - 强调文字颜色 2 3 4 3 3" xfId="47912"/>
    <cellStyle name="40% - 强调文字颜色 2 3 4 4" xfId="47913"/>
    <cellStyle name="40% - 强调文字颜色 2 3 4 4 2" xfId="47914"/>
    <cellStyle name="40% - 强调文字颜色 2 3 4 4 2 2" xfId="47915"/>
    <cellStyle name="40% - 强调文字颜色 2 3 4 4 3" xfId="47916"/>
    <cellStyle name="40% - 强调文字颜色 2 3 4 5" xfId="47917"/>
    <cellStyle name="40% - 强调文字颜色 2 3 4 5 2" xfId="47918"/>
    <cellStyle name="40% - 强调文字颜色 2 3 5" xfId="1208"/>
    <cellStyle name="40% - 强调文字颜色 2 3 5 2" xfId="47919"/>
    <cellStyle name="40% - 强调文字颜色 2 3 5 2 2" xfId="47920"/>
    <cellStyle name="40% - 强调文字颜色 2 3 5 2 2 2" xfId="47921"/>
    <cellStyle name="40% - 强调文字颜色 2 3 5 2 3" xfId="47922"/>
    <cellStyle name="40% - 强调文字颜色 2 3 5 3" xfId="47923"/>
    <cellStyle name="40% - 强调文字颜色 2 3 5 3 2" xfId="47924"/>
    <cellStyle name="40% - 强调文字颜色 2 3 5 3 2 2" xfId="47925"/>
    <cellStyle name="40% - 强调文字颜色 2 3 5 3 3" xfId="47926"/>
    <cellStyle name="40% - 强调文字颜色 2 3 5 4" xfId="47927"/>
    <cellStyle name="40% - 强调文字颜色 2 3 5 4 2" xfId="47928"/>
    <cellStyle name="40% - 强调文字颜色 2 3 5 4 2 2" xfId="47929"/>
    <cellStyle name="40% - 强调文字颜色 2 3 5 4 3" xfId="47930"/>
    <cellStyle name="40% - 强调文字颜色 2 3 5 5" xfId="47931"/>
    <cellStyle name="40% - 强调文字颜色 2 3 5 5 2" xfId="47932"/>
    <cellStyle name="40% - 强调文字颜色 2 3 5 6" xfId="47933"/>
    <cellStyle name="40% - 强调文字颜色 2 3 6" xfId="1209"/>
    <cellStyle name="40% - 强调文字颜色 2 3 6 2" xfId="47934"/>
    <cellStyle name="40% - 强调文字颜色 2 3 6 2 2" xfId="47935"/>
    <cellStyle name="40% - 强调文字颜色 2 3 6 2 2 2" xfId="47936"/>
    <cellStyle name="40% - 强调文字颜色 2 3 6 2 3" xfId="47937"/>
    <cellStyle name="40% - 强调文字颜色 2 3 6 3" xfId="47938"/>
    <cellStyle name="40% - 强调文字颜色 2 3 6 3 2" xfId="47939"/>
    <cellStyle name="40% - 强调文字颜色 2 3 6 3 2 2" xfId="47940"/>
    <cellStyle name="40% - 强调文字颜色 2 3 6 3 3" xfId="47941"/>
    <cellStyle name="40% - 强调文字颜色 2 3 6 4" xfId="47942"/>
    <cellStyle name="40% - 强调文字颜色 2 3 6 4 2" xfId="47943"/>
    <cellStyle name="40% - 强调文字颜色 2 3 6 4 2 2" xfId="47944"/>
    <cellStyle name="40% - 强调文字颜色 2 3 6 4 3" xfId="47945"/>
    <cellStyle name="40% - 强调文字颜色 2 3 6 5" xfId="47946"/>
    <cellStyle name="40% - 强调文字颜色 2 3 6 5 2" xfId="47947"/>
    <cellStyle name="40% - 强调文字颜色 2 3 6 6" xfId="47948"/>
    <cellStyle name="40% - 强调文字颜色 2 3 7" xfId="1210"/>
    <cellStyle name="40% - 强调文字颜色 2 3 7 2" xfId="47949"/>
    <cellStyle name="40% - 强调文字颜色 2 3 7 2 2" xfId="47950"/>
    <cellStyle name="40% - 强调文字颜色 2 3 7 2 2 2" xfId="47951"/>
    <cellStyle name="40% - 强调文字颜色 2 3 7 2 3" xfId="47952"/>
    <cellStyle name="40% - 强调文字颜色 2 3 7 3" xfId="47953"/>
    <cellStyle name="40% - 强调文字颜色 2 3 7 3 2" xfId="47954"/>
    <cellStyle name="40% - 强调文字颜色 2 3 7 3 2 2" xfId="47955"/>
    <cellStyle name="40% - 强调文字颜色 2 3 7 3 3" xfId="47956"/>
    <cellStyle name="40% - 强调文字颜色 2 3 7 4" xfId="47957"/>
    <cellStyle name="40% - 强调文字颜色 2 3 7 4 2" xfId="47958"/>
    <cellStyle name="40% - 强调文字颜色 2 3 7 4 2 2" xfId="47959"/>
    <cellStyle name="40% - 强调文字颜色 2 3 7 4 3" xfId="47960"/>
    <cellStyle name="40% - 强调文字颜色 2 3 7 5" xfId="47961"/>
    <cellStyle name="40% - 强调文字颜色 2 3 7 5 2" xfId="47962"/>
    <cellStyle name="40% - 强调文字颜色 2 3 7 6" xfId="47963"/>
    <cellStyle name="40% - 强调文字颜色 2 3 8" xfId="5775"/>
    <cellStyle name="40% - 强调文字颜色 2 3 8 2" xfId="47964"/>
    <cellStyle name="40% - 强调文字颜色 2 3 8 2 2" xfId="47965"/>
    <cellStyle name="40% - 强调文字颜色 2 3 8 2 2 2" xfId="47966"/>
    <cellStyle name="40% - 强调文字颜色 2 3 8 2 3" xfId="47967"/>
    <cellStyle name="40% - 强调文字颜色 2 3 8 3" xfId="47968"/>
    <cellStyle name="40% - 强调文字颜色 2 3 8 3 2" xfId="47969"/>
    <cellStyle name="40% - 强调文字颜色 2 3 8 3 2 2" xfId="47970"/>
    <cellStyle name="40% - 强调文字颜色 2 3 8 3 3" xfId="47971"/>
    <cellStyle name="40% - 强调文字颜色 2 3 8 4" xfId="47972"/>
    <cellStyle name="40% - 强调文字颜色 2 3 8 4 2" xfId="47973"/>
    <cellStyle name="40% - 强调文字颜色 2 3 8 4 2 2" xfId="47974"/>
    <cellStyle name="40% - 强调文字颜色 2 3 8 4 3" xfId="47975"/>
    <cellStyle name="40% - 强调文字颜色 2 3 8 5" xfId="47976"/>
    <cellStyle name="40% - 强调文字颜色 2 3 8 5 2" xfId="47977"/>
    <cellStyle name="40% - 强调文字颜色 2 3 8 6" xfId="47978"/>
    <cellStyle name="40% - 强调文字颜色 2 3 9" xfId="47979"/>
    <cellStyle name="40% - 强调文字颜色 2 3 9 2" xfId="47980"/>
    <cellStyle name="40% - 强调文字颜色 2 3 9 2 2" xfId="47981"/>
    <cellStyle name="40% - 强调文字颜色 2 3 9 2 2 2" xfId="47982"/>
    <cellStyle name="40% - 强调文字颜色 2 3 9 2 3" xfId="47983"/>
    <cellStyle name="40% - 强调文字颜色 2 3 9 3" xfId="47984"/>
    <cellStyle name="40% - 强调文字颜色 2 3 9 3 2" xfId="47985"/>
    <cellStyle name="40% - 强调文字颜色 2 3 9 4" xfId="47986"/>
    <cellStyle name="40% - 强调文字颜色 2 4" xfId="1211"/>
    <cellStyle name="40% - 强调文字颜色 2 4 2" xfId="5778"/>
    <cellStyle name="40% - 强调文字颜色 2 4 3" xfId="5777"/>
    <cellStyle name="40% - 强调文字颜色 2 4 4" xfId="47987"/>
    <cellStyle name="40% - 强调文字颜色 2 5" xfId="47988"/>
    <cellStyle name="40% - 强调文字颜色 2 56 6" xfId="47989"/>
    <cellStyle name="40% - 强调文字颜色 2 6" xfId="47990"/>
    <cellStyle name="40% - 强调文字颜色 2 6 2 2 6" xfId="47991"/>
    <cellStyle name="40% - 强调文字颜色 2 7" xfId="47992"/>
    <cellStyle name="40% - 强调文字颜色 2 7 2" xfId="47993"/>
    <cellStyle name="40% - 强调文字颜色 3 2" xfId="94"/>
    <cellStyle name="40% - 强调文字颜色 3 2 2" xfId="1212"/>
    <cellStyle name="40% - 强调文字颜色 3 2 2 2" xfId="1213"/>
    <cellStyle name="40% - 强调文字颜色 3 2 2 2 2" xfId="5781"/>
    <cellStyle name="40% - 强调文字颜色 3 2 2 2 3" xfId="47994"/>
    <cellStyle name="40% - 强调文字颜色 3 2 2 2 4" xfId="47995"/>
    <cellStyle name="40% - 强调文字颜色 3 2 2 3" xfId="1214"/>
    <cellStyle name="40% - 强调文字颜色 3 2 2 4" xfId="5780"/>
    <cellStyle name="40% - 强调文字颜色 3 2 2 5" xfId="47996"/>
    <cellStyle name="40% - 强调文字颜色 3 2 2 6" xfId="60866"/>
    <cellStyle name="40% - 强调文字颜色 3 2 3" xfId="1215"/>
    <cellStyle name="40% - 强调文字颜色 3 2 3 2" xfId="5782"/>
    <cellStyle name="40% - 强调文字颜色 3 2 4" xfId="47997"/>
    <cellStyle name="40% - 强调文字颜色 3 2 5" xfId="47998"/>
    <cellStyle name="40% - 强调文字颜色 3 2 6" xfId="47999"/>
    <cellStyle name="40% - 强调文字颜色 3 2 7" xfId="48000"/>
    <cellStyle name="40% - 强调文字颜色 3 2 8" xfId="732"/>
    <cellStyle name="40% - 强调文字颜色 3 2 9" xfId="60865"/>
    <cellStyle name="40% - 强调文字颜色 3 3" xfId="1216"/>
    <cellStyle name="40% - 强调文字颜色 3 3 10" xfId="48001"/>
    <cellStyle name="40% - 强调文字颜色 3 3 11" xfId="48002"/>
    <cellStyle name="40% - 强调文字颜色 3 3 11 2" xfId="48003"/>
    <cellStyle name="40% - 强调文字颜色 3 3 11 2 2" xfId="48004"/>
    <cellStyle name="40% - 强调文字颜色 3 3 11 3" xfId="48005"/>
    <cellStyle name="40% - 强调文字颜色 3 3 12" xfId="48006"/>
    <cellStyle name="40% - 强调文字颜色 3 3 12 2" xfId="48007"/>
    <cellStyle name="40% - 强调文字颜色 3 3 12 2 2" xfId="48008"/>
    <cellStyle name="40% - 强调文字颜色 3 3 13" xfId="48009"/>
    <cellStyle name="40% - 强调文字颜色 3 3 13 2" xfId="48010"/>
    <cellStyle name="40% - 强调文字颜色 3 3 13 2 2" xfId="48011"/>
    <cellStyle name="40% - 强调文字颜色 3 3 13 3" xfId="48012"/>
    <cellStyle name="40% - 强调文字颜色 3 3 14" xfId="48013"/>
    <cellStyle name="40% - 强调文字颜色 3 3 2" xfId="1217"/>
    <cellStyle name="40% - 强调文字颜色 3 3 2 2" xfId="1218"/>
    <cellStyle name="40% - 强调文字颜色 3 3 2 3" xfId="5784"/>
    <cellStyle name="40% - 强调文字颜色 3 3 2 3 2" xfId="48014"/>
    <cellStyle name="40% - 强调文字颜色 3 3 2 3 2 2" xfId="48015"/>
    <cellStyle name="40% - 强调文字颜色 3 3 2 3 2 2 2" xfId="48016"/>
    <cellStyle name="40% - 强调文字颜色 3 3 2 3 2 3" xfId="48017"/>
    <cellStyle name="40% - 强调文字颜色 3 3 2 3 3" xfId="48018"/>
    <cellStyle name="40% - 强调文字颜色 3 3 2 3 3 2" xfId="48019"/>
    <cellStyle name="40% - 强调文字颜色 3 3 2 3 4" xfId="48020"/>
    <cellStyle name="40% - 强调文字颜色 3 3 2 4" xfId="48021"/>
    <cellStyle name="40% - 强调文字颜色 3 3 2 5" xfId="48022"/>
    <cellStyle name="40% - 强调文字颜色 3 3 2 5 2" xfId="48023"/>
    <cellStyle name="40% - 强调文字颜色 3 3 2 5 2 2" xfId="48024"/>
    <cellStyle name="40% - 强调文字颜色 3 3 2 5 3" xfId="48025"/>
    <cellStyle name="40% - 强调文字颜色 3 3 2 6" xfId="48026"/>
    <cellStyle name="40% - 强调文字颜色 3 3 2 6 2" xfId="48027"/>
    <cellStyle name="40% - 强调文字颜色 3 3 2 6 2 2" xfId="48028"/>
    <cellStyle name="40% - 强调文字颜色 3 3 2 6 3" xfId="48029"/>
    <cellStyle name="40% - 强调文字颜色 3 3 2 7" xfId="48030"/>
    <cellStyle name="40% - 强调文字颜色 3 3 2 7 2" xfId="48031"/>
    <cellStyle name="40% - 强调文字颜色 3 3 2 7 2 2" xfId="48032"/>
    <cellStyle name="40% - 强调文字颜色 3 3 2 7 3" xfId="48033"/>
    <cellStyle name="40% - 强调文字颜色 3 3 3" xfId="1219"/>
    <cellStyle name="40% - 强调文字颜色 3 3 3 2" xfId="48034"/>
    <cellStyle name="40% - 强调文字颜色 3 3 3 2 2" xfId="48035"/>
    <cellStyle name="40% - 强调文字颜色 3 3 3 2 2 2" xfId="48036"/>
    <cellStyle name="40% - 强调文字颜色 3 3 3 2 3" xfId="48037"/>
    <cellStyle name="40% - 强调文字颜色 3 3 3 3" xfId="48038"/>
    <cellStyle name="40% - 强调文字颜色 3 3 3 3 2" xfId="48039"/>
    <cellStyle name="40% - 强调文字颜色 3 3 3 3 2 2" xfId="48040"/>
    <cellStyle name="40% - 强调文字颜色 3 3 3 3 3" xfId="48041"/>
    <cellStyle name="40% - 强调文字颜色 3 3 3 4" xfId="48042"/>
    <cellStyle name="40% - 强调文字颜色 3 3 3 4 2" xfId="48043"/>
    <cellStyle name="40% - 强调文字颜色 3 3 3 4 2 2" xfId="48044"/>
    <cellStyle name="40% - 强调文字颜色 3 3 3 4 3" xfId="48045"/>
    <cellStyle name="40% - 强调文字颜色 3 3 3 5" xfId="48046"/>
    <cellStyle name="40% - 强调文字颜色 3 3 3 5 2" xfId="48047"/>
    <cellStyle name="40% - 强调文字颜色 3 3 4" xfId="1220"/>
    <cellStyle name="40% - 强调文字颜色 3 3 4 2" xfId="48048"/>
    <cellStyle name="40% - 强调文字颜色 3 3 4 2 2" xfId="48049"/>
    <cellStyle name="40% - 强调文字颜色 3 3 4 2 2 2" xfId="48050"/>
    <cellStyle name="40% - 强调文字颜色 3 3 4 2 3" xfId="48051"/>
    <cellStyle name="40% - 强调文字颜色 3 3 4 3" xfId="48052"/>
    <cellStyle name="40% - 强调文字颜色 3 3 4 3 2" xfId="48053"/>
    <cellStyle name="40% - 强调文字颜色 3 3 4 3 2 2" xfId="48054"/>
    <cellStyle name="40% - 强调文字颜色 3 3 4 3 3" xfId="48055"/>
    <cellStyle name="40% - 强调文字颜色 3 3 4 4" xfId="48056"/>
    <cellStyle name="40% - 强调文字颜色 3 3 4 4 2" xfId="48057"/>
    <cellStyle name="40% - 强调文字颜色 3 3 4 4 2 2" xfId="48058"/>
    <cellStyle name="40% - 强调文字颜色 3 3 4 4 3" xfId="48059"/>
    <cellStyle name="40% - 强调文字颜色 3 3 4 5" xfId="48060"/>
    <cellStyle name="40% - 强调文字颜色 3 3 4 5 2" xfId="48061"/>
    <cellStyle name="40% - 强调文字颜色 3 3 5" xfId="1221"/>
    <cellStyle name="40% - 强调文字颜色 3 3 5 2" xfId="48062"/>
    <cellStyle name="40% - 强调文字颜色 3 3 5 2 2" xfId="48063"/>
    <cellStyle name="40% - 强调文字颜色 3 3 5 2 2 2" xfId="48064"/>
    <cellStyle name="40% - 强调文字颜色 3 3 5 2 3" xfId="48065"/>
    <cellStyle name="40% - 强调文字颜色 3 3 5 3" xfId="48066"/>
    <cellStyle name="40% - 强调文字颜色 3 3 5 3 2" xfId="48067"/>
    <cellStyle name="40% - 强调文字颜色 3 3 5 3 2 2" xfId="48068"/>
    <cellStyle name="40% - 强调文字颜色 3 3 5 3 3" xfId="48069"/>
    <cellStyle name="40% - 强调文字颜色 3 3 5 4" xfId="48070"/>
    <cellStyle name="40% - 强调文字颜色 3 3 5 4 2" xfId="48071"/>
    <cellStyle name="40% - 强调文字颜色 3 3 5 4 2 2" xfId="48072"/>
    <cellStyle name="40% - 强调文字颜色 3 3 5 4 3" xfId="48073"/>
    <cellStyle name="40% - 强调文字颜色 3 3 5 5" xfId="48074"/>
    <cellStyle name="40% - 强调文字颜色 3 3 5 5 2" xfId="48075"/>
    <cellStyle name="40% - 强调文字颜色 3 3 5 6" xfId="48076"/>
    <cellStyle name="40% - 强调文字颜色 3 3 6" xfId="1222"/>
    <cellStyle name="40% - 强调文字颜色 3 3 6 2" xfId="48077"/>
    <cellStyle name="40% - 强调文字颜色 3 3 6 2 2" xfId="48078"/>
    <cellStyle name="40% - 强调文字颜色 3 3 6 2 2 2" xfId="48079"/>
    <cellStyle name="40% - 强调文字颜色 3 3 6 2 3" xfId="48080"/>
    <cellStyle name="40% - 强调文字颜色 3 3 6 3" xfId="48081"/>
    <cellStyle name="40% - 强调文字颜色 3 3 6 3 2" xfId="48082"/>
    <cellStyle name="40% - 强调文字颜色 3 3 6 3 2 2" xfId="48083"/>
    <cellStyle name="40% - 强调文字颜色 3 3 6 3 3" xfId="48084"/>
    <cellStyle name="40% - 强调文字颜色 3 3 6 4" xfId="48085"/>
    <cellStyle name="40% - 强调文字颜色 3 3 6 4 2" xfId="48086"/>
    <cellStyle name="40% - 强调文字颜色 3 3 6 4 2 2" xfId="48087"/>
    <cellStyle name="40% - 强调文字颜色 3 3 6 4 3" xfId="48088"/>
    <cellStyle name="40% - 强调文字颜色 3 3 6 5" xfId="48089"/>
    <cellStyle name="40% - 强调文字颜色 3 3 6 5 2" xfId="48090"/>
    <cellStyle name="40% - 强调文字颜色 3 3 6 6" xfId="48091"/>
    <cellStyle name="40% - 强调文字颜色 3 3 7" xfId="1223"/>
    <cellStyle name="40% - 强调文字颜色 3 3 7 2" xfId="48092"/>
    <cellStyle name="40% - 强调文字颜色 3 3 7 2 2" xfId="48093"/>
    <cellStyle name="40% - 强调文字颜色 3 3 7 2 2 2" xfId="48094"/>
    <cellStyle name="40% - 强调文字颜色 3 3 7 2 3" xfId="48095"/>
    <cellStyle name="40% - 强调文字颜色 3 3 7 3" xfId="48096"/>
    <cellStyle name="40% - 强调文字颜色 3 3 7 3 2" xfId="48097"/>
    <cellStyle name="40% - 强调文字颜色 3 3 7 3 2 2" xfId="48098"/>
    <cellStyle name="40% - 强调文字颜色 3 3 7 3 3" xfId="48099"/>
    <cellStyle name="40% - 强调文字颜色 3 3 7 4" xfId="48100"/>
    <cellStyle name="40% - 强调文字颜色 3 3 7 4 2" xfId="48101"/>
    <cellStyle name="40% - 强调文字颜色 3 3 7 4 2 2" xfId="48102"/>
    <cellStyle name="40% - 强调文字颜色 3 3 7 4 3" xfId="48103"/>
    <cellStyle name="40% - 强调文字颜色 3 3 7 5" xfId="48104"/>
    <cellStyle name="40% - 强调文字颜色 3 3 7 5 2" xfId="48105"/>
    <cellStyle name="40% - 强调文字颜色 3 3 7 6" xfId="48106"/>
    <cellStyle name="40% - 强调文字颜色 3 3 8" xfId="5783"/>
    <cellStyle name="40% - 强调文字颜色 3 3 8 2" xfId="48107"/>
    <cellStyle name="40% - 强调文字颜色 3 3 8 2 2" xfId="48108"/>
    <cellStyle name="40% - 强调文字颜色 3 3 8 2 2 2" xfId="48109"/>
    <cellStyle name="40% - 强调文字颜色 3 3 8 2 3" xfId="48110"/>
    <cellStyle name="40% - 强调文字颜色 3 3 8 3" xfId="48111"/>
    <cellStyle name="40% - 强调文字颜色 3 3 8 3 2" xfId="48112"/>
    <cellStyle name="40% - 强调文字颜色 3 3 8 3 2 2" xfId="48113"/>
    <cellStyle name="40% - 强调文字颜色 3 3 8 3 3" xfId="48114"/>
    <cellStyle name="40% - 强调文字颜色 3 3 8 4" xfId="48115"/>
    <cellStyle name="40% - 强调文字颜色 3 3 8 4 2" xfId="48116"/>
    <cellStyle name="40% - 强调文字颜色 3 3 8 4 2 2" xfId="48117"/>
    <cellStyle name="40% - 强调文字颜色 3 3 8 4 3" xfId="48118"/>
    <cellStyle name="40% - 强调文字颜色 3 3 8 5" xfId="48119"/>
    <cellStyle name="40% - 强调文字颜色 3 3 8 5 2" xfId="48120"/>
    <cellStyle name="40% - 强调文字颜色 3 3 8 6" xfId="48121"/>
    <cellStyle name="40% - 强调文字颜色 3 3 9" xfId="48122"/>
    <cellStyle name="40% - 强调文字颜色 3 3 9 2" xfId="48123"/>
    <cellStyle name="40% - 强调文字颜色 3 3 9 2 2" xfId="48124"/>
    <cellStyle name="40% - 强调文字颜色 3 3 9 2 2 2" xfId="48125"/>
    <cellStyle name="40% - 强调文字颜色 3 3 9 2 3" xfId="48126"/>
    <cellStyle name="40% - 强调文字颜色 3 3 9 3" xfId="48127"/>
    <cellStyle name="40% - 强调文字颜色 3 3 9 3 2" xfId="48128"/>
    <cellStyle name="40% - 强调文字颜色 3 3 9 4" xfId="48129"/>
    <cellStyle name="40% - 强调文字颜色 3 4" xfId="1224"/>
    <cellStyle name="40% - 强调文字颜色 3 4 2" xfId="5786"/>
    <cellStyle name="40% - 强调文字颜色 3 4 3" xfId="5785"/>
    <cellStyle name="40% - 强调文字颜色 3 4 4" xfId="48130"/>
    <cellStyle name="40% - 强调文字颜色 3 5" xfId="48131"/>
    <cellStyle name="40% - 强调文字颜色 3 6" xfId="48132"/>
    <cellStyle name="40% - 强调文字颜色 3 7" xfId="48133"/>
    <cellStyle name="40% - 强调文字颜色 3 7 2" xfId="48134"/>
    <cellStyle name="40% - 强调文字颜色 4 2" xfId="95"/>
    <cellStyle name="40% - 强调文字颜色 4 2 2" xfId="1225"/>
    <cellStyle name="40% - 强调文字颜色 4 2 2 2" xfId="1226"/>
    <cellStyle name="40% - 强调文字颜色 4 2 2 2 2" xfId="5789"/>
    <cellStyle name="40% - 强调文字颜色 4 2 2 2 3" xfId="48135"/>
    <cellStyle name="40% - 强调文字颜色 4 2 2 2 4" xfId="48136"/>
    <cellStyle name="40% - 强调文字颜色 4 2 2 3" xfId="1227"/>
    <cellStyle name="40% - 强调文字颜色 4 2 2 4" xfId="5788"/>
    <cellStyle name="40% - 强调文字颜色 4 2 2 5" xfId="48137"/>
    <cellStyle name="40% - 强调文字颜色 4 2 2 6" xfId="60868"/>
    <cellStyle name="40% - 强调文字颜色 4 2 3" xfId="1228"/>
    <cellStyle name="40% - 强调文字颜色 4 2 3 2" xfId="5790"/>
    <cellStyle name="40% - 强调文字颜色 4 2 4" xfId="48138"/>
    <cellStyle name="40% - 强调文字颜色 4 2 5" xfId="48139"/>
    <cellStyle name="40% - 强调文字颜色 4 2 6" xfId="48140"/>
    <cellStyle name="40% - 强调文字颜色 4 2 7" xfId="48141"/>
    <cellStyle name="40% - 强调文字颜色 4 2 8" xfId="733"/>
    <cellStyle name="40% - 强调文字颜色 4 2 9" xfId="60867"/>
    <cellStyle name="40% - 强调文字颜色 4 3" xfId="1229"/>
    <cellStyle name="40% - 强调文字颜色 4 3 10" xfId="48142"/>
    <cellStyle name="40% - 强调文字颜色 4 3 11" xfId="48143"/>
    <cellStyle name="40% - 强调文字颜色 4 3 11 2" xfId="48144"/>
    <cellStyle name="40% - 强调文字颜色 4 3 11 2 2" xfId="48145"/>
    <cellStyle name="40% - 强调文字颜色 4 3 11 3" xfId="48146"/>
    <cellStyle name="40% - 强调文字颜色 4 3 12" xfId="48147"/>
    <cellStyle name="40% - 强调文字颜色 4 3 12 2" xfId="48148"/>
    <cellStyle name="40% - 强调文字颜色 4 3 12 2 2" xfId="48149"/>
    <cellStyle name="40% - 强调文字颜色 4 3 13" xfId="48150"/>
    <cellStyle name="40% - 强调文字颜色 4 3 13 2" xfId="48151"/>
    <cellStyle name="40% - 强调文字颜色 4 3 13 2 2" xfId="48152"/>
    <cellStyle name="40% - 强调文字颜色 4 3 13 3" xfId="48153"/>
    <cellStyle name="40% - 强调文字颜色 4 3 14" xfId="48154"/>
    <cellStyle name="40% - 强调文字颜色 4 3 2" xfId="1230"/>
    <cellStyle name="40% - 强调文字颜色 4 3 2 2" xfId="5792"/>
    <cellStyle name="40% - 强调文字颜色 4 3 2 2 2" xfId="48155"/>
    <cellStyle name="40% - 强调文字颜色 4 3 2 2 2 2" xfId="48156"/>
    <cellStyle name="40% - 强调文字颜色 4 3 2 2 2 2 2" xfId="48157"/>
    <cellStyle name="40% - 强调文字颜色 4 3 2 2 2 3" xfId="48158"/>
    <cellStyle name="40% - 强调文字颜色 4 3 2 2 3" xfId="48159"/>
    <cellStyle name="40% - 强调文字颜色 4 3 2 2 3 2" xfId="48160"/>
    <cellStyle name="40% - 强调文字颜色 4 3 2 2 4" xfId="48161"/>
    <cellStyle name="40% - 强调文字颜色 4 3 2 3" xfId="48162"/>
    <cellStyle name="40% - 强调文字颜色 4 3 2 4" xfId="48163"/>
    <cellStyle name="40% - 强调文字颜色 4 3 2 4 2" xfId="48164"/>
    <cellStyle name="40% - 强调文字颜色 4 3 2 4 2 2" xfId="48165"/>
    <cellStyle name="40% - 强调文字颜色 4 3 2 4 3" xfId="48166"/>
    <cellStyle name="40% - 强调文字颜色 4 3 2 5" xfId="48167"/>
    <cellStyle name="40% - 强调文字颜色 4 3 2 5 2" xfId="48168"/>
    <cellStyle name="40% - 强调文字颜色 4 3 2 5 2 2" xfId="48169"/>
    <cellStyle name="40% - 强调文字颜色 4 3 2 5 3" xfId="48170"/>
    <cellStyle name="40% - 强调文字颜色 4 3 2 6" xfId="48171"/>
    <cellStyle name="40% - 强调文字颜色 4 3 2 6 2" xfId="48172"/>
    <cellStyle name="40% - 强调文字颜色 4 3 2 6 2 2" xfId="48173"/>
    <cellStyle name="40% - 强调文字颜色 4 3 2 6 3" xfId="48174"/>
    <cellStyle name="40% - 强调文字颜色 4 3 3" xfId="1231"/>
    <cellStyle name="40% - 强调文字颜色 4 3 3 2" xfId="48175"/>
    <cellStyle name="40% - 强调文字颜色 4 3 3 2 2" xfId="48176"/>
    <cellStyle name="40% - 强调文字颜色 4 3 3 2 2 2" xfId="48177"/>
    <cellStyle name="40% - 强调文字颜色 4 3 3 2 3" xfId="48178"/>
    <cellStyle name="40% - 强调文字颜色 4 3 3 3" xfId="48179"/>
    <cellStyle name="40% - 强调文字颜色 4 3 3 3 2" xfId="48180"/>
    <cellStyle name="40% - 强调文字颜色 4 3 3 3 2 2" xfId="48181"/>
    <cellStyle name="40% - 强调文字颜色 4 3 3 3 3" xfId="48182"/>
    <cellStyle name="40% - 强调文字颜色 4 3 3 4" xfId="48183"/>
    <cellStyle name="40% - 强调文字颜色 4 3 3 4 2" xfId="48184"/>
    <cellStyle name="40% - 强调文字颜色 4 3 3 4 2 2" xfId="48185"/>
    <cellStyle name="40% - 强调文字颜色 4 3 3 4 3" xfId="48186"/>
    <cellStyle name="40% - 强调文字颜色 4 3 3 5" xfId="48187"/>
    <cellStyle name="40% - 强调文字颜色 4 3 3 5 2" xfId="48188"/>
    <cellStyle name="40% - 强调文字颜色 4 3 4" xfId="1232"/>
    <cellStyle name="40% - 强调文字颜色 4 3 4 2" xfId="48189"/>
    <cellStyle name="40% - 强调文字颜色 4 3 4 2 2" xfId="48190"/>
    <cellStyle name="40% - 强调文字颜色 4 3 4 2 2 2" xfId="48191"/>
    <cellStyle name="40% - 强调文字颜色 4 3 4 2 3" xfId="48192"/>
    <cellStyle name="40% - 强调文字颜色 4 3 4 3" xfId="48193"/>
    <cellStyle name="40% - 强调文字颜色 4 3 4 3 2" xfId="48194"/>
    <cellStyle name="40% - 强调文字颜色 4 3 4 3 2 2" xfId="48195"/>
    <cellStyle name="40% - 强调文字颜色 4 3 4 3 3" xfId="48196"/>
    <cellStyle name="40% - 强调文字颜色 4 3 4 4" xfId="48197"/>
    <cellStyle name="40% - 强调文字颜色 4 3 4 4 2" xfId="48198"/>
    <cellStyle name="40% - 强调文字颜色 4 3 4 4 2 2" xfId="48199"/>
    <cellStyle name="40% - 强调文字颜色 4 3 4 4 3" xfId="48200"/>
    <cellStyle name="40% - 强调文字颜色 4 3 4 5" xfId="48201"/>
    <cellStyle name="40% - 强调文字颜色 4 3 4 5 2" xfId="48202"/>
    <cellStyle name="40% - 强调文字颜色 4 3 5" xfId="1233"/>
    <cellStyle name="40% - 强调文字颜色 4 3 5 2" xfId="48203"/>
    <cellStyle name="40% - 强调文字颜色 4 3 5 2 2" xfId="48204"/>
    <cellStyle name="40% - 强调文字颜色 4 3 5 2 2 2" xfId="48205"/>
    <cellStyle name="40% - 强调文字颜色 4 3 5 2 3" xfId="48206"/>
    <cellStyle name="40% - 强调文字颜色 4 3 5 3" xfId="48207"/>
    <cellStyle name="40% - 强调文字颜色 4 3 5 3 2" xfId="48208"/>
    <cellStyle name="40% - 强调文字颜色 4 3 5 3 2 2" xfId="48209"/>
    <cellStyle name="40% - 强调文字颜色 4 3 5 3 3" xfId="48210"/>
    <cellStyle name="40% - 强调文字颜色 4 3 5 4" xfId="48211"/>
    <cellStyle name="40% - 强调文字颜色 4 3 5 4 2" xfId="48212"/>
    <cellStyle name="40% - 强调文字颜色 4 3 5 4 2 2" xfId="48213"/>
    <cellStyle name="40% - 强调文字颜色 4 3 5 4 3" xfId="48214"/>
    <cellStyle name="40% - 强调文字颜色 4 3 5 5" xfId="48215"/>
    <cellStyle name="40% - 强调文字颜色 4 3 5 5 2" xfId="48216"/>
    <cellStyle name="40% - 强调文字颜色 4 3 5 6" xfId="48217"/>
    <cellStyle name="40% - 强调文字颜色 4 3 6" xfId="1234"/>
    <cellStyle name="40% - 强调文字颜色 4 3 6 2" xfId="48218"/>
    <cellStyle name="40% - 强调文字颜色 4 3 6 2 2" xfId="48219"/>
    <cellStyle name="40% - 强调文字颜色 4 3 6 2 2 2" xfId="48220"/>
    <cellStyle name="40% - 强调文字颜色 4 3 6 2 3" xfId="48221"/>
    <cellStyle name="40% - 强调文字颜色 4 3 6 3" xfId="48222"/>
    <cellStyle name="40% - 强调文字颜色 4 3 6 3 2" xfId="48223"/>
    <cellStyle name="40% - 强调文字颜色 4 3 6 3 2 2" xfId="48224"/>
    <cellStyle name="40% - 强调文字颜色 4 3 6 3 3" xfId="48225"/>
    <cellStyle name="40% - 强调文字颜色 4 3 6 4" xfId="48226"/>
    <cellStyle name="40% - 强调文字颜色 4 3 6 4 2" xfId="48227"/>
    <cellStyle name="40% - 强调文字颜色 4 3 6 4 2 2" xfId="48228"/>
    <cellStyle name="40% - 强调文字颜色 4 3 6 4 3" xfId="48229"/>
    <cellStyle name="40% - 强调文字颜色 4 3 6 5" xfId="48230"/>
    <cellStyle name="40% - 强调文字颜色 4 3 6 5 2" xfId="48231"/>
    <cellStyle name="40% - 强调文字颜色 4 3 6 6" xfId="48232"/>
    <cellStyle name="40% - 强调文字颜色 4 3 7" xfId="1235"/>
    <cellStyle name="40% - 强调文字颜色 4 3 7 2" xfId="48233"/>
    <cellStyle name="40% - 强调文字颜色 4 3 7 2 2" xfId="48234"/>
    <cellStyle name="40% - 强调文字颜色 4 3 7 2 2 2" xfId="48235"/>
    <cellStyle name="40% - 强调文字颜色 4 3 7 2 3" xfId="48236"/>
    <cellStyle name="40% - 强调文字颜色 4 3 7 3" xfId="48237"/>
    <cellStyle name="40% - 强调文字颜色 4 3 7 3 2" xfId="48238"/>
    <cellStyle name="40% - 强调文字颜色 4 3 7 3 2 2" xfId="48239"/>
    <cellStyle name="40% - 强调文字颜色 4 3 7 3 3" xfId="48240"/>
    <cellStyle name="40% - 强调文字颜色 4 3 7 4" xfId="48241"/>
    <cellStyle name="40% - 强调文字颜色 4 3 7 4 2" xfId="48242"/>
    <cellStyle name="40% - 强调文字颜色 4 3 7 4 2 2" xfId="48243"/>
    <cellStyle name="40% - 强调文字颜色 4 3 7 4 3" xfId="48244"/>
    <cellStyle name="40% - 强调文字颜色 4 3 7 5" xfId="48245"/>
    <cellStyle name="40% - 强调文字颜色 4 3 7 5 2" xfId="48246"/>
    <cellStyle name="40% - 强调文字颜色 4 3 7 6" xfId="48247"/>
    <cellStyle name="40% - 强调文字颜色 4 3 8" xfId="5791"/>
    <cellStyle name="40% - 强调文字颜色 4 3 8 2" xfId="48248"/>
    <cellStyle name="40% - 强调文字颜色 4 3 8 2 2" xfId="48249"/>
    <cellStyle name="40% - 强调文字颜色 4 3 8 2 2 2" xfId="48250"/>
    <cellStyle name="40% - 强调文字颜色 4 3 8 2 3" xfId="48251"/>
    <cellStyle name="40% - 强调文字颜色 4 3 8 3" xfId="48252"/>
    <cellStyle name="40% - 强调文字颜色 4 3 8 3 2" xfId="48253"/>
    <cellStyle name="40% - 强调文字颜色 4 3 8 3 2 2" xfId="48254"/>
    <cellStyle name="40% - 强调文字颜色 4 3 8 3 3" xfId="48255"/>
    <cellStyle name="40% - 强调文字颜色 4 3 8 4" xfId="48256"/>
    <cellStyle name="40% - 强调文字颜色 4 3 8 4 2" xfId="48257"/>
    <cellStyle name="40% - 强调文字颜色 4 3 8 4 2 2" xfId="48258"/>
    <cellStyle name="40% - 强调文字颜色 4 3 8 4 3" xfId="48259"/>
    <cellStyle name="40% - 强调文字颜色 4 3 8 5" xfId="48260"/>
    <cellStyle name="40% - 强调文字颜色 4 3 8 5 2" xfId="48261"/>
    <cellStyle name="40% - 强调文字颜色 4 3 8 6" xfId="48262"/>
    <cellStyle name="40% - 强调文字颜色 4 3 9" xfId="48263"/>
    <cellStyle name="40% - 强调文字颜色 4 3 9 2" xfId="48264"/>
    <cellStyle name="40% - 强调文字颜色 4 3 9 2 2" xfId="48265"/>
    <cellStyle name="40% - 强调文字颜色 4 3 9 2 2 2" xfId="48266"/>
    <cellStyle name="40% - 强调文字颜色 4 3 9 2 3" xfId="48267"/>
    <cellStyle name="40% - 强调文字颜色 4 3 9 3" xfId="48268"/>
    <cellStyle name="40% - 强调文字颜色 4 3 9 3 2" xfId="48269"/>
    <cellStyle name="40% - 强调文字颜色 4 3 9 4" xfId="48270"/>
    <cellStyle name="40% - 强调文字颜色 4 4" xfId="1236"/>
    <cellStyle name="40% - 强调文字颜色 4 4 2" xfId="5794"/>
    <cellStyle name="40% - 强调文字颜色 4 4 3" xfId="5793"/>
    <cellStyle name="40% - 强调文字颜色 4 4 4" xfId="48271"/>
    <cellStyle name="40% - 强调文字颜色 4 5" xfId="48272"/>
    <cellStyle name="40% - 强调文字颜色 4 6" xfId="48273"/>
    <cellStyle name="40% - 强调文字颜色 4 7" xfId="48274"/>
    <cellStyle name="40% - 强调文字颜色 4 7 2" xfId="48275"/>
    <cellStyle name="40% - 强调文字颜色 5 2" xfId="96"/>
    <cellStyle name="40% - 强调文字颜色 5 2 2" xfId="1237"/>
    <cellStyle name="40% - 强调文字颜色 5 2 2 2" xfId="1238"/>
    <cellStyle name="40% - 强调文字颜色 5 2 2 2 2" xfId="5797"/>
    <cellStyle name="40% - 强调文字颜色 5 2 2 2 3" xfId="48276"/>
    <cellStyle name="40% - 强调文字颜色 5 2 2 2 4" xfId="48277"/>
    <cellStyle name="40% - 强调文字颜色 5 2 2 3" xfId="1239"/>
    <cellStyle name="40% - 强调文字颜色 5 2 2 4" xfId="5796"/>
    <cellStyle name="40% - 强调文字颜色 5 2 2 5" xfId="48278"/>
    <cellStyle name="40% - 强调文字颜色 5 2 2 6" xfId="60870"/>
    <cellStyle name="40% - 强调文字颜色 5 2 3" xfId="1240"/>
    <cellStyle name="40% - 强调文字颜色 5 2 3 2" xfId="5798"/>
    <cellStyle name="40% - 强调文字颜色 5 2 3 3" xfId="48279"/>
    <cellStyle name="40% - 强调文字颜色 5 2 4" xfId="48280"/>
    <cellStyle name="40% - 强调文字颜色 5 2 5" xfId="48281"/>
    <cellStyle name="40% - 强调文字颜色 5 2 6" xfId="48282"/>
    <cellStyle name="40% - 强调文字颜色 5 2 7" xfId="48283"/>
    <cellStyle name="40% - 强调文字颜色 5 2 8" xfId="734"/>
    <cellStyle name="40% - 强调文字颜色 5 2 9" xfId="60869"/>
    <cellStyle name="40% - 强调文字颜色 5 3" xfId="1241"/>
    <cellStyle name="40% - 强调文字颜色 5 3 10" xfId="48284"/>
    <cellStyle name="40% - 强调文字颜色 5 3 11" xfId="48285"/>
    <cellStyle name="40% - 强调文字颜色 5 3 11 2" xfId="48286"/>
    <cellStyle name="40% - 强调文字颜色 5 3 11 2 2" xfId="48287"/>
    <cellStyle name="40% - 强调文字颜色 5 3 11 3" xfId="48288"/>
    <cellStyle name="40% - 强调文字颜色 5 3 12" xfId="48289"/>
    <cellStyle name="40% - 强调文字颜色 5 3 12 2" xfId="48290"/>
    <cellStyle name="40% - 强调文字颜色 5 3 12 2 2" xfId="48291"/>
    <cellStyle name="40% - 强调文字颜色 5 3 13" xfId="48292"/>
    <cellStyle name="40% - 强调文字颜色 5 3 13 2" xfId="48293"/>
    <cellStyle name="40% - 强调文字颜色 5 3 13 2 2" xfId="48294"/>
    <cellStyle name="40% - 强调文字颜色 5 3 13 3" xfId="48295"/>
    <cellStyle name="40% - 强调文字颜色 5 3 2" xfId="1242"/>
    <cellStyle name="40% - 强调文字颜色 5 3 2 2" xfId="5800"/>
    <cellStyle name="40% - 强调文字颜色 5 3 2 2 2" xfId="48296"/>
    <cellStyle name="40% - 强调文字颜色 5 3 2 2 2 2" xfId="48297"/>
    <cellStyle name="40% - 强调文字颜色 5 3 2 2 2 2 2" xfId="48298"/>
    <cellStyle name="40% - 强调文字颜色 5 3 2 2 2 3" xfId="48299"/>
    <cellStyle name="40% - 强调文字颜色 5 3 2 2 3" xfId="48300"/>
    <cellStyle name="40% - 强调文字颜色 5 3 2 2 3 2" xfId="48301"/>
    <cellStyle name="40% - 强调文字颜色 5 3 2 2 4" xfId="48302"/>
    <cellStyle name="40% - 强调文字颜色 5 3 2 3" xfId="48303"/>
    <cellStyle name="40% - 强调文字颜色 5 3 2 4" xfId="48304"/>
    <cellStyle name="40% - 强调文字颜色 5 3 2 4 2" xfId="48305"/>
    <cellStyle name="40% - 强调文字颜色 5 3 2 4 2 2" xfId="48306"/>
    <cellStyle name="40% - 强调文字颜色 5 3 2 4 3" xfId="48307"/>
    <cellStyle name="40% - 强调文字颜色 5 3 2 5" xfId="48308"/>
    <cellStyle name="40% - 强调文字颜色 5 3 2 5 2" xfId="48309"/>
    <cellStyle name="40% - 强调文字颜色 5 3 2 5 2 2" xfId="48310"/>
    <cellStyle name="40% - 强调文字颜色 5 3 2 5 3" xfId="48311"/>
    <cellStyle name="40% - 强调文字颜色 5 3 2 6" xfId="48312"/>
    <cellStyle name="40% - 强调文字颜色 5 3 2 6 2" xfId="48313"/>
    <cellStyle name="40% - 强调文字颜色 5 3 2 6 2 2" xfId="48314"/>
    <cellStyle name="40% - 强调文字颜色 5 3 2 6 3" xfId="48315"/>
    <cellStyle name="40% - 强调文字颜色 5 3 3" xfId="1243"/>
    <cellStyle name="40% - 强调文字颜色 5 3 3 2" xfId="48316"/>
    <cellStyle name="40% - 强调文字颜色 5 3 3 2 2" xfId="48317"/>
    <cellStyle name="40% - 强调文字颜色 5 3 3 2 2 2" xfId="48318"/>
    <cellStyle name="40% - 强调文字颜色 5 3 3 2 3" xfId="48319"/>
    <cellStyle name="40% - 强调文字颜色 5 3 3 3" xfId="48320"/>
    <cellStyle name="40% - 强调文字颜色 5 3 3 3 2" xfId="48321"/>
    <cellStyle name="40% - 强调文字颜色 5 3 3 3 2 2" xfId="48322"/>
    <cellStyle name="40% - 强调文字颜色 5 3 3 3 3" xfId="48323"/>
    <cellStyle name="40% - 强调文字颜色 5 3 3 4" xfId="48324"/>
    <cellStyle name="40% - 强调文字颜色 5 3 3 4 2" xfId="48325"/>
    <cellStyle name="40% - 强调文字颜色 5 3 3 4 2 2" xfId="48326"/>
    <cellStyle name="40% - 强调文字颜色 5 3 3 4 3" xfId="48327"/>
    <cellStyle name="40% - 强调文字颜色 5 3 3 5" xfId="48328"/>
    <cellStyle name="40% - 强调文字颜色 5 3 3 5 2" xfId="48329"/>
    <cellStyle name="40% - 强调文字颜色 5 3 4" xfId="1244"/>
    <cellStyle name="40% - 强调文字颜色 5 3 4 2" xfId="48330"/>
    <cellStyle name="40% - 强调文字颜色 5 3 4 2 2" xfId="48331"/>
    <cellStyle name="40% - 强调文字颜色 5 3 4 2 2 2" xfId="48332"/>
    <cellStyle name="40% - 强调文字颜色 5 3 4 2 3" xfId="48333"/>
    <cellStyle name="40% - 强调文字颜色 5 3 4 3" xfId="48334"/>
    <cellStyle name="40% - 强调文字颜色 5 3 4 3 2" xfId="48335"/>
    <cellStyle name="40% - 强调文字颜色 5 3 4 3 2 2" xfId="48336"/>
    <cellStyle name="40% - 强调文字颜色 5 3 4 3 3" xfId="48337"/>
    <cellStyle name="40% - 强调文字颜色 5 3 4 4" xfId="48338"/>
    <cellStyle name="40% - 强调文字颜色 5 3 4 4 2" xfId="48339"/>
    <cellStyle name="40% - 强调文字颜色 5 3 4 4 2 2" xfId="48340"/>
    <cellStyle name="40% - 强调文字颜色 5 3 4 4 3" xfId="48341"/>
    <cellStyle name="40% - 强调文字颜色 5 3 4 5" xfId="48342"/>
    <cellStyle name="40% - 强调文字颜色 5 3 4 5 2" xfId="48343"/>
    <cellStyle name="40% - 强调文字颜色 5 3 5" xfId="1245"/>
    <cellStyle name="40% - 强调文字颜色 5 3 5 2" xfId="48344"/>
    <cellStyle name="40% - 强调文字颜色 5 3 5 2 2" xfId="48345"/>
    <cellStyle name="40% - 强调文字颜色 5 3 5 2 2 2" xfId="48346"/>
    <cellStyle name="40% - 强调文字颜色 5 3 5 2 3" xfId="48347"/>
    <cellStyle name="40% - 强调文字颜色 5 3 5 3" xfId="48348"/>
    <cellStyle name="40% - 强调文字颜色 5 3 5 3 2" xfId="48349"/>
    <cellStyle name="40% - 强调文字颜色 5 3 5 3 2 2" xfId="48350"/>
    <cellStyle name="40% - 强调文字颜色 5 3 5 3 3" xfId="48351"/>
    <cellStyle name="40% - 强调文字颜色 5 3 5 4" xfId="48352"/>
    <cellStyle name="40% - 强调文字颜色 5 3 5 4 2" xfId="48353"/>
    <cellStyle name="40% - 强调文字颜色 5 3 5 4 2 2" xfId="48354"/>
    <cellStyle name="40% - 强调文字颜色 5 3 5 4 3" xfId="48355"/>
    <cellStyle name="40% - 强调文字颜色 5 3 5 5" xfId="48356"/>
    <cellStyle name="40% - 强调文字颜色 5 3 5 5 2" xfId="48357"/>
    <cellStyle name="40% - 强调文字颜色 5 3 5 6" xfId="48358"/>
    <cellStyle name="40% - 强调文字颜色 5 3 6" xfId="1246"/>
    <cellStyle name="40% - 强调文字颜色 5 3 6 2" xfId="48359"/>
    <cellStyle name="40% - 强调文字颜色 5 3 6 2 2" xfId="48360"/>
    <cellStyle name="40% - 强调文字颜色 5 3 6 2 2 2" xfId="48361"/>
    <cellStyle name="40% - 强调文字颜色 5 3 6 2 3" xfId="48362"/>
    <cellStyle name="40% - 强调文字颜色 5 3 6 3" xfId="48363"/>
    <cellStyle name="40% - 强调文字颜色 5 3 6 3 2" xfId="48364"/>
    <cellStyle name="40% - 强调文字颜色 5 3 6 3 2 2" xfId="48365"/>
    <cellStyle name="40% - 强调文字颜色 5 3 6 3 3" xfId="48366"/>
    <cellStyle name="40% - 强调文字颜色 5 3 6 4" xfId="48367"/>
    <cellStyle name="40% - 强调文字颜色 5 3 6 4 2" xfId="48368"/>
    <cellStyle name="40% - 强调文字颜色 5 3 6 4 2 2" xfId="48369"/>
    <cellStyle name="40% - 强调文字颜色 5 3 6 4 3" xfId="48370"/>
    <cellStyle name="40% - 强调文字颜色 5 3 6 5" xfId="48371"/>
    <cellStyle name="40% - 强调文字颜色 5 3 6 5 2" xfId="48372"/>
    <cellStyle name="40% - 强调文字颜色 5 3 6 6" xfId="48373"/>
    <cellStyle name="40% - 强调文字颜色 5 3 7" xfId="1247"/>
    <cellStyle name="40% - 强调文字颜色 5 3 7 2" xfId="48374"/>
    <cellStyle name="40% - 强调文字颜色 5 3 7 2 2" xfId="48375"/>
    <cellStyle name="40% - 强调文字颜色 5 3 7 2 2 2" xfId="48376"/>
    <cellStyle name="40% - 强调文字颜色 5 3 7 2 3" xfId="48377"/>
    <cellStyle name="40% - 强调文字颜色 5 3 7 3" xfId="48378"/>
    <cellStyle name="40% - 强调文字颜色 5 3 7 3 2" xfId="48379"/>
    <cellStyle name="40% - 强调文字颜色 5 3 7 3 2 2" xfId="48380"/>
    <cellStyle name="40% - 强调文字颜色 5 3 7 3 3" xfId="48381"/>
    <cellStyle name="40% - 强调文字颜色 5 3 7 4" xfId="48382"/>
    <cellStyle name="40% - 强调文字颜色 5 3 7 4 2" xfId="48383"/>
    <cellStyle name="40% - 强调文字颜色 5 3 7 4 2 2" xfId="48384"/>
    <cellStyle name="40% - 强调文字颜色 5 3 7 4 3" xfId="48385"/>
    <cellStyle name="40% - 强调文字颜色 5 3 7 5" xfId="48386"/>
    <cellStyle name="40% - 强调文字颜色 5 3 7 5 2" xfId="48387"/>
    <cellStyle name="40% - 强调文字颜色 5 3 7 6" xfId="48388"/>
    <cellStyle name="40% - 强调文字颜色 5 3 8" xfId="5799"/>
    <cellStyle name="40% - 强调文字颜色 5 3 8 2" xfId="48389"/>
    <cellStyle name="40% - 强调文字颜色 5 3 8 2 2" xfId="48390"/>
    <cellStyle name="40% - 强调文字颜色 5 3 8 2 2 2" xfId="48391"/>
    <cellStyle name="40% - 强调文字颜色 5 3 8 2 3" xfId="48392"/>
    <cellStyle name="40% - 强调文字颜色 5 3 8 3" xfId="48393"/>
    <cellStyle name="40% - 强调文字颜色 5 3 8 3 2" xfId="48394"/>
    <cellStyle name="40% - 强调文字颜色 5 3 8 3 2 2" xfId="48395"/>
    <cellStyle name="40% - 强调文字颜色 5 3 8 3 3" xfId="48396"/>
    <cellStyle name="40% - 强调文字颜色 5 3 8 4" xfId="48397"/>
    <cellStyle name="40% - 强调文字颜色 5 3 8 4 2" xfId="48398"/>
    <cellStyle name="40% - 强调文字颜色 5 3 8 4 2 2" xfId="48399"/>
    <cellStyle name="40% - 强调文字颜色 5 3 8 4 3" xfId="48400"/>
    <cellStyle name="40% - 强调文字颜色 5 3 8 5" xfId="48401"/>
    <cellStyle name="40% - 强调文字颜色 5 3 8 5 2" xfId="48402"/>
    <cellStyle name="40% - 强调文字颜色 5 3 8 6" xfId="48403"/>
    <cellStyle name="40% - 强调文字颜色 5 3 9" xfId="48404"/>
    <cellStyle name="40% - 强调文字颜色 5 3 9 2" xfId="48405"/>
    <cellStyle name="40% - 强调文字颜色 5 3 9 2 2" xfId="48406"/>
    <cellStyle name="40% - 强调文字颜色 5 3 9 2 2 2" xfId="48407"/>
    <cellStyle name="40% - 强调文字颜色 5 3 9 2 3" xfId="48408"/>
    <cellStyle name="40% - 强调文字颜色 5 3 9 3" xfId="48409"/>
    <cellStyle name="40% - 强调文字颜色 5 3 9 3 2" xfId="48410"/>
    <cellStyle name="40% - 强调文字颜色 5 3 9 4" xfId="48411"/>
    <cellStyle name="40% - 强调文字颜色 5 4" xfId="1248"/>
    <cellStyle name="40% - 强调文字颜色 5 4 2" xfId="5802"/>
    <cellStyle name="40% - 强调文字颜色 5 4 3" xfId="5801"/>
    <cellStyle name="40% - 强调文字颜色 5 4 4" xfId="48412"/>
    <cellStyle name="40% - 强调文字颜色 5 5" xfId="48413"/>
    <cellStyle name="40% - 强调文字颜色 5 6" xfId="48414"/>
    <cellStyle name="40% - 强调文字颜色 5 7" xfId="48415"/>
    <cellStyle name="40% - 强调文字颜色 5 7 2" xfId="48416"/>
    <cellStyle name="40% - 强调文字颜色 6 2" xfId="97"/>
    <cellStyle name="40% - 强调文字颜色 6 2 2" xfId="1249"/>
    <cellStyle name="40% - 强调文字颜色 6 2 2 2" xfId="1250"/>
    <cellStyle name="40% - 强调文字颜色 6 2 2 2 2" xfId="5805"/>
    <cellStyle name="40% - 强调文字颜色 6 2 2 2 3" xfId="48417"/>
    <cellStyle name="40% - 强调文字颜色 6 2 2 2 4" xfId="48418"/>
    <cellStyle name="40% - 强调文字颜色 6 2 2 3" xfId="1251"/>
    <cellStyle name="40% - 强调文字颜色 6 2 2 4" xfId="5804"/>
    <cellStyle name="40% - 强调文字颜色 6 2 2 5" xfId="48419"/>
    <cellStyle name="40% - 强调文字颜色 6 2 2 6" xfId="60872"/>
    <cellStyle name="40% - 强调文字颜色 6 2 3" xfId="1252"/>
    <cellStyle name="40% - 强调文字颜色 6 2 3 2" xfId="5806"/>
    <cellStyle name="40% - 强调文字颜色 6 2 4" xfId="48420"/>
    <cellStyle name="40% - 强调文字颜色 6 2 5" xfId="48421"/>
    <cellStyle name="40% - 强调文字颜色 6 2 6" xfId="48422"/>
    <cellStyle name="40% - 强调文字颜色 6 2 7" xfId="48423"/>
    <cellStyle name="40% - 强调文字颜色 6 2 8" xfId="735"/>
    <cellStyle name="40% - 强调文字颜色 6 2 9" xfId="60871"/>
    <cellStyle name="40% - 强调文字颜色 6 3" xfId="1253"/>
    <cellStyle name="40% - 强调文字颜色 6 3 10" xfId="48424"/>
    <cellStyle name="40% - 强调文字颜色 6 3 11" xfId="48425"/>
    <cellStyle name="40% - 强调文字颜色 6 3 11 2" xfId="48426"/>
    <cellStyle name="40% - 强调文字颜色 6 3 11 2 2" xfId="48427"/>
    <cellStyle name="40% - 强调文字颜色 6 3 11 3" xfId="48428"/>
    <cellStyle name="40% - 强调文字颜色 6 3 12" xfId="48429"/>
    <cellStyle name="40% - 强调文字颜色 6 3 12 2" xfId="48430"/>
    <cellStyle name="40% - 强调文字颜色 6 3 12 2 2" xfId="48431"/>
    <cellStyle name="40% - 强调文字颜色 6 3 13" xfId="48432"/>
    <cellStyle name="40% - 强调文字颜色 6 3 13 2" xfId="48433"/>
    <cellStyle name="40% - 强调文字颜色 6 3 13 2 2" xfId="48434"/>
    <cellStyle name="40% - 强调文字颜色 6 3 13 3" xfId="48435"/>
    <cellStyle name="40% - 强调文字颜色 6 3 14" xfId="48436"/>
    <cellStyle name="40% - 强调文字颜色 6 3 2" xfId="1254"/>
    <cellStyle name="40% - 强调文字颜色 6 3 2 2" xfId="5808"/>
    <cellStyle name="40% - 强调文字颜色 6 3 2 2 2" xfId="48437"/>
    <cellStyle name="40% - 强调文字颜色 6 3 2 2 2 2" xfId="48438"/>
    <cellStyle name="40% - 强调文字颜色 6 3 2 2 2 2 2" xfId="48439"/>
    <cellStyle name="40% - 强调文字颜色 6 3 2 2 2 3" xfId="48440"/>
    <cellStyle name="40% - 强调文字颜色 6 3 2 2 3" xfId="48441"/>
    <cellStyle name="40% - 强调文字颜色 6 3 2 2 3 2" xfId="48442"/>
    <cellStyle name="40% - 强调文字颜色 6 3 2 2 4" xfId="48443"/>
    <cellStyle name="40% - 强调文字颜色 6 3 2 3" xfId="48444"/>
    <cellStyle name="40% - 强调文字颜色 6 3 2 4" xfId="48445"/>
    <cellStyle name="40% - 强调文字颜色 6 3 2 4 2" xfId="48446"/>
    <cellStyle name="40% - 强调文字颜色 6 3 2 4 2 2" xfId="48447"/>
    <cellStyle name="40% - 强调文字颜色 6 3 2 4 3" xfId="48448"/>
    <cellStyle name="40% - 强调文字颜色 6 3 2 5" xfId="48449"/>
    <cellStyle name="40% - 强调文字颜色 6 3 2 5 2" xfId="48450"/>
    <cellStyle name="40% - 强调文字颜色 6 3 2 5 2 2" xfId="48451"/>
    <cellStyle name="40% - 强调文字颜色 6 3 2 5 3" xfId="48452"/>
    <cellStyle name="40% - 强调文字颜色 6 3 2 6" xfId="48453"/>
    <cellStyle name="40% - 强调文字颜色 6 3 2 6 2" xfId="48454"/>
    <cellStyle name="40% - 强调文字颜色 6 3 2 6 2 2" xfId="48455"/>
    <cellStyle name="40% - 强调文字颜色 6 3 2 6 3" xfId="48456"/>
    <cellStyle name="40% - 强调文字颜色 6 3 3" xfId="1255"/>
    <cellStyle name="40% - 强调文字颜色 6 3 3 2" xfId="48457"/>
    <cellStyle name="40% - 强调文字颜色 6 3 3 2 2" xfId="48458"/>
    <cellStyle name="40% - 强调文字颜色 6 3 3 2 2 2" xfId="48459"/>
    <cellStyle name="40% - 强调文字颜色 6 3 3 2 3" xfId="48460"/>
    <cellStyle name="40% - 强调文字颜色 6 3 3 3" xfId="48461"/>
    <cellStyle name="40% - 强调文字颜色 6 3 3 3 2" xfId="48462"/>
    <cellStyle name="40% - 强调文字颜色 6 3 3 3 2 2" xfId="48463"/>
    <cellStyle name="40% - 强调文字颜色 6 3 3 3 3" xfId="48464"/>
    <cellStyle name="40% - 强调文字颜色 6 3 3 4" xfId="48465"/>
    <cellStyle name="40% - 强调文字颜色 6 3 3 4 2" xfId="48466"/>
    <cellStyle name="40% - 强调文字颜色 6 3 3 4 2 2" xfId="48467"/>
    <cellStyle name="40% - 强调文字颜色 6 3 3 4 3" xfId="48468"/>
    <cellStyle name="40% - 强调文字颜色 6 3 3 5" xfId="48469"/>
    <cellStyle name="40% - 强调文字颜色 6 3 3 5 2" xfId="48470"/>
    <cellStyle name="40% - 强调文字颜色 6 3 4" xfId="1256"/>
    <cellStyle name="40% - 强调文字颜色 6 3 4 2" xfId="48471"/>
    <cellStyle name="40% - 强调文字颜色 6 3 4 2 2" xfId="48472"/>
    <cellStyle name="40% - 强调文字颜色 6 3 4 2 2 2" xfId="48473"/>
    <cellStyle name="40% - 强调文字颜色 6 3 4 2 3" xfId="48474"/>
    <cellStyle name="40% - 强调文字颜色 6 3 4 3" xfId="48475"/>
    <cellStyle name="40% - 强调文字颜色 6 3 4 3 2" xfId="48476"/>
    <cellStyle name="40% - 强调文字颜色 6 3 4 3 2 2" xfId="48477"/>
    <cellStyle name="40% - 强调文字颜色 6 3 4 3 3" xfId="48478"/>
    <cellStyle name="40% - 强调文字颜色 6 3 4 4" xfId="48479"/>
    <cellStyle name="40% - 强调文字颜色 6 3 4 4 2" xfId="48480"/>
    <cellStyle name="40% - 强调文字颜色 6 3 4 4 2 2" xfId="48481"/>
    <cellStyle name="40% - 强调文字颜色 6 3 4 4 3" xfId="48482"/>
    <cellStyle name="40% - 强调文字颜色 6 3 4 5" xfId="48483"/>
    <cellStyle name="40% - 强调文字颜色 6 3 4 5 2" xfId="48484"/>
    <cellStyle name="40% - 强调文字颜色 6 3 5" xfId="1257"/>
    <cellStyle name="40% - 强调文字颜色 6 3 5 2" xfId="48485"/>
    <cellStyle name="40% - 强调文字颜色 6 3 5 2 2" xfId="48486"/>
    <cellStyle name="40% - 强调文字颜色 6 3 5 2 2 2" xfId="48487"/>
    <cellStyle name="40% - 强调文字颜色 6 3 5 2 3" xfId="48488"/>
    <cellStyle name="40% - 强调文字颜色 6 3 5 3" xfId="48489"/>
    <cellStyle name="40% - 强调文字颜色 6 3 5 3 2" xfId="48490"/>
    <cellStyle name="40% - 强调文字颜色 6 3 5 3 2 2" xfId="48491"/>
    <cellStyle name="40% - 强调文字颜色 6 3 5 3 3" xfId="48492"/>
    <cellStyle name="40% - 强调文字颜色 6 3 5 4" xfId="48493"/>
    <cellStyle name="40% - 强调文字颜色 6 3 5 4 2" xfId="48494"/>
    <cellStyle name="40% - 强调文字颜色 6 3 5 4 2 2" xfId="48495"/>
    <cellStyle name="40% - 强调文字颜色 6 3 5 4 3" xfId="48496"/>
    <cellStyle name="40% - 强调文字颜色 6 3 5 5" xfId="48497"/>
    <cellStyle name="40% - 强调文字颜色 6 3 5 5 2" xfId="48498"/>
    <cellStyle name="40% - 强调文字颜色 6 3 5 6" xfId="48499"/>
    <cellStyle name="40% - 强调文字颜色 6 3 6" xfId="1258"/>
    <cellStyle name="40% - 强调文字颜色 6 3 6 2" xfId="48500"/>
    <cellStyle name="40% - 强调文字颜色 6 3 6 2 2" xfId="48501"/>
    <cellStyle name="40% - 强调文字颜色 6 3 6 2 2 2" xfId="48502"/>
    <cellStyle name="40% - 强调文字颜色 6 3 6 2 3" xfId="48503"/>
    <cellStyle name="40% - 强调文字颜色 6 3 6 3" xfId="48504"/>
    <cellStyle name="40% - 强调文字颜色 6 3 6 3 2" xfId="48505"/>
    <cellStyle name="40% - 强调文字颜色 6 3 6 3 2 2" xfId="48506"/>
    <cellStyle name="40% - 强调文字颜色 6 3 6 3 3" xfId="48507"/>
    <cellStyle name="40% - 强调文字颜色 6 3 6 4" xfId="48508"/>
    <cellStyle name="40% - 强调文字颜色 6 3 6 4 2" xfId="48509"/>
    <cellStyle name="40% - 强调文字颜色 6 3 6 4 2 2" xfId="48510"/>
    <cellStyle name="40% - 强调文字颜色 6 3 6 4 3" xfId="48511"/>
    <cellStyle name="40% - 强调文字颜色 6 3 6 5" xfId="48512"/>
    <cellStyle name="40% - 强调文字颜色 6 3 6 5 2" xfId="48513"/>
    <cellStyle name="40% - 强调文字颜色 6 3 6 6" xfId="48514"/>
    <cellStyle name="40% - 强调文字颜色 6 3 7" xfId="1259"/>
    <cellStyle name="40% - 强调文字颜色 6 3 7 2" xfId="48515"/>
    <cellStyle name="40% - 强调文字颜色 6 3 7 2 2" xfId="48516"/>
    <cellStyle name="40% - 强调文字颜色 6 3 7 2 2 2" xfId="48517"/>
    <cellStyle name="40% - 强调文字颜色 6 3 7 2 3" xfId="48518"/>
    <cellStyle name="40% - 强调文字颜色 6 3 7 3" xfId="48519"/>
    <cellStyle name="40% - 强调文字颜色 6 3 7 3 2" xfId="48520"/>
    <cellStyle name="40% - 强调文字颜色 6 3 7 3 2 2" xfId="48521"/>
    <cellStyle name="40% - 强调文字颜色 6 3 7 3 3" xfId="48522"/>
    <cellStyle name="40% - 强调文字颜色 6 3 7 4" xfId="48523"/>
    <cellStyle name="40% - 强调文字颜色 6 3 7 4 2" xfId="48524"/>
    <cellStyle name="40% - 强调文字颜色 6 3 7 4 2 2" xfId="48525"/>
    <cellStyle name="40% - 强调文字颜色 6 3 7 4 3" xfId="48526"/>
    <cellStyle name="40% - 强调文字颜色 6 3 7 5" xfId="48527"/>
    <cellStyle name="40% - 强调文字颜色 6 3 7 5 2" xfId="48528"/>
    <cellStyle name="40% - 强调文字颜色 6 3 7 6" xfId="48529"/>
    <cellStyle name="40% - 强调文字颜色 6 3 8" xfId="5807"/>
    <cellStyle name="40% - 强调文字颜色 6 3 8 2" xfId="48530"/>
    <cellStyle name="40% - 强调文字颜色 6 3 8 2 2" xfId="48531"/>
    <cellStyle name="40% - 强调文字颜色 6 3 8 2 2 2" xfId="48532"/>
    <cellStyle name="40% - 强调文字颜色 6 3 8 2 3" xfId="48533"/>
    <cellStyle name="40% - 强调文字颜色 6 3 8 3" xfId="48534"/>
    <cellStyle name="40% - 强调文字颜色 6 3 8 3 2" xfId="48535"/>
    <cellStyle name="40% - 强调文字颜色 6 3 8 3 2 2" xfId="48536"/>
    <cellStyle name="40% - 强调文字颜色 6 3 8 3 3" xfId="48537"/>
    <cellStyle name="40% - 强调文字颜色 6 3 8 4" xfId="48538"/>
    <cellStyle name="40% - 强调文字颜色 6 3 8 4 2" xfId="48539"/>
    <cellStyle name="40% - 强调文字颜色 6 3 8 4 2 2" xfId="48540"/>
    <cellStyle name="40% - 强调文字颜色 6 3 8 4 3" xfId="48541"/>
    <cellStyle name="40% - 强调文字颜色 6 3 8 5" xfId="48542"/>
    <cellStyle name="40% - 强调文字颜色 6 3 8 5 2" xfId="48543"/>
    <cellStyle name="40% - 强调文字颜色 6 3 8 6" xfId="48544"/>
    <cellStyle name="40% - 强调文字颜色 6 3 9" xfId="48545"/>
    <cellStyle name="40% - 强调文字颜色 6 3 9 2" xfId="48546"/>
    <cellStyle name="40% - 强调文字颜色 6 3 9 2 2" xfId="48547"/>
    <cellStyle name="40% - 强调文字颜色 6 3 9 2 2 2" xfId="48548"/>
    <cellStyle name="40% - 强调文字颜色 6 3 9 2 3" xfId="48549"/>
    <cellStyle name="40% - 强调文字颜色 6 3 9 3" xfId="48550"/>
    <cellStyle name="40% - 强调文字颜色 6 3 9 3 2" xfId="48551"/>
    <cellStyle name="40% - 强调文字颜色 6 3 9 4" xfId="48552"/>
    <cellStyle name="40% - 强调文字颜色 6 4" xfId="1260"/>
    <cellStyle name="40% - 强调文字颜色 6 4 2" xfId="5810"/>
    <cellStyle name="40% - 强调文字颜色 6 4 3" xfId="5809"/>
    <cellStyle name="40% - 强调文字颜色 6 4 4" xfId="48553"/>
    <cellStyle name="40% - 强调文字颜色 6 5" xfId="48554"/>
    <cellStyle name="40% - 强调文字颜色 6 6" xfId="48555"/>
    <cellStyle name="40% - 强调文字颜色 6 7" xfId="48556"/>
    <cellStyle name="40% - 强调文字颜色 6 7 2" xfId="48557"/>
    <cellStyle name="40% - 着色 1" xfId="48558"/>
    <cellStyle name="40% - 着色 2" xfId="48559"/>
    <cellStyle name="40% - 着色 3" xfId="48560"/>
    <cellStyle name="40% - 着色 4" xfId="48561"/>
    <cellStyle name="40% - 着色 5" xfId="48562"/>
    <cellStyle name="40% - 着色 6" xfId="48563"/>
    <cellStyle name="60% - Accent1" xfId="1261"/>
    <cellStyle name="60% - Accent1 2" xfId="1262"/>
    <cellStyle name="60% - Accent1 2 2" xfId="48564"/>
    <cellStyle name="60% - Accent1 2 3" xfId="48565"/>
    <cellStyle name="60% - Accent1 3" xfId="1263"/>
    <cellStyle name="60% - Accent1 3 2" xfId="48566"/>
    <cellStyle name="60% - Accent1 3 3" xfId="48567"/>
    <cellStyle name="60% - Accent1 4" xfId="5811"/>
    <cellStyle name="60% - Accent1 5" xfId="48568"/>
    <cellStyle name="60% - Accent2" xfId="1264"/>
    <cellStyle name="60% - Accent2 2" xfId="1265"/>
    <cellStyle name="60% - Accent2 2 2" xfId="48569"/>
    <cellStyle name="60% - Accent2 2 3" xfId="48570"/>
    <cellStyle name="60% - Accent2 3" xfId="1266"/>
    <cellStyle name="60% - Accent2 3 2" xfId="48571"/>
    <cellStyle name="60% - Accent2 3 3" xfId="48572"/>
    <cellStyle name="60% - Accent2 4" xfId="5814"/>
    <cellStyle name="60% - Accent2 5" xfId="48573"/>
    <cellStyle name="60% - Accent3" xfId="1267"/>
    <cellStyle name="60% - Accent3 2" xfId="1268"/>
    <cellStyle name="60% - Accent3 2 2" xfId="48574"/>
    <cellStyle name="60% - Accent3 2 3" xfId="48575"/>
    <cellStyle name="60% - Accent3 3" xfId="1269"/>
    <cellStyle name="60% - Accent3 3 2" xfId="48576"/>
    <cellStyle name="60% - Accent3 3 3" xfId="48577"/>
    <cellStyle name="60% - Accent3 4" xfId="5817"/>
    <cellStyle name="60% - Accent3 5" xfId="48578"/>
    <cellStyle name="60% - Accent4" xfId="1270"/>
    <cellStyle name="60% - Accent4 2" xfId="1271"/>
    <cellStyle name="60% - Accent4 2 2" xfId="48579"/>
    <cellStyle name="60% - Accent4 2 3" xfId="48580"/>
    <cellStyle name="60% - Accent4 3" xfId="1272"/>
    <cellStyle name="60% - Accent4 3 2" xfId="48581"/>
    <cellStyle name="60% - Accent4 3 3" xfId="48582"/>
    <cellStyle name="60% - Accent4 4" xfId="5820"/>
    <cellStyle name="60% - Accent4 5" xfId="48583"/>
    <cellStyle name="60% - Accent5" xfId="1273"/>
    <cellStyle name="60% - Accent5 2" xfId="1274"/>
    <cellStyle name="60% - Accent5 2 2" xfId="48584"/>
    <cellStyle name="60% - Accent5 2 3" xfId="48585"/>
    <cellStyle name="60% - Accent5 3" xfId="1275"/>
    <cellStyle name="60% - Accent5 3 2" xfId="48586"/>
    <cellStyle name="60% - Accent5 3 3" xfId="48587"/>
    <cellStyle name="60% - Accent5 4" xfId="5823"/>
    <cellStyle name="60% - Accent5 5" xfId="48588"/>
    <cellStyle name="60% - Accent6" xfId="1276"/>
    <cellStyle name="60% - Accent6 2" xfId="1277"/>
    <cellStyle name="60% - Accent6 2 2" xfId="48589"/>
    <cellStyle name="60% - Accent6 2 3" xfId="48590"/>
    <cellStyle name="60% - Accent6 3" xfId="1278"/>
    <cellStyle name="60% - Accent6 3 2" xfId="48591"/>
    <cellStyle name="60% - Accent6 3 3" xfId="48592"/>
    <cellStyle name="60% - Accent6 4" xfId="5826"/>
    <cellStyle name="60% - Accent6 5" xfId="48593"/>
    <cellStyle name="60% - アクセント 1" xfId="1279"/>
    <cellStyle name="60% - アクセント 1 2" xfId="98"/>
    <cellStyle name="60% - アクセント 1 2 2" xfId="1281"/>
    <cellStyle name="60% - アクセント 1 2 2 2" xfId="1282"/>
    <cellStyle name="60% - アクセント 1 2 2 3" xfId="48594"/>
    <cellStyle name="60% - アクセント 1 2 2 4" xfId="48595"/>
    <cellStyle name="60% - アクセント 1 2 3" xfId="1283"/>
    <cellStyle name="60% - アクセント 1 2 3 2" xfId="1284"/>
    <cellStyle name="60% - アクセント 1 2 3 3" xfId="48596"/>
    <cellStyle name="60% - アクセント 1 2 3 4" xfId="48597"/>
    <cellStyle name="60% - アクセント 1 2 4" xfId="5833"/>
    <cellStyle name="60% - アクセント 1 2 5" xfId="48598"/>
    <cellStyle name="60% - アクセント 1 2 6" xfId="48599"/>
    <cellStyle name="60% - アクセント 1 2 7" xfId="48600"/>
    <cellStyle name="60% - アクセント 1 2 8" xfId="48601"/>
    <cellStyle name="60% - アクセント 1 2 9" xfId="1280"/>
    <cellStyle name="60% - アクセント 1 3" xfId="1285"/>
    <cellStyle name="60% - アクセント 1 3 2" xfId="1286"/>
    <cellStyle name="60% - アクセント 1 3 2 2" xfId="1287"/>
    <cellStyle name="60% - アクセント 1 3 2 3" xfId="48602"/>
    <cellStyle name="60% - アクセント 1 3 2 4" xfId="48603"/>
    <cellStyle name="60% - アクセント 1 3 3" xfId="1288"/>
    <cellStyle name="60% - アクセント 1 3 3 2" xfId="1289"/>
    <cellStyle name="60% - アクセント 1 3 3 3" xfId="48604"/>
    <cellStyle name="60% - アクセント 1 3 3 4" xfId="48605"/>
    <cellStyle name="60% - アクセント 1 3 4" xfId="1290"/>
    <cellStyle name="60% - アクセント 1 3 4 2" xfId="5837"/>
    <cellStyle name="60% - アクセント 1 3 4 3" xfId="48606"/>
    <cellStyle name="60% - アクセント 1 3 5" xfId="48607"/>
    <cellStyle name="60% - アクセント 1 3 6" xfId="48608"/>
    <cellStyle name="60% - アクセント 1 3 7" xfId="48609"/>
    <cellStyle name="60% - アクセント 1 3 8" xfId="48610"/>
    <cellStyle name="60% - アクセント 1 4" xfId="1291"/>
    <cellStyle name="60% - アクセント 1 4 2" xfId="1292"/>
    <cellStyle name="60% - アクセント 1 4 2 2" xfId="1293"/>
    <cellStyle name="60% - アクセント 1 4 2 3" xfId="48611"/>
    <cellStyle name="60% - アクセント 1 4 2 4" xfId="48612"/>
    <cellStyle name="60% - アクセント 1 4 3" xfId="1294"/>
    <cellStyle name="60% - アクセント 1 4 3 2" xfId="1295"/>
    <cellStyle name="60% - アクセント 1 4 3 3" xfId="48613"/>
    <cellStyle name="60% - アクセント 1 4 3 4" xfId="48614"/>
    <cellStyle name="60% - アクセント 1 4 4" xfId="1296"/>
    <cellStyle name="60% - アクセント 1 4 5" xfId="48615"/>
    <cellStyle name="60% - アクセント 1 4 6" xfId="48616"/>
    <cellStyle name="60% - アクセント 1 4 7" xfId="48617"/>
    <cellStyle name="60% - アクセント 1 5" xfId="5829"/>
    <cellStyle name="60% - アクセント 1 5 2" xfId="23426"/>
    <cellStyle name="60% - アクセント 1 5 3" xfId="60873"/>
    <cellStyle name="60% - アクセント 1 6" xfId="48618"/>
    <cellStyle name="60% - アクセント 1 7" xfId="48619"/>
    <cellStyle name="60% - アクセント 1 8" xfId="48620"/>
    <cellStyle name="60% - アクセント 2" xfId="1297"/>
    <cellStyle name="60% - アクセント 2 2" xfId="99"/>
    <cellStyle name="60% - アクセント 2 2 2" xfId="1299"/>
    <cellStyle name="60% - アクセント 2 2 2 2" xfId="1300"/>
    <cellStyle name="60% - アクセント 2 2 2 3" xfId="48621"/>
    <cellStyle name="60% - アクセント 2 2 2 4" xfId="48622"/>
    <cellStyle name="60% - アクセント 2 2 3" xfId="1301"/>
    <cellStyle name="60% - アクセント 2 2 3 2" xfId="1302"/>
    <cellStyle name="60% - アクセント 2 2 3 3" xfId="48623"/>
    <cellStyle name="60% - アクセント 2 2 3 4" xfId="48624"/>
    <cellStyle name="60% - アクセント 2 2 4" xfId="5845"/>
    <cellStyle name="60% - アクセント 2 2 5" xfId="48625"/>
    <cellStyle name="60% - アクセント 2 2 6" xfId="48626"/>
    <cellStyle name="60% - アクセント 2 2 7" xfId="48627"/>
    <cellStyle name="60% - アクセント 2 2 8" xfId="48628"/>
    <cellStyle name="60% - アクセント 2 2 9" xfId="1298"/>
    <cellStyle name="60% - アクセント 2 3" xfId="1303"/>
    <cellStyle name="60% - アクセント 2 3 2" xfId="1304"/>
    <cellStyle name="60% - アクセント 2 3 2 2" xfId="1305"/>
    <cellStyle name="60% - アクセント 2 3 2 3" xfId="48629"/>
    <cellStyle name="60% - アクセント 2 3 2 4" xfId="48630"/>
    <cellStyle name="60% - アクセント 2 3 3" xfId="1306"/>
    <cellStyle name="60% - アクセント 2 3 3 2" xfId="1307"/>
    <cellStyle name="60% - アクセント 2 3 3 3" xfId="48631"/>
    <cellStyle name="60% - アクセント 2 3 3 4" xfId="48632"/>
    <cellStyle name="60% - アクセント 2 3 4" xfId="1308"/>
    <cellStyle name="60% - アクセント 2 3 4 2" xfId="5849"/>
    <cellStyle name="60% - アクセント 2 3 4 3" xfId="48633"/>
    <cellStyle name="60% - アクセント 2 3 5" xfId="48634"/>
    <cellStyle name="60% - アクセント 2 3 6" xfId="48635"/>
    <cellStyle name="60% - アクセント 2 3 7" xfId="48636"/>
    <cellStyle name="60% - アクセント 2 3 8" xfId="48637"/>
    <cellStyle name="60% - アクセント 2 4" xfId="1309"/>
    <cellStyle name="60% - アクセント 2 4 2" xfId="1310"/>
    <cellStyle name="60% - アクセント 2 4 2 2" xfId="1311"/>
    <cellStyle name="60% - アクセント 2 4 2 3" xfId="48638"/>
    <cellStyle name="60% - アクセント 2 4 2 4" xfId="48639"/>
    <cellStyle name="60% - アクセント 2 4 3" xfId="1312"/>
    <cellStyle name="60% - アクセント 2 4 3 2" xfId="1313"/>
    <cellStyle name="60% - アクセント 2 4 3 3" xfId="48640"/>
    <cellStyle name="60% - アクセント 2 4 3 4" xfId="48641"/>
    <cellStyle name="60% - アクセント 2 4 4" xfId="1314"/>
    <cellStyle name="60% - アクセント 2 4 5" xfId="48642"/>
    <cellStyle name="60% - アクセント 2 4 6" xfId="48643"/>
    <cellStyle name="60% - アクセント 2 4 7" xfId="48644"/>
    <cellStyle name="60% - アクセント 2 5" xfId="5841"/>
    <cellStyle name="60% - アクセント 2 5 2" xfId="23427"/>
    <cellStyle name="60% - アクセント 2 5 3" xfId="60874"/>
    <cellStyle name="60% - アクセント 2 6" xfId="48645"/>
    <cellStyle name="60% - アクセント 2 7" xfId="48646"/>
    <cellStyle name="60% - アクセント 2 8" xfId="48647"/>
    <cellStyle name="60% - アクセント 3" xfId="1315"/>
    <cellStyle name="60% - アクセント 3 2" xfId="100"/>
    <cellStyle name="60% - アクセント 3 2 2" xfId="1317"/>
    <cellStyle name="60% - アクセント 3 2 2 2" xfId="1318"/>
    <cellStyle name="60% - アクセント 3 2 2 3" xfId="48648"/>
    <cellStyle name="60% - アクセント 3 2 2 4" xfId="48649"/>
    <cellStyle name="60% - アクセント 3 2 3" xfId="1319"/>
    <cellStyle name="60% - アクセント 3 2 3 2" xfId="1320"/>
    <cellStyle name="60% - アクセント 3 2 3 3" xfId="48650"/>
    <cellStyle name="60% - アクセント 3 2 3 4" xfId="48651"/>
    <cellStyle name="60% - アクセント 3 2 4" xfId="5857"/>
    <cellStyle name="60% - アクセント 3 2 5" xfId="48652"/>
    <cellStyle name="60% - アクセント 3 2 6" xfId="48653"/>
    <cellStyle name="60% - アクセント 3 2 7" xfId="48654"/>
    <cellStyle name="60% - アクセント 3 2 8" xfId="48655"/>
    <cellStyle name="60% - アクセント 3 2 9" xfId="1316"/>
    <cellStyle name="60% - アクセント 3 3" xfId="1321"/>
    <cellStyle name="60% - アクセント 3 3 2" xfId="1322"/>
    <cellStyle name="60% - アクセント 3 3 2 2" xfId="1323"/>
    <cellStyle name="60% - アクセント 3 3 2 3" xfId="48656"/>
    <cellStyle name="60% - アクセント 3 3 2 4" xfId="48657"/>
    <cellStyle name="60% - アクセント 3 3 3" xfId="1324"/>
    <cellStyle name="60% - アクセント 3 3 3 2" xfId="1325"/>
    <cellStyle name="60% - アクセント 3 3 3 3" xfId="48658"/>
    <cellStyle name="60% - アクセント 3 3 3 4" xfId="48659"/>
    <cellStyle name="60% - アクセント 3 3 4" xfId="1326"/>
    <cellStyle name="60% - アクセント 3 3 4 2" xfId="5861"/>
    <cellStyle name="60% - アクセント 3 3 4 3" xfId="48660"/>
    <cellStyle name="60% - アクセント 3 3 5" xfId="48661"/>
    <cellStyle name="60% - アクセント 3 3 6" xfId="48662"/>
    <cellStyle name="60% - アクセント 3 3 7" xfId="48663"/>
    <cellStyle name="60% - アクセント 3 3 8" xfId="48664"/>
    <cellStyle name="60% - アクセント 3 4" xfId="1327"/>
    <cellStyle name="60% - アクセント 3 4 2" xfId="1328"/>
    <cellStyle name="60% - アクセント 3 4 2 2" xfId="1329"/>
    <cellStyle name="60% - アクセント 3 4 2 3" xfId="48665"/>
    <cellStyle name="60% - アクセント 3 4 2 4" xfId="48666"/>
    <cellStyle name="60% - アクセント 3 4 3" xfId="1330"/>
    <cellStyle name="60% - アクセント 3 4 3 2" xfId="1331"/>
    <cellStyle name="60% - アクセント 3 4 3 3" xfId="48667"/>
    <cellStyle name="60% - アクセント 3 4 3 4" xfId="48668"/>
    <cellStyle name="60% - アクセント 3 4 4" xfId="1332"/>
    <cellStyle name="60% - アクセント 3 4 5" xfId="48669"/>
    <cellStyle name="60% - アクセント 3 4 6" xfId="48670"/>
    <cellStyle name="60% - アクセント 3 4 7" xfId="48671"/>
    <cellStyle name="60% - アクセント 3 5" xfId="5853"/>
    <cellStyle name="60% - アクセント 3 5 2" xfId="23429"/>
    <cellStyle name="60% - アクセント 3 5 3" xfId="60875"/>
    <cellStyle name="60% - アクセント 3 6" xfId="48672"/>
    <cellStyle name="60% - アクセント 3 7" xfId="48673"/>
    <cellStyle name="60% - アクセント 3 8" xfId="48674"/>
    <cellStyle name="60% - アクセント 4" xfId="1333"/>
    <cellStyle name="60% - アクセント 4 2" xfId="101"/>
    <cellStyle name="60% - アクセント 4 2 2" xfId="1335"/>
    <cellStyle name="60% - アクセント 4 2 2 2" xfId="1336"/>
    <cellStyle name="60% - アクセント 4 2 2 3" xfId="48675"/>
    <cellStyle name="60% - アクセント 4 2 2 4" xfId="48676"/>
    <cellStyle name="60% - アクセント 4 2 3" xfId="1337"/>
    <cellStyle name="60% - アクセント 4 2 3 2" xfId="1338"/>
    <cellStyle name="60% - アクセント 4 2 3 3" xfId="48677"/>
    <cellStyle name="60% - アクセント 4 2 3 4" xfId="48678"/>
    <cellStyle name="60% - アクセント 4 2 4" xfId="5869"/>
    <cellStyle name="60% - アクセント 4 2 5" xfId="48679"/>
    <cellStyle name="60% - アクセント 4 2 6" xfId="48680"/>
    <cellStyle name="60% - アクセント 4 2 7" xfId="48681"/>
    <cellStyle name="60% - アクセント 4 2 8" xfId="48682"/>
    <cellStyle name="60% - アクセント 4 2 9" xfId="1334"/>
    <cellStyle name="60% - アクセント 4 3" xfId="1339"/>
    <cellStyle name="60% - アクセント 4 3 2" xfId="1340"/>
    <cellStyle name="60% - アクセント 4 3 2 2" xfId="1341"/>
    <cellStyle name="60% - アクセント 4 3 2 3" xfId="48683"/>
    <cellStyle name="60% - アクセント 4 3 2 4" xfId="48684"/>
    <cellStyle name="60% - アクセント 4 3 3" xfId="1342"/>
    <cellStyle name="60% - アクセント 4 3 3 2" xfId="1343"/>
    <cellStyle name="60% - アクセント 4 3 3 3" xfId="48685"/>
    <cellStyle name="60% - アクセント 4 3 3 4" xfId="48686"/>
    <cellStyle name="60% - アクセント 4 3 4" xfId="1344"/>
    <cellStyle name="60% - アクセント 4 3 4 2" xfId="5873"/>
    <cellStyle name="60% - アクセント 4 3 4 3" xfId="48687"/>
    <cellStyle name="60% - アクセント 4 3 5" xfId="48688"/>
    <cellStyle name="60% - アクセント 4 3 6" xfId="48689"/>
    <cellStyle name="60% - アクセント 4 3 7" xfId="48690"/>
    <cellStyle name="60% - アクセント 4 3 8" xfId="48691"/>
    <cellStyle name="60% - アクセント 4 4" xfId="1345"/>
    <cellStyle name="60% - アクセント 4 4 2" xfId="1346"/>
    <cellStyle name="60% - アクセント 4 4 2 2" xfId="1347"/>
    <cellStyle name="60% - アクセント 4 4 2 3" xfId="48692"/>
    <cellStyle name="60% - アクセント 4 4 2 4" xfId="48693"/>
    <cellStyle name="60% - アクセント 4 4 3" xfId="1348"/>
    <cellStyle name="60% - アクセント 4 4 3 2" xfId="1349"/>
    <cellStyle name="60% - アクセント 4 4 3 3" xfId="48694"/>
    <cellStyle name="60% - アクセント 4 4 3 4" xfId="48695"/>
    <cellStyle name="60% - アクセント 4 4 4" xfId="1350"/>
    <cellStyle name="60% - アクセント 4 4 5" xfId="48696"/>
    <cellStyle name="60% - アクセント 4 4 6" xfId="48697"/>
    <cellStyle name="60% - アクセント 4 4 7" xfId="48698"/>
    <cellStyle name="60% - アクセント 4 5" xfId="5865"/>
    <cellStyle name="60% - アクセント 4 5 2" xfId="23430"/>
    <cellStyle name="60% - アクセント 4 5 3" xfId="60876"/>
    <cellStyle name="60% - アクセント 4 6" xfId="48699"/>
    <cellStyle name="60% - アクセント 4 7" xfId="48700"/>
    <cellStyle name="60% - アクセント 4 8" xfId="48701"/>
    <cellStyle name="60% - アクセント 5" xfId="1351"/>
    <cellStyle name="60% - アクセント 5 2" xfId="102"/>
    <cellStyle name="60% - アクセント 5 2 2" xfId="1353"/>
    <cellStyle name="60% - アクセント 5 2 2 2" xfId="1354"/>
    <cellStyle name="60% - アクセント 5 2 2 3" xfId="48702"/>
    <cellStyle name="60% - アクセント 5 2 2 4" xfId="48703"/>
    <cellStyle name="60% - アクセント 5 2 3" xfId="1355"/>
    <cellStyle name="60% - アクセント 5 2 3 2" xfId="1356"/>
    <cellStyle name="60% - アクセント 5 2 3 3" xfId="48704"/>
    <cellStyle name="60% - アクセント 5 2 3 4" xfId="48705"/>
    <cellStyle name="60% - アクセント 5 2 4" xfId="5881"/>
    <cellStyle name="60% - アクセント 5 2 5" xfId="48706"/>
    <cellStyle name="60% - アクセント 5 2 6" xfId="48707"/>
    <cellStyle name="60% - アクセント 5 2 7" xfId="48708"/>
    <cellStyle name="60% - アクセント 5 2 8" xfId="48709"/>
    <cellStyle name="60% - アクセント 5 2 9" xfId="1352"/>
    <cellStyle name="60% - アクセント 5 3" xfId="1357"/>
    <cellStyle name="60% - アクセント 5 3 2" xfId="1358"/>
    <cellStyle name="60% - アクセント 5 3 2 2" xfId="1359"/>
    <cellStyle name="60% - アクセント 5 3 2 3" xfId="48710"/>
    <cellStyle name="60% - アクセント 5 3 2 4" xfId="48711"/>
    <cellStyle name="60% - アクセント 5 3 3" xfId="1360"/>
    <cellStyle name="60% - アクセント 5 3 3 2" xfId="1361"/>
    <cellStyle name="60% - アクセント 5 3 3 3" xfId="48712"/>
    <cellStyle name="60% - アクセント 5 3 3 4" xfId="48713"/>
    <cellStyle name="60% - アクセント 5 3 4" xfId="1362"/>
    <cellStyle name="60% - アクセント 5 3 4 2" xfId="5885"/>
    <cellStyle name="60% - アクセント 5 3 4 3" xfId="48714"/>
    <cellStyle name="60% - アクセント 5 3 5" xfId="48715"/>
    <cellStyle name="60% - アクセント 5 3 6" xfId="48716"/>
    <cellStyle name="60% - アクセント 5 3 7" xfId="48717"/>
    <cellStyle name="60% - アクセント 5 3 8" xfId="48718"/>
    <cellStyle name="60% - アクセント 5 4" xfId="1363"/>
    <cellStyle name="60% - アクセント 5 4 2" xfId="1364"/>
    <cellStyle name="60% - アクセント 5 4 2 2" xfId="1365"/>
    <cellStyle name="60% - アクセント 5 4 2 3" xfId="48719"/>
    <cellStyle name="60% - アクセント 5 4 2 4" xfId="48720"/>
    <cellStyle name="60% - アクセント 5 4 3" xfId="1366"/>
    <cellStyle name="60% - アクセント 5 4 3 2" xfId="1367"/>
    <cellStyle name="60% - アクセント 5 4 3 3" xfId="48721"/>
    <cellStyle name="60% - アクセント 5 4 3 4" xfId="48722"/>
    <cellStyle name="60% - アクセント 5 4 4" xfId="1368"/>
    <cellStyle name="60% - アクセント 5 4 5" xfId="48723"/>
    <cellStyle name="60% - アクセント 5 4 6" xfId="48724"/>
    <cellStyle name="60% - アクセント 5 4 7" xfId="48725"/>
    <cellStyle name="60% - アクセント 5 5" xfId="5877"/>
    <cellStyle name="60% - アクセント 5 5 2" xfId="23431"/>
    <cellStyle name="60% - アクセント 5 5 3" xfId="60877"/>
    <cellStyle name="60% - アクセント 5 6" xfId="48726"/>
    <cellStyle name="60% - アクセント 5 7" xfId="48727"/>
    <cellStyle name="60% - アクセント 5 8" xfId="48728"/>
    <cellStyle name="60% - アクセント 6" xfId="1369"/>
    <cellStyle name="60% - アクセント 6 2" xfId="103"/>
    <cellStyle name="60% - アクセント 6 2 2" xfId="1371"/>
    <cellStyle name="60% - アクセント 6 2 2 2" xfId="1372"/>
    <cellStyle name="60% - アクセント 6 2 2 3" xfId="48729"/>
    <cellStyle name="60% - アクセント 6 2 2 4" xfId="48730"/>
    <cellStyle name="60% - アクセント 6 2 3" xfId="1373"/>
    <cellStyle name="60% - アクセント 6 2 3 2" xfId="1374"/>
    <cellStyle name="60% - アクセント 6 2 3 3" xfId="48731"/>
    <cellStyle name="60% - アクセント 6 2 3 4" xfId="48732"/>
    <cellStyle name="60% - アクセント 6 2 4" xfId="5893"/>
    <cellStyle name="60% - アクセント 6 2 5" xfId="48733"/>
    <cellStyle name="60% - アクセント 6 2 6" xfId="48734"/>
    <cellStyle name="60% - アクセント 6 2 7" xfId="48735"/>
    <cellStyle name="60% - アクセント 6 2 8" xfId="48736"/>
    <cellStyle name="60% - アクセント 6 2 9" xfId="1370"/>
    <cellStyle name="60% - アクセント 6 3" xfId="1375"/>
    <cellStyle name="60% - アクセント 6 3 2" xfId="1376"/>
    <cellStyle name="60% - アクセント 6 3 2 2" xfId="1377"/>
    <cellStyle name="60% - アクセント 6 3 2 3" xfId="48737"/>
    <cellStyle name="60% - アクセント 6 3 2 4" xfId="48738"/>
    <cellStyle name="60% - アクセント 6 3 3" xfId="1378"/>
    <cellStyle name="60% - アクセント 6 3 3 2" xfId="1379"/>
    <cellStyle name="60% - アクセント 6 3 3 3" xfId="48739"/>
    <cellStyle name="60% - アクセント 6 3 3 4" xfId="48740"/>
    <cellStyle name="60% - アクセント 6 3 4" xfId="1380"/>
    <cellStyle name="60% - アクセント 6 3 4 2" xfId="5897"/>
    <cellStyle name="60% - アクセント 6 3 4 3" xfId="48741"/>
    <cellStyle name="60% - アクセント 6 3 5" xfId="48742"/>
    <cellStyle name="60% - アクセント 6 3 6" xfId="48743"/>
    <cellStyle name="60% - アクセント 6 3 7" xfId="48744"/>
    <cellStyle name="60% - アクセント 6 3 8" xfId="48745"/>
    <cellStyle name="60% - アクセント 6 4" xfId="1381"/>
    <cellStyle name="60% - アクセント 6 4 2" xfId="1382"/>
    <cellStyle name="60% - アクセント 6 4 2 2" xfId="1383"/>
    <cellStyle name="60% - アクセント 6 4 2 3" xfId="48746"/>
    <cellStyle name="60% - アクセント 6 4 2 4" xfId="48747"/>
    <cellStyle name="60% - アクセント 6 4 3" xfId="1384"/>
    <cellStyle name="60% - アクセント 6 4 3 2" xfId="1385"/>
    <cellStyle name="60% - アクセント 6 4 3 3" xfId="48748"/>
    <cellStyle name="60% - アクセント 6 4 3 4" xfId="48749"/>
    <cellStyle name="60% - アクセント 6 4 4" xfId="1386"/>
    <cellStyle name="60% - アクセント 6 4 5" xfId="48750"/>
    <cellStyle name="60% - アクセント 6 4 6" xfId="48751"/>
    <cellStyle name="60% - アクセント 6 4 7" xfId="48752"/>
    <cellStyle name="60% - アクセント 6 5" xfId="5889"/>
    <cellStyle name="60% - アクセント 6 5 2" xfId="23432"/>
    <cellStyle name="60% - アクセント 6 5 3" xfId="60878"/>
    <cellStyle name="60% - アクセント 6 6" xfId="48753"/>
    <cellStyle name="60% - アクセント 6 7" xfId="48754"/>
    <cellStyle name="60% - アクセント 6 8" xfId="48755"/>
    <cellStyle name="60% - 輔色1" xfId="5901"/>
    <cellStyle name="60% - 輔色2" xfId="5902"/>
    <cellStyle name="60% - 輔色3" xfId="5903"/>
    <cellStyle name="60% - 輔色4" xfId="5904"/>
    <cellStyle name="60% - 輔色5" xfId="5905"/>
    <cellStyle name="60% - 輔色6" xfId="5906"/>
    <cellStyle name="60% - 强调文字颜色 1 2" xfId="104"/>
    <cellStyle name="60% - 强调文字颜色 1 2 2" xfId="1387"/>
    <cellStyle name="60% - 强调文字颜色 1 2 2 2" xfId="1388"/>
    <cellStyle name="60% - 强调文字颜色 1 2 2 2 2" xfId="5909"/>
    <cellStyle name="60% - 强调文字颜色 1 2 2 2 3" xfId="48756"/>
    <cellStyle name="60% - 强调文字颜色 1 2 2 2 4" xfId="48757"/>
    <cellStyle name="60% - 强调文字颜色 1 2 2 3" xfId="1389"/>
    <cellStyle name="60% - 强调文字颜色 1 2 2 4" xfId="5908"/>
    <cellStyle name="60% - 强调文字颜色 1 2 2 5" xfId="48758"/>
    <cellStyle name="60% - 强调文字颜色 1 2 3" xfId="1390"/>
    <cellStyle name="60% - 强调文字颜色 1 2 3 2" xfId="5910"/>
    <cellStyle name="60% - 强调文字颜色 1 2 4" xfId="48759"/>
    <cellStyle name="60% - 强调文字颜色 1 2 5" xfId="48760"/>
    <cellStyle name="60% - 强调文字颜色 1 2 6" xfId="48761"/>
    <cellStyle name="60% - 强调文字颜色 1 2 7" xfId="736"/>
    <cellStyle name="60% - 强调文字颜色 1 3" xfId="1391"/>
    <cellStyle name="60% - 强调文字颜色 1 3 2" xfId="5912"/>
    <cellStyle name="60% - 强调文字颜色 1 3 3" xfId="5911"/>
    <cellStyle name="60% - 强调文字颜色 1 3 4" xfId="48762"/>
    <cellStyle name="60% - 强调文字颜色 1 4" xfId="5913"/>
    <cellStyle name="60% - 强调文字颜色 1 4 2" xfId="5914"/>
    <cellStyle name="60% - 强调文字颜色 1 5" xfId="48763"/>
    <cellStyle name="60% - 强调文字颜色 1 6" xfId="48764"/>
    <cellStyle name="60% - 强调文字颜色 2 2" xfId="105"/>
    <cellStyle name="60% - 强调文字颜色 2 2 2" xfId="1392"/>
    <cellStyle name="60% - 强调文字颜色 2 2 2 2" xfId="1393"/>
    <cellStyle name="60% - 强调文字颜色 2 2 2 2 2" xfId="5917"/>
    <cellStyle name="60% - 强调文字颜色 2 2 2 2 3" xfId="48765"/>
    <cellStyle name="60% - 强调文字颜色 2 2 2 2 4" xfId="48766"/>
    <cellStyle name="60% - 强调文字颜色 2 2 2 3" xfId="1394"/>
    <cellStyle name="60% - 强调文字颜色 2 2 2 4" xfId="5916"/>
    <cellStyle name="60% - 强调文字颜色 2 2 2 5" xfId="48767"/>
    <cellStyle name="60% - 强调文字颜色 2 2 3" xfId="1395"/>
    <cellStyle name="60% - 强调文字颜色 2 2 3 2" xfId="5918"/>
    <cellStyle name="60% - 强调文字颜色 2 2 4" xfId="48768"/>
    <cellStyle name="60% - 强调文字颜色 2 2 5" xfId="48769"/>
    <cellStyle name="60% - 强调文字颜色 2 2 6" xfId="48770"/>
    <cellStyle name="60% - 强调文字颜色 2 2 7" xfId="737"/>
    <cellStyle name="60% - 强调文字颜色 2 3" xfId="1396"/>
    <cellStyle name="60% - 强调文字颜色 2 3 2" xfId="5920"/>
    <cellStyle name="60% - 强调文字颜色 2 3 3" xfId="5919"/>
    <cellStyle name="60% - 强调文字颜色 2 3 4" xfId="48771"/>
    <cellStyle name="60% - 强调文字颜色 2 4" xfId="5921"/>
    <cellStyle name="60% - 强调文字颜色 2 4 2" xfId="5922"/>
    <cellStyle name="60% - 强调文字颜色 2 5" xfId="48772"/>
    <cellStyle name="60% - 强调文字颜色 2 6" xfId="48773"/>
    <cellStyle name="60% - 强调文字颜色 3 2" xfId="106"/>
    <cellStyle name="60% - 强调文字颜色 3 2 2" xfId="1397"/>
    <cellStyle name="60% - 强调文字颜色 3 2 2 2" xfId="1398"/>
    <cellStyle name="60% - 强调文字颜色 3 2 2 2 2" xfId="5925"/>
    <cellStyle name="60% - 强调文字颜色 3 2 2 2 3" xfId="48774"/>
    <cellStyle name="60% - 强调文字颜色 3 2 2 2 4" xfId="48775"/>
    <cellStyle name="60% - 强调文字颜色 3 2 2 3" xfId="1399"/>
    <cellStyle name="60% - 强调文字颜色 3 2 2 4" xfId="5924"/>
    <cellStyle name="60% - 强调文字颜色 3 2 2 5" xfId="48776"/>
    <cellStyle name="60% - 强调文字颜色 3 2 3" xfId="1400"/>
    <cellStyle name="60% - 强调文字颜色 3 2 3 2" xfId="5926"/>
    <cellStyle name="60% - 强调文字颜色 3 2 4" xfId="48777"/>
    <cellStyle name="60% - 强调文字颜色 3 2 5" xfId="48778"/>
    <cellStyle name="60% - 强调文字颜色 3 2 6" xfId="48779"/>
    <cellStyle name="60% - 强调文字颜色 3 2 7" xfId="738"/>
    <cellStyle name="60% - 强调文字颜色 3 3" xfId="1401"/>
    <cellStyle name="60% - 强调文字颜色 3 3 2" xfId="5928"/>
    <cellStyle name="60% - 强调文字颜色 3 3 3" xfId="5927"/>
    <cellStyle name="60% - 强调文字颜色 3 3 4" xfId="48780"/>
    <cellStyle name="60% - 强调文字颜色 3 4" xfId="5929"/>
    <cellStyle name="60% - 强调文字颜色 3 4 2" xfId="5930"/>
    <cellStyle name="60% - 强调文字颜色 3 5" xfId="48781"/>
    <cellStyle name="60% - 强调文字颜色 3 6" xfId="48782"/>
    <cellStyle name="60% - 强调文字颜色 4 2" xfId="107"/>
    <cellStyle name="60% - 强调文字颜色 4 2 2" xfId="1402"/>
    <cellStyle name="60% - 强调文字颜色 4 2 2 2" xfId="1403"/>
    <cellStyle name="60% - 强调文字颜色 4 2 2 2 2" xfId="5933"/>
    <cellStyle name="60% - 强调文字颜色 4 2 2 2 3" xfId="48783"/>
    <cellStyle name="60% - 强调文字颜色 4 2 2 2 4" xfId="48784"/>
    <cellStyle name="60% - 强调文字颜色 4 2 2 3" xfId="1404"/>
    <cellStyle name="60% - 强调文字颜色 4 2 2 4" xfId="5932"/>
    <cellStyle name="60% - 强调文字颜色 4 2 2 5" xfId="48785"/>
    <cellStyle name="60% - 强调文字颜色 4 2 3" xfId="1405"/>
    <cellStyle name="60% - 强调文字颜色 4 2 3 2" xfId="5934"/>
    <cellStyle name="60% - 强调文字颜色 4 2 4" xfId="48786"/>
    <cellStyle name="60% - 强调文字颜色 4 2 5" xfId="48787"/>
    <cellStyle name="60% - 强调文字颜色 4 2 6" xfId="48788"/>
    <cellStyle name="60% - 强调文字颜色 4 2 7" xfId="739"/>
    <cellStyle name="60% - 强调文字颜色 4 3" xfId="1406"/>
    <cellStyle name="60% - 强调文字颜色 4 3 2" xfId="5936"/>
    <cellStyle name="60% - 强调文字颜色 4 3 3" xfId="5935"/>
    <cellStyle name="60% - 强调文字颜色 4 3 4" xfId="48789"/>
    <cellStyle name="60% - 强调文字颜色 4 4" xfId="5937"/>
    <cellStyle name="60% - 强调文字颜色 4 4 2" xfId="5938"/>
    <cellStyle name="60% - 强调文字颜色 4 5" xfId="48790"/>
    <cellStyle name="60% - 强调文字颜色 4 6" xfId="48791"/>
    <cellStyle name="60% - 强调文字颜色 5 2" xfId="108"/>
    <cellStyle name="60% - 强调文字颜色 5 2 2" xfId="1407"/>
    <cellStyle name="60% - 强调文字颜色 5 2 2 2" xfId="1408"/>
    <cellStyle name="60% - 强调文字颜色 5 2 2 2 2" xfId="5941"/>
    <cellStyle name="60% - 强调文字颜色 5 2 2 2 3" xfId="48792"/>
    <cellStyle name="60% - 强调文字颜色 5 2 2 2 4" xfId="48793"/>
    <cellStyle name="60% - 强调文字颜色 5 2 2 3" xfId="1409"/>
    <cellStyle name="60% - 强调文字颜色 5 2 2 4" xfId="5940"/>
    <cellStyle name="60% - 强调文字颜色 5 2 2 5" xfId="48794"/>
    <cellStyle name="60% - 强调文字颜色 5 2 3" xfId="1410"/>
    <cellStyle name="60% - 强调文字颜色 5 2 3 2" xfId="5942"/>
    <cellStyle name="60% - 强调文字颜色 5 2 4" xfId="48795"/>
    <cellStyle name="60% - 强调文字颜色 5 2 5" xfId="48796"/>
    <cellStyle name="60% - 强调文字颜色 5 2 6" xfId="48797"/>
    <cellStyle name="60% - 强调文字颜色 5 2 7" xfId="740"/>
    <cellStyle name="60% - 强调文字颜色 5 3" xfId="1411"/>
    <cellStyle name="60% - 强调文字颜色 5 3 2" xfId="5944"/>
    <cellStyle name="60% - 强调文字颜色 5 3 3" xfId="5943"/>
    <cellStyle name="60% - 强调文字颜色 5 3 4" xfId="48798"/>
    <cellStyle name="60% - 强调文字颜色 5 4" xfId="5945"/>
    <cellStyle name="60% - 强调文字颜色 5 4 2" xfId="5946"/>
    <cellStyle name="60% - 强调文字颜色 5 5" xfId="48799"/>
    <cellStyle name="60% - 强调文字颜色 5 6" xfId="48800"/>
    <cellStyle name="60% - 强调文字颜色 6 2" xfId="109"/>
    <cellStyle name="60% - 强调文字颜色 6 2 2" xfId="1412"/>
    <cellStyle name="60% - 强调文字颜色 6 2 2 2" xfId="1413"/>
    <cellStyle name="60% - 强调文字颜色 6 2 2 2 2" xfId="5949"/>
    <cellStyle name="60% - 强调文字颜色 6 2 2 2 3" xfId="48801"/>
    <cellStyle name="60% - 强调文字颜色 6 2 2 2 4" xfId="48802"/>
    <cellStyle name="60% - 强调文字颜色 6 2 2 3" xfId="1414"/>
    <cellStyle name="60% - 强调文字颜色 6 2 2 4" xfId="5948"/>
    <cellStyle name="60% - 强调文字颜色 6 2 2 5" xfId="48803"/>
    <cellStyle name="60% - 强调文字颜色 6 2 3" xfId="1415"/>
    <cellStyle name="60% - 强调文字颜色 6 2 3 2" xfId="5950"/>
    <cellStyle name="60% - 强调文字颜色 6 2 4" xfId="48804"/>
    <cellStyle name="60% - 强调文字颜色 6 2 5" xfId="48805"/>
    <cellStyle name="60% - 强调文字颜色 6 2 6" xfId="48806"/>
    <cellStyle name="60% - 强调文字颜色 6 2 7" xfId="741"/>
    <cellStyle name="60% - 强调文字颜色 6 3" xfId="1416"/>
    <cellStyle name="60% - 强调文字颜色 6 3 2" xfId="5952"/>
    <cellStyle name="60% - 强调文字颜色 6 3 3" xfId="5951"/>
    <cellStyle name="60% - 强调文字颜色 6 3 4" xfId="48807"/>
    <cellStyle name="60% - 强调文字颜色 6 4" xfId="5953"/>
    <cellStyle name="60% - 强调文字颜色 6 4 2" xfId="5954"/>
    <cellStyle name="60% - 强调文字颜色 6 5" xfId="48808"/>
    <cellStyle name="60% - 强调文字颜色 6 6" xfId="48809"/>
    <cellStyle name="60% - 着色 1" xfId="48810"/>
    <cellStyle name="60% - 着色 2" xfId="48811"/>
    <cellStyle name="60% - 着色 3" xfId="48812"/>
    <cellStyle name="60% - 着色 4" xfId="48813"/>
    <cellStyle name="60% - 着色 5" xfId="48814"/>
    <cellStyle name="60% - 着色 6" xfId="48815"/>
    <cellStyle name="Accent1" xfId="1417"/>
    <cellStyle name="Accent1 2" xfId="1418"/>
    <cellStyle name="Accent1 2 2" xfId="48816"/>
    <cellStyle name="Accent1 2 3" xfId="48817"/>
    <cellStyle name="Accent1 3" xfId="1419"/>
    <cellStyle name="Accent1 3 2" xfId="48818"/>
    <cellStyle name="Accent1 3 3" xfId="48819"/>
    <cellStyle name="Accent1 4" xfId="5955"/>
    <cellStyle name="Accent1 5" xfId="48820"/>
    <cellStyle name="Accent2" xfId="1420"/>
    <cellStyle name="Accent2 2" xfId="1421"/>
    <cellStyle name="Accent2 2 2" xfId="48821"/>
    <cellStyle name="Accent2 2 3" xfId="48822"/>
    <cellStyle name="Accent2 3" xfId="1422"/>
    <cellStyle name="Accent2 3 2" xfId="48823"/>
    <cellStyle name="Accent2 3 3" xfId="48824"/>
    <cellStyle name="Accent2 4" xfId="5958"/>
    <cellStyle name="Accent2 5" xfId="48825"/>
    <cellStyle name="Accent3" xfId="1423"/>
    <cellStyle name="Accent3 2" xfId="1424"/>
    <cellStyle name="Accent3 2 2" xfId="48826"/>
    <cellStyle name="Accent3 2 3" xfId="48827"/>
    <cellStyle name="Accent3 3" xfId="1425"/>
    <cellStyle name="Accent3 3 2" xfId="48828"/>
    <cellStyle name="Accent3 3 3" xfId="48829"/>
    <cellStyle name="Accent3 4" xfId="5961"/>
    <cellStyle name="Accent3 5" xfId="48830"/>
    <cellStyle name="Accent4" xfId="1426"/>
    <cellStyle name="Accent4 2" xfId="1427"/>
    <cellStyle name="Accent4 2 2" xfId="48831"/>
    <cellStyle name="Accent4 2 3" xfId="48832"/>
    <cellStyle name="Accent4 3" xfId="1428"/>
    <cellStyle name="Accent4 3 2" xfId="48833"/>
    <cellStyle name="Accent4 3 3" xfId="48834"/>
    <cellStyle name="Accent4 4" xfId="5964"/>
    <cellStyle name="Accent4 5" xfId="48835"/>
    <cellStyle name="Accent5" xfId="1429"/>
    <cellStyle name="Accent5 2" xfId="1430"/>
    <cellStyle name="Accent5 2 2" xfId="48836"/>
    <cellStyle name="Accent5 2 3" xfId="48837"/>
    <cellStyle name="Accent5 3" xfId="1431"/>
    <cellStyle name="Accent5 3 2" xfId="48838"/>
    <cellStyle name="Accent5 3 3" xfId="48839"/>
    <cellStyle name="Accent5 4" xfId="5967"/>
    <cellStyle name="Accent5 5" xfId="48840"/>
    <cellStyle name="Accent6" xfId="1432"/>
    <cellStyle name="Accent6 2" xfId="1433"/>
    <cellStyle name="Accent6 2 2" xfId="48841"/>
    <cellStyle name="Accent6 2 3" xfId="48842"/>
    <cellStyle name="Accent6 3" xfId="1434"/>
    <cellStyle name="Accent6 3 2" xfId="48843"/>
    <cellStyle name="Accent6 3 3" xfId="48844"/>
    <cellStyle name="Accent6 4" xfId="5970"/>
    <cellStyle name="Accent6 5" xfId="48845"/>
    <cellStyle name="Bad" xfId="1435"/>
    <cellStyle name="Bad 2" xfId="1436"/>
    <cellStyle name="Bad 2 2" xfId="48846"/>
    <cellStyle name="Bad 2 3" xfId="48847"/>
    <cellStyle name="Bad 3" xfId="1437"/>
    <cellStyle name="Bad 3 2" xfId="48848"/>
    <cellStyle name="Bad 3 3" xfId="48849"/>
    <cellStyle name="Bad 4" xfId="5973"/>
    <cellStyle name="Bad 5" xfId="48850"/>
    <cellStyle name="Border" xfId="48851"/>
    <cellStyle name="Border 2" xfId="48852"/>
    <cellStyle name="Border 3" xfId="48853"/>
    <cellStyle name="Border 4" xfId="48854"/>
    <cellStyle name="Calc Currency (0)" xfId="1438"/>
    <cellStyle name="Calc Currency (0) 2" xfId="1439"/>
    <cellStyle name="Calc Currency (0) 2 2" xfId="23433"/>
    <cellStyle name="Calc Currency (0) 3" xfId="5976"/>
    <cellStyle name="Calc Currency (0) 3 2" xfId="23434"/>
    <cellStyle name="Calc Currency (0) 4" xfId="48855"/>
    <cellStyle name="Calculation" xfId="1440"/>
    <cellStyle name="Calculation 10" xfId="10773"/>
    <cellStyle name="Calculation 10 2" xfId="19539"/>
    <cellStyle name="Calculation 10 2 2" xfId="23437"/>
    <cellStyle name="Calculation 10 2 3" xfId="25653"/>
    <cellStyle name="Calculation 10 3" xfId="23436"/>
    <cellStyle name="Calculation 10 4" xfId="25654"/>
    <cellStyle name="Calculation 11" xfId="5977"/>
    <cellStyle name="Calculation 11 2" xfId="23438"/>
    <cellStyle name="Calculation 11 3" xfId="25652"/>
    <cellStyle name="Calculation 12" xfId="23435"/>
    <cellStyle name="Calculation 13" xfId="25655"/>
    <cellStyle name="Calculation 2" xfId="1441"/>
    <cellStyle name="Calculation 2 10" xfId="23439"/>
    <cellStyle name="Calculation 2 2" xfId="1442"/>
    <cellStyle name="Calculation 2 2 2" xfId="1443"/>
    <cellStyle name="Calculation 2 2 2 2" xfId="10775"/>
    <cellStyle name="Calculation 2 2 2 2 2" xfId="21735"/>
    <cellStyle name="Calculation 2 2 2 2 2 2" xfId="23443"/>
    <cellStyle name="Calculation 2 2 2 2 2 3" xfId="25650"/>
    <cellStyle name="Calculation 2 2 2 2 3" xfId="23442"/>
    <cellStyle name="Calculation 2 2 2 2 4" xfId="25651"/>
    <cellStyle name="Calculation 2 2 2 3" xfId="10776"/>
    <cellStyle name="Calculation 2 2 2 3 2" xfId="18827"/>
    <cellStyle name="Calculation 2 2 2 3 2 2" xfId="23445"/>
    <cellStyle name="Calculation 2 2 2 3 2 3" xfId="25648"/>
    <cellStyle name="Calculation 2 2 2 3 3" xfId="23444"/>
    <cellStyle name="Calculation 2 2 2 3 4" xfId="25649"/>
    <cellStyle name="Calculation 2 2 2 4" xfId="10774"/>
    <cellStyle name="Calculation 2 2 2 4 2" xfId="23446"/>
    <cellStyle name="Calculation 2 2 2 4 3" xfId="25647"/>
    <cellStyle name="Calculation 2 2 2 5" xfId="21736"/>
    <cellStyle name="Calculation 2 2 2 6" xfId="23441"/>
    <cellStyle name="Calculation 2 2 3" xfId="1444"/>
    <cellStyle name="Calculation 2 2 3 2" xfId="10777"/>
    <cellStyle name="Calculation 2 2 3 2 2" xfId="23448"/>
    <cellStyle name="Calculation 2 2 3 2 2 2" xfId="48856"/>
    <cellStyle name="Calculation 2 2 3 2 2 3" xfId="48857"/>
    <cellStyle name="Calculation 2 2 3 2 3" xfId="25646"/>
    <cellStyle name="Calculation 2 2 3 2 4" xfId="48858"/>
    <cellStyle name="Calculation 2 2 3 3" xfId="18826"/>
    <cellStyle name="Calculation 2 2 3 3 2" xfId="48859"/>
    <cellStyle name="Calculation 2 2 3 3 3" xfId="48860"/>
    <cellStyle name="Calculation 2 2 3 4" xfId="23447"/>
    <cellStyle name="Calculation 2 2 3 5" xfId="48861"/>
    <cellStyle name="Calculation 2 2 4" xfId="10778"/>
    <cellStyle name="Calculation 2 2 4 2" xfId="21734"/>
    <cellStyle name="Calculation 2 2 4 2 2" xfId="23450"/>
    <cellStyle name="Calculation 2 2 4 2 3" xfId="25644"/>
    <cellStyle name="Calculation 2 2 4 3" xfId="23449"/>
    <cellStyle name="Calculation 2 2 4 4" xfId="25645"/>
    <cellStyle name="Calculation 2 2 5" xfId="5979"/>
    <cellStyle name="Calculation 2 2 5 2" xfId="23451"/>
    <cellStyle name="Calculation 2 2 5 3" xfId="25643"/>
    <cellStyle name="Calculation 2 2 6" xfId="23440"/>
    <cellStyle name="Calculation 2 2 7" xfId="48862"/>
    <cellStyle name="Calculation 2 3" xfId="1445"/>
    <cellStyle name="Calculation 2 3 2" xfId="10779"/>
    <cellStyle name="Calculation 2 3 2 2" xfId="10780"/>
    <cellStyle name="Calculation 2 3 2 2 2" xfId="21732"/>
    <cellStyle name="Calculation 2 3 2 2 2 2" xfId="23455"/>
    <cellStyle name="Calculation 2 3 2 2 2 3" xfId="25640"/>
    <cellStyle name="Calculation 2 3 2 2 3" xfId="23454"/>
    <cellStyle name="Calculation 2 3 2 2 4" xfId="25641"/>
    <cellStyle name="Calculation 2 3 2 3" xfId="10781"/>
    <cellStyle name="Calculation 2 3 2 3 2" xfId="21731"/>
    <cellStyle name="Calculation 2 3 2 3 2 2" xfId="23457"/>
    <cellStyle name="Calculation 2 3 2 3 2 3" xfId="25638"/>
    <cellStyle name="Calculation 2 3 2 3 3" xfId="23456"/>
    <cellStyle name="Calculation 2 3 2 3 4" xfId="25639"/>
    <cellStyle name="Calculation 2 3 2 4" xfId="21733"/>
    <cellStyle name="Calculation 2 3 2 4 2" xfId="23458"/>
    <cellStyle name="Calculation 2 3 2 4 3" xfId="25637"/>
    <cellStyle name="Calculation 2 3 2 5" xfId="23453"/>
    <cellStyle name="Calculation 2 3 2 6" xfId="25642"/>
    <cellStyle name="Calculation 2 3 3" xfId="10782"/>
    <cellStyle name="Calculation 2 3 3 2" xfId="21730"/>
    <cellStyle name="Calculation 2 3 3 2 2" xfId="23460"/>
    <cellStyle name="Calculation 2 3 3 2 3" xfId="25635"/>
    <cellStyle name="Calculation 2 3 3 3" xfId="23459"/>
    <cellStyle name="Calculation 2 3 3 4" xfId="25636"/>
    <cellStyle name="Calculation 2 3 4" xfId="10783"/>
    <cellStyle name="Calculation 2 3 4 2" xfId="21729"/>
    <cellStyle name="Calculation 2 3 4 2 2" xfId="23462"/>
    <cellStyle name="Calculation 2 3 4 2 3" xfId="25633"/>
    <cellStyle name="Calculation 2 3 4 3" xfId="23461"/>
    <cellStyle name="Calculation 2 3 4 4" xfId="25634"/>
    <cellStyle name="Calculation 2 3 5" xfId="5980"/>
    <cellStyle name="Calculation 2 3 5 2" xfId="23463"/>
    <cellStyle name="Calculation 2 3 5 3" xfId="25632"/>
    <cellStyle name="Calculation 2 3 6" xfId="23452"/>
    <cellStyle name="Calculation 2 4" xfId="1446"/>
    <cellStyle name="Calculation 2 4 2" xfId="10784"/>
    <cellStyle name="Calculation 2 4 2 2" xfId="10785"/>
    <cellStyle name="Calculation 2 4 2 2 2" xfId="21728"/>
    <cellStyle name="Calculation 2 4 2 2 2 2" xfId="23467"/>
    <cellStyle name="Calculation 2 4 2 2 2 3" xfId="25629"/>
    <cellStyle name="Calculation 2 4 2 2 3" xfId="23466"/>
    <cellStyle name="Calculation 2 4 2 2 4" xfId="25630"/>
    <cellStyle name="Calculation 2 4 2 3" xfId="10786"/>
    <cellStyle name="Calculation 2 4 2 3 2" xfId="21727"/>
    <cellStyle name="Calculation 2 4 2 3 2 2" xfId="23469"/>
    <cellStyle name="Calculation 2 4 2 3 2 3" xfId="25627"/>
    <cellStyle name="Calculation 2 4 2 3 3" xfId="23468"/>
    <cellStyle name="Calculation 2 4 2 3 4" xfId="25628"/>
    <cellStyle name="Calculation 2 4 2 4" xfId="19538"/>
    <cellStyle name="Calculation 2 4 2 4 2" xfId="23470"/>
    <cellStyle name="Calculation 2 4 2 4 3" xfId="25626"/>
    <cellStyle name="Calculation 2 4 2 5" xfId="23465"/>
    <cellStyle name="Calculation 2 4 2 6" xfId="25631"/>
    <cellStyle name="Calculation 2 4 3" xfId="10787"/>
    <cellStyle name="Calculation 2 4 3 2" xfId="18825"/>
    <cellStyle name="Calculation 2 4 3 2 2" xfId="23472"/>
    <cellStyle name="Calculation 2 4 3 2 3" xfId="25624"/>
    <cellStyle name="Calculation 2 4 3 3" xfId="23471"/>
    <cellStyle name="Calculation 2 4 3 4" xfId="25625"/>
    <cellStyle name="Calculation 2 4 4" xfId="10788"/>
    <cellStyle name="Calculation 2 4 4 2" xfId="21726"/>
    <cellStyle name="Calculation 2 4 4 2 2" xfId="23474"/>
    <cellStyle name="Calculation 2 4 4 2 3" xfId="25622"/>
    <cellStyle name="Calculation 2 4 4 3" xfId="23473"/>
    <cellStyle name="Calculation 2 4 4 4" xfId="25623"/>
    <cellStyle name="Calculation 2 4 5" xfId="5981"/>
    <cellStyle name="Calculation 2 4 5 2" xfId="23475"/>
    <cellStyle name="Calculation 2 4 5 3" xfId="25621"/>
    <cellStyle name="Calculation 2 4 6" xfId="23464"/>
    <cellStyle name="Calculation 2 5" xfId="5982"/>
    <cellStyle name="Calculation 2 5 2" xfId="10789"/>
    <cellStyle name="Calculation 2 5 2 2" xfId="10790"/>
    <cellStyle name="Calculation 2 5 2 2 2" xfId="19537"/>
    <cellStyle name="Calculation 2 5 2 2 2 2" xfId="23479"/>
    <cellStyle name="Calculation 2 5 2 2 2 3" xfId="25617"/>
    <cellStyle name="Calculation 2 5 2 2 3" xfId="23478"/>
    <cellStyle name="Calculation 2 5 2 2 4" xfId="25618"/>
    <cellStyle name="Calculation 2 5 2 3" xfId="10791"/>
    <cellStyle name="Calculation 2 5 2 3 2" xfId="21724"/>
    <cellStyle name="Calculation 2 5 2 3 2 2" xfId="23481"/>
    <cellStyle name="Calculation 2 5 2 3 2 3" xfId="25615"/>
    <cellStyle name="Calculation 2 5 2 3 3" xfId="23480"/>
    <cellStyle name="Calculation 2 5 2 3 4" xfId="25616"/>
    <cellStyle name="Calculation 2 5 2 4" xfId="21725"/>
    <cellStyle name="Calculation 2 5 2 4 2" xfId="23482"/>
    <cellStyle name="Calculation 2 5 2 4 3" xfId="25614"/>
    <cellStyle name="Calculation 2 5 2 5" xfId="23477"/>
    <cellStyle name="Calculation 2 5 2 6" xfId="25619"/>
    <cellStyle name="Calculation 2 5 3" xfId="10792"/>
    <cellStyle name="Calculation 2 5 3 2" xfId="21723"/>
    <cellStyle name="Calculation 2 5 3 2 2" xfId="23484"/>
    <cellStyle name="Calculation 2 5 3 2 3" xfId="25612"/>
    <cellStyle name="Calculation 2 5 3 3" xfId="23483"/>
    <cellStyle name="Calculation 2 5 3 4" xfId="25613"/>
    <cellStyle name="Calculation 2 5 4" xfId="10793"/>
    <cellStyle name="Calculation 2 5 4 2" xfId="18824"/>
    <cellStyle name="Calculation 2 5 4 2 2" xfId="23486"/>
    <cellStyle name="Calculation 2 5 4 2 3" xfId="25610"/>
    <cellStyle name="Calculation 2 5 4 3" xfId="23485"/>
    <cellStyle name="Calculation 2 5 4 4" xfId="25611"/>
    <cellStyle name="Calculation 2 5 5" xfId="23487"/>
    <cellStyle name="Calculation 2 5 5 2" xfId="25609"/>
    <cellStyle name="Calculation 2 5 6" xfId="23476"/>
    <cellStyle name="Calculation 2 5 7" xfId="25620"/>
    <cellStyle name="Calculation 2 6" xfId="10794"/>
    <cellStyle name="Calculation 2 6 2" xfId="10795"/>
    <cellStyle name="Calculation 2 6 2 2" xfId="21721"/>
    <cellStyle name="Calculation 2 6 2 2 2" xfId="23490"/>
    <cellStyle name="Calculation 2 6 2 2 3" xfId="25606"/>
    <cellStyle name="Calculation 2 6 2 3" xfId="23489"/>
    <cellStyle name="Calculation 2 6 2 4" xfId="25607"/>
    <cellStyle name="Calculation 2 6 3" xfId="10796"/>
    <cellStyle name="Calculation 2 6 3 2" xfId="19536"/>
    <cellStyle name="Calculation 2 6 3 2 2" xfId="23492"/>
    <cellStyle name="Calculation 2 6 3 2 3" xfId="25604"/>
    <cellStyle name="Calculation 2 6 3 3" xfId="23491"/>
    <cellStyle name="Calculation 2 6 3 4" xfId="25605"/>
    <cellStyle name="Calculation 2 6 4" xfId="21722"/>
    <cellStyle name="Calculation 2 6 4 2" xfId="23493"/>
    <cellStyle name="Calculation 2 6 4 3" xfId="25603"/>
    <cellStyle name="Calculation 2 6 5" xfId="23488"/>
    <cellStyle name="Calculation 2 6 6" xfId="25608"/>
    <cellStyle name="Calculation 2 7" xfId="10797"/>
    <cellStyle name="Calculation 2 7 2" xfId="21720"/>
    <cellStyle name="Calculation 2 7 2 2" xfId="23495"/>
    <cellStyle name="Calculation 2 7 2 3" xfId="25601"/>
    <cellStyle name="Calculation 2 7 3" xfId="23494"/>
    <cellStyle name="Calculation 2 7 4" xfId="25602"/>
    <cellStyle name="Calculation 2 8" xfId="10798"/>
    <cellStyle name="Calculation 2 8 2" xfId="21719"/>
    <cellStyle name="Calculation 2 8 2 2" xfId="23497"/>
    <cellStyle name="Calculation 2 8 2 3" xfId="25599"/>
    <cellStyle name="Calculation 2 8 3" xfId="23496"/>
    <cellStyle name="Calculation 2 8 4" xfId="25600"/>
    <cellStyle name="Calculation 2 9" xfId="5978"/>
    <cellStyle name="Calculation 2 9 2" xfId="23498"/>
    <cellStyle name="Calculation 2 9 3" xfId="25598"/>
    <cellStyle name="Calculation 3" xfId="1447"/>
    <cellStyle name="Calculation 3 10" xfId="23499"/>
    <cellStyle name="Calculation 3 2" xfId="1448"/>
    <cellStyle name="Calculation 3 2 2" xfId="1449"/>
    <cellStyle name="Calculation 3 2 2 2" xfId="10800"/>
    <cellStyle name="Calculation 3 2 2 2 2" xfId="21718"/>
    <cellStyle name="Calculation 3 2 2 2 2 2" xfId="23503"/>
    <cellStyle name="Calculation 3 2 2 2 2 3" xfId="25596"/>
    <cellStyle name="Calculation 3 2 2 2 3" xfId="23502"/>
    <cellStyle name="Calculation 3 2 2 2 4" xfId="25597"/>
    <cellStyle name="Calculation 3 2 2 3" xfId="10801"/>
    <cellStyle name="Calculation 3 2 2 3 2" xfId="21717"/>
    <cellStyle name="Calculation 3 2 2 3 2 2" xfId="23505"/>
    <cellStyle name="Calculation 3 2 2 3 2 3" xfId="25594"/>
    <cellStyle name="Calculation 3 2 2 3 3" xfId="23504"/>
    <cellStyle name="Calculation 3 2 2 3 4" xfId="25595"/>
    <cellStyle name="Calculation 3 2 2 4" xfId="10799"/>
    <cellStyle name="Calculation 3 2 2 4 2" xfId="23506"/>
    <cellStyle name="Calculation 3 2 2 4 3" xfId="25593"/>
    <cellStyle name="Calculation 3 2 2 5" xfId="18823"/>
    <cellStyle name="Calculation 3 2 2 6" xfId="23501"/>
    <cellStyle name="Calculation 3 2 3" xfId="1450"/>
    <cellStyle name="Calculation 3 2 3 2" xfId="10802"/>
    <cellStyle name="Calculation 3 2 3 2 2" xfId="23508"/>
    <cellStyle name="Calculation 3 2 3 2 2 2" xfId="48863"/>
    <cellStyle name="Calculation 3 2 3 2 2 3" xfId="48864"/>
    <cellStyle name="Calculation 3 2 3 2 3" xfId="25592"/>
    <cellStyle name="Calculation 3 2 3 2 4" xfId="48865"/>
    <cellStyle name="Calculation 3 2 3 3" xfId="19535"/>
    <cellStyle name="Calculation 3 2 3 3 2" xfId="48866"/>
    <cellStyle name="Calculation 3 2 3 3 3" xfId="48867"/>
    <cellStyle name="Calculation 3 2 3 4" xfId="23507"/>
    <cellStyle name="Calculation 3 2 3 5" xfId="48868"/>
    <cellStyle name="Calculation 3 2 4" xfId="10803"/>
    <cellStyle name="Calculation 3 2 4 2" xfId="18657"/>
    <cellStyle name="Calculation 3 2 4 2 2" xfId="23510"/>
    <cellStyle name="Calculation 3 2 4 2 3" xfId="25590"/>
    <cellStyle name="Calculation 3 2 4 3" xfId="23509"/>
    <cellStyle name="Calculation 3 2 4 4" xfId="25591"/>
    <cellStyle name="Calculation 3 2 5" xfId="5984"/>
    <cellStyle name="Calculation 3 2 5 2" xfId="23511"/>
    <cellStyle name="Calculation 3 2 5 3" xfId="25589"/>
    <cellStyle name="Calculation 3 2 6" xfId="23500"/>
    <cellStyle name="Calculation 3 2 7" xfId="48869"/>
    <cellStyle name="Calculation 3 3" xfId="1451"/>
    <cellStyle name="Calculation 3 3 2" xfId="10804"/>
    <cellStyle name="Calculation 3 3 2 2" xfId="10805"/>
    <cellStyle name="Calculation 3 3 2 2 2" xfId="21715"/>
    <cellStyle name="Calculation 3 3 2 2 2 2" xfId="23515"/>
    <cellStyle name="Calculation 3 3 2 2 2 3" xfId="25586"/>
    <cellStyle name="Calculation 3 3 2 2 3" xfId="23514"/>
    <cellStyle name="Calculation 3 3 2 2 4" xfId="25587"/>
    <cellStyle name="Calculation 3 3 2 3" xfId="10806"/>
    <cellStyle name="Calculation 3 3 2 3 2" xfId="18822"/>
    <cellStyle name="Calculation 3 3 2 3 2 2" xfId="23517"/>
    <cellStyle name="Calculation 3 3 2 3 2 3" xfId="25584"/>
    <cellStyle name="Calculation 3 3 2 3 3" xfId="23516"/>
    <cellStyle name="Calculation 3 3 2 3 4" xfId="25585"/>
    <cellStyle name="Calculation 3 3 2 4" xfId="21716"/>
    <cellStyle name="Calculation 3 3 2 4 2" xfId="23518"/>
    <cellStyle name="Calculation 3 3 2 4 3" xfId="25583"/>
    <cellStyle name="Calculation 3 3 2 5" xfId="23513"/>
    <cellStyle name="Calculation 3 3 2 6" xfId="25588"/>
    <cellStyle name="Calculation 3 3 3" xfId="10807"/>
    <cellStyle name="Calculation 3 3 3 2" xfId="18821"/>
    <cellStyle name="Calculation 3 3 3 2 2" xfId="23520"/>
    <cellStyle name="Calculation 3 3 3 2 3" xfId="25581"/>
    <cellStyle name="Calculation 3 3 3 3" xfId="23519"/>
    <cellStyle name="Calculation 3 3 3 4" xfId="25582"/>
    <cellStyle name="Calculation 3 3 4" xfId="10808"/>
    <cellStyle name="Calculation 3 3 4 2" xfId="21714"/>
    <cellStyle name="Calculation 3 3 4 2 2" xfId="23522"/>
    <cellStyle name="Calculation 3 3 4 2 3" xfId="25579"/>
    <cellStyle name="Calculation 3 3 4 3" xfId="23521"/>
    <cellStyle name="Calculation 3 3 4 4" xfId="25580"/>
    <cellStyle name="Calculation 3 3 5" xfId="5985"/>
    <cellStyle name="Calculation 3 3 5 2" xfId="23523"/>
    <cellStyle name="Calculation 3 3 5 3" xfId="25578"/>
    <cellStyle name="Calculation 3 3 6" xfId="23512"/>
    <cellStyle name="Calculation 3 4" xfId="1452"/>
    <cellStyle name="Calculation 3 4 2" xfId="10809"/>
    <cellStyle name="Calculation 3 4 2 2" xfId="10810"/>
    <cellStyle name="Calculation 3 4 2 2 2" xfId="21712"/>
    <cellStyle name="Calculation 3 4 2 2 2 2" xfId="23527"/>
    <cellStyle name="Calculation 3 4 2 2 2 3" xfId="25575"/>
    <cellStyle name="Calculation 3 4 2 2 3" xfId="23526"/>
    <cellStyle name="Calculation 3 4 2 2 4" xfId="25576"/>
    <cellStyle name="Calculation 3 4 2 3" xfId="10811"/>
    <cellStyle name="Calculation 3 4 2 3 2" xfId="21711"/>
    <cellStyle name="Calculation 3 4 2 3 2 2" xfId="23529"/>
    <cellStyle name="Calculation 3 4 2 3 2 3" xfId="25573"/>
    <cellStyle name="Calculation 3 4 2 3 3" xfId="23528"/>
    <cellStyle name="Calculation 3 4 2 3 4" xfId="25574"/>
    <cellStyle name="Calculation 3 4 2 4" xfId="21713"/>
    <cellStyle name="Calculation 3 4 2 4 2" xfId="23530"/>
    <cellStyle name="Calculation 3 4 2 4 3" xfId="25572"/>
    <cellStyle name="Calculation 3 4 2 5" xfId="23525"/>
    <cellStyle name="Calculation 3 4 2 6" xfId="25577"/>
    <cellStyle name="Calculation 3 4 3" xfId="10812"/>
    <cellStyle name="Calculation 3 4 3 2" xfId="21710"/>
    <cellStyle name="Calculation 3 4 3 2 2" xfId="23532"/>
    <cellStyle name="Calculation 3 4 3 2 3" xfId="25570"/>
    <cellStyle name="Calculation 3 4 3 3" xfId="23531"/>
    <cellStyle name="Calculation 3 4 3 4" xfId="25571"/>
    <cellStyle name="Calculation 3 4 4" xfId="10813"/>
    <cellStyle name="Calculation 3 4 4 2" xfId="21709"/>
    <cellStyle name="Calculation 3 4 4 2 2" xfId="23534"/>
    <cellStyle name="Calculation 3 4 4 2 3" xfId="25568"/>
    <cellStyle name="Calculation 3 4 4 3" xfId="23533"/>
    <cellStyle name="Calculation 3 4 4 4" xfId="25569"/>
    <cellStyle name="Calculation 3 4 5" xfId="5986"/>
    <cellStyle name="Calculation 3 4 5 2" xfId="23535"/>
    <cellStyle name="Calculation 3 4 5 3" xfId="25567"/>
    <cellStyle name="Calculation 3 4 6" xfId="23524"/>
    <cellStyle name="Calculation 3 5" xfId="5987"/>
    <cellStyle name="Calculation 3 5 2" xfId="10814"/>
    <cellStyle name="Calculation 3 5 2 2" xfId="10815"/>
    <cellStyle name="Calculation 3 5 2 2 2" xfId="21708"/>
    <cellStyle name="Calculation 3 5 2 2 2 2" xfId="23539"/>
    <cellStyle name="Calculation 3 5 2 2 2 3" xfId="25563"/>
    <cellStyle name="Calculation 3 5 2 2 3" xfId="23538"/>
    <cellStyle name="Calculation 3 5 2 2 4" xfId="25564"/>
    <cellStyle name="Calculation 3 5 2 3" xfId="10816"/>
    <cellStyle name="Calculation 3 5 2 3 2" xfId="21707"/>
    <cellStyle name="Calculation 3 5 2 3 2 2" xfId="23541"/>
    <cellStyle name="Calculation 3 5 2 3 2 3" xfId="25561"/>
    <cellStyle name="Calculation 3 5 2 3 3" xfId="23540"/>
    <cellStyle name="Calculation 3 5 2 3 4" xfId="25562"/>
    <cellStyle name="Calculation 3 5 2 4" xfId="19534"/>
    <cellStyle name="Calculation 3 5 2 4 2" xfId="23542"/>
    <cellStyle name="Calculation 3 5 2 4 3" xfId="25560"/>
    <cellStyle name="Calculation 3 5 2 5" xfId="23537"/>
    <cellStyle name="Calculation 3 5 2 6" xfId="25565"/>
    <cellStyle name="Calculation 3 5 3" xfId="10817"/>
    <cellStyle name="Calculation 3 5 3 2" xfId="18820"/>
    <cellStyle name="Calculation 3 5 3 2 2" xfId="23544"/>
    <cellStyle name="Calculation 3 5 3 2 3" xfId="25558"/>
    <cellStyle name="Calculation 3 5 3 3" xfId="23543"/>
    <cellStyle name="Calculation 3 5 3 4" xfId="25559"/>
    <cellStyle name="Calculation 3 5 4" xfId="10818"/>
    <cellStyle name="Calculation 3 5 4 2" xfId="21706"/>
    <cellStyle name="Calculation 3 5 4 2 2" xfId="23546"/>
    <cellStyle name="Calculation 3 5 4 2 3" xfId="25556"/>
    <cellStyle name="Calculation 3 5 4 3" xfId="23545"/>
    <cellStyle name="Calculation 3 5 4 4" xfId="25557"/>
    <cellStyle name="Calculation 3 5 5" xfId="23547"/>
    <cellStyle name="Calculation 3 5 5 2" xfId="25555"/>
    <cellStyle name="Calculation 3 5 6" xfId="23536"/>
    <cellStyle name="Calculation 3 5 7" xfId="25566"/>
    <cellStyle name="Calculation 3 6" xfId="10819"/>
    <cellStyle name="Calculation 3 6 2" xfId="10820"/>
    <cellStyle name="Calculation 3 6 2 2" xfId="19533"/>
    <cellStyle name="Calculation 3 6 2 2 2" xfId="23550"/>
    <cellStyle name="Calculation 3 6 2 2 3" xfId="25552"/>
    <cellStyle name="Calculation 3 6 2 3" xfId="23549"/>
    <cellStyle name="Calculation 3 6 2 4" xfId="25553"/>
    <cellStyle name="Calculation 3 6 3" xfId="10821"/>
    <cellStyle name="Calculation 3 6 3 2" xfId="21704"/>
    <cellStyle name="Calculation 3 6 3 2 2" xfId="23552"/>
    <cellStyle name="Calculation 3 6 3 2 3" xfId="25550"/>
    <cellStyle name="Calculation 3 6 3 3" xfId="23551"/>
    <cellStyle name="Calculation 3 6 3 4" xfId="25551"/>
    <cellStyle name="Calculation 3 6 4" xfId="21705"/>
    <cellStyle name="Calculation 3 6 4 2" xfId="23553"/>
    <cellStyle name="Calculation 3 6 4 3" xfId="25549"/>
    <cellStyle name="Calculation 3 6 5" xfId="23548"/>
    <cellStyle name="Calculation 3 6 6" xfId="25554"/>
    <cellStyle name="Calculation 3 7" xfId="10822"/>
    <cellStyle name="Calculation 3 7 2" xfId="21703"/>
    <cellStyle name="Calculation 3 7 2 2" xfId="23555"/>
    <cellStyle name="Calculation 3 7 2 3" xfId="25547"/>
    <cellStyle name="Calculation 3 7 3" xfId="23554"/>
    <cellStyle name="Calculation 3 7 4" xfId="25548"/>
    <cellStyle name="Calculation 3 8" xfId="10823"/>
    <cellStyle name="Calculation 3 8 2" xfId="18819"/>
    <cellStyle name="Calculation 3 8 2 2" xfId="23557"/>
    <cellStyle name="Calculation 3 8 2 3" xfId="25545"/>
    <cellStyle name="Calculation 3 8 3" xfId="23556"/>
    <cellStyle name="Calculation 3 8 4" xfId="25546"/>
    <cellStyle name="Calculation 3 9" xfId="5983"/>
    <cellStyle name="Calculation 3 9 2" xfId="23558"/>
    <cellStyle name="Calculation 3 9 3" xfId="25544"/>
    <cellStyle name="Calculation 4" xfId="1453"/>
    <cellStyle name="Calculation 4 2" xfId="1454"/>
    <cellStyle name="Calculation 4 2 2" xfId="10825"/>
    <cellStyle name="Calculation 4 2 2 2" xfId="21701"/>
    <cellStyle name="Calculation 4 2 2 2 2" xfId="23562"/>
    <cellStyle name="Calculation 4 2 2 2 3" xfId="25540"/>
    <cellStyle name="Calculation 4 2 2 3" xfId="23561"/>
    <cellStyle name="Calculation 4 2 2 4" xfId="25541"/>
    <cellStyle name="Calculation 4 2 3" xfId="10826"/>
    <cellStyle name="Calculation 4 2 3 2" xfId="17832"/>
    <cellStyle name="Calculation 4 2 3 2 2" xfId="23564"/>
    <cellStyle name="Calculation 4 2 3 2 3" xfId="25538"/>
    <cellStyle name="Calculation 4 2 3 3" xfId="23563"/>
    <cellStyle name="Calculation 4 2 3 4" xfId="25539"/>
    <cellStyle name="Calculation 4 2 4" xfId="10824"/>
    <cellStyle name="Calculation 4 2 4 2" xfId="23565"/>
    <cellStyle name="Calculation 4 2 4 3" xfId="25537"/>
    <cellStyle name="Calculation 4 2 5" xfId="21702"/>
    <cellStyle name="Calculation 4 2 6" xfId="23560"/>
    <cellStyle name="Calculation 4 2 7" xfId="25542"/>
    <cellStyle name="Calculation 4 3" xfId="1455"/>
    <cellStyle name="Calculation 4 3 2" xfId="10827"/>
    <cellStyle name="Calculation 4 3 2 2" xfId="23567"/>
    <cellStyle name="Calculation 4 3 2 2 2" xfId="48870"/>
    <cellStyle name="Calculation 4 3 2 2 3" xfId="48871"/>
    <cellStyle name="Calculation 4 3 2 3" xfId="25535"/>
    <cellStyle name="Calculation 4 3 2 4" xfId="48872"/>
    <cellStyle name="Calculation 4 3 3" xfId="21700"/>
    <cellStyle name="Calculation 4 3 3 2" xfId="48873"/>
    <cellStyle name="Calculation 4 3 3 3" xfId="48874"/>
    <cellStyle name="Calculation 4 3 4" xfId="23566"/>
    <cellStyle name="Calculation 4 3 5" xfId="25536"/>
    <cellStyle name="Calculation 4 4" xfId="10828"/>
    <cellStyle name="Calculation 4 4 2" xfId="21699"/>
    <cellStyle name="Calculation 4 4 2 2" xfId="23569"/>
    <cellStyle name="Calculation 4 4 2 3" xfId="25533"/>
    <cellStyle name="Calculation 4 4 3" xfId="23568"/>
    <cellStyle name="Calculation 4 4 4" xfId="25534"/>
    <cellStyle name="Calculation 4 5" xfId="5988"/>
    <cellStyle name="Calculation 4 5 2" xfId="23570"/>
    <cellStyle name="Calculation 4 5 3" xfId="25532"/>
    <cellStyle name="Calculation 4 6" xfId="23559"/>
    <cellStyle name="Calculation 4 7" xfId="25543"/>
    <cellStyle name="Calculation 5" xfId="1456"/>
    <cellStyle name="Calculation 5 2" xfId="10829"/>
    <cellStyle name="Calculation 5 2 2" xfId="10830"/>
    <cellStyle name="Calculation 5 2 2 2" xfId="21698"/>
    <cellStyle name="Calculation 5 2 2 2 2" xfId="23574"/>
    <cellStyle name="Calculation 5 2 2 2 3" xfId="25528"/>
    <cellStyle name="Calculation 5 2 2 3" xfId="23573"/>
    <cellStyle name="Calculation 5 2 2 4" xfId="25529"/>
    <cellStyle name="Calculation 5 2 3" xfId="10831"/>
    <cellStyle name="Calculation 5 2 3 2" xfId="21697"/>
    <cellStyle name="Calculation 5 2 3 2 2" xfId="23576"/>
    <cellStyle name="Calculation 5 2 3 2 3" xfId="25526"/>
    <cellStyle name="Calculation 5 2 3 3" xfId="23575"/>
    <cellStyle name="Calculation 5 2 3 4" xfId="25527"/>
    <cellStyle name="Calculation 5 2 4" xfId="18818"/>
    <cellStyle name="Calculation 5 2 4 2" xfId="23577"/>
    <cellStyle name="Calculation 5 2 4 3" xfId="25525"/>
    <cellStyle name="Calculation 5 2 5" xfId="23572"/>
    <cellStyle name="Calculation 5 2 6" xfId="25530"/>
    <cellStyle name="Calculation 5 3" xfId="10832"/>
    <cellStyle name="Calculation 5 3 2" xfId="19532"/>
    <cellStyle name="Calculation 5 3 2 2" xfId="23579"/>
    <cellStyle name="Calculation 5 3 2 3" xfId="25523"/>
    <cellStyle name="Calculation 5 3 3" xfId="23578"/>
    <cellStyle name="Calculation 5 3 4" xfId="25524"/>
    <cellStyle name="Calculation 5 4" xfId="10833"/>
    <cellStyle name="Calculation 5 4 2" xfId="19531"/>
    <cellStyle name="Calculation 5 4 2 2" xfId="23581"/>
    <cellStyle name="Calculation 5 4 2 3" xfId="25521"/>
    <cellStyle name="Calculation 5 4 3" xfId="23580"/>
    <cellStyle name="Calculation 5 4 4" xfId="25522"/>
    <cellStyle name="Calculation 5 5" xfId="5989"/>
    <cellStyle name="Calculation 5 5 2" xfId="23582"/>
    <cellStyle name="Calculation 5 5 3" xfId="25520"/>
    <cellStyle name="Calculation 5 6" xfId="23571"/>
    <cellStyle name="Calculation 5 7" xfId="25531"/>
    <cellStyle name="Calculation 6" xfId="1457"/>
    <cellStyle name="Calculation 6 2" xfId="10834"/>
    <cellStyle name="Calculation 6 2 2" xfId="10835"/>
    <cellStyle name="Calculation 6 2 2 2" xfId="21695"/>
    <cellStyle name="Calculation 6 2 2 2 2" xfId="23586"/>
    <cellStyle name="Calculation 6 2 2 2 3" xfId="25516"/>
    <cellStyle name="Calculation 6 2 2 3" xfId="23585"/>
    <cellStyle name="Calculation 6 2 2 4" xfId="25517"/>
    <cellStyle name="Calculation 6 2 3" xfId="10836"/>
    <cellStyle name="Calculation 6 2 3 2" xfId="18817"/>
    <cellStyle name="Calculation 6 2 3 2 2" xfId="23588"/>
    <cellStyle name="Calculation 6 2 3 2 3" xfId="25514"/>
    <cellStyle name="Calculation 6 2 3 3" xfId="23587"/>
    <cellStyle name="Calculation 6 2 3 4" xfId="25515"/>
    <cellStyle name="Calculation 6 2 4" xfId="21696"/>
    <cellStyle name="Calculation 6 2 4 2" xfId="23589"/>
    <cellStyle name="Calculation 6 2 4 3" xfId="25513"/>
    <cellStyle name="Calculation 6 2 5" xfId="23584"/>
    <cellStyle name="Calculation 6 2 6" xfId="25518"/>
    <cellStyle name="Calculation 6 3" xfId="10837"/>
    <cellStyle name="Calculation 6 3 2" xfId="18816"/>
    <cellStyle name="Calculation 6 3 2 2" xfId="23591"/>
    <cellStyle name="Calculation 6 3 2 3" xfId="25511"/>
    <cellStyle name="Calculation 6 3 3" xfId="23590"/>
    <cellStyle name="Calculation 6 3 4" xfId="25512"/>
    <cellStyle name="Calculation 6 4" xfId="10838"/>
    <cellStyle name="Calculation 6 4 2" xfId="21694"/>
    <cellStyle name="Calculation 6 4 2 2" xfId="23593"/>
    <cellStyle name="Calculation 6 4 2 3" xfId="25509"/>
    <cellStyle name="Calculation 6 4 3" xfId="23592"/>
    <cellStyle name="Calculation 6 4 4" xfId="25510"/>
    <cellStyle name="Calculation 6 5" xfId="5990"/>
    <cellStyle name="Calculation 6 5 2" xfId="23594"/>
    <cellStyle name="Calculation 6 5 3" xfId="25508"/>
    <cellStyle name="Calculation 6 6" xfId="23583"/>
    <cellStyle name="Calculation 6 7" xfId="25519"/>
    <cellStyle name="Calculation 7" xfId="5991"/>
    <cellStyle name="Calculation 7 2" xfId="10839"/>
    <cellStyle name="Calculation 7 2 2" xfId="10840"/>
    <cellStyle name="Calculation 7 2 2 2" xfId="21692"/>
    <cellStyle name="Calculation 7 2 2 2 2" xfId="23598"/>
    <cellStyle name="Calculation 7 2 2 2 3" xfId="25504"/>
    <cellStyle name="Calculation 7 2 2 3" xfId="23597"/>
    <cellStyle name="Calculation 7 2 2 4" xfId="25505"/>
    <cellStyle name="Calculation 7 2 3" xfId="10841"/>
    <cellStyle name="Calculation 7 2 3 2" xfId="21691"/>
    <cellStyle name="Calculation 7 2 3 2 2" xfId="23600"/>
    <cellStyle name="Calculation 7 2 3 2 3" xfId="25502"/>
    <cellStyle name="Calculation 7 2 3 3" xfId="23599"/>
    <cellStyle name="Calculation 7 2 3 4" xfId="25503"/>
    <cellStyle name="Calculation 7 2 4" xfId="21693"/>
    <cellStyle name="Calculation 7 2 4 2" xfId="23601"/>
    <cellStyle name="Calculation 7 2 4 3" xfId="25501"/>
    <cellStyle name="Calculation 7 2 5" xfId="23596"/>
    <cellStyle name="Calculation 7 2 6" xfId="25506"/>
    <cellStyle name="Calculation 7 3" xfId="10842"/>
    <cellStyle name="Calculation 7 3 2" xfId="21690"/>
    <cellStyle name="Calculation 7 3 2 2" xfId="23603"/>
    <cellStyle name="Calculation 7 3 2 3" xfId="25499"/>
    <cellStyle name="Calculation 7 3 3" xfId="23602"/>
    <cellStyle name="Calculation 7 3 4" xfId="25500"/>
    <cellStyle name="Calculation 7 4" xfId="10843"/>
    <cellStyle name="Calculation 7 4 2" xfId="21689"/>
    <cellStyle name="Calculation 7 4 2 2" xfId="23605"/>
    <cellStyle name="Calculation 7 4 2 3" xfId="25497"/>
    <cellStyle name="Calculation 7 4 3" xfId="23604"/>
    <cellStyle name="Calculation 7 4 4" xfId="25498"/>
    <cellStyle name="Calculation 7 5" xfId="23606"/>
    <cellStyle name="Calculation 7 5 2" xfId="25496"/>
    <cellStyle name="Calculation 7 6" xfId="23595"/>
    <cellStyle name="Calculation 7 7" xfId="25507"/>
    <cellStyle name="Calculation 8" xfId="10844"/>
    <cellStyle name="Calculation 8 2" xfId="10845"/>
    <cellStyle name="Calculation 8 2 2" xfId="21688"/>
    <cellStyle name="Calculation 8 2 2 2" xfId="23609"/>
    <cellStyle name="Calculation 8 2 2 3" xfId="25493"/>
    <cellStyle name="Calculation 8 2 3" xfId="23608"/>
    <cellStyle name="Calculation 8 2 4" xfId="25494"/>
    <cellStyle name="Calculation 8 3" xfId="10846"/>
    <cellStyle name="Calculation 8 3 2" xfId="21687"/>
    <cellStyle name="Calculation 8 3 2 2" xfId="23611"/>
    <cellStyle name="Calculation 8 3 2 3" xfId="25491"/>
    <cellStyle name="Calculation 8 3 3" xfId="23610"/>
    <cellStyle name="Calculation 8 3 4" xfId="25492"/>
    <cellStyle name="Calculation 8 4" xfId="18656"/>
    <cellStyle name="Calculation 8 4 2" xfId="23612"/>
    <cellStyle name="Calculation 8 4 3" xfId="25490"/>
    <cellStyle name="Calculation 8 5" xfId="23607"/>
    <cellStyle name="Calculation 8 6" xfId="25495"/>
    <cellStyle name="Calculation 9" xfId="10847"/>
    <cellStyle name="Calculation 9 2" xfId="18815"/>
    <cellStyle name="Calculation 9 2 2" xfId="23614"/>
    <cellStyle name="Calculation 9 2 3" xfId="25488"/>
    <cellStyle name="Calculation 9 3" xfId="23613"/>
    <cellStyle name="Calculation 9 4" xfId="25489"/>
    <cellStyle name="Check Cell" xfId="1458"/>
    <cellStyle name="Check Cell 2" xfId="1459"/>
    <cellStyle name="Check Cell 2 2" xfId="48875"/>
    <cellStyle name="Check Cell 2 3" xfId="48876"/>
    <cellStyle name="Check Cell 3" xfId="1460"/>
    <cellStyle name="Check Cell 3 2" xfId="48877"/>
    <cellStyle name="Check Cell 3 3" xfId="48878"/>
    <cellStyle name="Check Cell 4" xfId="5992"/>
    <cellStyle name="Check Cell 5" xfId="48879"/>
    <cellStyle name="Column_Title" xfId="48880"/>
    <cellStyle name="ColumnAttributeAbovePrompt" xfId="5995"/>
    <cellStyle name="ColumnAttributeAbovePrompt 2" xfId="5996"/>
    <cellStyle name="ColumnAttributePrompt" xfId="5997"/>
    <cellStyle name="ColumnAttributePrompt 2" xfId="5998"/>
    <cellStyle name="ColumnAttributeValue" xfId="5999"/>
    <cellStyle name="ColumnAttributeValue 2" xfId="6000"/>
    <cellStyle name="ColumnHeadingPrompt" xfId="6001"/>
    <cellStyle name="ColumnHeadingPrompt 2" xfId="6002"/>
    <cellStyle name="ColumnHeadingValue" xfId="6003"/>
    <cellStyle name="ColumnHeadingValue 2" xfId="6004"/>
    <cellStyle name="Comma [0] 2" xfId="60879"/>
    <cellStyle name="Comma 2" xfId="3"/>
    <cellStyle name="Comma 2 2" xfId="699"/>
    <cellStyle name="Comma_Full Year FY96" xfId="6005"/>
    <cellStyle name="Currency [0]_CAPEX94" xfId="6006"/>
    <cellStyle name="Currency_CAPEX94" xfId="6007"/>
    <cellStyle name="entry" xfId="6008"/>
    <cellStyle name="Euro" xfId="6009"/>
    <cellStyle name="Euro 2" xfId="48881"/>
    <cellStyle name="Excel Built-in Comma [0]" xfId="1461"/>
    <cellStyle name="Excel Built-in Comma [0] 2" xfId="48882"/>
    <cellStyle name="Excel Built-in Normal" xfId="1462"/>
    <cellStyle name="Excel Built-in Normal 2" xfId="1463"/>
    <cellStyle name="Excel Built-in Normal 2 2" xfId="48883"/>
    <cellStyle name="Excel Built-in Normal 3" xfId="48884"/>
    <cellStyle name="Excel Built-in Normal_博坤1206最终" xfId="1464"/>
    <cellStyle name="Explanatory Text" xfId="1465"/>
    <cellStyle name="Explanatory Text 2" xfId="1466"/>
    <cellStyle name="Explanatory Text 2 2" xfId="48885"/>
    <cellStyle name="Explanatory Text 2 3" xfId="48886"/>
    <cellStyle name="Explanatory Text 3" xfId="1467"/>
    <cellStyle name="Explanatory Text 3 2" xfId="48887"/>
    <cellStyle name="Explanatory Text 3 3" xfId="48888"/>
    <cellStyle name="Explanatory Text 4" xfId="6014"/>
    <cellStyle name="Explanatory Text 5" xfId="48889"/>
    <cellStyle name="Good" xfId="1468"/>
    <cellStyle name="Good 2" xfId="1469"/>
    <cellStyle name="Good 2 2" xfId="48890"/>
    <cellStyle name="Good 2 3" xfId="48891"/>
    <cellStyle name="Good 2 4" xfId="60880"/>
    <cellStyle name="Good 3" xfId="1470"/>
    <cellStyle name="Good 3 2" xfId="48892"/>
    <cellStyle name="Good 3 3" xfId="48893"/>
    <cellStyle name="Good 4" xfId="6017"/>
    <cellStyle name="Good 5" xfId="48894"/>
    <cellStyle name="Grey" xfId="48895"/>
    <cellStyle name="Header1" xfId="1471"/>
    <cellStyle name="Header1 2" xfId="23615"/>
    <cellStyle name="Header1 3" xfId="23616"/>
    <cellStyle name="Header2" xfId="1472"/>
    <cellStyle name="Header2 2" xfId="1473"/>
    <cellStyle name="Header2 2 2" xfId="1474"/>
    <cellStyle name="Header2 2 2 2" xfId="10849"/>
    <cellStyle name="Header2 2 2 2 2" xfId="21685"/>
    <cellStyle name="Header2 2 2 2 2 2" xfId="23617"/>
    <cellStyle name="Header2 2 2 2 3" xfId="21944"/>
    <cellStyle name="Header2 2 2 3" xfId="10850"/>
    <cellStyle name="Header2 2 2 3 2" xfId="19530"/>
    <cellStyle name="Header2 2 2 3 2 2" xfId="23618"/>
    <cellStyle name="Header2 2 2 3 3" xfId="21945"/>
    <cellStyle name="Header2 2 2 4" xfId="10848"/>
    <cellStyle name="Header2 2 2 4 2" xfId="23619"/>
    <cellStyle name="Header2 2 2 4 3" xfId="25487"/>
    <cellStyle name="Header2 2 2 5" xfId="21686"/>
    <cellStyle name="Header2 2 2 6" xfId="21943"/>
    <cellStyle name="Header2 2 3" xfId="1475"/>
    <cellStyle name="Header2 2 3 2" xfId="10851"/>
    <cellStyle name="Header2 2 3 2 2" xfId="23620"/>
    <cellStyle name="Header2 2 3 2 3" xfId="25486"/>
    <cellStyle name="Header2 2 3 3" xfId="21684"/>
    <cellStyle name="Header2 2 3 4" xfId="21946"/>
    <cellStyle name="Header2 2 4" xfId="6022"/>
    <cellStyle name="Header2 2 4 2" xfId="23622"/>
    <cellStyle name="Header2 2 4 2 2" xfId="25484"/>
    <cellStyle name="Header2 2 4 3" xfId="23621"/>
    <cellStyle name="Header2 2 4 4" xfId="25485"/>
    <cellStyle name="Header2 2 5" xfId="21739"/>
    <cellStyle name="Header2 2 5 2" xfId="25483"/>
    <cellStyle name="Header2 2 6" xfId="48896"/>
    <cellStyle name="Header2 3" xfId="1476"/>
    <cellStyle name="Header2 3 2" xfId="10852"/>
    <cellStyle name="Header2 3 2 2" xfId="10853"/>
    <cellStyle name="Header2 3 2 2 2" xfId="18814"/>
    <cellStyle name="Header2 3 2 2 2 2" xfId="23623"/>
    <cellStyle name="Header2 3 2 2 3" xfId="21948"/>
    <cellStyle name="Header2 3 2 3" xfId="10854"/>
    <cellStyle name="Header2 3 2 3 2" xfId="21682"/>
    <cellStyle name="Header2 3 2 3 2 2" xfId="23624"/>
    <cellStyle name="Header2 3 2 3 3" xfId="21958"/>
    <cellStyle name="Header2 3 2 4" xfId="21683"/>
    <cellStyle name="Header2 3 2 4 2" xfId="23625"/>
    <cellStyle name="Header2 3 2 5" xfId="21947"/>
    <cellStyle name="Header2 3 3" xfId="10855"/>
    <cellStyle name="Header2 3 3 2" xfId="21681"/>
    <cellStyle name="Header2 3 3 2 2" xfId="23626"/>
    <cellStyle name="Header2 3 3 3" xfId="21959"/>
    <cellStyle name="Header2 3 4" xfId="6023"/>
    <cellStyle name="Header2 3 4 2" xfId="23627"/>
    <cellStyle name="Header2 3 4 3" xfId="25482"/>
    <cellStyle name="Header2 3 5" xfId="21740"/>
    <cellStyle name="Header2 3 5 2" xfId="25481"/>
    <cellStyle name="Header2 4" xfId="1477"/>
    <cellStyle name="Header2 4 2" xfId="10857"/>
    <cellStyle name="Header2 4 2 2" xfId="21680"/>
    <cellStyle name="Header2 4 2 2 2" xfId="23628"/>
    <cellStyle name="Header2 4 2 3" xfId="21961"/>
    <cellStyle name="Header2 4 3" xfId="10858"/>
    <cellStyle name="Header2 4 3 2" xfId="21679"/>
    <cellStyle name="Header2 4 3 2 2" xfId="23629"/>
    <cellStyle name="Header2 4 3 3" xfId="21962"/>
    <cellStyle name="Header2 4 4" xfId="10856"/>
    <cellStyle name="Header2 4 4 2" xfId="23630"/>
    <cellStyle name="Header2 4 4 3" xfId="25480"/>
    <cellStyle name="Header2 4 5" xfId="19529"/>
    <cellStyle name="Header2 4 6" xfId="21960"/>
    <cellStyle name="Header2 5" xfId="10859"/>
    <cellStyle name="Header2 5 2" xfId="18813"/>
    <cellStyle name="Header2 5 2 2" xfId="23631"/>
    <cellStyle name="Header2 5 3" xfId="21963"/>
    <cellStyle name="Header2 6" xfId="6021"/>
    <cellStyle name="Header2 6 2" xfId="23633"/>
    <cellStyle name="Header2 6 2 2" xfId="25478"/>
    <cellStyle name="Header2 6 3" xfId="23632"/>
    <cellStyle name="Header2 6 4" xfId="25479"/>
    <cellStyle name="Header2 7" xfId="18829"/>
    <cellStyle name="Header2 7 2" xfId="23634"/>
    <cellStyle name="Header2 7 3" xfId="25477"/>
    <cellStyle name="Heading 1" xfId="1478"/>
    <cellStyle name="Heading 1 2" xfId="1479"/>
    <cellStyle name="Heading 1 2 2" xfId="48897"/>
    <cellStyle name="Heading 1 2 3" xfId="48898"/>
    <cellStyle name="Heading 1 3" xfId="1480"/>
    <cellStyle name="Heading 1 3 2" xfId="48899"/>
    <cellStyle name="Heading 1 3 3" xfId="48900"/>
    <cellStyle name="Heading 1 4" xfId="6024"/>
    <cellStyle name="Heading 1 5" xfId="48901"/>
    <cellStyle name="Heading 2" xfId="1481"/>
    <cellStyle name="Heading 2 2" xfId="1482"/>
    <cellStyle name="Heading 2 2 2" xfId="48902"/>
    <cellStyle name="Heading 2 2 3" xfId="48903"/>
    <cellStyle name="Heading 2 3" xfId="1483"/>
    <cellStyle name="Heading 2 3 2" xfId="48904"/>
    <cellStyle name="Heading 2 3 3" xfId="48905"/>
    <cellStyle name="Heading 2 4" xfId="6027"/>
    <cellStyle name="Heading 2 5" xfId="48906"/>
    <cellStyle name="Heading 3" xfId="1484"/>
    <cellStyle name="Heading 3 2" xfId="1485"/>
    <cellStyle name="Heading 3 2 2" xfId="48907"/>
    <cellStyle name="Heading 3 2 3" xfId="48908"/>
    <cellStyle name="Heading 3 3" xfId="1486"/>
    <cellStyle name="Heading 3 3 2" xfId="48909"/>
    <cellStyle name="Heading 3 3 3" xfId="48910"/>
    <cellStyle name="Heading 3 4" xfId="1487"/>
    <cellStyle name="Heading 3 5" xfId="48911"/>
    <cellStyle name="Heading 4" xfId="1488"/>
    <cellStyle name="Heading 4 2" xfId="1489"/>
    <cellStyle name="Heading 4 2 2" xfId="48912"/>
    <cellStyle name="Heading 4 2 3" xfId="48913"/>
    <cellStyle name="Heading 4 3" xfId="1490"/>
    <cellStyle name="Heading 4 3 2" xfId="48914"/>
    <cellStyle name="Heading 4 3 3" xfId="48915"/>
    <cellStyle name="Heading 4 4" xfId="6033"/>
    <cellStyle name="Heading 4 5" xfId="48916"/>
    <cellStyle name="Input" xfId="1491"/>
    <cellStyle name="Input [yellow]" xfId="48917"/>
    <cellStyle name="Input 10" xfId="10860"/>
    <cellStyle name="Input 10 2" xfId="21678"/>
    <cellStyle name="Input 10 2 2" xfId="23637"/>
    <cellStyle name="Input 10 2 3" xfId="25474"/>
    <cellStyle name="Input 10 3" xfId="23636"/>
    <cellStyle name="Input 10 4" xfId="25475"/>
    <cellStyle name="Input 11" xfId="6036"/>
    <cellStyle name="Input 11 2" xfId="23638"/>
    <cellStyle name="Input 11 3" xfId="25473"/>
    <cellStyle name="Input 12" xfId="23635"/>
    <cellStyle name="Input 13" xfId="25476"/>
    <cellStyle name="Input 2" xfId="1492"/>
    <cellStyle name="Input 2 10" xfId="23639"/>
    <cellStyle name="Input 2 2" xfId="1493"/>
    <cellStyle name="Input 2 2 2" xfId="10861"/>
    <cellStyle name="Input 2 2 2 2" xfId="10862"/>
    <cellStyle name="Input 2 2 2 2 2" xfId="17831"/>
    <cellStyle name="Input 2 2 2 2 2 2" xfId="23643"/>
    <cellStyle name="Input 2 2 2 2 2 3" xfId="25470"/>
    <cellStyle name="Input 2 2 2 2 3" xfId="23642"/>
    <cellStyle name="Input 2 2 2 2 4" xfId="25471"/>
    <cellStyle name="Input 2 2 2 3" xfId="10863"/>
    <cellStyle name="Input 2 2 2 3 2" xfId="19528"/>
    <cellStyle name="Input 2 2 2 3 2 2" xfId="23645"/>
    <cellStyle name="Input 2 2 2 3 2 3" xfId="25468"/>
    <cellStyle name="Input 2 2 2 3 3" xfId="23644"/>
    <cellStyle name="Input 2 2 2 3 4" xfId="25469"/>
    <cellStyle name="Input 2 2 2 4" xfId="21677"/>
    <cellStyle name="Input 2 2 2 4 2" xfId="23646"/>
    <cellStyle name="Input 2 2 2 4 3" xfId="25467"/>
    <cellStyle name="Input 2 2 2 5" xfId="23641"/>
    <cellStyle name="Input 2 2 2 6" xfId="25472"/>
    <cellStyle name="Input 2 2 3" xfId="10864"/>
    <cellStyle name="Input 2 2 3 2" xfId="21676"/>
    <cellStyle name="Input 2 2 3 2 2" xfId="23648"/>
    <cellStyle name="Input 2 2 3 2 3" xfId="25465"/>
    <cellStyle name="Input 2 2 3 3" xfId="23647"/>
    <cellStyle name="Input 2 2 3 4" xfId="25466"/>
    <cellStyle name="Input 2 2 4" xfId="10865"/>
    <cellStyle name="Input 2 2 4 2" xfId="21675"/>
    <cellStyle name="Input 2 2 4 2 2" xfId="23650"/>
    <cellStyle name="Input 2 2 4 2 3" xfId="25463"/>
    <cellStyle name="Input 2 2 4 3" xfId="23649"/>
    <cellStyle name="Input 2 2 4 4" xfId="25464"/>
    <cellStyle name="Input 2 2 5" xfId="6038"/>
    <cellStyle name="Input 2 2 5 2" xfId="23651"/>
    <cellStyle name="Input 2 2 5 3" xfId="25462"/>
    <cellStyle name="Input 2 2 6" xfId="23640"/>
    <cellStyle name="Input 2 3" xfId="1494"/>
    <cellStyle name="Input 2 3 2" xfId="10866"/>
    <cellStyle name="Input 2 3 2 2" xfId="10867"/>
    <cellStyle name="Input 2 3 2 2 2" xfId="18811"/>
    <cellStyle name="Input 2 3 2 2 2 2" xfId="23655"/>
    <cellStyle name="Input 2 3 2 2 2 3" xfId="25459"/>
    <cellStyle name="Input 2 3 2 2 3" xfId="23654"/>
    <cellStyle name="Input 2 3 2 2 4" xfId="25460"/>
    <cellStyle name="Input 2 3 2 3" xfId="10868"/>
    <cellStyle name="Input 2 3 2 3 2" xfId="21674"/>
    <cellStyle name="Input 2 3 2 3 2 2" xfId="23657"/>
    <cellStyle name="Input 2 3 2 3 2 3" xfId="25457"/>
    <cellStyle name="Input 2 3 2 3 3" xfId="23656"/>
    <cellStyle name="Input 2 3 2 3 4" xfId="25458"/>
    <cellStyle name="Input 2 3 2 4" xfId="18812"/>
    <cellStyle name="Input 2 3 2 4 2" xfId="23658"/>
    <cellStyle name="Input 2 3 2 4 3" xfId="25456"/>
    <cellStyle name="Input 2 3 2 5" xfId="23653"/>
    <cellStyle name="Input 2 3 2 6" xfId="25461"/>
    <cellStyle name="Input 2 3 3" xfId="10869"/>
    <cellStyle name="Input 2 3 3 2" xfId="21673"/>
    <cellStyle name="Input 2 3 3 2 2" xfId="23660"/>
    <cellStyle name="Input 2 3 3 2 3" xfId="25454"/>
    <cellStyle name="Input 2 3 3 3" xfId="23659"/>
    <cellStyle name="Input 2 3 3 4" xfId="25455"/>
    <cellStyle name="Input 2 3 4" xfId="10870"/>
    <cellStyle name="Input 2 3 4 2" xfId="21672"/>
    <cellStyle name="Input 2 3 4 2 2" xfId="23662"/>
    <cellStyle name="Input 2 3 4 2 3" xfId="25452"/>
    <cellStyle name="Input 2 3 4 3" xfId="23661"/>
    <cellStyle name="Input 2 3 4 4" xfId="25453"/>
    <cellStyle name="Input 2 3 5" xfId="6039"/>
    <cellStyle name="Input 2 3 5 2" xfId="23663"/>
    <cellStyle name="Input 2 3 5 3" xfId="25451"/>
    <cellStyle name="Input 2 3 6" xfId="23652"/>
    <cellStyle name="Input 2 4" xfId="6040"/>
    <cellStyle name="Input 2 4 2" xfId="10871"/>
    <cellStyle name="Input 2 4 2 2" xfId="10872"/>
    <cellStyle name="Input 2 4 2 2 2" xfId="21670"/>
    <cellStyle name="Input 2 4 2 2 2 2" xfId="23667"/>
    <cellStyle name="Input 2 4 2 2 2 3" xfId="25447"/>
    <cellStyle name="Input 2 4 2 2 3" xfId="23666"/>
    <cellStyle name="Input 2 4 2 2 4" xfId="25448"/>
    <cellStyle name="Input 2 4 2 3" xfId="10873"/>
    <cellStyle name="Input 2 4 2 3 2" xfId="21669"/>
    <cellStyle name="Input 2 4 2 3 2 2" xfId="23669"/>
    <cellStyle name="Input 2 4 2 3 2 3" xfId="25445"/>
    <cellStyle name="Input 2 4 2 3 3" xfId="23668"/>
    <cellStyle name="Input 2 4 2 3 4" xfId="25446"/>
    <cellStyle name="Input 2 4 2 4" xfId="21671"/>
    <cellStyle name="Input 2 4 2 4 2" xfId="23670"/>
    <cellStyle name="Input 2 4 2 4 3" xfId="25444"/>
    <cellStyle name="Input 2 4 2 5" xfId="23665"/>
    <cellStyle name="Input 2 4 2 6" xfId="25449"/>
    <cellStyle name="Input 2 4 3" xfId="10874"/>
    <cellStyle name="Input 2 4 3 2" xfId="19527"/>
    <cellStyle name="Input 2 4 3 2 2" xfId="23672"/>
    <cellStyle name="Input 2 4 3 2 3" xfId="25442"/>
    <cellStyle name="Input 2 4 3 3" xfId="23671"/>
    <cellStyle name="Input 2 4 3 4" xfId="25443"/>
    <cellStyle name="Input 2 4 4" xfId="10875"/>
    <cellStyle name="Input 2 4 4 2" xfId="21668"/>
    <cellStyle name="Input 2 4 4 2 2" xfId="23674"/>
    <cellStyle name="Input 2 4 4 2 3" xfId="25440"/>
    <cellStyle name="Input 2 4 4 3" xfId="23673"/>
    <cellStyle name="Input 2 4 4 4" xfId="25441"/>
    <cellStyle name="Input 2 4 5" xfId="23675"/>
    <cellStyle name="Input 2 4 5 2" xfId="25439"/>
    <cellStyle name="Input 2 4 6" xfId="23664"/>
    <cellStyle name="Input 2 4 7" xfId="25450"/>
    <cellStyle name="Input 2 5" xfId="6041"/>
    <cellStyle name="Input 2 5 2" xfId="10876"/>
    <cellStyle name="Input 2 5 2 2" xfId="10877"/>
    <cellStyle name="Input 2 5 2 2 2" xfId="18810"/>
    <cellStyle name="Input 2 5 2 2 2 2" xfId="23679"/>
    <cellStyle name="Input 2 5 2 2 2 3" xfId="25435"/>
    <cellStyle name="Input 2 5 2 2 3" xfId="23678"/>
    <cellStyle name="Input 2 5 2 2 4" xfId="25436"/>
    <cellStyle name="Input 2 5 2 3" xfId="10878"/>
    <cellStyle name="Input 2 5 2 3 2" xfId="21666"/>
    <cellStyle name="Input 2 5 2 3 2 2" xfId="23681"/>
    <cellStyle name="Input 2 5 2 3 2 3" xfId="25433"/>
    <cellStyle name="Input 2 5 2 3 3" xfId="23680"/>
    <cellStyle name="Input 2 5 2 3 4" xfId="25434"/>
    <cellStyle name="Input 2 5 2 4" xfId="21667"/>
    <cellStyle name="Input 2 5 2 4 2" xfId="23682"/>
    <cellStyle name="Input 2 5 2 4 3" xfId="25432"/>
    <cellStyle name="Input 2 5 2 5" xfId="23677"/>
    <cellStyle name="Input 2 5 2 6" xfId="25437"/>
    <cellStyle name="Input 2 5 3" xfId="10879"/>
    <cellStyle name="Input 2 5 3 2" xfId="21665"/>
    <cellStyle name="Input 2 5 3 2 2" xfId="23684"/>
    <cellStyle name="Input 2 5 3 2 3" xfId="25430"/>
    <cellStyle name="Input 2 5 3 3" xfId="23683"/>
    <cellStyle name="Input 2 5 3 4" xfId="25431"/>
    <cellStyle name="Input 2 5 4" xfId="10880"/>
    <cellStyle name="Input 2 5 4 2" xfId="18655"/>
    <cellStyle name="Input 2 5 4 2 2" xfId="23686"/>
    <cellStyle name="Input 2 5 4 2 3" xfId="25428"/>
    <cellStyle name="Input 2 5 4 3" xfId="23685"/>
    <cellStyle name="Input 2 5 4 4" xfId="25429"/>
    <cellStyle name="Input 2 5 5" xfId="23687"/>
    <cellStyle name="Input 2 5 5 2" xfId="25427"/>
    <cellStyle name="Input 2 5 6" xfId="23676"/>
    <cellStyle name="Input 2 5 7" xfId="25438"/>
    <cellStyle name="Input 2 6" xfId="10881"/>
    <cellStyle name="Input 2 6 2" xfId="10882"/>
    <cellStyle name="Input 2 6 2 2" xfId="21663"/>
    <cellStyle name="Input 2 6 2 2 2" xfId="23690"/>
    <cellStyle name="Input 2 6 2 2 3" xfId="25424"/>
    <cellStyle name="Input 2 6 2 3" xfId="23689"/>
    <cellStyle name="Input 2 6 2 4" xfId="25425"/>
    <cellStyle name="Input 2 6 3" xfId="10883"/>
    <cellStyle name="Input 2 6 3 2" xfId="18809"/>
    <cellStyle name="Input 2 6 3 2 2" xfId="23692"/>
    <cellStyle name="Input 2 6 3 2 3" xfId="25422"/>
    <cellStyle name="Input 2 6 3 3" xfId="23691"/>
    <cellStyle name="Input 2 6 3 4" xfId="25423"/>
    <cellStyle name="Input 2 6 4" xfId="21664"/>
    <cellStyle name="Input 2 6 4 2" xfId="23693"/>
    <cellStyle name="Input 2 6 4 3" xfId="25421"/>
    <cellStyle name="Input 2 6 5" xfId="23688"/>
    <cellStyle name="Input 2 6 6" xfId="25426"/>
    <cellStyle name="Input 2 7" xfId="10884"/>
    <cellStyle name="Input 2 7 2" xfId="21662"/>
    <cellStyle name="Input 2 7 2 2" xfId="23695"/>
    <cellStyle name="Input 2 7 2 3" xfId="25419"/>
    <cellStyle name="Input 2 7 3" xfId="23694"/>
    <cellStyle name="Input 2 7 4" xfId="25420"/>
    <cellStyle name="Input 2 8" xfId="10885"/>
    <cellStyle name="Input 2 8 2" xfId="21661"/>
    <cellStyle name="Input 2 8 2 2" xfId="23697"/>
    <cellStyle name="Input 2 8 2 3" xfId="25417"/>
    <cellStyle name="Input 2 8 3" xfId="23696"/>
    <cellStyle name="Input 2 8 4" xfId="25418"/>
    <cellStyle name="Input 2 9" xfId="6037"/>
    <cellStyle name="Input 2 9 2" xfId="23698"/>
    <cellStyle name="Input 2 9 3" xfId="25416"/>
    <cellStyle name="Input 3" xfId="1495"/>
    <cellStyle name="Input 3 10" xfId="23699"/>
    <cellStyle name="Input 3 2" xfId="1496"/>
    <cellStyle name="Input 3 2 2" xfId="10886"/>
    <cellStyle name="Input 3 2 2 2" xfId="10887"/>
    <cellStyle name="Input 3 2 2 2 2" xfId="21660"/>
    <cellStyle name="Input 3 2 2 2 2 2" xfId="23703"/>
    <cellStyle name="Input 3 2 2 2 2 3" xfId="25413"/>
    <cellStyle name="Input 3 2 2 2 3" xfId="23702"/>
    <cellStyle name="Input 3 2 2 2 4" xfId="25414"/>
    <cellStyle name="Input 3 2 2 3" xfId="10888"/>
    <cellStyle name="Input 3 2 2 3 2" xfId="21659"/>
    <cellStyle name="Input 3 2 2 3 2 2" xfId="23705"/>
    <cellStyle name="Input 3 2 2 3 2 3" xfId="25411"/>
    <cellStyle name="Input 3 2 2 3 3" xfId="23704"/>
    <cellStyle name="Input 3 2 2 3 4" xfId="25412"/>
    <cellStyle name="Input 3 2 2 4" xfId="19526"/>
    <cellStyle name="Input 3 2 2 4 2" xfId="23706"/>
    <cellStyle name="Input 3 2 2 4 3" xfId="25410"/>
    <cellStyle name="Input 3 2 2 5" xfId="23701"/>
    <cellStyle name="Input 3 2 2 6" xfId="25415"/>
    <cellStyle name="Input 3 2 3" xfId="10889"/>
    <cellStyle name="Input 3 2 3 2" xfId="18808"/>
    <cellStyle name="Input 3 2 3 2 2" xfId="23708"/>
    <cellStyle name="Input 3 2 3 2 3" xfId="25408"/>
    <cellStyle name="Input 3 2 3 3" xfId="23707"/>
    <cellStyle name="Input 3 2 3 4" xfId="25409"/>
    <cellStyle name="Input 3 2 4" xfId="10890"/>
    <cellStyle name="Input 3 2 4 2" xfId="21658"/>
    <cellStyle name="Input 3 2 4 2 2" xfId="23710"/>
    <cellStyle name="Input 3 2 4 2 3" xfId="25406"/>
    <cellStyle name="Input 3 2 4 3" xfId="23709"/>
    <cellStyle name="Input 3 2 4 4" xfId="25407"/>
    <cellStyle name="Input 3 2 5" xfId="6043"/>
    <cellStyle name="Input 3 2 5 2" xfId="23711"/>
    <cellStyle name="Input 3 2 5 3" xfId="25405"/>
    <cellStyle name="Input 3 2 6" xfId="23700"/>
    <cellStyle name="Input 3 3" xfId="1497"/>
    <cellStyle name="Input 3 3 2" xfId="10891"/>
    <cellStyle name="Input 3 3 2 2" xfId="10892"/>
    <cellStyle name="Input 3 3 2 2 2" xfId="19525"/>
    <cellStyle name="Input 3 3 2 2 2 2" xfId="23715"/>
    <cellStyle name="Input 3 3 2 2 2 3" xfId="25402"/>
    <cellStyle name="Input 3 3 2 2 3" xfId="23714"/>
    <cellStyle name="Input 3 3 2 2 4" xfId="25403"/>
    <cellStyle name="Input 3 3 2 3" xfId="10893"/>
    <cellStyle name="Input 3 3 2 3 2" xfId="17830"/>
    <cellStyle name="Input 3 3 2 3 2 2" xfId="23717"/>
    <cellStyle name="Input 3 3 2 3 2 3" xfId="25400"/>
    <cellStyle name="Input 3 3 2 3 3" xfId="23716"/>
    <cellStyle name="Input 3 3 2 3 4" xfId="25401"/>
    <cellStyle name="Input 3 3 2 4" xfId="21657"/>
    <cellStyle name="Input 3 3 2 4 2" xfId="23718"/>
    <cellStyle name="Input 3 3 2 4 3" xfId="25399"/>
    <cellStyle name="Input 3 3 2 5" xfId="23713"/>
    <cellStyle name="Input 3 3 2 6" xfId="25404"/>
    <cellStyle name="Input 3 3 3" xfId="10894"/>
    <cellStyle name="Input 3 3 3 2" xfId="21656"/>
    <cellStyle name="Input 3 3 3 2 2" xfId="23720"/>
    <cellStyle name="Input 3 3 3 2 3" xfId="25397"/>
    <cellStyle name="Input 3 3 3 3" xfId="23719"/>
    <cellStyle name="Input 3 3 3 4" xfId="25398"/>
    <cellStyle name="Input 3 3 4" xfId="10895"/>
    <cellStyle name="Input 3 3 4 2" xfId="21655"/>
    <cellStyle name="Input 3 3 4 2 2" xfId="23722"/>
    <cellStyle name="Input 3 3 4 2 3" xfId="25395"/>
    <cellStyle name="Input 3 3 4 3" xfId="23721"/>
    <cellStyle name="Input 3 3 4 4" xfId="25396"/>
    <cellStyle name="Input 3 3 5" xfId="6044"/>
    <cellStyle name="Input 3 3 5 2" xfId="23723"/>
    <cellStyle name="Input 3 3 5 3" xfId="25394"/>
    <cellStyle name="Input 3 3 6" xfId="23712"/>
    <cellStyle name="Input 3 4" xfId="6045"/>
    <cellStyle name="Input 3 4 2" xfId="10896"/>
    <cellStyle name="Input 3 4 2 2" xfId="10897"/>
    <cellStyle name="Input 3 4 2 2 2" xfId="18806"/>
    <cellStyle name="Input 3 4 2 2 2 2" xfId="23727"/>
    <cellStyle name="Input 3 4 2 2 2 3" xfId="25390"/>
    <cellStyle name="Input 3 4 2 2 3" xfId="23726"/>
    <cellStyle name="Input 3 4 2 2 4" xfId="25391"/>
    <cellStyle name="Input 3 4 2 3" xfId="10898"/>
    <cellStyle name="Input 3 4 2 3 2" xfId="21654"/>
    <cellStyle name="Input 3 4 2 3 2 2" xfId="23729"/>
    <cellStyle name="Input 3 4 2 3 2 3" xfId="25388"/>
    <cellStyle name="Input 3 4 2 3 3" xfId="23728"/>
    <cellStyle name="Input 3 4 2 3 4" xfId="25389"/>
    <cellStyle name="Input 3 4 2 4" xfId="18807"/>
    <cellStyle name="Input 3 4 2 4 2" xfId="23730"/>
    <cellStyle name="Input 3 4 2 4 3" xfId="25387"/>
    <cellStyle name="Input 3 4 2 5" xfId="23725"/>
    <cellStyle name="Input 3 4 2 6" xfId="25392"/>
    <cellStyle name="Input 3 4 3" xfId="10899"/>
    <cellStyle name="Input 3 4 3 2" xfId="21653"/>
    <cellStyle name="Input 3 4 3 2 2" xfId="23732"/>
    <cellStyle name="Input 3 4 3 2 3" xfId="25385"/>
    <cellStyle name="Input 3 4 3 3" xfId="23731"/>
    <cellStyle name="Input 3 4 3 4" xfId="25386"/>
    <cellStyle name="Input 3 4 4" xfId="10900"/>
    <cellStyle name="Input 3 4 4 2" xfId="21652"/>
    <cellStyle name="Input 3 4 4 2 2" xfId="23734"/>
    <cellStyle name="Input 3 4 4 2 3" xfId="25383"/>
    <cellStyle name="Input 3 4 4 3" xfId="23733"/>
    <cellStyle name="Input 3 4 4 4" xfId="25384"/>
    <cellStyle name="Input 3 4 5" xfId="23735"/>
    <cellStyle name="Input 3 4 5 2" xfId="25382"/>
    <cellStyle name="Input 3 4 6" xfId="23724"/>
    <cellStyle name="Input 3 4 7" xfId="25393"/>
    <cellStyle name="Input 3 5" xfId="6046"/>
    <cellStyle name="Input 3 5 2" xfId="10901"/>
    <cellStyle name="Input 3 5 2 2" xfId="10902"/>
    <cellStyle name="Input 3 5 2 2 2" xfId="21650"/>
    <cellStyle name="Input 3 5 2 2 2 2" xfId="23739"/>
    <cellStyle name="Input 3 5 2 2 2 3" xfId="25378"/>
    <cellStyle name="Input 3 5 2 2 3" xfId="23738"/>
    <cellStyle name="Input 3 5 2 2 4" xfId="25379"/>
    <cellStyle name="Input 3 5 2 3" xfId="10903"/>
    <cellStyle name="Input 3 5 2 3 2" xfId="21649"/>
    <cellStyle name="Input 3 5 2 3 2 2" xfId="23741"/>
    <cellStyle name="Input 3 5 2 3 2 3" xfId="25376"/>
    <cellStyle name="Input 3 5 2 3 3" xfId="23740"/>
    <cellStyle name="Input 3 5 2 3 4" xfId="25377"/>
    <cellStyle name="Input 3 5 2 4" xfId="21651"/>
    <cellStyle name="Input 3 5 2 4 2" xfId="23742"/>
    <cellStyle name="Input 3 5 2 4 3" xfId="25375"/>
    <cellStyle name="Input 3 5 2 5" xfId="23737"/>
    <cellStyle name="Input 3 5 2 6" xfId="25380"/>
    <cellStyle name="Input 3 5 3" xfId="10904"/>
    <cellStyle name="Input 3 5 3 2" xfId="19524"/>
    <cellStyle name="Input 3 5 3 2 2" xfId="23744"/>
    <cellStyle name="Input 3 5 3 2 3" xfId="25373"/>
    <cellStyle name="Input 3 5 3 3" xfId="23743"/>
    <cellStyle name="Input 3 5 3 4" xfId="25374"/>
    <cellStyle name="Input 3 5 4" xfId="10905"/>
    <cellStyle name="Input 3 5 4 2" xfId="21648"/>
    <cellStyle name="Input 3 5 4 2 2" xfId="23746"/>
    <cellStyle name="Input 3 5 4 2 3" xfId="25371"/>
    <cellStyle name="Input 3 5 4 3" xfId="23745"/>
    <cellStyle name="Input 3 5 4 4" xfId="25372"/>
    <cellStyle name="Input 3 5 5" xfId="23747"/>
    <cellStyle name="Input 3 5 5 2" xfId="25370"/>
    <cellStyle name="Input 3 5 6" xfId="23736"/>
    <cellStyle name="Input 3 5 7" xfId="25381"/>
    <cellStyle name="Input 3 6" xfId="10906"/>
    <cellStyle name="Input 3 6 2" xfId="10907"/>
    <cellStyle name="Input 3 6 2 2" xfId="18805"/>
    <cellStyle name="Input 3 6 2 2 2" xfId="23750"/>
    <cellStyle name="Input 3 6 2 2 3" xfId="25367"/>
    <cellStyle name="Input 3 6 2 3" xfId="23749"/>
    <cellStyle name="Input 3 6 2 4" xfId="25368"/>
    <cellStyle name="Input 3 6 3" xfId="10908"/>
    <cellStyle name="Input 3 6 3 2" xfId="21646"/>
    <cellStyle name="Input 3 6 3 2 2" xfId="23752"/>
    <cellStyle name="Input 3 6 3 2 3" xfId="25365"/>
    <cellStyle name="Input 3 6 3 3" xfId="23751"/>
    <cellStyle name="Input 3 6 3 4" xfId="25366"/>
    <cellStyle name="Input 3 6 4" xfId="21647"/>
    <cellStyle name="Input 3 6 4 2" xfId="23753"/>
    <cellStyle name="Input 3 6 4 3" xfId="25364"/>
    <cellStyle name="Input 3 6 5" xfId="23748"/>
    <cellStyle name="Input 3 6 6" xfId="25369"/>
    <cellStyle name="Input 3 7" xfId="10909"/>
    <cellStyle name="Input 3 7 2" xfId="21645"/>
    <cellStyle name="Input 3 7 2 2" xfId="23755"/>
    <cellStyle name="Input 3 7 2 3" xfId="25362"/>
    <cellStyle name="Input 3 7 3" xfId="23754"/>
    <cellStyle name="Input 3 7 4" xfId="25363"/>
    <cellStyle name="Input 3 8" xfId="10910"/>
    <cellStyle name="Input 3 8 2" xfId="19523"/>
    <cellStyle name="Input 3 8 2 2" xfId="23757"/>
    <cellStyle name="Input 3 8 2 3" xfId="25360"/>
    <cellStyle name="Input 3 8 3" xfId="23756"/>
    <cellStyle name="Input 3 8 4" xfId="25361"/>
    <cellStyle name="Input 3 9" xfId="6042"/>
    <cellStyle name="Input 3 9 2" xfId="23758"/>
    <cellStyle name="Input 3 9 3" xfId="25359"/>
    <cellStyle name="Input 4" xfId="1498"/>
    <cellStyle name="Input 4 2" xfId="10911"/>
    <cellStyle name="Input 4 2 2" xfId="10912"/>
    <cellStyle name="Input 4 2 2 2" xfId="21643"/>
    <cellStyle name="Input 4 2 2 2 2" xfId="23762"/>
    <cellStyle name="Input 4 2 2 2 3" xfId="25355"/>
    <cellStyle name="Input 4 2 2 3" xfId="23761"/>
    <cellStyle name="Input 4 2 2 4" xfId="25356"/>
    <cellStyle name="Input 4 2 3" xfId="10913"/>
    <cellStyle name="Input 4 2 3 2" xfId="18804"/>
    <cellStyle name="Input 4 2 3 2 2" xfId="23764"/>
    <cellStyle name="Input 4 2 3 2 3" xfId="25353"/>
    <cellStyle name="Input 4 2 3 3" xfId="23763"/>
    <cellStyle name="Input 4 2 3 4" xfId="25354"/>
    <cellStyle name="Input 4 2 4" xfId="21644"/>
    <cellStyle name="Input 4 2 4 2" xfId="23765"/>
    <cellStyle name="Input 4 2 4 3" xfId="25352"/>
    <cellStyle name="Input 4 2 5" xfId="23760"/>
    <cellStyle name="Input 4 2 6" xfId="25357"/>
    <cellStyle name="Input 4 3" xfId="10914"/>
    <cellStyle name="Input 4 3 2" xfId="21642"/>
    <cellStyle name="Input 4 3 2 2" xfId="23767"/>
    <cellStyle name="Input 4 3 2 3" xfId="25350"/>
    <cellStyle name="Input 4 3 3" xfId="23766"/>
    <cellStyle name="Input 4 3 4" xfId="25351"/>
    <cellStyle name="Input 4 4" xfId="10915"/>
    <cellStyle name="Input 4 4 2" xfId="21641"/>
    <cellStyle name="Input 4 4 2 2" xfId="23769"/>
    <cellStyle name="Input 4 4 2 3" xfId="25348"/>
    <cellStyle name="Input 4 4 3" xfId="23768"/>
    <cellStyle name="Input 4 4 4" xfId="25349"/>
    <cellStyle name="Input 4 5" xfId="6047"/>
    <cellStyle name="Input 4 5 2" xfId="23770"/>
    <cellStyle name="Input 4 5 3" xfId="25347"/>
    <cellStyle name="Input 4 6" xfId="23759"/>
    <cellStyle name="Input 4 7" xfId="25358"/>
    <cellStyle name="Input 5" xfId="1499"/>
    <cellStyle name="Input 5 2" xfId="10916"/>
    <cellStyle name="Input 5 2 2" xfId="10917"/>
    <cellStyle name="Input 5 2 2 2" xfId="21640"/>
    <cellStyle name="Input 5 2 2 2 2" xfId="23774"/>
    <cellStyle name="Input 5 2 2 2 3" xfId="25343"/>
    <cellStyle name="Input 5 2 2 3" xfId="23773"/>
    <cellStyle name="Input 5 2 2 4" xfId="25344"/>
    <cellStyle name="Input 5 2 3" xfId="10918"/>
    <cellStyle name="Input 5 2 3 2" xfId="21639"/>
    <cellStyle name="Input 5 2 3 2 2" xfId="23776"/>
    <cellStyle name="Input 5 2 3 2 3" xfId="25341"/>
    <cellStyle name="Input 5 2 3 3" xfId="23775"/>
    <cellStyle name="Input 5 2 3 4" xfId="25342"/>
    <cellStyle name="Input 5 2 4" xfId="18654"/>
    <cellStyle name="Input 5 2 4 2" xfId="23777"/>
    <cellStyle name="Input 5 2 4 3" xfId="25340"/>
    <cellStyle name="Input 5 2 5" xfId="23772"/>
    <cellStyle name="Input 5 2 6" xfId="25345"/>
    <cellStyle name="Input 5 3" xfId="10919"/>
    <cellStyle name="Input 5 3 2" xfId="18803"/>
    <cellStyle name="Input 5 3 2 2" xfId="23779"/>
    <cellStyle name="Input 5 3 2 3" xfId="25338"/>
    <cellStyle name="Input 5 3 3" xfId="23778"/>
    <cellStyle name="Input 5 3 4" xfId="25339"/>
    <cellStyle name="Input 5 4" xfId="10920"/>
    <cellStyle name="Input 5 4 2" xfId="21638"/>
    <cellStyle name="Input 5 4 2 2" xfId="23781"/>
    <cellStyle name="Input 5 4 2 3" xfId="25336"/>
    <cellStyle name="Input 5 4 3" xfId="23780"/>
    <cellStyle name="Input 5 4 4" xfId="25337"/>
    <cellStyle name="Input 5 5" xfId="6048"/>
    <cellStyle name="Input 5 5 2" xfId="23782"/>
    <cellStyle name="Input 5 5 3" xfId="25335"/>
    <cellStyle name="Input 5 6" xfId="23771"/>
    <cellStyle name="Input 5 7" xfId="25346"/>
    <cellStyle name="Input 6" xfId="6049"/>
    <cellStyle name="Input 6 2" xfId="10921"/>
    <cellStyle name="Input 6 2 2" xfId="10922"/>
    <cellStyle name="Input 6 2 2 2" xfId="19522"/>
    <cellStyle name="Input 6 2 2 2 2" xfId="23786"/>
    <cellStyle name="Input 6 2 2 2 3" xfId="25331"/>
    <cellStyle name="Input 6 2 2 3" xfId="23785"/>
    <cellStyle name="Input 6 2 2 4" xfId="25332"/>
    <cellStyle name="Input 6 2 3" xfId="10923"/>
    <cellStyle name="Input 6 2 3 2" xfId="19521"/>
    <cellStyle name="Input 6 2 3 2 2" xfId="23788"/>
    <cellStyle name="Input 6 2 3 2 3" xfId="25329"/>
    <cellStyle name="Input 6 2 3 3" xfId="23787"/>
    <cellStyle name="Input 6 2 3 4" xfId="25330"/>
    <cellStyle name="Input 6 2 4" xfId="21637"/>
    <cellStyle name="Input 6 2 4 2" xfId="23789"/>
    <cellStyle name="Input 6 2 4 3" xfId="25328"/>
    <cellStyle name="Input 6 2 5" xfId="23784"/>
    <cellStyle name="Input 6 2 6" xfId="25333"/>
    <cellStyle name="Input 6 3" xfId="10924"/>
    <cellStyle name="Input 6 3 2" xfId="21636"/>
    <cellStyle name="Input 6 3 2 2" xfId="23791"/>
    <cellStyle name="Input 6 3 2 3" xfId="25326"/>
    <cellStyle name="Input 6 3 3" xfId="23790"/>
    <cellStyle name="Input 6 3 4" xfId="25327"/>
    <cellStyle name="Input 6 4" xfId="10925"/>
    <cellStyle name="Input 6 4 2" xfId="21635"/>
    <cellStyle name="Input 6 4 2 2" xfId="23793"/>
    <cellStyle name="Input 6 4 2 3" xfId="25324"/>
    <cellStyle name="Input 6 4 3" xfId="23792"/>
    <cellStyle name="Input 6 4 4" xfId="25325"/>
    <cellStyle name="Input 6 5" xfId="23794"/>
    <cellStyle name="Input 6 5 2" xfId="25323"/>
    <cellStyle name="Input 6 6" xfId="23783"/>
    <cellStyle name="Input 6 7" xfId="25334"/>
    <cellStyle name="Input 7" xfId="6050"/>
    <cellStyle name="Input 7 2" xfId="10926"/>
    <cellStyle name="Input 7 2 2" xfId="10927"/>
    <cellStyle name="Input 7 2 2 2" xfId="18801"/>
    <cellStyle name="Input 7 2 2 2 2" xfId="23798"/>
    <cellStyle name="Input 7 2 2 2 3" xfId="25319"/>
    <cellStyle name="Input 7 2 2 3" xfId="23797"/>
    <cellStyle name="Input 7 2 2 4" xfId="25320"/>
    <cellStyle name="Input 7 2 3" xfId="10928"/>
    <cellStyle name="Input 7 2 3 2" xfId="21634"/>
    <cellStyle name="Input 7 2 3 2 2" xfId="23800"/>
    <cellStyle name="Input 7 2 3 2 3" xfId="25317"/>
    <cellStyle name="Input 7 2 3 3" xfId="23799"/>
    <cellStyle name="Input 7 2 3 4" xfId="25318"/>
    <cellStyle name="Input 7 2 4" xfId="18802"/>
    <cellStyle name="Input 7 2 4 2" xfId="23801"/>
    <cellStyle name="Input 7 2 4 3" xfId="25316"/>
    <cellStyle name="Input 7 2 5" xfId="23796"/>
    <cellStyle name="Input 7 2 6" xfId="25321"/>
    <cellStyle name="Input 7 3" xfId="10929"/>
    <cellStyle name="Input 7 3 2" xfId="21633"/>
    <cellStyle name="Input 7 3 2 2" xfId="23803"/>
    <cellStyle name="Input 7 3 2 3" xfId="25314"/>
    <cellStyle name="Input 7 3 3" xfId="23802"/>
    <cellStyle name="Input 7 3 4" xfId="25315"/>
    <cellStyle name="Input 7 4" xfId="10930"/>
    <cellStyle name="Input 7 4 2" xfId="21632"/>
    <cellStyle name="Input 7 4 2 2" xfId="23805"/>
    <cellStyle name="Input 7 4 2 3" xfId="25312"/>
    <cellStyle name="Input 7 4 3" xfId="23804"/>
    <cellStyle name="Input 7 4 4" xfId="25313"/>
    <cellStyle name="Input 7 5" xfId="23806"/>
    <cellStyle name="Input 7 5 2" xfId="25311"/>
    <cellStyle name="Input 7 6" xfId="23795"/>
    <cellStyle name="Input 7 7" xfId="25322"/>
    <cellStyle name="Input 8" xfId="10931"/>
    <cellStyle name="Input 8 2" xfId="10932"/>
    <cellStyle name="Input 8 2 2" xfId="21630"/>
    <cellStyle name="Input 8 2 2 2" xfId="23809"/>
    <cellStyle name="Input 8 2 2 3" xfId="25308"/>
    <cellStyle name="Input 8 2 3" xfId="23808"/>
    <cellStyle name="Input 8 2 4" xfId="25309"/>
    <cellStyle name="Input 8 3" xfId="10933"/>
    <cellStyle name="Input 8 3 2" xfId="21629"/>
    <cellStyle name="Input 8 3 2 2" xfId="23811"/>
    <cellStyle name="Input 8 3 2 3" xfId="25306"/>
    <cellStyle name="Input 8 3 3" xfId="23810"/>
    <cellStyle name="Input 8 3 4" xfId="25307"/>
    <cellStyle name="Input 8 4" xfId="21631"/>
    <cellStyle name="Input 8 4 2" xfId="23812"/>
    <cellStyle name="Input 8 4 3" xfId="25305"/>
    <cellStyle name="Input 8 5" xfId="23807"/>
    <cellStyle name="Input 8 6" xfId="25310"/>
    <cellStyle name="Input 9" xfId="10934"/>
    <cellStyle name="Input 9 2" xfId="17829"/>
    <cellStyle name="Input 9 2 2" xfId="23814"/>
    <cellStyle name="Input 9 2 3" xfId="25303"/>
    <cellStyle name="Input 9 3" xfId="23813"/>
    <cellStyle name="Input 9 4" xfId="25304"/>
    <cellStyle name="LineItemPrompt" xfId="6051"/>
    <cellStyle name="LineItemPrompt 2" xfId="6052"/>
    <cellStyle name="LineItemValue" xfId="6053"/>
    <cellStyle name="LineItemValue 2" xfId="6054"/>
    <cellStyle name="Linked Cell" xfId="1500"/>
    <cellStyle name="Linked Cell 2" xfId="1501"/>
    <cellStyle name="Linked Cell 2 2" xfId="48918"/>
    <cellStyle name="Linked Cell 2 3" xfId="48919"/>
    <cellStyle name="Linked Cell 3" xfId="1502"/>
    <cellStyle name="Linked Cell 3 2" xfId="48920"/>
    <cellStyle name="Linked Cell 3 3" xfId="48921"/>
    <cellStyle name="Linked Cell 4" xfId="6055"/>
    <cellStyle name="Linked Cell 5" xfId="48922"/>
    <cellStyle name="MS Sans Serif" xfId="6058"/>
    <cellStyle name="MSゴシック14" xfId="48923"/>
    <cellStyle name="MSみんちょう10" xfId="48924"/>
    <cellStyle name="MSみんちょう10 2" xfId="48925"/>
    <cellStyle name="MSみんちょう10 3" xfId="48926"/>
    <cellStyle name="MSみんちょう10 4" xfId="48927"/>
    <cellStyle name="MSみんちょう10 5" xfId="48928"/>
    <cellStyle name="Neutral" xfId="1503"/>
    <cellStyle name="Neutral 2" xfId="1504"/>
    <cellStyle name="Neutral 2 2" xfId="48929"/>
    <cellStyle name="Neutral 2 3" xfId="48930"/>
    <cellStyle name="Neutral 2 4" xfId="60881"/>
    <cellStyle name="Neutral 3" xfId="1505"/>
    <cellStyle name="Neutral 3 2" xfId="48931"/>
    <cellStyle name="Neutral 3 3" xfId="48932"/>
    <cellStyle name="Neutral 4" xfId="6059"/>
    <cellStyle name="Neutral 5" xfId="48933"/>
    <cellStyle name="Normal - Style1" xfId="48934"/>
    <cellStyle name="Normal - Style1 2" xfId="48935"/>
    <cellStyle name="Normal - Style1 3" xfId="48936"/>
    <cellStyle name="Normal - Style1 4" xfId="48937"/>
    <cellStyle name="Normal 2" xfId="4"/>
    <cellStyle name="Normal 2 2" xfId="689"/>
    <cellStyle name="Normal 2 2 2" xfId="716"/>
    <cellStyle name="Normal 2 3" xfId="60882"/>
    <cellStyle name="Normal 2 4" xfId="110"/>
    <cellStyle name="Normal 3" xfId="5"/>
    <cellStyle name="Normal 4" xfId="6"/>
    <cellStyle name="Normal 5" xfId="7"/>
    <cellStyle name="Normal 6" xfId="8"/>
    <cellStyle name="Normal 7" xfId="111"/>
    <cellStyle name="Normal_#18-Internet" xfId="1506"/>
    <cellStyle name="Normal_仕入れ品リスト" xfId="1"/>
    <cellStyle name="Note" xfId="1507"/>
    <cellStyle name="Note 10" xfId="10935"/>
    <cellStyle name="Note 10 2" xfId="21628"/>
    <cellStyle name="Note 10 2 2" xfId="23817"/>
    <cellStyle name="Note 10 3" xfId="21964"/>
    <cellStyle name="Note 10 4" xfId="23816"/>
    <cellStyle name="Note 11" xfId="6063"/>
    <cellStyle name="Note 11 2" xfId="23818"/>
    <cellStyle name="Note 12" xfId="21741"/>
    <cellStyle name="Note 13" xfId="23815"/>
    <cellStyle name="Note 2" xfId="1508"/>
    <cellStyle name="Note 2 10" xfId="21742"/>
    <cellStyle name="Note 2 2" xfId="1509"/>
    <cellStyle name="Note 2 2 2" xfId="1510"/>
    <cellStyle name="Note 2 2 2 2" xfId="1511"/>
    <cellStyle name="Note 2 2 2 2 2" xfId="10937"/>
    <cellStyle name="Note 2 2 2 2 2 2" xfId="23819"/>
    <cellStyle name="Note 2 2 2 2 2 2 2" xfId="48938"/>
    <cellStyle name="Note 2 2 2 2 2 2 3" xfId="48939"/>
    <cellStyle name="Note 2 2 2 2 2 3" xfId="48940"/>
    <cellStyle name="Note 2 2 2 2 2 4" xfId="48941"/>
    <cellStyle name="Note 2 2 2 2 3" xfId="18800"/>
    <cellStyle name="Note 2 2 2 2 3 2" xfId="48942"/>
    <cellStyle name="Note 2 2 2 2 3 3" xfId="48943"/>
    <cellStyle name="Note 2 2 2 2 4" xfId="21966"/>
    <cellStyle name="Note 2 2 2 2 5" xfId="48944"/>
    <cellStyle name="Note 2 2 2 3" xfId="1512"/>
    <cellStyle name="Note 2 2 2 3 2" xfId="10938"/>
    <cellStyle name="Note 2 2 2 3 2 2" xfId="23820"/>
    <cellStyle name="Note 2 2 2 3 2 2 2" xfId="48945"/>
    <cellStyle name="Note 2 2 2 3 2 2 3" xfId="48946"/>
    <cellStyle name="Note 2 2 2 3 2 3" xfId="48947"/>
    <cellStyle name="Note 2 2 2 3 2 4" xfId="48948"/>
    <cellStyle name="Note 2 2 2 3 3" xfId="21626"/>
    <cellStyle name="Note 2 2 2 3 3 2" xfId="48949"/>
    <cellStyle name="Note 2 2 2 3 3 3" xfId="48950"/>
    <cellStyle name="Note 2 2 2 3 4" xfId="21967"/>
    <cellStyle name="Note 2 2 2 3 5" xfId="48951"/>
    <cellStyle name="Note 2 2 2 4" xfId="10936"/>
    <cellStyle name="Note 2 2 2 4 2" xfId="23821"/>
    <cellStyle name="Note 2 2 2 4 2 2" xfId="48952"/>
    <cellStyle name="Note 2 2 2 4 2 3" xfId="48953"/>
    <cellStyle name="Note 2 2 2 4 3" xfId="48954"/>
    <cellStyle name="Note 2 2 2 4 4" xfId="48955"/>
    <cellStyle name="Note 2 2 2 5" xfId="21627"/>
    <cellStyle name="Note 2 2 2 5 2" xfId="48956"/>
    <cellStyle name="Note 2 2 2 5 3" xfId="48957"/>
    <cellStyle name="Note 2 2 2 6" xfId="21965"/>
    <cellStyle name="Note 2 2 2 7" xfId="48958"/>
    <cellStyle name="Note 2 2 3" xfId="1513"/>
    <cellStyle name="Note 2 2 3 2" xfId="10939"/>
    <cellStyle name="Note 2 2 3 2 2" xfId="23822"/>
    <cellStyle name="Note 2 2 3 2 2 2" xfId="48959"/>
    <cellStyle name="Note 2 2 3 2 2 3" xfId="48960"/>
    <cellStyle name="Note 2 2 3 2 3" xfId="48961"/>
    <cellStyle name="Note 2 2 3 2 4" xfId="48962"/>
    <cellStyle name="Note 2 2 3 3" xfId="21625"/>
    <cellStyle name="Note 2 2 3 3 2" xfId="48963"/>
    <cellStyle name="Note 2 2 3 3 3" xfId="48964"/>
    <cellStyle name="Note 2 2 3 4" xfId="21968"/>
    <cellStyle name="Note 2 2 3 5" xfId="48965"/>
    <cellStyle name="Note 2 2 4" xfId="1514"/>
    <cellStyle name="Note 2 2 4 2" xfId="10940"/>
    <cellStyle name="Note 2 2 4 2 2" xfId="23823"/>
    <cellStyle name="Note 2 2 4 2 2 2" xfId="48966"/>
    <cellStyle name="Note 2 2 4 2 2 3" xfId="48967"/>
    <cellStyle name="Note 2 2 4 2 3" xfId="48968"/>
    <cellStyle name="Note 2 2 4 2 4" xfId="48969"/>
    <cellStyle name="Note 2 2 4 3" xfId="17828"/>
    <cellStyle name="Note 2 2 4 3 2" xfId="48970"/>
    <cellStyle name="Note 2 2 4 3 3" xfId="48971"/>
    <cellStyle name="Note 2 2 4 4" xfId="21969"/>
    <cellStyle name="Note 2 2 4 5" xfId="48972"/>
    <cellStyle name="Note 2 2 5" xfId="6065"/>
    <cellStyle name="Note 2 2 5 2" xfId="23824"/>
    <cellStyle name="Note 2 2 5 2 2" xfId="48973"/>
    <cellStyle name="Note 2 2 5 2 3" xfId="48974"/>
    <cellStyle name="Note 2 2 5 3" xfId="48975"/>
    <cellStyle name="Note 2 2 5 4" xfId="48976"/>
    <cellStyle name="Note 2 2 6" xfId="21743"/>
    <cellStyle name="Note 2 2 6 2" xfId="48977"/>
    <cellStyle name="Note 2 2 6 3" xfId="48978"/>
    <cellStyle name="Note 2 2 7" xfId="48979"/>
    <cellStyle name="Note 2 2 8" xfId="48980"/>
    <cellStyle name="Note 2 3" xfId="1515"/>
    <cellStyle name="Note 2 3 2" xfId="10941"/>
    <cellStyle name="Note 2 3 2 2" xfId="10942"/>
    <cellStyle name="Note 2 3 2 2 2" xfId="21623"/>
    <cellStyle name="Note 2 3 2 2 2 2" xfId="23827"/>
    <cellStyle name="Note 2 3 2 2 3" xfId="21971"/>
    <cellStyle name="Note 2 3 2 2 4" xfId="23826"/>
    <cellStyle name="Note 2 3 2 3" xfId="10943"/>
    <cellStyle name="Note 2 3 2 3 2" xfId="18799"/>
    <cellStyle name="Note 2 3 2 3 2 2" xfId="23829"/>
    <cellStyle name="Note 2 3 2 3 3" xfId="21972"/>
    <cellStyle name="Note 2 3 2 3 4" xfId="23828"/>
    <cellStyle name="Note 2 3 2 4" xfId="21624"/>
    <cellStyle name="Note 2 3 2 4 2" xfId="23830"/>
    <cellStyle name="Note 2 3 2 5" xfId="21970"/>
    <cellStyle name="Note 2 3 2 6" xfId="23825"/>
    <cellStyle name="Note 2 3 3" xfId="10944"/>
    <cellStyle name="Note 2 3 3 2" xfId="21622"/>
    <cellStyle name="Note 2 3 3 2 2" xfId="23832"/>
    <cellStyle name="Note 2 3 3 3" xfId="21973"/>
    <cellStyle name="Note 2 3 3 4" xfId="23831"/>
    <cellStyle name="Note 2 3 4" xfId="10945"/>
    <cellStyle name="Note 2 3 4 2" xfId="21621"/>
    <cellStyle name="Note 2 3 4 2 2" xfId="23834"/>
    <cellStyle name="Note 2 3 4 3" xfId="21974"/>
    <cellStyle name="Note 2 3 4 4" xfId="23833"/>
    <cellStyle name="Note 2 3 5" xfId="6066"/>
    <cellStyle name="Note 2 3 5 2" xfId="23835"/>
    <cellStyle name="Note 2 3 6" xfId="21744"/>
    <cellStyle name="Note 2 4" xfId="1516"/>
    <cellStyle name="Note 2 4 2" xfId="10946"/>
    <cellStyle name="Note 2 4 2 2" xfId="10947"/>
    <cellStyle name="Note 2 4 2 2 2" xfId="21620"/>
    <cellStyle name="Note 2 4 2 2 2 2" xfId="23838"/>
    <cellStyle name="Note 2 4 2 2 3" xfId="21976"/>
    <cellStyle name="Note 2 4 2 2 4" xfId="23837"/>
    <cellStyle name="Note 2 4 2 3" xfId="10948"/>
    <cellStyle name="Note 2 4 2 3 2" xfId="21619"/>
    <cellStyle name="Note 2 4 2 3 2 2" xfId="23840"/>
    <cellStyle name="Note 2 4 2 3 3" xfId="21977"/>
    <cellStyle name="Note 2 4 2 3 4" xfId="23839"/>
    <cellStyle name="Note 2 4 2 4" xfId="19520"/>
    <cellStyle name="Note 2 4 2 4 2" xfId="23841"/>
    <cellStyle name="Note 2 4 2 5" xfId="21975"/>
    <cellStyle name="Note 2 4 2 6" xfId="23836"/>
    <cellStyle name="Note 2 4 3" xfId="10949"/>
    <cellStyle name="Note 2 4 3 2" xfId="18798"/>
    <cellStyle name="Note 2 4 3 2 2" xfId="23843"/>
    <cellStyle name="Note 2 4 3 3" xfId="21978"/>
    <cellStyle name="Note 2 4 3 4" xfId="23842"/>
    <cellStyle name="Note 2 4 4" xfId="10950"/>
    <cellStyle name="Note 2 4 4 2" xfId="21618"/>
    <cellStyle name="Note 2 4 4 2 2" xfId="23845"/>
    <cellStyle name="Note 2 4 4 3" xfId="21979"/>
    <cellStyle name="Note 2 4 4 4" xfId="23844"/>
    <cellStyle name="Note 2 4 5" xfId="6067"/>
    <cellStyle name="Note 2 4 5 2" xfId="23846"/>
    <cellStyle name="Note 2 4 6" xfId="21745"/>
    <cellStyle name="Note 2 5" xfId="6068"/>
    <cellStyle name="Note 2 5 2" xfId="10951"/>
    <cellStyle name="Note 2 5 2 2" xfId="10952"/>
    <cellStyle name="Note 2 5 2 2 2" xfId="18653"/>
    <cellStyle name="Note 2 5 2 2 2 2" xfId="23850"/>
    <cellStyle name="Note 2 5 2 2 3" xfId="21981"/>
    <cellStyle name="Note 2 5 2 2 4" xfId="23849"/>
    <cellStyle name="Note 2 5 2 3" xfId="10953"/>
    <cellStyle name="Note 2 5 2 3 2" xfId="17827"/>
    <cellStyle name="Note 2 5 2 3 2 2" xfId="23852"/>
    <cellStyle name="Note 2 5 2 3 3" xfId="21982"/>
    <cellStyle name="Note 2 5 2 3 4" xfId="23851"/>
    <cellStyle name="Note 2 5 2 4" xfId="21617"/>
    <cellStyle name="Note 2 5 2 4 2" xfId="23853"/>
    <cellStyle name="Note 2 5 2 5" xfId="21980"/>
    <cellStyle name="Note 2 5 2 6" xfId="23848"/>
    <cellStyle name="Note 2 5 3" xfId="10954"/>
    <cellStyle name="Note 2 5 3 2" xfId="21616"/>
    <cellStyle name="Note 2 5 3 2 2" xfId="23855"/>
    <cellStyle name="Note 2 5 3 3" xfId="21983"/>
    <cellStyle name="Note 2 5 3 4" xfId="23854"/>
    <cellStyle name="Note 2 5 4" xfId="10955"/>
    <cellStyle name="Note 2 5 4 2" xfId="21615"/>
    <cellStyle name="Note 2 5 4 2 2" xfId="23857"/>
    <cellStyle name="Note 2 5 4 3" xfId="21984"/>
    <cellStyle name="Note 2 5 4 4" xfId="23856"/>
    <cellStyle name="Note 2 5 5" xfId="19540"/>
    <cellStyle name="Note 2 5 5 2" xfId="23858"/>
    <cellStyle name="Note 2 5 6" xfId="23847"/>
    <cellStyle name="Note 2 6" xfId="10956"/>
    <cellStyle name="Note 2 6 2" xfId="10957"/>
    <cellStyle name="Note 2 6 2 2" xfId="18796"/>
    <cellStyle name="Note 2 6 2 2 2" xfId="23861"/>
    <cellStyle name="Note 2 6 2 3" xfId="21986"/>
    <cellStyle name="Note 2 6 2 4" xfId="23860"/>
    <cellStyle name="Note 2 6 3" xfId="10958"/>
    <cellStyle name="Note 2 6 3 2" xfId="21614"/>
    <cellStyle name="Note 2 6 3 2 2" xfId="23863"/>
    <cellStyle name="Note 2 6 3 3" xfId="21987"/>
    <cellStyle name="Note 2 6 3 4" xfId="23862"/>
    <cellStyle name="Note 2 6 4" xfId="18797"/>
    <cellStyle name="Note 2 6 4 2" xfId="23864"/>
    <cellStyle name="Note 2 6 5" xfId="21985"/>
    <cellStyle name="Note 2 6 6" xfId="23859"/>
    <cellStyle name="Note 2 7" xfId="10959"/>
    <cellStyle name="Note 2 7 2" xfId="21613"/>
    <cellStyle name="Note 2 7 2 2" xfId="23866"/>
    <cellStyle name="Note 2 7 3" xfId="21988"/>
    <cellStyle name="Note 2 7 4" xfId="23865"/>
    <cellStyle name="Note 2 8" xfId="10960"/>
    <cellStyle name="Note 2 8 2" xfId="21612"/>
    <cellStyle name="Note 2 8 2 2" xfId="23868"/>
    <cellStyle name="Note 2 8 3" xfId="21989"/>
    <cellStyle name="Note 2 8 4" xfId="23867"/>
    <cellStyle name="Note 2 9" xfId="6064"/>
    <cellStyle name="Note 2 9 2" xfId="23869"/>
    <cellStyle name="Note 3" xfId="1517"/>
    <cellStyle name="Note 3 10" xfId="18830"/>
    <cellStyle name="Note 3 2" xfId="1518"/>
    <cellStyle name="Note 3 2 2" xfId="1519"/>
    <cellStyle name="Note 3 2 2 2" xfId="1520"/>
    <cellStyle name="Note 3 2 2 2 2" xfId="10962"/>
    <cellStyle name="Note 3 2 2 2 2 2" xfId="23870"/>
    <cellStyle name="Note 3 2 2 2 2 2 2" xfId="48981"/>
    <cellStyle name="Note 3 2 2 2 2 2 3" xfId="48982"/>
    <cellStyle name="Note 3 2 2 2 2 3" xfId="48983"/>
    <cellStyle name="Note 3 2 2 2 2 4" xfId="48984"/>
    <cellStyle name="Note 3 2 2 2 3" xfId="21610"/>
    <cellStyle name="Note 3 2 2 2 3 2" xfId="48985"/>
    <cellStyle name="Note 3 2 2 2 3 3" xfId="48986"/>
    <cellStyle name="Note 3 2 2 2 4" xfId="21991"/>
    <cellStyle name="Note 3 2 2 2 5" xfId="48987"/>
    <cellStyle name="Note 3 2 2 3" xfId="1521"/>
    <cellStyle name="Note 3 2 2 3 2" xfId="10963"/>
    <cellStyle name="Note 3 2 2 3 2 2" xfId="23871"/>
    <cellStyle name="Note 3 2 2 3 2 2 2" xfId="48988"/>
    <cellStyle name="Note 3 2 2 3 2 2 3" xfId="48989"/>
    <cellStyle name="Note 3 2 2 3 2 3" xfId="48990"/>
    <cellStyle name="Note 3 2 2 3 2 4" xfId="48991"/>
    <cellStyle name="Note 3 2 2 3 3" xfId="21609"/>
    <cellStyle name="Note 3 2 2 3 3 2" xfId="48992"/>
    <cellStyle name="Note 3 2 2 3 3 3" xfId="48993"/>
    <cellStyle name="Note 3 2 2 3 4" xfId="21992"/>
    <cellStyle name="Note 3 2 2 3 5" xfId="48994"/>
    <cellStyle name="Note 3 2 2 4" xfId="10961"/>
    <cellStyle name="Note 3 2 2 4 2" xfId="23872"/>
    <cellStyle name="Note 3 2 2 4 2 2" xfId="48995"/>
    <cellStyle name="Note 3 2 2 4 2 3" xfId="48996"/>
    <cellStyle name="Note 3 2 2 4 3" xfId="48997"/>
    <cellStyle name="Note 3 2 2 4 4" xfId="48998"/>
    <cellStyle name="Note 3 2 2 5" xfId="21611"/>
    <cellStyle name="Note 3 2 2 5 2" xfId="48999"/>
    <cellStyle name="Note 3 2 2 5 3" xfId="49000"/>
    <cellStyle name="Note 3 2 2 6" xfId="21990"/>
    <cellStyle name="Note 3 2 2 7" xfId="49001"/>
    <cellStyle name="Note 3 2 3" xfId="1522"/>
    <cellStyle name="Note 3 2 3 2" xfId="10964"/>
    <cellStyle name="Note 3 2 3 2 2" xfId="23873"/>
    <cellStyle name="Note 3 2 3 2 2 2" xfId="49002"/>
    <cellStyle name="Note 3 2 3 2 2 3" xfId="49003"/>
    <cellStyle name="Note 3 2 3 2 3" xfId="49004"/>
    <cellStyle name="Note 3 2 3 2 4" xfId="49005"/>
    <cellStyle name="Note 3 2 3 3" xfId="19519"/>
    <cellStyle name="Note 3 2 3 3 2" xfId="49006"/>
    <cellStyle name="Note 3 2 3 3 3" xfId="49007"/>
    <cellStyle name="Note 3 2 3 4" xfId="21993"/>
    <cellStyle name="Note 3 2 3 5" xfId="49008"/>
    <cellStyle name="Note 3 2 4" xfId="1523"/>
    <cellStyle name="Note 3 2 4 2" xfId="10965"/>
    <cellStyle name="Note 3 2 4 2 2" xfId="23874"/>
    <cellStyle name="Note 3 2 4 2 2 2" xfId="49009"/>
    <cellStyle name="Note 3 2 4 2 2 3" xfId="49010"/>
    <cellStyle name="Note 3 2 4 2 3" xfId="49011"/>
    <cellStyle name="Note 3 2 4 2 4" xfId="49012"/>
    <cellStyle name="Note 3 2 4 3" xfId="21608"/>
    <cellStyle name="Note 3 2 4 3 2" xfId="49013"/>
    <cellStyle name="Note 3 2 4 3 3" xfId="49014"/>
    <cellStyle name="Note 3 2 4 4" xfId="21994"/>
    <cellStyle name="Note 3 2 4 5" xfId="49015"/>
    <cellStyle name="Note 3 2 5" xfId="6070"/>
    <cellStyle name="Note 3 2 5 2" xfId="23875"/>
    <cellStyle name="Note 3 2 5 2 2" xfId="49016"/>
    <cellStyle name="Note 3 2 5 2 3" xfId="49017"/>
    <cellStyle name="Note 3 2 5 3" xfId="49018"/>
    <cellStyle name="Note 3 2 5 4" xfId="49019"/>
    <cellStyle name="Note 3 2 6" xfId="18831"/>
    <cellStyle name="Note 3 2 6 2" xfId="49020"/>
    <cellStyle name="Note 3 2 6 3" xfId="49021"/>
    <cellStyle name="Note 3 2 7" xfId="49022"/>
    <cellStyle name="Note 3 2 8" xfId="49023"/>
    <cellStyle name="Note 3 3" xfId="1524"/>
    <cellStyle name="Note 3 3 2" xfId="10966"/>
    <cellStyle name="Note 3 3 2 2" xfId="10967"/>
    <cellStyle name="Note 3 3 2 2 2" xfId="18795"/>
    <cellStyle name="Note 3 3 2 2 2 2" xfId="23878"/>
    <cellStyle name="Note 3 3 2 2 3" xfId="21996"/>
    <cellStyle name="Note 3 3 2 2 4" xfId="23877"/>
    <cellStyle name="Note 3 3 2 3" xfId="10968"/>
    <cellStyle name="Note 3 3 2 3 2" xfId="21606"/>
    <cellStyle name="Note 3 3 2 3 2 2" xfId="23880"/>
    <cellStyle name="Note 3 3 2 3 3" xfId="21997"/>
    <cellStyle name="Note 3 3 2 3 4" xfId="23879"/>
    <cellStyle name="Note 3 3 2 4" xfId="21607"/>
    <cellStyle name="Note 3 3 2 4 2" xfId="23881"/>
    <cellStyle name="Note 3 3 2 5" xfId="21995"/>
    <cellStyle name="Note 3 3 2 6" xfId="23876"/>
    <cellStyle name="Note 3 3 3" xfId="10969"/>
    <cellStyle name="Note 3 3 3 2" xfId="21605"/>
    <cellStyle name="Note 3 3 3 2 2" xfId="23883"/>
    <cellStyle name="Note 3 3 3 3" xfId="21998"/>
    <cellStyle name="Note 3 3 3 4" xfId="23882"/>
    <cellStyle name="Note 3 3 4" xfId="10970"/>
    <cellStyle name="Note 3 3 4 2" xfId="19518"/>
    <cellStyle name="Note 3 3 4 2 2" xfId="23885"/>
    <cellStyle name="Note 3 3 4 3" xfId="21999"/>
    <cellStyle name="Note 3 3 4 4" xfId="23884"/>
    <cellStyle name="Note 3 3 5" xfId="6071"/>
    <cellStyle name="Note 3 3 5 2" xfId="23886"/>
    <cellStyle name="Note 3 3 6" xfId="21746"/>
    <cellStyle name="Note 3 4" xfId="1525"/>
    <cellStyle name="Note 3 4 2" xfId="10971"/>
    <cellStyle name="Note 3 4 2 2" xfId="10972"/>
    <cellStyle name="Note 3 4 2 2 2" xfId="21603"/>
    <cellStyle name="Note 3 4 2 2 2 2" xfId="23889"/>
    <cellStyle name="Note 3 4 2 2 3" xfId="22001"/>
    <cellStyle name="Note 3 4 2 2 4" xfId="23888"/>
    <cellStyle name="Note 3 4 2 3" xfId="10973"/>
    <cellStyle name="Note 3 4 2 3 2" xfId="18794"/>
    <cellStyle name="Note 3 4 2 3 2 2" xfId="23891"/>
    <cellStyle name="Note 3 4 2 3 3" xfId="22002"/>
    <cellStyle name="Note 3 4 2 3 4" xfId="23890"/>
    <cellStyle name="Note 3 4 2 4" xfId="21604"/>
    <cellStyle name="Note 3 4 2 4 2" xfId="23892"/>
    <cellStyle name="Note 3 4 2 5" xfId="22000"/>
    <cellStyle name="Note 3 4 2 6" xfId="23887"/>
    <cellStyle name="Note 3 4 3" xfId="10974"/>
    <cellStyle name="Note 3 4 3 2" xfId="21602"/>
    <cellStyle name="Note 3 4 3 2 2" xfId="23894"/>
    <cellStyle name="Note 3 4 3 3" xfId="22003"/>
    <cellStyle name="Note 3 4 3 4" xfId="23893"/>
    <cellStyle name="Note 3 4 4" xfId="10975"/>
    <cellStyle name="Note 3 4 4 2" xfId="21601"/>
    <cellStyle name="Note 3 4 4 2 2" xfId="23896"/>
    <cellStyle name="Note 3 4 4 3" xfId="22004"/>
    <cellStyle name="Note 3 4 4 4" xfId="23895"/>
    <cellStyle name="Note 3 4 5" xfId="6072"/>
    <cellStyle name="Note 3 4 5 2" xfId="23897"/>
    <cellStyle name="Note 3 4 6" xfId="21747"/>
    <cellStyle name="Note 3 5" xfId="6073"/>
    <cellStyle name="Note 3 5 2" xfId="10976"/>
    <cellStyle name="Note 3 5 2 2" xfId="10977"/>
    <cellStyle name="Note 3 5 2 2 2" xfId="21600"/>
    <cellStyle name="Note 3 5 2 2 2 2" xfId="23901"/>
    <cellStyle name="Note 3 5 2 2 3" xfId="22006"/>
    <cellStyle name="Note 3 5 2 2 4" xfId="23900"/>
    <cellStyle name="Note 3 5 2 3" xfId="10978"/>
    <cellStyle name="Note 3 5 2 3 2" xfId="21599"/>
    <cellStyle name="Note 3 5 2 3 2 2" xfId="23903"/>
    <cellStyle name="Note 3 5 2 3 3" xfId="22007"/>
    <cellStyle name="Note 3 5 2 3 4" xfId="23902"/>
    <cellStyle name="Note 3 5 2 4" xfId="19517"/>
    <cellStyle name="Note 3 5 2 4 2" xfId="23904"/>
    <cellStyle name="Note 3 5 2 5" xfId="22005"/>
    <cellStyle name="Note 3 5 2 6" xfId="23899"/>
    <cellStyle name="Note 3 5 3" xfId="10979"/>
    <cellStyle name="Note 3 5 3 2" xfId="18793"/>
    <cellStyle name="Note 3 5 3 2 2" xfId="23906"/>
    <cellStyle name="Note 3 5 3 3" xfId="22008"/>
    <cellStyle name="Note 3 5 3 4" xfId="23905"/>
    <cellStyle name="Note 3 5 4" xfId="10980"/>
    <cellStyle name="Note 3 5 4 2" xfId="21598"/>
    <cellStyle name="Note 3 5 4 2 2" xfId="23908"/>
    <cellStyle name="Note 3 5 4 3" xfId="22009"/>
    <cellStyle name="Note 3 5 4 4" xfId="23907"/>
    <cellStyle name="Note 3 5 5" xfId="21748"/>
    <cellStyle name="Note 3 5 5 2" xfId="23909"/>
    <cellStyle name="Note 3 5 6" xfId="23898"/>
    <cellStyle name="Note 3 6" xfId="10981"/>
    <cellStyle name="Note 3 6 2" xfId="10982"/>
    <cellStyle name="Note 3 6 2 2" xfId="19516"/>
    <cellStyle name="Note 3 6 2 2 2" xfId="23912"/>
    <cellStyle name="Note 3 6 2 3" xfId="22011"/>
    <cellStyle name="Note 3 6 2 4" xfId="23911"/>
    <cellStyle name="Note 3 6 3" xfId="10983"/>
    <cellStyle name="Note 3 6 3 2" xfId="19515"/>
    <cellStyle name="Note 3 6 3 2 2" xfId="23914"/>
    <cellStyle name="Note 3 6 3 3" xfId="22012"/>
    <cellStyle name="Note 3 6 3 4" xfId="23913"/>
    <cellStyle name="Note 3 6 4" xfId="21597"/>
    <cellStyle name="Note 3 6 4 2" xfId="23915"/>
    <cellStyle name="Note 3 6 5" xfId="22010"/>
    <cellStyle name="Note 3 6 6" xfId="23910"/>
    <cellStyle name="Note 3 7" xfId="10984"/>
    <cellStyle name="Note 3 7 2" xfId="21596"/>
    <cellStyle name="Note 3 7 2 2" xfId="23917"/>
    <cellStyle name="Note 3 7 3" xfId="22013"/>
    <cellStyle name="Note 3 7 4" xfId="23916"/>
    <cellStyle name="Note 3 8" xfId="10985"/>
    <cellStyle name="Note 3 8 2" xfId="21595"/>
    <cellStyle name="Note 3 8 2 2" xfId="23919"/>
    <cellStyle name="Note 3 8 3" xfId="22014"/>
    <cellStyle name="Note 3 8 4" xfId="23918"/>
    <cellStyle name="Note 3 9" xfId="6069"/>
    <cellStyle name="Note 3 9 2" xfId="23920"/>
    <cellStyle name="Note 4" xfId="1526"/>
    <cellStyle name="Note 4 2" xfId="1527"/>
    <cellStyle name="Note 4 2 2" xfId="1528"/>
    <cellStyle name="Note 4 2 2 2" xfId="10987"/>
    <cellStyle name="Note 4 2 2 2 2" xfId="23924"/>
    <cellStyle name="Note 4 2 2 2 2 2" xfId="49024"/>
    <cellStyle name="Note 4 2 2 2 2 3" xfId="49025"/>
    <cellStyle name="Note 4 2 2 2 3" xfId="49026"/>
    <cellStyle name="Note 4 2 2 2 4" xfId="49027"/>
    <cellStyle name="Note 4 2 2 3" xfId="18791"/>
    <cellStyle name="Note 4 2 2 3 2" xfId="49028"/>
    <cellStyle name="Note 4 2 2 3 3" xfId="49029"/>
    <cellStyle name="Note 4 2 2 4" xfId="22016"/>
    <cellStyle name="Note 4 2 2 5" xfId="23923"/>
    <cellStyle name="Note 4 2 3" xfId="1529"/>
    <cellStyle name="Note 4 2 3 2" xfId="10988"/>
    <cellStyle name="Note 4 2 3 2 2" xfId="23926"/>
    <cellStyle name="Note 4 2 3 2 2 2" xfId="49030"/>
    <cellStyle name="Note 4 2 3 2 2 3" xfId="49031"/>
    <cellStyle name="Note 4 2 3 2 3" xfId="49032"/>
    <cellStyle name="Note 4 2 3 2 4" xfId="49033"/>
    <cellStyle name="Note 4 2 3 3" xfId="21594"/>
    <cellStyle name="Note 4 2 3 3 2" xfId="49034"/>
    <cellStyle name="Note 4 2 3 3 3" xfId="49035"/>
    <cellStyle name="Note 4 2 3 4" xfId="22017"/>
    <cellStyle name="Note 4 2 3 5" xfId="23925"/>
    <cellStyle name="Note 4 2 4" xfId="10986"/>
    <cellStyle name="Note 4 2 4 2" xfId="23927"/>
    <cellStyle name="Note 4 2 4 2 2" xfId="49036"/>
    <cellStyle name="Note 4 2 4 2 3" xfId="49037"/>
    <cellStyle name="Note 4 2 4 3" xfId="49038"/>
    <cellStyle name="Note 4 2 4 4" xfId="49039"/>
    <cellStyle name="Note 4 2 5" xfId="18792"/>
    <cellStyle name="Note 4 2 5 2" xfId="49040"/>
    <cellStyle name="Note 4 2 5 3" xfId="49041"/>
    <cellStyle name="Note 4 2 6" xfId="22015"/>
    <cellStyle name="Note 4 2 7" xfId="23922"/>
    <cellStyle name="Note 4 3" xfId="1530"/>
    <cellStyle name="Note 4 3 2" xfId="10989"/>
    <cellStyle name="Note 4 3 2 2" xfId="23929"/>
    <cellStyle name="Note 4 3 2 2 2" xfId="49042"/>
    <cellStyle name="Note 4 3 2 2 3" xfId="49043"/>
    <cellStyle name="Note 4 3 2 3" xfId="49044"/>
    <cellStyle name="Note 4 3 2 4" xfId="49045"/>
    <cellStyle name="Note 4 3 3" xfId="21593"/>
    <cellStyle name="Note 4 3 3 2" xfId="49046"/>
    <cellStyle name="Note 4 3 3 3" xfId="49047"/>
    <cellStyle name="Note 4 3 4" xfId="22018"/>
    <cellStyle name="Note 4 3 5" xfId="23928"/>
    <cellStyle name="Note 4 4" xfId="1531"/>
    <cellStyle name="Note 4 4 2" xfId="10990"/>
    <cellStyle name="Note 4 4 2 2" xfId="23931"/>
    <cellStyle name="Note 4 4 2 2 2" xfId="49048"/>
    <cellStyle name="Note 4 4 2 2 3" xfId="49049"/>
    <cellStyle name="Note 4 4 2 3" xfId="49050"/>
    <cellStyle name="Note 4 4 2 4" xfId="49051"/>
    <cellStyle name="Note 4 4 3" xfId="21592"/>
    <cellStyle name="Note 4 4 3 2" xfId="49052"/>
    <cellStyle name="Note 4 4 3 3" xfId="49053"/>
    <cellStyle name="Note 4 4 4" xfId="22019"/>
    <cellStyle name="Note 4 4 5" xfId="23930"/>
    <cellStyle name="Note 4 5" xfId="6074"/>
    <cellStyle name="Note 4 5 2" xfId="23932"/>
    <cellStyle name="Note 4 5 2 2" xfId="49054"/>
    <cellStyle name="Note 4 5 2 3" xfId="49055"/>
    <cellStyle name="Note 4 5 3" xfId="49056"/>
    <cellStyle name="Note 4 5 4" xfId="49057"/>
    <cellStyle name="Note 4 6" xfId="19541"/>
    <cellStyle name="Note 4 6 2" xfId="49058"/>
    <cellStyle name="Note 4 6 3" xfId="49059"/>
    <cellStyle name="Note 4 7" xfId="23921"/>
    <cellStyle name="Note 4 8" xfId="49060"/>
    <cellStyle name="Note 5" xfId="1532"/>
    <cellStyle name="Note 5 2" xfId="10991"/>
    <cellStyle name="Note 5 2 2" xfId="10992"/>
    <cellStyle name="Note 5 2 2 2" xfId="21590"/>
    <cellStyle name="Note 5 2 2 2 2" xfId="23936"/>
    <cellStyle name="Note 5 2 2 3" xfId="22021"/>
    <cellStyle name="Note 5 2 2 4" xfId="23935"/>
    <cellStyle name="Note 5 2 3" xfId="10993"/>
    <cellStyle name="Note 5 2 3 2" xfId="21589"/>
    <cellStyle name="Note 5 2 3 2 2" xfId="23938"/>
    <cellStyle name="Note 5 2 3 3" xfId="22022"/>
    <cellStyle name="Note 5 2 3 4" xfId="23937"/>
    <cellStyle name="Note 5 2 4" xfId="21591"/>
    <cellStyle name="Note 5 2 4 2" xfId="23939"/>
    <cellStyle name="Note 5 2 5" xfId="22020"/>
    <cellStyle name="Note 5 2 6" xfId="23934"/>
    <cellStyle name="Note 5 3" xfId="10994"/>
    <cellStyle name="Note 5 3 2" xfId="18652"/>
    <cellStyle name="Note 5 3 2 2" xfId="23941"/>
    <cellStyle name="Note 5 3 3" xfId="22023"/>
    <cellStyle name="Note 5 3 4" xfId="23940"/>
    <cellStyle name="Note 5 4" xfId="10995"/>
    <cellStyle name="Note 5 4 2" xfId="21588"/>
    <cellStyle name="Note 5 4 2 2" xfId="23943"/>
    <cellStyle name="Note 5 4 3" xfId="22024"/>
    <cellStyle name="Note 5 4 4" xfId="23942"/>
    <cellStyle name="Note 5 5" xfId="6075"/>
    <cellStyle name="Note 5 5 2" xfId="23944"/>
    <cellStyle name="Note 5 6" xfId="21749"/>
    <cellStyle name="Note 5 7" xfId="23933"/>
    <cellStyle name="Note 6" xfId="1533"/>
    <cellStyle name="Note 6 2" xfId="10996"/>
    <cellStyle name="Note 6 2 2" xfId="10997"/>
    <cellStyle name="Note 6 2 2 2" xfId="18790"/>
    <cellStyle name="Note 6 2 2 2 2" xfId="23948"/>
    <cellStyle name="Note 6 2 2 3" xfId="22026"/>
    <cellStyle name="Note 6 2 2 4" xfId="23947"/>
    <cellStyle name="Note 6 2 3" xfId="10998"/>
    <cellStyle name="Note 6 2 3 2" xfId="21586"/>
    <cellStyle name="Note 6 2 3 2 2" xfId="23950"/>
    <cellStyle name="Note 6 2 3 3" xfId="22027"/>
    <cellStyle name="Note 6 2 3 4" xfId="23949"/>
    <cellStyle name="Note 6 2 4" xfId="21587"/>
    <cellStyle name="Note 6 2 4 2" xfId="23951"/>
    <cellStyle name="Note 6 2 5" xfId="22025"/>
    <cellStyle name="Note 6 2 6" xfId="23946"/>
    <cellStyle name="Note 6 3" xfId="10999"/>
    <cellStyle name="Note 6 3 2" xfId="21585"/>
    <cellStyle name="Note 6 3 2 2" xfId="23953"/>
    <cellStyle name="Note 6 3 3" xfId="22028"/>
    <cellStyle name="Note 6 3 4" xfId="23952"/>
    <cellStyle name="Note 6 4" xfId="11000"/>
    <cellStyle name="Note 6 4 2" xfId="19514"/>
    <cellStyle name="Note 6 4 2 2" xfId="23955"/>
    <cellStyle name="Note 6 4 3" xfId="22029"/>
    <cellStyle name="Note 6 4 4" xfId="23954"/>
    <cellStyle name="Note 6 5" xfId="6076"/>
    <cellStyle name="Note 6 5 2" xfId="23956"/>
    <cellStyle name="Note 6 6" xfId="18832"/>
    <cellStyle name="Note 6 7" xfId="23945"/>
    <cellStyle name="Note 7" xfId="6077"/>
    <cellStyle name="Note 7 2" xfId="11001"/>
    <cellStyle name="Note 7 2 2" xfId="11002"/>
    <cellStyle name="Note 7 2 2 2" xfId="21583"/>
    <cellStyle name="Note 7 2 2 2 2" xfId="23960"/>
    <cellStyle name="Note 7 2 2 3" xfId="22031"/>
    <cellStyle name="Note 7 2 2 4" xfId="23959"/>
    <cellStyle name="Note 7 2 3" xfId="11003"/>
    <cellStyle name="Note 7 2 3 2" xfId="18789"/>
    <cellStyle name="Note 7 2 3 2 2" xfId="23962"/>
    <cellStyle name="Note 7 2 3 3" xfId="22032"/>
    <cellStyle name="Note 7 2 3 4" xfId="23961"/>
    <cellStyle name="Note 7 2 4" xfId="21584"/>
    <cellStyle name="Note 7 2 4 2" xfId="23963"/>
    <cellStyle name="Note 7 2 5" xfId="22030"/>
    <cellStyle name="Note 7 2 6" xfId="23958"/>
    <cellStyle name="Note 7 3" xfId="11004"/>
    <cellStyle name="Note 7 3 2" xfId="21582"/>
    <cellStyle name="Note 7 3 2 2" xfId="23965"/>
    <cellStyle name="Note 7 3 3" xfId="22033"/>
    <cellStyle name="Note 7 3 4" xfId="23964"/>
    <cellStyle name="Note 7 4" xfId="11005"/>
    <cellStyle name="Note 7 4 2" xfId="21581"/>
    <cellStyle name="Note 7 4 2 2" xfId="23967"/>
    <cellStyle name="Note 7 4 3" xfId="22034"/>
    <cellStyle name="Note 7 4 4" xfId="23966"/>
    <cellStyle name="Note 7 5" xfId="21750"/>
    <cellStyle name="Note 7 5 2" xfId="23968"/>
    <cellStyle name="Note 7 6" xfId="23957"/>
    <cellStyle name="Note 8" xfId="11006"/>
    <cellStyle name="Note 8 2" xfId="11007"/>
    <cellStyle name="Note 8 2 2" xfId="21580"/>
    <cellStyle name="Note 8 2 2 2" xfId="23971"/>
    <cellStyle name="Note 8 2 3" xfId="22036"/>
    <cellStyle name="Note 8 2 4" xfId="23970"/>
    <cellStyle name="Note 8 3" xfId="11008"/>
    <cellStyle name="Note 8 3 2" xfId="21579"/>
    <cellStyle name="Note 8 3 2 2" xfId="23973"/>
    <cellStyle name="Note 8 3 3" xfId="22037"/>
    <cellStyle name="Note 8 3 4" xfId="23972"/>
    <cellStyle name="Note 8 4" xfId="17826"/>
    <cellStyle name="Note 8 4 2" xfId="23974"/>
    <cellStyle name="Note 8 5" xfId="22035"/>
    <cellStyle name="Note 8 6" xfId="23969"/>
    <cellStyle name="Note 9" xfId="11009"/>
    <cellStyle name="Note 9 2" xfId="18788"/>
    <cellStyle name="Note 9 2 2" xfId="23976"/>
    <cellStyle name="Note 9 3" xfId="22038"/>
    <cellStyle name="Note 9 4" xfId="23975"/>
    <cellStyle name="Output" xfId="1534"/>
    <cellStyle name="Output 10" xfId="6078"/>
    <cellStyle name="Output 10 2" xfId="23978"/>
    <cellStyle name="Output 11" xfId="23977"/>
    <cellStyle name="Output 2" xfId="1535"/>
    <cellStyle name="Output 2 2" xfId="1536"/>
    <cellStyle name="Output 2 2 2" xfId="11010"/>
    <cellStyle name="Output 2 2 2 2" xfId="11011"/>
    <cellStyle name="Output 2 2 2 2 2" xfId="21577"/>
    <cellStyle name="Output 2 2 2 2 2 2" xfId="23981"/>
    <cellStyle name="Output 2 2 2 2 3" xfId="23980"/>
    <cellStyle name="Output 2 2 2 3" xfId="11012"/>
    <cellStyle name="Output 2 2 2 3 2" xfId="18651"/>
    <cellStyle name="Output 2 2 2 3 2 2" xfId="23983"/>
    <cellStyle name="Output 2 2 2 3 3" xfId="23982"/>
    <cellStyle name="Output 2 2 2 4" xfId="21578"/>
    <cellStyle name="Output 2 2 2 4 2" xfId="23984"/>
    <cellStyle name="Output 2 2 2 5" xfId="23979"/>
    <cellStyle name="Output 2 2 3" xfId="11013"/>
    <cellStyle name="Output 2 2 3 2" xfId="18650"/>
    <cellStyle name="Output 2 2 3 2 2" xfId="23986"/>
    <cellStyle name="Output 2 2 3 3" xfId="23985"/>
    <cellStyle name="Output 2 2 4" xfId="6080"/>
    <cellStyle name="Output 2 2 4 2" xfId="23987"/>
    <cellStyle name="Output 2 2 5" xfId="49061"/>
    <cellStyle name="Output 2 3" xfId="1537"/>
    <cellStyle name="Output 2 3 2" xfId="11014"/>
    <cellStyle name="Output 2 3 2 2" xfId="11015"/>
    <cellStyle name="Output 2 3 2 2 2" xfId="21575"/>
    <cellStyle name="Output 2 3 2 2 2 2" xfId="23990"/>
    <cellStyle name="Output 2 3 2 2 3" xfId="23989"/>
    <cellStyle name="Output 2 3 2 3" xfId="11016"/>
    <cellStyle name="Output 2 3 2 3 2" xfId="18787"/>
    <cellStyle name="Output 2 3 2 3 2 2" xfId="23992"/>
    <cellStyle name="Output 2 3 2 3 3" xfId="23991"/>
    <cellStyle name="Output 2 3 2 4" xfId="21576"/>
    <cellStyle name="Output 2 3 2 4 2" xfId="23993"/>
    <cellStyle name="Output 2 3 2 5" xfId="23988"/>
    <cellStyle name="Output 2 3 3" xfId="11017"/>
    <cellStyle name="Output 2 3 3 2" xfId="18786"/>
    <cellStyle name="Output 2 3 3 2 2" xfId="23995"/>
    <cellStyle name="Output 2 3 3 3" xfId="23994"/>
    <cellStyle name="Output 2 3 4" xfId="6081"/>
    <cellStyle name="Output 2 3 4 2" xfId="23996"/>
    <cellStyle name="Output 2 3 5" xfId="49062"/>
    <cellStyle name="Output 2 4" xfId="6082"/>
    <cellStyle name="Output 2 4 2" xfId="11018"/>
    <cellStyle name="Output 2 4 2 2" xfId="11019"/>
    <cellStyle name="Output 2 4 2 2 2" xfId="21573"/>
    <cellStyle name="Output 2 4 2 2 2 2" xfId="24000"/>
    <cellStyle name="Output 2 4 2 2 3" xfId="23999"/>
    <cellStyle name="Output 2 4 2 3" xfId="11020"/>
    <cellStyle name="Output 2 4 2 3 2" xfId="21572"/>
    <cellStyle name="Output 2 4 2 3 2 2" xfId="24002"/>
    <cellStyle name="Output 2 4 2 3 3" xfId="24001"/>
    <cellStyle name="Output 2 4 2 4" xfId="21574"/>
    <cellStyle name="Output 2 4 2 4 2" xfId="24003"/>
    <cellStyle name="Output 2 4 2 5" xfId="23998"/>
    <cellStyle name="Output 2 4 3" xfId="11021"/>
    <cellStyle name="Output 2 4 3 2" xfId="21571"/>
    <cellStyle name="Output 2 4 3 2 2" xfId="24005"/>
    <cellStyle name="Output 2 4 3 3" xfId="24004"/>
    <cellStyle name="Output 2 4 4" xfId="24006"/>
    <cellStyle name="Output 2 4 5" xfId="23997"/>
    <cellStyle name="Output 2 5" xfId="6083"/>
    <cellStyle name="Output 2 5 2" xfId="11022"/>
    <cellStyle name="Output 2 5 2 2" xfId="11023"/>
    <cellStyle name="Output 2 5 2 2 2" xfId="21569"/>
    <cellStyle name="Output 2 5 2 2 2 2" xfId="24010"/>
    <cellStyle name="Output 2 5 2 2 3" xfId="24009"/>
    <cellStyle name="Output 2 5 2 3" xfId="11024"/>
    <cellStyle name="Output 2 5 2 3 2" xfId="19513"/>
    <cellStyle name="Output 2 5 2 3 2 2" xfId="24012"/>
    <cellStyle name="Output 2 5 2 3 3" xfId="24011"/>
    <cellStyle name="Output 2 5 2 4" xfId="21570"/>
    <cellStyle name="Output 2 5 2 4 2" xfId="24013"/>
    <cellStyle name="Output 2 5 2 5" xfId="24008"/>
    <cellStyle name="Output 2 5 3" xfId="11025"/>
    <cellStyle name="Output 2 5 3 2" xfId="21568"/>
    <cellStyle name="Output 2 5 3 2 2" xfId="24015"/>
    <cellStyle name="Output 2 5 3 3" xfId="24014"/>
    <cellStyle name="Output 2 5 4" xfId="24016"/>
    <cellStyle name="Output 2 5 5" xfId="24007"/>
    <cellStyle name="Output 2 6" xfId="11026"/>
    <cellStyle name="Output 2 6 2" xfId="11027"/>
    <cellStyle name="Output 2 6 2 2" xfId="18785"/>
    <cellStyle name="Output 2 6 2 2 2" xfId="24019"/>
    <cellStyle name="Output 2 6 2 3" xfId="24018"/>
    <cellStyle name="Output 2 6 3" xfId="11028"/>
    <cellStyle name="Output 2 6 3 2" xfId="21566"/>
    <cellStyle name="Output 2 6 3 2 2" xfId="24021"/>
    <cellStyle name="Output 2 6 3 3" xfId="24020"/>
    <cellStyle name="Output 2 6 4" xfId="21567"/>
    <cellStyle name="Output 2 6 4 2" xfId="24022"/>
    <cellStyle name="Output 2 6 5" xfId="24017"/>
    <cellStyle name="Output 2 7" xfId="11029"/>
    <cellStyle name="Output 2 7 2" xfId="21565"/>
    <cellStyle name="Output 2 7 2 2" xfId="24024"/>
    <cellStyle name="Output 2 7 3" xfId="24023"/>
    <cellStyle name="Output 2 8" xfId="6079"/>
    <cellStyle name="Output 2 8 2" xfId="24025"/>
    <cellStyle name="Output 2 9" xfId="49063"/>
    <cellStyle name="Output 3" xfId="1538"/>
    <cellStyle name="Output 3 2" xfId="1539"/>
    <cellStyle name="Output 3 2 2" xfId="11030"/>
    <cellStyle name="Output 3 2 2 2" xfId="11031"/>
    <cellStyle name="Output 3 2 2 2 2" xfId="21564"/>
    <cellStyle name="Output 3 2 2 2 2 2" xfId="24028"/>
    <cellStyle name="Output 3 2 2 2 3" xfId="24027"/>
    <cellStyle name="Output 3 2 2 3" xfId="11032"/>
    <cellStyle name="Output 3 2 2 3 2" xfId="21563"/>
    <cellStyle name="Output 3 2 2 3 2 2" xfId="24030"/>
    <cellStyle name="Output 3 2 2 3 3" xfId="24029"/>
    <cellStyle name="Output 3 2 2 4" xfId="19512"/>
    <cellStyle name="Output 3 2 2 4 2" xfId="24031"/>
    <cellStyle name="Output 3 2 2 5" xfId="24026"/>
    <cellStyle name="Output 3 2 3" xfId="11033"/>
    <cellStyle name="Output 3 2 3 2" xfId="18784"/>
    <cellStyle name="Output 3 2 3 2 2" xfId="24033"/>
    <cellStyle name="Output 3 2 3 3" xfId="24032"/>
    <cellStyle name="Output 3 2 4" xfId="6085"/>
    <cellStyle name="Output 3 2 4 2" xfId="24034"/>
    <cellStyle name="Output 3 2 5" xfId="49064"/>
    <cellStyle name="Output 3 3" xfId="1540"/>
    <cellStyle name="Output 3 3 2" xfId="11034"/>
    <cellStyle name="Output 3 3 2 2" xfId="11035"/>
    <cellStyle name="Output 3 3 2 2 2" xfId="21561"/>
    <cellStyle name="Output 3 3 2 2 2 2" xfId="24037"/>
    <cellStyle name="Output 3 3 2 2 3" xfId="24036"/>
    <cellStyle name="Output 3 3 2 3" xfId="11036"/>
    <cellStyle name="Output 3 3 2 3 2" xfId="19511"/>
    <cellStyle name="Output 3 3 2 3 2 2" xfId="24039"/>
    <cellStyle name="Output 3 3 2 3 3" xfId="24038"/>
    <cellStyle name="Output 3 3 2 4" xfId="21562"/>
    <cellStyle name="Output 3 3 2 4 2" xfId="24040"/>
    <cellStyle name="Output 3 3 2 5" xfId="24035"/>
    <cellStyle name="Output 3 3 3" xfId="11037"/>
    <cellStyle name="Output 3 3 3 2" xfId="21560"/>
    <cellStyle name="Output 3 3 3 2 2" xfId="24042"/>
    <cellStyle name="Output 3 3 3 3" xfId="24041"/>
    <cellStyle name="Output 3 3 4" xfId="6086"/>
    <cellStyle name="Output 3 3 4 2" xfId="24043"/>
    <cellStyle name="Output 3 3 5" xfId="49065"/>
    <cellStyle name="Output 3 4" xfId="6087"/>
    <cellStyle name="Output 3 4 2" xfId="11038"/>
    <cellStyle name="Output 3 4 2 2" xfId="11039"/>
    <cellStyle name="Output 3 4 2 2 2" xfId="18783"/>
    <cellStyle name="Output 3 4 2 2 2 2" xfId="24047"/>
    <cellStyle name="Output 3 4 2 2 3" xfId="24046"/>
    <cellStyle name="Output 3 4 2 3" xfId="11040"/>
    <cellStyle name="Output 3 4 2 3 2" xfId="21558"/>
    <cellStyle name="Output 3 4 2 3 2 2" xfId="24049"/>
    <cellStyle name="Output 3 4 2 3 3" xfId="24048"/>
    <cellStyle name="Output 3 4 2 4" xfId="21559"/>
    <cellStyle name="Output 3 4 2 4 2" xfId="24050"/>
    <cellStyle name="Output 3 4 2 5" xfId="24045"/>
    <cellStyle name="Output 3 4 3" xfId="11041"/>
    <cellStyle name="Output 3 4 3 2" xfId="21557"/>
    <cellStyle name="Output 3 4 3 2 2" xfId="24052"/>
    <cellStyle name="Output 3 4 3 3" xfId="24051"/>
    <cellStyle name="Output 3 4 4" xfId="24053"/>
    <cellStyle name="Output 3 4 5" xfId="24044"/>
    <cellStyle name="Output 3 5" xfId="6088"/>
    <cellStyle name="Output 3 5 2" xfId="11042"/>
    <cellStyle name="Output 3 5 2 2" xfId="11043"/>
    <cellStyle name="Output 3 5 2 2 2" xfId="17825"/>
    <cellStyle name="Output 3 5 2 2 2 2" xfId="24057"/>
    <cellStyle name="Output 3 5 2 2 3" xfId="24056"/>
    <cellStyle name="Output 3 5 2 3" xfId="11044"/>
    <cellStyle name="Output 3 5 2 3 2" xfId="21556"/>
    <cellStyle name="Output 3 5 2 3 2 2" xfId="24059"/>
    <cellStyle name="Output 3 5 2 3 3" xfId="24058"/>
    <cellStyle name="Output 3 5 2 4" xfId="19510"/>
    <cellStyle name="Output 3 5 2 4 2" xfId="24060"/>
    <cellStyle name="Output 3 5 2 5" xfId="24055"/>
    <cellStyle name="Output 3 5 3" xfId="11045"/>
    <cellStyle name="Output 3 5 3 2" xfId="21555"/>
    <cellStyle name="Output 3 5 3 2 2" xfId="24062"/>
    <cellStyle name="Output 3 5 3 3" xfId="24061"/>
    <cellStyle name="Output 3 5 4" xfId="24063"/>
    <cellStyle name="Output 3 5 5" xfId="24054"/>
    <cellStyle name="Output 3 6" xfId="11046"/>
    <cellStyle name="Output 3 6 2" xfId="11047"/>
    <cellStyle name="Output 3 6 2 2" xfId="18781"/>
    <cellStyle name="Output 3 6 2 2 2" xfId="24066"/>
    <cellStyle name="Output 3 6 2 3" xfId="24065"/>
    <cellStyle name="Output 3 6 3" xfId="11048"/>
    <cellStyle name="Output 3 6 3 2" xfId="21554"/>
    <cellStyle name="Output 3 6 3 2 2" xfId="24068"/>
    <cellStyle name="Output 3 6 3 3" xfId="24067"/>
    <cellStyle name="Output 3 6 4" xfId="18782"/>
    <cellStyle name="Output 3 6 4 2" xfId="24069"/>
    <cellStyle name="Output 3 6 5" xfId="24064"/>
    <cellStyle name="Output 3 7" xfId="11049"/>
    <cellStyle name="Output 3 7 2" xfId="21553"/>
    <cellStyle name="Output 3 7 2 2" xfId="24071"/>
    <cellStyle name="Output 3 7 3" xfId="24070"/>
    <cellStyle name="Output 3 8" xfId="6084"/>
    <cellStyle name="Output 3 8 2" xfId="24072"/>
    <cellStyle name="Output 3 9" xfId="49066"/>
    <cellStyle name="Output 4" xfId="1541"/>
    <cellStyle name="Output 4 2" xfId="11050"/>
    <cellStyle name="Output 4 2 2" xfId="11051"/>
    <cellStyle name="Output 4 2 2 2" xfId="21551"/>
    <cellStyle name="Output 4 2 2 2 2" xfId="24076"/>
    <cellStyle name="Output 4 2 2 3" xfId="24075"/>
    <cellStyle name="Output 4 2 3" xfId="11052"/>
    <cellStyle name="Output 4 2 3 2" xfId="21550"/>
    <cellStyle name="Output 4 2 3 2 2" xfId="24078"/>
    <cellStyle name="Output 4 2 3 3" xfId="24077"/>
    <cellStyle name="Output 4 2 4" xfId="21552"/>
    <cellStyle name="Output 4 2 4 2" xfId="24079"/>
    <cellStyle name="Output 4 2 5" xfId="24074"/>
    <cellStyle name="Output 4 3" xfId="11053"/>
    <cellStyle name="Output 4 3 2" xfId="21549"/>
    <cellStyle name="Output 4 3 2 2" xfId="24081"/>
    <cellStyle name="Output 4 3 3" xfId="24080"/>
    <cellStyle name="Output 4 4" xfId="6089"/>
    <cellStyle name="Output 4 4 2" xfId="24082"/>
    <cellStyle name="Output 4 5" xfId="24073"/>
    <cellStyle name="Output 5" xfId="1542"/>
    <cellStyle name="Output 5 2" xfId="11054"/>
    <cellStyle name="Output 5 2 2" xfId="11055"/>
    <cellStyle name="Output 5 2 2 2" xfId="21548"/>
    <cellStyle name="Output 5 2 2 2 2" xfId="24086"/>
    <cellStyle name="Output 5 2 2 3" xfId="24085"/>
    <cellStyle name="Output 5 2 3" xfId="11056"/>
    <cellStyle name="Output 5 2 3 2" xfId="21547"/>
    <cellStyle name="Output 5 2 3 2 2" xfId="24088"/>
    <cellStyle name="Output 5 2 3 3" xfId="24087"/>
    <cellStyle name="Output 5 2 4" xfId="18649"/>
    <cellStyle name="Output 5 2 4 2" xfId="24089"/>
    <cellStyle name="Output 5 2 5" xfId="24084"/>
    <cellStyle name="Output 5 3" xfId="11057"/>
    <cellStyle name="Output 5 3 2" xfId="18780"/>
    <cellStyle name="Output 5 3 2 2" xfId="24091"/>
    <cellStyle name="Output 5 3 3" xfId="24090"/>
    <cellStyle name="Output 5 4" xfId="6090"/>
    <cellStyle name="Output 5 4 2" xfId="24092"/>
    <cellStyle name="Output 5 5" xfId="24083"/>
    <cellStyle name="Output 6" xfId="6091"/>
    <cellStyle name="Output 6 2" xfId="11058"/>
    <cellStyle name="Output 6 2 2" xfId="11059"/>
    <cellStyle name="Output 6 2 2 2" xfId="21545"/>
    <cellStyle name="Output 6 2 2 2 2" xfId="24096"/>
    <cellStyle name="Output 6 2 2 3" xfId="24095"/>
    <cellStyle name="Output 6 2 3" xfId="11060"/>
    <cellStyle name="Output 6 2 3 2" xfId="19509"/>
    <cellStyle name="Output 6 2 3 2 2" xfId="24098"/>
    <cellStyle name="Output 6 2 3 3" xfId="24097"/>
    <cellStyle name="Output 6 2 4" xfId="21546"/>
    <cellStyle name="Output 6 2 4 2" xfId="24099"/>
    <cellStyle name="Output 6 2 5" xfId="24094"/>
    <cellStyle name="Output 6 3" xfId="11061"/>
    <cellStyle name="Output 6 3 2" xfId="21544"/>
    <cellStyle name="Output 6 3 2 2" xfId="24101"/>
    <cellStyle name="Output 6 3 3" xfId="24100"/>
    <cellStyle name="Output 6 4" xfId="24102"/>
    <cellStyle name="Output 6 5" xfId="24093"/>
    <cellStyle name="Output 7" xfId="6092"/>
    <cellStyle name="Output 7 2" xfId="11062"/>
    <cellStyle name="Output 7 2 2" xfId="11063"/>
    <cellStyle name="Output 7 2 2 2" xfId="18779"/>
    <cellStyle name="Output 7 2 2 2 2" xfId="24106"/>
    <cellStyle name="Output 7 2 2 3" xfId="24105"/>
    <cellStyle name="Output 7 2 3" xfId="11064"/>
    <cellStyle name="Output 7 2 3 2" xfId="21542"/>
    <cellStyle name="Output 7 2 3 2 2" xfId="24108"/>
    <cellStyle name="Output 7 2 3 3" xfId="24107"/>
    <cellStyle name="Output 7 2 4" xfId="21543"/>
    <cellStyle name="Output 7 2 4 2" xfId="24109"/>
    <cellStyle name="Output 7 2 5" xfId="24104"/>
    <cellStyle name="Output 7 3" xfId="11065"/>
    <cellStyle name="Output 7 3 2" xfId="21541"/>
    <cellStyle name="Output 7 3 2 2" xfId="24111"/>
    <cellStyle name="Output 7 3 3" xfId="24110"/>
    <cellStyle name="Output 7 4" xfId="24112"/>
    <cellStyle name="Output 7 5" xfId="24103"/>
    <cellStyle name="Output 8" xfId="11066"/>
    <cellStyle name="Output 8 2" xfId="11067"/>
    <cellStyle name="Output 8 2 2" xfId="21540"/>
    <cellStyle name="Output 8 2 2 2" xfId="24115"/>
    <cellStyle name="Output 8 2 3" xfId="24114"/>
    <cellStyle name="Output 8 3" xfId="11068"/>
    <cellStyle name="Output 8 3 2" xfId="21539"/>
    <cellStyle name="Output 8 3 2 2" xfId="24117"/>
    <cellStyle name="Output 8 3 3" xfId="24116"/>
    <cellStyle name="Output 8 4" xfId="19508"/>
    <cellStyle name="Output 8 4 2" xfId="24118"/>
    <cellStyle name="Output 8 5" xfId="24113"/>
    <cellStyle name="Output 9" xfId="11069"/>
    <cellStyle name="Output 9 2" xfId="18778"/>
    <cellStyle name="Output 9 2 2" xfId="24120"/>
    <cellStyle name="Output 9 3" xfId="24119"/>
    <cellStyle name="OUTPUT AMOUNTS" xfId="6093"/>
    <cellStyle name="OUTPUT COLUMN HEADINGS" xfId="6094"/>
    <cellStyle name="OUTPUT LINE ITEMS" xfId="6095"/>
    <cellStyle name="OUTPUT REPORT HEADING" xfId="6096"/>
    <cellStyle name="OUTPUT REPORT TITLE" xfId="6097"/>
    <cellStyle name="Percent [2]" xfId="49067"/>
    <cellStyle name="price" xfId="6098"/>
    <cellStyle name="PSChar" xfId="6099"/>
    <cellStyle name="ReportTitlePrompt" xfId="6100"/>
    <cellStyle name="ReportTitlePrompt 2" xfId="6101"/>
    <cellStyle name="ReportTitleValue" xfId="6102"/>
    <cellStyle name="ReportTitleValue 2" xfId="6103"/>
    <cellStyle name="revised" xfId="6104"/>
    <cellStyle name="RowAcctAbovePrompt" xfId="6105"/>
    <cellStyle name="RowAcctAbovePrompt 2" xfId="6106"/>
    <cellStyle name="RowAcctSOBAbovePrompt" xfId="6107"/>
    <cellStyle name="RowAcctSOBAbovePrompt 2" xfId="6108"/>
    <cellStyle name="RowAcctSOBValue" xfId="6109"/>
    <cellStyle name="RowAcctSOBValue 2" xfId="6110"/>
    <cellStyle name="RowAcctValue" xfId="6111"/>
    <cellStyle name="RowAcctValue 2" xfId="6112"/>
    <cellStyle name="RowAttrAbovePrompt" xfId="6113"/>
    <cellStyle name="RowAttrAbovePrompt 2" xfId="6114"/>
    <cellStyle name="RowAttrValue" xfId="6115"/>
    <cellStyle name="RowAttrValue 2" xfId="6116"/>
    <cellStyle name="RowColSetAbovePrompt" xfId="6117"/>
    <cellStyle name="RowColSetAbovePrompt 2" xfId="6118"/>
    <cellStyle name="RowColSetLeftPrompt" xfId="6119"/>
    <cellStyle name="RowColSetLeftPrompt 2" xfId="6120"/>
    <cellStyle name="RowColSetValue" xfId="6121"/>
    <cellStyle name="RowColSetValue 2" xfId="6122"/>
    <cellStyle name="RowLeftPrompt" xfId="6123"/>
    <cellStyle name="RowLeftPrompt 2" xfId="6124"/>
    <cellStyle name="SampleUsingFormatMask" xfId="6125"/>
    <cellStyle name="SampleUsingFormatMask 2" xfId="6126"/>
    <cellStyle name="SampleWithNoFormatMask" xfId="6127"/>
    <cellStyle name="SampleWithNoFormatMask 2" xfId="6128"/>
    <cellStyle name="section" xfId="6129"/>
    <cellStyle name="Style 1" xfId="6130"/>
    <cellStyle name="Title" xfId="1543"/>
    <cellStyle name="Title 2" xfId="1544"/>
    <cellStyle name="Title 2 2" xfId="49068"/>
    <cellStyle name="Title 2 3" xfId="49069"/>
    <cellStyle name="Title 3" xfId="1545"/>
    <cellStyle name="Title 3 2" xfId="49070"/>
    <cellStyle name="Title 3 3" xfId="49071"/>
    <cellStyle name="Title 4" xfId="6131"/>
    <cellStyle name="Title 5" xfId="49072"/>
    <cellStyle name="Total" xfId="1546"/>
    <cellStyle name="Total 10" xfId="6134"/>
    <cellStyle name="Total 10 2" xfId="24122"/>
    <cellStyle name="Total 11" xfId="24121"/>
    <cellStyle name="Total 2" xfId="1547"/>
    <cellStyle name="Total 2 2" xfId="1548"/>
    <cellStyle name="Total 2 2 2" xfId="11070"/>
    <cellStyle name="Total 2 2 2 2" xfId="11071"/>
    <cellStyle name="Total 2 2 2 2 2" xfId="21537"/>
    <cellStyle name="Total 2 2 2 2 2 2" xfId="24125"/>
    <cellStyle name="Total 2 2 2 2 3" xfId="24124"/>
    <cellStyle name="Total 2 2 2 3" xfId="11072"/>
    <cellStyle name="Total 2 2 2 3 2" xfId="19507"/>
    <cellStyle name="Total 2 2 2 3 2 2" xfId="24127"/>
    <cellStyle name="Total 2 2 2 3 3" xfId="24126"/>
    <cellStyle name="Total 2 2 2 4" xfId="21538"/>
    <cellStyle name="Total 2 2 2 4 2" xfId="24128"/>
    <cellStyle name="Total 2 2 2 5" xfId="24123"/>
    <cellStyle name="Total 2 2 3" xfId="11073"/>
    <cellStyle name="Total 2 2 3 2" xfId="21536"/>
    <cellStyle name="Total 2 2 3 2 2" xfId="24130"/>
    <cellStyle name="Total 2 2 3 3" xfId="24129"/>
    <cellStyle name="Total 2 2 4" xfId="6136"/>
    <cellStyle name="Total 2 2 4 2" xfId="24131"/>
    <cellStyle name="Total 2 2 5" xfId="49073"/>
    <cellStyle name="Total 2 3" xfId="1549"/>
    <cellStyle name="Total 2 3 2" xfId="11074"/>
    <cellStyle name="Total 2 3 2 2" xfId="11075"/>
    <cellStyle name="Total 2 3 2 2 2" xfId="18777"/>
    <cellStyle name="Total 2 3 2 2 2 2" xfId="24134"/>
    <cellStyle name="Total 2 3 2 2 3" xfId="24133"/>
    <cellStyle name="Total 2 3 2 3" xfId="11076"/>
    <cellStyle name="Total 2 3 2 3 2" xfId="18776"/>
    <cellStyle name="Total 2 3 2 3 2 2" xfId="24136"/>
    <cellStyle name="Total 2 3 2 3 3" xfId="24135"/>
    <cellStyle name="Total 2 3 2 4" xfId="21535"/>
    <cellStyle name="Total 2 3 2 4 2" xfId="24137"/>
    <cellStyle name="Total 2 3 2 5" xfId="24132"/>
    <cellStyle name="Total 2 3 3" xfId="11077"/>
    <cellStyle name="Total 2 3 3 2" xfId="21534"/>
    <cellStyle name="Total 2 3 3 2 2" xfId="24139"/>
    <cellStyle name="Total 2 3 3 3" xfId="24138"/>
    <cellStyle name="Total 2 3 4" xfId="6137"/>
    <cellStyle name="Total 2 3 4 2" xfId="24140"/>
    <cellStyle name="Total 2 3 5" xfId="49074"/>
    <cellStyle name="Total 2 4" xfId="6138"/>
    <cellStyle name="Total 2 4 2" xfId="11078"/>
    <cellStyle name="Total 2 4 2 2" xfId="11079"/>
    <cellStyle name="Total 2 4 2 2 2" xfId="21532"/>
    <cellStyle name="Total 2 4 2 2 2 2" xfId="24144"/>
    <cellStyle name="Total 2 4 2 2 3" xfId="24143"/>
    <cellStyle name="Total 2 4 2 3" xfId="11080"/>
    <cellStyle name="Total 2 4 2 3 2" xfId="21531"/>
    <cellStyle name="Total 2 4 2 3 2 2" xfId="24146"/>
    <cellStyle name="Total 2 4 2 3 3" xfId="24145"/>
    <cellStyle name="Total 2 4 2 4" xfId="21533"/>
    <cellStyle name="Total 2 4 2 4 2" xfId="24147"/>
    <cellStyle name="Total 2 4 2 5" xfId="24142"/>
    <cellStyle name="Total 2 4 3" xfId="11081"/>
    <cellStyle name="Total 2 4 3 2" xfId="21530"/>
    <cellStyle name="Total 2 4 3 2 2" xfId="24149"/>
    <cellStyle name="Total 2 4 3 3" xfId="24148"/>
    <cellStyle name="Total 2 4 4" xfId="24150"/>
    <cellStyle name="Total 2 4 5" xfId="24141"/>
    <cellStyle name="Total 2 5" xfId="6139"/>
    <cellStyle name="Total 2 5 2" xfId="11082"/>
    <cellStyle name="Total 2 5 2 2" xfId="11083"/>
    <cellStyle name="Total 2 5 2 2 2" xfId="19506"/>
    <cellStyle name="Total 2 5 2 2 2 2" xfId="24154"/>
    <cellStyle name="Total 2 5 2 2 3" xfId="24153"/>
    <cellStyle name="Total 2 5 2 3" xfId="11084"/>
    <cellStyle name="Total 2 5 2 3 2" xfId="21528"/>
    <cellStyle name="Total 2 5 2 3 2 2" xfId="24156"/>
    <cellStyle name="Total 2 5 2 3 3" xfId="24155"/>
    <cellStyle name="Total 2 5 2 4" xfId="21529"/>
    <cellStyle name="Total 2 5 2 4 2" xfId="24157"/>
    <cellStyle name="Total 2 5 2 5" xfId="24152"/>
    <cellStyle name="Total 2 5 3" xfId="11085"/>
    <cellStyle name="Total 2 5 3 2" xfId="20497"/>
    <cellStyle name="Total 2 5 3 2 2" xfId="24159"/>
    <cellStyle name="Total 2 5 3 3" xfId="24158"/>
    <cellStyle name="Total 2 5 4" xfId="24160"/>
    <cellStyle name="Total 2 5 5" xfId="24151"/>
    <cellStyle name="Total 2 6" xfId="11086"/>
    <cellStyle name="Total 2 6 2" xfId="11087"/>
    <cellStyle name="Total 2 6 2 2" xfId="18775"/>
    <cellStyle name="Total 2 6 2 2 2" xfId="24163"/>
    <cellStyle name="Total 2 6 2 3" xfId="24162"/>
    <cellStyle name="Total 2 6 3" xfId="11088"/>
    <cellStyle name="Total 2 6 3 2" xfId="20496"/>
    <cellStyle name="Total 2 6 3 2 2" xfId="24165"/>
    <cellStyle name="Total 2 6 3 3" xfId="24164"/>
    <cellStyle name="Total 2 6 4" xfId="21527"/>
    <cellStyle name="Total 2 6 4 2" xfId="24166"/>
    <cellStyle name="Total 2 6 5" xfId="24161"/>
    <cellStyle name="Total 2 7" xfId="11089"/>
    <cellStyle name="Total 2 7 2" xfId="17824"/>
    <cellStyle name="Total 2 7 2 2" xfId="24168"/>
    <cellStyle name="Total 2 7 3" xfId="24167"/>
    <cellStyle name="Total 2 8" xfId="6135"/>
    <cellStyle name="Total 2 8 2" xfId="24169"/>
    <cellStyle name="Total 2 9" xfId="49075"/>
    <cellStyle name="Total 3" xfId="1550"/>
    <cellStyle name="Total 3 2" xfId="1551"/>
    <cellStyle name="Total 3 2 2" xfId="11090"/>
    <cellStyle name="Total 3 2 2 2" xfId="11091"/>
    <cellStyle name="Total 3 2 2 2 2" xfId="21525"/>
    <cellStyle name="Total 3 2 2 2 2 2" xfId="24172"/>
    <cellStyle name="Total 3 2 2 2 3" xfId="24171"/>
    <cellStyle name="Total 3 2 2 3" xfId="11092"/>
    <cellStyle name="Total 3 2 2 3 2" xfId="18512"/>
    <cellStyle name="Total 3 2 2 3 2 2" xfId="24174"/>
    <cellStyle name="Total 3 2 2 3 3" xfId="24173"/>
    <cellStyle name="Total 3 2 2 4" xfId="21526"/>
    <cellStyle name="Total 3 2 2 4 2" xfId="24175"/>
    <cellStyle name="Total 3 2 2 5" xfId="24170"/>
    <cellStyle name="Total 3 2 3" xfId="11093"/>
    <cellStyle name="Total 3 2 3 2" xfId="21524"/>
    <cellStyle name="Total 3 2 3 2 2" xfId="24177"/>
    <cellStyle name="Total 3 2 3 3" xfId="24176"/>
    <cellStyle name="Total 3 2 4" xfId="6141"/>
    <cellStyle name="Total 3 2 4 2" xfId="24178"/>
    <cellStyle name="Total 3 2 5" xfId="49076"/>
    <cellStyle name="Total 3 3" xfId="1552"/>
    <cellStyle name="Total 3 3 2" xfId="11094"/>
    <cellStyle name="Total 3 3 2 2" xfId="11095"/>
    <cellStyle name="Total 3 3 2 2 2" xfId="18648"/>
    <cellStyle name="Total 3 3 2 2 2 2" xfId="24181"/>
    <cellStyle name="Total 3 3 2 2 3" xfId="24180"/>
    <cellStyle name="Total 3 3 2 3" xfId="11096"/>
    <cellStyle name="Total 3 3 2 3 2" xfId="18774"/>
    <cellStyle name="Total 3 3 2 3 2 2" xfId="24183"/>
    <cellStyle name="Total 3 3 2 3 3" xfId="24182"/>
    <cellStyle name="Total 3 3 2 4" xfId="21523"/>
    <cellStyle name="Total 3 3 2 4 2" xfId="24184"/>
    <cellStyle name="Total 3 3 2 5" xfId="24179"/>
    <cellStyle name="Total 3 3 3" xfId="11097"/>
    <cellStyle name="Total 3 3 3 2" xfId="21522"/>
    <cellStyle name="Total 3 3 3 2 2" xfId="24186"/>
    <cellStyle name="Total 3 3 3 3" xfId="24185"/>
    <cellStyle name="Total 3 3 4" xfId="6142"/>
    <cellStyle name="Total 3 3 4 2" xfId="24187"/>
    <cellStyle name="Total 3 3 5" xfId="49077"/>
    <cellStyle name="Total 3 4" xfId="6143"/>
    <cellStyle name="Total 3 4 2" xfId="11098"/>
    <cellStyle name="Total 3 4 2 2" xfId="11099"/>
    <cellStyle name="Total 3 4 2 2 2" xfId="21520"/>
    <cellStyle name="Total 3 4 2 2 2 2" xfId="24191"/>
    <cellStyle name="Total 3 4 2 2 3" xfId="24190"/>
    <cellStyle name="Total 3 4 2 3" xfId="11100"/>
    <cellStyle name="Total 3 4 2 3 2" xfId="21519"/>
    <cellStyle name="Total 3 4 2 3 2 2" xfId="24193"/>
    <cellStyle name="Total 3 4 2 3 3" xfId="24192"/>
    <cellStyle name="Total 3 4 2 4" xfId="21521"/>
    <cellStyle name="Total 3 4 2 4 2" xfId="24194"/>
    <cellStyle name="Total 3 4 2 5" xfId="24189"/>
    <cellStyle name="Total 3 4 3" xfId="11101"/>
    <cellStyle name="Total 3 4 3 2" xfId="19505"/>
    <cellStyle name="Total 3 4 3 2 2" xfId="24196"/>
    <cellStyle name="Total 3 4 3 3" xfId="24195"/>
    <cellStyle name="Total 3 4 4" xfId="24197"/>
    <cellStyle name="Total 3 4 5" xfId="24188"/>
    <cellStyle name="Total 3 5" xfId="6144"/>
    <cellStyle name="Total 3 5 2" xfId="11102"/>
    <cellStyle name="Total 3 5 2 2" xfId="11103"/>
    <cellStyle name="Total 3 5 2 2 2" xfId="19503"/>
    <cellStyle name="Total 3 5 2 2 2 2" xfId="24201"/>
    <cellStyle name="Total 3 5 2 2 3" xfId="24200"/>
    <cellStyle name="Total 3 5 2 3" xfId="11104"/>
    <cellStyle name="Total 3 5 2 3 2" xfId="18773"/>
    <cellStyle name="Total 3 5 2 3 2 2" xfId="24203"/>
    <cellStyle name="Total 3 5 2 3 3" xfId="24202"/>
    <cellStyle name="Total 3 5 2 4" xfId="19504"/>
    <cellStyle name="Total 3 5 2 4 2" xfId="24204"/>
    <cellStyle name="Total 3 5 2 5" xfId="24199"/>
    <cellStyle name="Total 3 5 3" xfId="11105"/>
    <cellStyle name="Total 3 5 3 2" xfId="21518"/>
    <cellStyle name="Total 3 5 3 2 2" xfId="24206"/>
    <cellStyle name="Total 3 5 3 3" xfId="24205"/>
    <cellStyle name="Total 3 5 4" xfId="24207"/>
    <cellStyle name="Total 3 5 5" xfId="24198"/>
    <cellStyle name="Total 3 6" xfId="11106"/>
    <cellStyle name="Total 3 6 2" xfId="11107"/>
    <cellStyle name="Total 3 6 2 2" xfId="21516"/>
    <cellStyle name="Total 3 6 2 2 2" xfId="24210"/>
    <cellStyle name="Total 3 6 2 3" xfId="24209"/>
    <cellStyle name="Total 3 6 3" xfId="11108"/>
    <cellStyle name="Total 3 6 3 2" xfId="20495"/>
    <cellStyle name="Total 3 6 3 2 2" xfId="24212"/>
    <cellStyle name="Total 3 6 3 3" xfId="24211"/>
    <cellStyle name="Total 3 6 4" xfId="21517"/>
    <cellStyle name="Total 3 6 4 2" xfId="24213"/>
    <cellStyle name="Total 3 6 5" xfId="24208"/>
    <cellStyle name="Total 3 7" xfId="11109"/>
    <cellStyle name="Total 3 7 2" xfId="20494"/>
    <cellStyle name="Total 3 7 2 2" xfId="24215"/>
    <cellStyle name="Total 3 7 3" xfId="24214"/>
    <cellStyle name="Total 3 8" xfId="6140"/>
    <cellStyle name="Total 3 8 2" xfId="24216"/>
    <cellStyle name="Total 3 9" xfId="49078"/>
    <cellStyle name="Total 4" xfId="1553"/>
    <cellStyle name="Total 4 2" xfId="11110"/>
    <cellStyle name="Total 4 2 2" xfId="11111"/>
    <cellStyle name="Total 4 2 2 2" xfId="20492"/>
    <cellStyle name="Total 4 2 2 2 2" xfId="24220"/>
    <cellStyle name="Total 4 2 2 3" xfId="24219"/>
    <cellStyle name="Total 4 2 3" xfId="11112"/>
    <cellStyle name="Total 4 2 3 2" xfId="19502"/>
    <cellStyle name="Total 4 2 3 2 2" xfId="24222"/>
    <cellStyle name="Total 4 2 3 3" xfId="24221"/>
    <cellStyle name="Total 4 2 4" xfId="20493"/>
    <cellStyle name="Total 4 2 4 2" xfId="24223"/>
    <cellStyle name="Total 4 2 5" xfId="24218"/>
    <cellStyle name="Total 4 3" xfId="11113"/>
    <cellStyle name="Total 4 3 2" xfId="21515"/>
    <cellStyle name="Total 4 3 2 2" xfId="24225"/>
    <cellStyle name="Total 4 3 3" xfId="24224"/>
    <cellStyle name="Total 4 4" xfId="6145"/>
    <cellStyle name="Total 4 4 2" xfId="24226"/>
    <cellStyle name="Total 4 5" xfId="24217"/>
    <cellStyle name="Total 5" xfId="1554"/>
    <cellStyle name="Total 5 2" xfId="11114"/>
    <cellStyle name="Total 5 2 2" xfId="11115"/>
    <cellStyle name="Total 5 2 2 2" xfId="18510"/>
    <cellStyle name="Total 5 2 2 2 2" xfId="24230"/>
    <cellStyle name="Total 5 2 2 3" xfId="24229"/>
    <cellStyle name="Total 5 2 3" xfId="11116"/>
    <cellStyle name="Total 5 2 3 2" xfId="20491"/>
    <cellStyle name="Total 5 2 3 2 2" xfId="24232"/>
    <cellStyle name="Total 5 2 3 3" xfId="24231"/>
    <cellStyle name="Total 5 2 4" xfId="18511"/>
    <cellStyle name="Total 5 2 4 2" xfId="24233"/>
    <cellStyle name="Total 5 2 5" xfId="24228"/>
    <cellStyle name="Total 5 3" xfId="11117"/>
    <cellStyle name="Total 5 3 2" xfId="20490"/>
    <cellStyle name="Total 5 3 2 2" xfId="24235"/>
    <cellStyle name="Total 5 3 3" xfId="24234"/>
    <cellStyle name="Total 5 4" xfId="6146"/>
    <cellStyle name="Total 5 4 2" xfId="24236"/>
    <cellStyle name="Total 5 5" xfId="24227"/>
    <cellStyle name="Total 6" xfId="6147"/>
    <cellStyle name="Total 6 2" xfId="11118"/>
    <cellStyle name="Total 6 2 2" xfId="11119"/>
    <cellStyle name="Total 6 2 2 2" xfId="18772"/>
    <cellStyle name="Total 6 2 2 2 2" xfId="24240"/>
    <cellStyle name="Total 6 2 2 3" xfId="24239"/>
    <cellStyle name="Total 6 2 3" xfId="11120"/>
    <cellStyle name="Total 6 2 3 2" xfId="20489"/>
    <cellStyle name="Total 6 2 3 2 2" xfId="24242"/>
    <cellStyle name="Total 6 2 3 3" xfId="24241"/>
    <cellStyle name="Total 6 2 4" xfId="17823"/>
    <cellStyle name="Total 6 2 4 2" xfId="24243"/>
    <cellStyle name="Total 6 2 5" xfId="24238"/>
    <cellStyle name="Total 6 3" xfId="11121"/>
    <cellStyle name="Total 6 3 2" xfId="20488"/>
    <cellStyle name="Total 6 3 2 2" xfId="24245"/>
    <cellStyle name="Total 6 3 3" xfId="24244"/>
    <cellStyle name="Total 6 4" xfId="24246"/>
    <cellStyle name="Total 6 5" xfId="24237"/>
    <cellStyle name="Total 7" xfId="6148"/>
    <cellStyle name="Total 7 2" xfId="11122"/>
    <cellStyle name="Total 7 2 2" xfId="11123"/>
    <cellStyle name="Total 7 2 2 2" xfId="20486"/>
    <cellStyle name="Total 7 2 2 2 2" xfId="24250"/>
    <cellStyle name="Total 7 2 2 3" xfId="24249"/>
    <cellStyle name="Total 7 2 3" xfId="11124"/>
    <cellStyle name="Total 7 2 3 2" xfId="21125"/>
    <cellStyle name="Total 7 2 3 2 2" xfId="24252"/>
    <cellStyle name="Total 7 2 3 3" xfId="24251"/>
    <cellStyle name="Total 7 2 4" xfId="20487"/>
    <cellStyle name="Total 7 2 4 2" xfId="24253"/>
    <cellStyle name="Total 7 2 5" xfId="24248"/>
    <cellStyle name="Total 7 3" xfId="11125"/>
    <cellStyle name="Total 7 3 2" xfId="21514"/>
    <cellStyle name="Total 7 3 2 2" xfId="24255"/>
    <cellStyle name="Total 7 3 3" xfId="24254"/>
    <cellStyle name="Total 7 4" xfId="24256"/>
    <cellStyle name="Total 7 5" xfId="24247"/>
    <cellStyle name="Total 8" xfId="11126"/>
    <cellStyle name="Total 8 2" xfId="11127"/>
    <cellStyle name="Total 8 2 2" xfId="18509"/>
    <cellStyle name="Total 8 2 2 2" xfId="24259"/>
    <cellStyle name="Total 8 2 3" xfId="24258"/>
    <cellStyle name="Total 8 3" xfId="11128"/>
    <cellStyle name="Total 8 3 2" xfId="20484"/>
    <cellStyle name="Total 8 3 2 2" xfId="24261"/>
    <cellStyle name="Total 8 3 3" xfId="24260"/>
    <cellStyle name="Total 8 4" xfId="20485"/>
    <cellStyle name="Total 8 4 2" xfId="24262"/>
    <cellStyle name="Total 8 5" xfId="24257"/>
    <cellStyle name="Total 9" xfId="11129"/>
    <cellStyle name="Total 9 2" xfId="20483"/>
    <cellStyle name="Total 9 2 2" xfId="24264"/>
    <cellStyle name="Total 9 3" xfId="24263"/>
    <cellStyle name="UploadThisRowValue" xfId="6149"/>
    <cellStyle name="Warning Text" xfId="1555"/>
    <cellStyle name="Warning Text 2" xfId="1556"/>
    <cellStyle name="Warning Text 2 2" xfId="49079"/>
    <cellStyle name="Warning Text 2 3" xfId="49080"/>
    <cellStyle name="Warning Text 3" xfId="1557"/>
    <cellStyle name="Warning Text 3 2" xfId="49081"/>
    <cellStyle name="Warning Text 3 3" xfId="49082"/>
    <cellStyle name="Warning Text 4" xfId="6150"/>
    <cellStyle name="Warning Text 5" xfId="49083"/>
    <cellStyle name="アクセント 1" xfId="1558"/>
    <cellStyle name="アクセント 1 2" xfId="112"/>
    <cellStyle name="アクセント 1 2 2" xfId="1560"/>
    <cellStyle name="アクセント 1 2 2 2" xfId="1561"/>
    <cellStyle name="アクセント 1 2 2 3" xfId="49084"/>
    <cellStyle name="アクセント 1 2 2 4" xfId="49085"/>
    <cellStyle name="アクセント 1 2 3" xfId="1562"/>
    <cellStyle name="アクセント 1 2 3 2" xfId="1563"/>
    <cellStyle name="アクセント 1 2 3 3" xfId="49086"/>
    <cellStyle name="アクセント 1 2 3 4" xfId="49087"/>
    <cellStyle name="アクセント 1 2 4" xfId="6157"/>
    <cellStyle name="アクセント 1 2 5" xfId="49088"/>
    <cellStyle name="アクセント 1 2 6" xfId="49089"/>
    <cellStyle name="アクセント 1 2 7" xfId="49090"/>
    <cellStyle name="アクセント 1 2 8" xfId="49091"/>
    <cellStyle name="アクセント 1 2 9" xfId="1559"/>
    <cellStyle name="アクセント 1 3" xfId="1564"/>
    <cellStyle name="アクセント 1 3 2" xfId="1565"/>
    <cellStyle name="アクセント 1 3 2 2" xfId="1566"/>
    <cellStyle name="アクセント 1 3 2 3" xfId="49092"/>
    <cellStyle name="アクセント 1 3 2 4" xfId="49093"/>
    <cellStyle name="アクセント 1 3 3" xfId="1567"/>
    <cellStyle name="アクセント 1 3 3 2" xfId="1568"/>
    <cellStyle name="アクセント 1 3 3 3" xfId="49094"/>
    <cellStyle name="アクセント 1 3 3 4" xfId="49095"/>
    <cellStyle name="アクセント 1 3 4" xfId="1569"/>
    <cellStyle name="アクセント 1 3 4 2" xfId="6161"/>
    <cellStyle name="アクセント 1 3 4 3" xfId="49096"/>
    <cellStyle name="アクセント 1 3 5" xfId="49097"/>
    <cellStyle name="アクセント 1 3 6" xfId="49098"/>
    <cellStyle name="アクセント 1 3 7" xfId="49099"/>
    <cellStyle name="アクセント 1 3 8" xfId="49100"/>
    <cellStyle name="アクセント 1 4" xfId="1570"/>
    <cellStyle name="アクセント 1 4 2" xfId="1571"/>
    <cellStyle name="アクセント 1 4 2 2" xfId="1572"/>
    <cellStyle name="アクセント 1 4 2 3" xfId="49101"/>
    <cellStyle name="アクセント 1 4 2 4" xfId="49102"/>
    <cellStyle name="アクセント 1 4 3" xfId="1573"/>
    <cellStyle name="アクセント 1 4 3 2" xfId="1574"/>
    <cellStyle name="アクセント 1 4 3 3" xfId="49103"/>
    <cellStyle name="アクセント 1 4 3 4" xfId="49104"/>
    <cellStyle name="アクセント 1 4 4" xfId="1575"/>
    <cellStyle name="アクセント 1 4 5" xfId="49105"/>
    <cellStyle name="アクセント 1 4 6" xfId="49106"/>
    <cellStyle name="アクセント 1 4 7" xfId="49107"/>
    <cellStyle name="アクセント 1 5" xfId="6153"/>
    <cellStyle name="アクセント 1 5 2" xfId="24265"/>
    <cellStyle name="アクセント 1 5 3" xfId="60883"/>
    <cellStyle name="アクセント 1 6" xfId="49108"/>
    <cellStyle name="アクセント 1 7" xfId="49109"/>
    <cellStyle name="アクセント 1 8" xfId="49110"/>
    <cellStyle name="アクセント 2" xfId="1576"/>
    <cellStyle name="アクセント 2 2" xfId="113"/>
    <cellStyle name="アクセント 2 2 2" xfId="1578"/>
    <cellStyle name="アクセント 2 2 2 2" xfId="1579"/>
    <cellStyle name="アクセント 2 2 2 3" xfId="49111"/>
    <cellStyle name="アクセント 2 2 2 4" xfId="49112"/>
    <cellStyle name="アクセント 2 2 3" xfId="1580"/>
    <cellStyle name="アクセント 2 2 3 2" xfId="1581"/>
    <cellStyle name="アクセント 2 2 3 3" xfId="49113"/>
    <cellStyle name="アクセント 2 2 3 4" xfId="49114"/>
    <cellStyle name="アクセント 2 2 4" xfId="6169"/>
    <cellStyle name="アクセント 2 2 5" xfId="49115"/>
    <cellStyle name="アクセント 2 2 6" xfId="49116"/>
    <cellStyle name="アクセント 2 2 7" xfId="49117"/>
    <cellStyle name="アクセント 2 2 8" xfId="49118"/>
    <cellStyle name="アクセント 2 2 9" xfId="1577"/>
    <cellStyle name="アクセント 2 3" xfId="1582"/>
    <cellStyle name="アクセント 2 3 2" xfId="1583"/>
    <cellStyle name="アクセント 2 3 2 2" xfId="1584"/>
    <cellStyle name="アクセント 2 3 2 3" xfId="49119"/>
    <cellStyle name="アクセント 2 3 2 4" xfId="49120"/>
    <cellStyle name="アクセント 2 3 3" xfId="1585"/>
    <cellStyle name="アクセント 2 3 3 2" xfId="1586"/>
    <cellStyle name="アクセント 2 3 3 3" xfId="49121"/>
    <cellStyle name="アクセント 2 3 3 4" xfId="49122"/>
    <cellStyle name="アクセント 2 3 4" xfId="1587"/>
    <cellStyle name="アクセント 2 3 4 2" xfId="6173"/>
    <cellStyle name="アクセント 2 3 4 3" xfId="49123"/>
    <cellStyle name="アクセント 2 3 5" xfId="49124"/>
    <cellStyle name="アクセント 2 3 6" xfId="49125"/>
    <cellStyle name="アクセント 2 3 7" xfId="49126"/>
    <cellStyle name="アクセント 2 3 8" xfId="49127"/>
    <cellStyle name="アクセント 2 4" xfId="1588"/>
    <cellStyle name="アクセント 2 4 2" xfId="1589"/>
    <cellStyle name="アクセント 2 4 2 2" xfId="1590"/>
    <cellStyle name="アクセント 2 4 2 3" xfId="49128"/>
    <cellStyle name="アクセント 2 4 2 4" xfId="49129"/>
    <cellStyle name="アクセント 2 4 3" xfId="1591"/>
    <cellStyle name="アクセント 2 4 3 2" xfId="1592"/>
    <cellStyle name="アクセント 2 4 3 3" xfId="49130"/>
    <cellStyle name="アクセント 2 4 3 4" xfId="49131"/>
    <cellStyle name="アクセント 2 4 4" xfId="1593"/>
    <cellStyle name="アクセント 2 4 5" xfId="49132"/>
    <cellStyle name="アクセント 2 4 6" xfId="49133"/>
    <cellStyle name="アクセント 2 4 7" xfId="49134"/>
    <cellStyle name="アクセント 2 5" xfId="6165"/>
    <cellStyle name="アクセント 2 5 2" xfId="24266"/>
    <cellStyle name="アクセント 2 5 3" xfId="60884"/>
    <cellStyle name="アクセント 2 6" xfId="49135"/>
    <cellStyle name="アクセント 2 7" xfId="49136"/>
    <cellStyle name="アクセント 2 8" xfId="49137"/>
    <cellStyle name="アクセント 3" xfId="1594"/>
    <cellStyle name="アクセント 3 2" xfId="114"/>
    <cellStyle name="アクセント 3 2 2" xfId="1596"/>
    <cellStyle name="アクセント 3 2 2 2" xfId="1597"/>
    <cellStyle name="アクセント 3 2 2 3" xfId="49138"/>
    <cellStyle name="アクセント 3 2 2 4" xfId="49139"/>
    <cellStyle name="アクセント 3 2 3" xfId="1598"/>
    <cellStyle name="アクセント 3 2 3 2" xfId="1599"/>
    <cellStyle name="アクセント 3 2 3 3" xfId="49140"/>
    <cellStyle name="アクセント 3 2 3 4" xfId="49141"/>
    <cellStyle name="アクセント 3 2 4" xfId="6181"/>
    <cellStyle name="アクセント 3 2 5" xfId="49142"/>
    <cellStyle name="アクセント 3 2 6" xfId="49143"/>
    <cellStyle name="アクセント 3 2 7" xfId="49144"/>
    <cellStyle name="アクセント 3 2 8" xfId="49145"/>
    <cellStyle name="アクセント 3 2 9" xfId="1595"/>
    <cellStyle name="アクセント 3 3" xfId="1600"/>
    <cellStyle name="アクセント 3 3 2" xfId="1601"/>
    <cellStyle name="アクセント 3 3 2 2" xfId="1602"/>
    <cellStyle name="アクセント 3 3 2 3" xfId="49146"/>
    <cellStyle name="アクセント 3 3 2 4" xfId="49147"/>
    <cellStyle name="アクセント 3 3 3" xfId="1603"/>
    <cellStyle name="アクセント 3 3 3 2" xfId="1604"/>
    <cellStyle name="アクセント 3 3 3 3" xfId="49148"/>
    <cellStyle name="アクセント 3 3 3 4" xfId="49149"/>
    <cellStyle name="アクセント 3 3 4" xfId="1605"/>
    <cellStyle name="アクセント 3 3 4 2" xfId="6185"/>
    <cellStyle name="アクセント 3 3 4 3" xfId="49150"/>
    <cellStyle name="アクセント 3 3 5" xfId="49151"/>
    <cellStyle name="アクセント 3 3 6" xfId="49152"/>
    <cellStyle name="アクセント 3 3 7" xfId="49153"/>
    <cellStyle name="アクセント 3 3 8" xfId="49154"/>
    <cellStyle name="アクセント 3 4" xfId="1606"/>
    <cellStyle name="アクセント 3 4 2" xfId="1607"/>
    <cellStyle name="アクセント 3 4 2 2" xfId="1608"/>
    <cellStyle name="アクセント 3 4 2 3" xfId="49155"/>
    <cellStyle name="アクセント 3 4 2 4" xfId="49156"/>
    <cellStyle name="アクセント 3 4 3" xfId="1609"/>
    <cellStyle name="アクセント 3 4 3 2" xfId="1610"/>
    <cellStyle name="アクセント 3 4 3 3" xfId="49157"/>
    <cellStyle name="アクセント 3 4 3 4" xfId="49158"/>
    <cellStyle name="アクセント 3 4 4" xfId="1611"/>
    <cellStyle name="アクセント 3 4 5" xfId="49159"/>
    <cellStyle name="アクセント 3 4 6" xfId="49160"/>
    <cellStyle name="アクセント 3 4 7" xfId="49161"/>
    <cellStyle name="アクセント 3 5" xfId="6177"/>
    <cellStyle name="アクセント 3 5 2" xfId="24267"/>
    <cellStyle name="アクセント 3 5 3" xfId="60885"/>
    <cellStyle name="アクセント 3 6" xfId="49162"/>
    <cellStyle name="アクセント 3 7" xfId="49163"/>
    <cellStyle name="アクセント 3 8" xfId="49164"/>
    <cellStyle name="アクセント 4" xfId="1612"/>
    <cellStyle name="アクセント 4 2" xfId="115"/>
    <cellStyle name="アクセント 4 2 2" xfId="1614"/>
    <cellStyle name="アクセント 4 2 2 2" xfId="1615"/>
    <cellStyle name="アクセント 4 2 2 3" xfId="49165"/>
    <cellStyle name="アクセント 4 2 2 4" xfId="49166"/>
    <cellStyle name="アクセント 4 2 3" xfId="1616"/>
    <cellStyle name="アクセント 4 2 3 2" xfId="1617"/>
    <cellStyle name="アクセント 4 2 3 3" xfId="49167"/>
    <cellStyle name="アクセント 4 2 3 4" xfId="49168"/>
    <cellStyle name="アクセント 4 2 4" xfId="6193"/>
    <cellStyle name="アクセント 4 2 5" xfId="49169"/>
    <cellStyle name="アクセント 4 2 6" xfId="49170"/>
    <cellStyle name="アクセント 4 2 7" xfId="49171"/>
    <cellStyle name="アクセント 4 2 8" xfId="49172"/>
    <cellStyle name="アクセント 4 2 9" xfId="1613"/>
    <cellStyle name="アクセント 4 3" xfId="1618"/>
    <cellStyle name="アクセント 4 3 2" xfId="1619"/>
    <cellStyle name="アクセント 4 3 2 2" xfId="1620"/>
    <cellStyle name="アクセント 4 3 2 3" xfId="49173"/>
    <cellStyle name="アクセント 4 3 2 4" xfId="49174"/>
    <cellStyle name="アクセント 4 3 3" xfId="1621"/>
    <cellStyle name="アクセント 4 3 3 2" xfId="1622"/>
    <cellStyle name="アクセント 4 3 3 3" xfId="49175"/>
    <cellStyle name="アクセント 4 3 3 4" xfId="49176"/>
    <cellStyle name="アクセント 4 3 4" xfId="1623"/>
    <cellStyle name="アクセント 4 3 4 2" xfId="6197"/>
    <cellStyle name="アクセント 4 3 4 3" xfId="49177"/>
    <cellStyle name="アクセント 4 3 5" xfId="49178"/>
    <cellStyle name="アクセント 4 3 6" xfId="49179"/>
    <cellStyle name="アクセント 4 3 7" xfId="49180"/>
    <cellStyle name="アクセント 4 3 8" xfId="49181"/>
    <cellStyle name="アクセント 4 4" xfId="1624"/>
    <cellStyle name="アクセント 4 4 2" xfId="1625"/>
    <cellStyle name="アクセント 4 4 2 2" xfId="1626"/>
    <cellStyle name="アクセント 4 4 2 3" xfId="49182"/>
    <cellStyle name="アクセント 4 4 2 4" xfId="49183"/>
    <cellStyle name="アクセント 4 4 3" xfId="1627"/>
    <cellStyle name="アクセント 4 4 3 2" xfId="1628"/>
    <cellStyle name="アクセント 4 4 3 3" xfId="49184"/>
    <cellStyle name="アクセント 4 4 3 4" xfId="49185"/>
    <cellStyle name="アクセント 4 4 4" xfId="1629"/>
    <cellStyle name="アクセント 4 4 5" xfId="49186"/>
    <cellStyle name="アクセント 4 4 6" xfId="49187"/>
    <cellStyle name="アクセント 4 4 7" xfId="49188"/>
    <cellStyle name="アクセント 4 5" xfId="6189"/>
    <cellStyle name="アクセント 4 5 2" xfId="24268"/>
    <cellStyle name="アクセント 4 5 3" xfId="60886"/>
    <cellStyle name="アクセント 4 6" xfId="49189"/>
    <cellStyle name="アクセント 4 7" xfId="49190"/>
    <cellStyle name="アクセント 4 8" xfId="49191"/>
    <cellStyle name="アクセント 5" xfId="1630"/>
    <cellStyle name="アクセント 5 2" xfId="116"/>
    <cellStyle name="アクセント 5 2 2" xfId="1632"/>
    <cellStyle name="アクセント 5 2 2 2" xfId="1633"/>
    <cellStyle name="アクセント 5 2 2 3" xfId="49192"/>
    <cellStyle name="アクセント 5 2 2 4" xfId="49193"/>
    <cellStyle name="アクセント 5 2 3" xfId="1634"/>
    <cellStyle name="アクセント 5 2 3 2" xfId="1635"/>
    <cellStyle name="アクセント 5 2 3 3" xfId="49194"/>
    <cellStyle name="アクセント 5 2 3 4" xfId="49195"/>
    <cellStyle name="アクセント 5 2 4" xfId="6205"/>
    <cellStyle name="アクセント 5 2 5" xfId="49196"/>
    <cellStyle name="アクセント 5 2 6" xfId="49197"/>
    <cellStyle name="アクセント 5 2 7" xfId="49198"/>
    <cellStyle name="アクセント 5 2 8" xfId="49199"/>
    <cellStyle name="アクセント 5 2 9" xfId="1631"/>
    <cellStyle name="アクセント 5 3" xfId="1636"/>
    <cellStyle name="アクセント 5 3 2" xfId="1637"/>
    <cellStyle name="アクセント 5 3 2 2" xfId="1638"/>
    <cellStyle name="アクセント 5 3 2 3" xfId="49200"/>
    <cellStyle name="アクセント 5 3 2 4" xfId="49201"/>
    <cellStyle name="アクセント 5 3 3" xfId="1639"/>
    <cellStyle name="アクセント 5 3 3 2" xfId="1640"/>
    <cellStyle name="アクセント 5 3 3 3" xfId="49202"/>
    <cellStyle name="アクセント 5 3 3 4" xfId="49203"/>
    <cellStyle name="アクセント 5 3 4" xfId="1641"/>
    <cellStyle name="アクセント 5 3 4 2" xfId="6209"/>
    <cellStyle name="アクセント 5 3 4 3" xfId="49204"/>
    <cellStyle name="アクセント 5 3 5" xfId="49205"/>
    <cellStyle name="アクセント 5 3 6" xfId="49206"/>
    <cellStyle name="アクセント 5 3 7" xfId="49207"/>
    <cellStyle name="アクセント 5 3 8" xfId="49208"/>
    <cellStyle name="アクセント 5 4" xfId="1642"/>
    <cellStyle name="アクセント 5 4 2" xfId="1643"/>
    <cellStyle name="アクセント 5 4 2 2" xfId="1644"/>
    <cellStyle name="アクセント 5 4 2 3" xfId="49209"/>
    <cellStyle name="アクセント 5 4 2 4" xfId="49210"/>
    <cellStyle name="アクセント 5 4 3" xfId="1645"/>
    <cellStyle name="アクセント 5 4 3 2" xfId="1646"/>
    <cellStyle name="アクセント 5 4 3 3" xfId="49211"/>
    <cellStyle name="アクセント 5 4 3 4" xfId="49212"/>
    <cellStyle name="アクセント 5 4 4" xfId="1647"/>
    <cellStyle name="アクセント 5 4 5" xfId="49213"/>
    <cellStyle name="アクセント 5 4 6" xfId="49214"/>
    <cellStyle name="アクセント 5 4 7" xfId="49215"/>
    <cellStyle name="アクセント 5 5" xfId="6201"/>
    <cellStyle name="アクセント 5 5 2" xfId="24269"/>
    <cellStyle name="アクセント 5 5 3" xfId="60887"/>
    <cellStyle name="アクセント 5 6" xfId="49216"/>
    <cellStyle name="アクセント 5 7" xfId="49217"/>
    <cellStyle name="アクセント 5 8" xfId="49218"/>
    <cellStyle name="アクセント 6" xfId="1648"/>
    <cellStyle name="アクセント 6 2" xfId="117"/>
    <cellStyle name="アクセント 6 2 2" xfId="1650"/>
    <cellStyle name="アクセント 6 2 2 2" xfId="1651"/>
    <cellStyle name="アクセント 6 2 2 3" xfId="49219"/>
    <cellStyle name="アクセント 6 2 2 4" xfId="49220"/>
    <cellStyle name="アクセント 6 2 3" xfId="1652"/>
    <cellStyle name="アクセント 6 2 3 2" xfId="1653"/>
    <cellStyle name="アクセント 6 2 3 3" xfId="49221"/>
    <cellStyle name="アクセント 6 2 3 4" xfId="49222"/>
    <cellStyle name="アクセント 6 2 4" xfId="6217"/>
    <cellStyle name="アクセント 6 2 5" xfId="49223"/>
    <cellStyle name="アクセント 6 2 6" xfId="49224"/>
    <cellStyle name="アクセント 6 2 7" xfId="49225"/>
    <cellStyle name="アクセント 6 2 8" xfId="49226"/>
    <cellStyle name="アクセント 6 2 9" xfId="1649"/>
    <cellStyle name="アクセント 6 3" xfId="1654"/>
    <cellStyle name="アクセント 6 3 2" xfId="1655"/>
    <cellStyle name="アクセント 6 3 2 2" xfId="1656"/>
    <cellStyle name="アクセント 6 3 2 3" xfId="49227"/>
    <cellStyle name="アクセント 6 3 2 4" xfId="49228"/>
    <cellStyle name="アクセント 6 3 3" xfId="1657"/>
    <cellStyle name="アクセント 6 3 3 2" xfId="1658"/>
    <cellStyle name="アクセント 6 3 3 3" xfId="49229"/>
    <cellStyle name="アクセント 6 3 3 4" xfId="49230"/>
    <cellStyle name="アクセント 6 3 4" xfId="1659"/>
    <cellStyle name="アクセント 6 3 4 2" xfId="6221"/>
    <cellStyle name="アクセント 6 3 4 3" xfId="49231"/>
    <cellStyle name="アクセント 6 3 5" xfId="49232"/>
    <cellStyle name="アクセント 6 3 6" xfId="49233"/>
    <cellStyle name="アクセント 6 3 7" xfId="49234"/>
    <cellStyle name="アクセント 6 3 8" xfId="49235"/>
    <cellStyle name="アクセント 6 4" xfId="1660"/>
    <cellStyle name="アクセント 6 4 2" xfId="1661"/>
    <cellStyle name="アクセント 6 4 2 2" xfId="1662"/>
    <cellStyle name="アクセント 6 4 2 3" xfId="49236"/>
    <cellStyle name="アクセント 6 4 2 4" xfId="49237"/>
    <cellStyle name="アクセント 6 4 3" xfId="1663"/>
    <cellStyle name="アクセント 6 4 3 2" xfId="1664"/>
    <cellStyle name="アクセント 6 4 3 3" xfId="49238"/>
    <cellStyle name="アクセント 6 4 3 4" xfId="49239"/>
    <cellStyle name="アクセント 6 4 4" xfId="1665"/>
    <cellStyle name="アクセント 6 4 5" xfId="49240"/>
    <cellStyle name="アクセント 6 4 6" xfId="49241"/>
    <cellStyle name="アクセント 6 4 7" xfId="49242"/>
    <cellStyle name="アクセント 6 5" xfId="6213"/>
    <cellStyle name="アクセント 6 5 2" xfId="24270"/>
    <cellStyle name="アクセント 6 5 3" xfId="60888"/>
    <cellStyle name="アクセント 6 6" xfId="49243"/>
    <cellStyle name="アクセント 6 7" xfId="49244"/>
    <cellStyle name="アクセント 6 8" xfId="49245"/>
    <cellStyle name="スタイル 1" xfId="1666"/>
    <cellStyle name="スタイル 1 2" xfId="1667"/>
    <cellStyle name="スタイル 1 2 2" xfId="24271"/>
    <cellStyle name="スタイル 1 3" xfId="24272"/>
    <cellStyle name="タイトル" xfId="1668"/>
    <cellStyle name="タイトル 2" xfId="118"/>
    <cellStyle name="タイトル 2 2" xfId="1670"/>
    <cellStyle name="タイトル 2 2 2" xfId="1671"/>
    <cellStyle name="タイトル 2 2 3" xfId="49246"/>
    <cellStyle name="タイトル 2 2 4" xfId="49247"/>
    <cellStyle name="タイトル 2 3" xfId="1672"/>
    <cellStyle name="タイトル 2 3 2" xfId="1673"/>
    <cellStyle name="タイトル 2 3 3" xfId="49248"/>
    <cellStyle name="タイトル 2 3 4" xfId="49249"/>
    <cellStyle name="タイトル 2 4" xfId="6231"/>
    <cellStyle name="タイトル 2 5" xfId="49250"/>
    <cellStyle name="タイトル 2 6" xfId="49251"/>
    <cellStyle name="タイトル 2 7" xfId="49252"/>
    <cellStyle name="タイトル 2 8" xfId="49253"/>
    <cellStyle name="タイトル 2 9" xfId="1669"/>
    <cellStyle name="タイトル 3" xfId="1674"/>
    <cellStyle name="タイトル 3 2" xfId="1675"/>
    <cellStyle name="タイトル 3 2 2" xfId="1676"/>
    <cellStyle name="タイトル 3 2 3" xfId="49254"/>
    <cellStyle name="タイトル 3 2 4" xfId="49255"/>
    <cellStyle name="タイトル 3 3" xfId="1677"/>
    <cellStyle name="タイトル 3 3 2" xfId="1678"/>
    <cellStyle name="タイトル 3 3 3" xfId="49256"/>
    <cellStyle name="タイトル 3 3 4" xfId="49257"/>
    <cellStyle name="タイトル 3 4" xfId="1679"/>
    <cellStyle name="タイトル 3 5" xfId="49258"/>
    <cellStyle name="タイトル 3 6" xfId="49259"/>
    <cellStyle name="タイトル 3 7" xfId="49260"/>
    <cellStyle name="タイトル 3 8" xfId="49261"/>
    <cellStyle name="タイトル 4" xfId="1680"/>
    <cellStyle name="タイトル 4 2" xfId="1681"/>
    <cellStyle name="タイトル 4 2 2" xfId="1682"/>
    <cellStyle name="タイトル 4 2 3" xfId="49262"/>
    <cellStyle name="タイトル 4 2 4" xfId="49263"/>
    <cellStyle name="タイトル 4 3" xfId="1683"/>
    <cellStyle name="タイトル 4 3 2" xfId="1684"/>
    <cellStyle name="タイトル 4 3 3" xfId="49264"/>
    <cellStyle name="タイトル 4 3 4" xfId="49265"/>
    <cellStyle name="タイトル 4 4" xfId="1685"/>
    <cellStyle name="タイトル 4 5" xfId="49266"/>
    <cellStyle name="タイトル 4 6" xfId="49267"/>
    <cellStyle name="タイトル 4 7" xfId="49268"/>
    <cellStyle name="タイトル 5" xfId="6227"/>
    <cellStyle name="タイトル 5 2" xfId="24273"/>
    <cellStyle name="タイトル 5 3" xfId="60889"/>
    <cellStyle name="タイトル 6" xfId="49269"/>
    <cellStyle name="タイトル 7" xfId="49270"/>
    <cellStyle name="タイトル 8" xfId="49271"/>
    <cellStyle name="チェック セル" xfId="1686"/>
    <cellStyle name="チェック セル 2" xfId="119"/>
    <cellStyle name="チェック セル 2 2" xfId="1688"/>
    <cellStyle name="チェック セル 2 2 2" xfId="1689"/>
    <cellStyle name="チェック セル 2 2 3" xfId="49272"/>
    <cellStyle name="チェック セル 2 2 4" xfId="49273"/>
    <cellStyle name="チェック セル 2 3" xfId="1690"/>
    <cellStyle name="チェック セル 2 3 2" xfId="1691"/>
    <cellStyle name="チェック セル 2 3 3" xfId="49274"/>
    <cellStyle name="チェック セル 2 3 4" xfId="49275"/>
    <cellStyle name="チェック セル 2 4" xfId="6242"/>
    <cellStyle name="チェック セル 2 5" xfId="49276"/>
    <cellStyle name="チェック セル 2 6" xfId="49277"/>
    <cellStyle name="チェック セル 2 7" xfId="49278"/>
    <cellStyle name="チェック セル 2 8" xfId="49279"/>
    <cellStyle name="チェック セル 2 9" xfId="1687"/>
    <cellStyle name="チェック セル 3" xfId="1692"/>
    <cellStyle name="チェック セル 3 2" xfId="1693"/>
    <cellStyle name="チェック セル 3 2 2" xfId="1694"/>
    <cellStyle name="チェック セル 3 2 3" xfId="49280"/>
    <cellStyle name="チェック セル 3 2 4" xfId="49281"/>
    <cellStyle name="チェック セル 3 3" xfId="1695"/>
    <cellStyle name="チェック セル 3 3 2" xfId="1696"/>
    <cellStyle name="チェック セル 3 3 3" xfId="49282"/>
    <cellStyle name="チェック セル 3 3 4" xfId="49283"/>
    <cellStyle name="チェック セル 3 4" xfId="1697"/>
    <cellStyle name="チェック セル 3 4 2" xfId="6246"/>
    <cellStyle name="チェック セル 3 4 3" xfId="49284"/>
    <cellStyle name="チェック セル 3 5" xfId="49285"/>
    <cellStyle name="チェック セル 3 6" xfId="49286"/>
    <cellStyle name="チェック セル 3 7" xfId="49287"/>
    <cellStyle name="チェック セル 3 8" xfId="49288"/>
    <cellStyle name="チェック セル 4" xfId="1698"/>
    <cellStyle name="チェック セル 4 2" xfId="1699"/>
    <cellStyle name="チェック セル 4 2 2" xfId="1700"/>
    <cellStyle name="チェック セル 4 2 3" xfId="49289"/>
    <cellStyle name="チェック セル 4 2 4" xfId="49290"/>
    <cellStyle name="チェック セル 4 3" xfId="1701"/>
    <cellStyle name="チェック セル 4 3 2" xfId="1702"/>
    <cellStyle name="チェック セル 4 3 3" xfId="49291"/>
    <cellStyle name="チェック セル 4 3 4" xfId="49292"/>
    <cellStyle name="チェック セル 4 4" xfId="1703"/>
    <cellStyle name="チェック セル 4 5" xfId="49293"/>
    <cellStyle name="チェック セル 4 6" xfId="49294"/>
    <cellStyle name="チェック セル 4 7" xfId="49295"/>
    <cellStyle name="チェック セル 5" xfId="6238"/>
    <cellStyle name="チェック セル 5 2" xfId="24274"/>
    <cellStyle name="チェック セル 5 3" xfId="60890"/>
    <cellStyle name="チェック セル 6" xfId="49296"/>
    <cellStyle name="チェック セル 7" xfId="49297"/>
    <cellStyle name="チェック セル 8" xfId="49298"/>
    <cellStyle name="どちらでもない" xfId="1704"/>
    <cellStyle name="どちらでもない 2" xfId="120"/>
    <cellStyle name="どちらでもない 2 2" xfId="1706"/>
    <cellStyle name="どちらでもない 2 2 2" xfId="1707"/>
    <cellStyle name="どちらでもない 2 2 3" xfId="49299"/>
    <cellStyle name="どちらでもない 2 2 4" xfId="49300"/>
    <cellStyle name="どちらでもない 2 3" xfId="1708"/>
    <cellStyle name="どちらでもない 2 3 2" xfId="1709"/>
    <cellStyle name="どちらでもない 2 3 3" xfId="49301"/>
    <cellStyle name="どちらでもない 2 3 4" xfId="49302"/>
    <cellStyle name="どちらでもない 2 4" xfId="6254"/>
    <cellStyle name="どちらでもない 2 5" xfId="49303"/>
    <cellStyle name="どちらでもない 2 6" xfId="49304"/>
    <cellStyle name="どちらでもない 2 7" xfId="49305"/>
    <cellStyle name="どちらでもない 2 8" xfId="49306"/>
    <cellStyle name="どちらでもない 2 9" xfId="1705"/>
    <cellStyle name="どちらでもない 3" xfId="1710"/>
    <cellStyle name="どちらでもない 3 2" xfId="1711"/>
    <cellStyle name="どちらでもない 3 2 2" xfId="1712"/>
    <cellStyle name="どちらでもない 3 2 3" xfId="49307"/>
    <cellStyle name="どちらでもない 3 2 4" xfId="49308"/>
    <cellStyle name="どちらでもない 3 3" xfId="1713"/>
    <cellStyle name="どちらでもない 3 3 2" xfId="1714"/>
    <cellStyle name="どちらでもない 3 3 3" xfId="49309"/>
    <cellStyle name="どちらでもない 3 3 4" xfId="49310"/>
    <cellStyle name="どちらでもない 3 4" xfId="1715"/>
    <cellStyle name="どちらでもない 3 4 2" xfId="6258"/>
    <cellStyle name="どちらでもない 3 4 3" xfId="49311"/>
    <cellStyle name="どちらでもない 3 5" xfId="49312"/>
    <cellStyle name="どちらでもない 3 6" xfId="49313"/>
    <cellStyle name="どちらでもない 3 7" xfId="49314"/>
    <cellStyle name="どちらでもない 3 8" xfId="49315"/>
    <cellStyle name="どちらでもない 4" xfId="1716"/>
    <cellStyle name="どちらでもない 4 2" xfId="1717"/>
    <cellStyle name="どちらでもない 4 2 2" xfId="1718"/>
    <cellStyle name="どちらでもない 4 2 3" xfId="49316"/>
    <cellStyle name="どちらでもない 4 2 4" xfId="49317"/>
    <cellStyle name="どちらでもない 4 3" xfId="1719"/>
    <cellStyle name="どちらでもない 4 3 2" xfId="1720"/>
    <cellStyle name="どちらでもない 4 3 3" xfId="49318"/>
    <cellStyle name="どちらでもない 4 3 4" xfId="49319"/>
    <cellStyle name="どちらでもない 4 4" xfId="1721"/>
    <cellStyle name="どちらでもない 4 5" xfId="49320"/>
    <cellStyle name="どちらでもない 4 6" xfId="49321"/>
    <cellStyle name="どちらでもない 4 7" xfId="49322"/>
    <cellStyle name="どちらでもない 5" xfId="6250"/>
    <cellStyle name="どちらでもない 5 2" xfId="24275"/>
    <cellStyle name="どちらでもない 5 3" xfId="60891"/>
    <cellStyle name="どちらでもない 6" xfId="49323"/>
    <cellStyle name="どちらでもない 7" xfId="49324"/>
    <cellStyle name="どちらでもない 8" xfId="49325"/>
    <cellStyle name="パーセント 10" xfId="1722"/>
    <cellStyle name="パーセント 10 2" xfId="6262"/>
    <cellStyle name="パーセント 10 3" xfId="49326"/>
    <cellStyle name="パーセント 10 4" xfId="49327"/>
    <cellStyle name="パーセント 11" xfId="1723"/>
    <cellStyle name="パーセント 11 2" xfId="6263"/>
    <cellStyle name="パーセント 11 3" xfId="49328"/>
    <cellStyle name="パーセント 12" xfId="1724"/>
    <cellStyle name="パーセント 12 2" xfId="1725"/>
    <cellStyle name="パーセント 12 3" xfId="6264"/>
    <cellStyle name="パーセント 12 4" xfId="49329"/>
    <cellStyle name="パーセント 13" xfId="1726"/>
    <cellStyle name="パーセント 13 2" xfId="1727"/>
    <cellStyle name="パーセント 13 3" xfId="6265"/>
    <cellStyle name="パーセント 13 4" xfId="49330"/>
    <cellStyle name="パーセント 14" xfId="49331"/>
    <cellStyle name="パーセント 14 2" xfId="49332"/>
    <cellStyle name="パーセント 15" xfId="6266"/>
    <cellStyle name="パーセント 16" xfId="49333"/>
    <cellStyle name="パーセント 16 2" xfId="49334"/>
    <cellStyle name="パーセント 17" xfId="49335"/>
    <cellStyle name="パーセント 17 2" xfId="49336"/>
    <cellStyle name="パーセント 18" xfId="49337"/>
    <cellStyle name="パーセント 19" xfId="49338"/>
    <cellStyle name="パーセント 2" xfId="72"/>
    <cellStyle name="パーセント 2 10" xfId="24276"/>
    <cellStyle name="パーセント 2 11" xfId="49339"/>
    <cellStyle name="パーセント 2 12" xfId="49340"/>
    <cellStyle name="パーセント 2 13" xfId="1728"/>
    <cellStyle name="パーセント 2 14" xfId="60892"/>
    <cellStyle name="パーセント 2 2" xfId="1729"/>
    <cellStyle name="パーセント 2 2 2" xfId="1730"/>
    <cellStyle name="パーセント 2 2 2 2" xfId="1731"/>
    <cellStyle name="パーセント 2 2 2 2 2" xfId="6270"/>
    <cellStyle name="パーセント 2 2 2 2 2 2" xfId="24277"/>
    <cellStyle name="パーセント 2 2 2 2 3" xfId="49341"/>
    <cellStyle name="パーセント 2 2 2 3" xfId="6269"/>
    <cellStyle name="パーセント 2 2 2 3 2" xfId="24278"/>
    <cellStyle name="パーセント 2 2 2 4" xfId="49342"/>
    <cellStyle name="パーセント 2 2 3" xfId="1732"/>
    <cellStyle name="パーセント 2 2 3 2" xfId="1733"/>
    <cellStyle name="パーセント 2 2 3 2 2" xfId="6272"/>
    <cellStyle name="パーセント 2 2 3 2 3" xfId="49343"/>
    <cellStyle name="パーセント 2 2 3 3" xfId="24279"/>
    <cellStyle name="パーセント 2 2 3 4" xfId="49344"/>
    <cellStyle name="パーセント 2 2 4" xfId="1734"/>
    <cellStyle name="パーセント 2 2 4 2" xfId="1735"/>
    <cellStyle name="パーセント 2 2 4 3" xfId="24280"/>
    <cellStyle name="パーセント 2 2 4 4" xfId="49345"/>
    <cellStyle name="パーセント 2 2 5" xfId="6268"/>
    <cellStyle name="パーセント 2 2 6" xfId="49346"/>
    <cellStyle name="パーセント 2 2 7" xfId="60893"/>
    <cellStyle name="パーセント 2 3" xfId="1736"/>
    <cellStyle name="パーセント 2 3 2" xfId="1737"/>
    <cellStyle name="パーセント 2 3 2 2" xfId="24281"/>
    <cellStyle name="パーセント 2 3 2 2 2" xfId="49347"/>
    <cellStyle name="パーセント 2 3 2 3" xfId="49348"/>
    <cellStyle name="パーセント 2 3 2 3 2" xfId="49349"/>
    <cellStyle name="パーセント 2 3 2 4" xfId="49350"/>
    <cellStyle name="パーセント 2 3 3" xfId="1738"/>
    <cellStyle name="パーセント 2 3 3 2" xfId="49351"/>
    <cellStyle name="パーセント 2 3 3 2 2" xfId="49352"/>
    <cellStyle name="パーセント 2 3 3 3" xfId="49353"/>
    <cellStyle name="パーセント 2 3 3 3 2" xfId="49354"/>
    <cellStyle name="パーセント 2 3 3 4" xfId="49355"/>
    <cellStyle name="パーセント 2 3 4" xfId="6276"/>
    <cellStyle name="パーセント 2 3 4 2" xfId="49356"/>
    <cellStyle name="パーセント 2 3 5" xfId="24282"/>
    <cellStyle name="パーセント 2 3 5 2" xfId="49357"/>
    <cellStyle name="パーセント 2 3 6" xfId="49358"/>
    <cellStyle name="パーセント 2 3 7" xfId="60894"/>
    <cellStyle name="パーセント 2 4" xfId="1739"/>
    <cellStyle name="パーセント 2 4 2" xfId="1740"/>
    <cellStyle name="パーセント 2 4 2 2" xfId="1741"/>
    <cellStyle name="パーセント 2 4 2 3" xfId="6278"/>
    <cellStyle name="パーセント 2 4 2 4" xfId="49359"/>
    <cellStyle name="パーセント 2 4 3" xfId="1742"/>
    <cellStyle name="パーセント 2 4 3 2" xfId="1743"/>
    <cellStyle name="パーセント 2 4 3 3" xfId="49360"/>
    <cellStyle name="パーセント 2 4 3 4" xfId="49361"/>
    <cellStyle name="パーセント 2 4 4" xfId="1744"/>
    <cellStyle name="パーセント 2 4 4 2" xfId="1745"/>
    <cellStyle name="パーセント 2 4 4 3" xfId="24283"/>
    <cellStyle name="パーセント 2 4 5" xfId="6277"/>
    <cellStyle name="パーセント 2 4 6" xfId="49362"/>
    <cellStyle name="パーセント 2 5" xfId="1746"/>
    <cellStyle name="パーセント 2 5 2" xfId="1747"/>
    <cellStyle name="パーセント 2 5 2 2" xfId="6281"/>
    <cellStyle name="パーセント 2 5 2 3" xfId="49363"/>
    <cellStyle name="パーセント 2 5 3" xfId="6280"/>
    <cellStyle name="パーセント 2 5 4" xfId="49364"/>
    <cellStyle name="パーセント 2 6" xfId="1748"/>
    <cellStyle name="パーセント 2 6 2" xfId="1749"/>
    <cellStyle name="パーセント 2 6 2 2" xfId="6283"/>
    <cellStyle name="パーセント 2 6 2 3" xfId="49365"/>
    <cellStyle name="パーセント 2 6 3" xfId="6282"/>
    <cellStyle name="パーセント 2 6 4" xfId="49366"/>
    <cellStyle name="パーセント 2 7" xfId="1750"/>
    <cellStyle name="パーセント 2 7 2" xfId="1751"/>
    <cellStyle name="パーセント 2 7 3" xfId="6284"/>
    <cellStyle name="パーセント 2 7 4" xfId="49367"/>
    <cellStyle name="パーセント 2 8" xfId="1752"/>
    <cellStyle name="パーセント 2 8 2" xfId="6285"/>
    <cellStyle name="パーセント 2 8 3" xfId="49368"/>
    <cellStyle name="パーセント 2 9" xfId="6286"/>
    <cellStyle name="パーセント 3" xfId="693"/>
    <cellStyle name="パーセント 3 10" xfId="6287"/>
    <cellStyle name="パーセント 3 10 2" xfId="24284"/>
    <cellStyle name="パーセント 3 11" xfId="49369"/>
    <cellStyle name="パーセント 3 12" xfId="49370"/>
    <cellStyle name="パーセント 3 13" xfId="1753"/>
    <cellStyle name="パーセント 3 2" xfId="1754"/>
    <cellStyle name="パーセント 3 2 10" xfId="60895"/>
    <cellStyle name="パーセント 3 2 2" xfId="1755"/>
    <cellStyle name="パーセント 3 2 2 2" xfId="1756"/>
    <cellStyle name="パーセント 3 2 2 2 2" xfId="1757"/>
    <cellStyle name="パーセント 3 2 2 2 2 2" xfId="6291"/>
    <cellStyle name="パーセント 3 2 2 2 2 3" xfId="49371"/>
    <cellStyle name="パーセント 3 2 2 2 2 4" xfId="49372"/>
    <cellStyle name="パーセント 3 2 2 2 3" xfId="6292"/>
    <cellStyle name="パーセント 3 2 2 2 4" xfId="6293"/>
    <cellStyle name="パーセント 3 2 2 3" xfId="6294"/>
    <cellStyle name="パーセント 3 2 2 4" xfId="24285"/>
    <cellStyle name="パーセント 3 2 2 5" xfId="49373"/>
    <cellStyle name="パーセント 3 2 3" xfId="1758"/>
    <cellStyle name="パーセント 3 2 3 2" xfId="1759"/>
    <cellStyle name="パーセント 3 2 3 2 2" xfId="1760"/>
    <cellStyle name="パーセント 3 2 3 2 3" xfId="49374"/>
    <cellStyle name="パーセント 3 2 3 2 4" xfId="49375"/>
    <cellStyle name="パーセント 3 2 3 3" xfId="6295"/>
    <cellStyle name="パーセント 3 2 3 4" xfId="49376"/>
    <cellStyle name="パーセント 3 2 3 5" xfId="49377"/>
    <cellStyle name="パーセント 3 2 4" xfId="1761"/>
    <cellStyle name="パーセント 3 2 4 2" xfId="1762"/>
    <cellStyle name="パーセント 3 2 4 3" xfId="6296"/>
    <cellStyle name="パーセント 3 2 4 4" xfId="49378"/>
    <cellStyle name="パーセント 3 2 4 5" xfId="49379"/>
    <cellStyle name="パーセント 3 2 5" xfId="1763"/>
    <cellStyle name="パーセント 3 2 5 2" xfId="6299"/>
    <cellStyle name="パーセント 3 2 5 3" xfId="6298"/>
    <cellStyle name="パーセント 3 2 5 4" xfId="49380"/>
    <cellStyle name="パーセント 3 2 5 5" xfId="49381"/>
    <cellStyle name="パーセント 3 2 6" xfId="1764"/>
    <cellStyle name="パーセント 3 2 6 2" xfId="6301"/>
    <cellStyle name="パーセント 3 2 6 3" xfId="6300"/>
    <cellStyle name="パーセント 3 2 6 4" xfId="49382"/>
    <cellStyle name="パーセント 3 2 6 5" xfId="49383"/>
    <cellStyle name="パーセント 3 2 7" xfId="1765"/>
    <cellStyle name="パーセント 3 2 7 10" xfId="6302"/>
    <cellStyle name="パーセント 3 2 7 11" xfId="49384"/>
    <cellStyle name="パーセント 3 2 7 2" xfId="1766"/>
    <cellStyle name="パーセント 3 2 7 2 2" xfId="6303"/>
    <cellStyle name="パーセント 3 2 7 2 3" xfId="49385"/>
    <cellStyle name="パーセント 3 2 7 3" xfId="1767"/>
    <cellStyle name="パーセント 3 2 7 3 2" xfId="6304"/>
    <cellStyle name="パーセント 3 2 7 3 3" xfId="49386"/>
    <cellStyle name="パーセント 3 2 7 4" xfId="1768"/>
    <cellStyle name="パーセント 3 2 7 4 2" xfId="6305"/>
    <cellStyle name="パーセント 3 2 7 4 3" xfId="49387"/>
    <cellStyle name="パーセント 3 2 7 5" xfId="1769"/>
    <cellStyle name="パーセント 3 2 7 5 2" xfId="6306"/>
    <cellStyle name="パーセント 3 2 7 5 3" xfId="49388"/>
    <cellStyle name="パーセント 3 2 7 6" xfId="1770"/>
    <cellStyle name="パーセント 3 2 7 6 2" xfId="6307"/>
    <cellStyle name="パーセント 3 2 7 6 3" xfId="49389"/>
    <cellStyle name="パーセント 3 2 7 7" xfId="1771"/>
    <cellStyle name="パーセント 3 2 7 7 2" xfId="6308"/>
    <cellStyle name="パーセント 3 2 7 7 3" xfId="49390"/>
    <cellStyle name="パーセント 3 2 7 8" xfId="1772"/>
    <cellStyle name="パーセント 3 2 7 8 2" xfId="6309"/>
    <cellStyle name="パーセント 3 2 7 8 3" xfId="49391"/>
    <cellStyle name="パーセント 3 2 7 9" xfId="6310"/>
    <cellStyle name="パーセント 3 2 8" xfId="6311"/>
    <cellStyle name="パーセント 3 2 9" xfId="6288"/>
    <cellStyle name="パーセント 3 2 9 2" xfId="24286"/>
    <cellStyle name="パーセント 3 3" xfId="1773"/>
    <cellStyle name="パーセント 3 3 2" xfId="1774"/>
    <cellStyle name="パーセント 3 3 2 2" xfId="1775"/>
    <cellStyle name="パーセント 3 3 2 3" xfId="6313"/>
    <cellStyle name="パーセント 3 3 2 4" xfId="49392"/>
    <cellStyle name="パーセント 3 3 3" xfId="6312"/>
    <cellStyle name="パーセント 3 3 3 2" xfId="24287"/>
    <cellStyle name="パーセント 3 3 4" xfId="49393"/>
    <cellStyle name="パーセント 3 3 5" xfId="49394"/>
    <cellStyle name="パーセント 3 3 6" xfId="60896"/>
    <cellStyle name="パーセント 3 4" xfId="1776"/>
    <cellStyle name="パーセント 3 4 2" xfId="1777"/>
    <cellStyle name="パーセント 3 4 2 2" xfId="1778"/>
    <cellStyle name="パーセント 3 4 3" xfId="6314"/>
    <cellStyle name="パーセント 3 4 4" xfId="49395"/>
    <cellStyle name="パーセント 3 4 5" xfId="49396"/>
    <cellStyle name="パーセント 3 5" xfId="1779"/>
    <cellStyle name="パーセント 3 5 2" xfId="1780"/>
    <cellStyle name="パーセント 3 5 2 2" xfId="6316"/>
    <cellStyle name="パーセント 3 5 2 3" xfId="49397"/>
    <cellStyle name="パーセント 3 5 3" xfId="6315"/>
    <cellStyle name="パーセント 3 5 4" xfId="49398"/>
    <cellStyle name="パーセント 3 6" xfId="6317"/>
    <cellStyle name="パーセント 3 6 2" xfId="6318"/>
    <cellStyle name="パーセント 3 7" xfId="6319"/>
    <cellStyle name="パーセント 3 7 2" xfId="6320"/>
    <cellStyle name="パーセント 3 8" xfId="6321"/>
    <cellStyle name="パーセント 3 9" xfId="6322"/>
    <cellStyle name="パーセント 4" xfId="1781"/>
    <cellStyle name="パーセント 4 2" xfId="1782"/>
    <cellStyle name="パーセント 4 2 2" xfId="1783"/>
    <cellStyle name="パーセント 4 2 2 2" xfId="6325"/>
    <cellStyle name="パーセント 4 2 2 3" xfId="49399"/>
    <cellStyle name="パーセント 4 2 3" xfId="6324"/>
    <cellStyle name="パーセント 4 2 4" xfId="49400"/>
    <cellStyle name="パーセント 4 2 5" xfId="49401"/>
    <cellStyle name="パーセント 4 2 6" xfId="60897"/>
    <cellStyle name="パーセント 4 3" xfId="1784"/>
    <cellStyle name="パーセント 4 3 2" xfId="1785"/>
    <cellStyle name="パーセント 4 3 3" xfId="6326"/>
    <cellStyle name="パーセント 4 3 4" xfId="49402"/>
    <cellStyle name="パーセント 4 3 5" xfId="49403"/>
    <cellStyle name="パーセント 4 4" xfId="1786"/>
    <cellStyle name="パーセント 4 4 2" xfId="1787"/>
    <cellStyle name="パーセント 4 4 3" xfId="49404"/>
    <cellStyle name="パーセント 4 4 4" xfId="49405"/>
    <cellStyle name="パーセント 4 5" xfId="6323"/>
    <cellStyle name="パーセント 4 6" xfId="49406"/>
    <cellStyle name="パーセント 4 7" xfId="49407"/>
    <cellStyle name="パーセント 5" xfId="1788"/>
    <cellStyle name="パーセント 5 2" xfId="1789"/>
    <cellStyle name="パーセント 5 2 2" xfId="1790"/>
    <cellStyle name="パーセント 5 2 2 2" xfId="6329"/>
    <cellStyle name="パーセント 5 2 2 3" xfId="49408"/>
    <cellStyle name="パーセント 5 2 3" xfId="6328"/>
    <cellStyle name="パーセント 5 2 4" xfId="49409"/>
    <cellStyle name="パーセント 5 2 5" xfId="49410"/>
    <cellStyle name="パーセント 5 3" xfId="1791"/>
    <cellStyle name="パーセント 5 3 2" xfId="1792"/>
    <cellStyle name="パーセント 5 3 3" xfId="49411"/>
    <cellStyle name="パーセント 5 3 4" xfId="49412"/>
    <cellStyle name="パーセント 5 4" xfId="1793"/>
    <cellStyle name="パーセント 5 4 2" xfId="1794"/>
    <cellStyle name="パーセント 5 5" xfId="6327"/>
    <cellStyle name="パーセント 5 6" xfId="49413"/>
    <cellStyle name="パーセント 5 7" xfId="49414"/>
    <cellStyle name="パーセント 5 8" xfId="60898"/>
    <cellStyle name="パーセント 6" xfId="1795"/>
    <cellStyle name="パーセント 6 2" xfId="1796"/>
    <cellStyle name="パーセント 6 2 2" xfId="1797"/>
    <cellStyle name="パーセント 6 2 3" xfId="49415"/>
    <cellStyle name="パーセント 6 2 4" xfId="49416"/>
    <cellStyle name="パーセント 6 3" xfId="1798"/>
    <cellStyle name="パーセント 6 3 2" xfId="1799"/>
    <cellStyle name="パーセント 6 3 3" xfId="49417"/>
    <cellStyle name="パーセント 6 3 4" xfId="49418"/>
    <cellStyle name="パーセント 6 4" xfId="1800"/>
    <cellStyle name="パーセント 6 4 2" xfId="1801"/>
    <cellStyle name="パーセント 6 5" xfId="49419"/>
    <cellStyle name="パーセント 6 6" xfId="49420"/>
    <cellStyle name="パーセント 6 7" xfId="49421"/>
    <cellStyle name="パーセント 6 8" xfId="60899"/>
    <cellStyle name="パーセント 7" xfId="1802"/>
    <cellStyle name="パーセント 7 2" xfId="1803"/>
    <cellStyle name="パーセント 7 2 2" xfId="1804"/>
    <cellStyle name="パーセント 7 2 3" xfId="49422"/>
    <cellStyle name="パーセント 7 2 4" xfId="49423"/>
    <cellStyle name="パーセント 7 3" xfId="1805"/>
    <cellStyle name="パーセント 7 3 2" xfId="1806"/>
    <cellStyle name="パーセント 7 3 3" xfId="49424"/>
    <cellStyle name="パーセント 7 3 4" xfId="49425"/>
    <cellStyle name="パーセント 7 4" xfId="1807"/>
    <cellStyle name="パーセント 7 4 2" xfId="1808"/>
    <cellStyle name="パーセント 7 5" xfId="6334"/>
    <cellStyle name="パーセント 7 6" xfId="49426"/>
    <cellStyle name="パーセント 7 7" xfId="49427"/>
    <cellStyle name="パーセント 7 8" xfId="60900"/>
    <cellStyle name="パーセント 8" xfId="1809"/>
    <cellStyle name="パーセント 8 2" xfId="1810"/>
    <cellStyle name="パーセント 8 2 2" xfId="1811"/>
    <cellStyle name="パーセント 8 2 2 2" xfId="1812"/>
    <cellStyle name="パーセント 8 2 3" xfId="49428"/>
    <cellStyle name="パーセント 8 2 3 2" xfId="49429"/>
    <cellStyle name="パーセント 8 3" xfId="1813"/>
    <cellStyle name="パーセント 8 3 2" xfId="1814"/>
    <cellStyle name="パーセント 8 3 2 2" xfId="1815"/>
    <cellStyle name="パーセント 8 3 3" xfId="49430"/>
    <cellStyle name="パーセント 8 3 3 2" xfId="49431"/>
    <cellStyle name="パーセント 8 4" xfId="1816"/>
    <cellStyle name="パーセント 8 4 2" xfId="1817"/>
    <cellStyle name="パーセント 8 4 3" xfId="1818"/>
    <cellStyle name="パーセント 8 5" xfId="6337"/>
    <cellStyle name="パーセント 8 5 2" xfId="49432"/>
    <cellStyle name="パーセント 8 6" xfId="49433"/>
    <cellStyle name="パーセント 9" xfId="1819"/>
    <cellStyle name="パーセント 9 2" xfId="1820"/>
    <cellStyle name="パーセント 9 2 2" xfId="49434"/>
    <cellStyle name="パーセント 9 3" xfId="6340"/>
    <cellStyle name="パーセント 9 3 2" xfId="49435"/>
    <cellStyle name="パーセント 9 4" xfId="49436"/>
    <cellStyle name="パーセント 9 4 2" xfId="49437"/>
    <cellStyle name="パーセント 9 5" xfId="49438"/>
    <cellStyle name="パーセント 9 6" xfId="49439"/>
    <cellStyle name="ハイパーリンク 2" xfId="6341"/>
    <cellStyle name="ハイパーリンク 2 2" xfId="49440"/>
    <cellStyle name="ハイパーリンク 3" xfId="49441"/>
    <cellStyle name="メモ" xfId="1821"/>
    <cellStyle name="メモ 10" xfId="19542"/>
    <cellStyle name="メモ 10 2" xfId="24288"/>
    <cellStyle name="メモ 11" xfId="24289"/>
    <cellStyle name="メモ 11 2" xfId="49442"/>
    <cellStyle name="メモ 11 3" xfId="49443"/>
    <cellStyle name="メモ 12" xfId="24290"/>
    <cellStyle name="メモ 13" xfId="49444"/>
    <cellStyle name="メモ 14" xfId="60901"/>
    <cellStyle name="メモ 2" xfId="121"/>
    <cellStyle name="メモ 2 10" xfId="6343"/>
    <cellStyle name="メモ 2 10 2" xfId="24293"/>
    <cellStyle name="メモ 2 10 3" xfId="24292"/>
    <cellStyle name="メモ 2 11" xfId="17833"/>
    <cellStyle name="メモ 2 11 2" xfId="24294"/>
    <cellStyle name="メモ 2 12" xfId="24295"/>
    <cellStyle name="メモ 2 13" xfId="24291"/>
    <cellStyle name="メモ 2 14" xfId="1822"/>
    <cellStyle name="メモ 2 15" xfId="60902"/>
    <cellStyle name="メモ 2 2" xfId="1823"/>
    <cellStyle name="メモ 2 2 2" xfId="11130"/>
    <cellStyle name="メモ 2 2 2 2" xfId="11131"/>
    <cellStyle name="メモ 2 2 2 2 2" xfId="20482"/>
    <cellStyle name="メモ 2 2 2 2 2 2" xfId="24299"/>
    <cellStyle name="メモ 2 2 2 2 3" xfId="22040"/>
    <cellStyle name="メモ 2 2 2 2 4" xfId="24298"/>
    <cellStyle name="メモ 2 2 2 3" xfId="11132"/>
    <cellStyle name="メモ 2 2 2 3 2" xfId="20481"/>
    <cellStyle name="メモ 2 2 2 3 2 2" xfId="24301"/>
    <cellStyle name="メモ 2 2 2 3 3" xfId="22041"/>
    <cellStyle name="メモ 2 2 2 3 4" xfId="24300"/>
    <cellStyle name="メモ 2 2 2 4" xfId="19501"/>
    <cellStyle name="メモ 2 2 2 4 2" xfId="24302"/>
    <cellStyle name="メモ 2 2 2 5" xfId="22039"/>
    <cellStyle name="メモ 2 2 2 6" xfId="24297"/>
    <cellStyle name="メモ 2 2 3" xfId="11133"/>
    <cellStyle name="メモ 2 2 3 2" xfId="18508"/>
    <cellStyle name="メモ 2 2 3 2 2" xfId="24304"/>
    <cellStyle name="メモ 2 2 3 3" xfId="22042"/>
    <cellStyle name="メモ 2 2 3 4" xfId="24303"/>
    <cellStyle name="メモ 2 2 4" xfId="11134"/>
    <cellStyle name="メモ 2 2 4 2" xfId="20480"/>
    <cellStyle name="メモ 2 2 4 2 2" xfId="24306"/>
    <cellStyle name="メモ 2 2 4 3" xfId="22043"/>
    <cellStyle name="メモ 2 2 4 4" xfId="24305"/>
    <cellStyle name="メモ 2 2 5" xfId="6344"/>
    <cellStyle name="メモ 2 2 5 2" xfId="24307"/>
    <cellStyle name="メモ 2 2 6" xfId="19543"/>
    <cellStyle name="メモ 2 2 6 2" xfId="24308"/>
    <cellStyle name="メモ 2 2 7" xfId="24296"/>
    <cellStyle name="メモ 2 2 8" xfId="60903"/>
    <cellStyle name="メモ 2 3" xfId="1824"/>
    <cellStyle name="メモ 2 3 2" xfId="11135"/>
    <cellStyle name="メモ 2 3 2 2" xfId="11136"/>
    <cellStyle name="メモ 2 3 2 2 2" xfId="19500"/>
    <cellStyle name="メモ 2 3 2 2 2 2" xfId="24312"/>
    <cellStyle name="メモ 2 3 2 2 3" xfId="22045"/>
    <cellStyle name="メモ 2 3 2 2 4" xfId="24311"/>
    <cellStyle name="メモ 2 3 2 3" xfId="11137"/>
    <cellStyle name="メモ 2 3 2 3 2" xfId="21512"/>
    <cellStyle name="メモ 2 3 2 3 2 2" xfId="24314"/>
    <cellStyle name="メモ 2 3 2 3 3" xfId="22046"/>
    <cellStyle name="メモ 2 3 2 3 4" xfId="24313"/>
    <cellStyle name="メモ 2 3 2 4" xfId="21513"/>
    <cellStyle name="メモ 2 3 2 4 2" xfId="24315"/>
    <cellStyle name="メモ 2 3 2 5" xfId="22044"/>
    <cellStyle name="メモ 2 3 2 6" xfId="24310"/>
    <cellStyle name="メモ 2 3 3" xfId="11138"/>
    <cellStyle name="メモ 2 3 3 2" xfId="21511"/>
    <cellStyle name="メモ 2 3 3 2 2" xfId="24317"/>
    <cellStyle name="メモ 2 3 3 3" xfId="22047"/>
    <cellStyle name="メモ 2 3 3 4" xfId="24316"/>
    <cellStyle name="メモ 2 3 4" xfId="11139"/>
    <cellStyle name="メモ 2 3 4 2" xfId="21510"/>
    <cellStyle name="メモ 2 3 4 2 2" xfId="24319"/>
    <cellStyle name="メモ 2 3 4 3" xfId="22048"/>
    <cellStyle name="メモ 2 3 4 4" xfId="24318"/>
    <cellStyle name="メモ 2 3 5" xfId="6345"/>
    <cellStyle name="メモ 2 3 5 2" xfId="24320"/>
    <cellStyle name="メモ 2 3 6" xfId="19544"/>
    <cellStyle name="メモ 2 3 6 2" xfId="24321"/>
    <cellStyle name="メモ 2 3 7" xfId="24309"/>
    <cellStyle name="メモ 2 4" xfId="6346"/>
    <cellStyle name="メモ 2 4 2" xfId="11140"/>
    <cellStyle name="メモ 2 4 2 2" xfId="11141"/>
    <cellStyle name="メモ 2 4 2 2 2" xfId="21508"/>
    <cellStyle name="メモ 2 4 2 2 2 2" xfId="24325"/>
    <cellStyle name="メモ 2 4 2 2 3" xfId="22050"/>
    <cellStyle name="メモ 2 4 2 2 4" xfId="24324"/>
    <cellStyle name="メモ 2 4 2 3" xfId="11142"/>
    <cellStyle name="メモ 2 4 2 3 2" xfId="21507"/>
    <cellStyle name="メモ 2 4 2 3 2 2" xfId="24327"/>
    <cellStyle name="メモ 2 4 2 3 3" xfId="22051"/>
    <cellStyle name="メモ 2 4 2 3 4" xfId="24326"/>
    <cellStyle name="メモ 2 4 2 4" xfId="21509"/>
    <cellStyle name="メモ 2 4 2 4 2" xfId="24328"/>
    <cellStyle name="メモ 2 4 2 5" xfId="22049"/>
    <cellStyle name="メモ 2 4 2 6" xfId="24323"/>
    <cellStyle name="メモ 2 4 3" xfId="11143"/>
    <cellStyle name="メモ 2 4 3 2" xfId="18771"/>
    <cellStyle name="メモ 2 4 3 2 2" xfId="24330"/>
    <cellStyle name="メモ 2 4 3 3" xfId="22052"/>
    <cellStyle name="メモ 2 4 3 4" xfId="24329"/>
    <cellStyle name="メモ 2 4 4" xfId="11144"/>
    <cellStyle name="メモ 2 4 4 2" xfId="21506"/>
    <cellStyle name="メモ 2 4 4 2 2" xfId="24332"/>
    <cellStyle name="メモ 2 4 4 3" xfId="22053"/>
    <cellStyle name="メモ 2 4 4 4" xfId="24331"/>
    <cellStyle name="メモ 2 4 5" xfId="19545"/>
    <cellStyle name="メモ 2 4 5 2" xfId="24333"/>
    <cellStyle name="メモ 2 4 6" xfId="24322"/>
    <cellStyle name="メモ 2 5" xfId="6347"/>
    <cellStyle name="メモ 2 5 2" xfId="11145"/>
    <cellStyle name="メモ 2 5 2 2" xfId="11146"/>
    <cellStyle name="メモ 2 5 2 2 2" xfId="21504"/>
    <cellStyle name="メモ 2 5 2 2 2 2" xfId="24337"/>
    <cellStyle name="メモ 2 5 2 2 3" xfId="22055"/>
    <cellStyle name="メモ 2 5 2 2 4" xfId="24336"/>
    <cellStyle name="メモ 2 5 2 3" xfId="11147"/>
    <cellStyle name="メモ 2 5 2 3 2" xfId="19499"/>
    <cellStyle name="メモ 2 5 2 3 2 2" xfId="24339"/>
    <cellStyle name="メモ 2 5 2 3 3" xfId="22056"/>
    <cellStyle name="メモ 2 5 2 3 4" xfId="24338"/>
    <cellStyle name="メモ 2 5 2 4" xfId="21505"/>
    <cellStyle name="メモ 2 5 2 4 2" xfId="24340"/>
    <cellStyle name="メモ 2 5 2 5" xfId="22054"/>
    <cellStyle name="メモ 2 5 2 6" xfId="24335"/>
    <cellStyle name="メモ 2 5 3" xfId="11148"/>
    <cellStyle name="メモ 2 5 3 2" xfId="21503"/>
    <cellStyle name="メモ 2 5 3 2 2" xfId="24342"/>
    <cellStyle name="メモ 2 5 3 3" xfId="22057"/>
    <cellStyle name="メモ 2 5 3 4" xfId="24341"/>
    <cellStyle name="メモ 2 5 4" xfId="11149"/>
    <cellStyle name="メモ 2 5 4 2" xfId="18770"/>
    <cellStyle name="メモ 2 5 4 2 2" xfId="24344"/>
    <cellStyle name="メモ 2 5 4 3" xfId="22058"/>
    <cellStyle name="メモ 2 5 4 4" xfId="24343"/>
    <cellStyle name="メモ 2 5 5" xfId="20500"/>
    <cellStyle name="メモ 2 5 5 2" xfId="24345"/>
    <cellStyle name="メモ 2 5 6" xfId="24334"/>
    <cellStyle name="メモ 2 6" xfId="6348"/>
    <cellStyle name="メモ 2 6 2" xfId="11150"/>
    <cellStyle name="メモ 2 6 2 2" xfId="11151"/>
    <cellStyle name="メモ 2 6 2 2 2" xfId="21501"/>
    <cellStyle name="メモ 2 6 2 2 2 2" xfId="24349"/>
    <cellStyle name="メモ 2 6 2 2 3" xfId="22060"/>
    <cellStyle name="メモ 2 6 2 2 4" xfId="24348"/>
    <cellStyle name="メモ 2 6 2 3" xfId="21502"/>
    <cellStyle name="メモ 2 6 2 3 2" xfId="24350"/>
    <cellStyle name="メモ 2 6 2 4" xfId="22059"/>
    <cellStyle name="メモ 2 6 2 5" xfId="24347"/>
    <cellStyle name="メモ 2 6 3" xfId="11152"/>
    <cellStyle name="メモ 2 6 3 2" xfId="21500"/>
    <cellStyle name="メモ 2 6 3 2 2" xfId="24352"/>
    <cellStyle name="メモ 2 6 3 3" xfId="22061"/>
    <cellStyle name="メモ 2 6 3 4" xfId="24351"/>
    <cellStyle name="メモ 2 6 4" xfId="19546"/>
    <cellStyle name="メモ 2 6 4 2" xfId="24353"/>
    <cellStyle name="メモ 2 6 5" xfId="24346"/>
    <cellStyle name="メモ 2 7" xfId="11153"/>
    <cellStyle name="メモ 2 7 2" xfId="11154"/>
    <cellStyle name="メモ 2 7 2 2" xfId="21499"/>
    <cellStyle name="メモ 2 7 2 2 2" xfId="24356"/>
    <cellStyle name="メモ 2 7 2 3" xfId="22063"/>
    <cellStyle name="メモ 2 7 2 4" xfId="24355"/>
    <cellStyle name="メモ 2 7 3" xfId="11155"/>
    <cellStyle name="メモ 2 7 3 2" xfId="18769"/>
    <cellStyle name="メモ 2 7 3 2 2" xfId="24358"/>
    <cellStyle name="メモ 2 7 3 3" xfId="22064"/>
    <cellStyle name="メモ 2 7 3 4" xfId="24357"/>
    <cellStyle name="メモ 2 7 4" xfId="19498"/>
    <cellStyle name="メモ 2 7 4 2" xfId="24359"/>
    <cellStyle name="メモ 2 7 5" xfId="22062"/>
    <cellStyle name="メモ 2 7 6" xfId="24354"/>
    <cellStyle name="メモ 2 8" xfId="11156"/>
    <cellStyle name="メモ 2 8 2" xfId="21498"/>
    <cellStyle name="メモ 2 8 2 2" xfId="24361"/>
    <cellStyle name="メモ 2 8 3" xfId="22065"/>
    <cellStyle name="メモ 2 8 4" xfId="24360"/>
    <cellStyle name="メモ 2 9" xfId="11157"/>
    <cellStyle name="メモ 2 9 2" xfId="21497"/>
    <cellStyle name="メモ 2 9 2 2" xfId="24363"/>
    <cellStyle name="メモ 2 9 3" xfId="22066"/>
    <cellStyle name="メモ 2 9 4" xfId="24362"/>
    <cellStyle name="メモ 3" xfId="1825"/>
    <cellStyle name="メモ 3 10" xfId="6349"/>
    <cellStyle name="メモ 3 10 2" xfId="24366"/>
    <cellStyle name="メモ 3 10 3" xfId="24365"/>
    <cellStyle name="メモ 3 11" xfId="17834"/>
    <cellStyle name="メモ 3 11 2" xfId="24367"/>
    <cellStyle name="メモ 3 12" xfId="24368"/>
    <cellStyle name="メモ 3 13" xfId="24364"/>
    <cellStyle name="メモ 3 14" xfId="60904"/>
    <cellStyle name="メモ 3 2" xfId="1826"/>
    <cellStyle name="メモ 3 2 2" xfId="1827"/>
    <cellStyle name="メモ 3 2 2 2" xfId="11159"/>
    <cellStyle name="メモ 3 2 2 2 2" xfId="17822"/>
    <cellStyle name="メモ 3 2 2 2 2 2" xfId="24372"/>
    <cellStyle name="メモ 3 2 2 2 2 3" xfId="49445"/>
    <cellStyle name="メモ 3 2 2 2 3" xfId="22068"/>
    <cellStyle name="メモ 3 2 2 2 4" xfId="24371"/>
    <cellStyle name="メモ 3 2 2 3" xfId="11160"/>
    <cellStyle name="メモ 3 2 2 3 2" xfId="21495"/>
    <cellStyle name="メモ 3 2 2 3 2 2" xfId="24374"/>
    <cellStyle name="メモ 3 2 2 3 3" xfId="22069"/>
    <cellStyle name="メモ 3 2 2 3 4" xfId="24373"/>
    <cellStyle name="メモ 3 2 2 4" xfId="11158"/>
    <cellStyle name="メモ 3 2 2 4 2" xfId="24375"/>
    <cellStyle name="メモ 3 2 2 5" xfId="21496"/>
    <cellStyle name="メモ 3 2 2 6" xfId="22067"/>
    <cellStyle name="メモ 3 2 2 7" xfId="24370"/>
    <cellStyle name="メモ 3 2 3" xfId="1828"/>
    <cellStyle name="メモ 3 2 3 2" xfId="11161"/>
    <cellStyle name="メモ 3 2 3 2 2" xfId="24377"/>
    <cellStyle name="メモ 3 2 3 2 2 2" xfId="49446"/>
    <cellStyle name="メモ 3 2 3 2 2 3" xfId="49447"/>
    <cellStyle name="メモ 3 2 3 2 3" xfId="49448"/>
    <cellStyle name="メモ 3 2 3 2 4" xfId="49449"/>
    <cellStyle name="メモ 3 2 3 3" xfId="18768"/>
    <cellStyle name="メモ 3 2 3 3 2" xfId="49450"/>
    <cellStyle name="メモ 3 2 3 3 3" xfId="49451"/>
    <cellStyle name="メモ 3 2 3 4" xfId="22070"/>
    <cellStyle name="メモ 3 2 3 5" xfId="24376"/>
    <cellStyle name="メモ 3 2 4" xfId="11162"/>
    <cellStyle name="メモ 3 2 4 2" xfId="18767"/>
    <cellStyle name="メモ 3 2 4 2 2" xfId="24379"/>
    <cellStyle name="メモ 3 2 4 2 3" xfId="49452"/>
    <cellStyle name="メモ 3 2 4 3" xfId="22071"/>
    <cellStyle name="メモ 3 2 4 4" xfId="24378"/>
    <cellStyle name="メモ 3 2 5" xfId="6350"/>
    <cellStyle name="メモ 3 2 5 2" xfId="24380"/>
    <cellStyle name="メモ 3 2 5 3" xfId="49453"/>
    <cellStyle name="メモ 3 2 6" xfId="17835"/>
    <cellStyle name="メモ 3 2 7" xfId="24369"/>
    <cellStyle name="メモ 3 2 8" xfId="60905"/>
    <cellStyle name="メモ 3 3" xfId="1829"/>
    <cellStyle name="メモ 3 3 2" xfId="11163"/>
    <cellStyle name="メモ 3 3 2 2" xfId="11164"/>
    <cellStyle name="メモ 3 3 2 2 2" xfId="21494"/>
    <cellStyle name="メモ 3 3 2 2 2 2" xfId="24384"/>
    <cellStyle name="メモ 3 3 2 2 3" xfId="22073"/>
    <cellStyle name="メモ 3 3 2 2 4" xfId="24383"/>
    <cellStyle name="メモ 3 3 2 3" xfId="11165"/>
    <cellStyle name="メモ 3 3 2 3 2" xfId="19497"/>
    <cellStyle name="メモ 3 3 2 3 2 2" xfId="24386"/>
    <cellStyle name="メモ 3 3 2 3 3" xfId="22074"/>
    <cellStyle name="メモ 3 3 2 3 4" xfId="24385"/>
    <cellStyle name="メモ 3 3 2 4" xfId="18766"/>
    <cellStyle name="メモ 3 3 2 4 2" xfId="24387"/>
    <cellStyle name="メモ 3 3 2 5" xfId="22072"/>
    <cellStyle name="メモ 3 3 2 6" xfId="24382"/>
    <cellStyle name="メモ 3 3 3" xfId="11166"/>
    <cellStyle name="メモ 3 3 3 2" xfId="19496"/>
    <cellStyle name="メモ 3 3 3 2 2" xfId="24389"/>
    <cellStyle name="メモ 3 3 3 3" xfId="22075"/>
    <cellStyle name="メモ 3 3 3 4" xfId="24388"/>
    <cellStyle name="メモ 3 3 4" xfId="11167"/>
    <cellStyle name="メモ 3 3 4 2" xfId="21493"/>
    <cellStyle name="メモ 3 3 4 2 2" xfId="24391"/>
    <cellStyle name="メモ 3 3 4 3" xfId="22076"/>
    <cellStyle name="メモ 3 3 4 4" xfId="24390"/>
    <cellStyle name="メモ 3 3 5" xfId="6351"/>
    <cellStyle name="メモ 3 3 5 2" xfId="24392"/>
    <cellStyle name="メモ 3 3 6" xfId="18658"/>
    <cellStyle name="メモ 3 3 7" xfId="24381"/>
    <cellStyle name="メモ 3 4" xfId="1830"/>
    <cellStyle name="メモ 3 4 2" xfId="11168"/>
    <cellStyle name="メモ 3 4 2 2" xfId="11169"/>
    <cellStyle name="メモ 3 4 2 2 2" xfId="21491"/>
    <cellStyle name="メモ 3 4 2 2 2 2" xfId="24396"/>
    <cellStyle name="メモ 3 4 2 2 3" xfId="22078"/>
    <cellStyle name="メモ 3 4 2 2 4" xfId="24395"/>
    <cellStyle name="メモ 3 4 2 3" xfId="11170"/>
    <cellStyle name="メモ 3 4 2 3 2" xfId="21490"/>
    <cellStyle name="メモ 3 4 2 3 2 2" xfId="24398"/>
    <cellStyle name="メモ 3 4 2 3 3" xfId="22079"/>
    <cellStyle name="メモ 3 4 2 3 4" xfId="24397"/>
    <cellStyle name="メモ 3 4 2 4" xfId="21492"/>
    <cellStyle name="メモ 3 4 2 4 2" xfId="24399"/>
    <cellStyle name="メモ 3 4 2 5" xfId="22077"/>
    <cellStyle name="メモ 3 4 2 6" xfId="24394"/>
    <cellStyle name="メモ 3 4 3" xfId="11171"/>
    <cellStyle name="メモ 3 4 3 2" xfId="21489"/>
    <cellStyle name="メモ 3 4 3 2 2" xfId="24401"/>
    <cellStyle name="メモ 3 4 3 3" xfId="22080"/>
    <cellStyle name="メモ 3 4 3 4" xfId="24400"/>
    <cellStyle name="メモ 3 4 4" xfId="11172"/>
    <cellStyle name="メモ 3 4 4 2" xfId="21488"/>
    <cellStyle name="メモ 3 4 4 2 2" xfId="24403"/>
    <cellStyle name="メモ 3 4 4 3" xfId="22081"/>
    <cellStyle name="メモ 3 4 4 4" xfId="24402"/>
    <cellStyle name="メモ 3 4 5" xfId="6352"/>
    <cellStyle name="メモ 3 4 5 2" xfId="24404"/>
    <cellStyle name="メモ 3 4 6" xfId="18659"/>
    <cellStyle name="メモ 3 4 7" xfId="24393"/>
    <cellStyle name="メモ 3 5" xfId="6353"/>
    <cellStyle name="メモ 3 5 2" xfId="11173"/>
    <cellStyle name="メモ 3 5 2 2" xfId="11174"/>
    <cellStyle name="メモ 3 5 2 2 2" xfId="21487"/>
    <cellStyle name="メモ 3 5 2 2 2 2" xfId="24408"/>
    <cellStyle name="メモ 3 5 2 2 3" xfId="22083"/>
    <cellStyle name="メモ 3 5 2 2 4" xfId="24407"/>
    <cellStyle name="メモ 3 5 2 3" xfId="11175"/>
    <cellStyle name="メモ 3 5 2 3 2" xfId="21486"/>
    <cellStyle name="メモ 3 5 2 3 2 2" xfId="24410"/>
    <cellStyle name="メモ 3 5 2 3 3" xfId="22084"/>
    <cellStyle name="メモ 3 5 2 3 4" xfId="24409"/>
    <cellStyle name="メモ 3 5 2 4" xfId="18765"/>
    <cellStyle name="メモ 3 5 2 4 2" xfId="24411"/>
    <cellStyle name="メモ 3 5 2 5" xfId="22082"/>
    <cellStyle name="メモ 3 5 2 6" xfId="24406"/>
    <cellStyle name="メモ 3 5 3" xfId="11176"/>
    <cellStyle name="メモ 3 5 3 2" xfId="21485"/>
    <cellStyle name="メモ 3 5 3 2 2" xfId="24413"/>
    <cellStyle name="メモ 3 5 3 3" xfId="22085"/>
    <cellStyle name="メモ 3 5 3 4" xfId="24412"/>
    <cellStyle name="メモ 3 5 4" xfId="11177"/>
    <cellStyle name="メモ 3 5 4 2" xfId="19495"/>
    <cellStyle name="メモ 3 5 4 2 2" xfId="24415"/>
    <cellStyle name="メモ 3 5 4 3" xfId="22086"/>
    <cellStyle name="メモ 3 5 4 4" xfId="24414"/>
    <cellStyle name="メモ 3 5 5" xfId="18660"/>
    <cellStyle name="メモ 3 5 5 2" xfId="24416"/>
    <cellStyle name="メモ 3 5 6" xfId="24405"/>
    <cellStyle name="メモ 3 6" xfId="6354"/>
    <cellStyle name="メモ 3 6 2" xfId="11178"/>
    <cellStyle name="メモ 3 6 2 2" xfId="11179"/>
    <cellStyle name="メモ 3 6 2 2 2" xfId="18764"/>
    <cellStyle name="メモ 3 6 2 2 2 2" xfId="24420"/>
    <cellStyle name="メモ 3 6 2 2 3" xfId="22088"/>
    <cellStyle name="メモ 3 6 2 2 4" xfId="24419"/>
    <cellStyle name="メモ 3 6 2 3" xfId="21484"/>
    <cellStyle name="メモ 3 6 2 3 2" xfId="24421"/>
    <cellStyle name="メモ 3 6 2 4" xfId="22087"/>
    <cellStyle name="メモ 3 6 2 5" xfId="24418"/>
    <cellStyle name="メモ 3 6 3" xfId="11180"/>
    <cellStyle name="メモ 3 6 3 2" xfId="21483"/>
    <cellStyle name="メモ 3 6 3 2 2" xfId="24423"/>
    <cellStyle name="メモ 3 6 3 3" xfId="22089"/>
    <cellStyle name="メモ 3 6 3 4" xfId="24422"/>
    <cellStyle name="メモ 3 6 4" xfId="19744"/>
    <cellStyle name="メモ 3 6 4 2" xfId="24424"/>
    <cellStyle name="メモ 3 6 5" xfId="24417"/>
    <cellStyle name="メモ 3 7" xfId="11181"/>
    <cellStyle name="メモ 3 7 2" xfId="11182"/>
    <cellStyle name="メモ 3 7 2 2" xfId="21481"/>
    <cellStyle name="メモ 3 7 2 2 2" xfId="24427"/>
    <cellStyle name="メモ 3 7 2 3" xfId="22091"/>
    <cellStyle name="メモ 3 7 2 4" xfId="24426"/>
    <cellStyle name="メモ 3 7 3" xfId="11183"/>
    <cellStyle name="メモ 3 7 3 2" xfId="19494"/>
    <cellStyle name="メモ 3 7 3 2 2" xfId="24429"/>
    <cellStyle name="メモ 3 7 3 3" xfId="22092"/>
    <cellStyle name="メモ 3 7 3 4" xfId="24428"/>
    <cellStyle name="メモ 3 7 4" xfId="21482"/>
    <cellStyle name="メモ 3 7 4 2" xfId="24430"/>
    <cellStyle name="メモ 3 7 5" xfId="22090"/>
    <cellStyle name="メモ 3 7 6" xfId="24425"/>
    <cellStyle name="メモ 3 8" xfId="11184"/>
    <cellStyle name="メモ 3 8 2" xfId="21480"/>
    <cellStyle name="メモ 3 8 2 2" xfId="24432"/>
    <cellStyle name="メモ 3 8 3" xfId="22093"/>
    <cellStyle name="メモ 3 8 4" xfId="24431"/>
    <cellStyle name="メモ 3 9" xfId="11185"/>
    <cellStyle name="メモ 3 9 2" xfId="18763"/>
    <cellStyle name="メモ 3 9 2 2" xfId="24434"/>
    <cellStyle name="メモ 3 9 3" xfId="22094"/>
    <cellStyle name="メモ 3 9 4" xfId="24433"/>
    <cellStyle name="メモ 4" xfId="1831"/>
    <cellStyle name="メモ 4 10" xfId="21242"/>
    <cellStyle name="メモ 4 10 2" xfId="24435"/>
    <cellStyle name="メモ 4 11" xfId="60906"/>
    <cellStyle name="メモ 4 2" xfId="1832"/>
    <cellStyle name="メモ 4 2 2" xfId="11186"/>
    <cellStyle name="メモ 4 2 2 2" xfId="11187"/>
    <cellStyle name="メモ 4 2 2 2 2" xfId="21478"/>
    <cellStyle name="メモ 4 2 2 2 2 2" xfId="24438"/>
    <cellStyle name="メモ 4 2 2 2 3" xfId="22096"/>
    <cellStyle name="メモ 4 2 2 2 4" xfId="24437"/>
    <cellStyle name="メモ 4 2 2 3" xfId="11188"/>
    <cellStyle name="メモ 4 2 2 3 2" xfId="21477"/>
    <cellStyle name="メモ 4 2 2 3 2 2" xfId="24440"/>
    <cellStyle name="メモ 4 2 2 3 3" xfId="22097"/>
    <cellStyle name="メモ 4 2 2 3 4" xfId="24439"/>
    <cellStyle name="メモ 4 2 2 4" xfId="21479"/>
    <cellStyle name="メモ 4 2 2 4 2" xfId="24441"/>
    <cellStyle name="メモ 4 2 2 5" xfId="22095"/>
    <cellStyle name="メモ 4 2 2 6" xfId="24436"/>
    <cellStyle name="メモ 4 2 3" xfId="11189"/>
    <cellStyle name="メモ 4 2 3 2" xfId="19493"/>
    <cellStyle name="メモ 4 2 3 2 2" xfId="24443"/>
    <cellStyle name="メモ 4 2 3 3" xfId="22098"/>
    <cellStyle name="メモ 4 2 3 4" xfId="24442"/>
    <cellStyle name="メモ 4 2 4" xfId="11190"/>
    <cellStyle name="メモ 4 2 4 2" xfId="21476"/>
    <cellStyle name="メモ 4 2 4 2 2" xfId="24445"/>
    <cellStyle name="メモ 4 2 4 3" xfId="22099"/>
    <cellStyle name="メモ 4 2 4 4" xfId="24444"/>
    <cellStyle name="メモ 4 2 5" xfId="6356"/>
    <cellStyle name="メモ 4 2 5 2" xfId="24446"/>
    <cellStyle name="メモ 4 2 6" xfId="19745"/>
    <cellStyle name="メモ 4 2 7" xfId="60907"/>
    <cellStyle name="メモ 4 3" xfId="1833"/>
    <cellStyle name="メモ 4 3 2" xfId="11191"/>
    <cellStyle name="メモ 4 3 2 2" xfId="11192"/>
    <cellStyle name="メモ 4 3 2 2 2" xfId="21475"/>
    <cellStyle name="メモ 4 3 2 2 2 2" xfId="24449"/>
    <cellStyle name="メモ 4 3 2 2 3" xfId="22101"/>
    <cellStyle name="メモ 4 3 2 2 4" xfId="24448"/>
    <cellStyle name="メモ 4 3 2 3" xfId="11193"/>
    <cellStyle name="メモ 4 3 2 3 2" xfId="21474"/>
    <cellStyle name="メモ 4 3 2 3 2 2" xfId="24451"/>
    <cellStyle name="メモ 4 3 2 3 3" xfId="22102"/>
    <cellStyle name="メモ 4 3 2 3 4" xfId="24450"/>
    <cellStyle name="メモ 4 3 2 4" xfId="18762"/>
    <cellStyle name="メモ 4 3 2 4 2" xfId="24452"/>
    <cellStyle name="メモ 4 3 2 5" xfId="22100"/>
    <cellStyle name="メモ 4 3 2 6" xfId="24447"/>
    <cellStyle name="メモ 4 3 3" xfId="11194"/>
    <cellStyle name="メモ 4 3 3 2" xfId="21473"/>
    <cellStyle name="メモ 4 3 3 2 2" xfId="24454"/>
    <cellStyle name="メモ 4 3 3 3" xfId="22103"/>
    <cellStyle name="メモ 4 3 3 4" xfId="24453"/>
    <cellStyle name="メモ 4 3 4" xfId="11195"/>
    <cellStyle name="メモ 4 3 4 2" xfId="21124"/>
    <cellStyle name="メモ 4 3 4 2 2" xfId="24456"/>
    <cellStyle name="メモ 4 3 4 3" xfId="22104"/>
    <cellStyle name="メモ 4 3 4 4" xfId="24455"/>
    <cellStyle name="メモ 4 3 5" xfId="6357"/>
    <cellStyle name="メモ 4 3 5 2" xfId="24457"/>
    <cellStyle name="メモ 4 3 6" xfId="18828"/>
    <cellStyle name="メモ 4 4" xfId="6358"/>
    <cellStyle name="メモ 4 4 2" xfId="11196"/>
    <cellStyle name="メモ 4 4 2 2" xfId="11197"/>
    <cellStyle name="メモ 4 4 2 2 2" xfId="19492"/>
    <cellStyle name="メモ 4 4 2 2 2 2" xfId="24461"/>
    <cellStyle name="メモ 4 4 2 2 3" xfId="22106"/>
    <cellStyle name="メモ 4 4 2 2 4" xfId="24460"/>
    <cellStyle name="メモ 4 4 2 3" xfId="11198"/>
    <cellStyle name="メモ 4 4 2 3 2" xfId="21472"/>
    <cellStyle name="メモ 4 4 2 3 2 2" xfId="24463"/>
    <cellStyle name="メモ 4 4 2 3 3" xfId="22107"/>
    <cellStyle name="メモ 4 4 2 3 4" xfId="24462"/>
    <cellStyle name="メモ 4 4 2 4" xfId="21123"/>
    <cellStyle name="メモ 4 4 2 4 2" xfId="24464"/>
    <cellStyle name="メモ 4 4 2 5" xfId="22105"/>
    <cellStyle name="メモ 4 4 2 6" xfId="24459"/>
    <cellStyle name="メモ 4 4 3" xfId="11199"/>
    <cellStyle name="メモ 4 4 3 2" xfId="18761"/>
    <cellStyle name="メモ 4 4 3 2 2" xfId="24466"/>
    <cellStyle name="メモ 4 4 3 3" xfId="22108"/>
    <cellStyle name="メモ 4 4 3 4" xfId="24465"/>
    <cellStyle name="メモ 4 4 4" xfId="11200"/>
    <cellStyle name="メモ 4 4 4 2" xfId="21471"/>
    <cellStyle name="メモ 4 4 4 2 2" xfId="24468"/>
    <cellStyle name="メモ 4 4 4 3" xfId="22109"/>
    <cellStyle name="メモ 4 4 4 4" xfId="24467"/>
    <cellStyle name="メモ 4 4 5" xfId="19746"/>
    <cellStyle name="メモ 4 4 5 2" xfId="24469"/>
    <cellStyle name="メモ 4 4 6" xfId="24458"/>
    <cellStyle name="メモ 4 5" xfId="6359"/>
    <cellStyle name="メモ 4 5 2" xfId="11201"/>
    <cellStyle name="メモ 4 5 2 2" xfId="11202"/>
    <cellStyle name="メモ 4 5 2 2 2" xfId="21469"/>
    <cellStyle name="メモ 4 5 2 2 2 2" xfId="24473"/>
    <cellStyle name="メモ 4 5 2 2 3" xfId="22111"/>
    <cellStyle name="メモ 4 5 2 2 4" xfId="24472"/>
    <cellStyle name="メモ 4 5 2 3" xfId="11203"/>
    <cellStyle name="メモ 4 5 2 3 2" xfId="19491"/>
    <cellStyle name="メモ 4 5 2 3 2 2" xfId="24475"/>
    <cellStyle name="メモ 4 5 2 3 3" xfId="22112"/>
    <cellStyle name="メモ 4 5 2 3 4" xfId="24474"/>
    <cellStyle name="メモ 4 5 2 4" xfId="21470"/>
    <cellStyle name="メモ 4 5 2 4 2" xfId="24476"/>
    <cellStyle name="メモ 4 5 2 5" xfId="22110"/>
    <cellStyle name="メモ 4 5 2 6" xfId="24471"/>
    <cellStyle name="メモ 4 5 3" xfId="11204"/>
    <cellStyle name="メモ 4 5 3 2" xfId="21468"/>
    <cellStyle name="メモ 4 5 3 2 2" xfId="24478"/>
    <cellStyle name="メモ 4 5 3 3" xfId="22113"/>
    <cellStyle name="メモ 4 5 3 4" xfId="24477"/>
    <cellStyle name="メモ 4 5 4" xfId="11205"/>
    <cellStyle name="メモ 4 5 4 2" xfId="21467"/>
    <cellStyle name="メモ 4 5 4 2 2" xfId="24480"/>
    <cellStyle name="メモ 4 5 4 3" xfId="22114"/>
    <cellStyle name="メモ 4 5 4 4" xfId="24479"/>
    <cellStyle name="メモ 4 5 5" xfId="6820"/>
    <cellStyle name="メモ 4 5 5 2" xfId="24481"/>
    <cellStyle name="メモ 4 5 6" xfId="24470"/>
    <cellStyle name="メモ 4 6" xfId="11206"/>
    <cellStyle name="メモ 4 6 2" xfId="11207"/>
    <cellStyle name="メモ 4 6 2 2" xfId="21465"/>
    <cellStyle name="メモ 4 6 2 2 2" xfId="24484"/>
    <cellStyle name="メモ 4 6 2 3" xfId="22116"/>
    <cellStyle name="メモ 4 6 2 4" xfId="24483"/>
    <cellStyle name="メモ 4 6 3" xfId="11208"/>
    <cellStyle name="メモ 4 6 3 2" xfId="21464"/>
    <cellStyle name="メモ 4 6 3 2 2" xfId="24486"/>
    <cellStyle name="メモ 4 6 3 3" xfId="22117"/>
    <cellStyle name="メモ 4 6 3 4" xfId="24485"/>
    <cellStyle name="メモ 4 6 4" xfId="21466"/>
    <cellStyle name="メモ 4 6 4 2" xfId="24487"/>
    <cellStyle name="メモ 4 6 5" xfId="22115"/>
    <cellStyle name="メモ 4 6 6" xfId="24482"/>
    <cellStyle name="メモ 4 7" xfId="11209"/>
    <cellStyle name="メモ 4 7 2" xfId="18760"/>
    <cellStyle name="メモ 4 7 2 2" xfId="24489"/>
    <cellStyle name="メモ 4 7 3" xfId="22118"/>
    <cellStyle name="メモ 4 7 4" xfId="24488"/>
    <cellStyle name="メモ 4 8" xfId="11210"/>
    <cellStyle name="メモ 4 8 2" xfId="21463"/>
    <cellStyle name="メモ 4 8 2 2" xfId="24491"/>
    <cellStyle name="メモ 4 8 3" xfId="22119"/>
    <cellStyle name="メモ 4 8 4" xfId="24490"/>
    <cellStyle name="メモ 4 9" xfId="6355"/>
    <cellStyle name="メモ 4 9 2" xfId="24492"/>
    <cellStyle name="メモ 5" xfId="1834"/>
    <cellStyle name="メモ 5 10" xfId="19747"/>
    <cellStyle name="メモ 5 11" xfId="60908"/>
    <cellStyle name="メモ 5 2" xfId="1835"/>
    <cellStyle name="メモ 5 2 2" xfId="1836"/>
    <cellStyle name="メモ 5 2 2 2" xfId="1837"/>
    <cellStyle name="メモ 5 2 2 2 2" xfId="11212"/>
    <cellStyle name="メモ 5 2 2 2 2 2" xfId="24493"/>
    <cellStyle name="メモ 5 2 2 2 2 2 2" xfId="49454"/>
    <cellStyle name="メモ 5 2 2 2 2 2 3" xfId="49455"/>
    <cellStyle name="メモ 5 2 2 2 2 3" xfId="49456"/>
    <cellStyle name="メモ 5 2 2 2 2 4" xfId="49457"/>
    <cellStyle name="メモ 5 2 2 2 3" xfId="21461"/>
    <cellStyle name="メモ 5 2 2 2 3 2" xfId="49458"/>
    <cellStyle name="メモ 5 2 2 2 3 3" xfId="49459"/>
    <cellStyle name="メモ 5 2 2 2 4" xfId="22121"/>
    <cellStyle name="メモ 5 2 2 2 5" xfId="49460"/>
    <cellStyle name="メモ 5 2 2 3" xfId="1838"/>
    <cellStyle name="メモ 5 2 2 3 2" xfId="11213"/>
    <cellStyle name="メモ 5 2 2 3 2 2" xfId="24494"/>
    <cellStyle name="メモ 5 2 2 3 2 2 2" xfId="49461"/>
    <cellStyle name="メモ 5 2 2 3 2 2 3" xfId="49462"/>
    <cellStyle name="メモ 5 2 2 3 2 3" xfId="49463"/>
    <cellStyle name="メモ 5 2 2 3 2 4" xfId="49464"/>
    <cellStyle name="メモ 5 2 2 3 3" xfId="21460"/>
    <cellStyle name="メモ 5 2 2 3 3 2" xfId="49465"/>
    <cellStyle name="メモ 5 2 2 3 3 3" xfId="49466"/>
    <cellStyle name="メモ 5 2 2 3 4" xfId="22122"/>
    <cellStyle name="メモ 5 2 2 3 5" xfId="49467"/>
    <cellStyle name="メモ 5 2 2 4" xfId="11211"/>
    <cellStyle name="メモ 5 2 2 4 2" xfId="24495"/>
    <cellStyle name="メモ 5 2 2 4 2 2" xfId="49468"/>
    <cellStyle name="メモ 5 2 2 4 2 3" xfId="49469"/>
    <cellStyle name="メモ 5 2 2 4 3" xfId="49470"/>
    <cellStyle name="メモ 5 2 2 4 4" xfId="49471"/>
    <cellStyle name="メモ 5 2 2 5" xfId="21462"/>
    <cellStyle name="メモ 5 2 2 5 2" xfId="49472"/>
    <cellStyle name="メモ 5 2 2 5 3" xfId="49473"/>
    <cellStyle name="メモ 5 2 2 6" xfId="22120"/>
    <cellStyle name="メモ 5 2 2 7" xfId="49474"/>
    <cellStyle name="メモ 5 2 3" xfId="1839"/>
    <cellStyle name="メモ 5 2 3 2" xfId="11214"/>
    <cellStyle name="メモ 5 2 3 2 2" xfId="24496"/>
    <cellStyle name="メモ 5 2 3 2 2 2" xfId="49475"/>
    <cellStyle name="メモ 5 2 3 2 2 3" xfId="49476"/>
    <cellStyle name="メモ 5 2 3 2 3" xfId="49477"/>
    <cellStyle name="メモ 5 2 3 2 4" xfId="49478"/>
    <cellStyle name="メモ 5 2 3 3" xfId="19490"/>
    <cellStyle name="メモ 5 2 3 3 2" xfId="49479"/>
    <cellStyle name="メモ 5 2 3 3 3" xfId="49480"/>
    <cellStyle name="メモ 5 2 3 4" xfId="22123"/>
    <cellStyle name="メモ 5 2 3 5" xfId="49481"/>
    <cellStyle name="メモ 5 2 4" xfId="1840"/>
    <cellStyle name="メモ 5 2 4 2" xfId="11215"/>
    <cellStyle name="メモ 5 2 4 2 2" xfId="24497"/>
    <cellStyle name="メモ 5 2 4 2 2 2" xfId="49482"/>
    <cellStyle name="メモ 5 2 4 2 2 3" xfId="49483"/>
    <cellStyle name="メモ 5 2 4 2 3" xfId="49484"/>
    <cellStyle name="メモ 5 2 4 2 4" xfId="49485"/>
    <cellStyle name="メモ 5 2 4 3" xfId="18759"/>
    <cellStyle name="メモ 5 2 4 3 2" xfId="49486"/>
    <cellStyle name="メモ 5 2 4 3 3" xfId="49487"/>
    <cellStyle name="メモ 5 2 4 4" xfId="22124"/>
    <cellStyle name="メモ 5 2 4 5" xfId="49488"/>
    <cellStyle name="メモ 5 2 5" xfId="6361"/>
    <cellStyle name="メモ 5 2 5 2" xfId="24498"/>
    <cellStyle name="メモ 5 2 5 2 2" xfId="49489"/>
    <cellStyle name="メモ 5 2 5 2 3" xfId="49490"/>
    <cellStyle name="メモ 5 2 5 3" xfId="49491"/>
    <cellStyle name="メモ 5 2 5 4" xfId="49492"/>
    <cellStyle name="メモ 5 2 6" xfId="19748"/>
    <cellStyle name="メモ 5 2 6 2" xfId="49493"/>
    <cellStyle name="メモ 5 2 6 3" xfId="49494"/>
    <cellStyle name="メモ 5 2 7" xfId="49495"/>
    <cellStyle name="メモ 5 2 8" xfId="49496"/>
    <cellStyle name="メモ 5 3" xfId="1841"/>
    <cellStyle name="メモ 5 3 2" xfId="11216"/>
    <cellStyle name="メモ 5 3 2 2" xfId="11217"/>
    <cellStyle name="メモ 5 3 2 2 2" xfId="21458"/>
    <cellStyle name="メモ 5 3 2 2 2 2" xfId="24501"/>
    <cellStyle name="メモ 5 3 2 2 3" xfId="22126"/>
    <cellStyle name="メモ 5 3 2 2 4" xfId="24500"/>
    <cellStyle name="メモ 5 3 2 3" xfId="11218"/>
    <cellStyle name="メモ 5 3 2 3 2" xfId="21457"/>
    <cellStyle name="メモ 5 3 2 3 2 2" xfId="24503"/>
    <cellStyle name="メモ 5 3 2 3 3" xfId="22127"/>
    <cellStyle name="メモ 5 3 2 3 4" xfId="24502"/>
    <cellStyle name="メモ 5 3 2 4" xfId="21459"/>
    <cellStyle name="メモ 5 3 2 4 2" xfId="24504"/>
    <cellStyle name="メモ 5 3 2 5" xfId="22125"/>
    <cellStyle name="メモ 5 3 2 6" xfId="24499"/>
    <cellStyle name="メモ 5 3 3" xfId="11219"/>
    <cellStyle name="メモ 5 3 3 2" xfId="21456"/>
    <cellStyle name="メモ 5 3 3 2 2" xfId="24506"/>
    <cellStyle name="メモ 5 3 3 3" xfId="22128"/>
    <cellStyle name="メモ 5 3 3 4" xfId="24505"/>
    <cellStyle name="メモ 5 3 4" xfId="11220"/>
    <cellStyle name="メモ 5 3 4 2" xfId="17821"/>
    <cellStyle name="メモ 5 3 4 2 2" xfId="24508"/>
    <cellStyle name="メモ 5 3 4 3" xfId="22129"/>
    <cellStyle name="メモ 5 3 4 4" xfId="24507"/>
    <cellStyle name="メモ 5 3 5" xfId="6362"/>
    <cellStyle name="メモ 5 3 5 2" xfId="24509"/>
    <cellStyle name="メモ 5 3 6" xfId="21243"/>
    <cellStyle name="メモ 5 4" xfId="1842"/>
    <cellStyle name="メモ 5 4 2" xfId="11221"/>
    <cellStyle name="メモ 5 4 2 2" xfId="11222"/>
    <cellStyle name="メモ 5 4 2 2 2" xfId="21455"/>
    <cellStyle name="メモ 5 4 2 2 2 2" xfId="24512"/>
    <cellStyle name="メモ 5 4 2 2 3" xfId="22131"/>
    <cellStyle name="メモ 5 4 2 2 4" xfId="24511"/>
    <cellStyle name="メモ 5 4 2 3" xfId="11223"/>
    <cellStyle name="メモ 5 4 2 3 2" xfId="21454"/>
    <cellStyle name="メモ 5 4 2 3 2 2" xfId="24514"/>
    <cellStyle name="メモ 5 4 2 3 3" xfId="22132"/>
    <cellStyle name="メモ 5 4 2 3 4" xfId="24513"/>
    <cellStyle name="メモ 5 4 2 4" xfId="18758"/>
    <cellStyle name="メモ 5 4 2 4 2" xfId="24515"/>
    <cellStyle name="メモ 5 4 2 5" xfId="22130"/>
    <cellStyle name="メモ 5 4 2 6" xfId="24510"/>
    <cellStyle name="メモ 5 4 3" xfId="11224"/>
    <cellStyle name="メモ 5 4 3 2" xfId="21453"/>
    <cellStyle name="メモ 5 4 3 2 2" xfId="24517"/>
    <cellStyle name="メモ 5 4 3 3" xfId="22133"/>
    <cellStyle name="メモ 5 4 3 4" xfId="24516"/>
    <cellStyle name="メモ 5 4 4" xfId="11225"/>
    <cellStyle name="メモ 5 4 4 2" xfId="21452"/>
    <cellStyle name="メモ 5 4 4 2 2" xfId="24519"/>
    <cellStyle name="メモ 5 4 4 3" xfId="22134"/>
    <cellStyle name="メモ 5 4 4 4" xfId="24518"/>
    <cellStyle name="メモ 5 4 5" xfId="6363"/>
    <cellStyle name="メモ 5 4 5 2" xfId="24520"/>
    <cellStyle name="メモ 5 4 6" xfId="21737"/>
    <cellStyle name="メモ 5 5" xfId="6364"/>
    <cellStyle name="メモ 5 5 2" xfId="11226"/>
    <cellStyle name="メモ 5 5 2 2" xfId="11227"/>
    <cellStyle name="メモ 5 5 2 2 2" xfId="18757"/>
    <cellStyle name="メモ 5 5 2 2 2 2" xfId="24524"/>
    <cellStyle name="メモ 5 5 2 2 3" xfId="22136"/>
    <cellStyle name="メモ 5 5 2 2 4" xfId="24523"/>
    <cellStyle name="メモ 5 5 2 3" xfId="11228"/>
    <cellStyle name="メモ 5 5 2 3 2" xfId="18756"/>
    <cellStyle name="メモ 5 5 2 3 2 2" xfId="24526"/>
    <cellStyle name="メモ 5 5 2 3 3" xfId="22137"/>
    <cellStyle name="メモ 5 5 2 3 4" xfId="24525"/>
    <cellStyle name="メモ 5 5 2 4" xfId="19489"/>
    <cellStyle name="メモ 5 5 2 4 2" xfId="24527"/>
    <cellStyle name="メモ 5 5 2 5" xfId="22135"/>
    <cellStyle name="メモ 5 5 2 6" xfId="24522"/>
    <cellStyle name="メモ 5 5 3" xfId="11229"/>
    <cellStyle name="メモ 5 5 3 2" xfId="21451"/>
    <cellStyle name="メモ 5 5 3 2 2" xfId="24529"/>
    <cellStyle name="メモ 5 5 3 3" xfId="22138"/>
    <cellStyle name="メモ 5 5 3 4" xfId="24528"/>
    <cellStyle name="メモ 5 5 4" xfId="11230"/>
    <cellStyle name="メモ 5 5 4 2" xfId="21450"/>
    <cellStyle name="メモ 5 5 4 2 2" xfId="24531"/>
    <cellStyle name="メモ 5 5 4 3" xfId="22139"/>
    <cellStyle name="メモ 5 5 4 4" xfId="24530"/>
    <cellStyle name="メモ 5 5 5" xfId="19749"/>
    <cellStyle name="メモ 5 5 5 2" xfId="24532"/>
    <cellStyle name="メモ 5 5 6" xfId="24521"/>
    <cellStyle name="メモ 5 6" xfId="11231"/>
    <cellStyle name="メモ 5 6 2" xfId="11232"/>
    <cellStyle name="メモ 5 6 2 2" xfId="21122"/>
    <cellStyle name="メモ 5 6 2 2 2" xfId="24535"/>
    <cellStyle name="メモ 5 6 2 3" xfId="22141"/>
    <cellStyle name="メモ 5 6 2 4" xfId="24534"/>
    <cellStyle name="メモ 5 6 3" xfId="11233"/>
    <cellStyle name="メモ 5 6 3 2" xfId="19488"/>
    <cellStyle name="メモ 5 6 3 2 2" xfId="24537"/>
    <cellStyle name="メモ 5 6 3 3" xfId="22142"/>
    <cellStyle name="メモ 5 6 3 4" xfId="24536"/>
    <cellStyle name="メモ 5 6 4" xfId="21449"/>
    <cellStyle name="メモ 5 6 4 2" xfId="24538"/>
    <cellStyle name="メモ 5 6 5" xfId="22140"/>
    <cellStyle name="メモ 5 6 6" xfId="24533"/>
    <cellStyle name="メモ 5 7" xfId="11234"/>
    <cellStyle name="メモ 5 7 2" xfId="21448"/>
    <cellStyle name="メモ 5 7 2 2" xfId="24540"/>
    <cellStyle name="メモ 5 7 3" xfId="22143"/>
    <cellStyle name="メモ 5 7 4" xfId="24539"/>
    <cellStyle name="メモ 5 8" xfId="11235"/>
    <cellStyle name="メモ 5 8 2" xfId="21447"/>
    <cellStyle name="メモ 5 8 2 2" xfId="24542"/>
    <cellStyle name="メモ 5 8 3" xfId="22144"/>
    <cellStyle name="メモ 5 8 4" xfId="24541"/>
    <cellStyle name="メモ 5 9" xfId="6360"/>
    <cellStyle name="メモ 5 9 2" xfId="24543"/>
    <cellStyle name="メモ 6" xfId="1843"/>
    <cellStyle name="メモ 6 10" xfId="6819"/>
    <cellStyle name="メモ 6 2" xfId="1844"/>
    <cellStyle name="メモ 6 2 2" xfId="1845"/>
    <cellStyle name="メモ 6 2 2 2" xfId="1846"/>
    <cellStyle name="メモ 6 2 2 2 2" xfId="11237"/>
    <cellStyle name="メモ 6 2 2 2 2 2" xfId="24544"/>
    <cellStyle name="メモ 6 2 2 2 2 2 2" xfId="49497"/>
    <cellStyle name="メモ 6 2 2 2 2 2 3" xfId="49498"/>
    <cellStyle name="メモ 6 2 2 2 2 3" xfId="49499"/>
    <cellStyle name="メモ 6 2 2 2 2 4" xfId="49500"/>
    <cellStyle name="メモ 6 2 2 2 3" xfId="21445"/>
    <cellStyle name="メモ 6 2 2 2 3 2" xfId="49501"/>
    <cellStyle name="メモ 6 2 2 2 3 3" xfId="49502"/>
    <cellStyle name="メモ 6 2 2 2 4" xfId="22146"/>
    <cellStyle name="メモ 6 2 2 2 5" xfId="49503"/>
    <cellStyle name="メモ 6 2 2 3" xfId="1847"/>
    <cellStyle name="メモ 6 2 2 3 2" xfId="11238"/>
    <cellStyle name="メモ 6 2 2 3 2 2" xfId="24545"/>
    <cellStyle name="メモ 6 2 2 3 2 2 2" xfId="49504"/>
    <cellStyle name="メモ 6 2 2 3 2 2 3" xfId="49505"/>
    <cellStyle name="メモ 6 2 2 3 2 3" xfId="49506"/>
    <cellStyle name="メモ 6 2 2 3 2 4" xfId="49507"/>
    <cellStyle name="メモ 6 2 2 3 3" xfId="21444"/>
    <cellStyle name="メモ 6 2 2 3 3 2" xfId="49508"/>
    <cellStyle name="メモ 6 2 2 3 3 3" xfId="49509"/>
    <cellStyle name="メモ 6 2 2 3 4" xfId="22147"/>
    <cellStyle name="メモ 6 2 2 3 5" xfId="49510"/>
    <cellStyle name="メモ 6 2 2 4" xfId="11236"/>
    <cellStyle name="メモ 6 2 2 4 2" xfId="24546"/>
    <cellStyle name="メモ 6 2 2 4 2 2" xfId="49511"/>
    <cellStyle name="メモ 6 2 2 4 2 3" xfId="49512"/>
    <cellStyle name="メモ 6 2 2 4 3" xfId="49513"/>
    <cellStyle name="メモ 6 2 2 4 4" xfId="49514"/>
    <cellStyle name="メモ 6 2 2 5" xfId="21446"/>
    <cellStyle name="メモ 6 2 2 5 2" xfId="49515"/>
    <cellStyle name="メモ 6 2 2 5 3" xfId="49516"/>
    <cellStyle name="メモ 6 2 2 6" xfId="22145"/>
    <cellStyle name="メモ 6 2 2 7" xfId="49517"/>
    <cellStyle name="メモ 6 2 3" xfId="1848"/>
    <cellStyle name="メモ 6 2 3 2" xfId="11239"/>
    <cellStyle name="メモ 6 2 3 2 2" xfId="24547"/>
    <cellStyle name="メモ 6 2 3 2 2 2" xfId="49518"/>
    <cellStyle name="メモ 6 2 3 2 2 3" xfId="49519"/>
    <cellStyle name="メモ 6 2 3 2 3" xfId="49520"/>
    <cellStyle name="メモ 6 2 3 2 4" xfId="49521"/>
    <cellStyle name="メモ 6 2 3 3" xfId="18755"/>
    <cellStyle name="メモ 6 2 3 3 2" xfId="49522"/>
    <cellStyle name="メモ 6 2 3 3 3" xfId="49523"/>
    <cellStyle name="メモ 6 2 3 4" xfId="22148"/>
    <cellStyle name="メモ 6 2 3 5" xfId="49524"/>
    <cellStyle name="メモ 6 2 4" xfId="1849"/>
    <cellStyle name="メモ 6 2 4 2" xfId="11240"/>
    <cellStyle name="メモ 6 2 4 2 2" xfId="24548"/>
    <cellStyle name="メモ 6 2 4 2 2 2" xfId="49525"/>
    <cellStyle name="メモ 6 2 4 2 2 3" xfId="49526"/>
    <cellStyle name="メモ 6 2 4 2 3" xfId="49527"/>
    <cellStyle name="メモ 6 2 4 2 4" xfId="49528"/>
    <cellStyle name="メモ 6 2 4 3" xfId="21443"/>
    <cellStyle name="メモ 6 2 4 3 2" xfId="49529"/>
    <cellStyle name="メモ 6 2 4 3 3" xfId="49530"/>
    <cellStyle name="メモ 6 2 4 4" xfId="22149"/>
    <cellStyle name="メモ 6 2 4 5" xfId="49531"/>
    <cellStyle name="メモ 6 2 5" xfId="6366"/>
    <cellStyle name="メモ 6 2 5 2" xfId="24549"/>
    <cellStyle name="メモ 6 2 5 2 2" xfId="49532"/>
    <cellStyle name="メモ 6 2 5 2 3" xfId="49533"/>
    <cellStyle name="メモ 6 2 5 3" xfId="49534"/>
    <cellStyle name="メモ 6 2 5 4" xfId="49535"/>
    <cellStyle name="メモ 6 2 6" xfId="6818"/>
    <cellStyle name="メモ 6 2 6 2" xfId="49536"/>
    <cellStyle name="メモ 6 2 6 3" xfId="49537"/>
    <cellStyle name="メモ 6 2 7" xfId="49538"/>
    <cellStyle name="メモ 6 2 8" xfId="49539"/>
    <cellStyle name="メモ 6 3" xfId="1850"/>
    <cellStyle name="メモ 6 3 2" xfId="11241"/>
    <cellStyle name="メモ 6 3 2 2" xfId="11242"/>
    <cellStyle name="メモ 6 3 2 2 2" xfId="21441"/>
    <cellStyle name="メモ 6 3 2 2 2 2" xfId="24552"/>
    <cellStyle name="メモ 6 3 2 2 3" xfId="22151"/>
    <cellStyle name="メモ 6 3 2 2 4" xfId="24551"/>
    <cellStyle name="メモ 6 3 2 3" xfId="11243"/>
    <cellStyle name="メモ 6 3 2 3 2" xfId="21440"/>
    <cellStyle name="メモ 6 3 2 3 2 2" xfId="24554"/>
    <cellStyle name="メモ 6 3 2 3 3" xfId="22152"/>
    <cellStyle name="メモ 6 3 2 3 4" xfId="24553"/>
    <cellStyle name="メモ 6 3 2 4" xfId="21442"/>
    <cellStyle name="メモ 6 3 2 4 2" xfId="24555"/>
    <cellStyle name="メモ 6 3 2 5" xfId="22150"/>
    <cellStyle name="メモ 6 3 2 6" xfId="24550"/>
    <cellStyle name="メモ 6 3 3" xfId="11244"/>
    <cellStyle name="メモ 6 3 3 2" xfId="19487"/>
    <cellStyle name="メモ 6 3 3 2 2" xfId="24557"/>
    <cellStyle name="メモ 6 3 3 3" xfId="22153"/>
    <cellStyle name="メモ 6 3 3 4" xfId="24556"/>
    <cellStyle name="メモ 6 3 4" xfId="11245"/>
    <cellStyle name="メモ 6 3 4 2" xfId="18754"/>
    <cellStyle name="メモ 6 3 4 2 2" xfId="24559"/>
    <cellStyle name="メモ 6 3 4 3" xfId="22154"/>
    <cellStyle name="メモ 6 3 4 4" xfId="24558"/>
    <cellStyle name="メモ 6 3 5" xfId="6367"/>
    <cellStyle name="メモ 6 3 5 2" xfId="24560"/>
    <cellStyle name="メモ 6 3 6" xfId="18661"/>
    <cellStyle name="メモ 6 4" xfId="1851"/>
    <cellStyle name="メモ 6 4 2" xfId="11246"/>
    <cellStyle name="メモ 6 4 2 2" xfId="11247"/>
    <cellStyle name="メモ 6 4 2 2 2" xfId="21438"/>
    <cellStyle name="メモ 6 4 2 2 2 2" xfId="24563"/>
    <cellStyle name="メモ 6 4 2 2 3" xfId="22156"/>
    <cellStyle name="メモ 6 4 2 2 4" xfId="24562"/>
    <cellStyle name="メモ 6 4 2 3" xfId="11248"/>
    <cellStyle name="メモ 6 4 2 3 2" xfId="21437"/>
    <cellStyle name="メモ 6 4 2 3 2 2" xfId="24565"/>
    <cellStyle name="メモ 6 4 2 3 3" xfId="22157"/>
    <cellStyle name="メモ 6 4 2 3 4" xfId="24564"/>
    <cellStyle name="メモ 6 4 2 4" xfId="21439"/>
    <cellStyle name="メモ 6 4 2 4 2" xfId="24566"/>
    <cellStyle name="メモ 6 4 2 5" xfId="22155"/>
    <cellStyle name="メモ 6 4 2 6" xfId="24561"/>
    <cellStyle name="メモ 6 4 3" xfId="11249"/>
    <cellStyle name="メモ 6 4 3 2" xfId="21436"/>
    <cellStyle name="メモ 6 4 3 2 2" xfId="24568"/>
    <cellStyle name="メモ 6 4 3 3" xfId="22158"/>
    <cellStyle name="メモ 6 4 3 4" xfId="24567"/>
    <cellStyle name="メモ 6 4 4" xfId="11250"/>
    <cellStyle name="メモ 6 4 4 2" xfId="19486"/>
    <cellStyle name="メモ 6 4 4 2 2" xfId="24570"/>
    <cellStyle name="メモ 6 4 4 3" xfId="22159"/>
    <cellStyle name="メモ 6 4 4 4" xfId="24569"/>
    <cellStyle name="メモ 6 4 5" xfId="6368"/>
    <cellStyle name="メモ 6 4 5 2" xfId="24571"/>
    <cellStyle name="メモ 6 4 6" xfId="18662"/>
    <cellStyle name="メモ 6 5" xfId="6369"/>
    <cellStyle name="メモ 6 5 2" xfId="11251"/>
    <cellStyle name="メモ 6 5 2 2" xfId="11252"/>
    <cellStyle name="メモ 6 5 2 2 2" xfId="21435"/>
    <cellStyle name="メモ 6 5 2 2 2 2" xfId="24575"/>
    <cellStyle name="メモ 6 5 2 2 3" xfId="22161"/>
    <cellStyle name="メモ 6 5 2 2 4" xfId="24574"/>
    <cellStyle name="メモ 6 5 2 3" xfId="11253"/>
    <cellStyle name="メモ 6 5 2 3 2" xfId="21434"/>
    <cellStyle name="メモ 6 5 2 3 2 2" xfId="24577"/>
    <cellStyle name="メモ 6 5 2 3 3" xfId="22162"/>
    <cellStyle name="メモ 6 5 2 3 4" xfId="24576"/>
    <cellStyle name="メモ 6 5 2 4" xfId="18753"/>
    <cellStyle name="メモ 6 5 2 4 2" xfId="24578"/>
    <cellStyle name="メモ 6 5 2 5" xfId="22160"/>
    <cellStyle name="メモ 6 5 2 6" xfId="24573"/>
    <cellStyle name="メモ 6 5 3" xfId="11254"/>
    <cellStyle name="メモ 6 5 3 2" xfId="21433"/>
    <cellStyle name="メモ 6 5 3 2 2" xfId="24580"/>
    <cellStyle name="メモ 6 5 3 3" xfId="22163"/>
    <cellStyle name="メモ 6 5 3 4" xfId="24579"/>
    <cellStyle name="メモ 6 5 4" xfId="11255"/>
    <cellStyle name="メモ 6 5 4 2" xfId="21432"/>
    <cellStyle name="メモ 6 5 4 2 2" xfId="24582"/>
    <cellStyle name="メモ 6 5 4 3" xfId="22164"/>
    <cellStyle name="メモ 6 5 4 4" xfId="24581"/>
    <cellStyle name="メモ 6 5 5" xfId="18663"/>
    <cellStyle name="メモ 6 5 5 2" xfId="24583"/>
    <cellStyle name="メモ 6 5 6" xfId="24572"/>
    <cellStyle name="メモ 6 6" xfId="11256"/>
    <cellStyle name="メモ 6 6 2" xfId="11257"/>
    <cellStyle name="メモ 6 6 2 2" xfId="18752"/>
    <cellStyle name="メモ 6 6 2 2 2" xfId="24586"/>
    <cellStyle name="メモ 6 6 2 3" xfId="22166"/>
    <cellStyle name="メモ 6 6 2 4" xfId="24585"/>
    <cellStyle name="メモ 6 6 3" xfId="11258"/>
    <cellStyle name="メモ 6 6 3 2" xfId="18751"/>
    <cellStyle name="メモ 6 6 3 2 2" xfId="24588"/>
    <cellStyle name="メモ 6 6 3 3" xfId="22167"/>
    <cellStyle name="メモ 6 6 3 4" xfId="24587"/>
    <cellStyle name="メモ 6 6 4" xfId="17820"/>
    <cellStyle name="メモ 6 6 4 2" xfId="24589"/>
    <cellStyle name="メモ 6 6 5" xfId="22165"/>
    <cellStyle name="メモ 6 6 6" xfId="24584"/>
    <cellStyle name="メモ 6 7" xfId="11259"/>
    <cellStyle name="メモ 6 7 2" xfId="18750"/>
    <cellStyle name="メモ 6 7 2 2" xfId="24591"/>
    <cellStyle name="メモ 6 7 3" xfId="22168"/>
    <cellStyle name="メモ 6 7 4" xfId="24590"/>
    <cellStyle name="メモ 6 8" xfId="11260"/>
    <cellStyle name="メモ 6 8 2" xfId="21431"/>
    <cellStyle name="メモ 6 8 2 2" xfId="24593"/>
    <cellStyle name="メモ 6 8 3" xfId="22169"/>
    <cellStyle name="メモ 6 8 4" xfId="24592"/>
    <cellStyle name="メモ 6 9" xfId="6365"/>
    <cellStyle name="メモ 6 9 2" xfId="24594"/>
    <cellStyle name="メモ 7" xfId="6370"/>
    <cellStyle name="メモ 7 2" xfId="11261"/>
    <cellStyle name="メモ 7 2 2" xfId="11262"/>
    <cellStyle name="メモ 7 2 2 2" xfId="19485"/>
    <cellStyle name="メモ 7 2 2 2 2" xfId="24598"/>
    <cellStyle name="メモ 7 2 2 3" xfId="22171"/>
    <cellStyle name="メモ 7 2 2 4" xfId="24597"/>
    <cellStyle name="メモ 7 2 3" xfId="21430"/>
    <cellStyle name="メモ 7 2 3 2" xfId="24599"/>
    <cellStyle name="メモ 7 2 4" xfId="22170"/>
    <cellStyle name="メモ 7 2 5" xfId="24596"/>
    <cellStyle name="メモ 7 3" xfId="11263"/>
    <cellStyle name="メモ 7 3 2" xfId="21121"/>
    <cellStyle name="メモ 7 3 2 2" xfId="24601"/>
    <cellStyle name="メモ 7 3 3" xfId="22172"/>
    <cellStyle name="メモ 7 3 4" xfId="24600"/>
    <cellStyle name="メモ 7 4" xfId="18664"/>
    <cellStyle name="メモ 7 4 2" xfId="24602"/>
    <cellStyle name="メモ 7 5" xfId="24595"/>
    <cellStyle name="メモ 8" xfId="11264"/>
    <cellStyle name="メモ 8 2" xfId="21429"/>
    <cellStyle name="メモ 8 2 2" xfId="24604"/>
    <cellStyle name="メモ 8 2 3" xfId="49540"/>
    <cellStyle name="メモ 8 3" xfId="22173"/>
    <cellStyle name="メモ 8 4" xfId="24603"/>
    <cellStyle name="メモ 9" xfId="6342"/>
    <cellStyle name="メモ 9 2" xfId="24606"/>
    <cellStyle name="メモ 9 2 2" xfId="49541"/>
    <cellStyle name="メモ 9 2 3" xfId="49542"/>
    <cellStyle name="メモ 9 3" xfId="24605"/>
    <cellStyle name="メモ 9 4" xfId="49543"/>
    <cellStyle name="メモ_40期事業計画（商品部）  (3)" xfId="49544"/>
    <cellStyle name="リンク セル" xfId="1852"/>
    <cellStyle name="リンク セル 2" xfId="122"/>
    <cellStyle name="リンク セル 2 2" xfId="1854"/>
    <cellStyle name="リンク セル 2 2 2" xfId="1855"/>
    <cellStyle name="リンク セル 2 2 3" xfId="49545"/>
    <cellStyle name="リンク セル 2 2 4" xfId="49546"/>
    <cellStyle name="リンク セル 2 3" xfId="1856"/>
    <cellStyle name="リンク セル 2 3 2" xfId="1857"/>
    <cellStyle name="リンク セル 2 3 3" xfId="49547"/>
    <cellStyle name="リンク セル 2 3 4" xfId="49548"/>
    <cellStyle name="リンク セル 2 4" xfId="6375"/>
    <cellStyle name="リンク セル 2 5" xfId="49549"/>
    <cellStyle name="リンク セル 2 6" xfId="49550"/>
    <cellStyle name="リンク セル 2 7" xfId="49551"/>
    <cellStyle name="リンク セル 2 8" xfId="49552"/>
    <cellStyle name="リンク セル 2 9" xfId="1853"/>
    <cellStyle name="リンク セル 3" xfId="1858"/>
    <cellStyle name="リンク セル 3 2" xfId="1859"/>
    <cellStyle name="リンク セル 3 2 2" xfId="1860"/>
    <cellStyle name="リンク セル 3 2 3" xfId="49553"/>
    <cellStyle name="リンク セル 3 2 4" xfId="49554"/>
    <cellStyle name="リンク セル 3 3" xfId="1861"/>
    <cellStyle name="リンク セル 3 3 2" xfId="1862"/>
    <cellStyle name="リンク セル 3 3 3" xfId="49555"/>
    <cellStyle name="リンク セル 3 3 4" xfId="49556"/>
    <cellStyle name="リンク セル 3 4" xfId="1863"/>
    <cellStyle name="リンク セル 3 5" xfId="49557"/>
    <cellStyle name="リンク セル 3 6" xfId="49558"/>
    <cellStyle name="リンク セル 3 7" xfId="49559"/>
    <cellStyle name="リンク セル 3 8" xfId="49560"/>
    <cellStyle name="リンク セル 4" xfId="1864"/>
    <cellStyle name="リンク セル 4 2" xfId="1865"/>
    <cellStyle name="リンク セル 4 2 2" xfId="1866"/>
    <cellStyle name="リンク セル 4 2 3" xfId="49561"/>
    <cellStyle name="リンク セル 4 2 4" xfId="49562"/>
    <cellStyle name="リンク セル 4 3" xfId="1867"/>
    <cellStyle name="リンク セル 4 3 2" xfId="1868"/>
    <cellStyle name="リンク セル 4 3 3" xfId="49563"/>
    <cellStyle name="リンク セル 4 3 4" xfId="49564"/>
    <cellStyle name="リンク セル 4 4" xfId="1869"/>
    <cellStyle name="リンク セル 4 5" xfId="49565"/>
    <cellStyle name="リンク セル 4 6" xfId="49566"/>
    <cellStyle name="リンク セル 4 7" xfId="49567"/>
    <cellStyle name="リンク セル 5" xfId="6371"/>
    <cellStyle name="リンク セル 5 2" xfId="24607"/>
    <cellStyle name="リンク セル 5 3" xfId="60909"/>
    <cellStyle name="リンク セル 6" xfId="49568"/>
    <cellStyle name="リンク セル 7" xfId="49569"/>
    <cellStyle name="リンク セル 8" xfId="49570"/>
    <cellStyle name="百分比 10" xfId="6382"/>
    <cellStyle name="百分比 10 2" xfId="6383"/>
    <cellStyle name="百分比 10 2 2" xfId="49571"/>
    <cellStyle name="百分比 10 3" xfId="49572"/>
    <cellStyle name="百分比 10 4" xfId="49573"/>
    <cellStyle name="百分比 10 5" xfId="49574"/>
    <cellStyle name="百分比 10 5 2" xfId="49575"/>
    <cellStyle name="百分比 11" xfId="6384"/>
    <cellStyle name="百分比 11 2" xfId="1870"/>
    <cellStyle name="百分比 11 2 2" xfId="49576"/>
    <cellStyle name="百分比 11 2 3" xfId="49577"/>
    <cellStyle name="百分比 11 2 4" xfId="49578"/>
    <cellStyle name="百分比 11 3" xfId="49579"/>
    <cellStyle name="百分比 11 4" xfId="49580"/>
    <cellStyle name="百分比 11 5" xfId="49581"/>
    <cellStyle name="百分比 12" xfId="6386"/>
    <cellStyle name="百分比 12 2" xfId="49582"/>
    <cellStyle name="百分比 12 3" xfId="49583"/>
    <cellStyle name="百分比 13" xfId="6387"/>
    <cellStyle name="百分比 13 2" xfId="11265"/>
    <cellStyle name="百分比 13 2 2" xfId="11266"/>
    <cellStyle name="百分比 13 2 2 2" xfId="24608"/>
    <cellStyle name="百分比 13 2 3" xfId="24609"/>
    <cellStyle name="百分比 13 3" xfId="11267"/>
    <cellStyle name="百分比 13 3 2" xfId="24610"/>
    <cellStyle name="百分比 13 4" xfId="24611"/>
    <cellStyle name="百分比 13 4 2" xfId="49584"/>
    <cellStyle name="百分比 13 5" xfId="49585"/>
    <cellStyle name="百分比 14" xfId="6388"/>
    <cellStyle name="百分比 14 2" xfId="49586"/>
    <cellStyle name="百分比 14 3" xfId="49587"/>
    <cellStyle name="百分比 15" xfId="6389"/>
    <cellStyle name="百分比 15 2" xfId="11268"/>
    <cellStyle name="百分比 15 2 2" xfId="11269"/>
    <cellStyle name="百分比 15 2 2 2" xfId="24612"/>
    <cellStyle name="百分比 15 2 2 2 2" xfId="49588"/>
    <cellStyle name="百分比 15 2 2 3" xfId="49589"/>
    <cellStyle name="百分比 15 2 3" xfId="24613"/>
    <cellStyle name="百分比 15 2 3 2" xfId="49590"/>
    <cellStyle name="百分比 15 2 4" xfId="49591"/>
    <cellStyle name="百分比 15 3" xfId="11270"/>
    <cellStyle name="百分比 15 3 2" xfId="24614"/>
    <cellStyle name="百分比 15 3 2 2" xfId="49592"/>
    <cellStyle name="百分比 15 3 3" xfId="49593"/>
    <cellStyle name="百分比 15 4" xfId="24615"/>
    <cellStyle name="百分比 15 4 2" xfId="49594"/>
    <cellStyle name="百分比 16" xfId="6390"/>
    <cellStyle name="百分比 16 2" xfId="49595"/>
    <cellStyle name="百分比 16 3" xfId="49596"/>
    <cellStyle name="百分比 16 4" xfId="49597"/>
    <cellStyle name="百分比 16 5" xfId="49598"/>
    <cellStyle name="百分比 16 6" xfId="49599"/>
    <cellStyle name="百分比 16 7" xfId="49600"/>
    <cellStyle name="百分比 17" xfId="49601"/>
    <cellStyle name="百分比 17 2" xfId="49602"/>
    <cellStyle name="百分比 17 2 2" xfId="49603"/>
    <cellStyle name="百分比 17 2 2 2" xfId="49604"/>
    <cellStyle name="百分比 17 2 3" xfId="49605"/>
    <cellStyle name="百分比 17 3" xfId="49606"/>
    <cellStyle name="百分比 17 3 2" xfId="49607"/>
    <cellStyle name="百分比 17 4" xfId="49608"/>
    <cellStyle name="百分比 18" xfId="49609"/>
    <cellStyle name="百分比 19" xfId="49610"/>
    <cellStyle name="百分比 19 2" xfId="49611"/>
    <cellStyle name="百分比 19 2 2" xfId="49612"/>
    <cellStyle name="百分比 19 3" xfId="49613"/>
    <cellStyle name="百分比 2" xfId="659"/>
    <cellStyle name="百分比 2 10" xfId="6392"/>
    <cellStyle name="百分比 2 11" xfId="6391"/>
    <cellStyle name="百分比 2 12" xfId="1871"/>
    <cellStyle name="百分比 2 13" xfId="49614"/>
    <cellStyle name="百分比 2 14" xfId="721"/>
    <cellStyle name="百分比 2 15" xfId="60910"/>
    <cellStyle name="百分比 2 2" xfId="1872"/>
    <cellStyle name="百分比 2 2 2" xfId="1873"/>
    <cellStyle name="百分比 2 2 2 2" xfId="1874"/>
    <cellStyle name="百分比 2 2 2 2 2" xfId="49615"/>
    <cellStyle name="百分比 2 2 2 3" xfId="6394"/>
    <cellStyle name="百分比 2 2 2 4" xfId="49616"/>
    <cellStyle name="百分比 2 2 3" xfId="49617"/>
    <cellStyle name="百分比 2 2 4" xfId="49618"/>
    <cellStyle name="百分比 2 2 5" xfId="60911"/>
    <cellStyle name="百分比 2 3" xfId="1875"/>
    <cellStyle name="百分比 2 3 2" xfId="1876"/>
    <cellStyle name="百分比 2 3 2 2" xfId="1877"/>
    <cellStyle name="百分比 2 3 2 3" xfId="1878"/>
    <cellStyle name="百分比 2 3 3" xfId="49619"/>
    <cellStyle name="百分比 2 3 4" xfId="49620"/>
    <cellStyle name="百分比 2 4" xfId="1879"/>
    <cellStyle name="百分比 2 4 2" xfId="1880"/>
    <cellStyle name="百分比 2 4 2 2" xfId="6398"/>
    <cellStyle name="百分比 2 4 2 3" xfId="49621"/>
    <cellStyle name="百分比 2 4 3" xfId="6397"/>
    <cellStyle name="百分比 2 4 4" xfId="49622"/>
    <cellStyle name="百分比 2 5" xfId="1881"/>
    <cellStyle name="百分比 2 5 2" xfId="6399"/>
    <cellStyle name="百分比 2 5 3" xfId="49623"/>
    <cellStyle name="百分比 2 5 4" xfId="49624"/>
    <cellStyle name="百分比 2 6" xfId="6400"/>
    <cellStyle name="百分比 2 6 2" xfId="49625"/>
    <cellStyle name="百分比 2 7" xfId="6401"/>
    <cellStyle name="百分比 2 7 2" xfId="49626"/>
    <cellStyle name="百分比 2 8" xfId="6402"/>
    <cellStyle name="百分比 2 8 2" xfId="49627"/>
    <cellStyle name="百分比 2 9" xfId="6403"/>
    <cellStyle name="百分比 2 9 2" xfId="49628"/>
    <cellStyle name="百分比 2 9 3" xfId="49629"/>
    <cellStyle name="百分比 2 9 4" xfId="49630"/>
    <cellStyle name="百分比 20" xfId="49631"/>
    <cellStyle name="百分比 20 2" xfId="49632"/>
    <cellStyle name="百分比 20 2 2" xfId="49633"/>
    <cellStyle name="百分比 20 3" xfId="49634"/>
    <cellStyle name="百分比 21" xfId="60829"/>
    <cellStyle name="百分比 3" xfId="660"/>
    <cellStyle name="百分比 3 2" xfId="661"/>
    <cellStyle name="百分比 3 2 2" xfId="1884"/>
    <cellStyle name="百分比 3 2 2 2" xfId="1885"/>
    <cellStyle name="百分比 3 2 2 3" xfId="1886"/>
    <cellStyle name="百分比 3 2 2 4" xfId="49635"/>
    <cellStyle name="百分比 3 2 2 5" xfId="49636"/>
    <cellStyle name="百分比 3 2 3" xfId="6405"/>
    <cellStyle name="百分比 3 2 4" xfId="49637"/>
    <cellStyle name="百分比 3 2 5" xfId="1883"/>
    <cellStyle name="百分比 3 2 6" xfId="60913"/>
    <cellStyle name="百分比 3 3" xfId="1887"/>
    <cellStyle name="百分比 3 3 2" xfId="1888"/>
    <cellStyle name="百分比 3 3 2 2" xfId="1889"/>
    <cellStyle name="百分比 3 3 3" xfId="6406"/>
    <cellStyle name="百分比 3 3 4" xfId="49638"/>
    <cellStyle name="百分比 3 4" xfId="1890"/>
    <cellStyle name="百分比 3 4 2" xfId="1891"/>
    <cellStyle name="百分比 3 4 3" xfId="1892"/>
    <cellStyle name="百分比 3 4 4" xfId="49639"/>
    <cellStyle name="百分比 3 5" xfId="1893"/>
    <cellStyle name="百分比 3 5 2" xfId="11272"/>
    <cellStyle name="百分比 3 5 2 2" xfId="24616"/>
    <cellStyle name="百分比 3 5 3" xfId="11271"/>
    <cellStyle name="百分比 3 6" xfId="11273"/>
    <cellStyle name="百分比 3 6 2" xfId="24617"/>
    <cellStyle name="百分比 3 7" xfId="6404"/>
    <cellStyle name="百分比 3 8" xfId="1882"/>
    <cellStyle name="百分比 3 9" xfId="60912"/>
    <cellStyle name="百分比 4" xfId="662"/>
    <cellStyle name="百分比 4 2" xfId="1895"/>
    <cellStyle name="百分比 4 2 2" xfId="1896"/>
    <cellStyle name="百分比 4 2 2 2" xfId="1897"/>
    <cellStyle name="百分比 4 2 3" xfId="49640"/>
    <cellStyle name="百分比 4 3" xfId="1898"/>
    <cellStyle name="百分比 4 3 2" xfId="1899"/>
    <cellStyle name="百分比 4 3 2 2" xfId="1900"/>
    <cellStyle name="百分比 4 3 3" xfId="49641"/>
    <cellStyle name="百分比 4 4" xfId="1901"/>
    <cellStyle name="百分比 4 4 2" xfId="6411"/>
    <cellStyle name="百分比 4 4 3" xfId="49642"/>
    <cellStyle name="百分比 4 5" xfId="49643"/>
    <cellStyle name="百分比 4 6" xfId="49644"/>
    <cellStyle name="百分比 4 7" xfId="49645"/>
    <cellStyle name="百分比 4 8" xfId="1894"/>
    <cellStyle name="百分比 4 9" xfId="60914"/>
    <cellStyle name="百分比 5" xfId="1902"/>
    <cellStyle name="百分比 5 2" xfId="1903"/>
    <cellStyle name="百分比 5 2 2" xfId="1904"/>
    <cellStyle name="百分比 5 2 2 2" xfId="49646"/>
    <cellStyle name="百分比 5 2 2 3" xfId="49647"/>
    <cellStyle name="百分比 5 2 3" xfId="49648"/>
    <cellStyle name="百分比 5 2 4" xfId="49649"/>
    <cellStyle name="百分比 5 3" xfId="1905"/>
    <cellStyle name="百分比 5 3 2" xfId="1906"/>
    <cellStyle name="百分比 5 3 3" xfId="49650"/>
    <cellStyle name="百分比 5 3 4" xfId="49651"/>
    <cellStyle name="百分比 5 4" xfId="1907"/>
    <cellStyle name="百分比 5 4 2" xfId="1908"/>
    <cellStyle name="百分比 5 5" xfId="6412"/>
    <cellStyle name="百分比 5 6" xfId="49652"/>
    <cellStyle name="百分比 5 7" xfId="49653"/>
    <cellStyle name="百分比 5 8" xfId="49654"/>
    <cellStyle name="百分比 5 9" xfId="60915"/>
    <cellStyle name="百分比 6" xfId="1909"/>
    <cellStyle name="百分比 6 2" xfId="1910"/>
    <cellStyle name="百分比 6 2 2" xfId="49655"/>
    <cellStyle name="百分比 6 2 3" xfId="49656"/>
    <cellStyle name="百分比 6 2 4" xfId="49657"/>
    <cellStyle name="百分比 6 3" xfId="1911"/>
    <cellStyle name="百分比 6 3 2" xfId="49658"/>
    <cellStyle name="百分比 6 3 3" xfId="49659"/>
    <cellStyle name="百分比 6 3 4" xfId="49660"/>
    <cellStyle name="百分比 6 4" xfId="1912"/>
    <cellStyle name="百分比 6 5" xfId="49661"/>
    <cellStyle name="百分比 6 6" xfId="49662"/>
    <cellStyle name="百分比 6 7" xfId="60916"/>
    <cellStyle name="百分比 7" xfId="1913"/>
    <cellStyle name="百分比 7 2" xfId="1914"/>
    <cellStyle name="百分比 7 2 2" xfId="1915"/>
    <cellStyle name="百分比 7 2 2 2" xfId="1916"/>
    <cellStyle name="百分比 7 2 2 3" xfId="49663"/>
    <cellStyle name="百分比 7 2 2 4" xfId="49664"/>
    <cellStyle name="百分比 7 2 3" xfId="1917"/>
    <cellStyle name="百分比 7 2 4" xfId="49665"/>
    <cellStyle name="百分比 7 2 5" xfId="49666"/>
    <cellStyle name="百分比 7 3" xfId="1918"/>
    <cellStyle name="百分比 7 3 2" xfId="1919"/>
    <cellStyle name="百分比 7 3 3" xfId="49667"/>
    <cellStyle name="百分比 7 3 4" xfId="49668"/>
    <cellStyle name="百分比 7 4" xfId="1920"/>
    <cellStyle name="百分比 7 4 2" xfId="1921"/>
    <cellStyle name="百分比 7 4 3" xfId="6422"/>
    <cellStyle name="百分比 7 4 4" xfId="49669"/>
    <cellStyle name="百分比 7 5" xfId="1922"/>
    <cellStyle name="百分比 7 6" xfId="49670"/>
    <cellStyle name="百分比 7 7" xfId="49671"/>
    <cellStyle name="百分比 7 8" xfId="49672"/>
    <cellStyle name="百分比 7 9" xfId="60830"/>
    <cellStyle name="百分比 8" xfId="1923"/>
    <cellStyle name="百分比 8 2" xfId="1924"/>
    <cellStyle name="百分比 8 2 2" xfId="1925"/>
    <cellStyle name="百分比 8 2 2 2" xfId="49673"/>
    <cellStyle name="百分比 8 2 2 3" xfId="49674"/>
    <cellStyle name="百分比 8 2 2 4" xfId="49675"/>
    <cellStyle name="百分比 8 2 3" xfId="1926"/>
    <cellStyle name="百分比 8 2 3 2" xfId="49676"/>
    <cellStyle name="百分比 8 2 3 3" xfId="49677"/>
    <cellStyle name="百分比 8 2 3 4" xfId="49678"/>
    <cellStyle name="百分比 8 2 4" xfId="49679"/>
    <cellStyle name="百分比 8 2 5" xfId="49680"/>
    <cellStyle name="百分比 8 2 6" xfId="49681"/>
    <cellStyle name="百分比 8 3" xfId="1927"/>
    <cellStyle name="百分比 8 3 2" xfId="49682"/>
    <cellStyle name="百分比 8 3 3" xfId="49683"/>
    <cellStyle name="百分比 8 3 4" xfId="49684"/>
    <cellStyle name="百分比 8 4" xfId="1928"/>
    <cellStyle name="百分比 8 4 2" xfId="49685"/>
    <cellStyle name="百分比 8 4 3" xfId="49686"/>
    <cellStyle name="百分比 8 4 4" xfId="49687"/>
    <cellStyle name="百分比 8 5" xfId="1929"/>
    <cellStyle name="百分比 8 6" xfId="49688"/>
    <cellStyle name="百分比 8 7" xfId="49689"/>
    <cellStyle name="百分比 9" xfId="1930"/>
    <cellStyle name="百分比 9 2" xfId="1931"/>
    <cellStyle name="百分比 9 2 2" xfId="1932"/>
    <cellStyle name="百分比 9 2 2 2" xfId="1933"/>
    <cellStyle name="百分比 9 2 3" xfId="49690"/>
    <cellStyle name="百分比 9 3" xfId="1934"/>
    <cellStyle name="百分比 9 3 2" xfId="1935"/>
    <cellStyle name="百分比 9 3 2 2" xfId="1936"/>
    <cellStyle name="百分比 9 3 3" xfId="49691"/>
    <cellStyle name="百分比 9 4" xfId="1937"/>
    <cellStyle name="百分比 9 4 2" xfId="1938"/>
    <cellStyle name="百分比 9 4 2 2" xfId="1939"/>
    <cellStyle name="百分比 9 4 3" xfId="49692"/>
    <cellStyle name="百分比 9 5" xfId="1940"/>
    <cellStyle name="百分比 9 5 2" xfId="1941"/>
    <cellStyle name="百分比 9 6" xfId="49693"/>
    <cellStyle name="備註" xfId="6433"/>
    <cellStyle name="備註 10" xfId="24618"/>
    <cellStyle name="備註 2" xfId="6434"/>
    <cellStyle name="備註 2 2" xfId="11274"/>
    <cellStyle name="備註 2 2 2" xfId="11275"/>
    <cellStyle name="備註 2 2 2 2" xfId="21428"/>
    <cellStyle name="備註 2 2 2 2 2" xfId="24622"/>
    <cellStyle name="備註 2 2 2 3" xfId="22175"/>
    <cellStyle name="備註 2 2 2 4" xfId="24621"/>
    <cellStyle name="備註 2 2 3" xfId="11276"/>
    <cellStyle name="備註 2 2 3 2" xfId="18749"/>
    <cellStyle name="備註 2 2 3 2 2" xfId="24624"/>
    <cellStyle name="備註 2 2 3 3" xfId="22176"/>
    <cellStyle name="備註 2 2 3 4" xfId="24623"/>
    <cellStyle name="備註 2 2 4" xfId="19484"/>
    <cellStyle name="備註 2 2 4 2" xfId="24625"/>
    <cellStyle name="備註 2 2 5" xfId="22174"/>
    <cellStyle name="備註 2 2 6" xfId="24620"/>
    <cellStyle name="備註 2 3" xfId="11277"/>
    <cellStyle name="備註 2 3 2" xfId="21427"/>
    <cellStyle name="備註 2 3 2 2" xfId="24627"/>
    <cellStyle name="備註 2 3 3" xfId="22177"/>
    <cellStyle name="備註 2 3 4" xfId="24626"/>
    <cellStyle name="備註 2 4" xfId="11278"/>
    <cellStyle name="備註 2 4 2" xfId="18513"/>
    <cellStyle name="備註 2 4 2 2" xfId="24629"/>
    <cellStyle name="備註 2 4 3" xfId="22178"/>
    <cellStyle name="備註 2 4 4" xfId="24628"/>
    <cellStyle name="備註 2 5" xfId="18666"/>
    <cellStyle name="備註 2 5 2" xfId="24630"/>
    <cellStyle name="備註 2 6" xfId="24619"/>
    <cellStyle name="備註 3" xfId="6435"/>
    <cellStyle name="備註 3 2" xfId="11279"/>
    <cellStyle name="備註 3 2 2" xfId="11280"/>
    <cellStyle name="備註 3 2 2 2" xfId="19483"/>
    <cellStyle name="備註 3 2 2 2 2" xfId="24634"/>
    <cellStyle name="備註 3 2 2 3" xfId="22180"/>
    <cellStyle name="備註 3 2 2 4" xfId="24633"/>
    <cellStyle name="備註 3 2 3" xfId="11281"/>
    <cellStyle name="備註 3 2 3 2" xfId="21425"/>
    <cellStyle name="備註 3 2 3 2 2" xfId="24636"/>
    <cellStyle name="備註 3 2 3 3" xfId="22181"/>
    <cellStyle name="備註 3 2 3 4" xfId="24635"/>
    <cellStyle name="備註 3 2 4" xfId="21426"/>
    <cellStyle name="備註 3 2 4 2" xfId="24637"/>
    <cellStyle name="備註 3 2 5" xfId="22179"/>
    <cellStyle name="備註 3 2 6" xfId="24632"/>
    <cellStyle name="備註 3 3" xfId="11282"/>
    <cellStyle name="備註 3 3 2" xfId="21424"/>
    <cellStyle name="備註 3 3 2 2" xfId="24639"/>
    <cellStyle name="備註 3 3 3" xfId="22182"/>
    <cellStyle name="備註 3 3 4" xfId="24638"/>
    <cellStyle name="備註 3 4" xfId="11283"/>
    <cellStyle name="備註 3 4 2" xfId="18748"/>
    <cellStyle name="備註 3 4 2 2" xfId="24641"/>
    <cellStyle name="備註 3 4 3" xfId="22183"/>
    <cellStyle name="備註 3 4 4" xfId="24640"/>
    <cellStyle name="備註 3 5" xfId="18667"/>
    <cellStyle name="備註 3 5 2" xfId="24642"/>
    <cellStyle name="備註 3 6" xfId="24631"/>
    <cellStyle name="備註 4" xfId="6436"/>
    <cellStyle name="備註 4 2" xfId="11284"/>
    <cellStyle name="備註 4 2 2" xfId="11285"/>
    <cellStyle name="備註 4 2 2 2" xfId="20479"/>
    <cellStyle name="備註 4 2 2 2 2" xfId="24646"/>
    <cellStyle name="備註 4 2 2 3" xfId="22185"/>
    <cellStyle name="備註 4 2 2 4" xfId="24645"/>
    <cellStyle name="備註 4 2 3" xfId="11286"/>
    <cellStyle name="備註 4 2 3 2" xfId="19482"/>
    <cellStyle name="備註 4 2 3 2 2" xfId="24648"/>
    <cellStyle name="備註 4 2 3 3" xfId="22186"/>
    <cellStyle name="備註 4 2 3 4" xfId="24647"/>
    <cellStyle name="備註 4 2 4" xfId="21423"/>
    <cellStyle name="備註 4 2 4 2" xfId="24649"/>
    <cellStyle name="備註 4 2 5" xfId="22184"/>
    <cellStyle name="備註 4 2 6" xfId="24644"/>
    <cellStyle name="備註 4 3" xfId="11287"/>
    <cellStyle name="備註 4 3 2" xfId="20478"/>
    <cellStyle name="備註 4 3 2 2" xfId="24651"/>
    <cellStyle name="備註 4 3 3" xfId="22187"/>
    <cellStyle name="備註 4 3 4" xfId="24650"/>
    <cellStyle name="備註 4 4" xfId="11288"/>
    <cellStyle name="備註 4 4 2" xfId="20477"/>
    <cellStyle name="備註 4 4 2 2" xfId="24653"/>
    <cellStyle name="備註 4 4 3" xfId="22188"/>
    <cellStyle name="備註 4 4 4" xfId="24652"/>
    <cellStyle name="備註 4 5" xfId="18668"/>
    <cellStyle name="備註 4 5 2" xfId="24654"/>
    <cellStyle name="備註 4 6" xfId="24643"/>
    <cellStyle name="備註 5" xfId="6437"/>
    <cellStyle name="備註 5 2" xfId="11289"/>
    <cellStyle name="備註 5 2 2" xfId="11290"/>
    <cellStyle name="備註 5 2 2 2" xfId="21422"/>
    <cellStyle name="備註 5 2 2 2 2" xfId="24658"/>
    <cellStyle name="備註 5 2 2 3" xfId="22190"/>
    <cellStyle name="備註 5 2 2 4" xfId="24657"/>
    <cellStyle name="備註 5 2 3" xfId="11291"/>
    <cellStyle name="備註 5 2 3 2" xfId="20476"/>
    <cellStyle name="備註 5 2 3 2 2" xfId="24660"/>
    <cellStyle name="備註 5 2 3 3" xfId="22191"/>
    <cellStyle name="備註 5 2 3 4" xfId="24659"/>
    <cellStyle name="備註 5 2 4" xfId="18507"/>
    <cellStyle name="備註 5 2 4 2" xfId="24661"/>
    <cellStyle name="備註 5 2 5" xfId="22189"/>
    <cellStyle name="備註 5 2 6" xfId="24656"/>
    <cellStyle name="備註 5 3" xfId="11292"/>
    <cellStyle name="備註 5 3 2" xfId="17819"/>
    <cellStyle name="備註 5 3 2 2" xfId="24663"/>
    <cellStyle name="備註 5 3 3" xfId="22192"/>
    <cellStyle name="備註 5 3 4" xfId="24662"/>
    <cellStyle name="備註 5 4" xfId="11293"/>
    <cellStyle name="備註 5 4 2" xfId="19481"/>
    <cellStyle name="備註 5 4 2 2" xfId="24665"/>
    <cellStyle name="備註 5 4 3" xfId="22193"/>
    <cellStyle name="備註 5 4 4" xfId="24664"/>
    <cellStyle name="備註 5 5" xfId="18669"/>
    <cellStyle name="備註 5 5 2" xfId="24666"/>
    <cellStyle name="備註 5 6" xfId="24655"/>
    <cellStyle name="備註 6" xfId="11294"/>
    <cellStyle name="備註 6 2" xfId="11295"/>
    <cellStyle name="備註 6 2 2" xfId="20474"/>
    <cellStyle name="備註 6 2 2 2" xfId="24669"/>
    <cellStyle name="備註 6 2 3" xfId="22195"/>
    <cellStyle name="備註 6 2 4" xfId="24668"/>
    <cellStyle name="備註 6 3" xfId="11296"/>
    <cellStyle name="備註 6 3 2" xfId="20473"/>
    <cellStyle name="備註 6 3 2 2" xfId="24671"/>
    <cellStyle name="備註 6 3 3" xfId="22196"/>
    <cellStyle name="備註 6 3 4" xfId="24670"/>
    <cellStyle name="備註 6 4" xfId="20475"/>
    <cellStyle name="備註 6 4 2" xfId="24672"/>
    <cellStyle name="備註 6 5" xfId="22194"/>
    <cellStyle name="備註 6 6" xfId="24667"/>
    <cellStyle name="備註 7" xfId="11297"/>
    <cellStyle name="備註 7 2" xfId="21421"/>
    <cellStyle name="備註 7 2 2" xfId="24674"/>
    <cellStyle name="備註 7 3" xfId="22197"/>
    <cellStyle name="備註 7 4" xfId="24673"/>
    <cellStyle name="備註 8" xfId="11298"/>
    <cellStyle name="備註 8 2" xfId="18506"/>
    <cellStyle name="備註 8 2 2" xfId="24676"/>
    <cellStyle name="備註 8 3" xfId="22198"/>
    <cellStyle name="備註 8 4" xfId="24675"/>
    <cellStyle name="備註 9" xfId="18665"/>
    <cellStyle name="備註 9 2" xfId="24677"/>
    <cellStyle name="标题 1 2" xfId="676"/>
    <cellStyle name="标题 1 2 2" xfId="1942"/>
    <cellStyle name="标题 1 2 2 2" xfId="1943"/>
    <cellStyle name="标题 1 2 2 2 2" xfId="6440"/>
    <cellStyle name="标题 1 2 2 2 3" xfId="49694"/>
    <cellStyle name="标题 1 2 2 2 4" xfId="49695"/>
    <cellStyle name="标题 1 2 2 3" xfId="6439"/>
    <cellStyle name="标题 1 2 2 4" xfId="49696"/>
    <cellStyle name="标题 1 2 3" xfId="6441"/>
    <cellStyle name="标题 1 2 3 2" xfId="49697"/>
    <cellStyle name="标题 1 2 3 3" xfId="49698"/>
    <cellStyle name="标题 1 2 4" xfId="49699"/>
    <cellStyle name="标题 1 2 5" xfId="49700"/>
    <cellStyle name="标题 1 2 6" xfId="49701"/>
    <cellStyle name="标题 1 2 7" xfId="742"/>
    <cellStyle name="标题 1 3" xfId="1944"/>
    <cellStyle name="标题 1 3 2" xfId="24678"/>
    <cellStyle name="标题 1 4" xfId="6443"/>
    <cellStyle name="标题 1 5" xfId="49702"/>
    <cellStyle name="标题 2 2" xfId="677"/>
    <cellStyle name="标题 2 2 2" xfId="1945"/>
    <cellStyle name="标题 2 2 2 2" xfId="1946"/>
    <cellStyle name="标题 2 2 2 2 2" xfId="6446"/>
    <cellStyle name="标题 2 2 2 2 3" xfId="49703"/>
    <cellStyle name="标题 2 2 2 2 4" xfId="49704"/>
    <cellStyle name="标题 2 2 2 3" xfId="6445"/>
    <cellStyle name="标题 2 2 2 4" xfId="49705"/>
    <cellStyle name="标题 2 2 3" xfId="6447"/>
    <cellStyle name="标题 2 2 3 2" xfId="49706"/>
    <cellStyle name="标题 2 2 3 3" xfId="49707"/>
    <cellStyle name="标题 2 2 4" xfId="49708"/>
    <cellStyle name="标题 2 2 5" xfId="49709"/>
    <cellStyle name="标题 2 2 6" xfId="49710"/>
    <cellStyle name="标题 2 2 7" xfId="743"/>
    <cellStyle name="标题 2 3" xfId="1947"/>
    <cellStyle name="标题 2 3 2" xfId="24679"/>
    <cellStyle name="标题 2 4" xfId="6449"/>
    <cellStyle name="标题 2 5" xfId="49711"/>
    <cellStyle name="标题 3 2" xfId="678"/>
    <cellStyle name="标题 3 2 2" xfId="1948"/>
    <cellStyle name="标题 3 2 2 2" xfId="1949"/>
    <cellStyle name="标题 3 2 2 2 2" xfId="6452"/>
    <cellStyle name="标题 3 2 2 2 3" xfId="49712"/>
    <cellStyle name="标题 3 2 2 2 4" xfId="49713"/>
    <cellStyle name="标题 3 2 2 3" xfId="6451"/>
    <cellStyle name="标题 3 2 2 4" xfId="49714"/>
    <cellStyle name="标题 3 2 3" xfId="6453"/>
    <cellStyle name="标题 3 2 3 2" xfId="49715"/>
    <cellStyle name="标题 3 2 3 3" xfId="49716"/>
    <cellStyle name="标题 3 2 4" xfId="49717"/>
    <cellStyle name="标题 3 2 5" xfId="49718"/>
    <cellStyle name="标题 3 2 6" xfId="49719"/>
    <cellStyle name="标题 3 2 7" xfId="744"/>
    <cellStyle name="标题 3 3" xfId="1950"/>
    <cellStyle name="标题 3 3 2" xfId="24680"/>
    <cellStyle name="标题 3 4" xfId="6455"/>
    <cellStyle name="标题 3 5" xfId="49720"/>
    <cellStyle name="标题 4 2" xfId="679"/>
    <cellStyle name="标题 4 2 2" xfId="1951"/>
    <cellStyle name="标题 4 2 2 2" xfId="1952"/>
    <cellStyle name="标题 4 2 2 2 2" xfId="6458"/>
    <cellStyle name="标题 4 2 2 2 3" xfId="49721"/>
    <cellStyle name="标题 4 2 2 2 4" xfId="49722"/>
    <cellStyle name="标题 4 2 2 3" xfId="6457"/>
    <cellStyle name="标题 4 2 2 4" xfId="49723"/>
    <cellStyle name="标题 4 2 3" xfId="6459"/>
    <cellStyle name="标题 4 2 3 2" xfId="49724"/>
    <cellStyle name="标题 4 2 3 3" xfId="49725"/>
    <cellStyle name="标题 4 2 4" xfId="49726"/>
    <cellStyle name="标题 4 2 5" xfId="49727"/>
    <cellStyle name="标题 4 2 6" xfId="49728"/>
    <cellStyle name="标题 4 2 7" xfId="745"/>
    <cellStyle name="标题 4 3" xfId="1953"/>
    <cellStyle name="标题 4 3 2" xfId="24681"/>
    <cellStyle name="标题 4 4" xfId="6461"/>
    <cellStyle name="标题 4 5" xfId="49729"/>
    <cellStyle name="标题 5" xfId="680"/>
    <cellStyle name="标题 5 2" xfId="1954"/>
    <cellStyle name="标题 5 2 2" xfId="1955"/>
    <cellStyle name="标题 5 2 2 2" xfId="6464"/>
    <cellStyle name="标题 5 2 2 3" xfId="49730"/>
    <cellStyle name="标题 5 2 2 4" xfId="49731"/>
    <cellStyle name="标题 5 2 3" xfId="6463"/>
    <cellStyle name="标题 5 2 4" xfId="49732"/>
    <cellStyle name="标题 5 3" xfId="6465"/>
    <cellStyle name="标题 5 3 2" xfId="49733"/>
    <cellStyle name="标题 5 3 3" xfId="49734"/>
    <cellStyle name="标题 5 4" xfId="49735"/>
    <cellStyle name="标题 5 5" xfId="49736"/>
    <cellStyle name="标题 5 6" xfId="746"/>
    <cellStyle name="标题 6" xfId="1956"/>
    <cellStyle name="标题 6 2" xfId="24682"/>
    <cellStyle name="标题 7" xfId="6467"/>
    <cellStyle name="标题 8" xfId="49737"/>
    <cellStyle name="标题 9" xfId="49738"/>
    <cellStyle name="標題" xfId="6468"/>
    <cellStyle name="標題 1" xfId="6469"/>
    <cellStyle name="標題 2" xfId="6470"/>
    <cellStyle name="標題 3" xfId="6471"/>
    <cellStyle name="標題 4" xfId="6472"/>
    <cellStyle name="標準 10" xfId="692"/>
    <cellStyle name="標準 10 2" xfId="1958"/>
    <cellStyle name="標準 10 2 2" xfId="1959"/>
    <cellStyle name="標準 10 2 2 2" xfId="1960"/>
    <cellStyle name="標準 10 2 2 3" xfId="49739"/>
    <cellStyle name="標準 10 2 3" xfId="6476"/>
    <cellStyle name="標準 10 2 4" xfId="6474"/>
    <cellStyle name="標準 10 2 5" xfId="60918"/>
    <cellStyle name="標準 10 3" xfId="1961"/>
    <cellStyle name="標準 10 3 2" xfId="1962"/>
    <cellStyle name="標準 10 3 3" xfId="6477"/>
    <cellStyle name="標準 10 3 4" xfId="49740"/>
    <cellStyle name="標準 10 3 5" xfId="49741"/>
    <cellStyle name="標準 10 4" xfId="1963"/>
    <cellStyle name="標準 10 4 2" xfId="1964"/>
    <cellStyle name="標準 10 4 3" xfId="49742"/>
    <cellStyle name="標準 10 4 4" xfId="49743"/>
    <cellStyle name="標準 10 5" xfId="6473"/>
    <cellStyle name="標準 10 6" xfId="49744"/>
    <cellStyle name="標準 10 7" xfId="1957"/>
    <cellStyle name="標準 10 8" xfId="60917"/>
    <cellStyle name="標準 10_副本40期事業計画  (2)" xfId="6478"/>
    <cellStyle name="標準 11" xfId="694"/>
    <cellStyle name="標準 11 2" xfId="1966"/>
    <cellStyle name="標準 11 2 2" xfId="1967"/>
    <cellStyle name="標準 11 2 2 2" xfId="1968"/>
    <cellStyle name="標準 11 2 2 3" xfId="49745"/>
    <cellStyle name="標準 11 2 2 4" xfId="49746"/>
    <cellStyle name="標準 11 2 3" xfId="1969"/>
    <cellStyle name="標準 11 2 3 2" xfId="1970"/>
    <cellStyle name="標準 11 2 3 3" xfId="49747"/>
    <cellStyle name="標準 11 2 3 4" xfId="49748"/>
    <cellStyle name="標準 11 2 4" xfId="1971"/>
    <cellStyle name="標準 11 2 5" xfId="49749"/>
    <cellStyle name="標準 11 2 6" xfId="49750"/>
    <cellStyle name="標準 11 2 7" xfId="49751"/>
    <cellStyle name="標準 11 2 8" xfId="60919"/>
    <cellStyle name="標準 11 3" xfId="1972"/>
    <cellStyle name="標準 11 3 2" xfId="1973"/>
    <cellStyle name="標準 11 3 3" xfId="49752"/>
    <cellStyle name="標準 11 3 4" xfId="49753"/>
    <cellStyle name="標準 11 4" xfId="1974"/>
    <cellStyle name="標準 11 4 2" xfId="1975"/>
    <cellStyle name="標準 11 4 3" xfId="49754"/>
    <cellStyle name="標準 11 4 4" xfId="49755"/>
    <cellStyle name="標準 11 5" xfId="1976"/>
    <cellStyle name="標準 11 5 2" xfId="1977"/>
    <cellStyle name="標準 11 6" xfId="6479"/>
    <cellStyle name="標準 11 7" xfId="49756"/>
    <cellStyle name="標準 11 8" xfId="1965"/>
    <cellStyle name="標準 11_40期事業計画（商品部）  (3)" xfId="1978"/>
    <cellStyle name="標準 12" xfId="1979"/>
    <cellStyle name="標準 12 2" xfId="1980"/>
    <cellStyle name="標準 12 2 2" xfId="1981"/>
    <cellStyle name="標準 12 2 3" xfId="6487"/>
    <cellStyle name="標準 12 2 4" xfId="49757"/>
    <cellStyle name="標準 12 2 5" xfId="49758"/>
    <cellStyle name="標準 12 2 6" xfId="60921"/>
    <cellStyle name="標準 12 3" xfId="1982"/>
    <cellStyle name="標準 12 3 2" xfId="1983"/>
    <cellStyle name="標準 12 3 3" xfId="49759"/>
    <cellStyle name="標準 12 3 4" xfId="49760"/>
    <cellStyle name="標準 12 4" xfId="1984"/>
    <cellStyle name="標準 12 4 2" xfId="1985"/>
    <cellStyle name="標準 12 5" xfId="6486"/>
    <cellStyle name="標準 12 6" xfId="49761"/>
    <cellStyle name="標準 12 7" xfId="60920"/>
    <cellStyle name="標準 13" xfId="1986"/>
    <cellStyle name="標準 13 2" xfId="1987"/>
    <cellStyle name="標準 13 2 2" xfId="1988"/>
    <cellStyle name="標準 13 2 3" xfId="49762"/>
    <cellStyle name="標準 13 2 4" xfId="49763"/>
    <cellStyle name="標準 13 2 5" xfId="49764"/>
    <cellStyle name="標準 13 2 6" xfId="60923"/>
    <cellStyle name="標準 13 3" xfId="1989"/>
    <cellStyle name="標準 13 3 2" xfId="1990"/>
    <cellStyle name="標準 13 3 3" xfId="49765"/>
    <cellStyle name="標準 13 3 4" xfId="49766"/>
    <cellStyle name="標準 13 4" xfId="1991"/>
    <cellStyle name="標準 13 4 2" xfId="1992"/>
    <cellStyle name="標準 13 5" xfId="6489"/>
    <cellStyle name="標準 13 6" xfId="49767"/>
    <cellStyle name="標準 13 7" xfId="60922"/>
    <cellStyle name="標準 13_培训名单通知" xfId="6492"/>
    <cellStyle name="標準 14" xfId="1993"/>
    <cellStyle name="標準 14 2" xfId="1994"/>
    <cellStyle name="標準 14 2 2" xfId="1995"/>
    <cellStyle name="標準 14 2 3" xfId="6494"/>
    <cellStyle name="標準 14 2 4" xfId="49768"/>
    <cellStyle name="標準 14 2 5" xfId="49769"/>
    <cellStyle name="標準 14 2 6" xfId="60925"/>
    <cellStyle name="標準 14 3" xfId="1996"/>
    <cellStyle name="標準 14 3 2" xfId="1997"/>
    <cellStyle name="標準 14 3 3" xfId="49770"/>
    <cellStyle name="標準 14 3 4" xfId="49771"/>
    <cellStyle name="標準 14 4" xfId="1998"/>
    <cellStyle name="標準 14 4 2" xfId="1999"/>
    <cellStyle name="標準 14 5" xfId="6493"/>
    <cellStyle name="標準 14 6" xfId="49772"/>
    <cellStyle name="標準 14 7" xfId="60924"/>
    <cellStyle name="標準 14_培训名单通知" xfId="6496"/>
    <cellStyle name="標準 15" xfId="2000"/>
    <cellStyle name="標準 15 2" xfId="2001"/>
    <cellStyle name="標準 15 2 2" xfId="2002"/>
    <cellStyle name="標準 15 2 2 2" xfId="2003"/>
    <cellStyle name="標準 15 2 3" xfId="49773"/>
    <cellStyle name="標準 15 2 4" xfId="49774"/>
    <cellStyle name="標準 15 2 5" xfId="60927"/>
    <cellStyle name="標準 15 3" xfId="2004"/>
    <cellStyle name="標準 15 3 2" xfId="2005"/>
    <cellStyle name="標準 15 3 2 2" xfId="2006"/>
    <cellStyle name="標準 15 3 3" xfId="49775"/>
    <cellStyle name="標準 15 4" xfId="2007"/>
    <cellStyle name="標準 15 4 2" xfId="2008"/>
    <cellStyle name="標準 15 5" xfId="49776"/>
    <cellStyle name="標準 15 6" xfId="60926"/>
    <cellStyle name="標準 16" xfId="2009"/>
    <cellStyle name="標準 16 2" xfId="2010"/>
    <cellStyle name="標準 16 2 2" xfId="6501"/>
    <cellStyle name="標準 16 2 3" xfId="49777"/>
    <cellStyle name="標準 16 3" xfId="6500"/>
    <cellStyle name="標準 16 4" xfId="49778"/>
    <cellStyle name="標準 16 4 2" xfId="49779"/>
    <cellStyle name="標準 16 4 2 2" xfId="49780"/>
    <cellStyle name="標準 16 4_205地区长业务周报" xfId="49781"/>
    <cellStyle name="標準 16 5" xfId="49782"/>
    <cellStyle name="標準 16 5 2" xfId="49783"/>
    <cellStyle name="標準 16 6" xfId="60928"/>
    <cellStyle name="標準 16 7" xfId="61117"/>
    <cellStyle name="標準 16 8" xfId="61116"/>
    <cellStyle name="標準 16_201地区长业务周报" xfId="49784"/>
    <cellStyle name="標準 17" xfId="2011"/>
    <cellStyle name="標準 17 2" xfId="2012"/>
    <cellStyle name="標準 17 3" xfId="6502"/>
    <cellStyle name="標準 17 4" xfId="49785"/>
    <cellStyle name="標準 17 5" xfId="49786"/>
    <cellStyle name="標準 17 6" xfId="49787"/>
    <cellStyle name="標準 18" xfId="2013"/>
    <cellStyle name="標準 18 2" xfId="2014"/>
    <cellStyle name="標準 18 3" xfId="6503"/>
    <cellStyle name="標準 18 4" xfId="49788"/>
    <cellStyle name="標準 19" xfId="2015"/>
    <cellStyle name="標準 19 2" xfId="2016"/>
    <cellStyle name="標準 19 2 2" xfId="49789"/>
    <cellStyle name="標準 19 2 3" xfId="49790"/>
    <cellStyle name="標準 19 3" xfId="6504"/>
    <cellStyle name="標準 19 4" xfId="49791"/>
    <cellStyle name="標準 19 5" xfId="49792"/>
    <cellStyle name="標準 2" xfId="67"/>
    <cellStyle name="標準 2 10" xfId="6506"/>
    <cellStyle name="標準 2 10 2" xfId="49793"/>
    <cellStyle name="標準 2 11" xfId="6507"/>
    <cellStyle name="標準 2 12" xfId="6508"/>
    <cellStyle name="標準 2 13" xfId="6509"/>
    <cellStyle name="標準 2 14" xfId="6510"/>
    <cellStyle name="標準 2 15" xfId="6511"/>
    <cellStyle name="標準 2 16" xfId="6512"/>
    <cellStyle name="標準 2 17" xfId="6513"/>
    <cellStyle name="標準 2 18" xfId="6514"/>
    <cellStyle name="標準 2 19" xfId="6515"/>
    <cellStyle name="標準 2 2" xfId="663"/>
    <cellStyle name="標準 2 2 10" xfId="21751"/>
    <cellStyle name="標準 2 2 11" xfId="49794"/>
    <cellStyle name="標準 2 2 12" xfId="2018"/>
    <cellStyle name="標準 2 2 13" xfId="60929"/>
    <cellStyle name="標準 2 2 2" xfId="2019"/>
    <cellStyle name="標準 2 2 2 10" xfId="24683"/>
    <cellStyle name="標準 2 2 2 11" xfId="24684"/>
    <cellStyle name="標準 2 2 2 12" xfId="60930"/>
    <cellStyle name="標準 2 2 2 2" xfId="2020"/>
    <cellStyle name="標準 2 2 2 2 2" xfId="2021"/>
    <cellStyle name="標準 2 2 2 2 2 2" xfId="6519"/>
    <cellStyle name="標準 2 2 2 2 2 3" xfId="49795"/>
    <cellStyle name="標準 2 2 2 2 2 4" xfId="49796"/>
    <cellStyle name="標準 2 2 2 2 3" xfId="6518"/>
    <cellStyle name="標準 2 2 2 2 4" xfId="49797"/>
    <cellStyle name="標準 2 2 2 2_副本40期事業計画  (2)" xfId="6520"/>
    <cellStyle name="標準 2 2 2 3" xfId="6521"/>
    <cellStyle name="標準 2 2 2 3 2" xfId="6522"/>
    <cellStyle name="標準 2 2 2 3 2 2" xfId="49798"/>
    <cellStyle name="標準 2 2 2 3 2 3" xfId="49799"/>
    <cellStyle name="標準 2 2 2 3 3" xfId="49800"/>
    <cellStyle name="標準 2 2 2 3_副本40期事業計画  (2)" xfId="6523"/>
    <cellStyle name="標準 2 2 2 4" xfId="6524"/>
    <cellStyle name="標準 2 2 2 4 2" xfId="6525"/>
    <cellStyle name="標準 2 2 2 4_副本40期事業計画  (2)" xfId="6526"/>
    <cellStyle name="標準 2 2 2 5" xfId="6527"/>
    <cellStyle name="標準 2 2 2 6" xfId="24685"/>
    <cellStyle name="標準 2 2 2 7" xfId="24686"/>
    <cellStyle name="標準 2 2 2 8" xfId="24687"/>
    <cellStyle name="標準 2 2 2 9" xfId="24688"/>
    <cellStyle name="標準 2 2 3" xfId="2022"/>
    <cellStyle name="標準 2 2 3 2" xfId="2023"/>
    <cellStyle name="標準 2 2 3 2 2" xfId="2024"/>
    <cellStyle name="標準 2 2 3 2 3" xfId="6529"/>
    <cellStyle name="標準 2 2 3 2 4" xfId="49801"/>
    <cellStyle name="標準 2 2 3 3" xfId="49802"/>
    <cellStyle name="標準 2 2 3 3 2" xfId="49803"/>
    <cellStyle name="標準 2 2 3 4" xfId="49804"/>
    <cellStyle name="標準 2 2 4" xfId="2025"/>
    <cellStyle name="標準 2 2 4 2" xfId="2026"/>
    <cellStyle name="標準 2 2 4 2 2" xfId="49805"/>
    <cellStyle name="標準 2 2 4 3" xfId="49806"/>
    <cellStyle name="標準 2 2 4 4" xfId="49807"/>
    <cellStyle name="標準 2 2 5" xfId="6516"/>
    <cellStyle name="標準 2 2 5 2" xfId="24689"/>
    <cellStyle name="標準 2 2 6" xfId="7581"/>
    <cellStyle name="標準 2 2 6 2" xfId="24690"/>
    <cellStyle name="標準 2 2 7" xfId="21766"/>
    <cellStyle name="標準 2 2 7 2" xfId="24691"/>
    <cellStyle name="標準 2 2 8" xfId="19129"/>
    <cellStyle name="標準 2 2 9" xfId="20499"/>
    <cellStyle name="標準 2 2_SIZ 進捗会議資料　100401" xfId="6531"/>
    <cellStyle name="標準 2 20" xfId="6532"/>
    <cellStyle name="標準 2 21" xfId="6533"/>
    <cellStyle name="標準 2 22" xfId="6534"/>
    <cellStyle name="標準 2 23" xfId="6535"/>
    <cellStyle name="標準 2 23 2" xfId="49808"/>
    <cellStyle name="標準 2 24" xfId="24692"/>
    <cellStyle name="標準 2 25" xfId="24693"/>
    <cellStyle name="標準 2 26" xfId="49809"/>
    <cellStyle name="標準 2 27" xfId="49810"/>
    <cellStyle name="標準 2 28" xfId="49811"/>
    <cellStyle name="標準 2 29" xfId="49812"/>
    <cellStyle name="標準 2 3" xfId="2027"/>
    <cellStyle name="標準 2 3 10" xfId="21765"/>
    <cellStyle name="標準 2 3 10 2" xfId="24694"/>
    <cellStyle name="標準 2 3 11" xfId="49813"/>
    <cellStyle name="標準 2 3 12" xfId="60931"/>
    <cellStyle name="標準 2 3 2" xfId="2028"/>
    <cellStyle name="標準 2 3 2 10" xfId="49814"/>
    <cellStyle name="標準 2 3 2 11" xfId="60932"/>
    <cellStyle name="標準 2 3 2 2" xfId="2029"/>
    <cellStyle name="標準 2 3 2 2 2" xfId="2030"/>
    <cellStyle name="標準 2 3 2 2 2 2" xfId="6539"/>
    <cellStyle name="標準 2 3 2 2 2 3" xfId="49815"/>
    <cellStyle name="標準 2 3 2 2 2 4" xfId="49816"/>
    <cellStyle name="標準 2 3 2 2 3" xfId="2031"/>
    <cellStyle name="標準 2 3 2 2 3 2" xfId="6540"/>
    <cellStyle name="標準 2 3 2 2 3 3" xfId="49817"/>
    <cellStyle name="標準 2 3 2 2 3 4" xfId="49818"/>
    <cellStyle name="標準 2 3 2 2 4" xfId="2032"/>
    <cellStyle name="標準 2 3 2 2 4 2" xfId="6541"/>
    <cellStyle name="標準 2 3 2 2 4 3" xfId="49819"/>
    <cellStyle name="標準 2 3 2 2 5" xfId="2033"/>
    <cellStyle name="標準 2 3 2 2 5 2" xfId="6542"/>
    <cellStyle name="標準 2 3 2 2 5 3" xfId="49820"/>
    <cellStyle name="標準 2 3 2 2 6" xfId="6538"/>
    <cellStyle name="標準 2 3 2 2 7" xfId="49821"/>
    <cellStyle name="標準 2 3 2 2_地区长店铺" xfId="2034"/>
    <cellStyle name="標準 2 3 2 3" xfId="2035"/>
    <cellStyle name="標準 2 3 2 3 2" xfId="6543"/>
    <cellStyle name="標準 2 3 2 3 3" xfId="49822"/>
    <cellStyle name="標準 2 3 2 4" xfId="6537"/>
    <cellStyle name="標準 2 3 2 4 2" xfId="49823"/>
    <cellStyle name="標準 2 3 2 4 3" xfId="49824"/>
    <cellStyle name="標準 2 3 2 5" xfId="49825"/>
    <cellStyle name="標準 2 3 2 6" xfId="49826"/>
    <cellStyle name="標準 2 3 2 7" xfId="49827"/>
    <cellStyle name="標準 2 3 2 8" xfId="49828"/>
    <cellStyle name="標準 2 3 2 9" xfId="49829"/>
    <cellStyle name="標準 2 3 2_地区长店铺" xfId="2036"/>
    <cellStyle name="標準 2 3 3" xfId="2037"/>
    <cellStyle name="標準 2 3 3 2" xfId="6545"/>
    <cellStyle name="標準 2 3 3 3" xfId="6544"/>
    <cellStyle name="標準 2 3 3 4" xfId="49830"/>
    <cellStyle name="標準 2 3 3_副本40期事業計画  (2)" xfId="6546"/>
    <cellStyle name="標準 2 3 4" xfId="2038"/>
    <cellStyle name="標準 2 3 4 2" xfId="6548"/>
    <cellStyle name="標準 2 3 4 3" xfId="6547"/>
    <cellStyle name="標準 2 3 4 4" xfId="49831"/>
    <cellStyle name="標準 2 3 4_副本40期事業計画  (2)" xfId="6549"/>
    <cellStyle name="標準 2 3 5" xfId="2039"/>
    <cellStyle name="標準 2 3 5 2" xfId="6550"/>
    <cellStyle name="標準 2 3 5 3" xfId="49832"/>
    <cellStyle name="標準 2 3 6" xfId="2040"/>
    <cellStyle name="標準 2 3 6 2" xfId="24695"/>
    <cellStyle name="標準 2 3 7" xfId="2041"/>
    <cellStyle name="標準 2 3 7 2" xfId="24696"/>
    <cellStyle name="標準 2 3 8" xfId="6536"/>
    <cellStyle name="標準 2 3 8 2" xfId="24697"/>
    <cellStyle name="標準 2 3 9" xfId="7561"/>
    <cellStyle name="標準 2 3 9 2" xfId="24698"/>
    <cellStyle name="標準 2 3_地区长店铺" xfId="2042"/>
    <cellStyle name="標準 2 30" xfId="49833"/>
    <cellStyle name="標準 2 31" xfId="49834"/>
    <cellStyle name="標準 2 32" xfId="49835"/>
    <cellStyle name="標準 2 33" xfId="49836"/>
    <cellStyle name="標準 2 34" xfId="49837"/>
    <cellStyle name="標準 2 35" xfId="49838"/>
    <cellStyle name="標準 2 36" xfId="49839"/>
    <cellStyle name="標準 2 37" xfId="49840"/>
    <cellStyle name="標準 2 38" xfId="49841"/>
    <cellStyle name="標準 2 39" xfId="49842"/>
    <cellStyle name="標準 2 4" xfId="2043"/>
    <cellStyle name="標準 2 4 2" xfId="2044"/>
    <cellStyle name="標準 2 4 2 2" xfId="2045"/>
    <cellStyle name="標準 2 4 2 3" xfId="49843"/>
    <cellStyle name="標準 2 4 3" xfId="6551"/>
    <cellStyle name="標準 2 4 4" xfId="49844"/>
    <cellStyle name="標準 2 4 4 2" xfId="49845"/>
    <cellStyle name="標準 2 4 5" xfId="49846"/>
    <cellStyle name="標準 2 4 6" xfId="49847"/>
    <cellStyle name="標準 2 4 7" xfId="60933"/>
    <cellStyle name="標準 2 4_培训名单通知" xfId="6553"/>
    <cellStyle name="標準 2 40" xfId="49848"/>
    <cellStyle name="標準 2 41" xfId="49849"/>
    <cellStyle name="標準 2 42" xfId="49850"/>
    <cellStyle name="標準 2 43" xfId="49851"/>
    <cellStyle name="標準 2 44" xfId="49852"/>
    <cellStyle name="標準 2 45" xfId="49853"/>
    <cellStyle name="標準 2 46" xfId="49854"/>
    <cellStyle name="標準 2 47" xfId="49855"/>
    <cellStyle name="標準 2 48" xfId="49856"/>
    <cellStyle name="標準 2 49" xfId="49857"/>
    <cellStyle name="標準 2 5" xfId="2046"/>
    <cellStyle name="標準 2 5 2" xfId="2047"/>
    <cellStyle name="標準 2 5 2 2" xfId="6555"/>
    <cellStyle name="標準 2 5 2 3" xfId="49858"/>
    <cellStyle name="標準 2 5 3" xfId="6554"/>
    <cellStyle name="標準 2 5 4" xfId="49859"/>
    <cellStyle name="標準 2 5 5" xfId="60934"/>
    <cellStyle name="標準 2 50" xfId="49860"/>
    <cellStyle name="標準 2 51" xfId="49861"/>
    <cellStyle name="標準 2 52" xfId="49862"/>
    <cellStyle name="標準 2 53" xfId="49863"/>
    <cellStyle name="標準 2 54" xfId="49864"/>
    <cellStyle name="標準 2 55" xfId="49865"/>
    <cellStyle name="標準 2 56" xfId="49866"/>
    <cellStyle name="標準 2 57" xfId="49867"/>
    <cellStyle name="標準 2 58" xfId="49868"/>
    <cellStyle name="標準 2 59" xfId="49869"/>
    <cellStyle name="標準 2 6" xfId="2048"/>
    <cellStyle name="標準 2 6 2" xfId="6557"/>
    <cellStyle name="標準 2 6 3" xfId="6556"/>
    <cellStyle name="標準 2 6 4" xfId="49870"/>
    <cellStyle name="標準 2 60" xfId="49871"/>
    <cellStyle name="標準 2 61" xfId="49872"/>
    <cellStyle name="標準 2 62" xfId="49873"/>
    <cellStyle name="標準 2 63" xfId="49874"/>
    <cellStyle name="標準 2 64" xfId="49875"/>
    <cellStyle name="標準 2 65" xfId="49876"/>
    <cellStyle name="標準 2 66" xfId="49877"/>
    <cellStyle name="標準 2 67" xfId="49878"/>
    <cellStyle name="標準 2 68" xfId="49879"/>
    <cellStyle name="標準 2 69" xfId="49880"/>
    <cellStyle name="標準 2 7" xfId="6558"/>
    <cellStyle name="標準 2 7 2" xfId="49881"/>
    <cellStyle name="標準 2 7 3" xfId="49882"/>
    <cellStyle name="標準 2 70" xfId="49883"/>
    <cellStyle name="標準 2 71" xfId="49884"/>
    <cellStyle name="標準 2 72" xfId="49885"/>
    <cellStyle name="標準 2 73" xfId="49886"/>
    <cellStyle name="標準 2 74" xfId="49887"/>
    <cellStyle name="標準 2 75" xfId="49888"/>
    <cellStyle name="標準 2 76" xfId="49889"/>
    <cellStyle name="標準 2 77" xfId="49890"/>
    <cellStyle name="標準 2 78" xfId="49891"/>
    <cellStyle name="標準 2 79" xfId="49892"/>
    <cellStyle name="標準 2 8" xfId="6559"/>
    <cellStyle name="標準 2 8 2" xfId="49893"/>
    <cellStyle name="標準 2 8 3" xfId="49894"/>
    <cellStyle name="標準 2 80" xfId="49895"/>
    <cellStyle name="標準 2 81" xfId="49896"/>
    <cellStyle name="標準 2 82" xfId="49897"/>
    <cellStyle name="標準 2 83" xfId="49898"/>
    <cellStyle name="標準 2 84" xfId="49899"/>
    <cellStyle name="標準 2 85" xfId="49900"/>
    <cellStyle name="標準 2 86" xfId="49901"/>
    <cellStyle name="標準 2 87" xfId="49902"/>
    <cellStyle name="標準 2 88" xfId="2017"/>
    <cellStyle name="標準 2 9" xfId="6560"/>
    <cellStyle name="標準 2 9 2" xfId="49903"/>
    <cellStyle name="標準 2 9 3" xfId="49904"/>
    <cellStyle name="標準 2_100408 ｱﾄﾞｵﾝ候補ﾘｽﾄ" xfId="6561"/>
    <cellStyle name="標準 20" xfId="2049"/>
    <cellStyle name="標準 20 2" xfId="6563"/>
    <cellStyle name="標準 20 2 2" xfId="49905"/>
    <cellStyle name="標準 20 2 2 2" xfId="49906"/>
    <cellStyle name="標準 20 2 3" xfId="49907"/>
    <cellStyle name="標準 20 3" xfId="6562"/>
    <cellStyle name="標準 20 4" xfId="49908"/>
    <cellStyle name="標準 21" xfId="2050"/>
    <cellStyle name="標準 21 2" xfId="6564"/>
    <cellStyle name="標準 21 3" xfId="49909"/>
    <cellStyle name="標準 22" xfId="2051"/>
    <cellStyle name="標準 22 2" xfId="6565"/>
    <cellStyle name="標準 22 2 2" xfId="49910"/>
    <cellStyle name="標準 22 2 2 2" xfId="49911"/>
    <cellStyle name="標準 22 2 2 2 2" xfId="49912"/>
    <cellStyle name="標準 22 2 2 3" xfId="49913"/>
    <cellStyle name="標準 22 2 3" xfId="49914"/>
    <cellStyle name="標準 22 2 3 2" xfId="49915"/>
    <cellStyle name="標準 22 2 3 2 2" xfId="49916"/>
    <cellStyle name="標準 22 2 3 3" xfId="49917"/>
    <cellStyle name="標準 22 2 4" xfId="49918"/>
    <cellStyle name="標準 22 2 4 2" xfId="49919"/>
    <cellStyle name="標準 22 2 4 2 2" xfId="49920"/>
    <cellStyle name="標準 22 2 4 3" xfId="49921"/>
    <cellStyle name="標準 22 2 5" xfId="49922"/>
    <cellStyle name="標準 22 2 5 2" xfId="49923"/>
    <cellStyle name="標準 22 2 6" xfId="49924"/>
    <cellStyle name="標準 22 3" xfId="49925"/>
    <cellStyle name="標準 22 3 2" xfId="49926"/>
    <cellStyle name="標準 22 3 2 2" xfId="49927"/>
    <cellStyle name="標準 22 3 2 2 2" xfId="49928"/>
    <cellStyle name="標準 22 3 2 3" xfId="49929"/>
    <cellStyle name="標準 22 3 3" xfId="49930"/>
    <cellStyle name="標準 22 3 3 2" xfId="49931"/>
    <cellStyle name="標準 22 3 4" xfId="49932"/>
    <cellStyle name="標準 22 4" xfId="49933"/>
    <cellStyle name="標準 22 4 2" xfId="49934"/>
    <cellStyle name="標準 22 5" xfId="49935"/>
    <cellStyle name="標準 22 5 2" xfId="49936"/>
    <cellStyle name="標準 22 5 2 2" xfId="49937"/>
    <cellStyle name="標準 22 5 3" xfId="49938"/>
    <cellStyle name="標準 22 6" xfId="49939"/>
    <cellStyle name="標準 22 6 2" xfId="49940"/>
    <cellStyle name="標準 22 6 2 2" xfId="49941"/>
    <cellStyle name="標準 22 6 3" xfId="49942"/>
    <cellStyle name="標準 22 7" xfId="49943"/>
    <cellStyle name="標準 22 7 2" xfId="49944"/>
    <cellStyle name="標準 22 7 2 2" xfId="49945"/>
    <cellStyle name="標準 22 7 3" xfId="49946"/>
    <cellStyle name="標準 23" xfId="2052"/>
    <cellStyle name="標準 23 2" xfId="6566"/>
    <cellStyle name="標準 23 3" xfId="49947"/>
    <cellStyle name="標準 24" xfId="11299"/>
    <cellStyle name="標準 24 2" xfId="49948"/>
    <cellStyle name="標準 24 3" xfId="49949"/>
    <cellStyle name="標準 25" xfId="6567"/>
    <cellStyle name="標準 26" xfId="49950"/>
    <cellStyle name="標準 26 2" xfId="49951"/>
    <cellStyle name="標準 26 2 2" xfId="49952"/>
    <cellStyle name="標準 27" xfId="49953"/>
    <cellStyle name="標準 27 2" xfId="49954"/>
    <cellStyle name="標準 27 2 2" xfId="49955"/>
    <cellStyle name="標準 27 3" xfId="49956"/>
    <cellStyle name="標準 28" xfId="49957"/>
    <cellStyle name="標準 28 2" xfId="49958"/>
    <cellStyle name="標準 29" xfId="49959"/>
    <cellStyle name="標準 29 2" xfId="49960"/>
    <cellStyle name="標準 3" xfId="70"/>
    <cellStyle name="標準 3 10" xfId="2054"/>
    <cellStyle name="標準 3 10 2" xfId="6570"/>
    <cellStyle name="標準 3 10 2 2" xfId="49961"/>
    <cellStyle name="標準 3 10 3" xfId="6569"/>
    <cellStyle name="標準 3 10 4" xfId="49962"/>
    <cellStyle name="標準 3 10_培训名单通知" xfId="6571"/>
    <cellStyle name="標準 3 11" xfId="6572"/>
    <cellStyle name="標準 3 11 2" xfId="49963"/>
    <cellStyle name="標準 3 12" xfId="6573"/>
    <cellStyle name="標準 3 12 2" xfId="49964"/>
    <cellStyle name="標準 3 13" xfId="6574"/>
    <cellStyle name="標準 3 13 2" xfId="49965"/>
    <cellStyle name="標準 3 14" xfId="6575"/>
    <cellStyle name="標準 3 14 2" xfId="49966"/>
    <cellStyle name="標準 3 15" xfId="6576"/>
    <cellStyle name="標準 3 15 2" xfId="49967"/>
    <cellStyle name="標準 3 16" xfId="6577"/>
    <cellStyle name="標準 3 16 2" xfId="49968"/>
    <cellStyle name="標準 3 17" xfId="6578"/>
    <cellStyle name="標準 3 17 2" xfId="49969"/>
    <cellStyle name="標準 3 18" xfId="6579"/>
    <cellStyle name="標準 3 18 2" xfId="49970"/>
    <cellStyle name="標準 3 19" xfId="6580"/>
    <cellStyle name="標準 3 19 2" xfId="49971"/>
    <cellStyle name="標準 3 2" xfId="696"/>
    <cellStyle name="標準 3 2 10" xfId="6582"/>
    <cellStyle name="標準 3 2 11" xfId="6583"/>
    <cellStyle name="標準 3 2 12" xfId="6584"/>
    <cellStyle name="標準 3 2 13" xfId="6585"/>
    <cellStyle name="標準 3 2 14" xfId="6586"/>
    <cellStyle name="標準 3 2 15" xfId="6587"/>
    <cellStyle name="標準 3 2 16" xfId="6588"/>
    <cellStyle name="標準 3 2 17" xfId="6589"/>
    <cellStyle name="標準 3 2 18" xfId="6590"/>
    <cellStyle name="標準 3 2 19" xfId="6591"/>
    <cellStyle name="標準 3 2 2" xfId="2056"/>
    <cellStyle name="標準 3 2 2 2" xfId="2057"/>
    <cellStyle name="標準 3 2 2 2 2" xfId="2058"/>
    <cellStyle name="標準 3 2 2 2 3" xfId="6593"/>
    <cellStyle name="標準 3 2 2 2 4" xfId="49972"/>
    <cellStyle name="標準 3 2 2 3" xfId="6592"/>
    <cellStyle name="標準 3 2 2 3 2" xfId="24699"/>
    <cellStyle name="標準 3 2 2 4" xfId="49973"/>
    <cellStyle name="標準 3 2 2 5" xfId="49974"/>
    <cellStyle name="標準 3 2 2_培训名单通知" xfId="6594"/>
    <cellStyle name="標準 3 2 20" xfId="6595"/>
    <cellStyle name="標準 3 2 21" xfId="6596"/>
    <cellStyle name="標準 3 2 22" xfId="6597"/>
    <cellStyle name="標準 3 2 23" xfId="6598"/>
    <cellStyle name="標準 3 2 24" xfId="24700"/>
    <cellStyle name="標準 3 2 25" xfId="24701"/>
    <cellStyle name="標準 3 2 26" xfId="49975"/>
    <cellStyle name="標準 3 2 27" xfId="49976"/>
    <cellStyle name="標準 3 2 28" xfId="49977"/>
    <cellStyle name="標準 3 2 29" xfId="49978"/>
    <cellStyle name="標準 3 2 3" xfId="2059"/>
    <cellStyle name="標準 3 2 3 2" xfId="2060"/>
    <cellStyle name="標準 3 2 3 2 2" xfId="2061"/>
    <cellStyle name="標準 3 2 3 2 3" xfId="6600"/>
    <cellStyle name="標準 3 2 3 2 4" xfId="49979"/>
    <cellStyle name="標準 3 2 3 3" xfId="6599"/>
    <cellStyle name="標準 3 2 3 4" xfId="49980"/>
    <cellStyle name="標準 3 2 3 5" xfId="49981"/>
    <cellStyle name="標準 3 2 3_培训名单通知" xfId="6601"/>
    <cellStyle name="標準 3 2 30" xfId="49982"/>
    <cellStyle name="標準 3 2 31" xfId="49983"/>
    <cellStyle name="標準 3 2 32" xfId="49984"/>
    <cellStyle name="標準 3 2 33" xfId="49985"/>
    <cellStyle name="標準 3 2 34" xfId="49986"/>
    <cellStyle name="標準 3 2 35" xfId="49987"/>
    <cellStyle name="標準 3 2 36" xfId="49988"/>
    <cellStyle name="標準 3 2 37" xfId="49989"/>
    <cellStyle name="標準 3 2 38" xfId="49990"/>
    <cellStyle name="標準 3 2 39" xfId="49991"/>
    <cellStyle name="標準 3 2 4" xfId="2062"/>
    <cellStyle name="標準 3 2 4 2" xfId="2063"/>
    <cellStyle name="標準 3 2 4 2 2" xfId="2064"/>
    <cellStyle name="標準 3 2 4 2 3" xfId="6603"/>
    <cellStyle name="標準 3 2 4 2 4" xfId="49992"/>
    <cellStyle name="標準 3 2 4 3" xfId="6602"/>
    <cellStyle name="標準 3 2 4 4" xfId="49993"/>
    <cellStyle name="標準 3 2 4 5" xfId="49994"/>
    <cellStyle name="標準 3 2 4_副本40期事業計画  (2)" xfId="6604"/>
    <cellStyle name="標準 3 2 40" xfId="49995"/>
    <cellStyle name="標準 3 2 41" xfId="49996"/>
    <cellStyle name="標準 3 2 42" xfId="49997"/>
    <cellStyle name="標準 3 2 43" xfId="49998"/>
    <cellStyle name="標準 3 2 44" xfId="49999"/>
    <cellStyle name="標準 3 2 45" xfId="50000"/>
    <cellStyle name="標準 3 2 46" xfId="50001"/>
    <cellStyle name="標準 3 2 47" xfId="50002"/>
    <cellStyle name="標準 3 2 48" xfId="50003"/>
    <cellStyle name="標準 3 2 49" xfId="50004"/>
    <cellStyle name="標準 3 2 5" xfId="2065"/>
    <cellStyle name="標準 3 2 5 2" xfId="2066"/>
    <cellStyle name="標準 3 2 5 2 2" xfId="2067"/>
    <cellStyle name="標準 3 2 5 2 3" xfId="6606"/>
    <cellStyle name="標準 3 2 5 2 4" xfId="50005"/>
    <cellStyle name="標準 3 2 5 3" xfId="6605"/>
    <cellStyle name="標準 3 2 5 4" xfId="50006"/>
    <cellStyle name="標準 3 2 5 5" xfId="50007"/>
    <cellStyle name="標準 3 2 5_副本40期事業計画  (2)" xfId="6607"/>
    <cellStyle name="標準 3 2 50" xfId="50008"/>
    <cellStyle name="標準 3 2 51" xfId="50009"/>
    <cellStyle name="標準 3 2 52" xfId="50010"/>
    <cellStyle name="標準 3 2 53" xfId="50011"/>
    <cellStyle name="標準 3 2 54" xfId="50012"/>
    <cellStyle name="標準 3 2 55" xfId="50013"/>
    <cellStyle name="標準 3 2 56" xfId="50014"/>
    <cellStyle name="標準 3 2 57" xfId="50015"/>
    <cellStyle name="標準 3 2 58" xfId="50016"/>
    <cellStyle name="標準 3 2 59" xfId="50017"/>
    <cellStyle name="標準 3 2 6" xfId="2068"/>
    <cellStyle name="標準 3 2 6 2" xfId="2069"/>
    <cellStyle name="標準 3 2 6 2 2" xfId="6609"/>
    <cellStyle name="標準 3 2 6 2 3" xfId="50018"/>
    <cellStyle name="標準 3 2 6 3" xfId="6608"/>
    <cellStyle name="標準 3 2 6 4" xfId="50019"/>
    <cellStyle name="標準 3 2 6 5" xfId="50020"/>
    <cellStyle name="標準 3 2 6_副本40期事業計画  (2)" xfId="6610"/>
    <cellStyle name="標準 3 2 60" xfId="50021"/>
    <cellStyle name="標準 3 2 61" xfId="50022"/>
    <cellStyle name="標準 3 2 62" xfId="50023"/>
    <cellStyle name="標準 3 2 63" xfId="50024"/>
    <cellStyle name="標準 3 2 64" xfId="50025"/>
    <cellStyle name="標準 3 2 65" xfId="50026"/>
    <cellStyle name="標準 3 2 66" xfId="50027"/>
    <cellStyle name="標準 3 2 67" xfId="50028"/>
    <cellStyle name="標準 3 2 68" xfId="50029"/>
    <cellStyle name="標準 3 2 69" xfId="50030"/>
    <cellStyle name="標準 3 2 7" xfId="2070"/>
    <cellStyle name="標準 3 2 7 10" xfId="6612"/>
    <cellStyle name="標準 3 2 7 11" xfId="6611"/>
    <cellStyle name="標準 3 2 7 12" xfId="50031"/>
    <cellStyle name="標準 3 2 7 2" xfId="2071"/>
    <cellStyle name="標準 3 2 7 2 2" xfId="6613"/>
    <cellStyle name="標準 3 2 7 2 3" xfId="50032"/>
    <cellStyle name="標準 3 2 7 3" xfId="2072"/>
    <cellStyle name="標準 3 2 7 3 2" xfId="6614"/>
    <cellStyle name="標準 3 2 7 3 3" xfId="50033"/>
    <cellStyle name="標準 3 2 7 4" xfId="2073"/>
    <cellStyle name="標準 3 2 7 4 2" xfId="6615"/>
    <cellStyle name="標準 3 2 7 4 3" xfId="50034"/>
    <cellStyle name="標準 3 2 7 5" xfId="2074"/>
    <cellStyle name="標準 3 2 7 5 2" xfId="6616"/>
    <cellStyle name="標準 3 2 7 5 3" xfId="50035"/>
    <cellStyle name="標準 3 2 7 6" xfId="2075"/>
    <cellStyle name="標準 3 2 7 6 2" xfId="6617"/>
    <cellStyle name="標準 3 2 7 6 3" xfId="50036"/>
    <cellStyle name="標準 3 2 7 7" xfId="2076"/>
    <cellStyle name="標準 3 2 7 7 2" xfId="6618"/>
    <cellStyle name="標準 3 2 7 7 3" xfId="50037"/>
    <cellStyle name="標準 3 2 7 8" xfId="2077"/>
    <cellStyle name="標準 3 2 7 8 2" xfId="6619"/>
    <cellStyle name="標準 3 2 7 8 3" xfId="50038"/>
    <cellStyle name="標準 3 2 7 9" xfId="6620"/>
    <cellStyle name="標準 3 2 7_培训名单通知" xfId="6621"/>
    <cellStyle name="標準 3 2 70" xfId="50039"/>
    <cellStyle name="標準 3 2 71" xfId="50040"/>
    <cellStyle name="標準 3 2 72" xfId="50041"/>
    <cellStyle name="標準 3 2 73" xfId="50042"/>
    <cellStyle name="標準 3 2 74" xfId="50043"/>
    <cellStyle name="標準 3 2 75" xfId="50044"/>
    <cellStyle name="標準 3 2 76" xfId="50045"/>
    <cellStyle name="標準 3 2 77" xfId="50046"/>
    <cellStyle name="標準 3 2 78" xfId="50047"/>
    <cellStyle name="標準 3 2 79" xfId="50048"/>
    <cellStyle name="標準 3 2 8" xfId="2078"/>
    <cellStyle name="標準 3 2 8 2" xfId="6622"/>
    <cellStyle name="標準 3 2 8 3" xfId="50049"/>
    <cellStyle name="標準 3 2 80" xfId="50050"/>
    <cellStyle name="標準 3 2 81" xfId="50051"/>
    <cellStyle name="標準 3 2 82" xfId="50052"/>
    <cellStyle name="標準 3 2 83" xfId="50053"/>
    <cellStyle name="標準 3 2 84" xfId="50054"/>
    <cellStyle name="標準 3 2 85" xfId="50055"/>
    <cellStyle name="標準 3 2 86" xfId="50056"/>
    <cellStyle name="標準 3 2 87" xfId="2055"/>
    <cellStyle name="標準 3 2 88" xfId="60936"/>
    <cellStyle name="標準 3 2 89" xfId="61119"/>
    <cellStyle name="標準 3 2 9" xfId="6623"/>
    <cellStyle name="標準 3 2 90" xfId="61114"/>
    <cellStyle name="標準 3 2_201101更新依頼" xfId="2079"/>
    <cellStyle name="標準 3 20" xfId="6624"/>
    <cellStyle name="標準 3 20 2" xfId="50057"/>
    <cellStyle name="標準 3 21" xfId="6625"/>
    <cellStyle name="標準 3 21 2" xfId="50058"/>
    <cellStyle name="標準 3 22" xfId="6626"/>
    <cellStyle name="標準 3 22 2" xfId="50059"/>
    <cellStyle name="標準 3 23" xfId="6627"/>
    <cellStyle name="標準 3 23 2" xfId="50060"/>
    <cellStyle name="標準 3 24" xfId="6628"/>
    <cellStyle name="標準 3 24 2" xfId="50061"/>
    <cellStyle name="標準 3 25" xfId="6629"/>
    <cellStyle name="標準 3 26" xfId="24702"/>
    <cellStyle name="標準 3 27" xfId="24703"/>
    <cellStyle name="標準 3 28" xfId="24704"/>
    <cellStyle name="標準 3 29" xfId="24705"/>
    <cellStyle name="標準 3 3" xfId="2080"/>
    <cellStyle name="標準 3 3 2" xfId="2081"/>
    <cellStyle name="標準 3 3 2 2" xfId="6631"/>
    <cellStyle name="標準 3 3 2 3" xfId="50062"/>
    <cellStyle name="標準 3 3 3" xfId="6632"/>
    <cellStyle name="標準 3 3 4" xfId="6630"/>
    <cellStyle name="標準 3 3 5" xfId="50063"/>
    <cellStyle name="標準 3 3 6" xfId="60937"/>
    <cellStyle name="標準 3 30" xfId="24706"/>
    <cellStyle name="標準 3 31" xfId="24707"/>
    <cellStyle name="標準 3 32" xfId="24708"/>
    <cellStyle name="標準 3 33" xfId="24709"/>
    <cellStyle name="標準 3 34" xfId="50064"/>
    <cellStyle name="標準 3 35" xfId="50065"/>
    <cellStyle name="標準 3 36" xfId="50066"/>
    <cellStyle name="標準 3 37" xfId="50067"/>
    <cellStyle name="標準 3 38" xfId="50068"/>
    <cellStyle name="標準 3 39" xfId="50069"/>
    <cellStyle name="標準 3 4" xfId="2082"/>
    <cellStyle name="標準 3 4 2" xfId="2083"/>
    <cellStyle name="標準 3 4 2 2" xfId="6634"/>
    <cellStyle name="標準 3 4 2 3" xfId="50070"/>
    <cellStyle name="標準 3 4 3" xfId="6633"/>
    <cellStyle name="標準 3 4 4" xfId="50071"/>
    <cellStyle name="標準 3 40" xfId="50072"/>
    <cellStyle name="標準 3 41" xfId="50073"/>
    <cellStyle name="標準 3 42" xfId="50074"/>
    <cellStyle name="標準 3 43" xfId="50075"/>
    <cellStyle name="標準 3 44" xfId="50076"/>
    <cellStyle name="標準 3 45" xfId="50077"/>
    <cellStyle name="標準 3 46" xfId="50078"/>
    <cellStyle name="標準 3 47" xfId="50079"/>
    <cellStyle name="標準 3 48" xfId="50080"/>
    <cellStyle name="標準 3 49" xfId="50081"/>
    <cellStyle name="標準 3 5" xfId="2084"/>
    <cellStyle name="標準 3 5 2" xfId="2085"/>
    <cellStyle name="標準 3 5 2 2" xfId="6636"/>
    <cellStyle name="標準 3 5 2 3" xfId="50082"/>
    <cellStyle name="標準 3 5 3" xfId="6635"/>
    <cellStyle name="標準 3 5 4" xfId="50083"/>
    <cellStyle name="標準 3 5_副本40期事業計画  (2)" xfId="6637"/>
    <cellStyle name="標準 3 50" xfId="50084"/>
    <cellStyle name="標準 3 51" xfId="50085"/>
    <cellStyle name="標準 3 52" xfId="50086"/>
    <cellStyle name="標準 3 53" xfId="50087"/>
    <cellStyle name="標準 3 54" xfId="50088"/>
    <cellStyle name="標準 3 55" xfId="50089"/>
    <cellStyle name="標準 3 56" xfId="50090"/>
    <cellStyle name="標準 3 57" xfId="50091"/>
    <cellStyle name="標準 3 58" xfId="50092"/>
    <cellStyle name="標準 3 59" xfId="50093"/>
    <cellStyle name="標準 3 6" xfId="2086"/>
    <cellStyle name="標準 3 6 2" xfId="6639"/>
    <cellStyle name="標準 3 6 3" xfId="6638"/>
    <cellStyle name="標準 3 6 4" xfId="50094"/>
    <cellStyle name="標準 3 6 5" xfId="50095"/>
    <cellStyle name="標準 3 6_副本40期事業計画  (2)" xfId="6640"/>
    <cellStyle name="標準 3 60" xfId="50096"/>
    <cellStyle name="標準 3 61" xfId="50097"/>
    <cellStyle name="標準 3 62" xfId="50098"/>
    <cellStyle name="標準 3 63" xfId="50099"/>
    <cellStyle name="標準 3 64" xfId="50100"/>
    <cellStyle name="標準 3 65" xfId="50101"/>
    <cellStyle name="標準 3 66" xfId="50102"/>
    <cellStyle name="標準 3 67" xfId="50103"/>
    <cellStyle name="標準 3 68" xfId="50104"/>
    <cellStyle name="標準 3 69" xfId="50105"/>
    <cellStyle name="標準 3 7" xfId="2087"/>
    <cellStyle name="標準 3 7 2" xfId="6642"/>
    <cellStyle name="標準 3 7 3" xfId="6641"/>
    <cellStyle name="標準 3 7 4" xfId="50106"/>
    <cellStyle name="標準 3 7_副本40期事業計画  (2)" xfId="6643"/>
    <cellStyle name="標準 3 70" xfId="50107"/>
    <cellStyle name="標準 3 71" xfId="50108"/>
    <cellStyle name="標準 3 72" xfId="50109"/>
    <cellStyle name="標準 3 73" xfId="50110"/>
    <cellStyle name="標準 3 74" xfId="50111"/>
    <cellStyle name="標準 3 75" xfId="50112"/>
    <cellStyle name="標準 3 76" xfId="50113"/>
    <cellStyle name="標準 3 77" xfId="50114"/>
    <cellStyle name="標準 3 78" xfId="50115"/>
    <cellStyle name="標準 3 79" xfId="50116"/>
    <cellStyle name="標準 3 8" xfId="2088"/>
    <cellStyle name="標準 3 8 2" xfId="6644"/>
    <cellStyle name="標準 3 8 3" xfId="50117"/>
    <cellStyle name="標準 3 80" xfId="50118"/>
    <cellStyle name="標準 3 81" xfId="50119"/>
    <cellStyle name="標準 3 82" xfId="50120"/>
    <cellStyle name="標準 3 83" xfId="50121"/>
    <cellStyle name="標準 3 84" xfId="50122"/>
    <cellStyle name="標準 3 85" xfId="50123"/>
    <cellStyle name="標準 3 86" xfId="50124"/>
    <cellStyle name="標準 3 87" xfId="50125"/>
    <cellStyle name="標準 3 88" xfId="50126"/>
    <cellStyle name="標準 3 89" xfId="50127"/>
    <cellStyle name="標準 3 9" xfId="2089"/>
    <cellStyle name="標準 3 9 2" xfId="6645"/>
    <cellStyle name="標準 3 9 3" xfId="50128"/>
    <cellStyle name="標準 3 90" xfId="2053"/>
    <cellStyle name="標準 3 91" xfId="60935"/>
    <cellStyle name="標準 3 92" xfId="61118"/>
    <cellStyle name="標準 3 93" xfId="61115"/>
    <cellStyle name="標準 3_10月员工考试报名表" xfId="6646"/>
    <cellStyle name="標準 30" xfId="50129"/>
    <cellStyle name="標準 31" xfId="50130"/>
    <cellStyle name="標準 31 2" xfId="50131"/>
    <cellStyle name="標準 32" xfId="50132"/>
    <cellStyle name="標準 33" xfId="50133"/>
    <cellStyle name="標準 33 2" xfId="50134"/>
    <cellStyle name="標準 34" xfId="50135"/>
    <cellStyle name="標準 35" xfId="50136"/>
    <cellStyle name="標準 36" xfId="50137"/>
    <cellStyle name="標準 37" xfId="50138"/>
    <cellStyle name="標準 38" xfId="50139"/>
    <cellStyle name="標準 39" xfId="50140"/>
    <cellStyle name="標準 4" xfId="71"/>
    <cellStyle name="標準 4 10" xfId="11300"/>
    <cellStyle name="標準 4 11" xfId="24710"/>
    <cellStyle name="標準 4 12" xfId="2090"/>
    <cellStyle name="標準 4 13" xfId="60938"/>
    <cellStyle name="標準 4 2" xfId="697"/>
    <cellStyle name="標準 4 2 2" xfId="2092"/>
    <cellStyle name="標準 4 2 2 2" xfId="6650"/>
    <cellStyle name="標準 4 2 2 3" xfId="6649"/>
    <cellStyle name="標準 4 2 2 3 2" xfId="24711"/>
    <cellStyle name="標準 4 2 2 4" xfId="50141"/>
    <cellStyle name="標準 4 2 3" xfId="6651"/>
    <cellStyle name="標準 4 2 3 2" xfId="50142"/>
    <cellStyle name="標準 4 2 4" xfId="6652"/>
    <cellStyle name="標準 4 2 4 2" xfId="50143"/>
    <cellStyle name="標準 4 2 5" xfId="6653"/>
    <cellStyle name="標準 4 2 5 2" xfId="50144"/>
    <cellStyle name="標準 4 2 6" xfId="6648"/>
    <cellStyle name="標準 4 2 6 2" xfId="24712"/>
    <cellStyle name="標準 4 2 7" xfId="50145"/>
    <cellStyle name="標準 4 2 8" xfId="2091"/>
    <cellStyle name="標準 4 2 9" xfId="60939"/>
    <cellStyle name="標準 4 2_考试名单通知" xfId="6654"/>
    <cellStyle name="標準 4 3" xfId="2093"/>
    <cellStyle name="標準 4 3 2" xfId="2094"/>
    <cellStyle name="標準 4 3 2 2" xfId="6656"/>
    <cellStyle name="標準 4 3 2 3" xfId="50146"/>
    <cellStyle name="標準 4 3 3" xfId="6655"/>
    <cellStyle name="標準 4 3 4" xfId="50147"/>
    <cellStyle name="標準 4 3 5" xfId="50148"/>
    <cellStyle name="標準 4 3 6" xfId="60940"/>
    <cellStyle name="標準 4 4" xfId="2095"/>
    <cellStyle name="標準 4 4 2" xfId="2096"/>
    <cellStyle name="標準 4 4 2 2" xfId="6658"/>
    <cellStyle name="標準 4 4 2 2 2" xfId="50149"/>
    <cellStyle name="標準 4 4 2 2 2 2" xfId="50150"/>
    <cellStyle name="標準 4 4 2 2 2 2 2" xfId="50151"/>
    <cellStyle name="標準 4 4 2 2 2 3" xfId="50152"/>
    <cellStyle name="標準 4 4 2 2 3" xfId="50153"/>
    <cellStyle name="標準 4 4 2 2 3 2" xfId="50154"/>
    <cellStyle name="標準 4 4 2 2 4" xfId="50155"/>
    <cellStyle name="標準 4 4 2 3" xfId="50156"/>
    <cellStyle name="標準 4 4 2 4" xfId="50157"/>
    <cellStyle name="標準 4 4 2 4 2" xfId="50158"/>
    <cellStyle name="標準 4 4 2 4 2 2" xfId="50159"/>
    <cellStyle name="標準 4 4 2 4 3" xfId="50160"/>
    <cellStyle name="標準 4 4 2 5" xfId="50161"/>
    <cellStyle name="標準 4 4 2 5 2" xfId="50162"/>
    <cellStyle name="標準 4 4 2 5 2 2" xfId="50163"/>
    <cellStyle name="標準 4 4 2 5 3" xfId="50164"/>
    <cellStyle name="標準 4 4 2 6" xfId="50165"/>
    <cellStyle name="標準 4 4 2 6 2" xfId="50166"/>
    <cellStyle name="標準 4 4 2 6 2 2" xfId="50167"/>
    <cellStyle name="標準 4 4 2 6 3" xfId="50168"/>
    <cellStyle name="標準 4 4 2 7" xfId="50169"/>
    <cellStyle name="標準 4 4 3" xfId="6657"/>
    <cellStyle name="標準 4 4 3 2" xfId="50170"/>
    <cellStyle name="標準 4 4 3 2 2" xfId="50171"/>
    <cellStyle name="標準 4 4 3 2 2 2" xfId="50172"/>
    <cellStyle name="標準 4 4 3 2 3" xfId="50173"/>
    <cellStyle name="標準 4 4 3 3" xfId="50174"/>
    <cellStyle name="標準 4 4 3 3 2" xfId="50175"/>
    <cellStyle name="標準 4 4 3 3 2 2" xfId="50176"/>
    <cellStyle name="標準 4 4 3 3 3" xfId="50177"/>
    <cellStyle name="標準 4 4 3 4" xfId="50178"/>
    <cellStyle name="標準 4 4 3 4 2" xfId="50179"/>
    <cellStyle name="標準 4 4 3 4 2 2" xfId="50180"/>
    <cellStyle name="標準 4 4 3 4 3" xfId="50181"/>
    <cellStyle name="標準 4 4 3 5" xfId="50182"/>
    <cellStyle name="標準 4 4 3 5 2" xfId="50183"/>
    <cellStyle name="標準 4 4 3 6" xfId="50184"/>
    <cellStyle name="標準 4 4 4" xfId="50185"/>
    <cellStyle name="標準 4 4 4 2" xfId="50186"/>
    <cellStyle name="標準 4 4 4 2 2" xfId="50187"/>
    <cellStyle name="標準 4 4 4 3" xfId="50188"/>
    <cellStyle name="標準 4 4 5" xfId="50189"/>
    <cellStyle name="標準 4 4 6" xfId="50190"/>
    <cellStyle name="標準 4 4 6 2" xfId="50191"/>
    <cellStyle name="標準 4 5" xfId="2097"/>
    <cellStyle name="標準 4 5 2" xfId="6659"/>
    <cellStyle name="標準 4 5 3" xfId="50192"/>
    <cellStyle name="標準 4 6" xfId="2098"/>
    <cellStyle name="標準 4 6 2" xfId="50193"/>
    <cellStyle name="標準 4 7" xfId="6661"/>
    <cellStyle name="標準 4 8" xfId="11301"/>
    <cellStyle name="標準 4 9" xfId="11302"/>
    <cellStyle name="標準 4_(048)304地区店长定期评价1Q" xfId="6662"/>
    <cellStyle name="標準 40" xfId="50194"/>
    <cellStyle name="標準 41" xfId="50195"/>
    <cellStyle name="標準 42" xfId="50196"/>
    <cellStyle name="標準 43" xfId="50197"/>
    <cellStyle name="標準 44" xfId="50198"/>
    <cellStyle name="標準 45" xfId="50199"/>
    <cellStyle name="標準 46" xfId="50200"/>
    <cellStyle name="標準 47" xfId="50201"/>
    <cellStyle name="標準 48" xfId="50202"/>
    <cellStyle name="標準 49" xfId="50203"/>
    <cellStyle name="標準 5" xfId="664"/>
    <cellStyle name="標準 5 10" xfId="50204"/>
    <cellStyle name="標準 5 11" xfId="2099"/>
    <cellStyle name="標準 5 12" xfId="60941"/>
    <cellStyle name="標準 5 2" xfId="717"/>
    <cellStyle name="標準 5 2 10" xfId="6665"/>
    <cellStyle name="標準 5 2 10 2" xfId="50205"/>
    <cellStyle name="標準 5 2 11" xfId="6666"/>
    <cellStyle name="標準 5 2 11 2" xfId="50206"/>
    <cellStyle name="標準 5 2 12" xfId="6667"/>
    <cellStyle name="標準 5 2 12 2" xfId="50207"/>
    <cellStyle name="標準 5 2 13" xfId="6668"/>
    <cellStyle name="標準 5 2 13 2" xfId="50208"/>
    <cellStyle name="標準 5 2 14" xfId="6669"/>
    <cellStyle name="標準 5 2 14 2" xfId="50209"/>
    <cellStyle name="標準 5 2 15" xfId="6670"/>
    <cellStyle name="標準 5 2 15 2" xfId="50210"/>
    <cellStyle name="標準 5 2 16" xfId="6671"/>
    <cellStyle name="標準 5 2 16 2" xfId="50211"/>
    <cellStyle name="標準 5 2 17" xfId="6672"/>
    <cellStyle name="標準 5 2 17 2" xfId="50212"/>
    <cellStyle name="標準 5 2 18" xfId="6673"/>
    <cellStyle name="標準 5 2 18 2" xfId="50213"/>
    <cellStyle name="標準 5 2 19" xfId="6674"/>
    <cellStyle name="標準 5 2 19 2" xfId="50214"/>
    <cellStyle name="標準 5 2 2" xfId="2101"/>
    <cellStyle name="標準 5 2 2 2" xfId="2102"/>
    <cellStyle name="標準 5 2 2 3" xfId="6675"/>
    <cellStyle name="標準 5 2 2 4" xfId="50215"/>
    <cellStyle name="標準 5 2 2 5" xfId="60942"/>
    <cellStyle name="標準 5 2 20" xfId="6676"/>
    <cellStyle name="標準 5 2 20 2" xfId="50216"/>
    <cellStyle name="標準 5 2 21" xfId="6677"/>
    <cellStyle name="標準 5 2 21 2" xfId="50217"/>
    <cellStyle name="標準 5 2 22" xfId="6678"/>
    <cellStyle name="標準 5 2 22 2" xfId="50218"/>
    <cellStyle name="標準 5 2 23" xfId="6679"/>
    <cellStyle name="標準 5 2 23 2" xfId="50219"/>
    <cellStyle name="標準 5 2 24" xfId="6680"/>
    <cellStyle name="標準 5 2 25" xfId="24713"/>
    <cellStyle name="標準 5 2 26" xfId="2100"/>
    <cellStyle name="標準 5 2 3" xfId="6681"/>
    <cellStyle name="標準 5 2 3 2" xfId="50220"/>
    <cellStyle name="標準 5 2 3 3" xfId="60943"/>
    <cellStyle name="標準 5 2 4" xfId="6682"/>
    <cellStyle name="標準 5 2 4 2" xfId="50221"/>
    <cellStyle name="標準 5 2 5" xfId="6683"/>
    <cellStyle name="標準 5 2 5 2" xfId="50222"/>
    <cellStyle name="標準 5 2 6" xfId="6684"/>
    <cellStyle name="標準 5 2 6 2" xfId="50223"/>
    <cellStyle name="標準 5 2 7" xfId="6685"/>
    <cellStyle name="標準 5 2 7 2" xfId="50224"/>
    <cellStyle name="標準 5 2 8" xfId="6686"/>
    <cellStyle name="標準 5 2 8 2" xfId="50225"/>
    <cellStyle name="標準 5 2 9" xfId="6687"/>
    <cellStyle name="標準 5 2 9 2" xfId="50226"/>
    <cellStyle name="標準 5 2_副本40期事業計画  (2)" xfId="6688"/>
    <cellStyle name="標準 5 3" xfId="2103"/>
    <cellStyle name="標準 5 3 2" xfId="2104"/>
    <cellStyle name="標準 5 3 2 2" xfId="2105"/>
    <cellStyle name="標準 5 3 2 3" xfId="50227"/>
    <cellStyle name="標準 5 3 2 4" xfId="60945"/>
    <cellStyle name="標準 5 3 3" xfId="50228"/>
    <cellStyle name="標準 5 3 4" xfId="50229"/>
    <cellStyle name="標準 5 3 5" xfId="50230"/>
    <cellStyle name="標準 5 3 6" xfId="60944"/>
    <cellStyle name="標準 5 4" xfId="2106"/>
    <cellStyle name="標準 5 4 2" xfId="2107"/>
    <cellStyle name="標準 5 4 2 2" xfId="6692"/>
    <cellStyle name="標準 5 4 2 3" xfId="50231"/>
    <cellStyle name="標準 5 4 3" xfId="50232"/>
    <cellStyle name="標準 5 4 4" xfId="60946"/>
    <cellStyle name="標準 5 5" xfId="2108"/>
    <cellStyle name="標準 5 5 2" xfId="6694"/>
    <cellStyle name="標準 5 5 2 2" xfId="50233"/>
    <cellStyle name="標準 5 5 3" xfId="50234"/>
    <cellStyle name="標準 5 5 4" xfId="60947"/>
    <cellStyle name="標準 5 6" xfId="6695"/>
    <cellStyle name="標準 5 6 2" xfId="50235"/>
    <cellStyle name="標準 5 7" xfId="6696"/>
    <cellStyle name="標準 5 7 2" xfId="50236"/>
    <cellStyle name="標準 5 8" xfId="6663"/>
    <cellStyle name="標準 5 8 2" xfId="24714"/>
    <cellStyle name="標準 5 9" xfId="24715"/>
    <cellStyle name="標準 5_201101更新依頼" xfId="2109"/>
    <cellStyle name="標準 50" xfId="50237"/>
    <cellStyle name="標準 51" xfId="50238"/>
    <cellStyle name="標準 52" xfId="50239"/>
    <cellStyle name="標準 53" xfId="50240"/>
    <cellStyle name="標準 54" xfId="50241"/>
    <cellStyle name="標準 55" xfId="50242"/>
    <cellStyle name="標準 56" xfId="50243"/>
    <cellStyle name="標準 57" xfId="50244"/>
    <cellStyle name="標準 58" xfId="50245"/>
    <cellStyle name="標準 59" xfId="50246"/>
    <cellStyle name="標準 6" xfId="665"/>
    <cellStyle name="標準 6 10" xfId="50247"/>
    <cellStyle name="標準 6 11" xfId="50248"/>
    <cellStyle name="標準 6 12" xfId="2110"/>
    <cellStyle name="標準 6 13" xfId="60948"/>
    <cellStyle name="標準 6 2" xfId="2111"/>
    <cellStyle name="標準 6 2 2" xfId="2112"/>
    <cellStyle name="標準 6 2 2 2" xfId="2113"/>
    <cellStyle name="標準 6 2 2 2 2" xfId="24716"/>
    <cellStyle name="標準 6 2 2 2 3" xfId="50249"/>
    <cellStyle name="標準 6 2 2 3" xfId="50250"/>
    <cellStyle name="標準 6 2 2 4" xfId="50251"/>
    <cellStyle name="標準 6 2 2 5" xfId="50252"/>
    <cellStyle name="標準 6 2 3" xfId="2114"/>
    <cellStyle name="標準 6 2 3 2" xfId="2115"/>
    <cellStyle name="標準 6 2 3 3" xfId="50253"/>
    <cellStyle name="標準 6 2 3 4" xfId="50254"/>
    <cellStyle name="標準 6 2 4" xfId="2116"/>
    <cellStyle name="標準 6 2 4 2" xfId="2117"/>
    <cellStyle name="標準 6 2 4 3" xfId="24717"/>
    <cellStyle name="標準 6 2 5" xfId="6699"/>
    <cellStyle name="標準 6 2 6" xfId="50255"/>
    <cellStyle name="標準 6 2 7" xfId="60949"/>
    <cellStyle name="標準 6 2_副本40期事業計画  (2)" xfId="6702"/>
    <cellStyle name="標準 6 3" xfId="2118"/>
    <cellStyle name="標準 6 3 2" xfId="2119"/>
    <cellStyle name="標準 6 3 2 2" xfId="2120"/>
    <cellStyle name="標準 6 3 2 3" xfId="24718"/>
    <cellStyle name="標準 6 3 2 4" xfId="50256"/>
    <cellStyle name="標準 6 3 3" xfId="6703"/>
    <cellStyle name="標準 6 3 4" xfId="50257"/>
    <cellStyle name="標準 6 3 5" xfId="60950"/>
    <cellStyle name="標準 6 4" xfId="2121"/>
    <cellStyle name="標準 6 4 2" xfId="2122"/>
    <cellStyle name="標準 6 4 3" xfId="50258"/>
    <cellStyle name="標準 6 4 4" xfId="50259"/>
    <cellStyle name="標準 6 5" xfId="2123"/>
    <cellStyle name="標準 6 5 2" xfId="6705"/>
    <cellStyle name="標準 6 5 3" xfId="50260"/>
    <cellStyle name="標準 6 6" xfId="6698"/>
    <cellStyle name="標準 6 6 2" xfId="24719"/>
    <cellStyle name="標準 6 7" xfId="50261"/>
    <cellStyle name="標準 6 8" xfId="50262"/>
    <cellStyle name="標準 6 9" xfId="50263"/>
    <cellStyle name="標準 6_10月员工考试报名表" xfId="6706"/>
    <cellStyle name="標準 60" xfId="50264"/>
    <cellStyle name="標準 61" xfId="50265"/>
    <cellStyle name="標準 62" xfId="50266"/>
    <cellStyle name="標準 63" xfId="50267"/>
    <cellStyle name="標準 64" xfId="50268"/>
    <cellStyle name="標準 65" xfId="50269"/>
    <cellStyle name="標準 66" xfId="50270"/>
    <cellStyle name="標準 67" xfId="50271"/>
    <cellStyle name="標準 68" xfId="50272"/>
    <cellStyle name="標準 69" xfId="50273"/>
    <cellStyle name="標準 7" xfId="666"/>
    <cellStyle name="標準 7 10" xfId="6708"/>
    <cellStyle name="標準 7 11" xfId="24720"/>
    <cellStyle name="標準 7 12" xfId="50274"/>
    <cellStyle name="標準 7 13" xfId="2124"/>
    <cellStyle name="標準 7 14" xfId="60951"/>
    <cellStyle name="標準 7 2" xfId="667"/>
    <cellStyle name="標準 7 2 2" xfId="2126"/>
    <cellStyle name="標準 7 2 2 2" xfId="2127"/>
    <cellStyle name="標準 7 2 2 3" xfId="6710"/>
    <cellStyle name="標準 7 2 2 4" xfId="50275"/>
    <cellStyle name="標準 7 2 3" xfId="24721"/>
    <cellStyle name="標準 7 2 3 2" xfId="50276"/>
    <cellStyle name="標準 7 2 4" xfId="50277"/>
    <cellStyle name="標準 7 2 5" xfId="50278"/>
    <cellStyle name="標準 7 2 6" xfId="50279"/>
    <cellStyle name="標準 7 2 7" xfId="2125"/>
    <cellStyle name="標準 7 2 8" xfId="60952"/>
    <cellStyle name="標準 7 2_組織図" xfId="6711"/>
    <cellStyle name="標準 7 3" xfId="2128"/>
    <cellStyle name="標準 7 3 2" xfId="2129"/>
    <cellStyle name="標準 7 3 3" xfId="6712"/>
    <cellStyle name="標準 7 3 4" xfId="50280"/>
    <cellStyle name="標準 7 3 5" xfId="50281"/>
    <cellStyle name="標準 7 3 5 2" xfId="50282"/>
    <cellStyle name="標準 7 3 6" xfId="60953"/>
    <cellStyle name="標準 7 4" xfId="2130"/>
    <cellStyle name="標準 7 4 2" xfId="6713"/>
    <cellStyle name="標準 7 4 3" xfId="50283"/>
    <cellStyle name="標準 7 4 4" xfId="50284"/>
    <cellStyle name="標準 7 5" xfId="2131"/>
    <cellStyle name="標準 7 5 2" xfId="6714"/>
    <cellStyle name="標準 7 5 3" xfId="50285"/>
    <cellStyle name="標準 7 6" xfId="6715"/>
    <cellStyle name="標準 7 7" xfId="6716"/>
    <cellStyle name="標準 7 8" xfId="6717"/>
    <cellStyle name="標準 7 9" xfId="6718"/>
    <cellStyle name="標準 7_副本40期事業計画  (2)" xfId="6719"/>
    <cellStyle name="標準 70" xfId="50286"/>
    <cellStyle name="標準 71" xfId="50287"/>
    <cellStyle name="標準 72" xfId="50288"/>
    <cellStyle name="標準 73" xfId="50289"/>
    <cellStyle name="標準 74" xfId="50290"/>
    <cellStyle name="標準 75" xfId="50291"/>
    <cellStyle name="標準 76" xfId="50292"/>
    <cellStyle name="標準 77" xfId="50293"/>
    <cellStyle name="標準 78" xfId="50294"/>
    <cellStyle name="標準 79" xfId="50295"/>
    <cellStyle name="標準 79 2" xfId="50296"/>
    <cellStyle name="標準 8" xfId="68"/>
    <cellStyle name="標準 8 10" xfId="20498"/>
    <cellStyle name="標準 8 11" xfId="50297"/>
    <cellStyle name="標準 8 12" xfId="50298"/>
    <cellStyle name="標準 8 13" xfId="2132"/>
    <cellStyle name="標準 8 14" xfId="60954"/>
    <cellStyle name="標準 8 2" xfId="2133"/>
    <cellStyle name="標準 8 2 10" xfId="60955"/>
    <cellStyle name="標準 8 2 2" xfId="2134"/>
    <cellStyle name="標準 8 2 2 10" xfId="24723"/>
    <cellStyle name="標準 8 2 2 2" xfId="6723"/>
    <cellStyle name="標準 8 2 2 2 2" xfId="6724"/>
    <cellStyle name="標準 8 2 2 2_培训名单通知" xfId="6725"/>
    <cellStyle name="標準 8 2 2 3" xfId="6726"/>
    <cellStyle name="標準 8 2 2 4" xfId="6722"/>
    <cellStyle name="標準 8 2 2 4 2" xfId="24724"/>
    <cellStyle name="標準 8 2 2 5" xfId="6727"/>
    <cellStyle name="標準 8 2 2 6" xfId="24725"/>
    <cellStyle name="標準 8 2 2 7" xfId="24726"/>
    <cellStyle name="標準 8 2 2 8" xfId="24727"/>
    <cellStyle name="標準 8 2 2 9" xfId="24728"/>
    <cellStyle name="標準 8 2 2_培训名单通知" xfId="6728"/>
    <cellStyle name="標準 8 2 3" xfId="6721"/>
    <cellStyle name="標準 8 2 3 2" xfId="24729"/>
    <cellStyle name="標準 8 2 4" xfId="7372"/>
    <cellStyle name="標準 8 2 4 2" xfId="24730"/>
    <cellStyle name="標準 8 2 5" xfId="21763"/>
    <cellStyle name="標準 8 2 6" xfId="8554"/>
    <cellStyle name="標準 8 2 7" xfId="21767"/>
    <cellStyle name="標準 8 2 8" xfId="17836"/>
    <cellStyle name="標準 8 2 9" xfId="24722"/>
    <cellStyle name="標準 8 3" xfId="2135"/>
    <cellStyle name="標準 8 3 2" xfId="2136"/>
    <cellStyle name="標準 8 3 3" xfId="6729"/>
    <cellStyle name="標準 8 3 4" xfId="50299"/>
    <cellStyle name="標準 8 3 5" xfId="60956"/>
    <cellStyle name="標準 8 4" xfId="2137"/>
    <cellStyle name="標準 8 4 2" xfId="2138"/>
    <cellStyle name="標準 8 4 3" xfId="6730"/>
    <cellStyle name="標準 8 4 4" xfId="50300"/>
    <cellStyle name="標準 8 5" xfId="6720"/>
    <cellStyle name="標準 8 5 2" xfId="24731"/>
    <cellStyle name="標準 8 6" xfId="7373"/>
    <cellStyle name="標準 8 6 2" xfId="24732"/>
    <cellStyle name="標準 8 7" xfId="21764"/>
    <cellStyle name="標準 8 8" xfId="8555"/>
    <cellStyle name="標準 8 9" xfId="21768"/>
    <cellStyle name="標準 8_(048)304地区店长定期评价1Q" xfId="6731"/>
    <cellStyle name="標準 80" xfId="50301"/>
    <cellStyle name="標準 81" xfId="50302"/>
    <cellStyle name="標準 9" xfId="668"/>
    <cellStyle name="標準 9 2" xfId="714"/>
    <cellStyle name="標準 9 2 2" xfId="2141"/>
    <cellStyle name="標準 9 2 2 2" xfId="6734"/>
    <cellStyle name="標準 9 2 2 3" xfId="50303"/>
    <cellStyle name="標準 9 2 3" xfId="50304"/>
    <cellStyle name="標準 9 2 4" xfId="50305"/>
    <cellStyle name="標準 9 2 5" xfId="2140"/>
    <cellStyle name="標準 9 2 6" xfId="60958"/>
    <cellStyle name="標準 9 3" xfId="2142"/>
    <cellStyle name="標準 9 3 2" xfId="2143"/>
    <cellStyle name="標準 9 3 3" xfId="6735"/>
    <cellStyle name="標準 9 3 4" xfId="50306"/>
    <cellStyle name="標準 9 3 5" xfId="50307"/>
    <cellStyle name="標準 9 3 6" xfId="60959"/>
    <cellStyle name="標準 9 4" xfId="2144"/>
    <cellStyle name="標準 9 4 2" xfId="2145"/>
    <cellStyle name="標準 9 4 3" xfId="50308"/>
    <cellStyle name="標準 9 4 4" xfId="50309"/>
    <cellStyle name="標準 9 5" xfId="6732"/>
    <cellStyle name="標準 9 6" xfId="50310"/>
    <cellStyle name="標準 9 7" xfId="50311"/>
    <cellStyle name="標準 9 8" xfId="2139"/>
    <cellStyle name="標準 9 9" xfId="60957"/>
    <cellStyle name="標準 9_副本40期事業計画  (2)" xfId="6736"/>
    <cellStyle name="標準_店舗master 2 2 2 2" xfId="61125"/>
    <cellStyle name="差 2" xfId="151"/>
    <cellStyle name="差 2 2" xfId="2146"/>
    <cellStyle name="差 2 2 2" xfId="2147"/>
    <cellStyle name="差 2 2 2 2" xfId="6740"/>
    <cellStyle name="差 2 2 2 3" xfId="50312"/>
    <cellStyle name="差 2 2 2 4" xfId="50313"/>
    <cellStyle name="差 2 2 3" xfId="2148"/>
    <cellStyle name="差 2 2 4" xfId="6739"/>
    <cellStyle name="差 2 2 5" xfId="50314"/>
    <cellStyle name="差 2 3" xfId="2149"/>
    <cellStyle name="差 2 3 2" xfId="6741"/>
    <cellStyle name="差 2 3 3" xfId="50315"/>
    <cellStyle name="差 2 4" xfId="50316"/>
    <cellStyle name="差 2 5" xfId="50317"/>
    <cellStyle name="差 2 6" xfId="50318"/>
    <cellStyle name="差 2 7" xfId="50319"/>
    <cellStyle name="差 2 8" xfId="747"/>
    <cellStyle name="差 3" xfId="2150"/>
    <cellStyle name="差 3 2" xfId="6743"/>
    <cellStyle name="差 3 3" xfId="6742"/>
    <cellStyle name="差 3 4" xfId="50320"/>
    <cellStyle name="差 4" xfId="6744"/>
    <cellStyle name="差 4 2" xfId="6745"/>
    <cellStyle name="差 5" xfId="50321"/>
    <cellStyle name="差_●Guangzhou)加装开水器" xfId="50322"/>
    <cellStyle name="差_●Guangzhou)加装开水器 2" xfId="50323"/>
    <cellStyle name="差_●Guangzhou)加装开水器 3" xfId="50324"/>
    <cellStyle name="差_●Guangzhou)加装开水器 4" xfId="50325"/>
    <cellStyle name="差_●Guangzhou)加装开水器 5" xfId="50326"/>
    <cellStyle name="差_0" xfId="9"/>
    <cellStyle name="差_0910POSDATA" xfId="152"/>
    <cellStyle name="差_0910POSDATA 2" xfId="2151"/>
    <cellStyle name="差_0910POSDATA 2 2" xfId="2152"/>
    <cellStyle name="差_0910POSDATA 2 3" xfId="50327"/>
    <cellStyle name="差_0910POSDATA 3" xfId="2153"/>
    <cellStyle name="差_0910POSDATA 3 2" xfId="2154"/>
    <cellStyle name="差_0910POSDATA 3 3" xfId="50328"/>
    <cellStyle name="差_0910POSDATA 4" xfId="50329"/>
    <cellStyle name="差_0910POSDATA 5" xfId="50330"/>
    <cellStyle name="差_0910POSDATA 6" xfId="50331"/>
    <cellStyle name="差_0910POSDATA 7" xfId="60960"/>
    <cellStyle name="差_0910POSDATA_Sheet1" xfId="2155"/>
    <cellStyle name="差_0910POSDATA_Sheet1 2" xfId="2156"/>
    <cellStyle name="差_0910POSDATA_Sheet1 3" xfId="50332"/>
    <cellStyle name="差_0910POSDATA_儊僯儏乕娤嶡(2-1)" xfId="2157"/>
    <cellStyle name="差_0910POSDATA_儊僯儏乕娤嶡(2-1) 2" xfId="2158"/>
    <cellStyle name="差_0910POSDATA_儊僯儏乕娤嶡(2-1) 3" xfId="50333"/>
    <cellStyle name="差_0910POSDATA_儊僯儏乕娤嶡(2-1)." xfId="2159"/>
    <cellStyle name="差_0910POSDATA_儊僯儏乕娤嶡(2-1). 2" xfId="2160"/>
    <cellStyle name="差_0910POSDATA_儊僯儏乕娤嶡(2-1). 3" xfId="50334"/>
    <cellStyle name="差_0910POSDATA_儊僯儏乕娤嶡(2-1)._副本新メニュー観察(上海) 201204 花島添削 (5)" xfId="2161"/>
    <cellStyle name="差_0910POSDATA_儊僯儏乕娤嶡(2-1)._副本新メニュー観察(上海) 201204 花島添削 (5) 2" xfId="2162"/>
    <cellStyle name="差_0910POSDATA_儊僯儏乕娤嶡(2-1)._副本新メニュー観察(上海) 201204 花島添削 (5) 3" xfId="50335"/>
    <cellStyle name="差_0910POSDATA_儊僯儏乕娤嶡(2-1)._新メニュー観察(上海) 201204 花島添削 (2) (5)" xfId="2163"/>
    <cellStyle name="差_0910POSDATA_儊僯儏乕娤嶡(2-1)._新メニュー観察(上海) 201204 花島添削 (2) (5) 2" xfId="2164"/>
    <cellStyle name="差_0910POSDATA_儊僯儏乕娤嶡(2-1)._新メニュー観察(上海) 201204 花島添削 (2) (5) 3" xfId="50336"/>
    <cellStyle name="差_0910POSDATA_儊僯儏乕娤嶡(2-1)_副本新メニュー観察(上海) 201204 花島添削 (5)" xfId="2165"/>
    <cellStyle name="差_0910POSDATA_儊僯儏乕娤嶡(2-1)_副本新メニュー観察(上海) 201204 花島添削 (5) 2" xfId="2166"/>
    <cellStyle name="差_0910POSDATA_儊僯儏乕娤嶡(2-1)_副本新メニュー観察(上海) 201204 花島添削 (5) 3" xfId="50337"/>
    <cellStyle name="差_0910POSDATA_儊僯儏乕娤嶡(2-1)_新メニュー観察(上海) 201204 花島添削 (2) (5)" xfId="2167"/>
    <cellStyle name="差_0910POSDATA_儊僯儏乕娤嶡(2-1)_新メニュー観察(上海) 201204 花島添削 (2) (5) 2" xfId="2168"/>
    <cellStyle name="差_0910POSDATA_儊僯儏乕娤嶡(2-1)_新メニュー観察(上海) 201204 花島添削 (2) (5) 3" xfId="50338"/>
    <cellStyle name="差_0910POSDATA_儊僯儏乕娤嶡(2-2乯" xfId="2169"/>
    <cellStyle name="差_0910POSDATA_儊僯儏乕娤嶡(2-2乯 2" xfId="2170"/>
    <cellStyle name="差_0910POSDATA_儊僯儏乕娤嶡(2-2乯 3" xfId="50339"/>
    <cellStyle name="差_0910POSDATA_物流" xfId="2171"/>
    <cellStyle name="差_0910POSDATA_物流 2" xfId="2172"/>
    <cellStyle name="差_0910POSDATA_物流 2 2" xfId="2173"/>
    <cellStyle name="差_0910POSDATA_物流 2 3" xfId="50340"/>
    <cellStyle name="差_0910POSDATA_物流 3" xfId="2174"/>
    <cellStyle name="差_0910POSDATA_物流 3 2" xfId="2175"/>
    <cellStyle name="差_0910POSDATA_物流 3 3" xfId="50341"/>
    <cellStyle name="差_0910POSDATA_物流 4" xfId="2176"/>
    <cellStyle name="差_0910POSDATA_物流 5" xfId="50342"/>
    <cellStyle name="差_0910POSDATA_物流_開発商品(chen)" xfId="2177"/>
    <cellStyle name="差_0910POSDATA_物流_開発商品(chen) 2" xfId="2178"/>
    <cellStyle name="差_0910POSDATA_物流_開発商品(chen) 2 2" xfId="2179"/>
    <cellStyle name="差_0910POSDATA_物流_開発商品(chen) 2 3" xfId="50343"/>
    <cellStyle name="差_0910POSDATA_物流_開発商品(chen) 3" xfId="2180"/>
    <cellStyle name="差_0910POSDATA_物流_開発商品(chen) 3 2" xfId="2181"/>
    <cellStyle name="差_0910POSDATA_物流_開発商品(chen) 3 3" xfId="50344"/>
    <cellStyle name="差_0910POSDATA_物流_開発商品(chen) 4" xfId="2182"/>
    <cellStyle name="差_0910POSDATA_物流_開発商品(chen) 5" xfId="50345"/>
    <cellStyle name="差_0910POSDATA_物流_開発商品(chen)_40期事業計画（商品部）  (3)" xfId="2183"/>
    <cellStyle name="差_0910POSDATA_物流_開発商品(chen)_40期事業計画（商品部）  (3) 2" xfId="2184"/>
    <cellStyle name="差_0910POSDATA_物流_開発商品(chen)_40期事業計画（商品部）  (3) 3" xfId="50346"/>
    <cellStyle name="差_0910POSDATA_物流_開発商品(chen)_40期事業計画（商品部1）" xfId="2185"/>
    <cellStyle name="差_0910POSDATA_物流_開発商品(chen)_40期事業計画（商品部1） 2" xfId="2186"/>
    <cellStyle name="差_0910POSDATA_物流_開発商品(chen)_40期事業計画（商品部1） 2 2" xfId="2187"/>
    <cellStyle name="差_0910POSDATA_物流_開発商品(chen)_40期事業計画（商品部1） 2 3" xfId="50347"/>
    <cellStyle name="差_0910POSDATA_物流_開発商品(chen)_40期事業計画（商品部1） 3" xfId="2188"/>
    <cellStyle name="差_0910POSDATA_物流_開発商品(chen)_40期事業計画（商品部1） 3 2" xfId="2189"/>
    <cellStyle name="差_0910POSDATA_物流_開発商品(chen)_40期事業計画（商品部1） 3 3" xfId="50348"/>
    <cellStyle name="差_0910POSDATA_物流_開発商品(chen)_40期事業計画（商品部1） 4" xfId="2190"/>
    <cellStyle name="差_0910POSDATA_物流_開発商品(chen)_40期事業計画（商品部1） 5" xfId="50349"/>
    <cellStyle name="差_0910POSDATA_物流_開発商品(chen)_40期預実（商品部） (3)" xfId="2191"/>
    <cellStyle name="差_0910POSDATA_物流_開発商品(chen)_40期預実（商品部） (3) 2" xfId="2192"/>
    <cellStyle name="差_0910POSDATA_物流_開発商品(chen)_40期預実（商品部） (3) 2 2" xfId="2193"/>
    <cellStyle name="差_0910POSDATA_物流_開発商品(chen)_40期預実（商品部） (3) 2 3" xfId="50350"/>
    <cellStyle name="差_0910POSDATA_物流_開発商品(chen)_40期預実（商品部） (3) 3" xfId="2194"/>
    <cellStyle name="差_0910POSDATA_物流_開発商品(chen)_40期預実（商品部） (3) 3 2" xfId="2195"/>
    <cellStyle name="差_0910POSDATA_物流_開発商品(chen)_40期預実（商品部） (3) 3 3" xfId="50351"/>
    <cellStyle name="差_0910POSDATA_物流_開発商品(chen)_40期預実（商品部） (3) 4" xfId="2196"/>
    <cellStyle name="差_0910POSDATA_物流_開発商品(chen)_40期預実（商品部） (3) 5" xfId="50352"/>
    <cellStyle name="差_0910POSDATA_物流_開発商品(chen)_41期事業計画(商品部)" xfId="2197"/>
    <cellStyle name="差_0910POSDATA_物流_開発商品(chen)_41期事業計画(商品部) 2" xfId="2198"/>
    <cellStyle name="差_0910POSDATA_物流_開発商品(chen)_41期事業計画(商品部) 2 2" xfId="2199"/>
    <cellStyle name="差_0910POSDATA_物流_開発商品(chen)_41期事業計画(商品部) 2 3" xfId="50353"/>
    <cellStyle name="差_0910POSDATA_物流_開発商品(chen)_41期事業計画(商品部) 3" xfId="2200"/>
    <cellStyle name="差_0910POSDATA_物流_開発商品(chen)_41期事業計画(商品部) 3 2" xfId="2201"/>
    <cellStyle name="差_0910POSDATA_物流_開発商品(chen)_41期事業計画(商品部) 3 3" xfId="50354"/>
    <cellStyle name="差_0910POSDATA_物流_開発商品(chen)_41期事業計画(商品部) 4" xfId="2202"/>
    <cellStyle name="差_0910POSDATA_物流_開発商品(chen)_41期事業計画(商品部) 5" xfId="50355"/>
    <cellStyle name="差_0910POSDATA_物流_開発商品(chen)_CPI" xfId="2203"/>
    <cellStyle name="差_0910POSDATA_物流_開発商品(chen)_CPI 2" xfId="2204"/>
    <cellStyle name="差_0910POSDATA_物流_開発商品(chen)_CPI 2 2" xfId="2205"/>
    <cellStyle name="差_0910POSDATA_物流_開発商品(chen)_CPI 2 3" xfId="50356"/>
    <cellStyle name="差_0910POSDATA_物流_開発商品(chen)_CPI 3" xfId="2206"/>
    <cellStyle name="差_0910POSDATA_物流_開発商品(chen)_CPI 3 2" xfId="2207"/>
    <cellStyle name="差_0910POSDATA_物流_開発商品(chen)_CPI 3 3" xfId="50357"/>
    <cellStyle name="差_0910POSDATA_物流_開発商品(chen)_CPI 4" xfId="2208"/>
    <cellStyle name="差_0910POSDATA_物流_開発商品(chen)_CPI 5" xfId="50358"/>
    <cellStyle name="差_0910POSDATA_物流_開発商品(chen)_CPI(1)" xfId="2209"/>
    <cellStyle name="差_0910POSDATA_物流_開発商品(chen)_CPI(1) 2" xfId="2210"/>
    <cellStyle name="差_0910POSDATA_物流_開発商品(chen)_CPI(1) 3" xfId="50359"/>
    <cellStyle name="差_0910POSDATA_物流_開発商品(chen)_副本40期預実（商品部） (3)" xfId="2211"/>
    <cellStyle name="差_0910POSDATA_物流_開発商品(chen)_副本40期預実（商品部） (3) 2" xfId="2212"/>
    <cellStyle name="差_0910POSDATA_物流_開発商品(chen)_副本40期預実（商品部） (3) 2 2" xfId="2213"/>
    <cellStyle name="差_0910POSDATA_物流_開発商品(chen)_副本40期預実（商品部） (3) 2 3" xfId="50360"/>
    <cellStyle name="差_0910POSDATA_物流_開発商品(chen)_副本40期預実（商品部） (3) 3" xfId="2214"/>
    <cellStyle name="差_0910POSDATA_物流_開発商品(chen)_副本40期預実（商品部） (3) 3 2" xfId="2215"/>
    <cellStyle name="差_0910POSDATA_物流_開発商品(chen)_副本40期預実（商品部） (3) 3 3" xfId="50361"/>
    <cellStyle name="差_0910POSDATA_物流_開発商品(chen)_副本40期預実（商品部） (3) 4" xfId="2216"/>
    <cellStyle name="差_0910POSDATA_物流_開発商品(chen)_副本40期預実（商品部） (3) 5" xfId="50362"/>
    <cellStyle name="差_0910POSDATA_物流_開発商品(chen)_副本41期事業計画商品部（備品） (2) (2)" xfId="2217"/>
    <cellStyle name="差_0910POSDATA_物流_開発商品(chen)_副本41期事業計画商品部（備品） (2) (2) 2" xfId="2218"/>
    <cellStyle name="差_0910POSDATA_物流_開発商品(chen)_副本41期事業計画商品部（備品） (2) (2) 2 2" xfId="2219"/>
    <cellStyle name="差_0910POSDATA_物流_開発商品(chen)_副本41期事業計画商品部（備品） (2) (2) 2 3" xfId="50363"/>
    <cellStyle name="差_0910POSDATA_物流_開発商品(chen)_副本41期事業計画商品部（備品） (2) (2) 3" xfId="2220"/>
    <cellStyle name="差_0910POSDATA_物流_開発商品(chen)_副本41期事業計画商品部（備品） (2) (2) 3 2" xfId="2221"/>
    <cellStyle name="差_0910POSDATA_物流_開発商品(chen)_副本41期事業計画商品部（備品） (2) (2) 3 3" xfId="50364"/>
    <cellStyle name="差_0910POSDATA_物流_開発商品(chen)_副本41期事業計画商品部（備品） (2) (2) 4" xfId="2222"/>
    <cellStyle name="差_0910POSDATA_物流_開発商品(chen)_副本41期事業計画商品部（備品） (2) (2) 5" xfId="50365"/>
    <cellStyle name="差_0910POSDATA_新メニュー実績" xfId="2223"/>
    <cellStyle name="差_0910POSDATA_新メニュー実績 2" xfId="2224"/>
    <cellStyle name="差_0910POSDATA_新メニュー実績 3" xfId="50366"/>
    <cellStyle name="差_0910POSDATA_原価率201003" xfId="153"/>
    <cellStyle name="差_0910POSDATA_原価率201003 2" xfId="2225"/>
    <cellStyle name="差_0910POSDATA_原価率201003 2 2" xfId="2226"/>
    <cellStyle name="差_0910POSDATA_原価率201003 2 3" xfId="50367"/>
    <cellStyle name="差_0910POSDATA_原価率201003 3" xfId="2227"/>
    <cellStyle name="差_0910POSDATA_原価率201003 3 2" xfId="2228"/>
    <cellStyle name="差_0910POSDATA_原価率201003 3 3" xfId="50368"/>
    <cellStyle name="差_0910POSDATA_原価率201003 4" xfId="50369"/>
    <cellStyle name="差_0910POSDATA_原価率201003 5" xfId="50370"/>
    <cellStyle name="差_0910POSDATA_原価率201003 6" xfId="50371"/>
    <cellStyle name="差_0910POSDATA_原価率201003 7" xfId="60961"/>
    <cellStyle name="差_0910POSDATA_原価率201003_Sheet1" xfId="2229"/>
    <cellStyle name="差_0910POSDATA_原価率201003_Sheet1 2" xfId="2230"/>
    <cellStyle name="差_0910POSDATA_原価率201003_Sheet1 3" xfId="50372"/>
    <cellStyle name="差_0910POSDATA_原価率201003_儊僯儏乕娤嶡(2-1)" xfId="2231"/>
    <cellStyle name="差_0910POSDATA_原価率201003_儊僯儏乕娤嶡(2-1) 2" xfId="2232"/>
    <cellStyle name="差_0910POSDATA_原価率201003_儊僯儏乕娤嶡(2-1) 3" xfId="50373"/>
    <cellStyle name="差_0910POSDATA_原価率201003_儊僯儏乕娤嶡(2-1)." xfId="2233"/>
    <cellStyle name="差_0910POSDATA_原価率201003_儊僯儏乕娤嶡(2-1). 2" xfId="2234"/>
    <cellStyle name="差_0910POSDATA_原価率201003_儊僯儏乕娤嶡(2-1). 3" xfId="50374"/>
    <cellStyle name="差_0910POSDATA_原価率201003_儊僯儏乕娤嶡(2-1)._副本新メニュー観察(上海) 201204 花島添削 (5)" xfId="2235"/>
    <cellStyle name="差_0910POSDATA_原価率201003_儊僯儏乕娤嶡(2-1)._副本新メニュー観察(上海) 201204 花島添削 (5) 2" xfId="2236"/>
    <cellStyle name="差_0910POSDATA_原価率201003_儊僯儏乕娤嶡(2-1)._副本新メニュー観察(上海) 201204 花島添削 (5) 3" xfId="50375"/>
    <cellStyle name="差_0910POSDATA_原価率201003_儊僯儏乕娤嶡(2-1)._新メニュー観察(上海) 201204 花島添削 (2) (5)" xfId="2237"/>
    <cellStyle name="差_0910POSDATA_原価率201003_儊僯儏乕娤嶡(2-1)._新メニュー観察(上海) 201204 花島添削 (2) (5) 2" xfId="2238"/>
    <cellStyle name="差_0910POSDATA_原価率201003_儊僯儏乕娤嶡(2-1)._新メニュー観察(上海) 201204 花島添削 (2) (5) 3" xfId="50376"/>
    <cellStyle name="差_0910POSDATA_原価率201003_儊僯儏乕娤嶡(2-1)_副本新メニュー観察(上海) 201204 花島添削 (5)" xfId="2239"/>
    <cellStyle name="差_0910POSDATA_原価率201003_儊僯儏乕娤嶡(2-1)_副本新メニュー観察(上海) 201204 花島添削 (5) 2" xfId="2240"/>
    <cellStyle name="差_0910POSDATA_原価率201003_儊僯儏乕娤嶡(2-1)_副本新メニュー観察(上海) 201204 花島添削 (5) 3" xfId="50377"/>
    <cellStyle name="差_0910POSDATA_原価率201003_儊僯儏乕娤嶡(2-1)_新メニュー観察(上海) 201204 花島添削 (2) (5)" xfId="2241"/>
    <cellStyle name="差_0910POSDATA_原価率201003_儊僯儏乕娤嶡(2-1)_新メニュー観察(上海) 201204 花島添削 (2) (5) 2" xfId="2242"/>
    <cellStyle name="差_0910POSDATA_原価率201003_儊僯儏乕娤嶡(2-1)_新メニュー観察(上海) 201204 花島添削 (2) (5) 3" xfId="50378"/>
    <cellStyle name="差_0910POSDATA_原価率201003_儊僯儏乕娤嶡(2-2乯" xfId="2243"/>
    <cellStyle name="差_0910POSDATA_原価率201003_儊僯儏乕娤嶡(2-2乯 2" xfId="2244"/>
    <cellStyle name="差_0910POSDATA_原価率201003_儊僯儏乕娤嶡(2-2乯 3" xfId="50379"/>
    <cellStyle name="差_0910POSDATA_原価率201003_物流" xfId="2245"/>
    <cellStyle name="差_0910POSDATA_原価率201003_物流 2" xfId="2246"/>
    <cellStyle name="差_0910POSDATA_原価率201003_物流 2 2" xfId="2247"/>
    <cellStyle name="差_0910POSDATA_原価率201003_物流 2 3" xfId="50380"/>
    <cellStyle name="差_0910POSDATA_原価率201003_物流 3" xfId="2248"/>
    <cellStyle name="差_0910POSDATA_原価率201003_物流 3 2" xfId="2249"/>
    <cellStyle name="差_0910POSDATA_原価率201003_物流 3 3" xfId="50381"/>
    <cellStyle name="差_0910POSDATA_原価率201003_物流 4" xfId="2250"/>
    <cellStyle name="差_0910POSDATA_原価率201003_物流 5" xfId="50382"/>
    <cellStyle name="差_0910POSDATA_原価率201003_物流_開発商品(chen)" xfId="2251"/>
    <cellStyle name="差_0910POSDATA_原価率201003_物流_開発商品(chen) 2" xfId="2252"/>
    <cellStyle name="差_0910POSDATA_原価率201003_物流_開発商品(chen) 2 2" xfId="2253"/>
    <cellStyle name="差_0910POSDATA_原価率201003_物流_開発商品(chen) 2 3" xfId="50383"/>
    <cellStyle name="差_0910POSDATA_原価率201003_物流_開発商品(chen) 3" xfId="2254"/>
    <cellStyle name="差_0910POSDATA_原価率201003_物流_開発商品(chen) 3 2" xfId="2255"/>
    <cellStyle name="差_0910POSDATA_原価率201003_物流_開発商品(chen) 3 3" xfId="50384"/>
    <cellStyle name="差_0910POSDATA_原価率201003_物流_開発商品(chen) 4" xfId="2256"/>
    <cellStyle name="差_0910POSDATA_原価率201003_物流_開発商品(chen) 5" xfId="50385"/>
    <cellStyle name="差_0910POSDATA_原価率201003_物流_開発商品(chen)_40期事業計画（商品部）  (3)" xfId="2257"/>
    <cellStyle name="差_0910POSDATA_原価率201003_物流_開発商品(chen)_40期事業計画（商品部）  (3) 2" xfId="2258"/>
    <cellStyle name="差_0910POSDATA_原価率201003_物流_開発商品(chen)_40期事業計画（商品部）  (3) 3" xfId="50386"/>
    <cellStyle name="差_0910POSDATA_原価率201003_物流_開発商品(chen)_40期事業計画（商品部1）" xfId="2259"/>
    <cellStyle name="差_0910POSDATA_原価率201003_物流_開発商品(chen)_40期事業計画（商品部1） 2" xfId="2260"/>
    <cellStyle name="差_0910POSDATA_原価率201003_物流_開発商品(chen)_40期事業計画（商品部1） 2 2" xfId="2261"/>
    <cellStyle name="差_0910POSDATA_原価率201003_物流_開発商品(chen)_40期事業計画（商品部1） 2 3" xfId="50387"/>
    <cellStyle name="差_0910POSDATA_原価率201003_物流_開発商品(chen)_40期事業計画（商品部1） 3" xfId="2262"/>
    <cellStyle name="差_0910POSDATA_原価率201003_物流_開発商品(chen)_40期事業計画（商品部1） 3 2" xfId="2263"/>
    <cellStyle name="差_0910POSDATA_原価率201003_物流_開発商品(chen)_40期事業計画（商品部1） 3 3" xfId="50388"/>
    <cellStyle name="差_0910POSDATA_原価率201003_物流_開発商品(chen)_40期事業計画（商品部1） 4" xfId="2264"/>
    <cellStyle name="差_0910POSDATA_原価率201003_物流_開発商品(chen)_40期事業計画（商品部1） 5" xfId="50389"/>
    <cellStyle name="差_0910POSDATA_原価率201003_物流_開発商品(chen)_40期預実（商品部） (3)" xfId="2265"/>
    <cellStyle name="差_0910POSDATA_原価率201003_物流_開発商品(chen)_40期預実（商品部） (3) 2" xfId="2266"/>
    <cellStyle name="差_0910POSDATA_原価率201003_物流_開発商品(chen)_40期預実（商品部） (3) 2 2" xfId="2267"/>
    <cellStyle name="差_0910POSDATA_原価率201003_物流_開発商品(chen)_40期預実（商品部） (3) 2 3" xfId="50390"/>
    <cellStyle name="差_0910POSDATA_原価率201003_物流_開発商品(chen)_40期預実（商品部） (3) 3" xfId="2268"/>
    <cellStyle name="差_0910POSDATA_原価率201003_物流_開発商品(chen)_40期預実（商品部） (3) 3 2" xfId="2269"/>
    <cellStyle name="差_0910POSDATA_原価率201003_物流_開発商品(chen)_40期預実（商品部） (3) 3 3" xfId="50391"/>
    <cellStyle name="差_0910POSDATA_原価率201003_物流_開発商品(chen)_40期預実（商品部） (3) 4" xfId="2270"/>
    <cellStyle name="差_0910POSDATA_原価率201003_物流_開発商品(chen)_40期預実（商品部） (3) 5" xfId="50392"/>
    <cellStyle name="差_0910POSDATA_原価率201003_物流_開発商品(chen)_41期事業計画(商品部)" xfId="2271"/>
    <cellStyle name="差_0910POSDATA_原価率201003_物流_開発商品(chen)_41期事業計画(商品部) 2" xfId="2272"/>
    <cellStyle name="差_0910POSDATA_原価率201003_物流_開発商品(chen)_41期事業計画(商品部) 2 2" xfId="2273"/>
    <cellStyle name="差_0910POSDATA_原価率201003_物流_開発商品(chen)_41期事業計画(商品部) 2 3" xfId="50393"/>
    <cellStyle name="差_0910POSDATA_原価率201003_物流_開発商品(chen)_41期事業計画(商品部) 3" xfId="2274"/>
    <cellStyle name="差_0910POSDATA_原価率201003_物流_開発商品(chen)_41期事業計画(商品部) 3 2" xfId="2275"/>
    <cellStyle name="差_0910POSDATA_原価率201003_物流_開発商品(chen)_41期事業計画(商品部) 3 3" xfId="50394"/>
    <cellStyle name="差_0910POSDATA_原価率201003_物流_開発商品(chen)_41期事業計画(商品部) 4" xfId="2276"/>
    <cellStyle name="差_0910POSDATA_原価率201003_物流_開発商品(chen)_41期事業計画(商品部) 5" xfId="50395"/>
    <cellStyle name="差_0910POSDATA_原価率201003_物流_開発商品(chen)_CPI" xfId="2277"/>
    <cellStyle name="差_0910POSDATA_原価率201003_物流_開発商品(chen)_CPI 2" xfId="2278"/>
    <cellStyle name="差_0910POSDATA_原価率201003_物流_開発商品(chen)_CPI 2 2" xfId="2279"/>
    <cellStyle name="差_0910POSDATA_原価率201003_物流_開発商品(chen)_CPI 2 3" xfId="50396"/>
    <cellStyle name="差_0910POSDATA_原価率201003_物流_開発商品(chen)_CPI 3" xfId="2280"/>
    <cellStyle name="差_0910POSDATA_原価率201003_物流_開発商品(chen)_CPI 3 2" xfId="2281"/>
    <cellStyle name="差_0910POSDATA_原価率201003_物流_開発商品(chen)_CPI 3 3" xfId="50397"/>
    <cellStyle name="差_0910POSDATA_原価率201003_物流_開発商品(chen)_CPI 4" xfId="2282"/>
    <cellStyle name="差_0910POSDATA_原価率201003_物流_開発商品(chen)_CPI 5" xfId="50398"/>
    <cellStyle name="差_0910POSDATA_原価率201003_物流_開発商品(chen)_CPI(1)" xfId="2283"/>
    <cellStyle name="差_0910POSDATA_原価率201003_物流_開発商品(chen)_CPI(1) 2" xfId="2284"/>
    <cellStyle name="差_0910POSDATA_原価率201003_物流_開発商品(chen)_CPI(1) 3" xfId="50399"/>
    <cellStyle name="差_0910POSDATA_原価率201003_物流_開発商品(chen)_副本40期預実（商品部） (3)" xfId="2285"/>
    <cellStyle name="差_0910POSDATA_原価率201003_物流_開発商品(chen)_副本40期預実（商品部） (3) 2" xfId="2286"/>
    <cellStyle name="差_0910POSDATA_原価率201003_物流_開発商品(chen)_副本40期預実（商品部） (3) 2 2" xfId="2287"/>
    <cellStyle name="差_0910POSDATA_原価率201003_物流_開発商品(chen)_副本40期預実（商品部） (3) 2 3" xfId="50400"/>
    <cellStyle name="差_0910POSDATA_原価率201003_物流_開発商品(chen)_副本40期預実（商品部） (3) 3" xfId="2288"/>
    <cellStyle name="差_0910POSDATA_原価率201003_物流_開発商品(chen)_副本40期預実（商品部） (3) 3 2" xfId="2289"/>
    <cellStyle name="差_0910POSDATA_原価率201003_物流_開発商品(chen)_副本40期預実（商品部） (3) 3 3" xfId="50401"/>
    <cellStyle name="差_0910POSDATA_原価率201003_物流_開発商品(chen)_副本40期預実（商品部） (3) 4" xfId="2290"/>
    <cellStyle name="差_0910POSDATA_原価率201003_物流_開発商品(chen)_副本40期預実（商品部） (3) 5" xfId="50402"/>
    <cellStyle name="差_0910POSDATA_原価率201003_物流_開発商品(chen)_副本41期事業計画商品部（備品） (2) (2)" xfId="2291"/>
    <cellStyle name="差_0910POSDATA_原価率201003_物流_開発商品(chen)_副本41期事業計画商品部（備品） (2) (2) 2" xfId="2292"/>
    <cellStyle name="差_0910POSDATA_原価率201003_物流_開発商品(chen)_副本41期事業計画商品部（備品） (2) (2) 2 2" xfId="2293"/>
    <cellStyle name="差_0910POSDATA_原価率201003_物流_開発商品(chen)_副本41期事業計画商品部（備品） (2) (2) 2 3" xfId="50403"/>
    <cellStyle name="差_0910POSDATA_原価率201003_物流_開発商品(chen)_副本41期事業計画商品部（備品） (2) (2) 3" xfId="2294"/>
    <cellStyle name="差_0910POSDATA_原価率201003_物流_開発商品(chen)_副本41期事業計画商品部（備品） (2) (2) 3 2" xfId="2295"/>
    <cellStyle name="差_0910POSDATA_原価率201003_物流_開発商品(chen)_副本41期事業計画商品部（備品） (2) (2) 3 3" xfId="50404"/>
    <cellStyle name="差_0910POSDATA_原価率201003_物流_開発商品(chen)_副本41期事業計画商品部（備品） (2) (2) 4" xfId="2296"/>
    <cellStyle name="差_0910POSDATA_原価率201003_物流_開発商品(chen)_副本41期事業計画商品部（備品） (2) (2) 5" xfId="50405"/>
    <cellStyle name="差_0910POSDATA_原価率201003_新メニュー実績" xfId="2297"/>
    <cellStyle name="差_0910POSDATA_原価率201003_新メニュー実績 2" xfId="2298"/>
    <cellStyle name="差_0910POSDATA_原価率201003_新メニュー実績 3" xfId="50406"/>
    <cellStyle name="差_0911POSDATA" xfId="154"/>
    <cellStyle name="差_0911POSDATA 2" xfId="2299"/>
    <cellStyle name="差_0911POSDATA 2 2" xfId="2300"/>
    <cellStyle name="差_0911POSDATA 2 3" xfId="50407"/>
    <cellStyle name="差_0911POSDATA 3" xfId="2301"/>
    <cellStyle name="差_0911POSDATA 3 2" xfId="2302"/>
    <cellStyle name="差_0911POSDATA 3 3" xfId="50408"/>
    <cellStyle name="差_0911POSDATA 4" xfId="50409"/>
    <cellStyle name="差_0911POSDATA 5" xfId="50410"/>
    <cellStyle name="差_0911POSDATA 6" xfId="50411"/>
    <cellStyle name="差_0911POSDATA 7" xfId="60962"/>
    <cellStyle name="差_0911POSDATA_Sheet1" xfId="2303"/>
    <cellStyle name="差_0911POSDATA_Sheet1 2" xfId="2304"/>
    <cellStyle name="差_0911POSDATA_Sheet1 3" xfId="50412"/>
    <cellStyle name="差_0911POSDATA_儊僯儏乕娤嶡(2-1)" xfId="2305"/>
    <cellStyle name="差_0911POSDATA_儊僯儏乕娤嶡(2-1) 2" xfId="2306"/>
    <cellStyle name="差_0911POSDATA_儊僯儏乕娤嶡(2-1) 3" xfId="50413"/>
    <cellStyle name="差_0911POSDATA_儊僯儏乕娤嶡(2-1)." xfId="2307"/>
    <cellStyle name="差_0911POSDATA_儊僯儏乕娤嶡(2-1). 2" xfId="2308"/>
    <cellStyle name="差_0911POSDATA_儊僯儏乕娤嶡(2-1). 3" xfId="50414"/>
    <cellStyle name="差_0911POSDATA_儊僯儏乕娤嶡(2-1)._副本新メニュー観察(上海) 201204 花島添削 (5)" xfId="2309"/>
    <cellStyle name="差_0911POSDATA_儊僯儏乕娤嶡(2-1)._副本新メニュー観察(上海) 201204 花島添削 (5) 2" xfId="2310"/>
    <cellStyle name="差_0911POSDATA_儊僯儏乕娤嶡(2-1)._副本新メニュー観察(上海) 201204 花島添削 (5) 3" xfId="50415"/>
    <cellStyle name="差_0911POSDATA_儊僯儏乕娤嶡(2-1)._新メニュー観察(上海) 201204 花島添削 (2) (5)" xfId="2311"/>
    <cellStyle name="差_0911POSDATA_儊僯儏乕娤嶡(2-1)._新メニュー観察(上海) 201204 花島添削 (2) (5) 2" xfId="2312"/>
    <cellStyle name="差_0911POSDATA_儊僯儏乕娤嶡(2-1)._新メニュー観察(上海) 201204 花島添削 (2) (5) 3" xfId="50416"/>
    <cellStyle name="差_0911POSDATA_儊僯儏乕娤嶡(2-1)_副本新メニュー観察(上海) 201204 花島添削 (5)" xfId="2313"/>
    <cellStyle name="差_0911POSDATA_儊僯儏乕娤嶡(2-1)_副本新メニュー観察(上海) 201204 花島添削 (5) 2" xfId="2314"/>
    <cellStyle name="差_0911POSDATA_儊僯儏乕娤嶡(2-1)_副本新メニュー観察(上海) 201204 花島添削 (5) 3" xfId="50417"/>
    <cellStyle name="差_0911POSDATA_儊僯儏乕娤嶡(2-1)_新メニュー観察(上海) 201204 花島添削 (2) (5)" xfId="2315"/>
    <cellStyle name="差_0911POSDATA_儊僯儏乕娤嶡(2-1)_新メニュー観察(上海) 201204 花島添削 (2) (5) 2" xfId="2316"/>
    <cellStyle name="差_0911POSDATA_儊僯儏乕娤嶡(2-1)_新メニュー観察(上海) 201204 花島添削 (2) (5) 3" xfId="50418"/>
    <cellStyle name="差_0911POSDATA_儊僯儏乕娤嶡(2-2乯" xfId="2317"/>
    <cellStyle name="差_0911POSDATA_儊僯儏乕娤嶡(2-2乯 2" xfId="2318"/>
    <cellStyle name="差_0911POSDATA_儊僯儏乕娤嶡(2-2乯 3" xfId="50419"/>
    <cellStyle name="差_0911POSDATA_物流" xfId="2319"/>
    <cellStyle name="差_0911POSDATA_物流 2" xfId="2320"/>
    <cellStyle name="差_0911POSDATA_物流 2 2" xfId="2321"/>
    <cellStyle name="差_0911POSDATA_物流 2 3" xfId="50420"/>
    <cellStyle name="差_0911POSDATA_物流 3" xfId="2322"/>
    <cellStyle name="差_0911POSDATA_物流 3 2" xfId="2323"/>
    <cellStyle name="差_0911POSDATA_物流 3 3" xfId="50421"/>
    <cellStyle name="差_0911POSDATA_物流 4" xfId="2324"/>
    <cellStyle name="差_0911POSDATA_物流 5" xfId="50422"/>
    <cellStyle name="差_0911POSDATA_物流_開発商品(chen)" xfId="2325"/>
    <cellStyle name="差_0911POSDATA_物流_開発商品(chen) 2" xfId="2326"/>
    <cellStyle name="差_0911POSDATA_物流_開発商品(chen) 2 2" xfId="2327"/>
    <cellStyle name="差_0911POSDATA_物流_開発商品(chen) 2 3" xfId="50423"/>
    <cellStyle name="差_0911POSDATA_物流_開発商品(chen) 3" xfId="2328"/>
    <cellStyle name="差_0911POSDATA_物流_開発商品(chen) 3 2" xfId="2329"/>
    <cellStyle name="差_0911POSDATA_物流_開発商品(chen) 3 3" xfId="50424"/>
    <cellStyle name="差_0911POSDATA_物流_開発商品(chen) 4" xfId="2330"/>
    <cellStyle name="差_0911POSDATA_物流_開発商品(chen) 5" xfId="50425"/>
    <cellStyle name="差_0911POSDATA_物流_開発商品(chen)_40期事業計画（商品部）  (3)" xfId="2331"/>
    <cellStyle name="差_0911POSDATA_物流_開発商品(chen)_40期事業計画（商品部）  (3) 2" xfId="2332"/>
    <cellStyle name="差_0911POSDATA_物流_開発商品(chen)_40期事業計画（商品部）  (3) 3" xfId="50426"/>
    <cellStyle name="差_0911POSDATA_物流_開発商品(chen)_40期事業計画（商品部1）" xfId="2333"/>
    <cellStyle name="差_0911POSDATA_物流_開発商品(chen)_40期事業計画（商品部1） 2" xfId="2334"/>
    <cellStyle name="差_0911POSDATA_物流_開発商品(chen)_40期事業計画（商品部1） 2 2" xfId="2335"/>
    <cellStyle name="差_0911POSDATA_物流_開発商品(chen)_40期事業計画（商品部1） 2 3" xfId="50427"/>
    <cellStyle name="差_0911POSDATA_物流_開発商品(chen)_40期事業計画（商品部1） 3" xfId="2336"/>
    <cellStyle name="差_0911POSDATA_物流_開発商品(chen)_40期事業計画（商品部1） 3 2" xfId="2337"/>
    <cellStyle name="差_0911POSDATA_物流_開発商品(chen)_40期事業計画（商品部1） 3 3" xfId="50428"/>
    <cellStyle name="差_0911POSDATA_物流_開発商品(chen)_40期事業計画（商品部1） 4" xfId="2338"/>
    <cellStyle name="差_0911POSDATA_物流_開発商品(chen)_40期事業計画（商品部1） 5" xfId="50429"/>
    <cellStyle name="差_0911POSDATA_物流_開発商品(chen)_40期預実（商品部） (3)" xfId="2339"/>
    <cellStyle name="差_0911POSDATA_物流_開発商品(chen)_40期預実（商品部） (3) 2" xfId="2340"/>
    <cellStyle name="差_0911POSDATA_物流_開発商品(chen)_40期預実（商品部） (3) 2 2" xfId="2341"/>
    <cellStyle name="差_0911POSDATA_物流_開発商品(chen)_40期預実（商品部） (3) 2 3" xfId="50430"/>
    <cellStyle name="差_0911POSDATA_物流_開発商品(chen)_40期預実（商品部） (3) 3" xfId="2342"/>
    <cellStyle name="差_0911POSDATA_物流_開発商品(chen)_40期預実（商品部） (3) 3 2" xfId="2343"/>
    <cellStyle name="差_0911POSDATA_物流_開発商品(chen)_40期預実（商品部） (3) 3 3" xfId="50431"/>
    <cellStyle name="差_0911POSDATA_物流_開発商品(chen)_40期預実（商品部） (3) 4" xfId="2344"/>
    <cellStyle name="差_0911POSDATA_物流_開発商品(chen)_40期預実（商品部） (3) 5" xfId="50432"/>
    <cellStyle name="差_0911POSDATA_物流_開発商品(chen)_41期事業計画(商品部)" xfId="2345"/>
    <cellStyle name="差_0911POSDATA_物流_開発商品(chen)_41期事業計画(商品部) 2" xfId="2346"/>
    <cellStyle name="差_0911POSDATA_物流_開発商品(chen)_41期事業計画(商品部) 2 2" xfId="2347"/>
    <cellStyle name="差_0911POSDATA_物流_開発商品(chen)_41期事業計画(商品部) 2 3" xfId="50433"/>
    <cellStyle name="差_0911POSDATA_物流_開発商品(chen)_41期事業計画(商品部) 3" xfId="2348"/>
    <cellStyle name="差_0911POSDATA_物流_開発商品(chen)_41期事業計画(商品部) 3 2" xfId="2349"/>
    <cellStyle name="差_0911POSDATA_物流_開発商品(chen)_41期事業計画(商品部) 3 3" xfId="50434"/>
    <cellStyle name="差_0911POSDATA_物流_開発商品(chen)_41期事業計画(商品部) 4" xfId="2350"/>
    <cellStyle name="差_0911POSDATA_物流_開発商品(chen)_41期事業計画(商品部) 5" xfId="50435"/>
    <cellStyle name="差_0911POSDATA_物流_開発商品(chen)_CPI" xfId="2351"/>
    <cellStyle name="差_0911POSDATA_物流_開発商品(chen)_CPI 2" xfId="2352"/>
    <cellStyle name="差_0911POSDATA_物流_開発商品(chen)_CPI 2 2" xfId="2353"/>
    <cellStyle name="差_0911POSDATA_物流_開発商品(chen)_CPI 2 3" xfId="50436"/>
    <cellStyle name="差_0911POSDATA_物流_開発商品(chen)_CPI 3" xfId="2354"/>
    <cellStyle name="差_0911POSDATA_物流_開発商品(chen)_CPI 3 2" xfId="2355"/>
    <cellStyle name="差_0911POSDATA_物流_開発商品(chen)_CPI 3 3" xfId="50437"/>
    <cellStyle name="差_0911POSDATA_物流_開発商品(chen)_CPI 4" xfId="2356"/>
    <cellStyle name="差_0911POSDATA_物流_開発商品(chen)_CPI 5" xfId="50438"/>
    <cellStyle name="差_0911POSDATA_物流_開発商品(chen)_CPI(1)" xfId="2357"/>
    <cellStyle name="差_0911POSDATA_物流_開発商品(chen)_CPI(1) 2" xfId="2358"/>
    <cellStyle name="差_0911POSDATA_物流_開発商品(chen)_CPI(1) 3" xfId="50439"/>
    <cellStyle name="差_0911POSDATA_物流_開発商品(chen)_副本40期預実（商品部） (3)" xfId="2359"/>
    <cellStyle name="差_0911POSDATA_物流_開発商品(chen)_副本40期預実（商品部） (3) 2" xfId="2360"/>
    <cellStyle name="差_0911POSDATA_物流_開発商品(chen)_副本40期預実（商品部） (3) 2 2" xfId="2361"/>
    <cellStyle name="差_0911POSDATA_物流_開発商品(chen)_副本40期預実（商品部） (3) 2 3" xfId="50440"/>
    <cellStyle name="差_0911POSDATA_物流_開発商品(chen)_副本40期預実（商品部） (3) 3" xfId="2362"/>
    <cellStyle name="差_0911POSDATA_物流_開発商品(chen)_副本40期預実（商品部） (3) 3 2" xfId="2363"/>
    <cellStyle name="差_0911POSDATA_物流_開発商品(chen)_副本40期預実（商品部） (3) 3 3" xfId="50441"/>
    <cellStyle name="差_0911POSDATA_物流_開発商品(chen)_副本40期預実（商品部） (3) 4" xfId="2364"/>
    <cellStyle name="差_0911POSDATA_物流_開発商品(chen)_副本40期預実（商品部） (3) 5" xfId="50442"/>
    <cellStyle name="差_0911POSDATA_物流_開発商品(chen)_副本41期事業計画商品部（備品） (2) (2)" xfId="2365"/>
    <cellStyle name="差_0911POSDATA_物流_開発商品(chen)_副本41期事業計画商品部（備品） (2) (2) 2" xfId="2366"/>
    <cellStyle name="差_0911POSDATA_物流_開発商品(chen)_副本41期事業計画商品部（備品） (2) (2) 2 2" xfId="2367"/>
    <cellStyle name="差_0911POSDATA_物流_開発商品(chen)_副本41期事業計画商品部（備品） (2) (2) 2 3" xfId="50443"/>
    <cellStyle name="差_0911POSDATA_物流_開発商品(chen)_副本41期事業計画商品部（備品） (2) (2) 3" xfId="2368"/>
    <cellStyle name="差_0911POSDATA_物流_開発商品(chen)_副本41期事業計画商品部（備品） (2) (2) 3 2" xfId="2369"/>
    <cellStyle name="差_0911POSDATA_物流_開発商品(chen)_副本41期事業計画商品部（備品） (2) (2) 3 3" xfId="50444"/>
    <cellStyle name="差_0911POSDATA_物流_開発商品(chen)_副本41期事業計画商品部（備品） (2) (2) 4" xfId="2370"/>
    <cellStyle name="差_0911POSDATA_物流_開発商品(chen)_副本41期事業計画商品部（備品） (2) (2) 5" xfId="50445"/>
    <cellStyle name="差_0911POSDATA_新メニュー実績" xfId="2371"/>
    <cellStyle name="差_0911POSDATA_新メニュー実績 2" xfId="2372"/>
    <cellStyle name="差_0911POSDATA_新メニュー実績 3" xfId="50446"/>
    <cellStyle name="差_0911POSDATA_原価率201003" xfId="155"/>
    <cellStyle name="差_0911POSDATA_原価率201003 2" xfId="2373"/>
    <cellStyle name="差_0911POSDATA_原価率201003 2 2" xfId="2374"/>
    <cellStyle name="差_0911POSDATA_原価率201003 2 3" xfId="50447"/>
    <cellStyle name="差_0911POSDATA_原価率201003 3" xfId="2375"/>
    <cellStyle name="差_0911POSDATA_原価率201003 3 2" xfId="2376"/>
    <cellStyle name="差_0911POSDATA_原価率201003 3 3" xfId="50448"/>
    <cellStyle name="差_0911POSDATA_原価率201003 4" xfId="50449"/>
    <cellStyle name="差_0911POSDATA_原価率201003 5" xfId="50450"/>
    <cellStyle name="差_0911POSDATA_原価率201003 6" xfId="50451"/>
    <cellStyle name="差_0911POSDATA_原価率201003 7" xfId="60963"/>
    <cellStyle name="差_0911POSDATA_原価率201003_Sheet1" xfId="2377"/>
    <cellStyle name="差_0911POSDATA_原価率201003_Sheet1 2" xfId="2378"/>
    <cellStyle name="差_0911POSDATA_原価率201003_Sheet1 3" xfId="50452"/>
    <cellStyle name="差_0911POSDATA_原価率201003_儊僯儏乕娤嶡(2-1)" xfId="2379"/>
    <cellStyle name="差_0911POSDATA_原価率201003_儊僯儏乕娤嶡(2-1) 2" xfId="2380"/>
    <cellStyle name="差_0911POSDATA_原価率201003_儊僯儏乕娤嶡(2-1) 3" xfId="50453"/>
    <cellStyle name="差_0911POSDATA_原価率201003_儊僯儏乕娤嶡(2-1)." xfId="2381"/>
    <cellStyle name="差_0911POSDATA_原価率201003_儊僯儏乕娤嶡(2-1). 2" xfId="2382"/>
    <cellStyle name="差_0911POSDATA_原価率201003_儊僯儏乕娤嶡(2-1). 3" xfId="50454"/>
    <cellStyle name="差_0911POSDATA_原価率201003_儊僯儏乕娤嶡(2-1)._副本新メニュー観察(上海) 201204 花島添削 (5)" xfId="2383"/>
    <cellStyle name="差_0911POSDATA_原価率201003_儊僯儏乕娤嶡(2-1)._副本新メニュー観察(上海) 201204 花島添削 (5) 2" xfId="2384"/>
    <cellStyle name="差_0911POSDATA_原価率201003_儊僯儏乕娤嶡(2-1)._副本新メニュー観察(上海) 201204 花島添削 (5) 3" xfId="50455"/>
    <cellStyle name="差_0911POSDATA_原価率201003_儊僯儏乕娤嶡(2-1)._新メニュー観察(上海) 201204 花島添削 (2) (5)" xfId="2385"/>
    <cellStyle name="差_0911POSDATA_原価率201003_儊僯儏乕娤嶡(2-1)._新メニュー観察(上海) 201204 花島添削 (2) (5) 2" xfId="2386"/>
    <cellStyle name="差_0911POSDATA_原価率201003_儊僯儏乕娤嶡(2-1)._新メニュー観察(上海) 201204 花島添削 (2) (5) 3" xfId="50456"/>
    <cellStyle name="差_0911POSDATA_原価率201003_儊僯儏乕娤嶡(2-1)_副本新メニュー観察(上海) 201204 花島添削 (5)" xfId="2387"/>
    <cellStyle name="差_0911POSDATA_原価率201003_儊僯儏乕娤嶡(2-1)_副本新メニュー観察(上海) 201204 花島添削 (5) 2" xfId="2388"/>
    <cellStyle name="差_0911POSDATA_原価率201003_儊僯儏乕娤嶡(2-1)_副本新メニュー観察(上海) 201204 花島添削 (5) 3" xfId="50457"/>
    <cellStyle name="差_0911POSDATA_原価率201003_儊僯儏乕娤嶡(2-1)_新メニュー観察(上海) 201204 花島添削 (2) (5)" xfId="2389"/>
    <cellStyle name="差_0911POSDATA_原価率201003_儊僯儏乕娤嶡(2-1)_新メニュー観察(上海) 201204 花島添削 (2) (5) 2" xfId="2390"/>
    <cellStyle name="差_0911POSDATA_原価率201003_儊僯儏乕娤嶡(2-1)_新メニュー観察(上海) 201204 花島添削 (2) (5) 3" xfId="50458"/>
    <cellStyle name="差_0911POSDATA_原価率201003_儊僯儏乕娤嶡(2-2乯" xfId="2391"/>
    <cellStyle name="差_0911POSDATA_原価率201003_儊僯儏乕娤嶡(2-2乯 2" xfId="2392"/>
    <cellStyle name="差_0911POSDATA_原価率201003_儊僯儏乕娤嶡(2-2乯 3" xfId="50459"/>
    <cellStyle name="差_0911POSDATA_原価率201003_物流" xfId="2393"/>
    <cellStyle name="差_0911POSDATA_原価率201003_物流 2" xfId="2394"/>
    <cellStyle name="差_0911POSDATA_原価率201003_物流 2 2" xfId="2395"/>
    <cellStyle name="差_0911POSDATA_原価率201003_物流 2 3" xfId="50460"/>
    <cellStyle name="差_0911POSDATA_原価率201003_物流 3" xfId="2396"/>
    <cellStyle name="差_0911POSDATA_原価率201003_物流 3 2" xfId="2397"/>
    <cellStyle name="差_0911POSDATA_原価率201003_物流 3 3" xfId="50461"/>
    <cellStyle name="差_0911POSDATA_原価率201003_物流 4" xfId="2398"/>
    <cellStyle name="差_0911POSDATA_原価率201003_物流 5" xfId="50462"/>
    <cellStyle name="差_0911POSDATA_原価率201003_物流_開発商品(chen)" xfId="2399"/>
    <cellStyle name="差_0911POSDATA_原価率201003_物流_開発商品(chen) 2" xfId="2400"/>
    <cellStyle name="差_0911POSDATA_原価率201003_物流_開発商品(chen) 2 2" xfId="2401"/>
    <cellStyle name="差_0911POSDATA_原価率201003_物流_開発商品(chen) 2 3" xfId="50463"/>
    <cellStyle name="差_0911POSDATA_原価率201003_物流_開発商品(chen) 3" xfId="2402"/>
    <cellStyle name="差_0911POSDATA_原価率201003_物流_開発商品(chen) 3 2" xfId="2403"/>
    <cellStyle name="差_0911POSDATA_原価率201003_物流_開発商品(chen) 3 3" xfId="50464"/>
    <cellStyle name="差_0911POSDATA_原価率201003_物流_開発商品(chen) 4" xfId="2404"/>
    <cellStyle name="差_0911POSDATA_原価率201003_物流_開発商品(chen) 5" xfId="50465"/>
    <cellStyle name="差_0911POSDATA_原価率201003_物流_開発商品(chen)_40期事業計画（商品部）  (3)" xfId="2405"/>
    <cellStyle name="差_0911POSDATA_原価率201003_物流_開発商品(chen)_40期事業計画（商品部）  (3) 2" xfId="2406"/>
    <cellStyle name="差_0911POSDATA_原価率201003_物流_開発商品(chen)_40期事業計画（商品部）  (3) 3" xfId="50466"/>
    <cellStyle name="差_0911POSDATA_原価率201003_物流_開発商品(chen)_40期事業計画（商品部1）" xfId="2407"/>
    <cellStyle name="差_0911POSDATA_原価率201003_物流_開発商品(chen)_40期事業計画（商品部1） 2" xfId="2408"/>
    <cellStyle name="差_0911POSDATA_原価率201003_物流_開発商品(chen)_40期事業計画（商品部1） 2 2" xfId="2409"/>
    <cellStyle name="差_0911POSDATA_原価率201003_物流_開発商品(chen)_40期事業計画（商品部1） 2 3" xfId="50467"/>
    <cellStyle name="差_0911POSDATA_原価率201003_物流_開発商品(chen)_40期事業計画（商品部1） 3" xfId="2410"/>
    <cellStyle name="差_0911POSDATA_原価率201003_物流_開発商品(chen)_40期事業計画（商品部1） 3 2" xfId="2411"/>
    <cellStyle name="差_0911POSDATA_原価率201003_物流_開発商品(chen)_40期事業計画（商品部1） 3 3" xfId="50468"/>
    <cellStyle name="差_0911POSDATA_原価率201003_物流_開発商品(chen)_40期事業計画（商品部1） 4" xfId="2412"/>
    <cellStyle name="差_0911POSDATA_原価率201003_物流_開発商品(chen)_40期事業計画（商品部1） 5" xfId="50469"/>
    <cellStyle name="差_0911POSDATA_原価率201003_物流_開発商品(chen)_40期預実（商品部） (3)" xfId="2413"/>
    <cellStyle name="差_0911POSDATA_原価率201003_物流_開発商品(chen)_40期預実（商品部） (3) 2" xfId="2414"/>
    <cellStyle name="差_0911POSDATA_原価率201003_物流_開発商品(chen)_40期預実（商品部） (3) 2 2" xfId="2415"/>
    <cellStyle name="差_0911POSDATA_原価率201003_物流_開発商品(chen)_40期預実（商品部） (3) 2 3" xfId="50470"/>
    <cellStyle name="差_0911POSDATA_原価率201003_物流_開発商品(chen)_40期預実（商品部） (3) 3" xfId="2416"/>
    <cellStyle name="差_0911POSDATA_原価率201003_物流_開発商品(chen)_40期預実（商品部） (3) 3 2" xfId="2417"/>
    <cellStyle name="差_0911POSDATA_原価率201003_物流_開発商品(chen)_40期預実（商品部） (3) 3 3" xfId="50471"/>
    <cellStyle name="差_0911POSDATA_原価率201003_物流_開発商品(chen)_40期預実（商品部） (3) 4" xfId="2418"/>
    <cellStyle name="差_0911POSDATA_原価率201003_物流_開発商品(chen)_40期預実（商品部） (3) 5" xfId="50472"/>
    <cellStyle name="差_0911POSDATA_原価率201003_物流_開発商品(chen)_41期事業計画(商品部)" xfId="2419"/>
    <cellStyle name="差_0911POSDATA_原価率201003_物流_開発商品(chen)_41期事業計画(商品部) 2" xfId="2420"/>
    <cellStyle name="差_0911POSDATA_原価率201003_物流_開発商品(chen)_41期事業計画(商品部) 2 2" xfId="2421"/>
    <cellStyle name="差_0911POSDATA_原価率201003_物流_開発商品(chen)_41期事業計画(商品部) 2 3" xfId="50473"/>
    <cellStyle name="差_0911POSDATA_原価率201003_物流_開発商品(chen)_41期事業計画(商品部) 3" xfId="2422"/>
    <cellStyle name="差_0911POSDATA_原価率201003_物流_開発商品(chen)_41期事業計画(商品部) 3 2" xfId="2423"/>
    <cellStyle name="差_0911POSDATA_原価率201003_物流_開発商品(chen)_41期事業計画(商品部) 3 3" xfId="50474"/>
    <cellStyle name="差_0911POSDATA_原価率201003_物流_開発商品(chen)_41期事業計画(商品部) 4" xfId="2424"/>
    <cellStyle name="差_0911POSDATA_原価率201003_物流_開発商品(chen)_41期事業計画(商品部) 5" xfId="50475"/>
    <cellStyle name="差_0911POSDATA_原価率201003_物流_開発商品(chen)_CPI" xfId="2425"/>
    <cellStyle name="差_0911POSDATA_原価率201003_物流_開発商品(chen)_CPI 2" xfId="2426"/>
    <cellStyle name="差_0911POSDATA_原価率201003_物流_開発商品(chen)_CPI 2 2" xfId="2427"/>
    <cellStyle name="差_0911POSDATA_原価率201003_物流_開発商品(chen)_CPI 2 3" xfId="50476"/>
    <cellStyle name="差_0911POSDATA_原価率201003_物流_開発商品(chen)_CPI 3" xfId="2428"/>
    <cellStyle name="差_0911POSDATA_原価率201003_物流_開発商品(chen)_CPI 3 2" xfId="2429"/>
    <cellStyle name="差_0911POSDATA_原価率201003_物流_開発商品(chen)_CPI 3 3" xfId="50477"/>
    <cellStyle name="差_0911POSDATA_原価率201003_物流_開発商品(chen)_CPI 4" xfId="2430"/>
    <cellStyle name="差_0911POSDATA_原価率201003_物流_開発商品(chen)_CPI 5" xfId="50478"/>
    <cellStyle name="差_0911POSDATA_原価率201003_物流_開発商品(chen)_CPI(1)" xfId="2431"/>
    <cellStyle name="差_0911POSDATA_原価率201003_物流_開発商品(chen)_CPI(1) 2" xfId="2432"/>
    <cellStyle name="差_0911POSDATA_原価率201003_物流_開発商品(chen)_CPI(1) 3" xfId="50479"/>
    <cellStyle name="差_0911POSDATA_原価率201003_物流_開発商品(chen)_副本40期預実（商品部） (3)" xfId="2433"/>
    <cellStyle name="差_0911POSDATA_原価率201003_物流_開発商品(chen)_副本40期預実（商品部） (3) 2" xfId="2434"/>
    <cellStyle name="差_0911POSDATA_原価率201003_物流_開発商品(chen)_副本40期預実（商品部） (3) 2 2" xfId="2435"/>
    <cellStyle name="差_0911POSDATA_原価率201003_物流_開発商品(chen)_副本40期預実（商品部） (3) 2 3" xfId="50480"/>
    <cellStyle name="差_0911POSDATA_原価率201003_物流_開発商品(chen)_副本40期預実（商品部） (3) 3" xfId="2436"/>
    <cellStyle name="差_0911POSDATA_原価率201003_物流_開発商品(chen)_副本40期預実（商品部） (3) 3 2" xfId="2437"/>
    <cellStyle name="差_0911POSDATA_原価率201003_物流_開発商品(chen)_副本40期預実（商品部） (3) 3 3" xfId="50481"/>
    <cellStyle name="差_0911POSDATA_原価率201003_物流_開発商品(chen)_副本40期預実（商品部） (3) 4" xfId="2438"/>
    <cellStyle name="差_0911POSDATA_原価率201003_物流_開発商品(chen)_副本40期預実（商品部） (3) 5" xfId="50482"/>
    <cellStyle name="差_0911POSDATA_原価率201003_物流_開発商品(chen)_副本41期事業計画商品部（備品） (2) (2)" xfId="2439"/>
    <cellStyle name="差_0911POSDATA_原価率201003_物流_開発商品(chen)_副本41期事業計画商品部（備品） (2) (2) 2" xfId="2440"/>
    <cellStyle name="差_0911POSDATA_原価率201003_物流_開発商品(chen)_副本41期事業計画商品部（備品） (2) (2) 2 2" xfId="2441"/>
    <cellStyle name="差_0911POSDATA_原価率201003_物流_開発商品(chen)_副本41期事業計画商品部（備品） (2) (2) 2 3" xfId="50483"/>
    <cellStyle name="差_0911POSDATA_原価率201003_物流_開発商品(chen)_副本41期事業計画商品部（備品） (2) (2) 3" xfId="2442"/>
    <cellStyle name="差_0911POSDATA_原価率201003_物流_開発商品(chen)_副本41期事業計画商品部（備品） (2) (2) 3 2" xfId="2443"/>
    <cellStyle name="差_0911POSDATA_原価率201003_物流_開発商品(chen)_副本41期事業計画商品部（備品） (2) (2) 3 3" xfId="50484"/>
    <cellStyle name="差_0911POSDATA_原価率201003_物流_開発商品(chen)_副本41期事業計画商品部（備品） (2) (2) 4" xfId="2444"/>
    <cellStyle name="差_0911POSDATA_原価率201003_物流_開発商品(chen)_副本41期事業計画商品部（備品） (2) (2) 5" xfId="50485"/>
    <cellStyle name="差_0911POSDATA_原価率201003_新メニュー実績" xfId="2445"/>
    <cellStyle name="差_0911POSDATA_原価率201003_新メニュー実績 2" xfId="2446"/>
    <cellStyle name="差_0911POSDATA_原価率201003_新メニュー実績 3" xfId="50486"/>
    <cellStyle name="差_0912POSDATA" xfId="156"/>
    <cellStyle name="差_0912POSDATA 2" xfId="2447"/>
    <cellStyle name="差_0912POSDATA 2 2" xfId="2448"/>
    <cellStyle name="差_0912POSDATA 2 3" xfId="50487"/>
    <cellStyle name="差_0912POSDATA 3" xfId="2449"/>
    <cellStyle name="差_0912POSDATA 3 2" xfId="2450"/>
    <cellStyle name="差_0912POSDATA 3 3" xfId="50488"/>
    <cellStyle name="差_0912POSDATA 4" xfId="50489"/>
    <cellStyle name="差_0912POSDATA 5" xfId="50490"/>
    <cellStyle name="差_0912POSDATA 6" xfId="50491"/>
    <cellStyle name="差_0912POSDATA 7" xfId="60964"/>
    <cellStyle name="差_0912POSDATA_Sheet1" xfId="2451"/>
    <cellStyle name="差_0912POSDATA_Sheet1 2" xfId="2452"/>
    <cellStyle name="差_0912POSDATA_Sheet1 3" xfId="50492"/>
    <cellStyle name="差_0912POSDATA_儊僯儏乕娤嶡(2-1)" xfId="2453"/>
    <cellStyle name="差_0912POSDATA_儊僯儏乕娤嶡(2-1) 2" xfId="2454"/>
    <cellStyle name="差_0912POSDATA_儊僯儏乕娤嶡(2-1) 3" xfId="50493"/>
    <cellStyle name="差_0912POSDATA_儊僯儏乕娤嶡(2-1)." xfId="2455"/>
    <cellStyle name="差_0912POSDATA_儊僯儏乕娤嶡(2-1). 2" xfId="2456"/>
    <cellStyle name="差_0912POSDATA_儊僯儏乕娤嶡(2-1). 3" xfId="50494"/>
    <cellStyle name="差_0912POSDATA_儊僯儏乕娤嶡(2-1)._副本新メニュー観察(上海) 201204 花島添削 (5)" xfId="2457"/>
    <cellStyle name="差_0912POSDATA_儊僯儏乕娤嶡(2-1)._副本新メニュー観察(上海) 201204 花島添削 (5) 2" xfId="2458"/>
    <cellStyle name="差_0912POSDATA_儊僯儏乕娤嶡(2-1)._副本新メニュー観察(上海) 201204 花島添削 (5) 3" xfId="50495"/>
    <cellStyle name="差_0912POSDATA_儊僯儏乕娤嶡(2-1)._新メニュー観察(上海) 201204 花島添削 (2) (5)" xfId="2459"/>
    <cellStyle name="差_0912POSDATA_儊僯儏乕娤嶡(2-1)._新メニュー観察(上海) 201204 花島添削 (2) (5) 2" xfId="2460"/>
    <cellStyle name="差_0912POSDATA_儊僯儏乕娤嶡(2-1)._新メニュー観察(上海) 201204 花島添削 (2) (5) 3" xfId="50496"/>
    <cellStyle name="差_0912POSDATA_儊僯儏乕娤嶡(2-1)_副本新メニュー観察(上海) 201204 花島添削 (5)" xfId="2461"/>
    <cellStyle name="差_0912POSDATA_儊僯儏乕娤嶡(2-1)_副本新メニュー観察(上海) 201204 花島添削 (5) 2" xfId="2462"/>
    <cellStyle name="差_0912POSDATA_儊僯儏乕娤嶡(2-1)_副本新メニュー観察(上海) 201204 花島添削 (5) 3" xfId="50497"/>
    <cellStyle name="差_0912POSDATA_儊僯儏乕娤嶡(2-1)_新メニュー観察(上海) 201204 花島添削 (2) (5)" xfId="2463"/>
    <cellStyle name="差_0912POSDATA_儊僯儏乕娤嶡(2-1)_新メニュー観察(上海) 201204 花島添削 (2) (5) 2" xfId="2464"/>
    <cellStyle name="差_0912POSDATA_儊僯儏乕娤嶡(2-1)_新メニュー観察(上海) 201204 花島添削 (2) (5) 3" xfId="50498"/>
    <cellStyle name="差_0912POSDATA_儊僯儏乕娤嶡(2-2乯" xfId="2465"/>
    <cellStyle name="差_0912POSDATA_儊僯儏乕娤嶡(2-2乯 2" xfId="2466"/>
    <cellStyle name="差_0912POSDATA_儊僯儏乕娤嶡(2-2乯 3" xfId="50499"/>
    <cellStyle name="差_0912POSDATA_物流" xfId="2467"/>
    <cellStyle name="差_0912POSDATA_物流 2" xfId="2468"/>
    <cellStyle name="差_0912POSDATA_物流 2 2" xfId="2469"/>
    <cellStyle name="差_0912POSDATA_物流 2 3" xfId="50500"/>
    <cellStyle name="差_0912POSDATA_物流 3" xfId="2470"/>
    <cellStyle name="差_0912POSDATA_物流 3 2" xfId="2471"/>
    <cellStyle name="差_0912POSDATA_物流 3 3" xfId="50501"/>
    <cellStyle name="差_0912POSDATA_物流 4" xfId="2472"/>
    <cellStyle name="差_0912POSDATA_物流 5" xfId="50502"/>
    <cellStyle name="差_0912POSDATA_物流_開発商品(chen)" xfId="2473"/>
    <cellStyle name="差_0912POSDATA_物流_開発商品(chen) 2" xfId="2474"/>
    <cellStyle name="差_0912POSDATA_物流_開発商品(chen) 2 2" xfId="2475"/>
    <cellStyle name="差_0912POSDATA_物流_開発商品(chen) 2 3" xfId="50503"/>
    <cellStyle name="差_0912POSDATA_物流_開発商品(chen) 3" xfId="2476"/>
    <cellStyle name="差_0912POSDATA_物流_開発商品(chen) 3 2" xfId="2477"/>
    <cellStyle name="差_0912POSDATA_物流_開発商品(chen) 3 3" xfId="50504"/>
    <cellStyle name="差_0912POSDATA_物流_開発商品(chen) 4" xfId="2478"/>
    <cellStyle name="差_0912POSDATA_物流_開発商品(chen) 5" xfId="50505"/>
    <cellStyle name="差_0912POSDATA_物流_開発商品(chen)_40期事業計画（商品部）  (3)" xfId="2479"/>
    <cellStyle name="差_0912POSDATA_物流_開発商品(chen)_40期事業計画（商品部）  (3) 2" xfId="2480"/>
    <cellStyle name="差_0912POSDATA_物流_開発商品(chen)_40期事業計画（商品部）  (3) 3" xfId="50506"/>
    <cellStyle name="差_0912POSDATA_物流_開発商品(chen)_40期事業計画（商品部1）" xfId="2481"/>
    <cellStyle name="差_0912POSDATA_物流_開発商品(chen)_40期事業計画（商品部1） 2" xfId="2482"/>
    <cellStyle name="差_0912POSDATA_物流_開発商品(chen)_40期事業計画（商品部1） 2 2" xfId="2483"/>
    <cellStyle name="差_0912POSDATA_物流_開発商品(chen)_40期事業計画（商品部1） 2 3" xfId="50507"/>
    <cellStyle name="差_0912POSDATA_物流_開発商品(chen)_40期事業計画（商品部1） 3" xfId="2484"/>
    <cellStyle name="差_0912POSDATA_物流_開発商品(chen)_40期事業計画（商品部1） 3 2" xfId="2485"/>
    <cellStyle name="差_0912POSDATA_物流_開発商品(chen)_40期事業計画（商品部1） 3 3" xfId="50508"/>
    <cellStyle name="差_0912POSDATA_物流_開発商品(chen)_40期事業計画（商品部1） 4" xfId="2486"/>
    <cellStyle name="差_0912POSDATA_物流_開発商品(chen)_40期事業計画（商品部1） 5" xfId="50509"/>
    <cellStyle name="差_0912POSDATA_物流_開発商品(chen)_40期預実（商品部） (3)" xfId="2487"/>
    <cellStyle name="差_0912POSDATA_物流_開発商品(chen)_40期預実（商品部） (3) 2" xfId="2488"/>
    <cellStyle name="差_0912POSDATA_物流_開発商品(chen)_40期預実（商品部） (3) 2 2" xfId="2489"/>
    <cellStyle name="差_0912POSDATA_物流_開発商品(chen)_40期預実（商品部） (3) 2 3" xfId="50510"/>
    <cellStyle name="差_0912POSDATA_物流_開発商品(chen)_40期預実（商品部） (3) 3" xfId="2490"/>
    <cellStyle name="差_0912POSDATA_物流_開発商品(chen)_40期預実（商品部） (3) 3 2" xfId="2491"/>
    <cellStyle name="差_0912POSDATA_物流_開発商品(chen)_40期預実（商品部） (3) 3 3" xfId="50511"/>
    <cellStyle name="差_0912POSDATA_物流_開発商品(chen)_40期預実（商品部） (3) 4" xfId="2492"/>
    <cellStyle name="差_0912POSDATA_物流_開発商品(chen)_40期預実（商品部） (3) 5" xfId="50512"/>
    <cellStyle name="差_0912POSDATA_物流_開発商品(chen)_41期事業計画(商品部)" xfId="2493"/>
    <cellStyle name="差_0912POSDATA_物流_開発商品(chen)_41期事業計画(商品部) 2" xfId="2494"/>
    <cellStyle name="差_0912POSDATA_物流_開発商品(chen)_41期事業計画(商品部) 2 2" xfId="2495"/>
    <cellStyle name="差_0912POSDATA_物流_開発商品(chen)_41期事業計画(商品部) 2 3" xfId="50513"/>
    <cellStyle name="差_0912POSDATA_物流_開発商品(chen)_41期事業計画(商品部) 3" xfId="2496"/>
    <cellStyle name="差_0912POSDATA_物流_開発商品(chen)_41期事業計画(商品部) 3 2" xfId="2497"/>
    <cellStyle name="差_0912POSDATA_物流_開発商品(chen)_41期事業計画(商品部) 3 3" xfId="50514"/>
    <cellStyle name="差_0912POSDATA_物流_開発商品(chen)_41期事業計画(商品部) 4" xfId="2498"/>
    <cellStyle name="差_0912POSDATA_物流_開発商品(chen)_41期事業計画(商品部) 5" xfId="50515"/>
    <cellStyle name="差_0912POSDATA_物流_開発商品(chen)_CPI" xfId="2499"/>
    <cellStyle name="差_0912POSDATA_物流_開発商品(chen)_CPI 2" xfId="2500"/>
    <cellStyle name="差_0912POSDATA_物流_開発商品(chen)_CPI 2 2" xfId="2501"/>
    <cellStyle name="差_0912POSDATA_物流_開発商品(chen)_CPI 2 3" xfId="50516"/>
    <cellStyle name="差_0912POSDATA_物流_開発商品(chen)_CPI 3" xfId="2502"/>
    <cellStyle name="差_0912POSDATA_物流_開発商品(chen)_CPI 3 2" xfId="2503"/>
    <cellStyle name="差_0912POSDATA_物流_開発商品(chen)_CPI 3 3" xfId="50517"/>
    <cellStyle name="差_0912POSDATA_物流_開発商品(chen)_CPI 4" xfId="2504"/>
    <cellStyle name="差_0912POSDATA_物流_開発商品(chen)_CPI 5" xfId="50518"/>
    <cellStyle name="差_0912POSDATA_物流_開発商品(chen)_CPI(1)" xfId="2505"/>
    <cellStyle name="差_0912POSDATA_物流_開発商品(chen)_CPI(1) 2" xfId="2506"/>
    <cellStyle name="差_0912POSDATA_物流_開発商品(chen)_CPI(1) 3" xfId="50519"/>
    <cellStyle name="差_0912POSDATA_物流_開発商品(chen)_副本40期預実（商品部） (3)" xfId="2507"/>
    <cellStyle name="差_0912POSDATA_物流_開発商品(chen)_副本40期預実（商品部） (3) 2" xfId="2508"/>
    <cellStyle name="差_0912POSDATA_物流_開発商品(chen)_副本40期預実（商品部） (3) 2 2" xfId="2509"/>
    <cellStyle name="差_0912POSDATA_物流_開発商品(chen)_副本40期預実（商品部） (3) 2 3" xfId="50520"/>
    <cellStyle name="差_0912POSDATA_物流_開発商品(chen)_副本40期預実（商品部） (3) 3" xfId="2510"/>
    <cellStyle name="差_0912POSDATA_物流_開発商品(chen)_副本40期預実（商品部） (3) 3 2" xfId="2511"/>
    <cellStyle name="差_0912POSDATA_物流_開発商品(chen)_副本40期預実（商品部） (3) 3 3" xfId="50521"/>
    <cellStyle name="差_0912POSDATA_物流_開発商品(chen)_副本40期預実（商品部） (3) 4" xfId="2512"/>
    <cellStyle name="差_0912POSDATA_物流_開発商品(chen)_副本40期預実（商品部） (3) 5" xfId="50522"/>
    <cellStyle name="差_0912POSDATA_物流_開発商品(chen)_副本41期事業計画商品部（備品） (2) (2)" xfId="2513"/>
    <cellStyle name="差_0912POSDATA_物流_開発商品(chen)_副本41期事業計画商品部（備品） (2) (2) 2" xfId="2514"/>
    <cellStyle name="差_0912POSDATA_物流_開発商品(chen)_副本41期事業計画商品部（備品） (2) (2) 2 2" xfId="2515"/>
    <cellStyle name="差_0912POSDATA_物流_開発商品(chen)_副本41期事業計画商品部（備品） (2) (2) 2 3" xfId="50523"/>
    <cellStyle name="差_0912POSDATA_物流_開発商品(chen)_副本41期事業計画商品部（備品） (2) (2) 3" xfId="2516"/>
    <cellStyle name="差_0912POSDATA_物流_開発商品(chen)_副本41期事業計画商品部（備品） (2) (2) 3 2" xfId="2517"/>
    <cellStyle name="差_0912POSDATA_物流_開発商品(chen)_副本41期事業計画商品部（備品） (2) (2) 3 3" xfId="50524"/>
    <cellStyle name="差_0912POSDATA_物流_開発商品(chen)_副本41期事業計画商品部（備品） (2) (2) 4" xfId="2518"/>
    <cellStyle name="差_0912POSDATA_物流_開発商品(chen)_副本41期事業計画商品部（備品） (2) (2) 5" xfId="50525"/>
    <cellStyle name="差_0912POSDATA_新メニュー実績" xfId="2519"/>
    <cellStyle name="差_0912POSDATA_新メニュー実績 2" xfId="2520"/>
    <cellStyle name="差_0912POSDATA_新メニュー実績 3" xfId="50526"/>
    <cellStyle name="差_0912POSDATA_原価率201003" xfId="157"/>
    <cellStyle name="差_0912POSDATA_原価率201003 2" xfId="2521"/>
    <cellStyle name="差_0912POSDATA_原価率201003 2 2" xfId="2522"/>
    <cellStyle name="差_0912POSDATA_原価率201003 2 3" xfId="50527"/>
    <cellStyle name="差_0912POSDATA_原価率201003 3" xfId="2523"/>
    <cellStyle name="差_0912POSDATA_原価率201003 3 2" xfId="2524"/>
    <cellStyle name="差_0912POSDATA_原価率201003 3 3" xfId="50528"/>
    <cellStyle name="差_0912POSDATA_原価率201003 4" xfId="50529"/>
    <cellStyle name="差_0912POSDATA_原価率201003 5" xfId="50530"/>
    <cellStyle name="差_0912POSDATA_原価率201003 6" xfId="50531"/>
    <cellStyle name="差_0912POSDATA_原価率201003 7" xfId="60965"/>
    <cellStyle name="差_0912POSDATA_原価率201003_Sheet1" xfId="2525"/>
    <cellStyle name="差_0912POSDATA_原価率201003_Sheet1 2" xfId="2526"/>
    <cellStyle name="差_0912POSDATA_原価率201003_Sheet1 3" xfId="50532"/>
    <cellStyle name="差_0912POSDATA_原価率201003_儊僯儏乕娤嶡(2-1)" xfId="2527"/>
    <cellStyle name="差_0912POSDATA_原価率201003_儊僯儏乕娤嶡(2-1) 2" xfId="2528"/>
    <cellStyle name="差_0912POSDATA_原価率201003_儊僯儏乕娤嶡(2-1) 3" xfId="50533"/>
    <cellStyle name="差_0912POSDATA_原価率201003_儊僯儏乕娤嶡(2-1)." xfId="2529"/>
    <cellStyle name="差_0912POSDATA_原価率201003_儊僯儏乕娤嶡(2-1). 2" xfId="2530"/>
    <cellStyle name="差_0912POSDATA_原価率201003_儊僯儏乕娤嶡(2-1). 3" xfId="50534"/>
    <cellStyle name="差_0912POSDATA_原価率201003_儊僯儏乕娤嶡(2-1)._副本新メニュー観察(上海) 201204 花島添削 (5)" xfId="2531"/>
    <cellStyle name="差_0912POSDATA_原価率201003_儊僯儏乕娤嶡(2-1)._副本新メニュー観察(上海) 201204 花島添削 (5) 2" xfId="2532"/>
    <cellStyle name="差_0912POSDATA_原価率201003_儊僯儏乕娤嶡(2-1)._副本新メニュー観察(上海) 201204 花島添削 (5) 3" xfId="50535"/>
    <cellStyle name="差_0912POSDATA_原価率201003_儊僯儏乕娤嶡(2-1)._新メニュー観察(上海) 201204 花島添削 (2) (5)" xfId="2533"/>
    <cellStyle name="差_0912POSDATA_原価率201003_儊僯儏乕娤嶡(2-1)._新メニュー観察(上海) 201204 花島添削 (2) (5) 2" xfId="2534"/>
    <cellStyle name="差_0912POSDATA_原価率201003_儊僯儏乕娤嶡(2-1)._新メニュー観察(上海) 201204 花島添削 (2) (5) 3" xfId="50536"/>
    <cellStyle name="差_0912POSDATA_原価率201003_儊僯儏乕娤嶡(2-1)_副本新メニュー観察(上海) 201204 花島添削 (5)" xfId="2535"/>
    <cellStyle name="差_0912POSDATA_原価率201003_儊僯儏乕娤嶡(2-1)_副本新メニュー観察(上海) 201204 花島添削 (5) 2" xfId="2536"/>
    <cellStyle name="差_0912POSDATA_原価率201003_儊僯儏乕娤嶡(2-1)_副本新メニュー観察(上海) 201204 花島添削 (5) 3" xfId="50537"/>
    <cellStyle name="差_0912POSDATA_原価率201003_儊僯儏乕娤嶡(2-1)_新メニュー観察(上海) 201204 花島添削 (2) (5)" xfId="2537"/>
    <cellStyle name="差_0912POSDATA_原価率201003_儊僯儏乕娤嶡(2-1)_新メニュー観察(上海) 201204 花島添削 (2) (5) 2" xfId="2538"/>
    <cellStyle name="差_0912POSDATA_原価率201003_儊僯儏乕娤嶡(2-1)_新メニュー観察(上海) 201204 花島添削 (2) (5) 3" xfId="50538"/>
    <cellStyle name="差_0912POSDATA_原価率201003_儊僯儏乕娤嶡(2-2乯" xfId="2539"/>
    <cellStyle name="差_0912POSDATA_原価率201003_儊僯儏乕娤嶡(2-2乯 2" xfId="2540"/>
    <cellStyle name="差_0912POSDATA_原価率201003_儊僯儏乕娤嶡(2-2乯 3" xfId="50539"/>
    <cellStyle name="差_0912POSDATA_原価率201003_物流" xfId="2541"/>
    <cellStyle name="差_0912POSDATA_原価率201003_物流 2" xfId="2542"/>
    <cellStyle name="差_0912POSDATA_原価率201003_物流 2 2" xfId="2543"/>
    <cellStyle name="差_0912POSDATA_原価率201003_物流 2 3" xfId="50540"/>
    <cellStyle name="差_0912POSDATA_原価率201003_物流 3" xfId="2544"/>
    <cellStyle name="差_0912POSDATA_原価率201003_物流 3 2" xfId="2545"/>
    <cellStyle name="差_0912POSDATA_原価率201003_物流 3 3" xfId="50541"/>
    <cellStyle name="差_0912POSDATA_原価率201003_物流 4" xfId="2546"/>
    <cellStyle name="差_0912POSDATA_原価率201003_物流 5" xfId="50542"/>
    <cellStyle name="差_0912POSDATA_原価率201003_物流_開発商品(chen)" xfId="2547"/>
    <cellStyle name="差_0912POSDATA_原価率201003_物流_開発商品(chen) 2" xfId="2548"/>
    <cellStyle name="差_0912POSDATA_原価率201003_物流_開発商品(chen) 2 2" xfId="2549"/>
    <cellStyle name="差_0912POSDATA_原価率201003_物流_開発商品(chen) 2 3" xfId="50543"/>
    <cellStyle name="差_0912POSDATA_原価率201003_物流_開発商品(chen) 3" xfId="2550"/>
    <cellStyle name="差_0912POSDATA_原価率201003_物流_開発商品(chen) 3 2" xfId="2551"/>
    <cellStyle name="差_0912POSDATA_原価率201003_物流_開発商品(chen) 3 3" xfId="50544"/>
    <cellStyle name="差_0912POSDATA_原価率201003_物流_開発商品(chen) 4" xfId="2552"/>
    <cellStyle name="差_0912POSDATA_原価率201003_物流_開発商品(chen) 5" xfId="50545"/>
    <cellStyle name="差_0912POSDATA_原価率201003_物流_開発商品(chen)_40期事業計画（商品部）  (3)" xfId="2553"/>
    <cellStyle name="差_0912POSDATA_原価率201003_物流_開発商品(chen)_40期事業計画（商品部）  (3) 2" xfId="2554"/>
    <cellStyle name="差_0912POSDATA_原価率201003_物流_開発商品(chen)_40期事業計画（商品部）  (3) 3" xfId="50546"/>
    <cellStyle name="差_0912POSDATA_原価率201003_物流_開発商品(chen)_40期事業計画（商品部1）" xfId="2555"/>
    <cellStyle name="差_0912POSDATA_原価率201003_物流_開発商品(chen)_40期事業計画（商品部1） 2" xfId="2556"/>
    <cellStyle name="差_0912POSDATA_原価率201003_物流_開発商品(chen)_40期事業計画（商品部1） 2 2" xfId="2557"/>
    <cellStyle name="差_0912POSDATA_原価率201003_物流_開発商品(chen)_40期事業計画（商品部1） 2 3" xfId="50547"/>
    <cellStyle name="差_0912POSDATA_原価率201003_物流_開発商品(chen)_40期事業計画（商品部1） 3" xfId="2558"/>
    <cellStyle name="差_0912POSDATA_原価率201003_物流_開発商品(chen)_40期事業計画（商品部1） 3 2" xfId="2559"/>
    <cellStyle name="差_0912POSDATA_原価率201003_物流_開発商品(chen)_40期事業計画（商品部1） 3 3" xfId="50548"/>
    <cellStyle name="差_0912POSDATA_原価率201003_物流_開発商品(chen)_40期事業計画（商品部1） 4" xfId="2560"/>
    <cellStyle name="差_0912POSDATA_原価率201003_物流_開発商品(chen)_40期事業計画（商品部1） 5" xfId="50549"/>
    <cellStyle name="差_0912POSDATA_原価率201003_物流_開発商品(chen)_40期預実（商品部） (3)" xfId="2561"/>
    <cellStyle name="差_0912POSDATA_原価率201003_物流_開発商品(chen)_40期預実（商品部） (3) 2" xfId="2562"/>
    <cellStyle name="差_0912POSDATA_原価率201003_物流_開発商品(chen)_40期預実（商品部） (3) 2 2" xfId="2563"/>
    <cellStyle name="差_0912POSDATA_原価率201003_物流_開発商品(chen)_40期預実（商品部） (3) 2 3" xfId="50550"/>
    <cellStyle name="差_0912POSDATA_原価率201003_物流_開発商品(chen)_40期預実（商品部） (3) 3" xfId="2564"/>
    <cellStyle name="差_0912POSDATA_原価率201003_物流_開発商品(chen)_40期預実（商品部） (3) 3 2" xfId="2565"/>
    <cellStyle name="差_0912POSDATA_原価率201003_物流_開発商品(chen)_40期預実（商品部） (3) 3 3" xfId="50551"/>
    <cellStyle name="差_0912POSDATA_原価率201003_物流_開発商品(chen)_40期預実（商品部） (3) 4" xfId="2566"/>
    <cellStyle name="差_0912POSDATA_原価率201003_物流_開発商品(chen)_40期預実（商品部） (3) 5" xfId="50552"/>
    <cellStyle name="差_0912POSDATA_原価率201003_物流_開発商品(chen)_41期事業計画(商品部)" xfId="2567"/>
    <cellStyle name="差_0912POSDATA_原価率201003_物流_開発商品(chen)_41期事業計画(商品部) 2" xfId="2568"/>
    <cellStyle name="差_0912POSDATA_原価率201003_物流_開発商品(chen)_41期事業計画(商品部) 2 2" xfId="2569"/>
    <cellStyle name="差_0912POSDATA_原価率201003_物流_開発商品(chen)_41期事業計画(商品部) 2 3" xfId="50553"/>
    <cellStyle name="差_0912POSDATA_原価率201003_物流_開発商品(chen)_41期事業計画(商品部) 3" xfId="2570"/>
    <cellStyle name="差_0912POSDATA_原価率201003_物流_開発商品(chen)_41期事業計画(商品部) 3 2" xfId="2571"/>
    <cellStyle name="差_0912POSDATA_原価率201003_物流_開発商品(chen)_41期事業計画(商品部) 3 3" xfId="50554"/>
    <cellStyle name="差_0912POSDATA_原価率201003_物流_開発商品(chen)_41期事業計画(商品部) 4" xfId="2572"/>
    <cellStyle name="差_0912POSDATA_原価率201003_物流_開発商品(chen)_41期事業計画(商品部) 5" xfId="50555"/>
    <cellStyle name="差_0912POSDATA_原価率201003_物流_開発商品(chen)_CPI" xfId="2573"/>
    <cellStyle name="差_0912POSDATA_原価率201003_物流_開発商品(chen)_CPI 2" xfId="2574"/>
    <cellStyle name="差_0912POSDATA_原価率201003_物流_開発商品(chen)_CPI 2 2" xfId="2575"/>
    <cellStyle name="差_0912POSDATA_原価率201003_物流_開発商品(chen)_CPI 2 3" xfId="50556"/>
    <cellStyle name="差_0912POSDATA_原価率201003_物流_開発商品(chen)_CPI 3" xfId="2576"/>
    <cellStyle name="差_0912POSDATA_原価率201003_物流_開発商品(chen)_CPI 3 2" xfId="2577"/>
    <cellStyle name="差_0912POSDATA_原価率201003_物流_開発商品(chen)_CPI 3 3" xfId="50557"/>
    <cellStyle name="差_0912POSDATA_原価率201003_物流_開発商品(chen)_CPI 4" xfId="2578"/>
    <cellStyle name="差_0912POSDATA_原価率201003_物流_開発商品(chen)_CPI 5" xfId="50558"/>
    <cellStyle name="差_0912POSDATA_原価率201003_物流_開発商品(chen)_CPI(1)" xfId="2579"/>
    <cellStyle name="差_0912POSDATA_原価率201003_物流_開発商品(chen)_CPI(1) 2" xfId="2580"/>
    <cellStyle name="差_0912POSDATA_原価率201003_物流_開発商品(chen)_CPI(1) 3" xfId="50559"/>
    <cellStyle name="差_0912POSDATA_原価率201003_物流_開発商品(chen)_副本40期預実（商品部） (3)" xfId="2581"/>
    <cellStyle name="差_0912POSDATA_原価率201003_物流_開発商品(chen)_副本40期預実（商品部） (3) 2" xfId="2582"/>
    <cellStyle name="差_0912POSDATA_原価率201003_物流_開発商品(chen)_副本40期預実（商品部） (3) 2 2" xfId="2583"/>
    <cellStyle name="差_0912POSDATA_原価率201003_物流_開発商品(chen)_副本40期預実（商品部） (3) 2 3" xfId="50560"/>
    <cellStyle name="差_0912POSDATA_原価率201003_物流_開発商品(chen)_副本40期預実（商品部） (3) 3" xfId="2584"/>
    <cellStyle name="差_0912POSDATA_原価率201003_物流_開発商品(chen)_副本40期預実（商品部） (3) 3 2" xfId="2585"/>
    <cellStyle name="差_0912POSDATA_原価率201003_物流_開発商品(chen)_副本40期預実（商品部） (3) 3 3" xfId="50561"/>
    <cellStyle name="差_0912POSDATA_原価率201003_物流_開発商品(chen)_副本40期預実（商品部） (3) 4" xfId="2586"/>
    <cellStyle name="差_0912POSDATA_原価率201003_物流_開発商品(chen)_副本40期預実（商品部） (3) 5" xfId="50562"/>
    <cellStyle name="差_0912POSDATA_原価率201003_物流_開発商品(chen)_副本41期事業計画商品部（備品） (2) (2)" xfId="2587"/>
    <cellStyle name="差_0912POSDATA_原価率201003_物流_開発商品(chen)_副本41期事業計画商品部（備品） (2) (2) 2" xfId="2588"/>
    <cellStyle name="差_0912POSDATA_原価率201003_物流_開発商品(chen)_副本41期事業計画商品部（備品） (2) (2) 2 2" xfId="2589"/>
    <cellStyle name="差_0912POSDATA_原価率201003_物流_開発商品(chen)_副本41期事業計画商品部（備品） (2) (2) 2 3" xfId="50563"/>
    <cellStyle name="差_0912POSDATA_原価率201003_物流_開発商品(chen)_副本41期事業計画商品部（備品） (2) (2) 3" xfId="2590"/>
    <cellStyle name="差_0912POSDATA_原価率201003_物流_開発商品(chen)_副本41期事業計画商品部（備品） (2) (2) 3 2" xfId="2591"/>
    <cellStyle name="差_0912POSDATA_原価率201003_物流_開発商品(chen)_副本41期事業計画商品部（備品） (2) (2) 3 3" xfId="50564"/>
    <cellStyle name="差_0912POSDATA_原価率201003_物流_開発商品(chen)_副本41期事業計画商品部（備品） (2) (2) 4" xfId="2592"/>
    <cellStyle name="差_0912POSDATA_原価率201003_物流_開発商品(chen)_副本41期事業計画商品部（備品） (2) (2) 5" xfId="50565"/>
    <cellStyle name="差_0912POSDATA_原価率201003_新メニュー実績" xfId="2593"/>
    <cellStyle name="差_0912POSDATA_原価率201003_新メニュー実績 2" xfId="2594"/>
    <cellStyle name="差_0912POSDATA_原価率201003_新メニュー実績 3" xfId="50566"/>
    <cellStyle name="差_1" xfId="10"/>
    <cellStyle name="差_10" xfId="11"/>
    <cellStyle name="差_101121萨莉亚餐厅籐椅子見積(1)" xfId="50567"/>
    <cellStyle name="差_101121萨莉亚餐厅籐椅子見積(1) 2" xfId="50568"/>
    <cellStyle name="差_101121萨莉亚餐厅籐椅子見積(1) 3" xfId="50569"/>
    <cellStyle name="差_101121萨莉亚餐厅籐椅子見積(1) 4" xfId="50570"/>
    <cellStyle name="差_101121萨莉亚餐厅籐椅子見積(1) 5" xfId="50571"/>
    <cellStyle name="差_101121萨莉亚餐厅籐椅子見積(1) 6" xfId="50572"/>
    <cellStyle name="差_101121萨莉亚餐厅籐椅子見積(1) 7" xfId="50573"/>
    <cellStyle name="差_101121萨莉亚餐厅籐椅子見積(1) 8" xfId="50574"/>
    <cellStyle name="差_101121萨莉亚餐厅籐椅子見積(1)_3月メンテナンス請求" xfId="50575"/>
    <cellStyle name="差_101121萨莉亚餐厅籐椅子見積(1)_3月メンテナンス請求 2" xfId="50576"/>
    <cellStyle name="差_101121萨莉亚餐厅籐椅子見積(1)_3月メンテナンス請求 3" xfId="50577"/>
    <cellStyle name="差_101121萨莉亚餐厅籐椅子見積(1)_3月メンテナンス請求 4" xfId="50578"/>
    <cellStyle name="差_101121萨莉亚餐厅籐椅子見積(1)_3月メンテナンス請求 5" xfId="50579"/>
    <cellStyle name="差_101121萨莉亚餐厅籐椅子見積(1)_5月メンテナンス請求書(0614更新）" xfId="50580"/>
    <cellStyle name="差_101121萨莉亚餐厅籐椅子見積(1)_5月メンテナンス請求書(0614更新） 2" xfId="50581"/>
    <cellStyle name="差_101121萨莉亚餐厅籐椅子見積(1)_5月メンテナンス請求書(0614更新） 3" xfId="50582"/>
    <cellStyle name="差_101121萨莉亚餐厅籐椅子見積(1)_5月メンテナンス請求書(0614更新） 4" xfId="50583"/>
    <cellStyle name="差_101121萨莉亚餐厅籐椅子見積(1)_5月メンテナンス請求書(0614更新） 5" xfId="50584"/>
    <cellStyle name="差_101121萨莉亚餐厅籐椅子見積(1)_6月メンテナンス請求書" xfId="50585"/>
    <cellStyle name="差_101121萨莉亚餐厅籐椅子見積(1)_6月メンテナンス請求書 2" xfId="50586"/>
    <cellStyle name="差_101121萨莉亚餐厅籐椅子見積(1)_6月メンテナンス請求書 3" xfId="50587"/>
    <cellStyle name="差_101121萨莉亚餐厅籐椅子見積(1)_6月メンテナンス請求書 4" xfId="50588"/>
    <cellStyle name="差_101121萨莉亚餐厅籐椅子見積(1)_6月メンテナンス請求書 5" xfId="50589"/>
    <cellStyle name="差_101121萨莉亚餐厅籐椅子見積(1)_見積書)南山吉之岛破损沙发维修" xfId="50590"/>
    <cellStyle name="差_101121萨莉亚餐厅籐椅子見積(1)_見積書)南山吉之岛破损沙发维修 2" xfId="50591"/>
    <cellStyle name="差_101121萨莉亚餐厅籐椅子見積(1)_見積書)南山吉之岛破损沙发维修 3" xfId="50592"/>
    <cellStyle name="差_101121萨莉亚餐厅籐椅子見積(1)_見積書)南山吉之岛破损沙发维修 4" xfId="50593"/>
    <cellStyle name="差_101121萨莉亚餐厅籐椅子見積(1)_見積書)南山吉之岛破损沙发维修 5" xfId="50594"/>
    <cellStyle name="差_101121萨莉亚餐厅籐椅子見積(1)_見積書)南山吉之岛破损沙发维修_5月メンテナンス請求" xfId="50595"/>
    <cellStyle name="差_101121萨莉亚餐厅籐椅子見積(1)_見積書)南山吉之岛破损沙发维修_5月メンテナンス請求 2" xfId="50596"/>
    <cellStyle name="差_101121萨莉亚餐厅籐椅子見積(1)_見積書)南山吉之岛破损沙发维修_5月メンテナンス請求 3" xfId="50597"/>
    <cellStyle name="差_101121萨莉亚餐厅籐椅子見積(1)_見積書)南山吉之岛破损沙发维修_5月メンテナンス請求 4" xfId="50598"/>
    <cellStyle name="差_101121萨莉亚餐厅籐椅子見積(1)_見積書)南山吉之岛破损沙发维修_5月メンテナンス請求 5" xfId="50599"/>
    <cellStyle name="差_101121萨莉亚餐厅籐椅子見積(1)_見積書)上下九店烤箱维修" xfId="50600"/>
    <cellStyle name="差_101121萨莉亚餐厅籐椅子見積(1)_見積書)上下九店烤箱维修 2" xfId="50601"/>
    <cellStyle name="差_101121萨莉亚餐厅籐椅子見積(1)_見積書)上下九店烤箱维修 3" xfId="50602"/>
    <cellStyle name="差_101121萨莉亚餐厅籐椅子見積(1)_見積書)上下九店烤箱维修 4" xfId="50603"/>
    <cellStyle name="差_101121萨莉亚餐厅籐椅子見積(1)_見積書)上下九店烤箱维修 5" xfId="50604"/>
    <cellStyle name="差_101121萨莉亚餐厅籐椅子見積(1)_見積書)上下九店烤箱维修_5月メンテナンス請求" xfId="50605"/>
    <cellStyle name="差_101121萨莉亚餐厅籐椅子見積(1)_見積書)上下九店烤箱维修_5月メンテナンス請求 2" xfId="50606"/>
    <cellStyle name="差_101121萨莉亚餐厅籐椅子見積(1)_見積書)上下九店烤箱维修_5月メンテナンス請求 3" xfId="50607"/>
    <cellStyle name="差_101121萨莉亚餐厅籐椅子見積(1)_見積書)上下九店烤箱维修_5月メンテナンス請求 4" xfId="50608"/>
    <cellStyle name="差_101121萨莉亚餐厅籐椅子見積(1)_見積書)上下九店烤箱维修_5月メンテナンス請求 5" xfId="50609"/>
    <cellStyle name="差_101121萨莉亚餐厅籐椅子見積(1)_見積書5月" xfId="50610"/>
    <cellStyle name="差_101121萨莉亚餐厅籐椅子見積(1)_見積書5月 2" xfId="50611"/>
    <cellStyle name="差_101121萨莉亚餐厅籐椅子見積(1)_見積書5月 3" xfId="50612"/>
    <cellStyle name="差_101121萨莉亚餐厅籐椅子見積(1)_見積書5月 4" xfId="50613"/>
    <cellStyle name="差_101121萨莉亚餐厅籐椅子見積(1)_見積書5月 5" xfId="50614"/>
    <cellStyle name="差_101121萨莉亚餐厅籐椅子見積(1)_見積書雛形" xfId="50615"/>
    <cellStyle name="差_101121萨莉亚餐厅籐椅子見積(1)_見積書雛形 2" xfId="50616"/>
    <cellStyle name="差_101121萨莉亚餐厅籐椅子見積(1)_見積書雛形 3" xfId="50617"/>
    <cellStyle name="差_101121萨莉亚餐厅籐椅子見積(1)_見積書雛形 4" xfId="50618"/>
    <cellStyle name="差_101121萨莉亚餐厅籐椅子見積(1)_見積書雛形 5" xfId="50619"/>
    <cellStyle name="差_101121萨莉亚餐厅籐椅子見積(1)_見積書雛形_1" xfId="50620"/>
    <cellStyle name="差_101121萨莉亚餐厅籐椅子見積(1)_見積書雛形_1 2" xfId="50621"/>
    <cellStyle name="差_101121萨莉亚餐厅籐椅子見積(1)_見積書雛形_1 3" xfId="50622"/>
    <cellStyle name="差_101121萨莉亚餐厅籐椅子見積(1)_見積書雛形_1 4" xfId="50623"/>
    <cellStyle name="差_101121萨莉亚餐厅籐椅子見積(1)_見積書雛形_1 5" xfId="50624"/>
    <cellStyle name="差_10万元使用量0804" xfId="2595"/>
    <cellStyle name="差_11" xfId="12"/>
    <cellStyle name="差_12" xfId="13"/>
    <cellStyle name="差_1402月升迁" xfId="6972"/>
    <cellStyle name="差_2" xfId="14"/>
    <cellStyle name="差_2010-01POSDATA" xfId="158"/>
    <cellStyle name="差_2010-01POSDATA 2" xfId="2596"/>
    <cellStyle name="差_2010-01POSDATA 2 2" xfId="2597"/>
    <cellStyle name="差_2010-01POSDATA 2 3" xfId="50625"/>
    <cellStyle name="差_2010-01POSDATA 3" xfId="2598"/>
    <cellStyle name="差_2010-01POSDATA 3 2" xfId="2599"/>
    <cellStyle name="差_2010-01POSDATA 3 3" xfId="50626"/>
    <cellStyle name="差_2010-01POSDATA 4" xfId="50627"/>
    <cellStyle name="差_2010-01POSDATA 5" xfId="50628"/>
    <cellStyle name="差_2010-01POSDATA 6" xfId="50629"/>
    <cellStyle name="差_2010-01POSDATA 7" xfId="60966"/>
    <cellStyle name="差_2010-01POSDATA_Sheet1" xfId="2600"/>
    <cellStyle name="差_2010-01POSDATA_Sheet1 2" xfId="2601"/>
    <cellStyle name="差_2010-01POSDATA_Sheet1 3" xfId="50630"/>
    <cellStyle name="差_2010-01POSDATA_儊僯儏乕娤嶡(2-1)" xfId="2602"/>
    <cellStyle name="差_2010-01POSDATA_儊僯儏乕娤嶡(2-1) 2" xfId="2603"/>
    <cellStyle name="差_2010-01POSDATA_儊僯儏乕娤嶡(2-1) 3" xfId="50631"/>
    <cellStyle name="差_2010-01POSDATA_儊僯儏乕娤嶡(2-1)." xfId="2604"/>
    <cellStyle name="差_2010-01POSDATA_儊僯儏乕娤嶡(2-1). 2" xfId="2605"/>
    <cellStyle name="差_2010-01POSDATA_儊僯儏乕娤嶡(2-1). 3" xfId="50632"/>
    <cellStyle name="差_2010-01POSDATA_儊僯儏乕娤嶡(2-1)._副本新メニュー観察(上海) 201204 花島添削 (5)" xfId="2606"/>
    <cellStyle name="差_2010-01POSDATA_儊僯儏乕娤嶡(2-1)._副本新メニュー観察(上海) 201204 花島添削 (5) 2" xfId="2607"/>
    <cellStyle name="差_2010-01POSDATA_儊僯儏乕娤嶡(2-1)._副本新メニュー観察(上海) 201204 花島添削 (5) 3" xfId="50633"/>
    <cellStyle name="差_2010-01POSDATA_儊僯儏乕娤嶡(2-1)._新メニュー観察(上海) 201204 花島添削 (2) (5)" xfId="2608"/>
    <cellStyle name="差_2010-01POSDATA_儊僯儏乕娤嶡(2-1)._新メニュー観察(上海) 201204 花島添削 (2) (5) 2" xfId="2609"/>
    <cellStyle name="差_2010-01POSDATA_儊僯儏乕娤嶡(2-1)._新メニュー観察(上海) 201204 花島添削 (2) (5) 3" xfId="50634"/>
    <cellStyle name="差_2010-01POSDATA_儊僯儏乕娤嶡(2-1)_副本新メニュー観察(上海) 201204 花島添削 (5)" xfId="2610"/>
    <cellStyle name="差_2010-01POSDATA_儊僯儏乕娤嶡(2-1)_副本新メニュー観察(上海) 201204 花島添削 (5) 2" xfId="2611"/>
    <cellStyle name="差_2010-01POSDATA_儊僯儏乕娤嶡(2-1)_副本新メニュー観察(上海) 201204 花島添削 (5) 3" xfId="50635"/>
    <cellStyle name="差_2010-01POSDATA_儊僯儏乕娤嶡(2-1)_新メニュー観察(上海) 201204 花島添削 (2) (5)" xfId="2612"/>
    <cellStyle name="差_2010-01POSDATA_儊僯儏乕娤嶡(2-1)_新メニュー観察(上海) 201204 花島添削 (2) (5) 2" xfId="2613"/>
    <cellStyle name="差_2010-01POSDATA_儊僯儏乕娤嶡(2-1)_新メニュー観察(上海) 201204 花島添削 (2) (5) 3" xfId="50636"/>
    <cellStyle name="差_2010-01POSDATA_儊僯儏乕娤嶡(2-2乯" xfId="2614"/>
    <cellStyle name="差_2010-01POSDATA_儊僯儏乕娤嶡(2-2乯 2" xfId="2615"/>
    <cellStyle name="差_2010-01POSDATA_儊僯儏乕娤嶡(2-2乯 3" xfId="50637"/>
    <cellStyle name="差_2010-01POSDATA_物流" xfId="2616"/>
    <cellStyle name="差_2010-01POSDATA_物流 2" xfId="2617"/>
    <cellStyle name="差_2010-01POSDATA_物流 2 2" xfId="2618"/>
    <cellStyle name="差_2010-01POSDATA_物流 2 3" xfId="50638"/>
    <cellStyle name="差_2010-01POSDATA_物流 3" xfId="2619"/>
    <cellStyle name="差_2010-01POSDATA_物流 3 2" xfId="2620"/>
    <cellStyle name="差_2010-01POSDATA_物流 3 3" xfId="50639"/>
    <cellStyle name="差_2010-01POSDATA_物流 4" xfId="2621"/>
    <cellStyle name="差_2010-01POSDATA_物流 5" xfId="50640"/>
    <cellStyle name="差_2010-01POSDATA_物流_開発商品(chen)" xfId="2622"/>
    <cellStyle name="差_2010-01POSDATA_物流_開発商品(chen) 2" xfId="2623"/>
    <cellStyle name="差_2010-01POSDATA_物流_開発商品(chen) 2 2" xfId="2624"/>
    <cellStyle name="差_2010-01POSDATA_物流_開発商品(chen) 2 3" xfId="50641"/>
    <cellStyle name="差_2010-01POSDATA_物流_開発商品(chen) 3" xfId="2625"/>
    <cellStyle name="差_2010-01POSDATA_物流_開発商品(chen) 3 2" xfId="2626"/>
    <cellStyle name="差_2010-01POSDATA_物流_開発商品(chen) 3 3" xfId="50642"/>
    <cellStyle name="差_2010-01POSDATA_物流_開発商品(chen) 4" xfId="2627"/>
    <cellStyle name="差_2010-01POSDATA_物流_開発商品(chen) 5" xfId="50643"/>
    <cellStyle name="差_2010-01POSDATA_物流_開発商品(chen)_40期事業計画（商品部）  (3)" xfId="2628"/>
    <cellStyle name="差_2010-01POSDATA_物流_開発商品(chen)_40期事業計画（商品部）  (3) 2" xfId="2629"/>
    <cellStyle name="差_2010-01POSDATA_物流_開発商品(chen)_40期事業計画（商品部）  (3) 3" xfId="50644"/>
    <cellStyle name="差_2010-01POSDATA_物流_開発商品(chen)_40期事業計画（商品部1）" xfId="2630"/>
    <cellStyle name="差_2010-01POSDATA_物流_開発商品(chen)_40期事業計画（商品部1） 2" xfId="2631"/>
    <cellStyle name="差_2010-01POSDATA_物流_開発商品(chen)_40期事業計画（商品部1） 2 2" xfId="2632"/>
    <cellStyle name="差_2010-01POSDATA_物流_開発商品(chen)_40期事業計画（商品部1） 2 3" xfId="50645"/>
    <cellStyle name="差_2010-01POSDATA_物流_開発商品(chen)_40期事業計画（商品部1） 3" xfId="2633"/>
    <cellStyle name="差_2010-01POSDATA_物流_開発商品(chen)_40期事業計画（商品部1） 3 2" xfId="2634"/>
    <cellStyle name="差_2010-01POSDATA_物流_開発商品(chen)_40期事業計画（商品部1） 3 3" xfId="50646"/>
    <cellStyle name="差_2010-01POSDATA_物流_開発商品(chen)_40期事業計画（商品部1） 4" xfId="2635"/>
    <cellStyle name="差_2010-01POSDATA_物流_開発商品(chen)_40期事業計画（商品部1） 5" xfId="50647"/>
    <cellStyle name="差_2010-01POSDATA_物流_開発商品(chen)_40期預実（商品部） (3)" xfId="2636"/>
    <cellStyle name="差_2010-01POSDATA_物流_開発商品(chen)_40期預実（商品部） (3) 2" xfId="2637"/>
    <cellStyle name="差_2010-01POSDATA_物流_開発商品(chen)_40期預実（商品部） (3) 2 2" xfId="2638"/>
    <cellStyle name="差_2010-01POSDATA_物流_開発商品(chen)_40期預実（商品部） (3) 2 3" xfId="50648"/>
    <cellStyle name="差_2010-01POSDATA_物流_開発商品(chen)_40期預実（商品部） (3) 3" xfId="2639"/>
    <cellStyle name="差_2010-01POSDATA_物流_開発商品(chen)_40期預実（商品部） (3) 3 2" xfId="2640"/>
    <cellStyle name="差_2010-01POSDATA_物流_開発商品(chen)_40期預実（商品部） (3) 3 3" xfId="50649"/>
    <cellStyle name="差_2010-01POSDATA_物流_開発商品(chen)_40期預実（商品部） (3) 4" xfId="2641"/>
    <cellStyle name="差_2010-01POSDATA_物流_開発商品(chen)_40期預実（商品部） (3) 5" xfId="50650"/>
    <cellStyle name="差_2010-01POSDATA_物流_開発商品(chen)_41期事業計画(商品部)" xfId="2642"/>
    <cellStyle name="差_2010-01POSDATA_物流_開発商品(chen)_41期事業計画(商品部) 2" xfId="2643"/>
    <cellStyle name="差_2010-01POSDATA_物流_開発商品(chen)_41期事業計画(商品部) 2 2" xfId="2644"/>
    <cellStyle name="差_2010-01POSDATA_物流_開発商品(chen)_41期事業計画(商品部) 2 3" xfId="50651"/>
    <cellStyle name="差_2010-01POSDATA_物流_開発商品(chen)_41期事業計画(商品部) 3" xfId="2645"/>
    <cellStyle name="差_2010-01POSDATA_物流_開発商品(chen)_41期事業計画(商品部) 3 2" xfId="2646"/>
    <cellStyle name="差_2010-01POSDATA_物流_開発商品(chen)_41期事業計画(商品部) 3 3" xfId="50652"/>
    <cellStyle name="差_2010-01POSDATA_物流_開発商品(chen)_41期事業計画(商品部) 4" xfId="2647"/>
    <cellStyle name="差_2010-01POSDATA_物流_開発商品(chen)_41期事業計画(商品部) 5" xfId="50653"/>
    <cellStyle name="差_2010-01POSDATA_物流_開発商品(chen)_CPI" xfId="2648"/>
    <cellStyle name="差_2010-01POSDATA_物流_開発商品(chen)_CPI 2" xfId="2649"/>
    <cellStyle name="差_2010-01POSDATA_物流_開発商品(chen)_CPI 2 2" xfId="2650"/>
    <cellStyle name="差_2010-01POSDATA_物流_開発商品(chen)_CPI 2 3" xfId="50654"/>
    <cellStyle name="差_2010-01POSDATA_物流_開発商品(chen)_CPI 3" xfId="2651"/>
    <cellStyle name="差_2010-01POSDATA_物流_開発商品(chen)_CPI 3 2" xfId="2652"/>
    <cellStyle name="差_2010-01POSDATA_物流_開発商品(chen)_CPI 3 3" xfId="50655"/>
    <cellStyle name="差_2010-01POSDATA_物流_開発商品(chen)_CPI 4" xfId="2653"/>
    <cellStyle name="差_2010-01POSDATA_物流_開発商品(chen)_CPI 5" xfId="50656"/>
    <cellStyle name="差_2010-01POSDATA_物流_開発商品(chen)_CPI(1)" xfId="2654"/>
    <cellStyle name="差_2010-01POSDATA_物流_開発商品(chen)_CPI(1) 2" xfId="2655"/>
    <cellStyle name="差_2010-01POSDATA_物流_開発商品(chen)_CPI(1) 3" xfId="50657"/>
    <cellStyle name="差_2010-01POSDATA_物流_開発商品(chen)_副本40期預実（商品部） (3)" xfId="2656"/>
    <cellStyle name="差_2010-01POSDATA_物流_開発商品(chen)_副本40期預実（商品部） (3) 2" xfId="2657"/>
    <cellStyle name="差_2010-01POSDATA_物流_開発商品(chen)_副本40期預実（商品部） (3) 2 2" xfId="2658"/>
    <cellStyle name="差_2010-01POSDATA_物流_開発商品(chen)_副本40期預実（商品部） (3) 2 3" xfId="50658"/>
    <cellStyle name="差_2010-01POSDATA_物流_開発商品(chen)_副本40期預実（商品部） (3) 3" xfId="2659"/>
    <cellStyle name="差_2010-01POSDATA_物流_開発商品(chen)_副本40期預実（商品部） (3) 3 2" xfId="2660"/>
    <cellStyle name="差_2010-01POSDATA_物流_開発商品(chen)_副本40期預実（商品部） (3) 3 3" xfId="50659"/>
    <cellStyle name="差_2010-01POSDATA_物流_開発商品(chen)_副本40期預実（商品部） (3) 4" xfId="2661"/>
    <cellStyle name="差_2010-01POSDATA_物流_開発商品(chen)_副本40期預実（商品部） (3) 5" xfId="50660"/>
    <cellStyle name="差_2010-01POSDATA_物流_開発商品(chen)_副本41期事業計画商品部（備品） (2) (2)" xfId="2662"/>
    <cellStyle name="差_2010-01POSDATA_物流_開発商品(chen)_副本41期事業計画商品部（備品） (2) (2) 2" xfId="2663"/>
    <cellStyle name="差_2010-01POSDATA_物流_開発商品(chen)_副本41期事業計画商品部（備品） (2) (2) 2 2" xfId="2664"/>
    <cellStyle name="差_2010-01POSDATA_物流_開発商品(chen)_副本41期事業計画商品部（備品） (2) (2) 2 3" xfId="50661"/>
    <cellStyle name="差_2010-01POSDATA_物流_開発商品(chen)_副本41期事業計画商品部（備品） (2) (2) 3" xfId="2665"/>
    <cellStyle name="差_2010-01POSDATA_物流_開発商品(chen)_副本41期事業計画商品部（備品） (2) (2) 3 2" xfId="2666"/>
    <cellStyle name="差_2010-01POSDATA_物流_開発商品(chen)_副本41期事業計画商品部（備品） (2) (2) 3 3" xfId="50662"/>
    <cellStyle name="差_2010-01POSDATA_物流_開発商品(chen)_副本41期事業計画商品部（備品） (2) (2) 4" xfId="2667"/>
    <cellStyle name="差_2010-01POSDATA_物流_開発商品(chen)_副本41期事業計画商品部（備品） (2) (2) 5" xfId="50663"/>
    <cellStyle name="差_2010-01POSDATA_新メニュー実績" xfId="2668"/>
    <cellStyle name="差_2010-01POSDATA_新メニュー実績 2" xfId="2669"/>
    <cellStyle name="差_2010-01POSDATA_新メニュー実績 3" xfId="50664"/>
    <cellStyle name="差_2010-01POSDATA_原価率201003" xfId="159"/>
    <cellStyle name="差_2010-01POSDATA_原価率201003 2" xfId="2670"/>
    <cellStyle name="差_2010-01POSDATA_原価率201003 2 2" xfId="2671"/>
    <cellStyle name="差_2010-01POSDATA_原価率201003 2 3" xfId="50665"/>
    <cellStyle name="差_2010-01POSDATA_原価率201003 3" xfId="2672"/>
    <cellStyle name="差_2010-01POSDATA_原価率201003 3 2" xfId="2673"/>
    <cellStyle name="差_2010-01POSDATA_原価率201003 3 3" xfId="50666"/>
    <cellStyle name="差_2010-01POSDATA_原価率201003 4" xfId="50667"/>
    <cellStyle name="差_2010-01POSDATA_原価率201003 5" xfId="50668"/>
    <cellStyle name="差_2010-01POSDATA_原価率201003 6" xfId="50669"/>
    <cellStyle name="差_2010-01POSDATA_原価率201003 7" xfId="60967"/>
    <cellStyle name="差_2010-01POSDATA_原価率201003_Sheet1" xfId="2674"/>
    <cellStyle name="差_2010-01POSDATA_原価率201003_Sheet1 2" xfId="2675"/>
    <cellStyle name="差_2010-01POSDATA_原価率201003_Sheet1 3" xfId="50670"/>
    <cellStyle name="差_2010-01POSDATA_原価率201003_儊僯儏乕娤嶡(2-1)" xfId="2676"/>
    <cellStyle name="差_2010-01POSDATA_原価率201003_儊僯儏乕娤嶡(2-1) 2" xfId="2677"/>
    <cellStyle name="差_2010-01POSDATA_原価率201003_儊僯儏乕娤嶡(2-1) 3" xfId="50671"/>
    <cellStyle name="差_2010-01POSDATA_原価率201003_儊僯儏乕娤嶡(2-1)." xfId="2678"/>
    <cellStyle name="差_2010-01POSDATA_原価率201003_儊僯儏乕娤嶡(2-1). 2" xfId="2679"/>
    <cellStyle name="差_2010-01POSDATA_原価率201003_儊僯儏乕娤嶡(2-1). 3" xfId="50672"/>
    <cellStyle name="差_2010-01POSDATA_原価率201003_儊僯儏乕娤嶡(2-1)._副本新メニュー観察(上海) 201204 花島添削 (5)" xfId="2680"/>
    <cellStyle name="差_2010-01POSDATA_原価率201003_儊僯儏乕娤嶡(2-1)._副本新メニュー観察(上海) 201204 花島添削 (5) 2" xfId="2681"/>
    <cellStyle name="差_2010-01POSDATA_原価率201003_儊僯儏乕娤嶡(2-1)._副本新メニュー観察(上海) 201204 花島添削 (5) 3" xfId="50673"/>
    <cellStyle name="差_2010-01POSDATA_原価率201003_儊僯儏乕娤嶡(2-1)._新メニュー観察(上海) 201204 花島添削 (2) (5)" xfId="2682"/>
    <cellStyle name="差_2010-01POSDATA_原価率201003_儊僯儏乕娤嶡(2-1)._新メニュー観察(上海) 201204 花島添削 (2) (5) 2" xfId="2683"/>
    <cellStyle name="差_2010-01POSDATA_原価率201003_儊僯儏乕娤嶡(2-1)._新メニュー観察(上海) 201204 花島添削 (2) (5) 3" xfId="50674"/>
    <cellStyle name="差_2010-01POSDATA_原価率201003_儊僯儏乕娤嶡(2-1)_副本新メニュー観察(上海) 201204 花島添削 (5)" xfId="2684"/>
    <cellStyle name="差_2010-01POSDATA_原価率201003_儊僯儏乕娤嶡(2-1)_副本新メニュー観察(上海) 201204 花島添削 (5) 2" xfId="2685"/>
    <cellStyle name="差_2010-01POSDATA_原価率201003_儊僯儏乕娤嶡(2-1)_副本新メニュー観察(上海) 201204 花島添削 (5) 3" xfId="50675"/>
    <cellStyle name="差_2010-01POSDATA_原価率201003_儊僯儏乕娤嶡(2-1)_新メニュー観察(上海) 201204 花島添削 (2) (5)" xfId="2686"/>
    <cellStyle name="差_2010-01POSDATA_原価率201003_儊僯儏乕娤嶡(2-1)_新メニュー観察(上海) 201204 花島添削 (2) (5) 2" xfId="2687"/>
    <cellStyle name="差_2010-01POSDATA_原価率201003_儊僯儏乕娤嶡(2-1)_新メニュー観察(上海) 201204 花島添削 (2) (5) 3" xfId="50676"/>
    <cellStyle name="差_2010-01POSDATA_原価率201003_儊僯儏乕娤嶡(2-2乯" xfId="2688"/>
    <cellStyle name="差_2010-01POSDATA_原価率201003_儊僯儏乕娤嶡(2-2乯 2" xfId="2689"/>
    <cellStyle name="差_2010-01POSDATA_原価率201003_儊僯儏乕娤嶡(2-2乯 3" xfId="50677"/>
    <cellStyle name="差_2010-01POSDATA_原価率201003_物流" xfId="2690"/>
    <cellStyle name="差_2010-01POSDATA_原価率201003_物流 2" xfId="2691"/>
    <cellStyle name="差_2010-01POSDATA_原価率201003_物流 2 2" xfId="2692"/>
    <cellStyle name="差_2010-01POSDATA_原価率201003_物流 2 3" xfId="50678"/>
    <cellStyle name="差_2010-01POSDATA_原価率201003_物流 3" xfId="2693"/>
    <cellStyle name="差_2010-01POSDATA_原価率201003_物流 3 2" xfId="2694"/>
    <cellStyle name="差_2010-01POSDATA_原価率201003_物流 3 3" xfId="50679"/>
    <cellStyle name="差_2010-01POSDATA_原価率201003_物流 4" xfId="2695"/>
    <cellStyle name="差_2010-01POSDATA_原価率201003_物流 5" xfId="50680"/>
    <cellStyle name="差_2010-01POSDATA_原価率201003_物流_開発商品(chen)" xfId="2696"/>
    <cellStyle name="差_2010-01POSDATA_原価率201003_物流_開発商品(chen) 2" xfId="2697"/>
    <cellStyle name="差_2010-01POSDATA_原価率201003_物流_開発商品(chen) 2 2" xfId="2698"/>
    <cellStyle name="差_2010-01POSDATA_原価率201003_物流_開発商品(chen) 2 3" xfId="50681"/>
    <cellStyle name="差_2010-01POSDATA_原価率201003_物流_開発商品(chen) 3" xfId="2699"/>
    <cellStyle name="差_2010-01POSDATA_原価率201003_物流_開発商品(chen) 3 2" xfId="2700"/>
    <cellStyle name="差_2010-01POSDATA_原価率201003_物流_開発商品(chen) 3 3" xfId="50682"/>
    <cellStyle name="差_2010-01POSDATA_原価率201003_物流_開発商品(chen) 4" xfId="2701"/>
    <cellStyle name="差_2010-01POSDATA_原価率201003_物流_開発商品(chen) 5" xfId="50683"/>
    <cellStyle name="差_2010-01POSDATA_原価率201003_物流_開発商品(chen)_40期事業計画（商品部）  (3)" xfId="2702"/>
    <cellStyle name="差_2010-01POSDATA_原価率201003_物流_開発商品(chen)_40期事業計画（商品部）  (3) 2" xfId="2703"/>
    <cellStyle name="差_2010-01POSDATA_原価率201003_物流_開発商品(chen)_40期事業計画（商品部）  (3) 3" xfId="50684"/>
    <cellStyle name="差_2010-01POSDATA_原価率201003_物流_開発商品(chen)_40期事業計画（商品部1）" xfId="2704"/>
    <cellStyle name="差_2010-01POSDATA_原価率201003_物流_開発商品(chen)_40期事業計画（商品部1） 2" xfId="2705"/>
    <cellStyle name="差_2010-01POSDATA_原価率201003_物流_開発商品(chen)_40期事業計画（商品部1） 2 2" xfId="2706"/>
    <cellStyle name="差_2010-01POSDATA_原価率201003_物流_開発商品(chen)_40期事業計画（商品部1） 2 3" xfId="50685"/>
    <cellStyle name="差_2010-01POSDATA_原価率201003_物流_開発商品(chen)_40期事業計画（商品部1） 3" xfId="2707"/>
    <cellStyle name="差_2010-01POSDATA_原価率201003_物流_開発商品(chen)_40期事業計画（商品部1） 3 2" xfId="2708"/>
    <cellStyle name="差_2010-01POSDATA_原価率201003_物流_開発商品(chen)_40期事業計画（商品部1） 3 3" xfId="50686"/>
    <cellStyle name="差_2010-01POSDATA_原価率201003_物流_開発商品(chen)_40期事業計画（商品部1） 4" xfId="2709"/>
    <cellStyle name="差_2010-01POSDATA_原価率201003_物流_開発商品(chen)_40期事業計画（商品部1） 5" xfId="50687"/>
    <cellStyle name="差_2010-01POSDATA_原価率201003_物流_開発商品(chen)_40期預実（商品部） (3)" xfId="2710"/>
    <cellStyle name="差_2010-01POSDATA_原価率201003_物流_開発商品(chen)_40期預実（商品部） (3) 2" xfId="2711"/>
    <cellStyle name="差_2010-01POSDATA_原価率201003_物流_開発商品(chen)_40期預実（商品部） (3) 2 2" xfId="2712"/>
    <cellStyle name="差_2010-01POSDATA_原価率201003_物流_開発商品(chen)_40期預実（商品部） (3) 2 3" xfId="50688"/>
    <cellStyle name="差_2010-01POSDATA_原価率201003_物流_開発商品(chen)_40期預実（商品部） (3) 3" xfId="2713"/>
    <cellStyle name="差_2010-01POSDATA_原価率201003_物流_開発商品(chen)_40期預実（商品部） (3) 3 2" xfId="2714"/>
    <cellStyle name="差_2010-01POSDATA_原価率201003_物流_開発商品(chen)_40期預実（商品部） (3) 3 3" xfId="50689"/>
    <cellStyle name="差_2010-01POSDATA_原価率201003_物流_開発商品(chen)_40期預実（商品部） (3) 4" xfId="2715"/>
    <cellStyle name="差_2010-01POSDATA_原価率201003_物流_開発商品(chen)_40期預実（商品部） (3) 5" xfId="50690"/>
    <cellStyle name="差_2010-01POSDATA_原価率201003_物流_開発商品(chen)_41期事業計画(商品部)" xfId="2716"/>
    <cellStyle name="差_2010-01POSDATA_原価率201003_物流_開発商品(chen)_41期事業計画(商品部) 2" xfId="2717"/>
    <cellStyle name="差_2010-01POSDATA_原価率201003_物流_開発商品(chen)_41期事業計画(商品部) 2 2" xfId="2718"/>
    <cellStyle name="差_2010-01POSDATA_原価率201003_物流_開発商品(chen)_41期事業計画(商品部) 2 3" xfId="50691"/>
    <cellStyle name="差_2010-01POSDATA_原価率201003_物流_開発商品(chen)_41期事業計画(商品部) 3" xfId="2719"/>
    <cellStyle name="差_2010-01POSDATA_原価率201003_物流_開発商品(chen)_41期事業計画(商品部) 3 2" xfId="2720"/>
    <cellStyle name="差_2010-01POSDATA_原価率201003_物流_開発商品(chen)_41期事業計画(商品部) 3 3" xfId="50692"/>
    <cellStyle name="差_2010-01POSDATA_原価率201003_物流_開発商品(chen)_41期事業計画(商品部) 4" xfId="2721"/>
    <cellStyle name="差_2010-01POSDATA_原価率201003_物流_開発商品(chen)_41期事業計画(商品部) 5" xfId="50693"/>
    <cellStyle name="差_2010-01POSDATA_原価率201003_物流_開発商品(chen)_CPI" xfId="2722"/>
    <cellStyle name="差_2010-01POSDATA_原価率201003_物流_開発商品(chen)_CPI 2" xfId="2723"/>
    <cellStyle name="差_2010-01POSDATA_原価率201003_物流_開発商品(chen)_CPI 2 2" xfId="2724"/>
    <cellStyle name="差_2010-01POSDATA_原価率201003_物流_開発商品(chen)_CPI 2 3" xfId="50694"/>
    <cellStyle name="差_2010-01POSDATA_原価率201003_物流_開発商品(chen)_CPI 3" xfId="2725"/>
    <cellStyle name="差_2010-01POSDATA_原価率201003_物流_開発商品(chen)_CPI 3 2" xfId="2726"/>
    <cellStyle name="差_2010-01POSDATA_原価率201003_物流_開発商品(chen)_CPI 3 3" xfId="50695"/>
    <cellStyle name="差_2010-01POSDATA_原価率201003_物流_開発商品(chen)_CPI 4" xfId="2727"/>
    <cellStyle name="差_2010-01POSDATA_原価率201003_物流_開発商品(chen)_CPI 5" xfId="50696"/>
    <cellStyle name="差_2010-01POSDATA_原価率201003_物流_開発商品(chen)_CPI(1)" xfId="2728"/>
    <cellStyle name="差_2010-01POSDATA_原価率201003_物流_開発商品(chen)_CPI(1) 2" xfId="2729"/>
    <cellStyle name="差_2010-01POSDATA_原価率201003_物流_開発商品(chen)_CPI(1) 3" xfId="50697"/>
    <cellStyle name="差_2010-01POSDATA_原価率201003_物流_開発商品(chen)_副本40期預実（商品部） (3)" xfId="2730"/>
    <cellStyle name="差_2010-01POSDATA_原価率201003_物流_開発商品(chen)_副本40期預実（商品部） (3) 2" xfId="2731"/>
    <cellStyle name="差_2010-01POSDATA_原価率201003_物流_開発商品(chen)_副本40期預実（商品部） (3) 2 2" xfId="2732"/>
    <cellStyle name="差_2010-01POSDATA_原価率201003_物流_開発商品(chen)_副本40期預実（商品部） (3) 2 3" xfId="50698"/>
    <cellStyle name="差_2010-01POSDATA_原価率201003_物流_開発商品(chen)_副本40期預実（商品部） (3) 3" xfId="2733"/>
    <cellStyle name="差_2010-01POSDATA_原価率201003_物流_開発商品(chen)_副本40期預実（商品部） (3) 3 2" xfId="2734"/>
    <cellStyle name="差_2010-01POSDATA_原価率201003_物流_開発商品(chen)_副本40期預実（商品部） (3) 3 3" xfId="50699"/>
    <cellStyle name="差_2010-01POSDATA_原価率201003_物流_開発商品(chen)_副本40期預実（商品部） (3) 4" xfId="2735"/>
    <cellStyle name="差_2010-01POSDATA_原価率201003_物流_開発商品(chen)_副本40期預実（商品部） (3) 5" xfId="50700"/>
    <cellStyle name="差_2010-01POSDATA_原価率201003_物流_開発商品(chen)_副本41期事業計画商品部（備品） (2) (2)" xfId="2736"/>
    <cellStyle name="差_2010-01POSDATA_原価率201003_物流_開発商品(chen)_副本41期事業計画商品部（備品） (2) (2) 2" xfId="2737"/>
    <cellStyle name="差_2010-01POSDATA_原価率201003_物流_開発商品(chen)_副本41期事業計画商品部（備品） (2) (2) 2 2" xfId="2738"/>
    <cellStyle name="差_2010-01POSDATA_原価率201003_物流_開発商品(chen)_副本41期事業計画商品部（備品） (2) (2) 2 3" xfId="50701"/>
    <cellStyle name="差_2010-01POSDATA_原価率201003_物流_開発商品(chen)_副本41期事業計画商品部（備品） (2) (2) 3" xfId="2739"/>
    <cellStyle name="差_2010-01POSDATA_原価率201003_物流_開発商品(chen)_副本41期事業計画商品部（備品） (2) (2) 3 2" xfId="2740"/>
    <cellStyle name="差_2010-01POSDATA_原価率201003_物流_開発商品(chen)_副本41期事業計画商品部（備品） (2) (2) 3 3" xfId="50702"/>
    <cellStyle name="差_2010-01POSDATA_原価率201003_物流_開発商品(chen)_副本41期事業計画商品部（備品） (2) (2) 4" xfId="2741"/>
    <cellStyle name="差_2010-01POSDATA_原価率201003_物流_開発商品(chen)_副本41期事業計画商品部（備品） (2) (2) 5" xfId="50703"/>
    <cellStyle name="差_2010-01POSDATA_原価率201003_新メニュー実績" xfId="2742"/>
    <cellStyle name="差_2010-01POSDATA_原価率201003_新メニュー実績 2" xfId="2743"/>
    <cellStyle name="差_2010-01POSDATA_原価率201003_新メニュー実績 3" xfId="50704"/>
    <cellStyle name="差_20111001菜单配置" xfId="2744"/>
    <cellStyle name="差_20111001菜单配置 2" xfId="50705"/>
    <cellStyle name="差_20111001菜单配置 3" xfId="50706"/>
    <cellStyle name="差_2011餐具盘点" xfId="2745"/>
    <cellStyle name="差_2011餐具盘点 2" xfId="2746"/>
    <cellStyle name="差_2011餐具盘点 2 2" xfId="50707"/>
    <cellStyle name="差_2011餐具盘点 2 3" xfId="50708"/>
    <cellStyle name="差_2011餐具盘点 3" xfId="2747"/>
    <cellStyle name="差_2011餐具盘点 3 2" xfId="50709"/>
    <cellStyle name="差_2011餐具盘点 3 3" xfId="50710"/>
    <cellStyle name="差_2011餐具盘点 4" xfId="50711"/>
    <cellStyle name="差_2011餐具盘点 5" xfId="50712"/>
    <cellStyle name="差_2011餐具盘点_201205同業他社比較（商品構成G）" xfId="2748"/>
    <cellStyle name="差_2011餐具盘点_201205同業他社比較（商品構成G） 2" xfId="50713"/>
    <cellStyle name="差_2011餐具盘点_201205同業他社比較（商品構成G） 3" xfId="50714"/>
    <cellStyle name="差_2011餐具盘点_40期事業計画（商品部）  (3)" xfId="2749"/>
    <cellStyle name="差_2011餐具盘点_40期事業計画（商品部）  (3) 2" xfId="50715"/>
    <cellStyle name="差_2011餐具盘点_40期事業計画（商品部）  (3) 3" xfId="50716"/>
    <cellStyle name="差_2011餐具盘点_40期事業計画（商品部1）" xfId="2750"/>
    <cellStyle name="差_2011餐具盘点_40期事業計画（商品部1） 2" xfId="2751"/>
    <cellStyle name="差_2011餐具盘点_40期事業計画（商品部1） 2 2" xfId="50717"/>
    <cellStyle name="差_2011餐具盘点_40期事業計画（商品部1） 2 3" xfId="50718"/>
    <cellStyle name="差_2011餐具盘点_40期事業計画（商品部1） 3" xfId="2752"/>
    <cellStyle name="差_2011餐具盘点_40期事業計画（商品部1） 3 2" xfId="50719"/>
    <cellStyle name="差_2011餐具盘点_40期事業計画（商品部1） 3 3" xfId="50720"/>
    <cellStyle name="差_2011餐具盘点_40期事業計画（商品部1） 4" xfId="50721"/>
    <cellStyle name="差_2011餐具盘点_40期事業計画（商品部1） 5" xfId="50722"/>
    <cellStyle name="差_2011餐具盘点_40期預実（商品部） (3)" xfId="2753"/>
    <cellStyle name="差_2011餐具盘点_40期預実（商品部） (3) 2" xfId="2754"/>
    <cellStyle name="差_2011餐具盘点_40期預実（商品部） (3) 2 2" xfId="50723"/>
    <cellStyle name="差_2011餐具盘点_40期預実（商品部） (3) 2 3" xfId="50724"/>
    <cellStyle name="差_2011餐具盘点_40期預実（商品部） (3) 3" xfId="2755"/>
    <cellStyle name="差_2011餐具盘点_40期預実（商品部） (3) 3 2" xfId="50725"/>
    <cellStyle name="差_2011餐具盘点_40期預実（商品部） (3) 3 3" xfId="50726"/>
    <cellStyle name="差_2011餐具盘点_40期預実（商品部） (3) 4" xfId="50727"/>
    <cellStyle name="差_2011餐具盘点_40期預実（商品部） (3) 5" xfId="50728"/>
    <cellStyle name="差_2011餐具盘点_40期預実（商品部） (3)_201205同業他社比較（商品構成G）" xfId="2756"/>
    <cellStyle name="差_2011餐具盘点_40期預実（商品部） (3)_201205同業他社比較（商品構成G） 2" xfId="50729"/>
    <cellStyle name="差_2011餐具盘点_40期預実（商品部） (3)_201205同業他社比較（商品構成G） 3" xfId="50730"/>
    <cellStyle name="差_2011餐具盘点_40期預実（商品部） (3)_副本新メニュー観察(上海) 201204 花島添削 (5)" xfId="2757"/>
    <cellStyle name="差_2011餐具盘点_40期預実（商品部） (3)_副本新メニュー観察(上海) 201204 花島添削 (5) 2" xfId="50731"/>
    <cellStyle name="差_2011餐具盘点_40期預実（商品部） (3)_副本新メニュー観察(上海) 201204 花島添削 (5) 3" xfId="50732"/>
    <cellStyle name="差_2011餐具盘点_40期預実（商品部） (3)_新メニュー観察(上海) 201204 花島添削 (2) (5)" xfId="2758"/>
    <cellStyle name="差_2011餐具盘点_40期預実（商品部） (3)_新メニュー観察(上海) 201204 花島添削 (2) (5) 2" xfId="50733"/>
    <cellStyle name="差_2011餐具盘点_40期預実（商品部） (3)_新メニュー観察(上海) 201204 花島添削 (2) (5) 3" xfId="50734"/>
    <cellStyle name="差_2011餐具盘点_40期預実（商品部） (3)_週新品観察." xfId="2759"/>
    <cellStyle name="差_2011餐具盘点_40期預実（商品部） (3)_週新品観察. 2" xfId="50735"/>
    <cellStyle name="差_2011餐具盘点_40期預実（商品部） (3)_週新品観察. 3" xfId="50736"/>
    <cellStyle name="差_2011餐具盘点_41期事業計画(商品部)" xfId="2760"/>
    <cellStyle name="差_2011餐具盘点_41期事業計画(商品部) 2" xfId="2761"/>
    <cellStyle name="差_2011餐具盘点_41期事業計画(商品部) 2 2" xfId="50737"/>
    <cellStyle name="差_2011餐具盘点_41期事業計画(商品部) 2 3" xfId="50738"/>
    <cellStyle name="差_2011餐具盘点_41期事業計画(商品部) 3" xfId="2762"/>
    <cellStyle name="差_2011餐具盘点_41期事業計画(商品部) 3 2" xfId="50739"/>
    <cellStyle name="差_2011餐具盘点_41期事業計画(商品部) 3 3" xfId="50740"/>
    <cellStyle name="差_2011餐具盘点_41期事業計画(商品部) 4" xfId="50741"/>
    <cellStyle name="差_2011餐具盘点_41期事業計画(商品部) 5" xfId="50742"/>
    <cellStyle name="差_2011餐具盘点_Book8 (4)" xfId="2763"/>
    <cellStyle name="差_2011餐具盘点_Book8 (4) 2" xfId="2764"/>
    <cellStyle name="差_2011餐具盘点_Book8 (4) 2 2" xfId="50743"/>
    <cellStyle name="差_2011餐具盘点_Book8 (4) 2 3" xfId="50744"/>
    <cellStyle name="差_2011餐具盘点_Book8 (4) 3" xfId="2765"/>
    <cellStyle name="差_2011餐具盘点_Book8 (4) 3 2" xfId="50745"/>
    <cellStyle name="差_2011餐具盘点_Book8 (4) 3 3" xfId="50746"/>
    <cellStyle name="差_2011餐具盘点_Book8 (4) 4" xfId="50747"/>
    <cellStyle name="差_2011餐具盘点_Book8 (4) 5" xfId="50748"/>
    <cellStyle name="差_2011餐具盘点_Book8 (4)_201205同業他社比較（商品構成G）" xfId="2766"/>
    <cellStyle name="差_2011餐具盘点_Book8 (4)_201205同業他社比較（商品構成G） 2" xfId="50749"/>
    <cellStyle name="差_2011餐具盘点_Book8 (4)_201205同業他社比較（商品構成G） 3" xfId="50750"/>
    <cellStyle name="差_2011餐具盘点_Book8 (4)_副本新メニュー観察(上海) 201204 花島添削 (5)" xfId="2767"/>
    <cellStyle name="差_2011餐具盘点_Book8 (4)_副本新メニュー観察(上海) 201204 花島添削 (5) 2" xfId="50751"/>
    <cellStyle name="差_2011餐具盘点_Book8 (4)_副本新メニュー観察(上海) 201204 花島添削 (5) 3" xfId="50752"/>
    <cellStyle name="差_2011餐具盘点_Book8 (4)_新メニュー観察(上海) 201204 花島添削 (2) (5)" xfId="2768"/>
    <cellStyle name="差_2011餐具盘点_Book8 (4)_新メニュー観察(上海) 201204 花島添削 (2) (5) 2" xfId="50753"/>
    <cellStyle name="差_2011餐具盘点_Book8 (4)_新メニュー観察(上海) 201204 花島添削 (2) (5) 3" xfId="50754"/>
    <cellStyle name="差_2011餐具盘点_Book8 (4)_週新品観察." xfId="2769"/>
    <cellStyle name="差_2011餐具盘点_Book8 (4)_週新品観察. 2" xfId="50755"/>
    <cellStyle name="差_2011餐具盘点_Book8 (4)_週新品観察. 3" xfId="50756"/>
    <cellStyle name="差_2011餐具盘点_CPI" xfId="2770"/>
    <cellStyle name="差_2011餐具盘点_CPI 2" xfId="2771"/>
    <cellStyle name="差_2011餐具盘点_CPI 2 2" xfId="50757"/>
    <cellStyle name="差_2011餐具盘点_CPI 2 3" xfId="50758"/>
    <cellStyle name="差_2011餐具盘点_CPI 3" xfId="2772"/>
    <cellStyle name="差_2011餐具盘点_CPI 3 2" xfId="50759"/>
    <cellStyle name="差_2011餐具盘点_CPI 3 3" xfId="50760"/>
    <cellStyle name="差_2011餐具盘点_CPI 4" xfId="50761"/>
    <cellStyle name="差_2011餐具盘点_CPI 5" xfId="50762"/>
    <cellStyle name="差_2011餐具盘点_CPI(1)" xfId="2773"/>
    <cellStyle name="差_2011餐具盘点_CPI(1) 2" xfId="50763"/>
    <cellStyle name="差_2011餐具盘点_CPI(1) 3" xfId="50764"/>
    <cellStyle name="差_2011餐具盘点_副本40期預実（商品部） (3)" xfId="2774"/>
    <cellStyle name="差_2011餐具盘点_副本40期預実（商品部） (3) 2" xfId="2775"/>
    <cellStyle name="差_2011餐具盘点_副本40期預実（商品部） (3) 2 2" xfId="50765"/>
    <cellStyle name="差_2011餐具盘点_副本40期預実（商品部） (3) 2 3" xfId="50766"/>
    <cellStyle name="差_2011餐具盘点_副本40期預実（商品部） (3) 3" xfId="2776"/>
    <cellStyle name="差_2011餐具盘点_副本40期預実（商品部） (3) 3 2" xfId="50767"/>
    <cellStyle name="差_2011餐具盘点_副本40期預実（商品部） (3) 3 3" xfId="50768"/>
    <cellStyle name="差_2011餐具盘点_副本40期預実（商品部） (3) 4" xfId="50769"/>
    <cellStyle name="差_2011餐具盘点_副本40期預実（商品部） (3) 5" xfId="50770"/>
    <cellStyle name="差_2011餐具盘点_副本40期預実（商品部） (3)_201205同業他社比較（商品構成G）" xfId="2777"/>
    <cellStyle name="差_2011餐具盘点_副本40期預実（商品部） (3)_201205同業他社比較（商品構成G） 2" xfId="50771"/>
    <cellStyle name="差_2011餐具盘点_副本40期預実（商品部） (3)_201205同業他社比較（商品構成G） 3" xfId="50772"/>
    <cellStyle name="差_2011餐具盘点_副本40期預実（商品部） (3)_副本新メニュー観察(上海) 201204 花島添削 (5)" xfId="2778"/>
    <cellStyle name="差_2011餐具盘点_副本40期預実（商品部） (3)_副本新メニュー観察(上海) 201204 花島添削 (5) 2" xfId="50773"/>
    <cellStyle name="差_2011餐具盘点_副本40期預実（商品部） (3)_副本新メニュー観察(上海) 201204 花島添削 (5) 3" xfId="50774"/>
    <cellStyle name="差_2011餐具盘点_副本40期預実（商品部） (3)_新メニュー観察(上海) 201204 花島添削 (2) (5)" xfId="2779"/>
    <cellStyle name="差_2011餐具盘点_副本40期預実（商品部） (3)_新メニュー観察(上海) 201204 花島添削 (2) (5) 2" xfId="50775"/>
    <cellStyle name="差_2011餐具盘点_副本40期預実（商品部） (3)_新メニュー観察(上海) 201204 花島添削 (2) (5) 3" xfId="50776"/>
    <cellStyle name="差_2011餐具盘点_副本40期預実（商品部） (3)_週新品観察." xfId="2780"/>
    <cellStyle name="差_2011餐具盘点_副本40期預実（商品部） (3)_週新品観察. 2" xfId="50777"/>
    <cellStyle name="差_2011餐具盘点_副本40期預実（商品部） (3)_週新品観察. 3" xfId="50778"/>
    <cellStyle name="差_2011餐具盘点_副本41期事業計画商品部（備品） (2) (2)" xfId="2781"/>
    <cellStyle name="差_2011餐具盘点_副本41期事業計画商品部（備品） (2) (2) 2" xfId="2782"/>
    <cellStyle name="差_2011餐具盘点_副本41期事業計画商品部（備品） (2) (2) 2 2" xfId="50779"/>
    <cellStyle name="差_2011餐具盘点_副本41期事業計画商品部（備品） (2) (2) 2 3" xfId="50780"/>
    <cellStyle name="差_2011餐具盘点_副本41期事業計画商品部（備品） (2) (2) 3" xfId="2783"/>
    <cellStyle name="差_2011餐具盘点_副本41期事業計画商品部（備品） (2) (2) 3 2" xfId="50781"/>
    <cellStyle name="差_2011餐具盘点_副本41期事業計画商品部（備品） (2) (2) 3 3" xfId="50782"/>
    <cellStyle name="差_2011餐具盘点_副本41期事業計画商品部（備品） (2) (2) 4" xfId="50783"/>
    <cellStyle name="差_2011餐具盘点_副本41期事業計画商品部（備品） (2) (2) 5" xfId="50784"/>
    <cellStyle name="差_2011餐具盘点_副本新メニュー観察(上海) 201204 花島添削 (5)" xfId="2784"/>
    <cellStyle name="差_2011餐具盘点_副本新メニュー観察(上海) 201204 花島添削 (5) 2" xfId="50785"/>
    <cellStyle name="差_2011餐具盘点_副本新メニュー観察(上海) 201204 花島添削 (5) 3" xfId="50786"/>
    <cellStyle name="差_2011餐具盘点_改进" xfId="2785"/>
    <cellStyle name="差_2011餐具盘点_改进 2" xfId="2786"/>
    <cellStyle name="差_2011餐具盘点_改进 2 2" xfId="50787"/>
    <cellStyle name="差_2011餐具盘点_改进 2 3" xfId="50788"/>
    <cellStyle name="差_2011餐具盘点_改进 3" xfId="2787"/>
    <cellStyle name="差_2011餐具盘点_改进 3 2" xfId="50789"/>
    <cellStyle name="差_2011餐具盘点_改进 3 3" xfId="50790"/>
    <cellStyle name="差_2011餐具盘点_改进 4" xfId="50791"/>
    <cellStyle name="差_2011餐具盘点_改进 5" xfId="50792"/>
    <cellStyle name="差_2011餐具盘点_改进_201205同業他社比較（商品構成G）" xfId="2788"/>
    <cellStyle name="差_2011餐具盘点_改进_201205同業他社比較（商品構成G） 2" xfId="50793"/>
    <cellStyle name="差_2011餐具盘点_改进_201205同業他社比較（商品構成G） 3" xfId="50794"/>
    <cellStyle name="差_2011餐具盘点_改进_副本新メニュー観察(上海) 201204 花島添削 (5)" xfId="2789"/>
    <cellStyle name="差_2011餐具盘点_改进_副本新メニュー観察(上海) 201204 花島添削 (5) 2" xfId="50795"/>
    <cellStyle name="差_2011餐具盘点_改进_副本新メニュー観察(上海) 201204 花島添削 (5) 3" xfId="50796"/>
    <cellStyle name="差_2011餐具盘点_改进_新メニュー観察(上海) 201204 花島添削 (2) (5)" xfId="2790"/>
    <cellStyle name="差_2011餐具盘点_改进_新メニュー観察(上海) 201204 花島添削 (2) (5) 2" xfId="50797"/>
    <cellStyle name="差_2011餐具盘点_改进_新メニュー観察(上海) 201204 花島添削 (2) (5) 3" xfId="50798"/>
    <cellStyle name="差_2011餐具盘点_改进_週新品観察." xfId="2791"/>
    <cellStyle name="差_2011餐具盘点_改进_週新品観察. 2" xfId="50799"/>
    <cellStyle name="差_2011餐具盘点_改进_週新品観察. 3" xfId="50800"/>
    <cellStyle name="差_2011餐具盘点_新メニュー観察(上海) 201204 花島添削 (2) (5)" xfId="2792"/>
    <cellStyle name="差_2011餐具盘点_新メニュー観察(上海) 201204 花島添削 (2) (5) 2" xfId="50801"/>
    <cellStyle name="差_2011餐具盘点_新メニュー観察(上海) 201204 花島添削 (2) (5) 3" xfId="50802"/>
    <cellStyle name="差_2011餐具盘点_週新品観察." xfId="2793"/>
    <cellStyle name="差_2011餐具盘点_週新品観察. 2" xfId="50803"/>
    <cellStyle name="差_2011餐具盘点_週新品観察. 3" xfId="50804"/>
    <cellStyle name="差_201204メニュー変更草案." xfId="2794"/>
    <cellStyle name="差_201204メニュー変更草案. 2" xfId="2795"/>
    <cellStyle name="差_201205同業他社比較（商品構成G）" xfId="2796"/>
    <cellStyle name="差_201205同業他社比較（商品構成G） 2" xfId="50805"/>
    <cellStyle name="差_201205同業他社比較（商品構成G） 3" xfId="50806"/>
    <cellStyle name="差_201205同業他社比較（商品構成G）_副本新メニュー観察(上海) 201204 花島添削 (5)" xfId="2797"/>
    <cellStyle name="差_201205同業他社比較（商品構成G）_副本新メニュー観察(上海) 201204 花島添削 (5) 2" xfId="50807"/>
    <cellStyle name="差_201205同業他社比較（商品構成G）_副本新メニュー観察(上海) 201204 花島添削 (5) 3" xfId="50808"/>
    <cellStyle name="差_201205同業他社比較（商品構成G）_新メニュー観察(上海) 201204 花島添削 (2) (5)" xfId="2798"/>
    <cellStyle name="差_201205同業他社比較（商品構成G）_新メニュー観察(上海) 201204 花島添削 (2) (5) 2" xfId="50809"/>
    <cellStyle name="差_201205同業他社比較（商品構成G）_新メニュー観察(上海) 201204 花島添削 (2) (5) 3" xfId="50810"/>
    <cellStyle name="差_2013年QSC評価給" xfId="50811"/>
    <cellStyle name="差_2013年QSC評価給 2" xfId="50812"/>
    <cellStyle name="差_2013年QSC評価給 3" xfId="50813"/>
    <cellStyle name="差_20141104萨莉亚丘比工厂考查事前资料 (1)" xfId="50814"/>
    <cellStyle name="差_2014年QSC評価給1" xfId="50815"/>
    <cellStyle name="差_2014年QSC評価給1 2" xfId="50816"/>
    <cellStyle name="差_2014年QSC評価給1 3" xfId="50817"/>
    <cellStyle name="差_23週目新品観察  (2)" xfId="2799"/>
    <cellStyle name="差_23週目新品観察  (2) 2" xfId="50818"/>
    <cellStyle name="差_23週目新品観察  (2) 3" xfId="50819"/>
    <cellStyle name="差_3" xfId="15"/>
    <cellStyle name="差_3月メンテナンス請求" xfId="50820"/>
    <cellStyle name="差_3月メンテナンス請求 2" xfId="50821"/>
    <cellStyle name="差_3月メンテナンス請求 3" xfId="50822"/>
    <cellStyle name="差_3月メンテナンス請求 4" xfId="50823"/>
    <cellStyle name="差_3月メンテナンス請求 5" xfId="50824"/>
    <cellStyle name="差_4" xfId="16"/>
    <cellStyle name="差_40期事業計画（商品部）  (3)" xfId="2800"/>
    <cellStyle name="差_40期事業計画（商品部）  (3) 2" xfId="50825"/>
    <cellStyle name="差_40期事業計画（商品部）  (3) 3" xfId="50826"/>
    <cellStyle name="差_40期預実（商品部） (3)" xfId="2801"/>
    <cellStyle name="差_40期預実（商品部） (3) 2" xfId="2802"/>
    <cellStyle name="差_40期預実（商品部） (3) 2 2" xfId="50827"/>
    <cellStyle name="差_40期預実（商品部） (3) 2 3" xfId="50828"/>
    <cellStyle name="差_40期預実（商品部） (3) 3" xfId="2803"/>
    <cellStyle name="差_40期預実（商品部） (3) 3 2" xfId="50829"/>
    <cellStyle name="差_40期預実（商品部） (3) 3 3" xfId="50830"/>
    <cellStyle name="差_40期預実（商品部） (3) 4" xfId="50831"/>
    <cellStyle name="差_40期預実（商品部） (3) 5" xfId="50832"/>
    <cellStyle name="差_40期預実（商品部） (3)_201205同業他社比較（商品構成G）" xfId="2804"/>
    <cellStyle name="差_40期預実（商品部） (3)_201205同業他社比較（商品構成G） 2" xfId="50833"/>
    <cellStyle name="差_40期預実（商品部） (3)_201205同業他社比較（商品構成G） 3" xfId="50834"/>
    <cellStyle name="差_40期預実（商品部） (3)_副本新メニュー観察(上海) 201204 花島添削 (5)" xfId="2805"/>
    <cellStyle name="差_40期預実（商品部） (3)_副本新メニュー観察(上海) 201204 花島添削 (5) 2" xfId="50835"/>
    <cellStyle name="差_40期預実（商品部） (3)_副本新メニュー観察(上海) 201204 花島添削 (5) 3" xfId="50836"/>
    <cellStyle name="差_40期預実（商品部） (3)_新メニュー観察(上海) 201204 花島添削 (2) (5)" xfId="2806"/>
    <cellStyle name="差_40期預実（商品部） (3)_新メニュー観察(上海) 201204 花島添削 (2) (5) 2" xfId="50837"/>
    <cellStyle name="差_40期預実（商品部） (3)_新メニュー観察(上海) 201204 花島添削 (2) (5) 3" xfId="50838"/>
    <cellStyle name="差_40期預実（商品部） (3)_週新品観察." xfId="2807"/>
    <cellStyle name="差_40期預実（商品部） (3)_週新品観察. 2" xfId="50839"/>
    <cellStyle name="差_40期預実（商品部） (3)_週新品観察. 3" xfId="50840"/>
    <cellStyle name="差_41期事業計画(商品部)" xfId="2808"/>
    <cellStyle name="差_41期事業計画(商品部) 2" xfId="2809"/>
    <cellStyle name="差_41期事業計画(商品部) 2 2" xfId="50841"/>
    <cellStyle name="差_41期事業計画(商品部) 2 3" xfId="50842"/>
    <cellStyle name="差_41期事業計画(商品部) 3" xfId="2810"/>
    <cellStyle name="差_41期事業計画(商品部) 3 2" xfId="50843"/>
    <cellStyle name="差_41期事業計画(商品部) 3 3" xfId="50844"/>
    <cellStyle name="差_41期事業計画(商品部) 4" xfId="50845"/>
    <cellStyle name="差_41期事業計画(商品部) 5" xfId="50846"/>
    <cellStyle name="差_41期事業計画商品部（備品） (2)" xfId="2811"/>
    <cellStyle name="差_41期事業計画商品部（備品） (2) 2" xfId="2812"/>
    <cellStyle name="差_41期事業計画商品部（備品） (2) 2 2" xfId="50847"/>
    <cellStyle name="差_41期事業計画商品部（備品） (2) 2 3" xfId="50848"/>
    <cellStyle name="差_41期事業計画商品部（備品） (2) 3" xfId="2813"/>
    <cellStyle name="差_41期事業計画商品部（備品） (2) 3 2" xfId="50849"/>
    <cellStyle name="差_41期事業計画商品部（備品） (2) 3 3" xfId="50850"/>
    <cellStyle name="差_41期事業計画商品部（備品） (2) 4" xfId="50851"/>
    <cellStyle name="差_41期事業計画商品部（備品） (2) 5" xfId="50852"/>
    <cellStyle name="差_5" xfId="17"/>
    <cellStyle name="差_5月メンテナンス請求書(0614更新）" xfId="50853"/>
    <cellStyle name="差_5月メンテナンス請求書(0614更新） 2" xfId="50854"/>
    <cellStyle name="差_5月メンテナンス請求書(0614更新） 3" xfId="50855"/>
    <cellStyle name="差_5月メンテナンス請求書(0614更新） 4" xfId="50856"/>
    <cellStyle name="差_5月メンテナンス請求書(0614更新） 5" xfId="50857"/>
    <cellStyle name="差_6" xfId="18"/>
    <cellStyle name="差_6月メンテナンス請求書" xfId="50858"/>
    <cellStyle name="差_6月メンテナンス請求書 2" xfId="50859"/>
    <cellStyle name="差_6月メンテナンス請求書 3" xfId="50860"/>
    <cellStyle name="差_6月メンテナンス請求書 4" xfId="50861"/>
    <cellStyle name="差_6月メンテナンス請求書 5" xfId="50862"/>
    <cellStyle name="差_7" xfId="19"/>
    <cellStyle name="差_8" xfId="20"/>
    <cellStyle name="差_9" xfId="21"/>
    <cellStyle name="差_9月棚卸" xfId="2814"/>
    <cellStyle name="差_9月棚卸 2" xfId="2815"/>
    <cellStyle name="差_9月棚卸 2 2" xfId="50863"/>
    <cellStyle name="差_9月棚卸 2 3" xfId="50864"/>
    <cellStyle name="差_9月棚卸 3" xfId="2816"/>
    <cellStyle name="差_9月棚卸 3 2" xfId="50865"/>
    <cellStyle name="差_9月棚卸 3 3" xfId="50866"/>
    <cellStyle name="差_9月棚卸 4" xfId="50867"/>
    <cellStyle name="差_9月棚卸 5" xfId="50868"/>
    <cellStyle name="差_9月棚卸 6" xfId="50869"/>
    <cellStyle name="差_9月棚卸 7" xfId="60968"/>
    <cellStyle name="差_9月棚卸_40期事業計画（商品部）  (3)" xfId="2817"/>
    <cellStyle name="差_9月棚卸_40期事業計画（商品部）  (3) 2" xfId="50870"/>
    <cellStyle name="差_9月棚卸_40期事業計画（商品部）  (3) 3" xfId="50871"/>
    <cellStyle name="差_9月棚卸_40期事業計画（商品部1）" xfId="2818"/>
    <cellStyle name="差_9月棚卸_40期事業計画（商品部1） 2" xfId="2819"/>
    <cellStyle name="差_9月棚卸_40期事業計画（商品部1） 2 2" xfId="50872"/>
    <cellStyle name="差_9月棚卸_40期事業計画（商品部1） 2 3" xfId="50873"/>
    <cellStyle name="差_9月棚卸_40期事業計画（商品部1） 3" xfId="2820"/>
    <cellStyle name="差_9月棚卸_40期事業計画（商品部1） 3 2" xfId="50874"/>
    <cellStyle name="差_9月棚卸_40期事業計画（商品部1） 3 3" xfId="50875"/>
    <cellStyle name="差_9月棚卸_40期事業計画（商品部1） 4" xfId="50876"/>
    <cellStyle name="差_9月棚卸_40期事業計画（商品部1） 5" xfId="50877"/>
    <cellStyle name="差_9月棚卸_41期事業計画(商品部)" xfId="2821"/>
    <cellStyle name="差_9月棚卸_41期事業計画(商品部) 2" xfId="2822"/>
    <cellStyle name="差_9月棚卸_41期事業計画(商品部) 2 2" xfId="50878"/>
    <cellStyle name="差_9月棚卸_41期事業計画(商品部) 2 3" xfId="50879"/>
    <cellStyle name="差_9月棚卸_41期事業計画(商品部) 3" xfId="2823"/>
    <cellStyle name="差_9月棚卸_41期事業計画(商品部) 3 2" xfId="50880"/>
    <cellStyle name="差_9月棚卸_41期事業計画(商品部) 3 3" xfId="50881"/>
    <cellStyle name="差_9月棚卸_41期事業計画(商品部) 4" xfId="50882"/>
    <cellStyle name="差_9月棚卸_41期事業計画(商品部) 5" xfId="50883"/>
    <cellStyle name="差_9月棚卸_CPI" xfId="2824"/>
    <cellStyle name="差_9月棚卸_CPI 2" xfId="2825"/>
    <cellStyle name="差_9月棚卸_CPI 2 2" xfId="50884"/>
    <cellStyle name="差_9月棚卸_CPI 2 3" xfId="50885"/>
    <cellStyle name="差_9月棚卸_CPI 3" xfId="2826"/>
    <cellStyle name="差_9月棚卸_CPI 3 2" xfId="50886"/>
    <cellStyle name="差_9月棚卸_CPI 3 3" xfId="50887"/>
    <cellStyle name="差_9月棚卸_CPI 4" xfId="50888"/>
    <cellStyle name="差_9月棚卸_CPI 5" xfId="50889"/>
    <cellStyle name="差_9月棚卸_CPI(1)" xfId="2827"/>
    <cellStyle name="差_9月棚卸_CPI(1) 2" xfId="50890"/>
    <cellStyle name="差_9月棚卸_CPI(1) 3" xfId="50891"/>
    <cellStyle name="差_9月棚卸_店舗マスター(20110921) 李 総経理.xls" xfId="7126"/>
    <cellStyle name="差_9月棚卸_店舗マスター(20110921) 李 総経理.xls 2" xfId="50892"/>
    <cellStyle name="差_9月棚卸_店舗マスター20091104" xfId="7127"/>
    <cellStyle name="差_9月棚卸_店舗マスター20091104 2" xfId="50893"/>
    <cellStyle name="差_9月棚卸_副本41期事業計画商品部（備品） (2) (2)" xfId="2828"/>
    <cellStyle name="差_9月棚卸_副本41期事業計画商品部（備品） (2) (2) 2" xfId="2829"/>
    <cellStyle name="差_9月棚卸_副本41期事業計画商品部（備品） (2) (2) 2 2" xfId="50894"/>
    <cellStyle name="差_9月棚卸_副本41期事業計画商品部（備品） (2) (2) 2 3" xfId="50895"/>
    <cellStyle name="差_9月棚卸_副本41期事業計画商品部（備品） (2) (2) 3" xfId="2830"/>
    <cellStyle name="差_9月棚卸_副本41期事業計画商品部（備品） (2) (2) 3 2" xfId="50896"/>
    <cellStyle name="差_9月棚卸_副本41期事業計画商品部（備品） (2) (2) 3 3" xfId="50897"/>
    <cellStyle name="差_9月棚卸_副本41期事業計画商品部（備品） (2) (2) 4" xfId="50898"/>
    <cellStyle name="差_9月棚卸_副本41期事業計画商品部（備品） (2) (2) 5" xfId="50899"/>
    <cellStyle name="差_9月棚卸_進捗管理40期（営業部）" xfId="7131"/>
    <cellStyle name="差_9月棚卸_進捗管理40期（営業部） 2" xfId="7132"/>
    <cellStyle name="差_9月棚卸_進捗管理40期（営業部） 2 2" xfId="50900"/>
    <cellStyle name="差_9月棚卸_進捗管理40期（営業部） 3" xfId="50901"/>
    <cellStyle name="差_CPI" xfId="2831"/>
    <cellStyle name="差_CPI 2" xfId="2832"/>
    <cellStyle name="差_CPI 2 2" xfId="50902"/>
    <cellStyle name="差_CPI 2 3" xfId="50903"/>
    <cellStyle name="差_CPI 3" xfId="2833"/>
    <cellStyle name="差_CPI 3 2" xfId="50904"/>
    <cellStyle name="差_CPI 3 3" xfId="50905"/>
    <cellStyle name="差_CPI 4" xfId="50906"/>
    <cellStyle name="差_CPI 5" xfId="50907"/>
    <cellStyle name="差_CPI(1)" xfId="2834"/>
    <cellStyle name="差_CPI(1) 2" xfId="50908"/>
    <cellStyle name="差_CPI(1) 3" xfId="50909"/>
    <cellStyle name="差_GuangZhou)厨房维修-石牌东路店" xfId="50910"/>
    <cellStyle name="差_GuangZhou)厨房维修-石牌东路店 2" xfId="50911"/>
    <cellStyle name="差_GuangZhou)厨房维修-石牌东路店 3" xfId="50912"/>
    <cellStyle name="差_GuangZhou)厨房维修-石牌东路店 4" xfId="50913"/>
    <cellStyle name="差_GuangZhou)厨房维修-石牌东路店 5" xfId="50914"/>
    <cellStyle name="差_LED景观灯安装报价-20130226" xfId="50915"/>
    <cellStyle name="差_LED景观灯安装报价-20130226 2" xfId="50916"/>
    <cellStyle name="差_LED景观灯安装报价-20130226 3" xfId="50917"/>
    <cellStyle name="差_LED景观灯安装报价-20130226 4" xfId="50918"/>
    <cellStyle name="差_LED景观灯安装报价-20130226 5" xfId="50919"/>
    <cellStyle name="差_LED景观灯洗墙灯安装报价-20130226" xfId="50920"/>
    <cellStyle name="差_LED景观灯洗墙灯安装报价-20130226 2" xfId="50921"/>
    <cellStyle name="差_LED景观灯洗墙灯安装报价-20130226 3" xfId="50922"/>
    <cellStyle name="差_LED景观灯洗墙灯安装报价-20130226 4" xfId="50923"/>
    <cellStyle name="差_LED景观灯洗墙灯安装报价-20130226 5" xfId="50924"/>
    <cellStyle name="差_WEEKLY報告(北京）2008.10" xfId="2835"/>
    <cellStyle name="差_WEEKLY報告(北京）2008.10 2" xfId="2836"/>
    <cellStyle name="差_WEEKLY報告(北京）2008.10 2 2" xfId="50925"/>
    <cellStyle name="差_WEEKLY報告(北京）2008.10 2 3" xfId="50926"/>
    <cellStyle name="差_WEEKLY報告(北京）2008.10 3" xfId="2837"/>
    <cellStyle name="差_WEEKLY報告(北京）2008.10 3 2" xfId="50927"/>
    <cellStyle name="差_WEEKLY報告(北京）2008.10 3 3" xfId="50928"/>
    <cellStyle name="差_WEEKLY報告(北京）2008.10 4" xfId="50929"/>
    <cellStyle name="差_WEEKLY報告(北京）2008.10 5" xfId="50930"/>
    <cellStyle name="差_WEEKLY報告(北京）2008.10 6" xfId="50931"/>
    <cellStyle name="差_WEEKLY報告(北京）2008.10 7" xfId="60969"/>
    <cellStyle name="差_WEEKLY報告(北京）2008.10_40期事業計画（商品部）  (3)" xfId="2838"/>
    <cellStyle name="差_WEEKLY報告(北京）2008.10_40期事業計画（商品部）  (3) 2" xfId="50932"/>
    <cellStyle name="差_WEEKLY報告(北京）2008.10_40期事業計画（商品部）  (3) 3" xfId="50933"/>
    <cellStyle name="差_WEEKLY報告(北京）2008.10_40期事業計画（商品部1）" xfId="2839"/>
    <cellStyle name="差_WEEKLY報告(北京）2008.10_40期事業計画（商品部1） 2" xfId="2840"/>
    <cellStyle name="差_WEEKLY報告(北京）2008.10_40期事業計画（商品部1） 2 2" xfId="50934"/>
    <cellStyle name="差_WEEKLY報告(北京）2008.10_40期事業計画（商品部1） 2 3" xfId="50935"/>
    <cellStyle name="差_WEEKLY報告(北京）2008.10_40期事業計画（商品部1） 3" xfId="2841"/>
    <cellStyle name="差_WEEKLY報告(北京）2008.10_40期事業計画（商品部1） 3 2" xfId="50936"/>
    <cellStyle name="差_WEEKLY報告(北京）2008.10_40期事業計画（商品部1） 3 3" xfId="50937"/>
    <cellStyle name="差_WEEKLY報告(北京）2008.10_40期事業計画（商品部1） 4" xfId="50938"/>
    <cellStyle name="差_WEEKLY報告(北京）2008.10_40期事業計画（商品部1） 5" xfId="50939"/>
    <cellStyle name="差_WEEKLY報告(北京）2008.10_41期事業計画(商品部)" xfId="2842"/>
    <cellStyle name="差_WEEKLY報告(北京）2008.10_41期事業計画(商品部) 2" xfId="2843"/>
    <cellStyle name="差_WEEKLY報告(北京）2008.10_41期事業計画(商品部) 2 2" xfId="50940"/>
    <cellStyle name="差_WEEKLY報告(北京）2008.10_41期事業計画(商品部) 2 3" xfId="50941"/>
    <cellStyle name="差_WEEKLY報告(北京）2008.10_41期事業計画(商品部) 3" xfId="2844"/>
    <cellStyle name="差_WEEKLY報告(北京）2008.10_41期事業計画(商品部) 3 2" xfId="50942"/>
    <cellStyle name="差_WEEKLY報告(北京）2008.10_41期事業計画(商品部) 3 3" xfId="50943"/>
    <cellStyle name="差_WEEKLY報告(北京）2008.10_41期事業計画(商品部) 4" xfId="50944"/>
    <cellStyle name="差_WEEKLY報告(北京）2008.10_41期事業計画(商品部) 5" xfId="50945"/>
    <cellStyle name="差_WEEKLY報告(北京）2008.10_CPI" xfId="2845"/>
    <cellStyle name="差_WEEKLY報告(北京）2008.10_CPI 2" xfId="2846"/>
    <cellStyle name="差_WEEKLY報告(北京）2008.10_CPI 2 2" xfId="50946"/>
    <cellStyle name="差_WEEKLY報告(北京）2008.10_CPI 2 3" xfId="50947"/>
    <cellStyle name="差_WEEKLY報告(北京）2008.10_CPI 3" xfId="2847"/>
    <cellStyle name="差_WEEKLY報告(北京）2008.10_CPI 3 2" xfId="50948"/>
    <cellStyle name="差_WEEKLY報告(北京）2008.10_CPI 3 3" xfId="50949"/>
    <cellStyle name="差_WEEKLY報告(北京）2008.10_CPI 4" xfId="50950"/>
    <cellStyle name="差_WEEKLY報告(北京）2008.10_CPI 5" xfId="50951"/>
    <cellStyle name="差_WEEKLY報告(北京）2008.10_CPI(1)" xfId="2848"/>
    <cellStyle name="差_WEEKLY報告(北京）2008.10_CPI(1) 2" xfId="50952"/>
    <cellStyle name="差_WEEKLY報告(北京）2008.10_CPI(1) 3" xfId="50953"/>
    <cellStyle name="差_WEEKLY報告(北京）2008.10_店舗マスター(20110921) 李 総経理.xls" xfId="7151"/>
    <cellStyle name="差_WEEKLY報告(北京）2008.10_店舗マスター(20110921) 李 総経理.xls 2" xfId="50954"/>
    <cellStyle name="差_WEEKLY報告(北京）2008.10_店舗マスター20091104" xfId="7152"/>
    <cellStyle name="差_WEEKLY報告(北京）2008.10_店舗マスター20091104 2" xfId="50955"/>
    <cellStyle name="差_WEEKLY報告(北京）2008.10_副本41期事業計画商品部（備品） (2) (2)" xfId="2849"/>
    <cellStyle name="差_WEEKLY報告(北京）2008.10_副本41期事業計画商品部（備品） (2) (2) 2" xfId="2850"/>
    <cellStyle name="差_WEEKLY報告(北京）2008.10_副本41期事業計画商品部（備品） (2) (2) 2 2" xfId="50956"/>
    <cellStyle name="差_WEEKLY報告(北京）2008.10_副本41期事業計画商品部（備品） (2) (2) 2 3" xfId="50957"/>
    <cellStyle name="差_WEEKLY報告(北京）2008.10_副本41期事業計画商品部（備品） (2) (2) 3" xfId="2851"/>
    <cellStyle name="差_WEEKLY報告(北京）2008.10_副本41期事業計画商品部（備品） (2) (2) 3 2" xfId="50958"/>
    <cellStyle name="差_WEEKLY報告(北京）2008.10_副本41期事業計画商品部（備品） (2) (2) 3 3" xfId="50959"/>
    <cellStyle name="差_WEEKLY報告(北京）2008.10_副本41期事業計画商品部（備品） (2) (2) 4" xfId="50960"/>
    <cellStyle name="差_WEEKLY報告(北京）2008.10_副本41期事業計画商品部（備品） (2) (2) 5" xfId="50961"/>
    <cellStyle name="差_WEEKLY報告(北京）2008.10_進捗管理40期（営業部）" xfId="7156"/>
    <cellStyle name="差_WEEKLY報告(北京）2008.10_進捗管理40期（営業部） 2" xfId="7157"/>
    <cellStyle name="差_WEEKLY報告(北京）2008.10_進捗管理40期（営業部） 2 2" xfId="50962"/>
    <cellStyle name="差_WEEKLY報告(北京）2008.10_進捗管理40期（営業部） 3" xfId="50963"/>
    <cellStyle name="差_WEEKLY報告（北京）20101" xfId="7158"/>
    <cellStyle name="差_WEEKLY報告（北京）20101 2" xfId="50964"/>
    <cellStyle name="差_WEEKLY報告（北京）20101_店舗マスター(20110921) 李 総経理.xls" xfId="7159"/>
    <cellStyle name="差_WEEKLY報告（北京）20101_店舗マスター(20110921) 李 総経理.xls 2" xfId="50965"/>
    <cellStyle name="差_WEEKLY報告書(GZ）20111" xfId="7160"/>
    <cellStyle name="差_WEEKLY報告書(GZ）20111 2" xfId="50966"/>
    <cellStyle name="差_Xl0000173" xfId="2852"/>
    <cellStyle name="差_Xl0000173 2" xfId="50967"/>
    <cellStyle name="差_Xl0000173 3" xfId="50968"/>
    <cellStyle name="差_Xl0000173_副本新メニュー観察(上海) 201204 花島添削 (5)" xfId="2853"/>
    <cellStyle name="差_Xl0000173_副本新メニュー観察(上海) 201204 花島添削 (5) 2" xfId="50969"/>
    <cellStyle name="差_Xl0000173_副本新メニュー観察(上海) 201204 花島添削 (5) 3" xfId="50970"/>
    <cellStyle name="差_Xl0000173_新メニュー観察(上海) 201204 花島添削 (2) (5)" xfId="2854"/>
    <cellStyle name="差_Xl0000173_新メニュー観察(上海) 201204 花島添削 (2) (5) 2" xfId="50971"/>
    <cellStyle name="差_Xl0000173_新メニュー観察(上海) 201204 花島添削 (2) (5) 3" xfId="50972"/>
    <cellStyle name="差_X展架广告制品报价20130128" xfId="50973"/>
    <cellStyle name="差_X展架广告制品报价20130128 2" xfId="50974"/>
    <cellStyle name="差_X展架广告制品报价20130128 3" xfId="50975"/>
    <cellStyle name="差_X展架广告制品报价20130128 4" xfId="50976"/>
    <cellStyle name="差_X展架广告制品报价20130128 5" xfId="50977"/>
    <cellStyle name="差_北京商品単価" xfId="2855"/>
    <cellStyle name="差_北京商品単価 2" xfId="2856"/>
    <cellStyle name="差_北京商品単価 2 2" xfId="50978"/>
    <cellStyle name="差_北京商品単価 2 3" xfId="50979"/>
    <cellStyle name="差_北京商品単価 3" xfId="2857"/>
    <cellStyle name="差_北京商品単価 3 2" xfId="50980"/>
    <cellStyle name="差_北京商品単価 3 3" xfId="50981"/>
    <cellStyle name="差_北京商品単価 4" xfId="50982"/>
    <cellStyle name="差_北京商品単価 5" xfId="50983"/>
    <cellStyle name="差_北京商品単価 6" xfId="50984"/>
    <cellStyle name="差_北京商品単価 7" xfId="60970"/>
    <cellStyle name="差_北京商品単価_40期事業計画（商品部）  (3)" xfId="2858"/>
    <cellStyle name="差_北京商品単価_40期事業計画（商品部）  (3) 2" xfId="50985"/>
    <cellStyle name="差_北京商品単価_40期事業計画（商品部）  (3) 3" xfId="50986"/>
    <cellStyle name="差_北京商品単価_40期事業計画（商品部1）" xfId="2859"/>
    <cellStyle name="差_北京商品単価_40期事業計画（商品部1） 2" xfId="2860"/>
    <cellStyle name="差_北京商品単価_40期事業計画（商品部1） 2 2" xfId="50987"/>
    <cellStyle name="差_北京商品単価_40期事業計画（商品部1） 2 3" xfId="50988"/>
    <cellStyle name="差_北京商品単価_40期事業計画（商品部1） 3" xfId="2861"/>
    <cellStyle name="差_北京商品単価_40期事業計画（商品部1） 3 2" xfId="50989"/>
    <cellStyle name="差_北京商品単価_40期事業計画（商品部1） 3 3" xfId="50990"/>
    <cellStyle name="差_北京商品単価_40期事業計画（商品部1） 4" xfId="50991"/>
    <cellStyle name="差_北京商品単価_40期事業計画（商品部1） 5" xfId="50992"/>
    <cellStyle name="差_北京商品単価_41期事業計画(商品部)" xfId="2862"/>
    <cellStyle name="差_北京商品単価_41期事業計画(商品部) 2" xfId="2863"/>
    <cellStyle name="差_北京商品単価_41期事業計画(商品部) 2 2" xfId="50993"/>
    <cellStyle name="差_北京商品単価_41期事業計画(商品部) 2 3" xfId="50994"/>
    <cellStyle name="差_北京商品単価_41期事業計画(商品部) 3" xfId="2864"/>
    <cellStyle name="差_北京商品単価_41期事業計画(商品部) 3 2" xfId="50995"/>
    <cellStyle name="差_北京商品単価_41期事業計画(商品部) 3 3" xfId="50996"/>
    <cellStyle name="差_北京商品単価_41期事業計画(商品部) 4" xfId="50997"/>
    <cellStyle name="差_北京商品単価_41期事業計画(商品部) 5" xfId="50998"/>
    <cellStyle name="差_北京商品単価_9月棚卸" xfId="2865"/>
    <cellStyle name="差_北京商品単価_9月棚卸 2" xfId="2866"/>
    <cellStyle name="差_北京商品単価_9月棚卸 2 2" xfId="50999"/>
    <cellStyle name="差_北京商品単価_9月棚卸 2 3" xfId="51000"/>
    <cellStyle name="差_北京商品単価_9月棚卸 3" xfId="2867"/>
    <cellStyle name="差_北京商品単価_9月棚卸 3 2" xfId="51001"/>
    <cellStyle name="差_北京商品単価_9月棚卸 3 3" xfId="51002"/>
    <cellStyle name="差_北京商品単価_9月棚卸 4" xfId="51003"/>
    <cellStyle name="差_北京商品単価_9月棚卸 5" xfId="51004"/>
    <cellStyle name="差_北京商品単価_9月棚卸 6" xfId="51005"/>
    <cellStyle name="差_北京商品単価_9月棚卸 7" xfId="60971"/>
    <cellStyle name="差_北京商品単価_9月棚卸_40期事業計画（商品部）  (3)" xfId="2868"/>
    <cellStyle name="差_北京商品単価_9月棚卸_40期事業計画（商品部）  (3) 2" xfId="51006"/>
    <cellStyle name="差_北京商品単価_9月棚卸_40期事業計画（商品部）  (3) 3" xfId="51007"/>
    <cellStyle name="差_北京商品単価_9月棚卸_40期事業計画（商品部1）" xfId="2869"/>
    <cellStyle name="差_北京商品単価_9月棚卸_40期事業計画（商品部1） 2" xfId="2870"/>
    <cellStyle name="差_北京商品単価_9月棚卸_40期事業計画（商品部1） 2 2" xfId="51008"/>
    <cellStyle name="差_北京商品単価_9月棚卸_40期事業計画（商品部1） 2 3" xfId="51009"/>
    <cellStyle name="差_北京商品単価_9月棚卸_40期事業計画（商品部1） 3" xfId="2871"/>
    <cellStyle name="差_北京商品単価_9月棚卸_40期事業計画（商品部1） 3 2" xfId="51010"/>
    <cellStyle name="差_北京商品単価_9月棚卸_40期事業計画（商品部1） 3 3" xfId="51011"/>
    <cellStyle name="差_北京商品単価_9月棚卸_40期事業計画（商品部1） 4" xfId="51012"/>
    <cellStyle name="差_北京商品単価_9月棚卸_40期事業計画（商品部1） 5" xfId="51013"/>
    <cellStyle name="差_北京商品単価_9月棚卸_41期事業計画(商品部)" xfId="2872"/>
    <cellStyle name="差_北京商品単価_9月棚卸_41期事業計画(商品部) 2" xfId="2873"/>
    <cellStyle name="差_北京商品単価_9月棚卸_41期事業計画(商品部) 2 2" xfId="51014"/>
    <cellStyle name="差_北京商品単価_9月棚卸_41期事業計画(商品部) 2 3" xfId="51015"/>
    <cellStyle name="差_北京商品単価_9月棚卸_41期事業計画(商品部) 3" xfId="2874"/>
    <cellStyle name="差_北京商品単価_9月棚卸_41期事業計画(商品部) 3 2" xfId="51016"/>
    <cellStyle name="差_北京商品単価_9月棚卸_41期事業計画(商品部) 3 3" xfId="51017"/>
    <cellStyle name="差_北京商品単価_9月棚卸_41期事業計画(商品部) 4" xfId="51018"/>
    <cellStyle name="差_北京商品単価_9月棚卸_41期事業計画(商品部) 5" xfId="51019"/>
    <cellStyle name="差_北京商品単価_9月棚卸_CPI" xfId="2875"/>
    <cellStyle name="差_北京商品単価_9月棚卸_CPI 2" xfId="2876"/>
    <cellStyle name="差_北京商品単価_9月棚卸_CPI 2 2" xfId="51020"/>
    <cellStyle name="差_北京商品単価_9月棚卸_CPI 2 3" xfId="51021"/>
    <cellStyle name="差_北京商品単価_9月棚卸_CPI 3" xfId="2877"/>
    <cellStyle name="差_北京商品単価_9月棚卸_CPI 3 2" xfId="51022"/>
    <cellStyle name="差_北京商品単価_9月棚卸_CPI 3 3" xfId="51023"/>
    <cellStyle name="差_北京商品単価_9月棚卸_CPI 4" xfId="51024"/>
    <cellStyle name="差_北京商品単価_9月棚卸_CPI 5" xfId="51025"/>
    <cellStyle name="差_北京商品単価_9月棚卸_CPI(1)" xfId="2878"/>
    <cellStyle name="差_北京商品単価_9月棚卸_CPI(1) 2" xfId="51026"/>
    <cellStyle name="差_北京商品単価_9月棚卸_CPI(1) 3" xfId="51027"/>
    <cellStyle name="差_北京商品単価_9月棚卸_店舗マスター(20110921) 李 総経理.xls" xfId="7188"/>
    <cellStyle name="差_北京商品単価_9月棚卸_店舗マスター(20110921) 李 総経理.xls 2" xfId="51028"/>
    <cellStyle name="差_北京商品単価_9月棚卸_店舗マスター20091104" xfId="7189"/>
    <cellStyle name="差_北京商品単価_9月棚卸_店舗マスター20091104 2" xfId="51029"/>
    <cellStyle name="差_北京商品単価_9月棚卸_副本41期事業計画商品部（備品） (2) (2)" xfId="2879"/>
    <cellStyle name="差_北京商品単価_9月棚卸_副本41期事業計画商品部（備品） (2) (2) 2" xfId="2880"/>
    <cellStyle name="差_北京商品単価_9月棚卸_副本41期事業計画商品部（備品） (2) (2) 2 2" xfId="51030"/>
    <cellStyle name="差_北京商品単価_9月棚卸_副本41期事業計画商品部（備品） (2) (2) 2 3" xfId="51031"/>
    <cellStyle name="差_北京商品単価_9月棚卸_副本41期事業計画商品部（備品） (2) (2) 3" xfId="2881"/>
    <cellStyle name="差_北京商品単価_9月棚卸_副本41期事業計画商品部（備品） (2) (2) 3 2" xfId="51032"/>
    <cellStyle name="差_北京商品単価_9月棚卸_副本41期事業計画商品部（備品） (2) (2) 3 3" xfId="51033"/>
    <cellStyle name="差_北京商品単価_9月棚卸_副本41期事業計画商品部（備品） (2) (2) 4" xfId="51034"/>
    <cellStyle name="差_北京商品単価_9月棚卸_副本41期事業計画商品部（備品） (2) (2) 5" xfId="51035"/>
    <cellStyle name="差_北京商品単価_9月棚卸_進捗管理40期（営業部）" xfId="7193"/>
    <cellStyle name="差_北京商品単価_9月棚卸_進捗管理40期（営業部） 2" xfId="7194"/>
    <cellStyle name="差_北京商品単価_9月棚卸_進捗管理40期（営業部） 2 2" xfId="51036"/>
    <cellStyle name="差_北京商品単価_9月棚卸_進捗管理40期（営業部） 3" xfId="51037"/>
    <cellStyle name="差_北京商品単価_CPI" xfId="2882"/>
    <cellStyle name="差_北京商品単価_CPI 2" xfId="2883"/>
    <cellStyle name="差_北京商品単価_CPI 2 2" xfId="51038"/>
    <cellStyle name="差_北京商品単価_CPI 2 3" xfId="51039"/>
    <cellStyle name="差_北京商品単価_CPI 3" xfId="2884"/>
    <cellStyle name="差_北京商品単価_CPI 3 2" xfId="51040"/>
    <cellStyle name="差_北京商品単価_CPI 3 3" xfId="51041"/>
    <cellStyle name="差_北京商品単価_CPI 4" xfId="51042"/>
    <cellStyle name="差_北京商品単価_CPI 5" xfId="51043"/>
    <cellStyle name="差_北京商品単価_CPI(1)" xfId="2885"/>
    <cellStyle name="差_北京商品単価_CPI(1) 2" xfId="51044"/>
    <cellStyle name="差_北京商品単価_CPI(1) 3" xfId="51045"/>
    <cellStyle name="差_北京商品単価_店舗マスター(20110921) 李 総経理.xls" xfId="7199"/>
    <cellStyle name="差_北京商品単価_店舗マスター(20110921) 李 総経理.xls 2" xfId="51046"/>
    <cellStyle name="差_北京商品単価_店舗マスター20091104" xfId="7200"/>
    <cellStyle name="差_北京商品単価_店舗マスター20091104 2" xfId="51047"/>
    <cellStyle name="差_北京商品単価_副本41期事業計画商品部（備品） (2) (2)" xfId="2886"/>
    <cellStyle name="差_北京商品単価_副本41期事業計画商品部（備品） (2) (2) 2" xfId="2887"/>
    <cellStyle name="差_北京商品単価_副本41期事業計画商品部（備品） (2) (2) 2 2" xfId="51048"/>
    <cellStyle name="差_北京商品単価_副本41期事業計画商品部（備品） (2) (2) 2 3" xfId="51049"/>
    <cellStyle name="差_北京商品単価_副本41期事業計画商品部（備品） (2) (2) 3" xfId="2888"/>
    <cellStyle name="差_北京商品単価_副本41期事業計画商品部（備品） (2) (2) 3 2" xfId="51050"/>
    <cellStyle name="差_北京商品単価_副本41期事業計画商品部（備品） (2) (2) 3 3" xfId="51051"/>
    <cellStyle name="差_北京商品単価_副本41期事業計画商品部（備品） (2) (2) 4" xfId="51052"/>
    <cellStyle name="差_北京商品単価_副本41期事業計画商品部（備品） (2) (2) 5" xfId="51053"/>
    <cellStyle name="差_北京商品単価_進捗管理40期（営業部）" xfId="7204"/>
    <cellStyle name="差_北京商品単価_進捗管理40期（営業部） 2" xfId="7205"/>
    <cellStyle name="差_北京商品単価_進捗管理40期（営業部） 2 2" xfId="51054"/>
    <cellStyle name="差_北京商品単価_進捗管理40期（営業部） 3" xfId="51055"/>
    <cellStyle name="差_出店予定" xfId="7206"/>
    <cellStyle name="差_出店予定 2" xfId="51056"/>
    <cellStyle name="差_出店予定_店舗マスター(20110921) 李 総経理.xls" xfId="7207"/>
    <cellStyle name="差_出店予定_店舗マスター(20110921) 李 総経理.xls 2" xfId="51057"/>
    <cellStyle name="差_出店予定_店舗マスター20091104" xfId="7208"/>
    <cellStyle name="差_出店予定_店舗マスター20091104 2" xfId="51058"/>
    <cellStyle name="差_儊僯儏乕娤嶡(2-1)." xfId="2889"/>
    <cellStyle name="差_店舗マスター20101213" xfId="2890"/>
    <cellStyle name="差_店舗マスター20101213 2" xfId="7211"/>
    <cellStyle name="差_副本40期事業計画  (2)" xfId="7212"/>
    <cellStyle name="差_副本40期預実（商品部） (3)" xfId="2891"/>
    <cellStyle name="差_副本40期預実（商品部） (3) 2" xfId="2892"/>
    <cellStyle name="差_副本40期預実（商品部） (3) 2 2" xfId="51059"/>
    <cellStyle name="差_副本40期預実（商品部） (3) 2 3" xfId="51060"/>
    <cellStyle name="差_副本40期預実（商品部） (3) 3" xfId="2893"/>
    <cellStyle name="差_副本40期預実（商品部） (3) 3 2" xfId="51061"/>
    <cellStyle name="差_副本40期預実（商品部） (3) 3 3" xfId="51062"/>
    <cellStyle name="差_副本40期預実（商品部） (3) 4" xfId="51063"/>
    <cellStyle name="差_副本40期預実（商品部） (3) 5" xfId="51064"/>
    <cellStyle name="差_副本40期預実（商品部） (3)_201205同業他社比較（商品構成G）" xfId="2894"/>
    <cellStyle name="差_副本40期預実（商品部） (3)_201205同業他社比較（商品構成G） 2" xfId="51065"/>
    <cellStyle name="差_副本40期預実（商品部） (3)_201205同業他社比較（商品構成G） 3" xfId="51066"/>
    <cellStyle name="差_副本40期預実（商品部） (3)_副本新メニュー観察(上海) 201204 花島添削 (5)" xfId="2895"/>
    <cellStyle name="差_副本40期預実（商品部） (3)_副本新メニュー観察(上海) 201204 花島添削 (5) 2" xfId="51067"/>
    <cellStyle name="差_副本40期預実（商品部） (3)_副本新メニュー観察(上海) 201204 花島添削 (5) 3" xfId="51068"/>
    <cellStyle name="差_副本40期預実（商品部） (3)_新メニュー観察(上海) 201204 花島添削 (2) (5)" xfId="2896"/>
    <cellStyle name="差_副本40期預実（商品部） (3)_新メニュー観察(上海) 201204 花島添削 (2) (5) 2" xfId="51069"/>
    <cellStyle name="差_副本40期預実（商品部） (3)_新メニュー観察(上海) 201204 花島添削 (2) (5) 3" xfId="51070"/>
    <cellStyle name="差_副本40期預実（商品部） (3)_週新品観察." xfId="2897"/>
    <cellStyle name="差_副本40期預実（商品部） (3)_週新品観察. 2" xfId="51071"/>
    <cellStyle name="差_副本40期預実（商品部） (3)_週新品観察. 3" xfId="51072"/>
    <cellStyle name="差_副本41期事業計画商品部（備品） (2) (2)" xfId="2898"/>
    <cellStyle name="差_副本41期事業計画商品部（備品） (2) (2) 2" xfId="2899"/>
    <cellStyle name="差_副本41期事業計画商品部（備品） (2) (2) 2 2" xfId="51073"/>
    <cellStyle name="差_副本41期事業計画商品部（備品） (2) (2) 2 3" xfId="51074"/>
    <cellStyle name="差_副本41期事業計画商品部（備品） (2) (2) 3" xfId="2900"/>
    <cellStyle name="差_副本41期事業計画商品部（備品） (2) (2) 3 2" xfId="51075"/>
    <cellStyle name="差_副本41期事業計画商品部（備品） (2) (2) 3 3" xfId="51076"/>
    <cellStyle name="差_副本41期事業計画商品部（備品） (2) (2) 4" xfId="51077"/>
    <cellStyle name="差_副本41期事業計画商品部（備品） (2) (2) 5" xfId="51078"/>
    <cellStyle name="差_副本新建 Microsoft Excel 工作表 (2)" xfId="2901"/>
    <cellStyle name="差_改进" xfId="2902"/>
    <cellStyle name="差_改进 2" xfId="2903"/>
    <cellStyle name="差_改进 2 2" xfId="51079"/>
    <cellStyle name="差_改进 2 3" xfId="51080"/>
    <cellStyle name="差_改进 3" xfId="2904"/>
    <cellStyle name="差_改进 3 2" xfId="51081"/>
    <cellStyle name="差_改进 3 3" xfId="51082"/>
    <cellStyle name="差_改进 4" xfId="51083"/>
    <cellStyle name="差_改进 5" xfId="51084"/>
    <cellStyle name="差_改进_201205同業他社比較（商品構成G）" xfId="2905"/>
    <cellStyle name="差_改进_201205同業他社比較（商品構成G） 2" xfId="51085"/>
    <cellStyle name="差_改进_201205同業他社比較（商品構成G） 3" xfId="51086"/>
    <cellStyle name="差_改进_40期事業計画（商品部）  (3)" xfId="2906"/>
    <cellStyle name="差_改进_40期事業計画（商品部）  (3) 2" xfId="51087"/>
    <cellStyle name="差_改进_40期事業計画（商品部）  (3) 3" xfId="51088"/>
    <cellStyle name="差_改进_40期事業計画（商品部1）" xfId="2907"/>
    <cellStyle name="差_改进_40期事業計画（商品部1） 2" xfId="2908"/>
    <cellStyle name="差_改进_40期事業計画（商品部1） 2 2" xfId="51089"/>
    <cellStyle name="差_改进_40期事業計画（商品部1） 2 3" xfId="51090"/>
    <cellStyle name="差_改进_40期事業計画（商品部1） 3" xfId="2909"/>
    <cellStyle name="差_改进_40期事業計画（商品部1） 3 2" xfId="51091"/>
    <cellStyle name="差_改进_40期事業計画（商品部1） 3 3" xfId="51092"/>
    <cellStyle name="差_改进_40期事業計画（商品部1） 4" xfId="51093"/>
    <cellStyle name="差_改进_40期事業計画（商品部1） 5" xfId="51094"/>
    <cellStyle name="差_改进_40期預実（商品部） (3)" xfId="2910"/>
    <cellStyle name="差_改进_40期預実（商品部） (3) 2" xfId="2911"/>
    <cellStyle name="差_改进_40期預実（商品部） (3) 2 2" xfId="51095"/>
    <cellStyle name="差_改进_40期預実（商品部） (3) 2 3" xfId="51096"/>
    <cellStyle name="差_改进_40期預実（商品部） (3) 3" xfId="2912"/>
    <cellStyle name="差_改进_40期預実（商品部） (3) 3 2" xfId="51097"/>
    <cellStyle name="差_改进_40期預実（商品部） (3) 3 3" xfId="51098"/>
    <cellStyle name="差_改进_40期預実（商品部） (3) 4" xfId="51099"/>
    <cellStyle name="差_改进_40期預実（商品部） (3) 5" xfId="51100"/>
    <cellStyle name="差_改进_40期預実（商品部） (3)_201205同業他社比較（商品構成G）" xfId="2913"/>
    <cellStyle name="差_改进_40期預実（商品部） (3)_201205同業他社比較（商品構成G） 2" xfId="51101"/>
    <cellStyle name="差_改进_40期預実（商品部） (3)_201205同業他社比較（商品構成G） 3" xfId="51102"/>
    <cellStyle name="差_改进_40期預実（商品部） (3)_副本新メニュー観察(上海) 201204 花島添削 (5)" xfId="2914"/>
    <cellStyle name="差_改进_40期預実（商品部） (3)_副本新メニュー観察(上海) 201204 花島添削 (5) 2" xfId="51103"/>
    <cellStyle name="差_改进_40期預実（商品部） (3)_副本新メニュー観察(上海) 201204 花島添削 (5) 3" xfId="51104"/>
    <cellStyle name="差_改进_40期預実（商品部） (3)_新メニュー観察(上海) 201204 花島添削 (2) (5)" xfId="2915"/>
    <cellStyle name="差_改进_40期預実（商品部） (3)_新メニュー観察(上海) 201204 花島添削 (2) (5) 2" xfId="51105"/>
    <cellStyle name="差_改进_40期預実（商品部） (3)_新メニュー観察(上海) 201204 花島添削 (2) (5) 3" xfId="51106"/>
    <cellStyle name="差_改进_40期預実（商品部） (3)_週新品観察." xfId="2916"/>
    <cellStyle name="差_改进_40期預実（商品部） (3)_週新品観察. 2" xfId="51107"/>
    <cellStyle name="差_改进_40期預実（商品部） (3)_週新品観察. 3" xfId="51108"/>
    <cellStyle name="差_改进_41期事業計画(商品部)" xfId="2917"/>
    <cellStyle name="差_改进_41期事業計画(商品部) 2" xfId="2918"/>
    <cellStyle name="差_改进_41期事業計画(商品部) 2 2" xfId="51109"/>
    <cellStyle name="差_改进_41期事業計画(商品部) 2 3" xfId="51110"/>
    <cellStyle name="差_改进_41期事業計画(商品部) 3" xfId="2919"/>
    <cellStyle name="差_改进_41期事業計画(商品部) 3 2" xfId="51111"/>
    <cellStyle name="差_改进_41期事業計画(商品部) 3 3" xfId="51112"/>
    <cellStyle name="差_改进_41期事業計画(商品部) 4" xfId="51113"/>
    <cellStyle name="差_改进_41期事業計画(商品部) 5" xfId="51114"/>
    <cellStyle name="差_改进_CPI" xfId="2920"/>
    <cellStyle name="差_改进_CPI 2" xfId="2921"/>
    <cellStyle name="差_改进_CPI 2 2" xfId="51115"/>
    <cellStyle name="差_改进_CPI 2 3" xfId="51116"/>
    <cellStyle name="差_改进_CPI 3" xfId="2922"/>
    <cellStyle name="差_改进_CPI 3 2" xfId="51117"/>
    <cellStyle name="差_改进_CPI 3 3" xfId="51118"/>
    <cellStyle name="差_改进_CPI 4" xfId="51119"/>
    <cellStyle name="差_改进_CPI 5" xfId="51120"/>
    <cellStyle name="差_改进_CPI(1)" xfId="2923"/>
    <cellStyle name="差_改进_CPI(1) 2" xfId="51121"/>
    <cellStyle name="差_改进_CPI(1) 3" xfId="51122"/>
    <cellStyle name="差_改进_副本40期預実（商品部） (3)" xfId="2924"/>
    <cellStyle name="差_改进_副本40期預実（商品部） (3) 2" xfId="2925"/>
    <cellStyle name="差_改进_副本40期預実（商品部） (3) 2 2" xfId="51123"/>
    <cellStyle name="差_改进_副本40期預実（商品部） (3) 2 3" xfId="51124"/>
    <cellStyle name="差_改进_副本40期預実（商品部） (3) 3" xfId="2926"/>
    <cellStyle name="差_改进_副本40期預実（商品部） (3) 3 2" xfId="51125"/>
    <cellStyle name="差_改进_副本40期預実（商品部） (3) 3 3" xfId="51126"/>
    <cellStyle name="差_改进_副本40期預実（商品部） (3) 4" xfId="51127"/>
    <cellStyle name="差_改进_副本40期預実（商品部） (3) 5" xfId="51128"/>
    <cellStyle name="差_改进_副本40期預実（商品部） (3)_201205同業他社比較（商品構成G）" xfId="2927"/>
    <cellStyle name="差_改进_副本40期預実（商品部） (3)_201205同業他社比較（商品構成G） 2" xfId="51129"/>
    <cellStyle name="差_改进_副本40期預実（商品部） (3)_201205同業他社比較（商品構成G） 3" xfId="51130"/>
    <cellStyle name="差_改进_副本40期預実（商品部） (3)_副本新メニュー観察(上海) 201204 花島添削 (5)" xfId="2928"/>
    <cellStyle name="差_改进_副本40期預実（商品部） (3)_副本新メニュー観察(上海) 201204 花島添削 (5) 2" xfId="51131"/>
    <cellStyle name="差_改进_副本40期預実（商品部） (3)_副本新メニュー観察(上海) 201204 花島添削 (5) 3" xfId="51132"/>
    <cellStyle name="差_改进_副本40期預実（商品部） (3)_新メニュー観察(上海) 201204 花島添削 (2) (5)" xfId="2929"/>
    <cellStyle name="差_改进_副本40期預実（商品部） (3)_新メニュー観察(上海) 201204 花島添削 (2) (5) 2" xfId="51133"/>
    <cellStyle name="差_改进_副本40期預実（商品部） (3)_新メニュー観察(上海) 201204 花島添削 (2) (5) 3" xfId="51134"/>
    <cellStyle name="差_改进_副本40期預実（商品部） (3)_週新品観察." xfId="2930"/>
    <cellStyle name="差_改进_副本40期預実（商品部） (3)_週新品観察. 2" xfId="51135"/>
    <cellStyle name="差_改进_副本40期預実（商品部） (3)_週新品観察. 3" xfId="51136"/>
    <cellStyle name="差_改进_副本41期事業計画商品部（備品） (2) (2)" xfId="2931"/>
    <cellStyle name="差_改进_副本41期事業計画商品部（備品） (2) (2) 2" xfId="2932"/>
    <cellStyle name="差_改进_副本41期事業計画商品部（備品） (2) (2) 2 2" xfId="51137"/>
    <cellStyle name="差_改进_副本41期事業計画商品部（備品） (2) (2) 2 3" xfId="51138"/>
    <cellStyle name="差_改进_副本41期事業計画商品部（備品） (2) (2) 3" xfId="2933"/>
    <cellStyle name="差_改进_副本41期事業計画商品部（備品） (2) (2) 3 2" xfId="51139"/>
    <cellStyle name="差_改进_副本41期事業計画商品部（備品） (2) (2) 3 3" xfId="51140"/>
    <cellStyle name="差_改进_副本41期事業計画商品部（備品） (2) (2) 4" xfId="51141"/>
    <cellStyle name="差_改进_副本41期事業計画商品部（備品） (2) (2) 5" xfId="51142"/>
    <cellStyle name="差_改进_副本新メニュー観察(上海) 201204 花島添削 (5)" xfId="2934"/>
    <cellStyle name="差_改进_副本新メニュー観察(上海) 201204 花島添削 (5) 2" xfId="51143"/>
    <cellStyle name="差_改进_副本新メニュー観察(上海) 201204 花島添削 (5) 3" xfId="51144"/>
    <cellStyle name="差_改进_新メニュー観察(上海) 201204 花島添削 (2) (5)" xfId="2935"/>
    <cellStyle name="差_改进_新メニュー観察(上海) 201204 花島添削 (2) (5) 2" xfId="51145"/>
    <cellStyle name="差_改进_新メニュー観察(上海) 201204 花島添削 (2) (5) 3" xfId="51146"/>
    <cellStyle name="差_改进_週新品観察." xfId="2936"/>
    <cellStyle name="差_改进_週新品観察. 2" xfId="51147"/>
    <cellStyle name="差_改进_週新品観察. 3" xfId="51148"/>
    <cellStyle name="差_工場生産時間表（最新版）1" xfId="7255"/>
    <cellStyle name="差_工場生産時間表（最新版）1_虎皮蛋糕新格式" xfId="7256"/>
    <cellStyle name="差_工場生産時間表（最新版）1_虎皮蛋糕新格式_几分甜" xfId="7257"/>
    <cellStyle name="差_工場生産時間表（最新版）1_虎皮蛋糕新格式_几分甜20121108报价" xfId="7258"/>
    <cellStyle name="差_工場生産時間表（最新版）1_几分甜" xfId="7259"/>
    <cellStyle name="差_工場生産時間表（最新版）1_几分甜20121108报价" xfId="7260"/>
    <cellStyle name="差_海外事業部仕入れ商品201005xls" xfId="160"/>
    <cellStyle name="差_海外事業部仕入れ商品201005xls 2" xfId="2937"/>
    <cellStyle name="差_海外事業部仕入れ商品201005xls 2 2" xfId="2938"/>
    <cellStyle name="差_海外事業部仕入れ商品201005xls 2 3" xfId="51149"/>
    <cellStyle name="差_海外事業部仕入れ商品201005xls 3" xfId="2939"/>
    <cellStyle name="差_海外事業部仕入れ商品201005xls 3 2" xfId="2940"/>
    <cellStyle name="差_海外事業部仕入れ商品201005xls 3 3" xfId="51150"/>
    <cellStyle name="差_海外事業部仕入れ商品201005xls 4" xfId="51151"/>
    <cellStyle name="差_海外事業部仕入れ商品201005xls 5" xfId="51152"/>
    <cellStyle name="差_海外事業部仕入れ商品201005xls 6" xfId="51153"/>
    <cellStyle name="差_海外事業部仕入れ商品201005xls 7" xfId="60972"/>
    <cellStyle name="差_海外事業部仕入れ商品201005xls_Sheet1" xfId="2941"/>
    <cellStyle name="差_海外事業部仕入れ商品201005xls_Sheet1 2" xfId="2942"/>
    <cellStyle name="差_海外事業部仕入れ商品201005xls_Sheet1 3" xfId="51154"/>
    <cellStyle name="差_海外事業部仕入れ商品201005xls_儊僯儏乕娤嶡(2-1)" xfId="2943"/>
    <cellStyle name="差_海外事業部仕入れ商品201005xls_儊僯儏乕娤嶡(2-1) 2" xfId="2944"/>
    <cellStyle name="差_海外事業部仕入れ商品201005xls_儊僯儏乕娤嶡(2-1) 3" xfId="51155"/>
    <cellStyle name="差_海外事業部仕入れ商品201005xls_儊僯儏乕娤嶡(2-1)." xfId="2945"/>
    <cellStyle name="差_海外事業部仕入れ商品201005xls_儊僯儏乕娤嶡(2-1). 2" xfId="2946"/>
    <cellStyle name="差_海外事業部仕入れ商品201005xls_儊僯儏乕娤嶡(2-1). 3" xfId="51156"/>
    <cellStyle name="差_海外事業部仕入れ商品201005xls_儊僯儏乕娤嶡(2-1)._副本新メニュー観察(上海) 201204 花島添削 (5)" xfId="2947"/>
    <cellStyle name="差_海外事業部仕入れ商品201005xls_儊僯儏乕娤嶡(2-1)._副本新メニュー観察(上海) 201204 花島添削 (5) 2" xfId="2948"/>
    <cellStyle name="差_海外事業部仕入れ商品201005xls_儊僯儏乕娤嶡(2-1)._副本新メニュー観察(上海) 201204 花島添削 (5) 3" xfId="51157"/>
    <cellStyle name="差_海外事業部仕入れ商品201005xls_儊僯儏乕娤嶡(2-1)._新メニュー観察(上海) 201204 花島添削 (2) (5)" xfId="2949"/>
    <cellStyle name="差_海外事業部仕入れ商品201005xls_儊僯儏乕娤嶡(2-1)._新メニュー観察(上海) 201204 花島添削 (2) (5) 2" xfId="2950"/>
    <cellStyle name="差_海外事業部仕入れ商品201005xls_儊僯儏乕娤嶡(2-1)._新メニュー観察(上海) 201204 花島添削 (2) (5) 3" xfId="51158"/>
    <cellStyle name="差_海外事業部仕入れ商品201005xls_儊僯儏乕娤嶡(2-1)_副本新メニュー観察(上海) 201204 花島添削 (5)" xfId="2951"/>
    <cellStyle name="差_海外事業部仕入れ商品201005xls_儊僯儏乕娤嶡(2-1)_副本新メニュー観察(上海) 201204 花島添削 (5) 2" xfId="2952"/>
    <cellStyle name="差_海外事業部仕入れ商品201005xls_儊僯儏乕娤嶡(2-1)_副本新メニュー観察(上海) 201204 花島添削 (5) 3" xfId="51159"/>
    <cellStyle name="差_海外事業部仕入れ商品201005xls_儊僯儏乕娤嶡(2-1)_新メニュー観察(上海) 201204 花島添削 (2) (5)" xfId="2953"/>
    <cellStyle name="差_海外事業部仕入れ商品201005xls_儊僯儏乕娤嶡(2-1)_新メニュー観察(上海) 201204 花島添削 (2) (5) 2" xfId="2954"/>
    <cellStyle name="差_海外事業部仕入れ商品201005xls_儊僯儏乕娤嶡(2-1)_新メニュー観察(上海) 201204 花島添削 (2) (5) 3" xfId="51160"/>
    <cellStyle name="差_海外事業部仕入れ商品201005xls_儊僯儏乕娤嶡(2-2乯" xfId="2955"/>
    <cellStyle name="差_海外事業部仕入れ商品201005xls_儊僯儏乕娤嶡(2-2乯 2" xfId="2956"/>
    <cellStyle name="差_海外事業部仕入れ商品201005xls_儊僯儏乕娤嶡(2-2乯 3" xfId="51161"/>
    <cellStyle name="差_海外事業部仕入れ商品201005xls_物流" xfId="2957"/>
    <cellStyle name="差_海外事業部仕入れ商品201005xls_物流 2" xfId="2958"/>
    <cellStyle name="差_海外事業部仕入れ商品201005xls_物流 2 2" xfId="2959"/>
    <cellStyle name="差_海外事業部仕入れ商品201005xls_物流 2 3" xfId="51162"/>
    <cellStyle name="差_海外事業部仕入れ商品201005xls_物流 3" xfId="2960"/>
    <cellStyle name="差_海外事業部仕入れ商品201005xls_物流 3 2" xfId="2961"/>
    <cellStyle name="差_海外事業部仕入れ商品201005xls_物流 3 3" xfId="51163"/>
    <cellStyle name="差_海外事業部仕入れ商品201005xls_物流 4" xfId="2962"/>
    <cellStyle name="差_海外事業部仕入れ商品201005xls_物流 5" xfId="51164"/>
    <cellStyle name="差_海外事業部仕入れ商品201005xls_物流_開発商品(chen)" xfId="2963"/>
    <cellStyle name="差_海外事業部仕入れ商品201005xls_物流_開発商品(chen) 2" xfId="2964"/>
    <cellStyle name="差_海外事業部仕入れ商品201005xls_物流_開発商品(chen) 2 2" xfId="2965"/>
    <cellStyle name="差_海外事業部仕入れ商品201005xls_物流_開発商品(chen) 2 3" xfId="51165"/>
    <cellStyle name="差_海外事業部仕入れ商品201005xls_物流_開発商品(chen) 3" xfId="2966"/>
    <cellStyle name="差_海外事業部仕入れ商品201005xls_物流_開発商品(chen) 3 2" xfId="2967"/>
    <cellStyle name="差_海外事業部仕入れ商品201005xls_物流_開発商品(chen) 3 3" xfId="51166"/>
    <cellStyle name="差_海外事業部仕入れ商品201005xls_物流_開発商品(chen) 4" xfId="2968"/>
    <cellStyle name="差_海外事業部仕入れ商品201005xls_物流_開発商品(chen) 5" xfId="51167"/>
    <cellStyle name="差_海外事業部仕入れ商品201005xls_物流_開発商品(chen)_40期事業計画（商品部）  (3)" xfId="2969"/>
    <cellStyle name="差_海外事業部仕入れ商品201005xls_物流_開発商品(chen)_40期事業計画（商品部）  (3) 2" xfId="2970"/>
    <cellStyle name="差_海外事業部仕入れ商品201005xls_物流_開発商品(chen)_40期事業計画（商品部）  (3) 3" xfId="51168"/>
    <cellStyle name="差_海外事業部仕入れ商品201005xls_物流_開発商品(chen)_40期事業計画（商品部1）" xfId="2971"/>
    <cellStyle name="差_海外事業部仕入れ商品201005xls_物流_開発商品(chen)_40期事業計画（商品部1） 2" xfId="2972"/>
    <cellStyle name="差_海外事業部仕入れ商品201005xls_物流_開発商品(chen)_40期事業計画（商品部1） 2 2" xfId="2973"/>
    <cellStyle name="差_海外事業部仕入れ商品201005xls_物流_開発商品(chen)_40期事業計画（商品部1） 2 3" xfId="51169"/>
    <cellStyle name="差_海外事業部仕入れ商品201005xls_物流_開発商品(chen)_40期事業計画（商品部1） 3" xfId="2974"/>
    <cellStyle name="差_海外事業部仕入れ商品201005xls_物流_開発商品(chen)_40期事業計画（商品部1） 3 2" xfId="2975"/>
    <cellStyle name="差_海外事業部仕入れ商品201005xls_物流_開発商品(chen)_40期事業計画（商品部1） 3 3" xfId="51170"/>
    <cellStyle name="差_海外事業部仕入れ商品201005xls_物流_開発商品(chen)_40期事業計画（商品部1） 4" xfId="2976"/>
    <cellStyle name="差_海外事業部仕入れ商品201005xls_物流_開発商品(chen)_40期事業計画（商品部1） 5" xfId="51171"/>
    <cellStyle name="差_海外事業部仕入れ商品201005xls_物流_開発商品(chen)_40期預実（商品部） (3)" xfId="2977"/>
    <cellStyle name="差_海外事業部仕入れ商品201005xls_物流_開発商品(chen)_40期預実（商品部） (3) 2" xfId="2978"/>
    <cellStyle name="差_海外事業部仕入れ商品201005xls_物流_開発商品(chen)_40期預実（商品部） (3) 2 2" xfId="2979"/>
    <cellStyle name="差_海外事業部仕入れ商品201005xls_物流_開発商品(chen)_40期預実（商品部） (3) 2 3" xfId="51172"/>
    <cellStyle name="差_海外事業部仕入れ商品201005xls_物流_開発商品(chen)_40期預実（商品部） (3) 3" xfId="2980"/>
    <cellStyle name="差_海外事業部仕入れ商品201005xls_物流_開発商品(chen)_40期預実（商品部） (3) 3 2" xfId="2981"/>
    <cellStyle name="差_海外事業部仕入れ商品201005xls_物流_開発商品(chen)_40期預実（商品部） (3) 3 3" xfId="51173"/>
    <cellStyle name="差_海外事業部仕入れ商品201005xls_物流_開発商品(chen)_40期預実（商品部） (3) 4" xfId="2982"/>
    <cellStyle name="差_海外事業部仕入れ商品201005xls_物流_開発商品(chen)_40期預実（商品部） (3) 5" xfId="51174"/>
    <cellStyle name="差_海外事業部仕入れ商品201005xls_物流_開発商品(chen)_41期事業計画(商品部)" xfId="2983"/>
    <cellStyle name="差_海外事業部仕入れ商品201005xls_物流_開発商品(chen)_41期事業計画(商品部) 2" xfId="2984"/>
    <cellStyle name="差_海外事業部仕入れ商品201005xls_物流_開発商品(chen)_41期事業計画(商品部) 2 2" xfId="2985"/>
    <cellStyle name="差_海外事業部仕入れ商品201005xls_物流_開発商品(chen)_41期事業計画(商品部) 2 3" xfId="51175"/>
    <cellStyle name="差_海外事業部仕入れ商品201005xls_物流_開発商品(chen)_41期事業計画(商品部) 3" xfId="2986"/>
    <cellStyle name="差_海外事業部仕入れ商品201005xls_物流_開発商品(chen)_41期事業計画(商品部) 3 2" xfId="2987"/>
    <cellStyle name="差_海外事業部仕入れ商品201005xls_物流_開発商品(chen)_41期事業計画(商品部) 3 3" xfId="51176"/>
    <cellStyle name="差_海外事業部仕入れ商品201005xls_物流_開発商品(chen)_41期事業計画(商品部) 4" xfId="2988"/>
    <cellStyle name="差_海外事業部仕入れ商品201005xls_物流_開発商品(chen)_41期事業計画(商品部) 5" xfId="51177"/>
    <cellStyle name="差_海外事業部仕入れ商品201005xls_物流_開発商品(chen)_CPI" xfId="2989"/>
    <cellStyle name="差_海外事業部仕入れ商品201005xls_物流_開発商品(chen)_CPI 2" xfId="2990"/>
    <cellStyle name="差_海外事業部仕入れ商品201005xls_物流_開発商品(chen)_CPI 2 2" xfId="2991"/>
    <cellStyle name="差_海外事業部仕入れ商品201005xls_物流_開発商品(chen)_CPI 2 3" xfId="51178"/>
    <cellStyle name="差_海外事業部仕入れ商品201005xls_物流_開発商品(chen)_CPI 3" xfId="2992"/>
    <cellStyle name="差_海外事業部仕入れ商品201005xls_物流_開発商品(chen)_CPI 3 2" xfId="2993"/>
    <cellStyle name="差_海外事業部仕入れ商品201005xls_物流_開発商品(chen)_CPI 3 3" xfId="51179"/>
    <cellStyle name="差_海外事業部仕入れ商品201005xls_物流_開発商品(chen)_CPI 4" xfId="2994"/>
    <cellStyle name="差_海外事業部仕入れ商品201005xls_物流_開発商品(chen)_CPI 5" xfId="51180"/>
    <cellStyle name="差_海外事業部仕入れ商品201005xls_物流_開発商品(chen)_CPI(1)" xfId="2995"/>
    <cellStyle name="差_海外事業部仕入れ商品201005xls_物流_開発商品(chen)_CPI(1) 2" xfId="2996"/>
    <cellStyle name="差_海外事業部仕入れ商品201005xls_物流_開発商品(chen)_CPI(1) 3" xfId="51181"/>
    <cellStyle name="差_海外事業部仕入れ商品201005xls_物流_開発商品(chen)_副本40期預実（商品部） (3)" xfId="2997"/>
    <cellStyle name="差_海外事業部仕入れ商品201005xls_物流_開発商品(chen)_副本40期預実（商品部） (3) 2" xfId="2998"/>
    <cellStyle name="差_海外事業部仕入れ商品201005xls_物流_開発商品(chen)_副本40期預実（商品部） (3) 2 2" xfId="2999"/>
    <cellStyle name="差_海外事業部仕入れ商品201005xls_物流_開発商品(chen)_副本40期預実（商品部） (3) 2 3" xfId="51182"/>
    <cellStyle name="差_海外事業部仕入れ商品201005xls_物流_開発商品(chen)_副本40期預実（商品部） (3) 3" xfId="3000"/>
    <cellStyle name="差_海外事業部仕入れ商品201005xls_物流_開発商品(chen)_副本40期預実（商品部） (3) 3 2" xfId="3001"/>
    <cellStyle name="差_海外事業部仕入れ商品201005xls_物流_開発商品(chen)_副本40期預実（商品部） (3) 3 3" xfId="51183"/>
    <cellStyle name="差_海外事業部仕入れ商品201005xls_物流_開発商品(chen)_副本40期預実（商品部） (3) 4" xfId="3002"/>
    <cellStyle name="差_海外事業部仕入れ商品201005xls_物流_開発商品(chen)_副本40期預実（商品部） (3) 5" xfId="51184"/>
    <cellStyle name="差_海外事業部仕入れ商品201005xls_物流_開発商品(chen)_副本41期事業計画商品部（備品） (2) (2)" xfId="3003"/>
    <cellStyle name="差_海外事業部仕入れ商品201005xls_物流_開発商品(chen)_副本41期事業計画商品部（備品） (2) (2) 2" xfId="3004"/>
    <cellStyle name="差_海外事業部仕入れ商品201005xls_物流_開発商品(chen)_副本41期事業計画商品部（備品） (2) (2) 2 2" xfId="3005"/>
    <cellStyle name="差_海外事業部仕入れ商品201005xls_物流_開発商品(chen)_副本41期事業計画商品部（備品） (2) (2) 2 3" xfId="51185"/>
    <cellStyle name="差_海外事業部仕入れ商品201005xls_物流_開発商品(chen)_副本41期事業計画商品部（備品） (2) (2) 3" xfId="3006"/>
    <cellStyle name="差_海外事業部仕入れ商品201005xls_物流_開発商品(chen)_副本41期事業計画商品部（備品） (2) (2) 3 2" xfId="3007"/>
    <cellStyle name="差_海外事業部仕入れ商品201005xls_物流_開発商品(chen)_副本41期事業計画商品部（備品） (2) (2) 3 3" xfId="51186"/>
    <cellStyle name="差_海外事業部仕入れ商品201005xls_物流_開発商品(chen)_副本41期事業計画商品部（備品） (2) (2) 4" xfId="3008"/>
    <cellStyle name="差_海外事業部仕入れ商品201005xls_物流_開発商品(chen)_副本41期事業計画商品部（備品） (2) (2) 5" xfId="51187"/>
    <cellStyle name="差_海外事業部仕入れ商品201005xls_新メニュー実績" xfId="3009"/>
    <cellStyle name="差_海外事業部仕入れ商品201005xls_新メニュー実績 2" xfId="3010"/>
    <cellStyle name="差_海外事業部仕入れ商品201005xls_新メニュー実績 3" xfId="51188"/>
    <cellStyle name="差_花都建设南路" xfId="22"/>
    <cellStyle name="差_几分甜" xfId="7299"/>
    <cellStyle name="差_几分甜20121108报价" xfId="7300"/>
    <cellStyle name="差_見積書)南山吉之岛破损沙发维修" xfId="51189"/>
    <cellStyle name="差_見積書)南山吉之岛破损沙发维修 2" xfId="51190"/>
    <cellStyle name="差_見積書)南山吉之岛破损沙发维修 3" xfId="51191"/>
    <cellStyle name="差_見積書)南山吉之岛破损沙发维修 4" xfId="51192"/>
    <cellStyle name="差_見積書)南山吉之岛破损沙发维修 5" xfId="51193"/>
    <cellStyle name="差_見積書)南山吉之岛破损沙发维修_5月メンテナンス請求" xfId="51194"/>
    <cellStyle name="差_見積書)南山吉之岛破损沙发维修_5月メンテナンス請求 2" xfId="51195"/>
    <cellStyle name="差_見積書)南山吉之岛破损沙发维修_5月メンテナンス請求 3" xfId="51196"/>
    <cellStyle name="差_見積書)南山吉之岛破损沙发维修_5月メンテナンス請求 4" xfId="51197"/>
    <cellStyle name="差_見積書)南山吉之岛破损沙发维修_5月メンテナンス請求 5" xfId="51198"/>
    <cellStyle name="差_見積書)上下九店烤箱维修" xfId="51199"/>
    <cellStyle name="差_見積書)上下九店烤箱维修 2" xfId="51200"/>
    <cellStyle name="差_見積書)上下九店烤箱维修 3" xfId="51201"/>
    <cellStyle name="差_見積書)上下九店烤箱维修 4" xfId="51202"/>
    <cellStyle name="差_見積書)上下九店烤箱维修 5" xfId="51203"/>
    <cellStyle name="差_見積書)上下九店烤箱维修_5月メンテナンス請求" xfId="51204"/>
    <cellStyle name="差_見積書)上下九店烤箱维修_5月メンテナンス請求 2" xfId="51205"/>
    <cellStyle name="差_見積書)上下九店烤箱维修_5月メンテナンス請求 3" xfId="51206"/>
    <cellStyle name="差_見積書)上下九店烤箱维修_5月メンテナンス請求 4" xfId="51207"/>
    <cellStyle name="差_見積書)上下九店烤箱维修_5月メンテナンス請求 5" xfId="51208"/>
    <cellStyle name="差_見積書5月" xfId="51209"/>
    <cellStyle name="差_見積書5月 2" xfId="51210"/>
    <cellStyle name="差_見積書5月 3" xfId="51211"/>
    <cellStyle name="差_見積書5月 4" xfId="51212"/>
    <cellStyle name="差_見積書5月 5" xfId="51213"/>
    <cellStyle name="差_見積書雛形" xfId="51214"/>
    <cellStyle name="差_見積書雛形 2" xfId="51215"/>
    <cellStyle name="差_見積書雛形 3" xfId="51216"/>
    <cellStyle name="差_見積書雛形 4" xfId="51217"/>
    <cellStyle name="差_見積書雛形 5" xfId="51218"/>
    <cellStyle name="差_見積書雛形_1" xfId="51219"/>
    <cellStyle name="差_見積書雛形_1 2" xfId="51220"/>
    <cellStyle name="差_見積書雛形_1 3" xfId="51221"/>
    <cellStyle name="差_見積書雛形_1 4" xfId="51222"/>
    <cellStyle name="差_見積書雛形_1 5" xfId="51223"/>
    <cellStyle name="差_進捗管理40期（営業部）" xfId="7301"/>
    <cellStyle name="差_進捗管理40期（営業部） 2" xfId="7302"/>
    <cellStyle name="差_進捗管理40期（営業部） 2 2" xfId="51224"/>
    <cellStyle name="差_進捗管理40期（営業部） 3" xfId="51225"/>
    <cellStyle name="差_開発商品(chen)" xfId="3011"/>
    <cellStyle name="差_考试名单通知" xfId="7304"/>
    <cellStyle name="差_考试名单通知_1" xfId="7305"/>
    <cellStyle name="差_考试名单通知_1 2" xfId="11303"/>
    <cellStyle name="差_考试名单通知_1_培训名单通知" xfId="7306"/>
    <cellStyle name="差_库存测试" xfId="23"/>
    <cellStyle name="差_离职表" xfId="7307"/>
    <cellStyle name="差_立美-招牌广告产品报价表合资料" xfId="51226"/>
    <cellStyle name="差_立美-招牌广告产品报价表合资料 2" xfId="51227"/>
    <cellStyle name="差_立美-招牌广告产品报价表合资料 3" xfId="51228"/>
    <cellStyle name="差_立美-招牌广告产品报价表合资料 4" xfId="51229"/>
    <cellStyle name="差_立美-招牌广告产品报价表合资料 5" xfId="51230"/>
    <cellStyle name="差_立美-招牌广告产品报价表合资料 6" xfId="51231"/>
    <cellStyle name="差_立美-招牌广告产品报价表合资料 7" xfId="51232"/>
    <cellStyle name="差_立美-招牌广告产品报价表合资料 8" xfId="51233"/>
    <cellStyle name="差_立美-招牌广告产品报价表进口料" xfId="51234"/>
    <cellStyle name="差_立美-招牌广告产品报价表进口料 2" xfId="51235"/>
    <cellStyle name="差_立美-招牌广告产品报价表进口料 3" xfId="51236"/>
    <cellStyle name="差_立美-招牌广告产品报价表进口料 4" xfId="51237"/>
    <cellStyle name="差_立美-招牌广告产品报价表进口料 5" xfId="51238"/>
    <cellStyle name="差_立美-招牌广告产品报价表进口料 6" xfId="51239"/>
    <cellStyle name="差_立美-招牌广告产品报价表进口料 7" xfId="51240"/>
    <cellStyle name="差_立美-招牌广告产品报价表进口料 8" xfId="51241"/>
    <cellStyle name="差_龙口东店广告制品报价-追加20130131" xfId="51242"/>
    <cellStyle name="差_龙口东店广告制品报价-追加20130131 2" xfId="51243"/>
    <cellStyle name="差_龙口东店广告制品报价-追加20130131 3" xfId="51244"/>
    <cellStyle name="差_龙口东店广告制品报价-追加20130131 4" xfId="51245"/>
    <cellStyle name="差_龙口东店广告制品报价-追加20130131 5" xfId="51246"/>
    <cellStyle name="差_培训名单通知" xfId="7308"/>
    <cellStyle name="差_棚卸表2008.08.08" xfId="3012"/>
    <cellStyle name="差_棚卸表2008.08.08 2" xfId="3013"/>
    <cellStyle name="差_棚卸表2008.08.08 2 2" xfId="51247"/>
    <cellStyle name="差_棚卸表2008.08.08 2 3" xfId="51248"/>
    <cellStyle name="差_棚卸表2008.08.08 3" xfId="3014"/>
    <cellStyle name="差_棚卸表2008.08.08 3 2" xfId="51249"/>
    <cellStyle name="差_棚卸表2008.08.08 3 3" xfId="51250"/>
    <cellStyle name="差_棚卸表2008.08.08 4" xfId="51251"/>
    <cellStyle name="差_棚卸表2008.08.08 5" xfId="51252"/>
    <cellStyle name="差_棚卸表2008.08.08 6" xfId="51253"/>
    <cellStyle name="差_棚卸表2008.08.08 7" xfId="60973"/>
    <cellStyle name="差_棚卸表2008.08.08_40期事業計画（商品部）  (3)" xfId="3015"/>
    <cellStyle name="差_棚卸表2008.08.08_40期事業計画（商品部）  (3) 2" xfId="51254"/>
    <cellStyle name="差_棚卸表2008.08.08_40期事業計画（商品部）  (3) 3" xfId="51255"/>
    <cellStyle name="差_棚卸表2008.08.08_40期事業計画（商品部1）" xfId="3016"/>
    <cellStyle name="差_棚卸表2008.08.08_40期事業計画（商品部1） 2" xfId="3017"/>
    <cellStyle name="差_棚卸表2008.08.08_40期事業計画（商品部1） 2 2" xfId="51256"/>
    <cellStyle name="差_棚卸表2008.08.08_40期事業計画（商品部1） 2 3" xfId="51257"/>
    <cellStyle name="差_棚卸表2008.08.08_40期事業計画（商品部1） 3" xfId="3018"/>
    <cellStyle name="差_棚卸表2008.08.08_40期事業計画（商品部1） 3 2" xfId="51258"/>
    <cellStyle name="差_棚卸表2008.08.08_40期事業計画（商品部1） 3 3" xfId="51259"/>
    <cellStyle name="差_棚卸表2008.08.08_40期事業計画（商品部1） 4" xfId="51260"/>
    <cellStyle name="差_棚卸表2008.08.08_40期事業計画（商品部1） 5" xfId="51261"/>
    <cellStyle name="差_棚卸表2008.08.08_41期事業計画(商品部)" xfId="3019"/>
    <cellStyle name="差_棚卸表2008.08.08_41期事業計画(商品部) 2" xfId="3020"/>
    <cellStyle name="差_棚卸表2008.08.08_41期事業計画(商品部) 2 2" xfId="51262"/>
    <cellStyle name="差_棚卸表2008.08.08_41期事業計画(商品部) 2 3" xfId="51263"/>
    <cellStyle name="差_棚卸表2008.08.08_41期事業計画(商品部) 3" xfId="3021"/>
    <cellStyle name="差_棚卸表2008.08.08_41期事業計画(商品部) 3 2" xfId="51264"/>
    <cellStyle name="差_棚卸表2008.08.08_41期事業計画(商品部) 3 3" xfId="51265"/>
    <cellStyle name="差_棚卸表2008.08.08_41期事業計画(商品部) 4" xfId="51266"/>
    <cellStyle name="差_棚卸表2008.08.08_41期事業計画(商品部) 5" xfId="51267"/>
    <cellStyle name="差_棚卸表2008.08.08_CPI" xfId="3022"/>
    <cellStyle name="差_棚卸表2008.08.08_CPI 2" xfId="3023"/>
    <cellStyle name="差_棚卸表2008.08.08_CPI 2 2" xfId="51268"/>
    <cellStyle name="差_棚卸表2008.08.08_CPI 2 3" xfId="51269"/>
    <cellStyle name="差_棚卸表2008.08.08_CPI 3" xfId="3024"/>
    <cellStyle name="差_棚卸表2008.08.08_CPI 3 2" xfId="51270"/>
    <cellStyle name="差_棚卸表2008.08.08_CPI 3 3" xfId="51271"/>
    <cellStyle name="差_棚卸表2008.08.08_CPI 4" xfId="51272"/>
    <cellStyle name="差_棚卸表2008.08.08_CPI 5" xfId="51273"/>
    <cellStyle name="差_棚卸表2008.08.08_CPI(1)" xfId="3025"/>
    <cellStyle name="差_棚卸表2008.08.08_CPI(1) 2" xfId="51274"/>
    <cellStyle name="差_棚卸表2008.08.08_CPI(1) 3" xfId="51275"/>
    <cellStyle name="差_棚卸表2008.08.08_店舗マスター(20110921) 李 総経理.xls" xfId="7323"/>
    <cellStyle name="差_棚卸表2008.08.08_店舗マスター(20110921) 李 総経理.xls 2" xfId="51276"/>
    <cellStyle name="差_棚卸表2008.08.08_店舗マスター20091104" xfId="7324"/>
    <cellStyle name="差_棚卸表2008.08.08_店舗マスター20091104 2" xfId="51277"/>
    <cellStyle name="差_棚卸表2008.08.08_副本41期事業計画商品部（備品） (2) (2)" xfId="3026"/>
    <cellStyle name="差_棚卸表2008.08.08_副本41期事業計画商品部（備品） (2) (2) 2" xfId="3027"/>
    <cellStyle name="差_棚卸表2008.08.08_副本41期事業計画商品部（備品） (2) (2) 2 2" xfId="51278"/>
    <cellStyle name="差_棚卸表2008.08.08_副本41期事業計画商品部（備品） (2) (2) 2 3" xfId="51279"/>
    <cellStyle name="差_棚卸表2008.08.08_副本41期事業計画商品部（備品） (2) (2) 3" xfId="3028"/>
    <cellStyle name="差_棚卸表2008.08.08_副本41期事業計画商品部（備品） (2) (2) 3 2" xfId="51280"/>
    <cellStyle name="差_棚卸表2008.08.08_副本41期事業計画商品部（備品） (2) (2) 3 3" xfId="51281"/>
    <cellStyle name="差_棚卸表2008.08.08_副本41期事業計画商品部（備品） (2) (2) 4" xfId="51282"/>
    <cellStyle name="差_棚卸表2008.08.08_副本41期事業計画商品部（備品） (2) (2) 5" xfId="51283"/>
    <cellStyle name="差_棚卸表2008.08.08_進捗管理40期（営業部）" xfId="7328"/>
    <cellStyle name="差_棚卸表2008.08.08_進捗管理40期（営業部） 2" xfId="7329"/>
    <cellStyle name="差_棚卸表2008.08.08_進捗管理40期（営業部） 2 2" xfId="51284"/>
    <cellStyle name="差_棚卸表2008.08.08_進捗管理40期（営業部） 3" xfId="51285"/>
    <cellStyle name="差_品目出数顺（万元）" xfId="3029"/>
    <cellStyle name="差_品目出数顺（万元） 2" xfId="51286"/>
    <cellStyle name="差_品目出数顺（万元） 3" xfId="51287"/>
    <cellStyle name="差_品目出数順（100人）" xfId="3030"/>
    <cellStyle name="差_品目出数順（100人） 2" xfId="51288"/>
    <cellStyle name="差_品目出数順（100人） 3" xfId="51289"/>
    <cellStyle name="差_品種出数順(万元）" xfId="3031"/>
    <cellStyle name="差_品種出数順(万元） 2" xfId="51290"/>
    <cellStyle name="差_品種出数順(万元） 3" xfId="51291"/>
    <cellStyle name="差_入" xfId="24"/>
    <cellStyle name="差_萨莉亚 G-5吉之島店空调报价（新2）" xfId="51292"/>
    <cellStyle name="差_萨莉亚 G-5吉之島店空调报价（新2） 2" xfId="51293"/>
    <cellStyle name="差_萨莉亚 G-5吉之島店空调报价（新2） 3" xfId="51294"/>
    <cellStyle name="差_萨莉亚 G-5吉之島店空调报价（新2） 4" xfId="51295"/>
    <cellStyle name="差_萨莉亚 G-5吉之島店空调报价（新2） 5" xfId="51296"/>
    <cellStyle name="差_萨莉亚 G-5吉之島店空调报价（新2） 6" xfId="51297"/>
    <cellStyle name="差_萨莉亚 G-5吉之島店空调报价（新2） 7" xfId="51298"/>
    <cellStyle name="差_萨莉亚 G-5吉之島店空调报价（新2） 8" xfId="51299"/>
    <cellStyle name="差_萨莉亚花都新中路维修工程报价2012-1-13" xfId="51300"/>
    <cellStyle name="差_萨莉亚花都新中路维修工程报价2012-1-13 2" xfId="51301"/>
    <cellStyle name="差_萨莉亚花都新中路维修工程报价2012-1-13 3" xfId="51302"/>
    <cellStyle name="差_萨莉亚花都新中路维修工程报价2012-1-13 4" xfId="51303"/>
    <cellStyle name="差_萨莉亚花都新中路维修工程报价2012-1-13 5" xfId="51304"/>
    <cellStyle name="差_商品部年間計画" xfId="3032"/>
    <cellStyle name="差_商品部年間計画 2" xfId="3033"/>
    <cellStyle name="差_商品部年間計画 2 2" xfId="51305"/>
    <cellStyle name="差_商品部年間計画 2 3" xfId="51306"/>
    <cellStyle name="差_商品部年間計画 3" xfId="3034"/>
    <cellStyle name="差_商品部年間計画 3 2" xfId="51307"/>
    <cellStyle name="差_商品部年間計画 3 3" xfId="51308"/>
    <cellStyle name="差_商品部年間計画 4" xfId="51309"/>
    <cellStyle name="差_商品部年間計画 5" xfId="51310"/>
    <cellStyle name="差_商品部年間計画 6" xfId="51311"/>
    <cellStyle name="差_商品部年間計画_201205同業他社比較（商品構成G）" xfId="3035"/>
    <cellStyle name="差_商品部年間計画_201205同業他社比較（商品構成G） 2" xfId="51312"/>
    <cellStyle name="差_商品部年間計画_201205同業他社比較（商品構成G） 3" xfId="51313"/>
    <cellStyle name="差_商品部年間計画_201205同業他社比較（商品構成G）_副本新メニュー観察(上海) 201204 花島添削 (5)" xfId="3036"/>
    <cellStyle name="差_商品部年間計画_201205同業他社比較（商品構成G）_副本新メニュー観察(上海) 201204 花島添削 (5) 2" xfId="51314"/>
    <cellStyle name="差_商品部年間計画_201205同業他社比較（商品構成G）_副本新メニュー観察(上海) 201204 花島添削 (5) 3" xfId="51315"/>
    <cellStyle name="差_商品部年間計画_201205同業他社比較（商品構成G）_新メニュー観察(上海) 201204 花島添削 (2) (5)" xfId="3037"/>
    <cellStyle name="差_商品部年間計画_201205同業他社比較（商品構成G）_新メニュー観察(上海) 201204 花島添削 (2) (5) 2" xfId="51316"/>
    <cellStyle name="差_商品部年間計画_201205同業他社比較（商品構成G）_新メニュー観察(上海) 201204 花島添削 (2) (5) 3" xfId="51317"/>
    <cellStyle name="差_商品部年間計画_40期事業計画（商品部）  (3)" xfId="3038"/>
    <cellStyle name="差_商品部年間計画_40期事業計画（商品部）  (3) 2" xfId="51318"/>
    <cellStyle name="差_商品部年間計画_40期事業計画（商品部）  (3) 3" xfId="51319"/>
    <cellStyle name="差_商品部年間計画_40期事業計画（商品部）  (3) 4" xfId="51320"/>
    <cellStyle name="差_商品部年間計画_40期事業計画（商品部1）" xfId="3039"/>
    <cellStyle name="差_商品部年間計画_40期事業計画（商品部1） 2" xfId="3040"/>
    <cellStyle name="差_商品部年間計画_40期事業計画（商品部1） 2 2" xfId="51321"/>
    <cellStyle name="差_商品部年間計画_40期事業計画（商品部1） 2 3" xfId="51322"/>
    <cellStyle name="差_商品部年間計画_40期事業計画（商品部1） 2 4" xfId="51323"/>
    <cellStyle name="差_商品部年間計画_40期事業計画（商品部1） 3" xfId="3041"/>
    <cellStyle name="差_商品部年間計画_40期事業計画（商品部1） 3 2" xfId="51324"/>
    <cellStyle name="差_商品部年間計画_40期事業計画（商品部1） 3 3" xfId="51325"/>
    <cellStyle name="差_商品部年間計画_40期事業計画（商品部1） 3 4" xfId="51326"/>
    <cellStyle name="差_商品部年間計画_40期事業計画（商品部1） 4" xfId="51327"/>
    <cellStyle name="差_商品部年間計画_40期事業計画（商品部1） 5" xfId="51328"/>
    <cellStyle name="差_商品部年間計画_40期事業計画（商品部1） 6" xfId="51329"/>
    <cellStyle name="差_商品部年間計画_40期預実（商品部） (3)" xfId="3042"/>
    <cellStyle name="差_商品部年間計画_40期預実（商品部） (3) 2" xfId="3043"/>
    <cellStyle name="差_商品部年間計画_40期預実（商品部） (3) 2 2" xfId="51330"/>
    <cellStyle name="差_商品部年間計画_40期預実（商品部） (3) 2 3" xfId="51331"/>
    <cellStyle name="差_商品部年間計画_40期預実（商品部） (3) 2 4" xfId="51332"/>
    <cellStyle name="差_商品部年間計画_40期預実（商品部） (3) 3" xfId="3044"/>
    <cellStyle name="差_商品部年間計画_40期預実（商品部） (3) 3 2" xfId="51333"/>
    <cellStyle name="差_商品部年間計画_40期預実（商品部） (3) 3 3" xfId="51334"/>
    <cellStyle name="差_商品部年間計画_40期預実（商品部） (3) 3 4" xfId="51335"/>
    <cellStyle name="差_商品部年間計画_40期預実（商品部） (3) 4" xfId="51336"/>
    <cellStyle name="差_商品部年間計画_40期預実（商品部） (3) 5" xfId="51337"/>
    <cellStyle name="差_商品部年間計画_40期預実（商品部） (3) 6" xfId="51338"/>
    <cellStyle name="差_商品部年間計画_40期預実（商品部） (3)_201205同業他社比較（商品構成G）" xfId="3045"/>
    <cellStyle name="差_商品部年間計画_40期預実（商品部） (3)_201205同業他社比較（商品構成G） 2" xfId="51339"/>
    <cellStyle name="差_商品部年間計画_40期預実（商品部） (3)_201205同業他社比較（商品構成G） 3" xfId="51340"/>
    <cellStyle name="差_商品部年間計画_40期預実（商品部） (3)_副本新メニュー観察(上海) 201204 花島添削 (5)" xfId="3046"/>
    <cellStyle name="差_商品部年間計画_40期預実（商品部） (3)_副本新メニュー観察(上海) 201204 花島添削 (5) 2" xfId="51341"/>
    <cellStyle name="差_商品部年間計画_40期預実（商品部） (3)_副本新メニュー観察(上海) 201204 花島添削 (5) 3" xfId="51342"/>
    <cellStyle name="差_商品部年間計画_40期預実（商品部） (3)_副本新メニュー観察(上海) 201204 花島添削 (5) 4" xfId="51343"/>
    <cellStyle name="差_商品部年間計画_40期預実（商品部） (3)_新メニュー観察(上海) 201204 花島添削 (2) (5)" xfId="3047"/>
    <cellStyle name="差_商品部年間計画_40期預実（商品部） (3)_新メニュー観察(上海) 201204 花島添削 (2) (5) 2" xfId="51344"/>
    <cellStyle name="差_商品部年間計画_40期預実（商品部） (3)_新メニュー観察(上海) 201204 花島添削 (2) (5) 3" xfId="51345"/>
    <cellStyle name="差_商品部年間計画_40期預実（商品部） (3)_新メニュー観察(上海) 201204 花島添削 (2) (5) 4" xfId="51346"/>
    <cellStyle name="差_商品部年間計画_40期預実（商品部） (3)_週新品観察." xfId="3048"/>
    <cellStyle name="差_商品部年間計画_40期預実（商品部） (3)_週新品観察. 2" xfId="51347"/>
    <cellStyle name="差_商品部年間計画_40期預実（商品部） (3)_週新品観察. 3" xfId="51348"/>
    <cellStyle name="差_商品部年間計画_40期預実（商品部） (3)_週新品観察. 4" xfId="51349"/>
    <cellStyle name="差_商品部年間計画_41期事業計画(商品部)" xfId="3049"/>
    <cellStyle name="差_商品部年間計画_41期事業計画(商品部) 2" xfId="3050"/>
    <cellStyle name="差_商品部年間計画_41期事業計画(商品部) 2 2" xfId="51350"/>
    <cellStyle name="差_商品部年間計画_41期事業計画(商品部) 2 3" xfId="51351"/>
    <cellStyle name="差_商品部年間計画_41期事業計画(商品部) 2 4" xfId="51352"/>
    <cellStyle name="差_商品部年間計画_41期事業計画(商品部) 3" xfId="3051"/>
    <cellStyle name="差_商品部年間計画_41期事業計画(商品部) 3 2" xfId="51353"/>
    <cellStyle name="差_商品部年間計画_41期事業計画(商品部) 3 3" xfId="51354"/>
    <cellStyle name="差_商品部年間計画_41期事業計画(商品部) 3 4" xfId="51355"/>
    <cellStyle name="差_商品部年間計画_41期事業計画(商品部) 4" xfId="51356"/>
    <cellStyle name="差_商品部年間計画_41期事業計画(商品部) 5" xfId="51357"/>
    <cellStyle name="差_商品部年間計画_41期事業計画(商品部) 6" xfId="51358"/>
    <cellStyle name="差_商品部年間計画_CPI" xfId="3052"/>
    <cellStyle name="差_商品部年間計画_CPI 2" xfId="3053"/>
    <cellStyle name="差_商品部年間計画_CPI 2 2" xfId="51359"/>
    <cellStyle name="差_商品部年間計画_CPI 2 3" xfId="51360"/>
    <cellStyle name="差_商品部年間計画_CPI 2 4" xfId="51361"/>
    <cellStyle name="差_商品部年間計画_CPI 3" xfId="3054"/>
    <cellStyle name="差_商品部年間計画_CPI 3 2" xfId="51362"/>
    <cellStyle name="差_商品部年間計画_CPI 3 3" xfId="51363"/>
    <cellStyle name="差_商品部年間計画_CPI 3 4" xfId="51364"/>
    <cellStyle name="差_商品部年間計画_CPI 4" xfId="51365"/>
    <cellStyle name="差_商品部年間計画_CPI 5" xfId="51366"/>
    <cellStyle name="差_商品部年間計画_CPI 6" xfId="51367"/>
    <cellStyle name="差_商品部年間計画_CPI(1)" xfId="3055"/>
    <cellStyle name="差_商品部年間計画_CPI(1) 2" xfId="51368"/>
    <cellStyle name="差_商品部年間計画_CPI(1) 3" xfId="51369"/>
    <cellStyle name="差_商品部年間計画_CPI(1) 4" xfId="51370"/>
    <cellStyle name="差_商品部年間計画_Sheet1" xfId="3056"/>
    <cellStyle name="差_商品部年間計画_Sheet1 2" xfId="51371"/>
    <cellStyle name="差_商品部年間計画_Sheet1 3" xfId="51372"/>
    <cellStyle name="差_商品部年間計画_Sheet1 4" xfId="51373"/>
    <cellStyle name="差_商品部年間計画_Sheet1_副本新メニュー観察(上海) 201204 花島添削 (5)" xfId="3057"/>
    <cellStyle name="差_商品部年間計画_Sheet1_副本新メニュー観察(上海) 201204 花島添削 (5) 2" xfId="51374"/>
    <cellStyle name="差_商品部年間計画_Sheet1_副本新メニュー観察(上海) 201204 花島添削 (5) 3" xfId="51375"/>
    <cellStyle name="差_商品部年間計画_Sheet1_副本新メニュー観察(上海) 201204 花島添削 (5) 4" xfId="51376"/>
    <cellStyle name="差_商品部年間計画_Sheet1_新メニュー観察(上海) 201204 花島添削 (2) (5)" xfId="3058"/>
    <cellStyle name="差_商品部年間計画_Sheet1_新メニュー観察(上海) 201204 花島添削 (2) (5) 2" xfId="51377"/>
    <cellStyle name="差_商品部年間計画_Sheet1_新メニュー観察(上海) 201204 花島添削 (2) (5) 3" xfId="51378"/>
    <cellStyle name="差_商品部年間計画_Sheet1_新メニュー観察(上海) 201204 花島添削 (2) (5) 4" xfId="51379"/>
    <cellStyle name="差_商品部年間計画_Xl0000173" xfId="3059"/>
    <cellStyle name="差_商品部年間計画_Xl0000173 2" xfId="51380"/>
    <cellStyle name="差_商品部年間計画_Xl0000173 3" xfId="51381"/>
    <cellStyle name="差_商品部年間計画_Xl0000173 4" xfId="51382"/>
    <cellStyle name="差_商品部年間計画_Xl0000173_副本新メニュー観察(上海) 201204 花島添削 (5)" xfId="3060"/>
    <cellStyle name="差_商品部年間計画_Xl0000173_副本新メニュー観察(上海) 201204 花島添削 (5) 2" xfId="51383"/>
    <cellStyle name="差_商品部年間計画_Xl0000173_副本新メニュー観察(上海) 201204 花島添削 (5) 3" xfId="51384"/>
    <cellStyle name="差_商品部年間計画_Xl0000173_副本新メニュー観察(上海) 201204 花島添削 (5) 4" xfId="51385"/>
    <cellStyle name="差_商品部年間計画_Xl0000173_新メニュー観察(上海) 201204 花島添削 (2) (5)" xfId="3061"/>
    <cellStyle name="差_商品部年間計画_Xl0000173_新メニュー観察(上海) 201204 花島添削 (2) (5) 2" xfId="51386"/>
    <cellStyle name="差_商品部年間計画_Xl0000173_新メニュー観察(上海) 201204 花島添削 (2) (5) 3" xfId="51387"/>
    <cellStyle name="差_商品部年間計画_Xl0000173_新メニュー観察(上海) 201204 花島添削 (2) (5) 4" xfId="51388"/>
    <cellStyle name="差_商品部年間計画_儊僯儏乕娤嶡(2-1)" xfId="3062"/>
    <cellStyle name="差_商品部年間計画_儊僯儏乕娤嶡(2-1) 2" xfId="51389"/>
    <cellStyle name="差_商品部年間計画_儊僯儏乕娤嶡(2-1) 3" xfId="51390"/>
    <cellStyle name="差_商品部年間計画_儊僯儏乕娤嶡(2-1) 4" xfId="51391"/>
    <cellStyle name="差_商品部年間計画_儊僯儏乕娤嶡(2-2乯" xfId="3063"/>
    <cellStyle name="差_商品部年間計画_儊僯儏乕娤嶡(2-2乯 2" xfId="51392"/>
    <cellStyle name="差_商品部年間計画_儊僯儏乕娤嶡(2-2乯 3" xfId="51393"/>
    <cellStyle name="差_商品部年間計画_儊僯儏乕娤嶡(2-2乯 4" xfId="51394"/>
    <cellStyle name="差_商品部年間計画_儊僯儏乕娤嶡(2-2乯_副本新メニュー観察(上海) 201204 花島添削 (5)" xfId="3064"/>
    <cellStyle name="差_商品部年間計画_儊僯儏乕娤嶡(2-2乯_副本新メニュー観察(上海) 201204 花島添削 (5) 2" xfId="51395"/>
    <cellStyle name="差_商品部年間計画_儊僯儏乕娤嶡(2-2乯_副本新メニュー観察(上海) 201204 花島添削 (5) 3" xfId="51396"/>
    <cellStyle name="差_商品部年間計画_儊僯儏乕娤嶡(2-2乯_副本新メニュー観察(上海) 201204 花島添削 (5) 4" xfId="51397"/>
    <cellStyle name="差_商品部年間計画_儊僯儏乕娤嶡(2-2乯_新メニュー観察(上海) 201204 花島添削 (2) (5)" xfId="3065"/>
    <cellStyle name="差_商品部年間計画_儊僯儏乕娤嶡(2-2乯_新メニュー観察(上海) 201204 花島添削 (2) (5) 2" xfId="51398"/>
    <cellStyle name="差_商品部年間計画_儊僯儏乕娤嶡(2-2乯_新メニュー観察(上海) 201204 花島添削 (2) (5) 3" xfId="51399"/>
    <cellStyle name="差_商品部年間計画_儊僯儏乕娤嶡(2-2乯_新メニュー観察(上海) 201204 花島添削 (2) (5) 4" xfId="51400"/>
    <cellStyle name="差_商品部年間計画_副本40期預実（商品部） (3)" xfId="3066"/>
    <cellStyle name="差_商品部年間計画_副本40期預実（商品部） (3) 2" xfId="3067"/>
    <cellStyle name="差_商品部年間計画_副本40期預実（商品部） (3) 2 2" xfId="51401"/>
    <cellStyle name="差_商品部年間計画_副本40期預実（商品部） (3) 2 3" xfId="51402"/>
    <cellStyle name="差_商品部年間計画_副本40期預実（商品部） (3) 2 4" xfId="51403"/>
    <cellStyle name="差_商品部年間計画_副本40期預実（商品部） (3) 3" xfId="3068"/>
    <cellStyle name="差_商品部年間計画_副本40期預実（商品部） (3) 3 2" xfId="51404"/>
    <cellStyle name="差_商品部年間計画_副本40期預実（商品部） (3) 3 3" xfId="51405"/>
    <cellStyle name="差_商品部年間計画_副本40期預実（商品部） (3) 3 4" xfId="51406"/>
    <cellStyle name="差_商品部年間計画_副本40期預実（商品部） (3) 4" xfId="51407"/>
    <cellStyle name="差_商品部年間計画_副本40期預実（商品部） (3) 5" xfId="51408"/>
    <cellStyle name="差_商品部年間計画_副本40期預実（商品部） (3) 6" xfId="51409"/>
    <cellStyle name="差_商品部年間計画_副本40期預実（商品部） (3)_201205同業他社比較（商品構成G）" xfId="3069"/>
    <cellStyle name="差_商品部年間計画_副本40期預実（商品部） (3)_201205同業他社比較（商品構成G） 2" xfId="51410"/>
    <cellStyle name="差_商品部年間計画_副本40期預実（商品部） (3)_201205同業他社比較（商品構成G） 3" xfId="51411"/>
    <cellStyle name="差_商品部年間計画_副本40期預実（商品部） (3)_副本新メニュー観察(上海) 201204 花島添削 (5)" xfId="3070"/>
    <cellStyle name="差_商品部年間計画_副本40期預実（商品部） (3)_副本新メニュー観察(上海) 201204 花島添削 (5) 2" xfId="51412"/>
    <cellStyle name="差_商品部年間計画_副本40期預実（商品部） (3)_副本新メニュー観察(上海) 201204 花島添削 (5) 3" xfId="51413"/>
    <cellStyle name="差_商品部年間計画_副本40期預実（商品部） (3)_副本新メニュー観察(上海) 201204 花島添削 (5) 4" xfId="51414"/>
    <cellStyle name="差_商品部年間計画_副本40期預実（商品部） (3)_新メニュー観察(上海) 201204 花島添削 (2) (5)" xfId="3071"/>
    <cellStyle name="差_商品部年間計画_副本40期預実（商品部） (3)_新メニュー観察(上海) 201204 花島添削 (2) (5) 2" xfId="51415"/>
    <cellStyle name="差_商品部年間計画_副本40期預実（商品部） (3)_新メニュー観察(上海) 201204 花島添削 (2) (5) 3" xfId="51416"/>
    <cellStyle name="差_商品部年間計画_副本40期預実（商品部） (3)_新メニュー観察(上海) 201204 花島添削 (2) (5) 4" xfId="51417"/>
    <cellStyle name="差_商品部年間計画_副本40期預実（商品部） (3)_週新品観察." xfId="3072"/>
    <cellStyle name="差_商品部年間計画_副本40期預実（商品部） (3)_週新品観察. 2" xfId="51418"/>
    <cellStyle name="差_商品部年間計画_副本40期預実（商品部） (3)_週新品観察. 3" xfId="51419"/>
    <cellStyle name="差_商品部年間計画_副本40期預実（商品部） (3)_週新品観察. 4" xfId="51420"/>
    <cellStyle name="差_商品部年間計画_副本41期事業計画商品部（備品） (2) (2)" xfId="3073"/>
    <cellStyle name="差_商品部年間計画_副本41期事業計画商品部（備品） (2) (2) 2" xfId="3074"/>
    <cellStyle name="差_商品部年間計画_副本41期事業計画商品部（備品） (2) (2) 2 2" xfId="51421"/>
    <cellStyle name="差_商品部年間計画_副本41期事業計画商品部（備品） (2) (2) 2 3" xfId="51422"/>
    <cellStyle name="差_商品部年間計画_副本41期事業計画商品部（備品） (2) (2) 2 4" xfId="51423"/>
    <cellStyle name="差_商品部年間計画_副本41期事業計画商品部（備品） (2) (2) 3" xfId="3075"/>
    <cellStyle name="差_商品部年間計画_副本41期事業計画商品部（備品） (2) (2) 3 2" xfId="51424"/>
    <cellStyle name="差_商品部年間計画_副本41期事業計画商品部（備品） (2) (2) 3 3" xfId="51425"/>
    <cellStyle name="差_商品部年間計画_副本41期事業計画商品部（備品） (2) (2) 3 4" xfId="51426"/>
    <cellStyle name="差_商品部年間計画_副本41期事業計画商品部（備品） (2) (2) 4" xfId="51427"/>
    <cellStyle name="差_商品部年間計画_副本41期事業計画商品部（備品） (2) (2) 5" xfId="51428"/>
    <cellStyle name="差_商品部年間計画_副本41期事業計画商品部（備品） (2) (2) 6" xfId="51429"/>
    <cellStyle name="差_商品部年間計画_開発商品(chen)" xfId="3076"/>
    <cellStyle name="差_商品部年間計画_開発商品(chen) 2" xfId="3077"/>
    <cellStyle name="差_商品部年間計画_開発商品(chen) 2 2" xfId="51430"/>
    <cellStyle name="差_商品部年間計画_開発商品(chen) 2 3" xfId="51431"/>
    <cellStyle name="差_商品部年間計画_開発商品(chen) 2 4" xfId="51432"/>
    <cellStyle name="差_商品部年間計画_開発商品(chen) 3" xfId="3078"/>
    <cellStyle name="差_商品部年間計画_開発商品(chen) 3 2" xfId="51433"/>
    <cellStyle name="差_商品部年間計画_開発商品(chen) 3 3" xfId="51434"/>
    <cellStyle name="差_商品部年間計画_開発商品(chen) 3 4" xfId="51435"/>
    <cellStyle name="差_商品部年間計画_開発商品(chen) 4" xfId="51436"/>
    <cellStyle name="差_商品部年間計画_開発商品(chen) 5" xfId="51437"/>
    <cellStyle name="差_商品部年間計画_開発商品(chen) 6" xfId="51438"/>
    <cellStyle name="差_商品部年間計画_開発商品(chen)_201205同業他社比較（商品構成G）" xfId="3079"/>
    <cellStyle name="差_商品部年間計画_開発商品(chen)_201205同業他社比較（商品構成G） 2" xfId="51439"/>
    <cellStyle name="差_商品部年間計画_開発商品(chen)_201205同業他社比較（商品構成G） 3" xfId="51440"/>
    <cellStyle name="差_商品部年間計画_開発商品(chen)_副本新メニュー観察(上海) 201204 花島添削 (5)" xfId="3080"/>
    <cellStyle name="差_商品部年間計画_開発商品(chen)_副本新メニュー観察(上海) 201204 花島添削 (5) 2" xfId="51441"/>
    <cellStyle name="差_商品部年間計画_開発商品(chen)_副本新メニュー観察(上海) 201204 花島添削 (5) 3" xfId="51442"/>
    <cellStyle name="差_商品部年間計画_開発商品(chen)_副本新メニュー観察(上海) 201204 花島添削 (5) 4" xfId="51443"/>
    <cellStyle name="差_商品部年間計画_開発商品(chen)_新メニュー観察(上海) 201204 花島添削 (2) (5)" xfId="3081"/>
    <cellStyle name="差_商品部年間計画_開発商品(chen)_新メニュー観察(上海) 201204 花島添削 (2) (5) 2" xfId="51444"/>
    <cellStyle name="差_商品部年間計画_開発商品(chen)_新メニュー観察(上海) 201204 花島添削 (2) (5) 3" xfId="51445"/>
    <cellStyle name="差_商品部年間計画_開発商品(chen)_新メニュー観察(上海) 201204 花島添削 (2) (5) 4" xfId="51446"/>
    <cellStyle name="差_商品部年間計画_開発商品(chen)_週新品観察." xfId="3082"/>
    <cellStyle name="差_商品部年間計画_開発商品(chen)_週新品観察. 2" xfId="51447"/>
    <cellStyle name="差_商品部年間計画_開発商品(chen)_週新品観察. 3" xfId="51448"/>
    <cellStyle name="差_商品部年間計画_開発商品(chen)_週新品観察. 4" xfId="51449"/>
    <cellStyle name="差_商品部年間計画_物流" xfId="3083"/>
    <cellStyle name="差_商品部年間計画_物流 2" xfId="3084"/>
    <cellStyle name="差_商品部年間計画_物流 2 2" xfId="51450"/>
    <cellStyle name="差_商品部年間計画_物流 2 3" xfId="51451"/>
    <cellStyle name="差_商品部年間計画_物流 2 4" xfId="51452"/>
    <cellStyle name="差_商品部年間計画_物流 3" xfId="3085"/>
    <cellStyle name="差_商品部年間計画_物流 3 2" xfId="51453"/>
    <cellStyle name="差_商品部年間計画_物流 3 3" xfId="51454"/>
    <cellStyle name="差_商品部年間計画_物流 3 4" xfId="51455"/>
    <cellStyle name="差_商品部年間計画_物流 4" xfId="51456"/>
    <cellStyle name="差_商品部年間計画_物流 5" xfId="51457"/>
    <cellStyle name="差_商品部年間計画_物流 6" xfId="51458"/>
    <cellStyle name="差_商品部年間計画_物流_201205同業他社比較（商品構成G）" xfId="3086"/>
    <cellStyle name="差_商品部年間計画_物流_201205同業他社比較（商品構成G） 2" xfId="51459"/>
    <cellStyle name="差_商品部年間計画_物流_201205同業他社比較（商品構成G） 3" xfId="51460"/>
    <cellStyle name="差_商品部年間計画_物流_40期事業計画（商品部）  (3)" xfId="3087"/>
    <cellStyle name="差_商品部年間計画_物流_40期事業計画（商品部）  (3) 2" xfId="51461"/>
    <cellStyle name="差_商品部年間計画_物流_40期事業計画（商品部）  (3) 3" xfId="51462"/>
    <cellStyle name="差_商品部年間計画_物流_40期事業計画（商品部）  (3) 4" xfId="51463"/>
    <cellStyle name="差_商品部年間計画_物流_40期事業計画（商品部1）" xfId="3088"/>
    <cellStyle name="差_商品部年間計画_物流_40期事業計画（商品部1） 2" xfId="3089"/>
    <cellStyle name="差_商品部年間計画_物流_40期事業計画（商品部1） 2 2" xfId="51464"/>
    <cellStyle name="差_商品部年間計画_物流_40期事業計画（商品部1） 2 3" xfId="51465"/>
    <cellStyle name="差_商品部年間計画_物流_40期事業計画（商品部1） 2 4" xfId="51466"/>
    <cellStyle name="差_商品部年間計画_物流_40期事業計画（商品部1） 3" xfId="3090"/>
    <cellStyle name="差_商品部年間計画_物流_40期事業計画（商品部1） 3 2" xfId="51467"/>
    <cellStyle name="差_商品部年間計画_物流_40期事業計画（商品部1） 3 3" xfId="51468"/>
    <cellStyle name="差_商品部年間計画_物流_40期事業計画（商品部1） 3 4" xfId="51469"/>
    <cellStyle name="差_商品部年間計画_物流_40期事業計画（商品部1） 4" xfId="51470"/>
    <cellStyle name="差_商品部年間計画_物流_40期事業計画（商品部1） 5" xfId="51471"/>
    <cellStyle name="差_商品部年間計画_物流_40期事業計画（商品部1） 6" xfId="51472"/>
    <cellStyle name="差_商品部年間計画_物流_40期預実（商品部） (3)" xfId="3091"/>
    <cellStyle name="差_商品部年間計画_物流_40期預実（商品部） (3) 2" xfId="3092"/>
    <cellStyle name="差_商品部年間計画_物流_40期預実（商品部） (3) 2 2" xfId="51473"/>
    <cellStyle name="差_商品部年間計画_物流_40期預実（商品部） (3) 2 3" xfId="51474"/>
    <cellStyle name="差_商品部年間計画_物流_40期預実（商品部） (3) 2 4" xfId="51475"/>
    <cellStyle name="差_商品部年間計画_物流_40期預実（商品部） (3) 3" xfId="3093"/>
    <cellStyle name="差_商品部年間計画_物流_40期預実（商品部） (3) 3 2" xfId="51476"/>
    <cellStyle name="差_商品部年間計画_物流_40期預実（商品部） (3) 3 3" xfId="51477"/>
    <cellStyle name="差_商品部年間計画_物流_40期預実（商品部） (3) 3 4" xfId="51478"/>
    <cellStyle name="差_商品部年間計画_物流_40期預実（商品部） (3) 4" xfId="51479"/>
    <cellStyle name="差_商品部年間計画_物流_40期預実（商品部） (3) 5" xfId="51480"/>
    <cellStyle name="差_商品部年間計画_物流_40期預実（商品部） (3) 6" xfId="51481"/>
    <cellStyle name="差_商品部年間計画_物流_40期預実（商品部） (3)_201205同業他社比較（商品構成G）" xfId="3094"/>
    <cellStyle name="差_商品部年間計画_物流_40期預実（商品部） (3)_201205同業他社比較（商品構成G） 2" xfId="51482"/>
    <cellStyle name="差_商品部年間計画_物流_40期預実（商品部） (3)_201205同業他社比較（商品構成G） 3" xfId="51483"/>
    <cellStyle name="差_商品部年間計画_物流_40期預実（商品部） (3)_副本新メニュー観察(上海) 201204 花島添削 (5)" xfId="3095"/>
    <cellStyle name="差_商品部年間計画_物流_40期預実（商品部） (3)_副本新メニュー観察(上海) 201204 花島添削 (5) 2" xfId="51484"/>
    <cellStyle name="差_商品部年間計画_物流_40期預実（商品部） (3)_副本新メニュー観察(上海) 201204 花島添削 (5) 3" xfId="51485"/>
    <cellStyle name="差_商品部年間計画_物流_40期預実（商品部） (3)_副本新メニュー観察(上海) 201204 花島添削 (5) 4" xfId="51486"/>
    <cellStyle name="差_商品部年間計画_物流_40期預実（商品部） (3)_新メニュー観察(上海) 201204 花島添削 (2) (5)" xfId="3096"/>
    <cellStyle name="差_商品部年間計画_物流_40期預実（商品部） (3)_新メニュー観察(上海) 201204 花島添削 (2) (5) 2" xfId="51487"/>
    <cellStyle name="差_商品部年間計画_物流_40期預実（商品部） (3)_新メニュー観察(上海) 201204 花島添削 (2) (5) 3" xfId="51488"/>
    <cellStyle name="差_商品部年間計画_物流_40期預実（商品部） (3)_新メニュー観察(上海) 201204 花島添削 (2) (5) 4" xfId="51489"/>
    <cellStyle name="差_商品部年間計画_物流_40期預実（商品部） (3)_週新品観察." xfId="3097"/>
    <cellStyle name="差_商品部年間計画_物流_40期預実（商品部） (3)_週新品観察. 2" xfId="51490"/>
    <cellStyle name="差_商品部年間計画_物流_40期預実（商品部） (3)_週新品観察. 3" xfId="51491"/>
    <cellStyle name="差_商品部年間計画_物流_40期預実（商品部） (3)_週新品観察. 4" xfId="51492"/>
    <cellStyle name="差_商品部年間計画_物流_41期事業計画(商品部)" xfId="3098"/>
    <cellStyle name="差_商品部年間計画_物流_41期事業計画(商品部) 2" xfId="3099"/>
    <cellStyle name="差_商品部年間計画_物流_41期事業計画(商品部) 2 2" xfId="51493"/>
    <cellStyle name="差_商品部年間計画_物流_41期事業計画(商品部) 2 3" xfId="51494"/>
    <cellStyle name="差_商品部年間計画_物流_41期事業計画(商品部) 2 4" xfId="51495"/>
    <cellStyle name="差_商品部年間計画_物流_41期事業計画(商品部) 3" xfId="3100"/>
    <cellStyle name="差_商品部年間計画_物流_41期事業計画(商品部) 3 2" xfId="51496"/>
    <cellStyle name="差_商品部年間計画_物流_41期事業計画(商品部) 3 3" xfId="51497"/>
    <cellStyle name="差_商品部年間計画_物流_41期事業計画(商品部) 3 4" xfId="51498"/>
    <cellStyle name="差_商品部年間計画_物流_41期事業計画(商品部) 4" xfId="51499"/>
    <cellStyle name="差_商品部年間計画_物流_41期事業計画(商品部) 5" xfId="51500"/>
    <cellStyle name="差_商品部年間計画_物流_41期事業計画(商品部) 6" xfId="51501"/>
    <cellStyle name="差_商品部年間計画_物流_CPI" xfId="3101"/>
    <cellStyle name="差_商品部年間計画_物流_CPI 2" xfId="3102"/>
    <cellStyle name="差_商品部年間計画_物流_CPI 2 2" xfId="51502"/>
    <cellStyle name="差_商品部年間計画_物流_CPI 2 3" xfId="51503"/>
    <cellStyle name="差_商品部年間計画_物流_CPI 2 4" xfId="51504"/>
    <cellStyle name="差_商品部年間計画_物流_CPI 3" xfId="3103"/>
    <cellStyle name="差_商品部年間計画_物流_CPI 3 2" xfId="51505"/>
    <cellStyle name="差_商品部年間計画_物流_CPI 3 3" xfId="51506"/>
    <cellStyle name="差_商品部年間計画_物流_CPI 3 4" xfId="51507"/>
    <cellStyle name="差_商品部年間計画_物流_CPI 4" xfId="51508"/>
    <cellStyle name="差_商品部年間計画_物流_CPI 5" xfId="51509"/>
    <cellStyle name="差_商品部年間計画_物流_CPI 6" xfId="51510"/>
    <cellStyle name="差_商品部年間計画_物流_CPI(1)" xfId="3104"/>
    <cellStyle name="差_商品部年間計画_物流_CPI(1) 2" xfId="51511"/>
    <cellStyle name="差_商品部年間計画_物流_CPI(1) 3" xfId="51512"/>
    <cellStyle name="差_商品部年間計画_物流_CPI(1) 4" xfId="51513"/>
    <cellStyle name="差_商品部年間計画_物流_副本40期預実（商品部） (3)" xfId="3105"/>
    <cellStyle name="差_商品部年間計画_物流_副本40期預実（商品部） (3) 2" xfId="3106"/>
    <cellStyle name="差_商品部年間計画_物流_副本40期預実（商品部） (3) 2 2" xfId="51514"/>
    <cellStyle name="差_商品部年間計画_物流_副本40期預実（商品部） (3) 2 3" xfId="51515"/>
    <cellStyle name="差_商品部年間計画_物流_副本40期預実（商品部） (3) 2 4" xfId="51516"/>
    <cellStyle name="差_商品部年間計画_物流_副本40期預実（商品部） (3) 3" xfId="3107"/>
    <cellStyle name="差_商品部年間計画_物流_副本40期預実（商品部） (3) 3 2" xfId="51517"/>
    <cellStyle name="差_商品部年間計画_物流_副本40期預実（商品部） (3) 3 3" xfId="51518"/>
    <cellStyle name="差_商品部年間計画_物流_副本40期預実（商品部） (3) 3 4" xfId="51519"/>
    <cellStyle name="差_商品部年間計画_物流_副本40期預実（商品部） (3) 4" xfId="51520"/>
    <cellStyle name="差_商品部年間計画_物流_副本40期預実（商品部） (3) 5" xfId="51521"/>
    <cellStyle name="差_商品部年間計画_物流_副本40期預実（商品部） (3) 6" xfId="51522"/>
    <cellStyle name="差_商品部年間計画_物流_副本40期預実（商品部） (3)_201205同業他社比較（商品構成G）" xfId="3108"/>
    <cellStyle name="差_商品部年間計画_物流_副本40期預実（商品部） (3)_201205同業他社比較（商品構成G） 2" xfId="51523"/>
    <cellStyle name="差_商品部年間計画_物流_副本40期預実（商品部） (3)_201205同業他社比較（商品構成G） 3" xfId="51524"/>
    <cellStyle name="差_商品部年間計画_物流_副本40期預実（商品部） (3)_副本新メニュー観察(上海) 201204 花島添削 (5)" xfId="3109"/>
    <cellStyle name="差_商品部年間計画_物流_副本40期預実（商品部） (3)_副本新メニュー観察(上海) 201204 花島添削 (5) 2" xfId="51525"/>
    <cellStyle name="差_商品部年間計画_物流_副本40期預実（商品部） (3)_副本新メニュー観察(上海) 201204 花島添削 (5) 3" xfId="51526"/>
    <cellStyle name="差_商品部年間計画_物流_副本40期預実（商品部） (3)_副本新メニュー観察(上海) 201204 花島添削 (5) 4" xfId="51527"/>
    <cellStyle name="差_商品部年間計画_物流_副本40期預実（商品部） (3)_新メニュー観察(上海) 201204 花島添削 (2) (5)" xfId="3110"/>
    <cellStyle name="差_商品部年間計画_物流_副本40期預実（商品部） (3)_新メニュー観察(上海) 201204 花島添削 (2) (5) 2" xfId="51528"/>
    <cellStyle name="差_商品部年間計画_物流_副本40期預実（商品部） (3)_新メニュー観察(上海) 201204 花島添削 (2) (5) 3" xfId="51529"/>
    <cellStyle name="差_商品部年間計画_物流_副本40期預実（商品部） (3)_新メニュー観察(上海) 201204 花島添削 (2) (5) 4" xfId="51530"/>
    <cellStyle name="差_商品部年間計画_物流_副本40期預実（商品部） (3)_週新品観察." xfId="3111"/>
    <cellStyle name="差_商品部年間計画_物流_副本40期預実（商品部） (3)_週新品観察. 2" xfId="51531"/>
    <cellStyle name="差_商品部年間計画_物流_副本40期預実（商品部） (3)_週新品観察. 3" xfId="51532"/>
    <cellStyle name="差_商品部年間計画_物流_副本40期預実（商品部） (3)_週新品観察. 4" xfId="51533"/>
    <cellStyle name="差_商品部年間計画_物流_副本41期事業計画商品部（備品） (2) (2)" xfId="3112"/>
    <cellStyle name="差_商品部年間計画_物流_副本41期事業計画商品部（備品） (2) (2) 2" xfId="3113"/>
    <cellStyle name="差_商品部年間計画_物流_副本41期事業計画商品部（備品） (2) (2) 2 2" xfId="51534"/>
    <cellStyle name="差_商品部年間計画_物流_副本41期事業計画商品部（備品） (2) (2) 2 3" xfId="51535"/>
    <cellStyle name="差_商品部年間計画_物流_副本41期事業計画商品部（備品） (2) (2) 2 4" xfId="51536"/>
    <cellStyle name="差_商品部年間計画_物流_副本41期事業計画商品部（備品） (2) (2) 3" xfId="3114"/>
    <cellStyle name="差_商品部年間計画_物流_副本41期事業計画商品部（備品） (2) (2) 3 2" xfId="51537"/>
    <cellStyle name="差_商品部年間計画_物流_副本41期事業計画商品部（備品） (2) (2) 3 3" xfId="51538"/>
    <cellStyle name="差_商品部年間計画_物流_副本41期事業計画商品部（備品） (2) (2) 3 4" xfId="51539"/>
    <cellStyle name="差_商品部年間計画_物流_副本41期事業計画商品部（備品） (2) (2) 4" xfId="51540"/>
    <cellStyle name="差_商品部年間計画_物流_副本41期事業計画商品部（備品） (2) (2) 5" xfId="51541"/>
    <cellStyle name="差_商品部年間計画_物流_副本41期事業計画商品部（備品） (2) (2) 6" xfId="51542"/>
    <cellStyle name="差_商品部年間計画_物流_副本新メニュー観察(上海) 201204 花島添削 (5)" xfId="3115"/>
    <cellStyle name="差_商品部年間計画_物流_副本新メニュー観察(上海) 201204 花島添削 (5) 2" xfId="51543"/>
    <cellStyle name="差_商品部年間計画_物流_副本新メニュー観察(上海) 201204 花島添削 (5) 3" xfId="51544"/>
    <cellStyle name="差_商品部年間計画_物流_副本新メニュー観察(上海) 201204 花島添削 (5) 4" xfId="51545"/>
    <cellStyle name="差_商品部年間計画_物流_開発商品(chen)" xfId="3116"/>
    <cellStyle name="差_商品部年間計画_物流_開発商品(chen) 2" xfId="3117"/>
    <cellStyle name="差_商品部年間計画_物流_開発商品(chen) 2 2" xfId="51546"/>
    <cellStyle name="差_商品部年間計画_物流_開発商品(chen) 2 3" xfId="51547"/>
    <cellStyle name="差_商品部年間計画_物流_開発商品(chen) 2 4" xfId="51548"/>
    <cellStyle name="差_商品部年間計画_物流_開発商品(chen) 3" xfId="3118"/>
    <cellStyle name="差_商品部年間計画_物流_開発商品(chen) 3 2" xfId="51549"/>
    <cellStyle name="差_商品部年間計画_物流_開発商品(chen) 3 3" xfId="51550"/>
    <cellStyle name="差_商品部年間計画_物流_開発商品(chen) 3 4" xfId="51551"/>
    <cellStyle name="差_商品部年間計画_物流_開発商品(chen) 4" xfId="51552"/>
    <cellStyle name="差_商品部年間計画_物流_開発商品(chen) 5" xfId="51553"/>
    <cellStyle name="差_商品部年間計画_物流_開発商品(chen) 6" xfId="51554"/>
    <cellStyle name="差_商品部年間計画_物流_開発商品(chen)_201205同業他社比較（商品構成G）" xfId="3119"/>
    <cellStyle name="差_商品部年間計画_物流_開発商品(chen)_201205同業他社比較（商品構成G） 2" xfId="51555"/>
    <cellStyle name="差_商品部年間計画_物流_開発商品(chen)_201205同業他社比較（商品構成G） 3" xfId="51556"/>
    <cellStyle name="差_商品部年間計画_物流_開発商品(chen)_40期事業計画（商品部）  (3)" xfId="3120"/>
    <cellStyle name="差_商品部年間計画_物流_開発商品(chen)_40期事業計画（商品部）  (3) 2" xfId="51557"/>
    <cellStyle name="差_商品部年間計画_物流_開発商品(chen)_40期事業計画（商品部）  (3) 3" xfId="51558"/>
    <cellStyle name="差_商品部年間計画_物流_開発商品(chen)_40期事業計画（商品部）  (3) 4" xfId="51559"/>
    <cellStyle name="差_商品部年間計画_物流_開発商品(chen)_40期事業計画（商品部1）" xfId="3121"/>
    <cellStyle name="差_商品部年間計画_物流_開発商品(chen)_40期事業計画（商品部1） 2" xfId="3122"/>
    <cellStyle name="差_商品部年間計画_物流_開発商品(chen)_40期事業計画（商品部1） 2 2" xfId="51560"/>
    <cellStyle name="差_商品部年間計画_物流_開発商品(chen)_40期事業計画（商品部1） 2 3" xfId="51561"/>
    <cellStyle name="差_商品部年間計画_物流_開発商品(chen)_40期事業計画（商品部1） 2 4" xfId="51562"/>
    <cellStyle name="差_商品部年間計画_物流_開発商品(chen)_40期事業計画（商品部1） 3" xfId="3123"/>
    <cellStyle name="差_商品部年間計画_物流_開発商品(chen)_40期事業計画（商品部1） 3 2" xfId="51563"/>
    <cellStyle name="差_商品部年間計画_物流_開発商品(chen)_40期事業計画（商品部1） 3 3" xfId="51564"/>
    <cellStyle name="差_商品部年間計画_物流_開発商品(chen)_40期事業計画（商品部1） 3 4" xfId="51565"/>
    <cellStyle name="差_商品部年間計画_物流_開発商品(chen)_40期事業計画（商品部1） 4" xfId="51566"/>
    <cellStyle name="差_商品部年間計画_物流_開発商品(chen)_40期事業計画（商品部1） 5" xfId="51567"/>
    <cellStyle name="差_商品部年間計画_物流_開発商品(chen)_40期事業計画（商品部1） 6" xfId="51568"/>
    <cellStyle name="差_商品部年間計画_物流_開発商品(chen)_40期預実（商品部） (3)" xfId="3124"/>
    <cellStyle name="差_商品部年間計画_物流_開発商品(chen)_40期預実（商品部） (3) 2" xfId="3125"/>
    <cellStyle name="差_商品部年間計画_物流_開発商品(chen)_40期預実（商品部） (3) 2 2" xfId="51569"/>
    <cellStyle name="差_商品部年間計画_物流_開発商品(chen)_40期預実（商品部） (3) 2 3" xfId="51570"/>
    <cellStyle name="差_商品部年間計画_物流_開発商品(chen)_40期預実（商品部） (3) 2 4" xfId="51571"/>
    <cellStyle name="差_商品部年間計画_物流_開発商品(chen)_40期預実（商品部） (3) 3" xfId="3126"/>
    <cellStyle name="差_商品部年間計画_物流_開発商品(chen)_40期預実（商品部） (3) 3 2" xfId="51572"/>
    <cellStyle name="差_商品部年間計画_物流_開発商品(chen)_40期預実（商品部） (3) 3 3" xfId="51573"/>
    <cellStyle name="差_商品部年間計画_物流_開発商品(chen)_40期預実（商品部） (3) 3 4" xfId="51574"/>
    <cellStyle name="差_商品部年間計画_物流_開発商品(chen)_40期預実（商品部） (3) 4" xfId="51575"/>
    <cellStyle name="差_商品部年間計画_物流_開発商品(chen)_40期預実（商品部） (3) 5" xfId="51576"/>
    <cellStyle name="差_商品部年間計画_物流_開発商品(chen)_40期預実（商品部） (3) 6" xfId="51577"/>
    <cellStyle name="差_商品部年間計画_物流_開発商品(chen)_40期預実（商品部） (3)_201205同業他社比較（商品構成G）" xfId="3127"/>
    <cellStyle name="差_商品部年間計画_物流_開発商品(chen)_40期預実（商品部） (3)_201205同業他社比較（商品構成G） 2" xfId="51578"/>
    <cellStyle name="差_商品部年間計画_物流_開発商品(chen)_40期預実（商品部） (3)_201205同業他社比較（商品構成G） 3" xfId="51579"/>
    <cellStyle name="差_商品部年間計画_物流_開発商品(chen)_40期預実（商品部） (3)_副本新メニュー観察(上海) 201204 花島添削 (5)" xfId="3128"/>
    <cellStyle name="差_商品部年間計画_物流_開発商品(chen)_40期預実（商品部） (3)_副本新メニュー観察(上海) 201204 花島添削 (5) 2" xfId="51580"/>
    <cellStyle name="差_商品部年間計画_物流_開発商品(chen)_40期預実（商品部） (3)_副本新メニュー観察(上海) 201204 花島添削 (5) 3" xfId="51581"/>
    <cellStyle name="差_商品部年間計画_物流_開発商品(chen)_40期預実（商品部） (3)_副本新メニュー観察(上海) 201204 花島添削 (5) 4" xfId="51582"/>
    <cellStyle name="差_商品部年間計画_物流_開発商品(chen)_40期預実（商品部） (3)_新メニュー観察(上海) 201204 花島添削 (2) (5)" xfId="3129"/>
    <cellStyle name="差_商品部年間計画_物流_開発商品(chen)_40期預実（商品部） (3)_新メニュー観察(上海) 201204 花島添削 (2) (5) 2" xfId="51583"/>
    <cellStyle name="差_商品部年間計画_物流_開発商品(chen)_40期預実（商品部） (3)_新メニュー観察(上海) 201204 花島添削 (2) (5) 3" xfId="51584"/>
    <cellStyle name="差_商品部年間計画_物流_開発商品(chen)_40期預実（商品部） (3)_新メニュー観察(上海) 201204 花島添削 (2) (5) 4" xfId="51585"/>
    <cellStyle name="差_商品部年間計画_物流_開発商品(chen)_40期預実（商品部） (3)_週新品観察." xfId="3130"/>
    <cellStyle name="差_商品部年間計画_物流_開発商品(chen)_40期預実（商品部） (3)_週新品観察. 2" xfId="51586"/>
    <cellStyle name="差_商品部年間計画_物流_開発商品(chen)_40期預実（商品部） (3)_週新品観察. 3" xfId="51587"/>
    <cellStyle name="差_商品部年間計画_物流_開発商品(chen)_40期預実（商品部） (3)_週新品観察. 4" xfId="51588"/>
    <cellStyle name="差_商品部年間計画_物流_開発商品(chen)_41期事業計画(商品部)" xfId="3131"/>
    <cellStyle name="差_商品部年間計画_物流_開発商品(chen)_41期事業計画(商品部) 2" xfId="3132"/>
    <cellStyle name="差_商品部年間計画_物流_開発商品(chen)_41期事業計画(商品部) 2 2" xfId="51589"/>
    <cellStyle name="差_商品部年間計画_物流_開発商品(chen)_41期事業計画(商品部) 2 3" xfId="51590"/>
    <cellStyle name="差_商品部年間計画_物流_開発商品(chen)_41期事業計画(商品部) 2 4" xfId="51591"/>
    <cellStyle name="差_商品部年間計画_物流_開発商品(chen)_41期事業計画(商品部) 3" xfId="3133"/>
    <cellStyle name="差_商品部年間計画_物流_開発商品(chen)_41期事業計画(商品部) 3 2" xfId="51592"/>
    <cellStyle name="差_商品部年間計画_物流_開発商品(chen)_41期事業計画(商品部) 3 3" xfId="51593"/>
    <cellStyle name="差_商品部年間計画_物流_開発商品(chen)_41期事業計画(商品部) 3 4" xfId="51594"/>
    <cellStyle name="差_商品部年間計画_物流_開発商品(chen)_41期事業計画(商品部) 4" xfId="51595"/>
    <cellStyle name="差_商品部年間計画_物流_開発商品(chen)_41期事業計画(商品部) 5" xfId="51596"/>
    <cellStyle name="差_商品部年間計画_物流_開発商品(chen)_41期事業計画(商品部) 6" xfId="51597"/>
    <cellStyle name="差_商品部年間計画_物流_開発商品(chen)_CPI" xfId="3134"/>
    <cellStyle name="差_商品部年間計画_物流_開発商品(chen)_CPI 2" xfId="3135"/>
    <cellStyle name="差_商品部年間計画_物流_開発商品(chen)_CPI 2 2" xfId="51598"/>
    <cellStyle name="差_商品部年間計画_物流_開発商品(chen)_CPI 2 3" xfId="51599"/>
    <cellStyle name="差_商品部年間計画_物流_開発商品(chen)_CPI 2 4" xfId="51600"/>
    <cellStyle name="差_商品部年間計画_物流_開発商品(chen)_CPI 3" xfId="3136"/>
    <cellStyle name="差_商品部年間計画_物流_開発商品(chen)_CPI 3 2" xfId="51601"/>
    <cellStyle name="差_商品部年間計画_物流_開発商品(chen)_CPI 3 3" xfId="51602"/>
    <cellStyle name="差_商品部年間計画_物流_開発商品(chen)_CPI 3 4" xfId="51603"/>
    <cellStyle name="差_商品部年間計画_物流_開発商品(chen)_CPI 4" xfId="51604"/>
    <cellStyle name="差_商品部年間計画_物流_開発商品(chen)_CPI 5" xfId="51605"/>
    <cellStyle name="差_商品部年間計画_物流_開発商品(chen)_CPI 6" xfId="51606"/>
    <cellStyle name="差_商品部年間計画_物流_開発商品(chen)_CPI(1)" xfId="3137"/>
    <cellStyle name="差_商品部年間計画_物流_開発商品(chen)_CPI(1) 2" xfId="51607"/>
    <cellStyle name="差_商品部年間計画_物流_開発商品(chen)_CPI(1) 3" xfId="51608"/>
    <cellStyle name="差_商品部年間計画_物流_開発商品(chen)_CPI(1) 4" xfId="51609"/>
    <cellStyle name="差_商品部年間計画_物流_開発商品(chen)_副本40期預実（商品部） (3)" xfId="3138"/>
    <cellStyle name="差_商品部年間計画_物流_開発商品(chen)_副本40期預実（商品部） (3) 2" xfId="3139"/>
    <cellStyle name="差_商品部年間計画_物流_開発商品(chen)_副本40期預実（商品部） (3) 2 2" xfId="51610"/>
    <cellStyle name="差_商品部年間計画_物流_開発商品(chen)_副本40期預実（商品部） (3) 2 3" xfId="51611"/>
    <cellStyle name="差_商品部年間計画_物流_開発商品(chen)_副本40期預実（商品部） (3) 2 4" xfId="51612"/>
    <cellStyle name="差_商品部年間計画_物流_開発商品(chen)_副本40期預実（商品部） (3) 3" xfId="3140"/>
    <cellStyle name="差_商品部年間計画_物流_開発商品(chen)_副本40期預実（商品部） (3) 3 2" xfId="51613"/>
    <cellStyle name="差_商品部年間計画_物流_開発商品(chen)_副本40期預実（商品部） (3) 3 3" xfId="51614"/>
    <cellStyle name="差_商品部年間計画_物流_開発商品(chen)_副本40期預実（商品部） (3) 3 4" xfId="51615"/>
    <cellStyle name="差_商品部年間計画_物流_開発商品(chen)_副本40期預実（商品部） (3) 4" xfId="51616"/>
    <cellStyle name="差_商品部年間計画_物流_開発商品(chen)_副本40期預実（商品部） (3) 5" xfId="51617"/>
    <cellStyle name="差_商品部年間計画_物流_開発商品(chen)_副本40期預実（商品部） (3) 6" xfId="51618"/>
    <cellStyle name="差_商品部年間計画_物流_開発商品(chen)_副本40期預実（商品部） (3)_201205同業他社比較（商品構成G）" xfId="3141"/>
    <cellStyle name="差_商品部年間計画_物流_開発商品(chen)_副本40期預実（商品部） (3)_201205同業他社比較（商品構成G） 2" xfId="51619"/>
    <cellStyle name="差_商品部年間計画_物流_開発商品(chen)_副本40期預実（商品部） (3)_201205同業他社比較（商品構成G） 3" xfId="51620"/>
    <cellStyle name="差_商品部年間計画_物流_開発商品(chen)_副本40期預実（商品部） (3)_副本新メニュー観察(上海) 201204 花島添削 (5)" xfId="3142"/>
    <cellStyle name="差_商品部年間計画_物流_開発商品(chen)_副本40期預実（商品部） (3)_副本新メニュー観察(上海) 201204 花島添削 (5) 2" xfId="51621"/>
    <cellStyle name="差_商品部年間計画_物流_開発商品(chen)_副本40期預実（商品部） (3)_副本新メニュー観察(上海) 201204 花島添削 (5) 3" xfId="51622"/>
    <cellStyle name="差_商品部年間計画_物流_開発商品(chen)_副本40期預実（商品部） (3)_副本新メニュー観察(上海) 201204 花島添削 (5) 4" xfId="51623"/>
    <cellStyle name="差_商品部年間計画_物流_開発商品(chen)_副本40期預実（商品部） (3)_新メニュー観察(上海) 201204 花島添削 (2) (5)" xfId="3143"/>
    <cellStyle name="差_商品部年間計画_物流_開発商品(chen)_副本40期預実（商品部） (3)_新メニュー観察(上海) 201204 花島添削 (2) (5) 2" xfId="51624"/>
    <cellStyle name="差_商品部年間計画_物流_開発商品(chen)_副本40期預実（商品部） (3)_新メニュー観察(上海) 201204 花島添削 (2) (5) 3" xfId="51625"/>
    <cellStyle name="差_商品部年間計画_物流_開発商品(chen)_副本40期預実（商品部） (3)_新メニュー観察(上海) 201204 花島添削 (2) (5) 4" xfId="51626"/>
    <cellStyle name="差_商品部年間計画_物流_開発商品(chen)_副本40期預実（商品部） (3)_週新品観察." xfId="3144"/>
    <cellStyle name="差_商品部年間計画_物流_開発商品(chen)_副本40期預実（商品部） (3)_週新品観察. 2" xfId="51627"/>
    <cellStyle name="差_商品部年間計画_物流_開発商品(chen)_副本40期預実（商品部） (3)_週新品観察. 3" xfId="51628"/>
    <cellStyle name="差_商品部年間計画_物流_開発商品(chen)_副本40期預実（商品部） (3)_週新品観察. 4" xfId="51629"/>
    <cellStyle name="差_商品部年間計画_物流_開発商品(chen)_副本41期事業計画商品部（備品） (2) (2)" xfId="3145"/>
    <cellStyle name="差_商品部年間計画_物流_開発商品(chen)_副本41期事業計画商品部（備品） (2) (2) 2" xfId="3146"/>
    <cellStyle name="差_商品部年間計画_物流_開発商品(chen)_副本41期事業計画商品部（備品） (2) (2) 2 2" xfId="51630"/>
    <cellStyle name="差_商品部年間計画_物流_開発商品(chen)_副本41期事業計画商品部（備品） (2) (2) 2 3" xfId="51631"/>
    <cellStyle name="差_商品部年間計画_物流_開発商品(chen)_副本41期事業計画商品部（備品） (2) (2) 2 4" xfId="51632"/>
    <cellStyle name="差_商品部年間計画_物流_開発商品(chen)_副本41期事業計画商品部（備品） (2) (2) 3" xfId="3147"/>
    <cellStyle name="差_商品部年間計画_物流_開発商品(chen)_副本41期事業計画商品部（備品） (2) (2) 3 2" xfId="51633"/>
    <cellStyle name="差_商品部年間計画_物流_開発商品(chen)_副本41期事業計画商品部（備品） (2) (2) 3 3" xfId="51634"/>
    <cellStyle name="差_商品部年間計画_物流_開発商品(chen)_副本41期事業計画商品部（備品） (2) (2) 3 4" xfId="51635"/>
    <cellStyle name="差_商品部年間計画_物流_開発商品(chen)_副本41期事業計画商品部（備品） (2) (2) 4" xfId="51636"/>
    <cellStyle name="差_商品部年間計画_物流_開発商品(chen)_副本41期事業計画商品部（備品） (2) (2) 5" xfId="51637"/>
    <cellStyle name="差_商品部年間計画_物流_開発商品(chen)_副本41期事業計画商品部（備品） (2) (2) 6" xfId="51638"/>
    <cellStyle name="差_商品部年間計画_物流_開発商品(chen)_副本新メニュー観察(上海) 201204 花島添削 (5)" xfId="3148"/>
    <cellStyle name="差_商品部年間計画_物流_開発商品(chen)_副本新メニュー観察(上海) 201204 花島添削 (5) 2" xfId="51639"/>
    <cellStyle name="差_商品部年間計画_物流_開発商品(chen)_副本新メニュー観察(上海) 201204 花島添削 (5) 3" xfId="51640"/>
    <cellStyle name="差_商品部年間計画_物流_開発商品(chen)_副本新メニュー観察(上海) 201204 花島添削 (5) 4" xfId="51641"/>
    <cellStyle name="差_商品部年間計画_物流_開発商品(chen)_新メニュー観察(上海) 201204 花島添削 (2) (5)" xfId="3149"/>
    <cellStyle name="差_商品部年間計画_物流_開発商品(chen)_新メニュー観察(上海) 201204 花島添削 (2) (5) 2" xfId="51642"/>
    <cellStyle name="差_商品部年間計画_物流_開発商品(chen)_新メニュー観察(上海) 201204 花島添削 (2) (5) 3" xfId="51643"/>
    <cellStyle name="差_商品部年間計画_物流_開発商品(chen)_新メニュー観察(上海) 201204 花島添削 (2) (5) 4" xfId="51644"/>
    <cellStyle name="差_商品部年間計画_物流_開発商品(chen)_週新品観察." xfId="3150"/>
    <cellStyle name="差_商品部年間計画_物流_開発商品(chen)_週新品観察. 2" xfId="51645"/>
    <cellStyle name="差_商品部年間計画_物流_開発商品(chen)_週新品観察. 3" xfId="51646"/>
    <cellStyle name="差_商品部年間計画_物流_開発商品(chen)_週新品観察. 4" xfId="51647"/>
    <cellStyle name="差_商品部年間計画_物流_新メニュー観察(上海) 201204 花島添削 (2) (5)" xfId="3151"/>
    <cellStyle name="差_商品部年間計画_物流_新メニュー観察(上海) 201204 花島添削 (2) (5) 2" xfId="51648"/>
    <cellStyle name="差_商品部年間計画_物流_新メニュー観察(上海) 201204 花島添削 (2) (5) 3" xfId="51649"/>
    <cellStyle name="差_商品部年間計画_物流_新メニュー観察(上海) 201204 花島添削 (2) (5) 4" xfId="51650"/>
    <cellStyle name="差_商品部年間計画_物流_週新品観察." xfId="3152"/>
    <cellStyle name="差_商品部年間計画_物流_週新品観察. 2" xfId="51651"/>
    <cellStyle name="差_商品部年間計画_物流_週新品観察. 3" xfId="51652"/>
    <cellStyle name="差_商品部年間計画_物流_週新品観察. 4" xfId="51653"/>
    <cellStyle name="差_商品部年間計画_新メニュー実績" xfId="3153"/>
    <cellStyle name="差_商品部年間計画_新メニュー実績 2" xfId="51654"/>
    <cellStyle name="差_商品部年間計画_新メニュー実績 3" xfId="51655"/>
    <cellStyle name="差_商品部年間計画_新メニュー実績 4" xfId="51656"/>
    <cellStyle name="差_商品部年間計画_新メニュー実績_副本新メニュー観察(上海) 201204 花島添削 (5)" xfId="3154"/>
    <cellStyle name="差_商品部年間計画_新メニュー実績_副本新メニュー観察(上海) 201204 花島添削 (5) 2" xfId="51657"/>
    <cellStyle name="差_商品部年間計画_新メニュー実績_副本新メニュー観察(上海) 201204 花島添削 (5) 3" xfId="51658"/>
    <cellStyle name="差_商品部年間計画_新メニュー実績_副本新メニュー観察(上海) 201204 花島添削 (5) 4" xfId="51659"/>
    <cellStyle name="差_商品部年間計画_新メニュー実績_新メニュー観察(上海) 201204 花島添削 (2) (5)" xfId="3155"/>
    <cellStyle name="差_商品部年間計画_新メニュー実績_新メニュー観察(上海) 201204 花島添削 (2) (5) 2" xfId="51660"/>
    <cellStyle name="差_商品部年間計画_新メニュー実績_新メニュー観察(上海) 201204 花島添削 (2) (5) 3" xfId="51661"/>
    <cellStyle name="差_商品部年間計画_新メニュー実績_新メニュー観察(上海) 201204 花島添削 (2) (5) 4" xfId="51662"/>
    <cellStyle name="差_商品計画2011年 (2)" xfId="3156"/>
    <cellStyle name="差_商品計画2011年 (2) 2" xfId="3157"/>
    <cellStyle name="差_商品計画2011年 (2) 2 2" xfId="3158"/>
    <cellStyle name="差_商品計画2011年 (2) 2 3" xfId="51663"/>
    <cellStyle name="差_商品計画2011年 (2) 2 4" xfId="51664"/>
    <cellStyle name="差_商品計画2011年 (2) 3" xfId="3159"/>
    <cellStyle name="差_商品計画2011年 (2) 3 2" xfId="3160"/>
    <cellStyle name="差_商品計画2011年 (2) 3 3" xfId="51665"/>
    <cellStyle name="差_商品計画2011年 (2) 3 4" xfId="51666"/>
    <cellStyle name="差_商品計画2011年 (2) 4" xfId="3161"/>
    <cellStyle name="差_商品計画2011年 (2) 5" xfId="51667"/>
    <cellStyle name="差_商品計画2011年 (2) 6" xfId="51668"/>
    <cellStyle name="差_商品計画2011年 (2)_201205同業他社比較（商品構成G）" xfId="3162"/>
    <cellStyle name="差_商品計画2011年 (2)_201205同業他社比較（商品構成G） 2" xfId="3163"/>
    <cellStyle name="差_商品計画2011年 (2)_201205同業他社比較（商品構成G） 3" xfId="51669"/>
    <cellStyle name="差_商品計画2011年 (2)_201205同業他社比較（商品構成G） 4" xfId="51670"/>
    <cellStyle name="差_商品計画2011年 (2)_Sheet1" xfId="3164"/>
    <cellStyle name="差_商品計画2011年 (2)_Sheet1 2" xfId="3165"/>
    <cellStyle name="差_商品計画2011年 (2)_Sheet1 3" xfId="51671"/>
    <cellStyle name="差_商品計画2011年 (2)_Sheet1 4" xfId="51672"/>
    <cellStyle name="差_商品計画2011年 (2)_Xl0000173" xfId="3166"/>
    <cellStyle name="差_商品計画2011年 (2)_Xl0000173 2" xfId="3167"/>
    <cellStyle name="差_商品計画2011年 (2)_Xl0000173 3" xfId="51673"/>
    <cellStyle name="差_商品計画2011年 (2)_Xl0000173 4" xfId="51674"/>
    <cellStyle name="差_商品計画2011年 (2)_儊僯儏乕娤嶡(2-1)" xfId="3168"/>
    <cellStyle name="差_商品計画2011年 (2)_儊僯儏乕娤嶡(2-1) 2" xfId="3169"/>
    <cellStyle name="差_商品計画2011年 (2)_儊僯儏乕娤嶡(2-1) 3" xfId="51675"/>
    <cellStyle name="差_商品計画2011年 (2)_儊僯儏乕娤嶡(2-1) 4" xfId="51676"/>
    <cellStyle name="差_商品計画2011年 (2)_儊僯儏乕娤嶡(2-1)_副本新メニュー観察(上海) 201204 花島添削 (5)" xfId="3170"/>
    <cellStyle name="差_商品計画2011年 (2)_儊僯儏乕娤嶡(2-1)_副本新メニュー観察(上海) 201204 花島添削 (5) 2" xfId="3171"/>
    <cellStyle name="差_商品計画2011年 (2)_儊僯儏乕娤嶡(2-1)_副本新メニュー観察(上海) 201204 花島添削 (5) 3" xfId="51677"/>
    <cellStyle name="差_商品計画2011年 (2)_儊僯儏乕娤嶡(2-1)_副本新メニュー観察(上海) 201204 花島添削 (5) 4" xfId="51678"/>
    <cellStyle name="差_商品計画2011年 (2)_儊僯儏乕娤嶡(2-1)_新メニュー観察(上海) 201204 花島添削 (2) (5)" xfId="3172"/>
    <cellStyle name="差_商品計画2011年 (2)_儊僯儏乕娤嶡(2-1)_新メニュー観察(上海) 201204 花島添削 (2) (5) 2" xfId="3173"/>
    <cellStyle name="差_商品計画2011年 (2)_儊僯儏乕娤嶡(2-1)_新メニュー観察(上海) 201204 花島添削 (2) (5) 3" xfId="51679"/>
    <cellStyle name="差_商品計画2011年 (2)_儊僯儏乕娤嶡(2-1)_新メニュー観察(上海) 201204 花島添削 (2) (5) 4" xfId="51680"/>
    <cellStyle name="差_商品計画2011年 (2)_儊僯儏乕娤嶡(2-2乯" xfId="3174"/>
    <cellStyle name="差_商品計画2011年 (2)_儊僯儏乕娤嶡(2-2乯 2" xfId="3175"/>
    <cellStyle name="差_商品計画2011年 (2)_儊僯儏乕娤嶡(2-2乯 3" xfId="51681"/>
    <cellStyle name="差_商品計画2011年 (2)_儊僯儏乕娤嶡(2-2乯 4" xfId="51682"/>
    <cellStyle name="差_商品計画2011年 (2)_副本新メニュー観察(上海) 201204 花島添削 (5)" xfId="3176"/>
    <cellStyle name="差_商品計画2011年 (2)_副本新メニュー観察(上海) 201204 花島添削 (5) 2" xfId="3177"/>
    <cellStyle name="差_商品計画2011年 (2)_副本新メニュー観察(上海) 201204 花島添削 (5) 3" xfId="51683"/>
    <cellStyle name="差_商品計画2011年 (2)_副本新メニュー観察(上海) 201204 花島添削 (5) 4" xfId="51684"/>
    <cellStyle name="差_商品計画2011年 (2)_物流" xfId="3178"/>
    <cellStyle name="差_商品計画2011年 (2)_物流 2" xfId="3179"/>
    <cellStyle name="差_商品計画2011年 (2)_物流 2 2" xfId="3180"/>
    <cellStyle name="差_商品計画2011年 (2)_物流 2 3" xfId="51685"/>
    <cellStyle name="差_商品計画2011年 (2)_物流 2 4" xfId="51686"/>
    <cellStyle name="差_商品計画2011年 (2)_物流 3" xfId="3181"/>
    <cellStyle name="差_商品計画2011年 (2)_物流 3 2" xfId="3182"/>
    <cellStyle name="差_商品計画2011年 (2)_物流 3 3" xfId="51687"/>
    <cellStyle name="差_商品計画2011年 (2)_物流 3 4" xfId="51688"/>
    <cellStyle name="差_商品計画2011年 (2)_物流 4" xfId="3183"/>
    <cellStyle name="差_商品計画2011年 (2)_物流 5" xfId="51689"/>
    <cellStyle name="差_商品計画2011年 (2)_物流 6" xfId="51690"/>
    <cellStyle name="差_商品計画2011年 (2)_物流_開発商品(chen)" xfId="3184"/>
    <cellStyle name="差_商品計画2011年 (2)_物流_開発商品(chen) 2" xfId="3185"/>
    <cellStyle name="差_商品計画2011年 (2)_物流_開発商品(chen) 2 2" xfId="3186"/>
    <cellStyle name="差_商品計画2011年 (2)_物流_開発商品(chen) 2 3" xfId="51691"/>
    <cellStyle name="差_商品計画2011年 (2)_物流_開発商品(chen) 2 4" xfId="51692"/>
    <cellStyle name="差_商品計画2011年 (2)_物流_開発商品(chen) 3" xfId="3187"/>
    <cellStyle name="差_商品計画2011年 (2)_物流_開発商品(chen) 3 2" xfId="3188"/>
    <cellStyle name="差_商品計画2011年 (2)_物流_開発商品(chen) 3 3" xfId="51693"/>
    <cellStyle name="差_商品計画2011年 (2)_物流_開発商品(chen) 3 4" xfId="51694"/>
    <cellStyle name="差_商品計画2011年 (2)_物流_開発商品(chen) 4" xfId="3189"/>
    <cellStyle name="差_商品計画2011年 (2)_物流_開発商品(chen) 5" xfId="51695"/>
    <cellStyle name="差_商品計画2011年 (2)_物流_開発商品(chen) 6" xfId="51696"/>
    <cellStyle name="差_商品計画2011年 (2)_物流_開発商品(chen)_40期事業計画（商品部）  (3)" xfId="3190"/>
    <cellStyle name="差_商品計画2011年 (2)_物流_開発商品(chen)_40期事業計画（商品部）  (3) 2" xfId="3191"/>
    <cellStyle name="差_商品計画2011年 (2)_物流_開発商品(chen)_40期事業計画（商品部）  (3) 3" xfId="51697"/>
    <cellStyle name="差_商品計画2011年 (2)_物流_開発商品(chen)_40期事業計画（商品部）  (3) 4" xfId="51698"/>
    <cellStyle name="差_商品計画2011年 (2)_物流_開発商品(chen)_40期事業計画（商品部1）" xfId="3192"/>
    <cellStyle name="差_商品計画2011年 (2)_物流_開発商品(chen)_40期事業計画（商品部1） 2" xfId="3193"/>
    <cellStyle name="差_商品計画2011年 (2)_物流_開発商品(chen)_40期事業計画（商品部1） 2 2" xfId="3194"/>
    <cellStyle name="差_商品計画2011年 (2)_物流_開発商品(chen)_40期事業計画（商品部1） 2 3" xfId="51699"/>
    <cellStyle name="差_商品計画2011年 (2)_物流_開発商品(chen)_40期事業計画（商品部1） 2 4" xfId="51700"/>
    <cellStyle name="差_商品計画2011年 (2)_物流_開発商品(chen)_40期事業計画（商品部1） 3" xfId="3195"/>
    <cellStyle name="差_商品計画2011年 (2)_物流_開発商品(chen)_40期事業計画（商品部1） 3 2" xfId="3196"/>
    <cellStyle name="差_商品計画2011年 (2)_物流_開発商品(chen)_40期事業計画（商品部1） 3 3" xfId="51701"/>
    <cellStyle name="差_商品計画2011年 (2)_物流_開発商品(chen)_40期事業計画（商品部1） 3 4" xfId="51702"/>
    <cellStyle name="差_商品計画2011年 (2)_物流_開発商品(chen)_40期事業計画（商品部1） 4" xfId="3197"/>
    <cellStyle name="差_商品計画2011年 (2)_物流_開発商品(chen)_40期事業計画（商品部1） 5" xfId="51703"/>
    <cellStyle name="差_商品計画2011年 (2)_物流_開発商品(chen)_40期事業計画（商品部1） 6" xfId="51704"/>
    <cellStyle name="差_商品計画2011年 (2)_物流_開発商品(chen)_40期預実（商品部） (3)" xfId="3198"/>
    <cellStyle name="差_商品計画2011年 (2)_物流_開発商品(chen)_40期預実（商品部） (3) 2" xfId="3199"/>
    <cellStyle name="差_商品計画2011年 (2)_物流_開発商品(chen)_40期預実（商品部） (3) 2 2" xfId="3200"/>
    <cellStyle name="差_商品計画2011年 (2)_物流_開発商品(chen)_40期預実（商品部） (3) 2 3" xfId="51705"/>
    <cellStyle name="差_商品計画2011年 (2)_物流_開発商品(chen)_40期預実（商品部） (3) 2 4" xfId="51706"/>
    <cellStyle name="差_商品計画2011年 (2)_物流_開発商品(chen)_40期預実（商品部） (3) 3" xfId="3201"/>
    <cellStyle name="差_商品計画2011年 (2)_物流_開発商品(chen)_40期預実（商品部） (3) 3 2" xfId="3202"/>
    <cellStyle name="差_商品計画2011年 (2)_物流_開発商品(chen)_40期預実（商品部） (3) 3 3" xfId="51707"/>
    <cellStyle name="差_商品計画2011年 (2)_物流_開発商品(chen)_40期預実（商品部） (3) 3 4" xfId="51708"/>
    <cellStyle name="差_商品計画2011年 (2)_物流_開発商品(chen)_40期預実（商品部） (3) 4" xfId="3203"/>
    <cellStyle name="差_商品計画2011年 (2)_物流_開発商品(chen)_40期預実（商品部） (3) 5" xfId="51709"/>
    <cellStyle name="差_商品計画2011年 (2)_物流_開発商品(chen)_40期預実（商品部） (3) 6" xfId="51710"/>
    <cellStyle name="差_商品計画2011年 (2)_物流_開発商品(chen)_41期事業計画(商品部)" xfId="3204"/>
    <cellStyle name="差_商品計画2011年 (2)_物流_開発商品(chen)_41期事業計画(商品部) 2" xfId="3205"/>
    <cellStyle name="差_商品計画2011年 (2)_物流_開発商品(chen)_41期事業計画(商品部) 2 2" xfId="3206"/>
    <cellStyle name="差_商品計画2011年 (2)_物流_開発商品(chen)_41期事業計画(商品部) 2 3" xfId="51711"/>
    <cellStyle name="差_商品計画2011年 (2)_物流_開発商品(chen)_41期事業計画(商品部) 2 4" xfId="51712"/>
    <cellStyle name="差_商品計画2011年 (2)_物流_開発商品(chen)_41期事業計画(商品部) 3" xfId="3207"/>
    <cellStyle name="差_商品計画2011年 (2)_物流_開発商品(chen)_41期事業計画(商品部) 3 2" xfId="3208"/>
    <cellStyle name="差_商品計画2011年 (2)_物流_開発商品(chen)_41期事業計画(商品部) 3 3" xfId="51713"/>
    <cellStyle name="差_商品計画2011年 (2)_物流_開発商品(chen)_41期事業計画(商品部) 3 4" xfId="51714"/>
    <cellStyle name="差_商品計画2011年 (2)_物流_開発商品(chen)_41期事業計画(商品部) 4" xfId="3209"/>
    <cellStyle name="差_商品計画2011年 (2)_物流_開発商品(chen)_41期事業計画(商品部) 5" xfId="51715"/>
    <cellStyle name="差_商品計画2011年 (2)_物流_開発商品(chen)_41期事業計画(商品部) 6" xfId="51716"/>
    <cellStyle name="差_商品計画2011年 (2)_物流_開発商品(chen)_CPI" xfId="3210"/>
    <cellStyle name="差_商品計画2011年 (2)_物流_開発商品(chen)_CPI 2" xfId="3211"/>
    <cellStyle name="差_商品計画2011年 (2)_物流_開発商品(chen)_CPI 2 2" xfId="3212"/>
    <cellStyle name="差_商品計画2011年 (2)_物流_開発商品(chen)_CPI 2 3" xfId="51717"/>
    <cellStyle name="差_商品計画2011年 (2)_物流_開発商品(chen)_CPI 2 4" xfId="51718"/>
    <cellStyle name="差_商品計画2011年 (2)_物流_開発商品(chen)_CPI 3" xfId="3213"/>
    <cellStyle name="差_商品計画2011年 (2)_物流_開発商品(chen)_CPI 3 2" xfId="3214"/>
    <cellStyle name="差_商品計画2011年 (2)_物流_開発商品(chen)_CPI 3 3" xfId="51719"/>
    <cellStyle name="差_商品計画2011年 (2)_物流_開発商品(chen)_CPI 3 4" xfId="51720"/>
    <cellStyle name="差_商品計画2011年 (2)_物流_開発商品(chen)_CPI 4" xfId="3215"/>
    <cellStyle name="差_商品計画2011年 (2)_物流_開発商品(chen)_CPI 5" xfId="51721"/>
    <cellStyle name="差_商品計画2011年 (2)_物流_開発商品(chen)_CPI 6" xfId="51722"/>
    <cellStyle name="差_商品計画2011年 (2)_物流_開発商品(chen)_CPI(1)" xfId="3216"/>
    <cellStyle name="差_商品計画2011年 (2)_物流_開発商品(chen)_CPI(1) 2" xfId="3217"/>
    <cellStyle name="差_商品計画2011年 (2)_物流_開発商品(chen)_CPI(1) 3" xfId="51723"/>
    <cellStyle name="差_商品計画2011年 (2)_物流_開発商品(chen)_CPI(1) 4" xfId="51724"/>
    <cellStyle name="差_商品計画2011年 (2)_物流_開発商品(chen)_副本40期預実（商品部） (3)" xfId="3218"/>
    <cellStyle name="差_商品計画2011年 (2)_物流_開発商品(chen)_副本40期預実（商品部） (3) 2" xfId="3219"/>
    <cellStyle name="差_商品計画2011年 (2)_物流_開発商品(chen)_副本40期預実（商品部） (3) 2 2" xfId="3220"/>
    <cellStyle name="差_商品計画2011年 (2)_物流_開発商品(chen)_副本40期預実（商品部） (3) 2 3" xfId="51725"/>
    <cellStyle name="差_商品計画2011年 (2)_物流_開発商品(chen)_副本40期預実（商品部） (3) 2 4" xfId="51726"/>
    <cellStyle name="差_商品計画2011年 (2)_物流_開発商品(chen)_副本40期預実（商品部） (3) 3" xfId="3221"/>
    <cellStyle name="差_商品計画2011年 (2)_物流_開発商品(chen)_副本40期預実（商品部） (3) 3 2" xfId="3222"/>
    <cellStyle name="差_商品計画2011年 (2)_物流_開発商品(chen)_副本40期預実（商品部） (3) 3 3" xfId="51727"/>
    <cellStyle name="差_商品計画2011年 (2)_物流_開発商品(chen)_副本40期預実（商品部） (3) 3 4" xfId="51728"/>
    <cellStyle name="差_商品計画2011年 (2)_物流_開発商品(chen)_副本40期預実（商品部） (3) 4" xfId="3223"/>
    <cellStyle name="差_商品計画2011年 (2)_物流_開発商品(chen)_副本40期預実（商品部） (3) 5" xfId="51729"/>
    <cellStyle name="差_商品計画2011年 (2)_物流_開発商品(chen)_副本40期預実（商品部） (3) 6" xfId="51730"/>
    <cellStyle name="差_商品計画2011年 (2)_物流_開発商品(chen)_副本41期事業計画商品部（備品） (2) (2)" xfId="3224"/>
    <cellStyle name="差_商品計画2011年 (2)_物流_開発商品(chen)_副本41期事業計画商品部（備品） (2) (2) 2" xfId="3225"/>
    <cellStyle name="差_商品計画2011年 (2)_物流_開発商品(chen)_副本41期事業計画商品部（備品） (2) (2) 2 2" xfId="3226"/>
    <cellStyle name="差_商品計画2011年 (2)_物流_開発商品(chen)_副本41期事業計画商品部（備品） (2) (2) 2 3" xfId="51731"/>
    <cellStyle name="差_商品計画2011年 (2)_物流_開発商品(chen)_副本41期事業計画商品部（備品） (2) (2) 2 4" xfId="51732"/>
    <cellStyle name="差_商品計画2011年 (2)_物流_開発商品(chen)_副本41期事業計画商品部（備品） (2) (2) 3" xfId="3227"/>
    <cellStyle name="差_商品計画2011年 (2)_物流_開発商品(chen)_副本41期事業計画商品部（備品） (2) (2) 3 2" xfId="3228"/>
    <cellStyle name="差_商品計画2011年 (2)_物流_開発商品(chen)_副本41期事業計画商品部（備品） (2) (2) 3 3" xfId="51733"/>
    <cellStyle name="差_商品計画2011年 (2)_物流_開発商品(chen)_副本41期事業計画商品部（備品） (2) (2) 3 4" xfId="51734"/>
    <cellStyle name="差_商品計画2011年 (2)_物流_開発商品(chen)_副本41期事業計画商品部（備品） (2) (2) 4" xfId="3229"/>
    <cellStyle name="差_商品計画2011年 (2)_物流_開発商品(chen)_副本41期事業計画商品部（備品） (2) (2) 5" xfId="51735"/>
    <cellStyle name="差_商品計画2011年 (2)_物流_開発商品(chen)_副本41期事業計画商品部（備品） (2) (2) 6" xfId="51736"/>
    <cellStyle name="差_商品計画2011年 (2)_新メニュー観察(上海) 201204 花島添削 (2) (5)" xfId="3230"/>
    <cellStyle name="差_商品計画2011年 (2)_新メニュー観察(上海) 201204 花島添削 (2) (5) 2" xfId="3231"/>
    <cellStyle name="差_商品計画2011年 (2)_新メニュー観察(上海) 201204 花島添削 (2) (5) 3" xfId="51737"/>
    <cellStyle name="差_商品計画2011年 (2)_新メニュー観察(上海) 201204 花島添削 (2) (5) 4" xfId="51738"/>
    <cellStyle name="差_商品計画2011年 (2)_新メニュー実績" xfId="3232"/>
    <cellStyle name="差_商品計画2011年 (2)_新メニュー実績 2" xfId="3233"/>
    <cellStyle name="差_商品計画2011年 (2)_新メニュー実績 3" xfId="51739"/>
    <cellStyle name="差_商品計画2011年 (2)_新メニュー実績 4" xfId="51740"/>
    <cellStyle name="差_商品計画2011年 (2)_週新品観察." xfId="3234"/>
    <cellStyle name="差_商品計画2011年 (2)_週新品観察. 2" xfId="3235"/>
    <cellStyle name="差_商品計画2011年 (2)_週新品観察. 3" xfId="51741"/>
    <cellStyle name="差_商品計画2011年 (2)_週新品観察. 4" xfId="51742"/>
    <cellStyle name="差_试食评价表" xfId="3236"/>
    <cellStyle name="差_试食评价表 2" xfId="3237"/>
    <cellStyle name="差_试食评价表 2 2" xfId="51743"/>
    <cellStyle name="差_试食评价表 2 3" xfId="51744"/>
    <cellStyle name="差_试食评价表 2 4" xfId="51745"/>
    <cellStyle name="差_试食评价表 3" xfId="3238"/>
    <cellStyle name="差_试食评价表 3 2" xfId="51746"/>
    <cellStyle name="差_试食评价表 3 3" xfId="51747"/>
    <cellStyle name="差_试食评价表 3 4" xfId="51748"/>
    <cellStyle name="差_试食评价表 4" xfId="51749"/>
    <cellStyle name="差_试食评价表 5" xfId="51750"/>
    <cellStyle name="差_试食评价表 6" xfId="51751"/>
    <cellStyle name="差_试食评价表_201205同業他社比較（商品構成G）" xfId="3239"/>
    <cellStyle name="差_试食评价表_201205同業他社比較（商品構成G） 2" xfId="51752"/>
    <cellStyle name="差_试食评价表_201205同業他社比較（商品構成G） 3" xfId="51753"/>
    <cellStyle name="差_试食评价表_201205同業他社比較（商品構成G） 4" xfId="51754"/>
    <cellStyle name="差_试食评价表_201205同業他社比較（商品構成G）_副本新メニュー観察(上海) 201204 花島添削 (5)" xfId="3240"/>
    <cellStyle name="差_试食评价表_201205同業他社比較（商品構成G）_副本新メニュー観察(上海) 201204 花島添削 (5) 2" xfId="51755"/>
    <cellStyle name="差_试食评价表_201205同業他社比較（商品構成G）_副本新メニュー観察(上海) 201204 花島添削 (5) 3" xfId="51756"/>
    <cellStyle name="差_试食评价表_201205同業他社比較（商品構成G）_副本新メニュー観察(上海) 201204 花島添削 (5) 4" xfId="51757"/>
    <cellStyle name="差_试食评价表_201205同業他社比較（商品構成G）_新メニュー観察(上海) 201204 花島添削 (2) (5)" xfId="3241"/>
    <cellStyle name="差_试食评价表_201205同業他社比較（商品構成G）_新メニュー観察(上海) 201204 花島添削 (2) (5) 2" xfId="51758"/>
    <cellStyle name="差_试食评价表_201205同業他社比較（商品構成G）_新メニュー観察(上海) 201204 花島添削 (2) (5) 3" xfId="51759"/>
    <cellStyle name="差_试食评价表_201205同業他社比較（商品構成G）_新メニュー観察(上海) 201204 花島添削 (2) (5) 4" xfId="51760"/>
    <cellStyle name="差_试食评价表_40期事業計画（商品部）  (3)" xfId="3242"/>
    <cellStyle name="差_试食评价表_40期事業計画（商品部）  (3) 2" xfId="51761"/>
    <cellStyle name="差_试食评价表_40期事業計画（商品部）  (3) 3" xfId="51762"/>
    <cellStyle name="差_试食评价表_40期事業計画（商品部）  (3) 4" xfId="51763"/>
    <cellStyle name="差_试食评价表_40期事業計画（商品部1）" xfId="3243"/>
    <cellStyle name="差_试食评价表_40期事業計画（商品部1） 2" xfId="3244"/>
    <cellStyle name="差_试食评价表_40期事業計画（商品部1） 2 2" xfId="51764"/>
    <cellStyle name="差_试食评价表_40期事業計画（商品部1） 2 3" xfId="51765"/>
    <cellStyle name="差_试食评价表_40期事業計画（商品部1） 2 4" xfId="51766"/>
    <cellStyle name="差_试食评价表_40期事業計画（商品部1） 3" xfId="3245"/>
    <cellStyle name="差_试食评价表_40期事業計画（商品部1） 3 2" xfId="51767"/>
    <cellStyle name="差_试食评价表_40期事業計画（商品部1） 3 3" xfId="51768"/>
    <cellStyle name="差_试食评价表_40期事業計画（商品部1） 3 4" xfId="51769"/>
    <cellStyle name="差_试食评价表_40期事業計画（商品部1） 4" xfId="51770"/>
    <cellStyle name="差_试食评价表_40期事業計画（商品部1） 5" xfId="51771"/>
    <cellStyle name="差_试食评价表_40期事業計画（商品部1） 6" xfId="51772"/>
    <cellStyle name="差_试食评价表_40期預実（商品部） (3)" xfId="3246"/>
    <cellStyle name="差_试食评价表_40期預実（商品部） (3) 2" xfId="3247"/>
    <cellStyle name="差_试食评价表_40期預実（商品部） (3) 2 2" xfId="51773"/>
    <cellStyle name="差_试食评价表_40期預実（商品部） (3) 2 3" xfId="51774"/>
    <cellStyle name="差_试食评价表_40期預実（商品部） (3) 2 4" xfId="51775"/>
    <cellStyle name="差_试食评价表_40期預実（商品部） (3) 3" xfId="3248"/>
    <cellStyle name="差_试食评价表_40期預実（商品部） (3) 3 2" xfId="51776"/>
    <cellStyle name="差_试食评价表_40期預実（商品部） (3) 3 3" xfId="51777"/>
    <cellStyle name="差_试食评价表_40期預実（商品部） (3) 3 4" xfId="51778"/>
    <cellStyle name="差_试食评价表_40期預実（商品部） (3) 4" xfId="51779"/>
    <cellStyle name="差_试食评价表_40期預実（商品部） (3) 5" xfId="51780"/>
    <cellStyle name="差_试食评价表_40期預実（商品部） (3) 6" xfId="51781"/>
    <cellStyle name="差_试食评价表_40期預実（商品部） (3)_201205同業他社比較（商品構成G）" xfId="3249"/>
    <cellStyle name="差_试食评价表_40期預実（商品部） (3)_201205同業他社比較（商品構成G） 2" xfId="51782"/>
    <cellStyle name="差_试食评价表_40期預実（商品部） (3)_201205同業他社比較（商品構成G） 3" xfId="51783"/>
    <cellStyle name="差_试食评价表_40期預実（商品部） (3)_副本新メニュー観察(上海) 201204 花島添削 (5)" xfId="3250"/>
    <cellStyle name="差_试食评价表_40期預実（商品部） (3)_副本新メニュー観察(上海) 201204 花島添削 (5) 2" xfId="51784"/>
    <cellStyle name="差_试食评价表_40期預実（商品部） (3)_副本新メニュー観察(上海) 201204 花島添削 (5) 3" xfId="51785"/>
    <cellStyle name="差_试食评价表_40期預実（商品部） (3)_副本新メニュー観察(上海) 201204 花島添削 (5) 4" xfId="51786"/>
    <cellStyle name="差_试食评价表_40期預実（商品部） (3)_新メニュー観察(上海) 201204 花島添削 (2) (5)" xfId="3251"/>
    <cellStyle name="差_试食评价表_40期預実（商品部） (3)_新メニュー観察(上海) 201204 花島添削 (2) (5) 2" xfId="51787"/>
    <cellStyle name="差_试食评价表_40期預実（商品部） (3)_新メニュー観察(上海) 201204 花島添削 (2) (5) 3" xfId="51788"/>
    <cellStyle name="差_试食评价表_40期預実（商品部） (3)_新メニュー観察(上海) 201204 花島添削 (2) (5) 4" xfId="51789"/>
    <cellStyle name="差_试食评价表_40期預実（商品部） (3)_週新品観察." xfId="3252"/>
    <cellStyle name="差_试食评价表_40期預実（商品部） (3)_週新品観察. 2" xfId="51790"/>
    <cellStyle name="差_试食评价表_40期預実（商品部） (3)_週新品観察. 3" xfId="51791"/>
    <cellStyle name="差_试食评价表_40期預実（商品部） (3)_週新品観察. 4" xfId="51792"/>
    <cellStyle name="差_试食评价表_41期事業計画(商品部)" xfId="3253"/>
    <cellStyle name="差_试食评价表_41期事業計画(商品部) 2" xfId="3254"/>
    <cellStyle name="差_试食评价表_41期事業計画(商品部) 2 2" xfId="51793"/>
    <cellStyle name="差_试食评价表_41期事業計画(商品部) 2 3" xfId="51794"/>
    <cellStyle name="差_试食评价表_41期事業計画(商品部) 2 4" xfId="51795"/>
    <cellStyle name="差_试食评价表_41期事業計画(商品部) 3" xfId="3255"/>
    <cellStyle name="差_试食评价表_41期事業計画(商品部) 3 2" xfId="51796"/>
    <cellStyle name="差_试食评价表_41期事業計画(商品部) 3 3" xfId="51797"/>
    <cellStyle name="差_试食评价表_41期事業計画(商品部) 3 4" xfId="51798"/>
    <cellStyle name="差_试食评价表_41期事業計画(商品部) 4" xfId="51799"/>
    <cellStyle name="差_试食评价表_41期事業計画(商品部) 5" xfId="51800"/>
    <cellStyle name="差_试食评价表_41期事業計画(商品部) 6" xfId="51801"/>
    <cellStyle name="差_试食评价表_CPI" xfId="3256"/>
    <cellStyle name="差_试食评价表_CPI 2" xfId="3257"/>
    <cellStyle name="差_试食评价表_CPI 2 2" xfId="51802"/>
    <cellStyle name="差_试食评价表_CPI 2 3" xfId="51803"/>
    <cellStyle name="差_试食评价表_CPI 2 4" xfId="51804"/>
    <cellStyle name="差_试食评价表_CPI 3" xfId="3258"/>
    <cellStyle name="差_试食评价表_CPI 3 2" xfId="51805"/>
    <cellStyle name="差_试食评价表_CPI 3 3" xfId="51806"/>
    <cellStyle name="差_试食评价表_CPI 3 4" xfId="51807"/>
    <cellStyle name="差_试食评价表_CPI 4" xfId="51808"/>
    <cellStyle name="差_试食评价表_CPI 5" xfId="51809"/>
    <cellStyle name="差_试食评价表_CPI 6" xfId="51810"/>
    <cellStyle name="差_试食评价表_CPI(1)" xfId="3259"/>
    <cellStyle name="差_试食评价表_CPI(1) 2" xfId="51811"/>
    <cellStyle name="差_试食评价表_CPI(1) 3" xfId="51812"/>
    <cellStyle name="差_试食评价表_CPI(1) 4" xfId="51813"/>
    <cellStyle name="差_试食评价表_Sheet1" xfId="3260"/>
    <cellStyle name="差_试食评价表_Sheet1 2" xfId="51814"/>
    <cellStyle name="差_试食评价表_Sheet1 3" xfId="51815"/>
    <cellStyle name="差_试食评价表_Sheet1 4" xfId="51816"/>
    <cellStyle name="差_试食评价表_Sheet1_副本新メニュー観察(上海) 201204 花島添削 (5)" xfId="3261"/>
    <cellStyle name="差_试食评价表_Sheet1_副本新メニュー観察(上海) 201204 花島添削 (5) 2" xfId="51817"/>
    <cellStyle name="差_试食评价表_Sheet1_副本新メニュー観察(上海) 201204 花島添削 (5) 3" xfId="51818"/>
    <cellStyle name="差_试食评价表_Sheet1_副本新メニュー観察(上海) 201204 花島添削 (5) 4" xfId="51819"/>
    <cellStyle name="差_试食评价表_Sheet1_新メニュー観察(上海) 201204 花島添削 (2) (5)" xfId="3262"/>
    <cellStyle name="差_试食评价表_Sheet1_新メニュー観察(上海) 201204 花島添削 (2) (5) 2" xfId="51820"/>
    <cellStyle name="差_试食评价表_Sheet1_新メニュー観察(上海) 201204 花島添削 (2) (5) 3" xfId="51821"/>
    <cellStyle name="差_试食评价表_Sheet1_新メニュー観察(上海) 201204 花島添削 (2) (5) 4" xfId="51822"/>
    <cellStyle name="差_试食评价表_Xl0000173" xfId="3263"/>
    <cellStyle name="差_试食评价表_Xl0000173 2" xfId="51823"/>
    <cellStyle name="差_试食评价表_Xl0000173 3" xfId="51824"/>
    <cellStyle name="差_试食评价表_Xl0000173 4" xfId="51825"/>
    <cellStyle name="差_试食评价表_Xl0000173_副本新メニュー観察(上海) 201204 花島添削 (5)" xfId="3264"/>
    <cellStyle name="差_试食评价表_Xl0000173_副本新メニュー観察(上海) 201204 花島添削 (5) 2" xfId="51826"/>
    <cellStyle name="差_试食评价表_Xl0000173_副本新メニュー観察(上海) 201204 花島添削 (5) 3" xfId="51827"/>
    <cellStyle name="差_试食评价表_Xl0000173_副本新メニュー観察(上海) 201204 花島添削 (5) 4" xfId="51828"/>
    <cellStyle name="差_试食评价表_Xl0000173_新メニュー観察(上海) 201204 花島添削 (2) (5)" xfId="3265"/>
    <cellStyle name="差_试食评价表_Xl0000173_新メニュー観察(上海) 201204 花島添削 (2) (5) 2" xfId="51829"/>
    <cellStyle name="差_试食评价表_Xl0000173_新メニュー観察(上海) 201204 花島添削 (2) (5) 3" xfId="51830"/>
    <cellStyle name="差_试食评价表_Xl0000173_新メニュー観察(上海) 201204 花島添削 (2) (5) 4" xfId="51831"/>
    <cellStyle name="差_试食评价表_儊僯儏乕娤嶡(2-1)" xfId="3266"/>
    <cellStyle name="差_试食评价表_儊僯儏乕娤嶡(2-1) 2" xfId="51832"/>
    <cellStyle name="差_试食评价表_儊僯儏乕娤嶡(2-1) 3" xfId="51833"/>
    <cellStyle name="差_试食评价表_儊僯儏乕娤嶡(2-1) 4" xfId="51834"/>
    <cellStyle name="差_试食评价表_儊僯儏乕娤嶡(2-2乯" xfId="3267"/>
    <cellStyle name="差_试食评价表_儊僯儏乕娤嶡(2-2乯 2" xfId="51835"/>
    <cellStyle name="差_试食评价表_儊僯儏乕娤嶡(2-2乯 3" xfId="51836"/>
    <cellStyle name="差_试食评价表_儊僯儏乕娤嶡(2-2乯 4" xfId="51837"/>
    <cellStyle name="差_试食评价表_儊僯儏乕娤嶡(2-2乯_副本新メニュー観察(上海) 201204 花島添削 (5)" xfId="3268"/>
    <cellStyle name="差_试食评价表_儊僯儏乕娤嶡(2-2乯_副本新メニュー観察(上海) 201204 花島添削 (5) 2" xfId="51838"/>
    <cellStyle name="差_试食评价表_儊僯儏乕娤嶡(2-2乯_副本新メニュー観察(上海) 201204 花島添削 (5) 3" xfId="51839"/>
    <cellStyle name="差_试食评价表_儊僯儏乕娤嶡(2-2乯_副本新メニュー観察(上海) 201204 花島添削 (5) 4" xfId="51840"/>
    <cellStyle name="差_试食评价表_儊僯儏乕娤嶡(2-2乯_新メニュー観察(上海) 201204 花島添削 (2) (5)" xfId="3269"/>
    <cellStyle name="差_试食评价表_儊僯儏乕娤嶡(2-2乯_新メニュー観察(上海) 201204 花島添削 (2) (5) 2" xfId="51841"/>
    <cellStyle name="差_试食评价表_儊僯儏乕娤嶡(2-2乯_新メニュー観察(上海) 201204 花島添削 (2) (5) 3" xfId="51842"/>
    <cellStyle name="差_试食评价表_儊僯儏乕娤嶡(2-2乯_新メニュー観察(上海) 201204 花島添削 (2) (5) 4" xfId="51843"/>
    <cellStyle name="差_试食评价表_副本40期預実（商品部） (3)" xfId="3270"/>
    <cellStyle name="差_试食评价表_副本40期預実（商品部） (3) 2" xfId="3271"/>
    <cellStyle name="差_试食评价表_副本40期預実（商品部） (3) 2 2" xfId="51844"/>
    <cellStyle name="差_试食评价表_副本40期預実（商品部） (3) 2 3" xfId="51845"/>
    <cellStyle name="差_试食评价表_副本40期預実（商品部） (3) 2 4" xfId="51846"/>
    <cellStyle name="差_试食评价表_副本40期預実（商品部） (3) 3" xfId="3272"/>
    <cellStyle name="差_试食评价表_副本40期預実（商品部） (3) 3 2" xfId="51847"/>
    <cellStyle name="差_试食评价表_副本40期預実（商品部） (3) 3 3" xfId="51848"/>
    <cellStyle name="差_试食评价表_副本40期預実（商品部） (3) 3 4" xfId="51849"/>
    <cellStyle name="差_试食评价表_副本40期預実（商品部） (3) 4" xfId="51850"/>
    <cellStyle name="差_试食评价表_副本40期預実（商品部） (3) 5" xfId="51851"/>
    <cellStyle name="差_试食评价表_副本40期預実（商品部） (3) 6" xfId="51852"/>
    <cellStyle name="差_试食评价表_副本40期預実（商品部） (3)_201205同業他社比較（商品構成G）" xfId="3273"/>
    <cellStyle name="差_试食评价表_副本40期預実（商品部） (3)_201205同業他社比較（商品構成G） 2" xfId="51853"/>
    <cellStyle name="差_试食评价表_副本40期預実（商品部） (3)_201205同業他社比較（商品構成G） 3" xfId="51854"/>
    <cellStyle name="差_试食评价表_副本40期預実（商品部） (3)_副本新メニュー観察(上海) 201204 花島添削 (5)" xfId="3274"/>
    <cellStyle name="差_试食评价表_副本40期預実（商品部） (3)_副本新メニュー観察(上海) 201204 花島添削 (5) 2" xfId="51855"/>
    <cellStyle name="差_试食评价表_副本40期預実（商品部） (3)_副本新メニュー観察(上海) 201204 花島添削 (5) 3" xfId="51856"/>
    <cellStyle name="差_试食评价表_副本40期預実（商品部） (3)_副本新メニュー観察(上海) 201204 花島添削 (5) 4" xfId="51857"/>
    <cellStyle name="差_试食评价表_副本40期預実（商品部） (3)_新メニュー観察(上海) 201204 花島添削 (2) (5)" xfId="3275"/>
    <cellStyle name="差_试食评价表_副本40期預実（商品部） (3)_新メニュー観察(上海) 201204 花島添削 (2) (5) 2" xfId="51858"/>
    <cellStyle name="差_试食评价表_副本40期預実（商品部） (3)_新メニュー観察(上海) 201204 花島添削 (2) (5) 3" xfId="51859"/>
    <cellStyle name="差_试食评价表_副本40期預実（商品部） (3)_新メニュー観察(上海) 201204 花島添削 (2) (5) 4" xfId="51860"/>
    <cellStyle name="差_试食评价表_副本40期預実（商品部） (3)_週新品観察." xfId="3276"/>
    <cellStyle name="差_试食评价表_副本40期預実（商品部） (3)_週新品観察. 2" xfId="51861"/>
    <cellStyle name="差_试食评价表_副本40期預実（商品部） (3)_週新品観察. 3" xfId="51862"/>
    <cellStyle name="差_试食评价表_副本40期預実（商品部） (3)_週新品観察. 4" xfId="51863"/>
    <cellStyle name="差_试食评价表_副本41期事業計画商品部（備品） (2) (2)" xfId="3277"/>
    <cellStyle name="差_试食评价表_副本41期事業計画商品部（備品） (2) (2) 2" xfId="3278"/>
    <cellStyle name="差_试食评价表_副本41期事業計画商品部（備品） (2) (2) 2 2" xfId="51864"/>
    <cellStyle name="差_试食评价表_副本41期事業計画商品部（備品） (2) (2) 2 3" xfId="51865"/>
    <cellStyle name="差_试食评价表_副本41期事業計画商品部（備品） (2) (2) 2 4" xfId="51866"/>
    <cellStyle name="差_试食评价表_副本41期事業計画商品部（備品） (2) (2) 3" xfId="3279"/>
    <cellStyle name="差_试食评价表_副本41期事業計画商品部（備品） (2) (2) 3 2" xfId="51867"/>
    <cellStyle name="差_试食评价表_副本41期事業計画商品部（備品） (2) (2) 3 3" xfId="51868"/>
    <cellStyle name="差_试食评价表_副本41期事業計画商品部（備品） (2) (2) 3 4" xfId="51869"/>
    <cellStyle name="差_试食评价表_副本41期事業計画商品部（備品） (2) (2) 4" xfId="51870"/>
    <cellStyle name="差_试食评价表_副本41期事業計画商品部（備品） (2) (2) 5" xfId="51871"/>
    <cellStyle name="差_试食评价表_副本41期事業計画商品部（備品） (2) (2) 6" xfId="51872"/>
    <cellStyle name="差_试食评价表_開発商品(chen)" xfId="3280"/>
    <cellStyle name="差_试食评价表_開発商品(chen) 2" xfId="3281"/>
    <cellStyle name="差_试食评价表_開発商品(chen) 2 2" xfId="51873"/>
    <cellStyle name="差_试食评价表_開発商品(chen) 2 3" xfId="51874"/>
    <cellStyle name="差_试食评价表_開発商品(chen) 2 4" xfId="51875"/>
    <cellStyle name="差_试食评价表_開発商品(chen) 3" xfId="3282"/>
    <cellStyle name="差_试食评价表_開発商品(chen) 3 2" xfId="51876"/>
    <cellStyle name="差_试食评价表_開発商品(chen) 3 3" xfId="51877"/>
    <cellStyle name="差_试食评价表_開発商品(chen) 3 4" xfId="51878"/>
    <cellStyle name="差_试食评价表_開発商品(chen) 4" xfId="51879"/>
    <cellStyle name="差_试食评价表_開発商品(chen) 5" xfId="51880"/>
    <cellStyle name="差_试食评价表_開発商品(chen) 6" xfId="51881"/>
    <cellStyle name="差_试食评价表_開発商品(chen)_201205同業他社比較（商品構成G）" xfId="3283"/>
    <cellStyle name="差_试食评价表_開発商品(chen)_201205同業他社比較（商品構成G） 2" xfId="51882"/>
    <cellStyle name="差_试食评价表_開発商品(chen)_201205同業他社比較（商品構成G） 3" xfId="51883"/>
    <cellStyle name="差_试食评价表_開発商品(chen)_副本新メニュー観察(上海) 201204 花島添削 (5)" xfId="3284"/>
    <cellStyle name="差_试食评价表_開発商品(chen)_副本新メニュー観察(上海) 201204 花島添削 (5) 2" xfId="51884"/>
    <cellStyle name="差_试食评价表_開発商品(chen)_副本新メニュー観察(上海) 201204 花島添削 (5) 3" xfId="51885"/>
    <cellStyle name="差_试食评价表_開発商品(chen)_副本新メニュー観察(上海) 201204 花島添削 (5) 4" xfId="51886"/>
    <cellStyle name="差_试食评价表_開発商品(chen)_新メニュー観察(上海) 201204 花島添削 (2) (5)" xfId="3285"/>
    <cellStyle name="差_试食评价表_開発商品(chen)_新メニュー観察(上海) 201204 花島添削 (2) (5) 2" xfId="51887"/>
    <cellStyle name="差_试食评价表_開発商品(chen)_新メニュー観察(上海) 201204 花島添削 (2) (5) 3" xfId="51888"/>
    <cellStyle name="差_试食评价表_開発商品(chen)_新メニュー観察(上海) 201204 花島添削 (2) (5) 4" xfId="51889"/>
    <cellStyle name="差_试食评价表_開発商品(chen)_週新品観察." xfId="3286"/>
    <cellStyle name="差_试食评价表_開発商品(chen)_週新品観察. 2" xfId="51890"/>
    <cellStyle name="差_试食评价表_開発商品(chen)_週新品観察. 3" xfId="51891"/>
    <cellStyle name="差_试食评价表_開発商品(chen)_週新品観察. 4" xfId="51892"/>
    <cellStyle name="差_试食评价表_物流" xfId="3287"/>
    <cellStyle name="差_试食评价表_物流 2" xfId="3288"/>
    <cellStyle name="差_试食评价表_物流 2 2" xfId="51893"/>
    <cellStyle name="差_试食评价表_物流 2 3" xfId="51894"/>
    <cellStyle name="差_试食评价表_物流 2 4" xfId="51895"/>
    <cellStyle name="差_试食评价表_物流 3" xfId="3289"/>
    <cellStyle name="差_试食评价表_物流 3 2" xfId="51896"/>
    <cellStyle name="差_试食评价表_物流 3 3" xfId="51897"/>
    <cellStyle name="差_试食评价表_物流 3 4" xfId="51898"/>
    <cellStyle name="差_试食评价表_物流 4" xfId="51899"/>
    <cellStyle name="差_试食评价表_物流 5" xfId="51900"/>
    <cellStyle name="差_试食评价表_物流 6" xfId="51901"/>
    <cellStyle name="差_试食评价表_物流_201205同業他社比較（商品構成G）" xfId="3290"/>
    <cellStyle name="差_试食评价表_物流_201205同業他社比較（商品構成G） 2" xfId="51902"/>
    <cellStyle name="差_试食评价表_物流_201205同業他社比較（商品構成G） 3" xfId="51903"/>
    <cellStyle name="差_试食评价表_物流_40期事業計画（商品部）  (3)" xfId="3291"/>
    <cellStyle name="差_试食评价表_物流_40期事業計画（商品部）  (3) 2" xfId="51904"/>
    <cellStyle name="差_试食评价表_物流_40期事業計画（商品部）  (3) 3" xfId="51905"/>
    <cellStyle name="差_试食评价表_物流_40期事業計画（商品部）  (3) 4" xfId="51906"/>
    <cellStyle name="差_试食评价表_物流_40期事業計画（商品部1）" xfId="3292"/>
    <cellStyle name="差_试食评价表_物流_40期事業計画（商品部1） 2" xfId="3293"/>
    <cellStyle name="差_试食评价表_物流_40期事業計画（商品部1） 2 2" xfId="51907"/>
    <cellStyle name="差_试食评价表_物流_40期事業計画（商品部1） 2 3" xfId="51908"/>
    <cellStyle name="差_试食评价表_物流_40期事業計画（商品部1） 2 4" xfId="51909"/>
    <cellStyle name="差_试食评价表_物流_40期事業計画（商品部1） 3" xfId="3294"/>
    <cellStyle name="差_试食评价表_物流_40期事業計画（商品部1） 3 2" xfId="51910"/>
    <cellStyle name="差_试食评价表_物流_40期事業計画（商品部1） 3 3" xfId="51911"/>
    <cellStyle name="差_试食评价表_物流_40期事業計画（商品部1） 3 4" xfId="51912"/>
    <cellStyle name="差_试食评价表_物流_40期事業計画（商品部1） 4" xfId="51913"/>
    <cellStyle name="差_试食评价表_物流_40期事業計画（商品部1） 5" xfId="51914"/>
    <cellStyle name="差_试食评价表_物流_40期事業計画（商品部1） 6" xfId="51915"/>
    <cellStyle name="差_试食评价表_物流_40期預実（商品部） (3)" xfId="3295"/>
    <cellStyle name="差_试食评价表_物流_40期預実（商品部） (3) 2" xfId="3296"/>
    <cellStyle name="差_试食评价表_物流_40期預実（商品部） (3) 2 2" xfId="51916"/>
    <cellStyle name="差_试食评价表_物流_40期預実（商品部） (3) 2 3" xfId="51917"/>
    <cellStyle name="差_试食评价表_物流_40期預実（商品部） (3) 2 4" xfId="51918"/>
    <cellStyle name="差_试食评价表_物流_40期預実（商品部） (3) 3" xfId="3297"/>
    <cellStyle name="差_试食评价表_物流_40期預実（商品部） (3) 3 2" xfId="51919"/>
    <cellStyle name="差_试食评价表_物流_40期預実（商品部） (3) 3 3" xfId="51920"/>
    <cellStyle name="差_试食评价表_物流_40期預実（商品部） (3) 3 4" xfId="51921"/>
    <cellStyle name="差_试食评价表_物流_40期預実（商品部） (3) 4" xfId="51922"/>
    <cellStyle name="差_试食评价表_物流_40期預実（商品部） (3) 5" xfId="51923"/>
    <cellStyle name="差_试食评价表_物流_40期預実（商品部） (3) 6" xfId="51924"/>
    <cellStyle name="差_试食评价表_物流_40期預実（商品部） (3)_201205同業他社比較（商品構成G）" xfId="3298"/>
    <cellStyle name="差_试食评价表_物流_40期預実（商品部） (3)_201205同業他社比較（商品構成G） 2" xfId="51925"/>
    <cellStyle name="差_试食评价表_物流_40期預実（商品部） (3)_201205同業他社比較（商品構成G） 3" xfId="51926"/>
    <cellStyle name="差_试食评价表_物流_40期預実（商品部） (3)_副本新メニュー観察(上海) 201204 花島添削 (5)" xfId="3299"/>
    <cellStyle name="差_试食评价表_物流_40期預実（商品部） (3)_副本新メニュー観察(上海) 201204 花島添削 (5) 2" xfId="51927"/>
    <cellStyle name="差_试食评价表_物流_40期預実（商品部） (3)_副本新メニュー観察(上海) 201204 花島添削 (5) 3" xfId="51928"/>
    <cellStyle name="差_试食评价表_物流_40期預実（商品部） (3)_副本新メニュー観察(上海) 201204 花島添削 (5) 4" xfId="51929"/>
    <cellStyle name="差_试食评价表_物流_40期預実（商品部） (3)_新メニュー観察(上海) 201204 花島添削 (2) (5)" xfId="3300"/>
    <cellStyle name="差_试食评价表_物流_40期預実（商品部） (3)_新メニュー観察(上海) 201204 花島添削 (2) (5) 2" xfId="51930"/>
    <cellStyle name="差_试食评价表_物流_40期預実（商品部） (3)_新メニュー観察(上海) 201204 花島添削 (2) (5) 3" xfId="51931"/>
    <cellStyle name="差_试食评价表_物流_40期預実（商品部） (3)_新メニュー観察(上海) 201204 花島添削 (2) (5) 4" xfId="51932"/>
    <cellStyle name="差_试食评价表_物流_40期預実（商品部） (3)_週新品観察." xfId="3301"/>
    <cellStyle name="差_试食评价表_物流_40期預実（商品部） (3)_週新品観察. 2" xfId="51933"/>
    <cellStyle name="差_试食评价表_物流_40期預実（商品部） (3)_週新品観察. 3" xfId="51934"/>
    <cellStyle name="差_试食评价表_物流_40期預実（商品部） (3)_週新品観察. 4" xfId="51935"/>
    <cellStyle name="差_试食评价表_物流_41期事業計画(商品部)" xfId="3302"/>
    <cellStyle name="差_试食评价表_物流_41期事業計画(商品部) 2" xfId="3303"/>
    <cellStyle name="差_试食评价表_物流_41期事業計画(商品部) 2 2" xfId="51936"/>
    <cellStyle name="差_试食评价表_物流_41期事業計画(商品部) 2 3" xfId="51937"/>
    <cellStyle name="差_试食评价表_物流_41期事業計画(商品部) 2 4" xfId="51938"/>
    <cellStyle name="差_试食评价表_物流_41期事業計画(商品部) 3" xfId="3304"/>
    <cellStyle name="差_试食评价表_物流_41期事業計画(商品部) 3 2" xfId="51939"/>
    <cellStyle name="差_试食评价表_物流_41期事業計画(商品部) 3 3" xfId="51940"/>
    <cellStyle name="差_试食评价表_物流_41期事業計画(商品部) 3 4" xfId="51941"/>
    <cellStyle name="差_试食评价表_物流_41期事業計画(商品部) 4" xfId="51942"/>
    <cellStyle name="差_试食评价表_物流_41期事業計画(商品部) 5" xfId="51943"/>
    <cellStyle name="差_试食评价表_物流_41期事業計画(商品部) 6" xfId="51944"/>
    <cellStyle name="差_试食评价表_物流_CPI" xfId="3305"/>
    <cellStyle name="差_试食评价表_物流_CPI 2" xfId="3306"/>
    <cellStyle name="差_试食评价表_物流_CPI 2 2" xfId="51945"/>
    <cellStyle name="差_试食评价表_物流_CPI 2 3" xfId="51946"/>
    <cellStyle name="差_试食评价表_物流_CPI 2 4" xfId="51947"/>
    <cellStyle name="差_试食评价表_物流_CPI 3" xfId="3307"/>
    <cellStyle name="差_试食评价表_物流_CPI 3 2" xfId="51948"/>
    <cellStyle name="差_试食评价表_物流_CPI 3 3" xfId="51949"/>
    <cellStyle name="差_试食评价表_物流_CPI 3 4" xfId="51950"/>
    <cellStyle name="差_试食评价表_物流_CPI 4" xfId="51951"/>
    <cellStyle name="差_试食评价表_物流_CPI 5" xfId="51952"/>
    <cellStyle name="差_试食评价表_物流_CPI 6" xfId="51953"/>
    <cellStyle name="差_试食评价表_物流_CPI(1)" xfId="3308"/>
    <cellStyle name="差_试食评价表_物流_CPI(1) 2" xfId="51954"/>
    <cellStyle name="差_试食评价表_物流_CPI(1) 3" xfId="51955"/>
    <cellStyle name="差_试食评价表_物流_CPI(1) 4" xfId="51956"/>
    <cellStyle name="差_试食评价表_物流_副本40期預実（商品部） (3)" xfId="3309"/>
    <cellStyle name="差_试食评价表_物流_副本40期預実（商品部） (3) 2" xfId="3310"/>
    <cellStyle name="差_试食评价表_物流_副本40期預実（商品部） (3) 2 2" xfId="51957"/>
    <cellStyle name="差_试食评价表_物流_副本40期預実（商品部） (3) 2 3" xfId="51958"/>
    <cellStyle name="差_试食评价表_物流_副本40期預実（商品部） (3) 2 4" xfId="51959"/>
    <cellStyle name="差_试食评价表_物流_副本40期預実（商品部） (3) 3" xfId="3311"/>
    <cellStyle name="差_试食评价表_物流_副本40期預実（商品部） (3) 3 2" xfId="51960"/>
    <cellStyle name="差_试食评价表_物流_副本40期預実（商品部） (3) 3 3" xfId="51961"/>
    <cellStyle name="差_试食评价表_物流_副本40期預実（商品部） (3) 3 4" xfId="51962"/>
    <cellStyle name="差_试食评价表_物流_副本40期預実（商品部） (3) 4" xfId="51963"/>
    <cellStyle name="差_试食评价表_物流_副本40期預実（商品部） (3) 5" xfId="51964"/>
    <cellStyle name="差_试食评价表_物流_副本40期預実（商品部） (3) 6" xfId="51965"/>
    <cellStyle name="差_试食评价表_物流_副本40期預実（商品部） (3)_201205同業他社比較（商品構成G）" xfId="3312"/>
    <cellStyle name="差_试食评价表_物流_副本40期預実（商品部） (3)_201205同業他社比較（商品構成G） 2" xfId="51966"/>
    <cellStyle name="差_试食评价表_物流_副本40期預実（商品部） (3)_201205同業他社比較（商品構成G） 3" xfId="51967"/>
    <cellStyle name="差_试食评价表_物流_副本40期預実（商品部） (3)_副本新メニュー観察(上海) 201204 花島添削 (5)" xfId="3313"/>
    <cellStyle name="差_试食评价表_物流_副本40期預実（商品部） (3)_副本新メニュー観察(上海) 201204 花島添削 (5) 2" xfId="51968"/>
    <cellStyle name="差_试食评价表_物流_副本40期預実（商品部） (3)_副本新メニュー観察(上海) 201204 花島添削 (5) 3" xfId="51969"/>
    <cellStyle name="差_试食评价表_物流_副本40期預実（商品部） (3)_副本新メニュー観察(上海) 201204 花島添削 (5) 4" xfId="51970"/>
    <cellStyle name="差_试食评价表_物流_副本40期預実（商品部） (3)_新メニュー観察(上海) 201204 花島添削 (2) (5)" xfId="3314"/>
    <cellStyle name="差_试食评价表_物流_副本40期預実（商品部） (3)_新メニュー観察(上海) 201204 花島添削 (2) (5) 2" xfId="51971"/>
    <cellStyle name="差_试食评价表_物流_副本40期預実（商品部） (3)_新メニュー観察(上海) 201204 花島添削 (2) (5) 3" xfId="51972"/>
    <cellStyle name="差_试食评价表_物流_副本40期預実（商品部） (3)_新メニュー観察(上海) 201204 花島添削 (2) (5) 4" xfId="51973"/>
    <cellStyle name="差_试食评价表_物流_副本40期預実（商品部） (3)_週新品観察." xfId="3315"/>
    <cellStyle name="差_试食评价表_物流_副本40期預実（商品部） (3)_週新品観察. 2" xfId="51974"/>
    <cellStyle name="差_试食评价表_物流_副本40期預実（商品部） (3)_週新品観察. 3" xfId="51975"/>
    <cellStyle name="差_试食评价表_物流_副本40期預実（商品部） (3)_週新品観察. 4" xfId="51976"/>
    <cellStyle name="差_试食评价表_物流_副本41期事業計画商品部（備品） (2) (2)" xfId="3316"/>
    <cellStyle name="差_试食评价表_物流_副本41期事業計画商品部（備品） (2) (2) 2" xfId="3317"/>
    <cellStyle name="差_试食评价表_物流_副本41期事業計画商品部（備品） (2) (2) 2 2" xfId="51977"/>
    <cellStyle name="差_试食评价表_物流_副本41期事業計画商品部（備品） (2) (2) 2 3" xfId="51978"/>
    <cellStyle name="差_试食评价表_物流_副本41期事業計画商品部（備品） (2) (2) 2 4" xfId="51979"/>
    <cellStyle name="差_试食评价表_物流_副本41期事業計画商品部（備品） (2) (2) 3" xfId="3318"/>
    <cellStyle name="差_试食评价表_物流_副本41期事業計画商品部（備品） (2) (2) 3 2" xfId="51980"/>
    <cellStyle name="差_试食评价表_物流_副本41期事業計画商品部（備品） (2) (2) 3 3" xfId="51981"/>
    <cellStyle name="差_试食评价表_物流_副本41期事業計画商品部（備品） (2) (2) 3 4" xfId="51982"/>
    <cellStyle name="差_试食评价表_物流_副本41期事業計画商品部（備品） (2) (2) 4" xfId="51983"/>
    <cellStyle name="差_试食评价表_物流_副本41期事業計画商品部（備品） (2) (2) 5" xfId="51984"/>
    <cellStyle name="差_试食评价表_物流_副本41期事業計画商品部（備品） (2) (2) 6" xfId="51985"/>
    <cellStyle name="差_试食评价表_物流_副本新メニュー観察(上海) 201204 花島添削 (5)" xfId="3319"/>
    <cellStyle name="差_试食评价表_物流_副本新メニュー観察(上海) 201204 花島添削 (5) 2" xfId="51986"/>
    <cellStyle name="差_试食评价表_物流_副本新メニュー観察(上海) 201204 花島添削 (5) 3" xfId="51987"/>
    <cellStyle name="差_试食评价表_物流_副本新メニュー観察(上海) 201204 花島添削 (5) 4" xfId="51988"/>
    <cellStyle name="差_试食评价表_物流_開発商品(chen)" xfId="3320"/>
    <cellStyle name="差_试食评价表_物流_開発商品(chen) 2" xfId="3321"/>
    <cellStyle name="差_试食评价表_物流_開発商品(chen) 2 2" xfId="51989"/>
    <cellStyle name="差_试食评价表_物流_開発商品(chen) 2 3" xfId="51990"/>
    <cellStyle name="差_试食评价表_物流_開発商品(chen) 2 4" xfId="51991"/>
    <cellStyle name="差_试食评价表_物流_開発商品(chen) 3" xfId="3322"/>
    <cellStyle name="差_试食评价表_物流_開発商品(chen) 3 2" xfId="51992"/>
    <cellStyle name="差_试食评价表_物流_開発商品(chen) 3 3" xfId="51993"/>
    <cellStyle name="差_试食评价表_物流_開発商品(chen) 3 4" xfId="51994"/>
    <cellStyle name="差_试食评价表_物流_開発商品(chen) 4" xfId="51995"/>
    <cellStyle name="差_试食评价表_物流_開発商品(chen) 5" xfId="51996"/>
    <cellStyle name="差_试食评价表_物流_開発商品(chen) 6" xfId="51997"/>
    <cellStyle name="差_试食评价表_物流_開発商品(chen)_201205同業他社比較（商品構成G）" xfId="3323"/>
    <cellStyle name="差_试食评价表_物流_開発商品(chen)_201205同業他社比較（商品構成G） 2" xfId="51998"/>
    <cellStyle name="差_试食评价表_物流_開発商品(chen)_201205同業他社比較（商品構成G） 3" xfId="51999"/>
    <cellStyle name="差_试食评价表_物流_開発商品(chen)_40期事業計画（商品部）  (3)" xfId="3324"/>
    <cellStyle name="差_试食评价表_物流_開発商品(chen)_40期事業計画（商品部）  (3) 2" xfId="52000"/>
    <cellStyle name="差_试食评价表_物流_開発商品(chen)_40期事業計画（商品部）  (3) 3" xfId="52001"/>
    <cellStyle name="差_试食评价表_物流_開発商品(chen)_40期事業計画（商品部）  (3) 4" xfId="52002"/>
    <cellStyle name="差_试食评价表_物流_開発商品(chen)_40期事業計画（商品部1）" xfId="3325"/>
    <cellStyle name="差_试食评价表_物流_開発商品(chen)_40期事業計画（商品部1） 2" xfId="3326"/>
    <cellStyle name="差_试食评价表_物流_開発商品(chen)_40期事業計画（商品部1） 2 2" xfId="52003"/>
    <cellStyle name="差_试食评价表_物流_開発商品(chen)_40期事業計画（商品部1） 2 3" xfId="52004"/>
    <cellStyle name="差_试食评价表_物流_開発商品(chen)_40期事業計画（商品部1） 2 4" xfId="52005"/>
    <cellStyle name="差_试食评价表_物流_開発商品(chen)_40期事業計画（商品部1） 3" xfId="3327"/>
    <cellStyle name="差_试食评价表_物流_開発商品(chen)_40期事業計画（商品部1） 3 2" xfId="52006"/>
    <cellStyle name="差_试食评价表_物流_開発商品(chen)_40期事業計画（商品部1） 3 3" xfId="52007"/>
    <cellStyle name="差_试食评价表_物流_開発商品(chen)_40期事業計画（商品部1） 3 4" xfId="52008"/>
    <cellStyle name="差_试食评价表_物流_開発商品(chen)_40期事業計画（商品部1） 4" xfId="52009"/>
    <cellStyle name="差_试食评价表_物流_開発商品(chen)_40期事業計画（商品部1） 5" xfId="52010"/>
    <cellStyle name="差_试食评价表_物流_開発商品(chen)_40期事業計画（商品部1） 6" xfId="52011"/>
    <cellStyle name="差_试食评价表_物流_開発商品(chen)_40期預実（商品部） (3)" xfId="3328"/>
    <cellStyle name="差_试食评价表_物流_開発商品(chen)_40期預実（商品部） (3) 2" xfId="3329"/>
    <cellStyle name="差_试食评价表_物流_開発商品(chen)_40期預実（商品部） (3) 2 2" xfId="52012"/>
    <cellStyle name="差_试食评价表_物流_開発商品(chen)_40期預実（商品部） (3) 2 3" xfId="52013"/>
    <cellStyle name="差_试食评价表_物流_開発商品(chen)_40期預実（商品部） (3) 2 4" xfId="52014"/>
    <cellStyle name="差_试食评价表_物流_開発商品(chen)_40期預実（商品部） (3) 3" xfId="3330"/>
    <cellStyle name="差_试食评价表_物流_開発商品(chen)_40期預実（商品部） (3) 3 2" xfId="52015"/>
    <cellStyle name="差_试食评价表_物流_開発商品(chen)_40期預実（商品部） (3) 3 3" xfId="52016"/>
    <cellStyle name="差_试食评价表_物流_開発商品(chen)_40期預実（商品部） (3) 3 4" xfId="52017"/>
    <cellStyle name="差_试食评价表_物流_開発商品(chen)_40期預実（商品部） (3) 4" xfId="52018"/>
    <cellStyle name="差_试食评价表_物流_開発商品(chen)_40期預実（商品部） (3) 5" xfId="52019"/>
    <cellStyle name="差_试食评价表_物流_開発商品(chen)_40期預実（商品部） (3) 6" xfId="52020"/>
    <cellStyle name="差_试食评价表_物流_開発商品(chen)_40期預実（商品部） (3)_201205同業他社比較（商品構成G）" xfId="3331"/>
    <cellStyle name="差_试食评价表_物流_開発商品(chen)_40期預実（商品部） (3)_201205同業他社比較（商品構成G） 2" xfId="52021"/>
    <cellStyle name="差_试食评价表_物流_開発商品(chen)_40期預実（商品部） (3)_201205同業他社比較（商品構成G） 3" xfId="52022"/>
    <cellStyle name="差_试食评价表_物流_開発商品(chen)_40期預実（商品部） (3)_副本新メニュー観察(上海) 201204 花島添削 (5)" xfId="3332"/>
    <cellStyle name="差_试食评价表_物流_開発商品(chen)_40期預実（商品部） (3)_副本新メニュー観察(上海) 201204 花島添削 (5) 2" xfId="52023"/>
    <cellStyle name="差_试食评价表_物流_開発商品(chen)_40期預実（商品部） (3)_副本新メニュー観察(上海) 201204 花島添削 (5) 3" xfId="52024"/>
    <cellStyle name="差_试食评价表_物流_開発商品(chen)_40期預実（商品部） (3)_副本新メニュー観察(上海) 201204 花島添削 (5) 4" xfId="52025"/>
    <cellStyle name="差_试食评价表_物流_開発商品(chen)_40期預実（商品部） (3)_新メニュー観察(上海) 201204 花島添削 (2) (5)" xfId="3333"/>
    <cellStyle name="差_试食评价表_物流_開発商品(chen)_40期預実（商品部） (3)_新メニュー観察(上海) 201204 花島添削 (2) (5) 2" xfId="52026"/>
    <cellStyle name="差_试食评价表_物流_開発商品(chen)_40期預実（商品部） (3)_新メニュー観察(上海) 201204 花島添削 (2) (5) 3" xfId="52027"/>
    <cellStyle name="差_试食评价表_物流_開発商品(chen)_40期預実（商品部） (3)_新メニュー観察(上海) 201204 花島添削 (2) (5) 4" xfId="52028"/>
    <cellStyle name="差_试食评价表_物流_開発商品(chen)_40期預実（商品部） (3)_週新品観察." xfId="3334"/>
    <cellStyle name="差_试食评价表_物流_開発商品(chen)_40期預実（商品部） (3)_週新品観察. 2" xfId="52029"/>
    <cellStyle name="差_试食评价表_物流_開発商品(chen)_40期預実（商品部） (3)_週新品観察. 3" xfId="52030"/>
    <cellStyle name="差_试食评价表_物流_開発商品(chen)_40期預実（商品部） (3)_週新品観察. 4" xfId="52031"/>
    <cellStyle name="差_试食评价表_物流_開発商品(chen)_41期事業計画(商品部)" xfId="3335"/>
    <cellStyle name="差_试食评价表_物流_開発商品(chen)_41期事業計画(商品部) 2" xfId="3336"/>
    <cellStyle name="差_试食评价表_物流_開発商品(chen)_41期事業計画(商品部) 2 2" xfId="52032"/>
    <cellStyle name="差_试食评价表_物流_開発商品(chen)_41期事業計画(商品部) 2 3" xfId="52033"/>
    <cellStyle name="差_试食评价表_物流_開発商品(chen)_41期事業計画(商品部) 2 4" xfId="52034"/>
    <cellStyle name="差_试食评价表_物流_開発商品(chen)_41期事業計画(商品部) 3" xfId="3337"/>
    <cellStyle name="差_试食评价表_物流_開発商品(chen)_41期事業計画(商品部) 3 2" xfId="52035"/>
    <cellStyle name="差_试食评价表_物流_開発商品(chen)_41期事業計画(商品部) 3 3" xfId="52036"/>
    <cellStyle name="差_试食评价表_物流_開発商品(chen)_41期事業計画(商品部) 3 4" xfId="52037"/>
    <cellStyle name="差_试食评价表_物流_開発商品(chen)_41期事業計画(商品部) 4" xfId="52038"/>
    <cellStyle name="差_试食评价表_物流_開発商品(chen)_41期事業計画(商品部) 5" xfId="52039"/>
    <cellStyle name="差_试食评价表_物流_開発商品(chen)_41期事業計画(商品部) 6" xfId="52040"/>
    <cellStyle name="差_试食评价表_物流_開発商品(chen)_CPI" xfId="3338"/>
    <cellStyle name="差_试食评价表_物流_開発商品(chen)_CPI 2" xfId="3339"/>
    <cellStyle name="差_试食评价表_物流_開発商品(chen)_CPI 2 2" xfId="52041"/>
    <cellStyle name="差_试食评价表_物流_開発商品(chen)_CPI 2 3" xfId="52042"/>
    <cellStyle name="差_试食评价表_物流_開発商品(chen)_CPI 2 4" xfId="52043"/>
    <cellStyle name="差_试食评价表_物流_開発商品(chen)_CPI 3" xfId="3340"/>
    <cellStyle name="差_试食评价表_物流_開発商品(chen)_CPI 3 2" xfId="52044"/>
    <cellStyle name="差_试食评价表_物流_開発商品(chen)_CPI 3 3" xfId="52045"/>
    <cellStyle name="差_试食评价表_物流_開発商品(chen)_CPI 3 4" xfId="52046"/>
    <cellStyle name="差_试食评价表_物流_開発商品(chen)_CPI 4" xfId="52047"/>
    <cellStyle name="差_试食评价表_物流_開発商品(chen)_CPI 5" xfId="52048"/>
    <cellStyle name="差_试食评价表_物流_開発商品(chen)_CPI 6" xfId="52049"/>
    <cellStyle name="差_试食评价表_物流_開発商品(chen)_CPI(1)" xfId="3341"/>
    <cellStyle name="差_试食评价表_物流_開発商品(chen)_CPI(1) 2" xfId="52050"/>
    <cellStyle name="差_试食评价表_物流_開発商品(chen)_CPI(1) 3" xfId="52051"/>
    <cellStyle name="差_试食评价表_物流_開発商品(chen)_CPI(1) 4" xfId="52052"/>
    <cellStyle name="差_试食评价表_物流_開発商品(chen)_副本40期預実（商品部） (3)" xfId="3342"/>
    <cellStyle name="差_试食评价表_物流_開発商品(chen)_副本40期預実（商品部） (3) 2" xfId="3343"/>
    <cellStyle name="差_试食评价表_物流_開発商品(chen)_副本40期預実（商品部） (3) 2 2" xfId="52053"/>
    <cellStyle name="差_试食评价表_物流_開発商品(chen)_副本40期預実（商品部） (3) 2 3" xfId="52054"/>
    <cellStyle name="差_试食评价表_物流_開発商品(chen)_副本40期預実（商品部） (3) 2 4" xfId="52055"/>
    <cellStyle name="差_试食评价表_物流_開発商品(chen)_副本40期預実（商品部） (3) 3" xfId="3344"/>
    <cellStyle name="差_试食评价表_物流_開発商品(chen)_副本40期預実（商品部） (3) 3 2" xfId="52056"/>
    <cellStyle name="差_试食评价表_物流_開発商品(chen)_副本40期預実（商品部） (3) 3 3" xfId="52057"/>
    <cellStyle name="差_试食评价表_物流_開発商品(chen)_副本40期預実（商品部） (3) 3 4" xfId="52058"/>
    <cellStyle name="差_试食评价表_物流_開発商品(chen)_副本40期預実（商品部） (3) 4" xfId="52059"/>
    <cellStyle name="差_试食评价表_物流_開発商品(chen)_副本40期預実（商品部） (3) 5" xfId="52060"/>
    <cellStyle name="差_试食评价表_物流_開発商品(chen)_副本40期預実（商品部） (3) 6" xfId="52061"/>
    <cellStyle name="差_试食评价表_物流_開発商品(chen)_副本40期預実（商品部） (3)_201205同業他社比較（商品構成G）" xfId="3345"/>
    <cellStyle name="差_试食评价表_物流_開発商品(chen)_副本40期預実（商品部） (3)_201205同業他社比較（商品構成G） 2" xfId="52062"/>
    <cellStyle name="差_试食评价表_物流_開発商品(chen)_副本40期預実（商品部） (3)_201205同業他社比較（商品構成G） 3" xfId="52063"/>
    <cellStyle name="差_试食评价表_物流_開発商品(chen)_副本40期預実（商品部） (3)_副本新メニュー観察(上海) 201204 花島添削 (5)" xfId="3346"/>
    <cellStyle name="差_试食评价表_物流_開発商品(chen)_副本40期預実（商品部） (3)_副本新メニュー観察(上海) 201204 花島添削 (5) 2" xfId="52064"/>
    <cellStyle name="差_试食评价表_物流_開発商品(chen)_副本40期預実（商品部） (3)_副本新メニュー観察(上海) 201204 花島添削 (5) 3" xfId="52065"/>
    <cellStyle name="差_试食评价表_物流_開発商品(chen)_副本40期預実（商品部） (3)_副本新メニュー観察(上海) 201204 花島添削 (5) 4" xfId="52066"/>
    <cellStyle name="差_试食评价表_物流_開発商品(chen)_副本40期預実（商品部） (3)_新メニュー観察(上海) 201204 花島添削 (2) (5)" xfId="3347"/>
    <cellStyle name="差_试食评价表_物流_開発商品(chen)_副本40期預実（商品部） (3)_新メニュー観察(上海) 201204 花島添削 (2) (5) 2" xfId="52067"/>
    <cellStyle name="差_试食评价表_物流_開発商品(chen)_副本40期預実（商品部） (3)_新メニュー観察(上海) 201204 花島添削 (2) (5) 3" xfId="52068"/>
    <cellStyle name="差_试食评价表_物流_開発商品(chen)_副本40期預実（商品部） (3)_新メニュー観察(上海) 201204 花島添削 (2) (5) 4" xfId="52069"/>
    <cellStyle name="差_试食评价表_物流_開発商品(chen)_副本40期預実（商品部） (3)_週新品観察." xfId="3348"/>
    <cellStyle name="差_试食评价表_物流_開発商品(chen)_副本40期預実（商品部） (3)_週新品観察. 2" xfId="52070"/>
    <cellStyle name="差_试食评价表_物流_開発商品(chen)_副本40期預実（商品部） (3)_週新品観察. 3" xfId="52071"/>
    <cellStyle name="差_试食评价表_物流_開発商品(chen)_副本40期預実（商品部） (3)_週新品観察. 4" xfId="52072"/>
    <cellStyle name="差_试食评价表_物流_開発商品(chen)_副本41期事業計画商品部（備品） (2) (2)" xfId="3349"/>
    <cellStyle name="差_试食评价表_物流_開発商品(chen)_副本41期事業計画商品部（備品） (2) (2) 2" xfId="3350"/>
    <cellStyle name="差_试食评价表_物流_開発商品(chen)_副本41期事業計画商品部（備品） (2) (2) 2 2" xfId="52073"/>
    <cellStyle name="差_试食评价表_物流_開発商品(chen)_副本41期事業計画商品部（備品） (2) (2) 2 3" xfId="52074"/>
    <cellStyle name="差_试食评价表_物流_開発商品(chen)_副本41期事業計画商品部（備品） (2) (2) 2 4" xfId="52075"/>
    <cellStyle name="差_试食评价表_物流_開発商品(chen)_副本41期事業計画商品部（備品） (2) (2) 3" xfId="3351"/>
    <cellStyle name="差_试食评价表_物流_開発商品(chen)_副本41期事業計画商品部（備品） (2) (2) 3 2" xfId="52076"/>
    <cellStyle name="差_试食评价表_物流_開発商品(chen)_副本41期事業計画商品部（備品） (2) (2) 3 3" xfId="52077"/>
    <cellStyle name="差_试食评价表_物流_開発商品(chen)_副本41期事業計画商品部（備品） (2) (2) 3 4" xfId="52078"/>
    <cellStyle name="差_试食评价表_物流_開発商品(chen)_副本41期事業計画商品部（備品） (2) (2) 4" xfId="52079"/>
    <cellStyle name="差_试食评价表_物流_開発商品(chen)_副本41期事業計画商品部（備品） (2) (2) 5" xfId="52080"/>
    <cellStyle name="差_试食评价表_物流_開発商品(chen)_副本41期事業計画商品部（備品） (2) (2) 6" xfId="52081"/>
    <cellStyle name="差_试食评价表_物流_開発商品(chen)_副本新メニュー観察(上海) 201204 花島添削 (5)" xfId="3352"/>
    <cellStyle name="差_试食评价表_物流_開発商品(chen)_副本新メニュー観察(上海) 201204 花島添削 (5) 2" xfId="52082"/>
    <cellStyle name="差_试食评价表_物流_開発商品(chen)_副本新メニュー観察(上海) 201204 花島添削 (5) 3" xfId="52083"/>
    <cellStyle name="差_试食评价表_物流_開発商品(chen)_副本新メニュー観察(上海) 201204 花島添削 (5) 4" xfId="52084"/>
    <cellStyle name="差_试食评价表_物流_開発商品(chen)_新メニュー観察(上海) 201204 花島添削 (2) (5)" xfId="3353"/>
    <cellStyle name="差_试食评价表_物流_開発商品(chen)_新メニュー観察(上海) 201204 花島添削 (2) (5) 2" xfId="52085"/>
    <cellStyle name="差_试食评价表_物流_開発商品(chen)_新メニュー観察(上海) 201204 花島添削 (2) (5) 3" xfId="52086"/>
    <cellStyle name="差_试食评价表_物流_開発商品(chen)_新メニュー観察(上海) 201204 花島添削 (2) (5) 4" xfId="52087"/>
    <cellStyle name="差_试食评价表_物流_開発商品(chen)_週新品観察." xfId="3354"/>
    <cellStyle name="差_试食评价表_物流_開発商品(chen)_週新品観察. 2" xfId="52088"/>
    <cellStyle name="差_试食评价表_物流_開発商品(chen)_週新品観察. 3" xfId="52089"/>
    <cellStyle name="差_试食评价表_物流_開発商品(chen)_週新品観察. 4" xfId="52090"/>
    <cellStyle name="差_试食评价表_物流_新メニュー観察(上海) 201204 花島添削 (2) (5)" xfId="3355"/>
    <cellStyle name="差_试食评价表_物流_新メニュー観察(上海) 201204 花島添削 (2) (5) 2" xfId="52091"/>
    <cellStyle name="差_试食评价表_物流_新メニュー観察(上海) 201204 花島添削 (2) (5) 3" xfId="52092"/>
    <cellStyle name="差_试食评价表_物流_新メニュー観察(上海) 201204 花島添削 (2) (5) 4" xfId="52093"/>
    <cellStyle name="差_试食评价表_物流_週新品観察." xfId="3356"/>
    <cellStyle name="差_试食评价表_物流_週新品観察. 2" xfId="52094"/>
    <cellStyle name="差_试食评价表_物流_週新品観察. 3" xfId="52095"/>
    <cellStyle name="差_试食评价表_物流_週新品観察. 4" xfId="52096"/>
    <cellStyle name="差_试食评价表_新メニュー実績" xfId="3357"/>
    <cellStyle name="差_试食评价表_新メニュー実績 2" xfId="52097"/>
    <cellStyle name="差_试食评价表_新メニュー実績 3" xfId="52098"/>
    <cellStyle name="差_试食评价表_新メニュー実績 4" xfId="52099"/>
    <cellStyle name="差_试食评价表_新メニュー実績_副本新メニュー観察(上海) 201204 花島添削 (5)" xfId="3358"/>
    <cellStyle name="差_试食评价表_新メニュー実績_副本新メニュー観察(上海) 201204 花島添削 (5) 2" xfId="52100"/>
    <cellStyle name="差_试食评价表_新メニュー実績_副本新メニュー観察(上海) 201204 花島添削 (5) 3" xfId="52101"/>
    <cellStyle name="差_试食评价表_新メニュー実績_副本新メニュー観察(上海) 201204 花島添削 (5) 4" xfId="52102"/>
    <cellStyle name="差_试食评价表_新メニュー実績_新メニュー観察(上海) 201204 花島添削 (2) (5)" xfId="3359"/>
    <cellStyle name="差_试食评价表_新メニュー実績_新メニュー観察(上海) 201204 花島添削 (2) (5) 2" xfId="52103"/>
    <cellStyle name="差_试食评价表_新メニュー実績_新メニュー観察(上海) 201204 花島添削 (2) (5) 3" xfId="52104"/>
    <cellStyle name="差_试食评价表_新メニュー実績_新メニュー観察(上海) 201204 花島添削 (2) (5) 4" xfId="52105"/>
    <cellStyle name="差_試験・研修" xfId="7603"/>
    <cellStyle name="差_試験・研修_1" xfId="7604"/>
    <cellStyle name="差_試験・研修_2" xfId="7605"/>
    <cellStyle name="差_試験・研修_2 2" xfId="11304"/>
    <cellStyle name="差_試験・研修_2_培训名单通知" xfId="7606"/>
    <cellStyle name="差_試験・研修_3" xfId="7607"/>
    <cellStyle name="差_試験・研修_3 2" xfId="11305"/>
    <cellStyle name="差_試験・研修_3_培训名单通知" xfId="7608"/>
    <cellStyle name="差_試験・研修_4" xfId="7609"/>
    <cellStyle name="差_試験・研修_4 2" xfId="11306"/>
    <cellStyle name="差_試験・研修_4_培训名单通知" xfId="7610"/>
    <cellStyle name="差_価格変動表 2011" xfId="3360"/>
    <cellStyle name="差_価格変動表 2011 2" xfId="52106"/>
    <cellStyle name="差_调动表" xfId="7612"/>
    <cellStyle name="差_伊藤家广告制品报价2013" xfId="52107"/>
    <cellStyle name="差_伊藤家广告制品报价2013 2" xfId="52108"/>
    <cellStyle name="差_伊藤家广告制品报价2013 3" xfId="52109"/>
    <cellStyle name="差_伊藤家广告制品报价2013 4" xfId="52110"/>
    <cellStyle name="差_伊藤家广告制品报价2013 5" xfId="52111"/>
    <cellStyle name="差_月間購入（全体）" xfId="3361"/>
    <cellStyle name="差_月間購入（全体） 2" xfId="3362"/>
    <cellStyle name="差_月間購入（全体） 3" xfId="52112"/>
    <cellStyle name="差_月間購入（全体） 4" xfId="52113"/>
    <cellStyle name="差_月間購入（全体） 5" xfId="52114"/>
    <cellStyle name="差_月間購入（全体）_201205同業他社比較（商品構成G）" xfId="3363"/>
    <cellStyle name="差_月間購入（全体）_201205同業他社比較（商品構成G） 2" xfId="3364"/>
    <cellStyle name="差_月間購入（全体）_201205同業他社比較（商品構成G） 3" xfId="52115"/>
    <cellStyle name="差_月間購入（全体）_週新品観察." xfId="3365"/>
    <cellStyle name="差_月間購入（全体）_週新品観察. 2" xfId="3366"/>
    <cellStyle name="差_月間購入（全体）_週新品観察. 3" xfId="52116"/>
    <cellStyle name="差_招聘汇总表 " xfId="7616"/>
    <cellStyle name="差_週新品観察." xfId="3367"/>
    <cellStyle name="差_週新品観察. 2" xfId="52117"/>
    <cellStyle name="差_週新品観察. 3" xfId="52118"/>
    <cellStyle name="差_週新品観察. 4" xfId="52119"/>
    <cellStyle name="差_組織図" xfId="7618"/>
    <cellStyle name="常规" xfId="0" builtinId="0"/>
    <cellStyle name="常规 10" xfId="25"/>
    <cellStyle name="常规 10 10" xfId="3368"/>
    <cellStyle name="常规 10 11" xfId="60974"/>
    <cellStyle name="常规 10 15" xfId="52120"/>
    <cellStyle name="常规 10 2" xfId="3369"/>
    <cellStyle name="常规 10 2 2" xfId="7621"/>
    <cellStyle name="常规 10 2 2 2 2 2 2" xfId="52121"/>
    <cellStyle name="常规 10 2 2 2 2 2 2 2" xfId="52122"/>
    <cellStyle name="常规 10 2 2 2 2 2 2 2 2" xfId="52123"/>
    <cellStyle name="常规 10 2 2 2 2 2 2 2 2 2 2" xfId="52124"/>
    <cellStyle name="常规 10 2 2 2 2 2 2 2 2 2 2 2" xfId="52125"/>
    <cellStyle name="常规 10 2 2 2 2 2 2 2 3" xfId="52126"/>
    <cellStyle name="常规 10 2 2 2 2 2 2 2 4" xfId="52127"/>
    <cellStyle name="常规 10 2 2 2 3 2 2 2" xfId="52128"/>
    <cellStyle name="常规 10 2 2 2 3 2 2 2 2 2 2" xfId="52129"/>
    <cellStyle name="常规 10 2 2 2 3 2 3 2" xfId="52130"/>
    <cellStyle name="常规 10 2 2 2 3 3 2 2" xfId="52131"/>
    <cellStyle name="常规 10 2 2 2 3 5" xfId="52132"/>
    <cellStyle name="常规 10 2 3" xfId="11307"/>
    <cellStyle name="常规 10 2 4" xfId="7620"/>
    <cellStyle name="常规 10 2 5" xfId="52133"/>
    <cellStyle name="常规 10 2 6" xfId="52134"/>
    <cellStyle name="常规 10 3" xfId="3370"/>
    <cellStyle name="常规 10 3 2" xfId="7622"/>
    <cellStyle name="常规 10 3 3" xfId="52135"/>
    <cellStyle name="常规 10 3 4" xfId="52136"/>
    <cellStyle name="常规 10 4" xfId="7623"/>
    <cellStyle name="常规 10 4 2" xfId="52137"/>
    <cellStyle name="常规 10 5" xfId="7619"/>
    <cellStyle name="常规 10 6" xfId="52138"/>
    <cellStyle name="常规 10 7" xfId="52139"/>
    <cellStyle name="常规 10 8" xfId="52140"/>
    <cellStyle name="常规 10 9" xfId="52141"/>
    <cellStyle name="常规 10_40期事業計画（商品部）  (3)" xfId="3371"/>
    <cellStyle name="常规 100" xfId="163"/>
    <cellStyle name="常规 100 2" xfId="52142"/>
    <cellStyle name="常规 100 2 2" xfId="52143"/>
    <cellStyle name="常规 100 3" xfId="52144"/>
    <cellStyle name="常规 100 3 2" xfId="52145"/>
    <cellStyle name="常规 100 4" xfId="52146"/>
    <cellStyle name="常规 100 5" xfId="7625"/>
    <cellStyle name="常规 101" xfId="164"/>
    <cellStyle name="常规 101 2" xfId="52147"/>
    <cellStyle name="常规 101 3" xfId="52148"/>
    <cellStyle name="常规 101 4" xfId="7626"/>
    <cellStyle name="常规 102" xfId="165"/>
    <cellStyle name="常规 102 2" xfId="52149"/>
    <cellStyle name="常规 102 3" xfId="52150"/>
    <cellStyle name="常规 102 4" xfId="7627"/>
    <cellStyle name="常规 103" xfId="166"/>
    <cellStyle name="常规 103 2" xfId="52151"/>
    <cellStyle name="常规 103 3" xfId="7628"/>
    <cellStyle name="常规 104" xfId="167"/>
    <cellStyle name="常规 104 2" xfId="52152"/>
    <cellStyle name="常规 104 3" xfId="7629"/>
    <cellStyle name="常规 105" xfId="168"/>
    <cellStyle name="常规 105 2" xfId="52153"/>
    <cellStyle name="常规 105 3" xfId="7630"/>
    <cellStyle name="常规 106" xfId="169"/>
    <cellStyle name="常规 106 2" xfId="52154"/>
    <cellStyle name="常规 106 3" xfId="7631"/>
    <cellStyle name="常规 107" xfId="170"/>
    <cellStyle name="常规 107 2" xfId="52155"/>
    <cellStyle name="常规 107 3" xfId="7632"/>
    <cellStyle name="常规 108" xfId="171"/>
    <cellStyle name="常规 108 2" xfId="52156"/>
    <cellStyle name="常规 108 3" xfId="7633"/>
    <cellStyle name="常规 109" xfId="172"/>
    <cellStyle name="常规 109 2" xfId="7634"/>
    <cellStyle name="常规 11" xfId="26"/>
    <cellStyle name="常规 11 10" xfId="3373"/>
    <cellStyle name="常规 11 10 2" xfId="52157"/>
    <cellStyle name="常规 11 10 2 2" xfId="52158"/>
    <cellStyle name="常规 11 10 2 2 2" xfId="52159"/>
    <cellStyle name="常规 11 10 2 3" xfId="52160"/>
    <cellStyle name="常规 11 10 3" xfId="52161"/>
    <cellStyle name="常规 11 10 3 2" xfId="52162"/>
    <cellStyle name="常规 11 10 3 2 2" xfId="52163"/>
    <cellStyle name="常规 11 10 3 3" xfId="52164"/>
    <cellStyle name="常规 11 10 4" xfId="52165"/>
    <cellStyle name="常规 11 10 4 2" xfId="52166"/>
    <cellStyle name="常规 11 10 4 2 2" xfId="52167"/>
    <cellStyle name="常规 11 10 4 3" xfId="52168"/>
    <cellStyle name="常规 11 10 5" xfId="52169"/>
    <cellStyle name="常规 11 10 5 2" xfId="52170"/>
    <cellStyle name="常规 11 10 6" xfId="52171"/>
    <cellStyle name="常规 11 11" xfId="7635"/>
    <cellStyle name="常规 11 11 2" xfId="52172"/>
    <cellStyle name="常规 11 11 2 2" xfId="52173"/>
    <cellStyle name="常规 11 11 2 2 2" xfId="52174"/>
    <cellStyle name="常规 11 11 2 3" xfId="52175"/>
    <cellStyle name="常规 11 11 3" xfId="52176"/>
    <cellStyle name="常规 11 11 3 2" xfId="52177"/>
    <cellStyle name="常规 11 11 3 2 2" xfId="52178"/>
    <cellStyle name="常规 11 11 3 3" xfId="52179"/>
    <cellStyle name="常规 11 11 4" xfId="52180"/>
    <cellStyle name="常规 11 11 4 2" xfId="52181"/>
    <cellStyle name="常规 11 11 4 2 2" xfId="52182"/>
    <cellStyle name="常规 11 11 4 3" xfId="52183"/>
    <cellStyle name="常规 11 11 5" xfId="52184"/>
    <cellStyle name="常规 11 11 5 2" xfId="52185"/>
    <cellStyle name="常规 11 11 6" xfId="52186"/>
    <cellStyle name="常规 11 12" xfId="52187"/>
    <cellStyle name="常规 11 12 2" xfId="52188"/>
    <cellStyle name="常规 11 12 2 2" xfId="52189"/>
    <cellStyle name="常规 11 12 2 2 2" xfId="52190"/>
    <cellStyle name="常规 11 12 2 3" xfId="52191"/>
    <cellStyle name="常规 11 12 3" xfId="52192"/>
    <cellStyle name="常规 11 12 3 2" xfId="52193"/>
    <cellStyle name="常规 11 12 4" xfId="52194"/>
    <cellStyle name="常规 11 13" xfId="52195"/>
    <cellStyle name="常规 11 13 2" xfId="52196"/>
    <cellStyle name="常规 11 14" xfId="52197"/>
    <cellStyle name="常规 11 14 2" xfId="52198"/>
    <cellStyle name="常规 11 14 2 2" xfId="52199"/>
    <cellStyle name="常规 11 14 3" xfId="52200"/>
    <cellStyle name="常规 11 15" xfId="52201"/>
    <cellStyle name="常规 11 15 2" xfId="52202"/>
    <cellStyle name="常规 11 15 2 2" xfId="52203"/>
    <cellStyle name="常规 11 15 3" xfId="52204"/>
    <cellStyle name="常规 11 16" xfId="52205"/>
    <cellStyle name="常规 11 16 2" xfId="52206"/>
    <cellStyle name="常规 11 16 2 2" xfId="52207"/>
    <cellStyle name="常规 11 16 3" xfId="52208"/>
    <cellStyle name="常规 11 17" xfId="52209"/>
    <cellStyle name="常规 11 18" xfId="3372"/>
    <cellStyle name="常规 11 19" xfId="60975"/>
    <cellStyle name="常规 11 2" xfId="3374"/>
    <cellStyle name="常规 11 2 2" xfId="3375"/>
    <cellStyle name="常规 11 2 2 2" xfId="3376"/>
    <cellStyle name="常规 11 2 2 3" xfId="52210"/>
    <cellStyle name="常规 11 2 2 4" xfId="52211"/>
    <cellStyle name="常规 11 2 2 5" xfId="52212"/>
    <cellStyle name="常规 11 2 3" xfId="3377"/>
    <cellStyle name="常规 11 2 4" xfId="7636"/>
    <cellStyle name="常规 11 2 5" xfId="52213"/>
    <cellStyle name="常规 11 2 6" xfId="52214"/>
    <cellStyle name="常规 11 3" xfId="3378"/>
    <cellStyle name="常规 11 3 2" xfId="3379"/>
    <cellStyle name="常规 11 3 3" xfId="7638"/>
    <cellStyle name="常规 11 3 4" xfId="52215"/>
    <cellStyle name="常规 11 3 5" xfId="52216"/>
    <cellStyle name="常规 11 4" xfId="3380"/>
    <cellStyle name="常规 11 4 2" xfId="3381"/>
    <cellStyle name="常规 11 4 3" xfId="7639"/>
    <cellStyle name="常规 11 4 4" xfId="52217"/>
    <cellStyle name="常规 11 5" xfId="3382"/>
    <cellStyle name="常规 11 5 2" xfId="52218"/>
    <cellStyle name="常规 11 5 2 2" xfId="52219"/>
    <cellStyle name="常规 11 5 2 2 2" xfId="52220"/>
    <cellStyle name="常规 11 5 2 3" xfId="52221"/>
    <cellStyle name="常规 11 5 3" xfId="52222"/>
    <cellStyle name="常规 11 5 3 2" xfId="52223"/>
    <cellStyle name="常规 11 5 3 2 2" xfId="52224"/>
    <cellStyle name="常规 11 5 3 3" xfId="52225"/>
    <cellStyle name="常规 11 5 4" xfId="52226"/>
    <cellStyle name="常规 11 5 4 2" xfId="52227"/>
    <cellStyle name="常规 11 5 4 2 2" xfId="52228"/>
    <cellStyle name="常规 11 5 4 3" xfId="52229"/>
    <cellStyle name="常规 11 5 5" xfId="52230"/>
    <cellStyle name="常规 11 5 5 2" xfId="52231"/>
    <cellStyle name="常规 11 6" xfId="3383"/>
    <cellStyle name="常规 11 6 2" xfId="52232"/>
    <cellStyle name="常规 11 6 2 2" xfId="52233"/>
    <cellStyle name="常规 11 6 2 2 2" xfId="52234"/>
    <cellStyle name="常规 11 6 2 3" xfId="52235"/>
    <cellStyle name="常规 11 6 3" xfId="52236"/>
    <cellStyle name="常规 11 6 3 2" xfId="52237"/>
    <cellStyle name="常规 11 6 3 2 2" xfId="52238"/>
    <cellStyle name="常规 11 6 3 3" xfId="52239"/>
    <cellStyle name="常规 11 6 4" xfId="52240"/>
    <cellStyle name="常规 11 6 4 2" xfId="52241"/>
    <cellStyle name="常规 11 6 4 2 2" xfId="52242"/>
    <cellStyle name="常规 11 6 4 3" xfId="52243"/>
    <cellStyle name="常规 11 6 5" xfId="52244"/>
    <cellStyle name="常规 11 6 5 2" xfId="52245"/>
    <cellStyle name="常规 11 7" xfId="3384"/>
    <cellStyle name="常规 11 7 2" xfId="52246"/>
    <cellStyle name="常规 11 7 2 2" xfId="52247"/>
    <cellStyle name="常规 11 7 2 2 2" xfId="52248"/>
    <cellStyle name="常规 11 7 2 3" xfId="52249"/>
    <cellStyle name="常规 11 7 3" xfId="52250"/>
    <cellStyle name="常规 11 7 3 2" xfId="52251"/>
    <cellStyle name="常规 11 7 3 2 2" xfId="52252"/>
    <cellStyle name="常规 11 7 3 3" xfId="52253"/>
    <cellStyle name="常规 11 7 4" xfId="52254"/>
    <cellStyle name="常规 11 7 4 2" xfId="52255"/>
    <cellStyle name="常规 11 7 4 2 2" xfId="52256"/>
    <cellStyle name="常规 11 7 4 3" xfId="52257"/>
    <cellStyle name="常规 11 7 5" xfId="52258"/>
    <cellStyle name="常规 11 7 5 2" xfId="52259"/>
    <cellStyle name="常规 11 8" xfId="3385"/>
    <cellStyle name="常规 11 8 2" xfId="52260"/>
    <cellStyle name="常规 11 8 2 2" xfId="52261"/>
    <cellStyle name="常规 11 8 2 2 2" xfId="52262"/>
    <cellStyle name="常规 11 8 2 3" xfId="52263"/>
    <cellStyle name="常规 11 8 3" xfId="52264"/>
    <cellStyle name="常规 11 8 3 2" xfId="52265"/>
    <cellStyle name="常规 11 8 3 2 2" xfId="52266"/>
    <cellStyle name="常规 11 8 3 3" xfId="52267"/>
    <cellStyle name="常规 11 8 4" xfId="52268"/>
    <cellStyle name="常规 11 8 4 2" xfId="52269"/>
    <cellStyle name="常规 11 8 4 2 2" xfId="52270"/>
    <cellStyle name="常规 11 8 4 3" xfId="52271"/>
    <cellStyle name="常规 11 8 5" xfId="52272"/>
    <cellStyle name="常规 11 8 5 2" xfId="52273"/>
    <cellStyle name="常规 11 8 6" xfId="52274"/>
    <cellStyle name="常规 11 9" xfId="3386"/>
    <cellStyle name="常规 11 9 2" xfId="52275"/>
    <cellStyle name="常规 11 9 2 2" xfId="52276"/>
    <cellStyle name="常规 11 9 2 2 2" xfId="52277"/>
    <cellStyle name="常规 11 9 2 3" xfId="52278"/>
    <cellStyle name="常规 11 9 3" xfId="52279"/>
    <cellStyle name="常规 11 9 3 2" xfId="52280"/>
    <cellStyle name="常规 11 9 3 2 2" xfId="52281"/>
    <cellStyle name="常规 11 9 3 3" xfId="52282"/>
    <cellStyle name="常规 11 9 4" xfId="52283"/>
    <cellStyle name="常规 11 9 4 2" xfId="52284"/>
    <cellStyle name="常规 11 9 4 2 2" xfId="52285"/>
    <cellStyle name="常规 11 9 4 3" xfId="52286"/>
    <cellStyle name="常规 11 9 5" xfId="52287"/>
    <cellStyle name="常规 11 9 5 2" xfId="52288"/>
    <cellStyle name="常规 11 9 6" xfId="52289"/>
    <cellStyle name="常规 110" xfId="173"/>
    <cellStyle name="常规 110 2" xfId="11308"/>
    <cellStyle name="常规 110 3" xfId="7641"/>
    <cellStyle name="常规 111" xfId="174"/>
    <cellStyle name="常规 111 2" xfId="11309"/>
    <cellStyle name="常规 111 3" xfId="7642"/>
    <cellStyle name="常规 112" xfId="175"/>
    <cellStyle name="常规 112 2" xfId="11310"/>
    <cellStyle name="常规 112 3" xfId="7643"/>
    <cellStyle name="常规 113" xfId="176"/>
    <cellStyle name="常规 113 2" xfId="11311"/>
    <cellStyle name="常规 113 3" xfId="7644"/>
    <cellStyle name="常规 114" xfId="177"/>
    <cellStyle name="常规 114 2" xfId="11312"/>
    <cellStyle name="常规 114 3" xfId="7645"/>
    <cellStyle name="常规 115" xfId="178"/>
    <cellStyle name="常规 115 2" xfId="11313"/>
    <cellStyle name="常规 115 3" xfId="7646"/>
    <cellStyle name="常规 116" xfId="179"/>
    <cellStyle name="常规 116 2" xfId="11314"/>
    <cellStyle name="常规 116 3" xfId="7647"/>
    <cellStyle name="常规 117" xfId="180"/>
    <cellStyle name="常规 117 2" xfId="11315"/>
    <cellStyle name="常规 117 3" xfId="7648"/>
    <cellStyle name="常规 118" xfId="181"/>
    <cellStyle name="常规 118 2" xfId="11316"/>
    <cellStyle name="常规 118 3" xfId="7649"/>
    <cellStyle name="常规 119" xfId="182"/>
    <cellStyle name="常规 119 2" xfId="11317"/>
    <cellStyle name="常规 119 2 2" xfId="11318"/>
    <cellStyle name="常规 119 2 2 2" xfId="24733"/>
    <cellStyle name="常规 119 2 3" xfId="24734"/>
    <cellStyle name="常规 119 3" xfId="11319"/>
    <cellStyle name="常规 119 3 2" xfId="24735"/>
    <cellStyle name="常规 119 4" xfId="24736"/>
    <cellStyle name="常规 119 5" xfId="7650"/>
    <cellStyle name="常规 12" xfId="27"/>
    <cellStyle name="常规 12 10" xfId="52290"/>
    <cellStyle name="常规 12 11" xfId="3387"/>
    <cellStyle name="常规 12 2" xfId="3388"/>
    <cellStyle name="常规 12 2 2" xfId="3389"/>
    <cellStyle name="常规 12 2 2 2" xfId="52291"/>
    <cellStyle name="常规 12 2 2 2 2" xfId="52292"/>
    <cellStyle name="常规 12 2 2 2 2 2" xfId="52293"/>
    <cellStyle name="常规 12 2 2 2 2 3" xfId="52294"/>
    <cellStyle name="常规 12 2 2 2 2 4" xfId="52295"/>
    <cellStyle name="常规 12 2 2 2 2 5" xfId="52296"/>
    <cellStyle name="常规 12 2 2 2 3" xfId="52297"/>
    <cellStyle name="常规 12 2 2 2 4" xfId="52298"/>
    <cellStyle name="常规 12 2 2 2 5" xfId="52299"/>
    <cellStyle name="常规 12 2 2 2 6" xfId="52300"/>
    <cellStyle name="常规 12 2 2 3" xfId="52301"/>
    <cellStyle name="常规 12 2 2 4" xfId="52302"/>
    <cellStyle name="常规 12 2 2 5" xfId="52303"/>
    <cellStyle name="常规 12 2 2 6" xfId="52304"/>
    <cellStyle name="常规 12 2 2 7" xfId="52305"/>
    <cellStyle name="常规 12 2 2 8" xfId="52306"/>
    <cellStyle name="常规 12 2 2 9" xfId="52307"/>
    <cellStyle name="常规 12 2 3" xfId="3390"/>
    <cellStyle name="常规 12 2 4" xfId="7652"/>
    <cellStyle name="常规 12 2 5" xfId="52308"/>
    <cellStyle name="常规 12 2 6" xfId="52309"/>
    <cellStyle name="常规 12 2 7" xfId="52310"/>
    <cellStyle name="常规 12 2 8" xfId="52311"/>
    <cellStyle name="常规 12 2 9" xfId="52312"/>
    <cellStyle name="常规 12 3" xfId="3391"/>
    <cellStyle name="常规 12 3 2" xfId="3392"/>
    <cellStyle name="常规 12 3 3" xfId="7654"/>
    <cellStyle name="常规 12 3 4" xfId="52313"/>
    <cellStyle name="常规 12 3 5" xfId="52314"/>
    <cellStyle name="常规 12 4" xfId="3393"/>
    <cellStyle name="常规 12 4 2" xfId="7655"/>
    <cellStyle name="常规 12 4 3" xfId="52315"/>
    <cellStyle name="常规 12 5" xfId="52316"/>
    <cellStyle name="常规 12 6" xfId="52317"/>
    <cellStyle name="常规 12 7" xfId="52318"/>
    <cellStyle name="常规 12 8" xfId="52319"/>
    <cellStyle name="常规 12 9" xfId="52320"/>
    <cellStyle name="常规 120" xfId="183"/>
    <cellStyle name="常规 120 2" xfId="11320"/>
    <cellStyle name="常规 120 2 2" xfId="11321"/>
    <cellStyle name="常规 120 2 2 2" xfId="24737"/>
    <cellStyle name="常规 120 2 3" xfId="24738"/>
    <cellStyle name="常规 120 3" xfId="11322"/>
    <cellStyle name="常规 120 3 2" xfId="24739"/>
    <cellStyle name="常规 120 4" xfId="24740"/>
    <cellStyle name="常规 120 5" xfId="7656"/>
    <cellStyle name="常规 121" xfId="184"/>
    <cellStyle name="常规 121 2" xfId="11323"/>
    <cellStyle name="常规 121 2 2" xfId="11324"/>
    <cellStyle name="常规 121 2 2 2" xfId="24741"/>
    <cellStyle name="常规 121 2 3" xfId="24742"/>
    <cellStyle name="常规 121 3" xfId="11325"/>
    <cellStyle name="常规 121 3 2" xfId="24743"/>
    <cellStyle name="常规 121 4" xfId="24744"/>
    <cellStyle name="常规 121 5" xfId="7657"/>
    <cellStyle name="常规 122" xfId="185"/>
    <cellStyle name="常规 122 2" xfId="7658"/>
    <cellStyle name="常规 123" xfId="186"/>
    <cellStyle name="常规 123 2" xfId="7659"/>
    <cellStyle name="常规 124" xfId="187"/>
    <cellStyle name="常规 124 2" xfId="7660"/>
    <cellStyle name="常规 125" xfId="188"/>
    <cellStyle name="常规 125 2" xfId="7661"/>
    <cellStyle name="常规 126" xfId="189"/>
    <cellStyle name="常规 126 2" xfId="7662"/>
    <cellStyle name="常规 127" xfId="190"/>
    <cellStyle name="常规 127 2" xfId="7663"/>
    <cellStyle name="常规 128" xfId="191"/>
    <cellStyle name="常规 128 2" xfId="7664"/>
    <cellStyle name="常规 129" xfId="192"/>
    <cellStyle name="常规 129 2" xfId="7665"/>
    <cellStyle name="常规 13" xfId="28"/>
    <cellStyle name="常规 13 10" xfId="52321"/>
    <cellStyle name="常规 13 11" xfId="52322"/>
    <cellStyle name="常规 13 12" xfId="52323"/>
    <cellStyle name="常规 13 13" xfId="52324"/>
    <cellStyle name="常规 13 14" xfId="52325"/>
    <cellStyle name="常规 13 15" xfId="52326"/>
    <cellStyle name="常规 13 16" xfId="52327"/>
    <cellStyle name="常规 13 17" xfId="52328"/>
    <cellStyle name="常规 13 18" xfId="52329"/>
    <cellStyle name="常规 13 19" xfId="52330"/>
    <cellStyle name="常规 13 2" xfId="3395"/>
    <cellStyle name="常规 13 2 10" xfId="52331"/>
    <cellStyle name="常规 13 2 11" xfId="52332"/>
    <cellStyle name="常规 13 2 2" xfId="3396"/>
    <cellStyle name="常规 13 2 2 2" xfId="52333"/>
    <cellStyle name="常规 13 2 2 3" xfId="52334"/>
    <cellStyle name="常规 13 2 2 4" xfId="52335"/>
    <cellStyle name="常规 13 2 3" xfId="3397"/>
    <cellStyle name="常规 13 2 3 2" xfId="52336"/>
    <cellStyle name="常规 13 2 3 3" xfId="52337"/>
    <cellStyle name="常规 13 2 3 4" xfId="52338"/>
    <cellStyle name="常规 13 2 4" xfId="7667"/>
    <cellStyle name="常规 13 2 4 2" xfId="52339"/>
    <cellStyle name="常规 13 2 4 2 2" xfId="52340"/>
    <cellStyle name="常规 13 2 5" xfId="52341"/>
    <cellStyle name="常规 13 2 6" xfId="52342"/>
    <cellStyle name="常规 13 2 7" xfId="52343"/>
    <cellStyle name="常规 13 2 8" xfId="52344"/>
    <cellStyle name="常规 13 2 9" xfId="52345"/>
    <cellStyle name="常规 13 20" xfId="3394"/>
    <cellStyle name="常规 13 3" xfId="3398"/>
    <cellStyle name="常规 13 3 2" xfId="7670"/>
    <cellStyle name="常规 13 3 3" xfId="52346"/>
    <cellStyle name="常规 13 3 4" xfId="52347"/>
    <cellStyle name="常规 13 3 4 2 2 2 2" xfId="52348"/>
    <cellStyle name="常规 13 3 5" xfId="52349"/>
    <cellStyle name="常规 13 4" xfId="3399"/>
    <cellStyle name="常规 13 4 10" xfId="52350"/>
    <cellStyle name="常规 13 4 11" xfId="52351"/>
    <cellStyle name="常规 13 4 2" xfId="7671"/>
    <cellStyle name="常规 13 4 3" xfId="52352"/>
    <cellStyle name="常规 13 4 4" xfId="52353"/>
    <cellStyle name="常规 13 4 5" xfId="52354"/>
    <cellStyle name="常规 13 4 6" xfId="52355"/>
    <cellStyle name="常规 13 4 7" xfId="52356"/>
    <cellStyle name="常规 13 4 8" xfId="52357"/>
    <cellStyle name="常规 13 4 9" xfId="52358"/>
    <cellStyle name="常规 13 5" xfId="3400"/>
    <cellStyle name="常规 13 5 10" xfId="52359"/>
    <cellStyle name="常规 13 5 11" xfId="52360"/>
    <cellStyle name="常规 13 5 12" xfId="52361"/>
    <cellStyle name="常规 13 5 2" xfId="52362"/>
    <cellStyle name="常规 13 5 2 2" xfId="52363"/>
    <cellStyle name="常规 13 5 2 3" xfId="52364"/>
    <cellStyle name="常规 13 5 2 4" xfId="52365"/>
    <cellStyle name="常规 13 5 2 5" xfId="52366"/>
    <cellStyle name="常规 13 5 3" xfId="52367"/>
    <cellStyle name="常规 13 5 3 2" xfId="52368"/>
    <cellStyle name="常规 13 5 4" xfId="52369"/>
    <cellStyle name="常规 13 5 5" xfId="52370"/>
    <cellStyle name="常规 13 5 6" xfId="52371"/>
    <cellStyle name="常规 13 5 7" xfId="52372"/>
    <cellStyle name="常规 13 5 8" xfId="52373"/>
    <cellStyle name="常规 13 5 9" xfId="52374"/>
    <cellStyle name="常规 13 6" xfId="7666"/>
    <cellStyle name="常规 13 6 10" xfId="52375"/>
    <cellStyle name="常规 13 6 11" xfId="52376"/>
    <cellStyle name="常规 13 6 2" xfId="52377"/>
    <cellStyle name="常规 13 6 3" xfId="52378"/>
    <cellStyle name="常规 13 6 4" xfId="52379"/>
    <cellStyle name="常规 13 6 5" xfId="52380"/>
    <cellStyle name="常规 13 6 6" xfId="52381"/>
    <cellStyle name="常规 13 6 7" xfId="52382"/>
    <cellStyle name="常规 13 6 8" xfId="52383"/>
    <cellStyle name="常规 13 6 9" xfId="52384"/>
    <cellStyle name="常规 13 7" xfId="52385"/>
    <cellStyle name="常规 13 7 2" xfId="52386"/>
    <cellStyle name="常规 13 7 2 2" xfId="52387"/>
    <cellStyle name="常规 13 7 3" xfId="52388"/>
    <cellStyle name="常规 13 8" xfId="52389"/>
    <cellStyle name="常规 13 8 2" xfId="52390"/>
    <cellStyle name="常规 13 9" xfId="52391"/>
    <cellStyle name="常规 13_41期事業計画(商品部)" xfId="3401"/>
    <cellStyle name="常规 130" xfId="193"/>
    <cellStyle name="常规 130 2" xfId="7673"/>
    <cellStyle name="常规 131" xfId="194"/>
    <cellStyle name="常规 131 2" xfId="7674"/>
    <cellStyle name="常规 132" xfId="195"/>
    <cellStyle name="常规 132 2" xfId="7675"/>
    <cellStyle name="常规 133" xfId="196"/>
    <cellStyle name="常规 133 2" xfId="7676"/>
    <cellStyle name="常规 134" xfId="197"/>
    <cellStyle name="常规 134 2" xfId="7677"/>
    <cellStyle name="常规 135" xfId="198"/>
    <cellStyle name="常规 135 2" xfId="7678"/>
    <cellStyle name="常规 136" xfId="199"/>
    <cellStyle name="常规 136 2" xfId="7679"/>
    <cellStyle name="常规 137" xfId="200"/>
    <cellStyle name="常规 137 2" xfId="7680"/>
    <cellStyle name="常规 138" xfId="201"/>
    <cellStyle name="常规 138 2" xfId="7681"/>
    <cellStyle name="常规 139" xfId="202"/>
    <cellStyle name="常规 139 2" xfId="7682"/>
    <cellStyle name="常规 14" xfId="29"/>
    <cellStyle name="常规 14 10" xfId="7684"/>
    <cellStyle name="常规 14 10 2" xfId="52392"/>
    <cellStyle name="常规 14 10 2 2" xfId="52393"/>
    <cellStyle name="常规 14 10 3" xfId="52394"/>
    <cellStyle name="常规 14 11" xfId="7685"/>
    <cellStyle name="常规 14 11 2" xfId="52395"/>
    <cellStyle name="常规 14 12" xfId="7686"/>
    <cellStyle name="常规 14 12 2" xfId="52396"/>
    <cellStyle name="常规 14 13" xfId="7683"/>
    <cellStyle name="常规 14 13 2" xfId="52397"/>
    <cellStyle name="常规 14 13 2 2" xfId="52398"/>
    <cellStyle name="常规 14 13 2 2 2" xfId="52399"/>
    <cellStyle name="常规 14 13 2 3" xfId="52400"/>
    <cellStyle name="常规 14 13 3" xfId="52401"/>
    <cellStyle name="常规 14 13 3 2" xfId="52402"/>
    <cellStyle name="常规 14 13 4" xfId="52403"/>
    <cellStyle name="常规 14 14" xfId="52404"/>
    <cellStyle name="常规 14 15" xfId="52405"/>
    <cellStyle name="常规 14 15 2" xfId="52406"/>
    <cellStyle name="常规 14 15 2 2" xfId="52407"/>
    <cellStyle name="常规 14 15 3" xfId="52408"/>
    <cellStyle name="常规 14 16" xfId="52409"/>
    <cellStyle name="常规 14 16 2" xfId="52410"/>
    <cellStyle name="常规 14 16 2 2" xfId="52411"/>
    <cellStyle name="常规 14 16 3" xfId="52412"/>
    <cellStyle name="常规 14 17" xfId="52413"/>
    <cellStyle name="常规 14 17 2" xfId="52414"/>
    <cellStyle name="常规 14 17 2 2" xfId="52415"/>
    <cellStyle name="常规 14 17 3" xfId="52416"/>
    <cellStyle name="常规 14 18" xfId="3402"/>
    <cellStyle name="常规 14 2" xfId="3403"/>
    <cellStyle name="常规 14 2 10" xfId="52417"/>
    <cellStyle name="常规 14 2 10 2" xfId="52418"/>
    <cellStyle name="常规 14 2 11" xfId="52419"/>
    <cellStyle name="常规 14 2 11 2" xfId="52420"/>
    <cellStyle name="常规 14 2 11 2 2" xfId="52421"/>
    <cellStyle name="常规 14 2 11 3" xfId="52422"/>
    <cellStyle name="常规 14 2 12" xfId="52423"/>
    <cellStyle name="常规 14 2 12 2" xfId="52424"/>
    <cellStyle name="常规 14 2 12 2 2" xfId="52425"/>
    <cellStyle name="常规 14 2 12 3" xfId="52426"/>
    <cellStyle name="常规 14 2 13" xfId="52427"/>
    <cellStyle name="常规 14 2 13 2" xfId="52428"/>
    <cellStyle name="常规 14 2 13 2 2" xfId="52429"/>
    <cellStyle name="常规 14 2 13 3" xfId="52430"/>
    <cellStyle name="常规 14 2 14" xfId="52431"/>
    <cellStyle name="常规 14 2 15" xfId="52432"/>
    <cellStyle name="常规 14 2 2" xfId="3404"/>
    <cellStyle name="常规 14 2 2 10" xfId="52433"/>
    <cellStyle name="常规 14 2 2 11" xfId="52434"/>
    <cellStyle name="常规 14 2 2 12" xfId="52435"/>
    <cellStyle name="常规 14 2 2 2" xfId="52436"/>
    <cellStyle name="常规 14 2 2 2 10" xfId="52437"/>
    <cellStyle name="常规 14 2 2 2 11" xfId="52438"/>
    <cellStyle name="常规 14 2 2 2 2" xfId="52439"/>
    <cellStyle name="常规 14 2 2 2 2 2" xfId="52440"/>
    <cellStyle name="常规 14 2 2 2 3" xfId="52441"/>
    <cellStyle name="常规 14 2 2 2 4" xfId="52442"/>
    <cellStyle name="常规 14 2 2 2 5" xfId="52443"/>
    <cellStyle name="常规 14 2 2 2 6" xfId="52444"/>
    <cellStyle name="常规 14 2 2 2 7" xfId="52445"/>
    <cellStyle name="常规 14 2 2 2 8" xfId="52446"/>
    <cellStyle name="常规 14 2 2 2 9" xfId="52447"/>
    <cellStyle name="常规 14 2 2 3" xfId="52448"/>
    <cellStyle name="常规 14 2 2 3 2" xfId="52449"/>
    <cellStyle name="常规 14 2 2 3 2 2" xfId="52450"/>
    <cellStyle name="常规 14 2 2 3 3" xfId="52451"/>
    <cellStyle name="常规 14 2 2 4" xfId="52452"/>
    <cellStyle name="常规 14 2 2 4 2" xfId="52453"/>
    <cellStyle name="常规 14 2 2 4 2 2" xfId="52454"/>
    <cellStyle name="常规 14 2 2 4 3" xfId="52455"/>
    <cellStyle name="常规 14 2 2 5" xfId="52456"/>
    <cellStyle name="常规 14 2 2 5 2" xfId="52457"/>
    <cellStyle name="常规 14 2 2 6" xfId="52458"/>
    <cellStyle name="常规 14 2 2 7" xfId="52459"/>
    <cellStyle name="常规 14 2 2 8" xfId="52460"/>
    <cellStyle name="常规 14 2 2 9" xfId="52461"/>
    <cellStyle name="常规 14 2 3" xfId="3405"/>
    <cellStyle name="常规 14 2 3 10" xfId="52462"/>
    <cellStyle name="常规 14 2 3 11" xfId="52463"/>
    <cellStyle name="常规 14 2 3 12" xfId="52464"/>
    <cellStyle name="常规 14 2 3 2" xfId="52465"/>
    <cellStyle name="常规 14 2 3 2 10" xfId="52466"/>
    <cellStyle name="常规 14 2 3 2 11" xfId="52467"/>
    <cellStyle name="常规 14 2 3 2 12" xfId="52468"/>
    <cellStyle name="常规 14 2 3 2 2" xfId="52469"/>
    <cellStyle name="常规 14 2 3 2 2 10" xfId="52470"/>
    <cellStyle name="常规 14 2 3 2 2 11" xfId="52471"/>
    <cellStyle name="常规 14 2 3 2 2 2" xfId="52472"/>
    <cellStyle name="常规 14 2 3 2 2 3" xfId="52473"/>
    <cellStyle name="常规 14 2 3 2 2 4" xfId="52474"/>
    <cellStyle name="常规 14 2 3 2 2 5" xfId="52475"/>
    <cellStyle name="常规 14 2 3 2 2 6" xfId="52476"/>
    <cellStyle name="常规 14 2 3 2 2 7" xfId="52477"/>
    <cellStyle name="常规 14 2 3 2 2 8" xfId="52478"/>
    <cellStyle name="常规 14 2 3 2 2 9" xfId="52479"/>
    <cellStyle name="常规 14 2 3 2 3" xfId="52480"/>
    <cellStyle name="常规 14 2 3 2 4" xfId="52481"/>
    <cellStyle name="常规 14 2 3 2 5" xfId="52482"/>
    <cellStyle name="常规 14 2 3 2 6" xfId="52483"/>
    <cellStyle name="常规 14 2 3 2 7" xfId="52484"/>
    <cellStyle name="常规 14 2 3 2 8" xfId="52485"/>
    <cellStyle name="常规 14 2 3 2 9" xfId="52486"/>
    <cellStyle name="常规 14 2 3 3" xfId="52487"/>
    <cellStyle name="常规 14 2 3 3 2" xfId="52488"/>
    <cellStyle name="常规 14 2 3 3 2 2" xfId="52489"/>
    <cellStyle name="常规 14 2 3 3 3" xfId="52490"/>
    <cellStyle name="常规 14 2 3 4" xfId="52491"/>
    <cellStyle name="常规 14 2 3 4 2" xfId="52492"/>
    <cellStyle name="常规 14 2 3 4 2 2" xfId="52493"/>
    <cellStyle name="常规 14 2 3 4 3" xfId="52494"/>
    <cellStyle name="常规 14 2 3 5" xfId="52495"/>
    <cellStyle name="常规 14 2 3 5 2" xfId="52496"/>
    <cellStyle name="常规 14 2 3 6" xfId="52497"/>
    <cellStyle name="常规 14 2 3 7" xfId="52498"/>
    <cellStyle name="常规 14 2 3 8" xfId="52499"/>
    <cellStyle name="常规 14 2 3 9" xfId="52500"/>
    <cellStyle name="常规 14 2 4" xfId="3406"/>
    <cellStyle name="常规 14 2 4 2" xfId="52501"/>
    <cellStyle name="常规 14 2 4 2 2" xfId="52502"/>
    <cellStyle name="常规 14 2 4 2 2 2" xfId="52503"/>
    <cellStyle name="常规 14 2 4 2 3" xfId="52504"/>
    <cellStyle name="常规 14 2 4 3" xfId="52505"/>
    <cellStyle name="常规 14 2 4 3 2" xfId="52506"/>
    <cellStyle name="常规 14 2 4 3 2 2" xfId="52507"/>
    <cellStyle name="常规 14 2 4 3 3" xfId="52508"/>
    <cellStyle name="常规 14 2 4 4" xfId="52509"/>
    <cellStyle name="常规 14 2 4 4 2" xfId="52510"/>
    <cellStyle name="常规 14 2 4 4 2 2" xfId="52511"/>
    <cellStyle name="常规 14 2 4 4 3" xfId="52512"/>
    <cellStyle name="常规 14 2 4 5" xfId="52513"/>
    <cellStyle name="常规 14 2 4 5 2" xfId="52514"/>
    <cellStyle name="常规 14 2 4 6" xfId="52515"/>
    <cellStyle name="常规 14 2 5" xfId="3407"/>
    <cellStyle name="常规 14 2 5 2" xfId="52516"/>
    <cellStyle name="常规 14 2 5 2 2" xfId="52517"/>
    <cellStyle name="常规 14 2 5 2 2 2" xfId="52518"/>
    <cellStyle name="常规 14 2 5 2 3" xfId="52519"/>
    <cellStyle name="常规 14 2 5 3" xfId="52520"/>
    <cellStyle name="常规 14 2 5 3 2" xfId="52521"/>
    <cellStyle name="常规 14 2 5 3 2 2" xfId="52522"/>
    <cellStyle name="常规 14 2 5 3 3" xfId="52523"/>
    <cellStyle name="常规 14 2 5 4" xfId="52524"/>
    <cellStyle name="常规 14 2 5 4 2" xfId="52525"/>
    <cellStyle name="常规 14 2 5 4 2 2" xfId="52526"/>
    <cellStyle name="常规 14 2 5 4 3" xfId="52527"/>
    <cellStyle name="常规 14 2 5 5" xfId="52528"/>
    <cellStyle name="常规 14 2 5 5 2" xfId="52529"/>
    <cellStyle name="常规 14 2 5 6" xfId="52530"/>
    <cellStyle name="常规 14 2 6" xfId="3408"/>
    <cellStyle name="常规 14 2 6 2" xfId="52531"/>
    <cellStyle name="常规 14 2 6 2 2" xfId="52532"/>
    <cellStyle name="常规 14 2 6 2 2 2" xfId="52533"/>
    <cellStyle name="常规 14 2 6 2 3" xfId="52534"/>
    <cellStyle name="常规 14 2 6 3" xfId="52535"/>
    <cellStyle name="常规 14 2 6 3 2" xfId="52536"/>
    <cellStyle name="常规 14 2 6 3 2 2" xfId="52537"/>
    <cellStyle name="常规 14 2 6 3 3" xfId="52538"/>
    <cellStyle name="常规 14 2 6 4" xfId="52539"/>
    <cellStyle name="常规 14 2 6 4 2" xfId="52540"/>
    <cellStyle name="常规 14 2 6 4 2 2" xfId="52541"/>
    <cellStyle name="常规 14 2 6 4 3" xfId="52542"/>
    <cellStyle name="常规 14 2 6 5" xfId="52543"/>
    <cellStyle name="常规 14 2 6 5 2" xfId="52544"/>
    <cellStyle name="常规 14 2 6 6" xfId="52545"/>
    <cellStyle name="常规 14 2 7" xfId="3409"/>
    <cellStyle name="常规 14 2 7 2" xfId="52546"/>
    <cellStyle name="常规 14 2 7 2 2" xfId="52547"/>
    <cellStyle name="常规 14 2 7 2 2 2" xfId="52548"/>
    <cellStyle name="常规 14 2 7 2 3" xfId="52549"/>
    <cellStyle name="常规 14 2 7 3" xfId="52550"/>
    <cellStyle name="常规 14 2 7 3 2" xfId="52551"/>
    <cellStyle name="常规 14 2 7 3 2 2" xfId="52552"/>
    <cellStyle name="常规 14 2 7 3 3" xfId="52553"/>
    <cellStyle name="常规 14 2 7 4" xfId="52554"/>
    <cellStyle name="常规 14 2 7 4 2" xfId="52555"/>
    <cellStyle name="常规 14 2 7 4 2 2" xfId="52556"/>
    <cellStyle name="常规 14 2 7 4 3" xfId="52557"/>
    <cellStyle name="常规 14 2 7 5" xfId="52558"/>
    <cellStyle name="常规 14 2 7 5 2" xfId="52559"/>
    <cellStyle name="常规 14 2 7 6" xfId="52560"/>
    <cellStyle name="常规 14 2 8" xfId="7687"/>
    <cellStyle name="常规 14 2 8 2" xfId="52561"/>
    <cellStyle name="常规 14 2 8 2 2" xfId="52562"/>
    <cellStyle name="常规 14 2 8 2 2 2" xfId="52563"/>
    <cellStyle name="常规 14 2 8 2 3" xfId="52564"/>
    <cellStyle name="常规 14 2 8 3" xfId="52565"/>
    <cellStyle name="常规 14 2 8 3 2" xfId="52566"/>
    <cellStyle name="常规 14 2 8 3 2 2" xfId="52567"/>
    <cellStyle name="常规 14 2 8 3 3" xfId="52568"/>
    <cellStyle name="常规 14 2 8 4" xfId="52569"/>
    <cellStyle name="常规 14 2 8 4 2" xfId="52570"/>
    <cellStyle name="常规 14 2 8 4 2 2" xfId="52571"/>
    <cellStyle name="常规 14 2 8 4 3" xfId="52572"/>
    <cellStyle name="常规 14 2 8 5" xfId="52573"/>
    <cellStyle name="常规 14 2 8 5 2" xfId="52574"/>
    <cellStyle name="常规 14 2 8 6" xfId="52575"/>
    <cellStyle name="常规 14 2 9" xfId="52576"/>
    <cellStyle name="常规 14 2 9 2" xfId="52577"/>
    <cellStyle name="常规 14 2 9 2 2" xfId="52578"/>
    <cellStyle name="常规 14 2 9 2 2 2" xfId="52579"/>
    <cellStyle name="常规 14 2 9 2 3" xfId="52580"/>
    <cellStyle name="常规 14 2 9 3" xfId="52581"/>
    <cellStyle name="常规 14 2 9 3 2" xfId="52582"/>
    <cellStyle name="常规 14 2 9 4" xfId="52583"/>
    <cellStyle name="常规 14 3" xfId="3410"/>
    <cellStyle name="常规 14 3 2" xfId="7688"/>
    <cellStyle name="常规 14 3 2 2" xfId="52584"/>
    <cellStyle name="常规 14 3 2 2 2" xfId="52585"/>
    <cellStyle name="常规 14 3 2 2 2 2" xfId="52586"/>
    <cellStyle name="常规 14 3 2 2 3" xfId="52587"/>
    <cellStyle name="常规 14 3 2 3" xfId="52588"/>
    <cellStyle name="常规 14 3 2 3 2" xfId="52589"/>
    <cellStyle name="常规 14 3 2 4" xfId="52590"/>
    <cellStyle name="常规 14 3 3" xfId="52591"/>
    <cellStyle name="常规 14 3 4" xfId="52592"/>
    <cellStyle name="常规 14 3 4 2" xfId="52593"/>
    <cellStyle name="常规 14 3 4 2 2" xfId="52594"/>
    <cellStyle name="常规 14 3 4 3" xfId="52595"/>
    <cellStyle name="常规 14 3 5" xfId="52596"/>
    <cellStyle name="常规 14 3 5 2" xfId="52597"/>
    <cellStyle name="常规 14 3 5 2 2" xfId="52598"/>
    <cellStyle name="常规 14 3 5 3" xfId="52599"/>
    <cellStyle name="常规 14 3 6" xfId="52600"/>
    <cellStyle name="常规 14 3 6 2" xfId="52601"/>
    <cellStyle name="常规 14 3 6 2 2" xfId="52602"/>
    <cellStyle name="常规 14 3 6 3" xfId="52603"/>
    <cellStyle name="常规 14 4" xfId="3411"/>
    <cellStyle name="常规 14 4 2" xfId="7689"/>
    <cellStyle name="常规 14 4 2 2" xfId="52604"/>
    <cellStyle name="常规 14 4 2 2 2" xfId="52605"/>
    <cellStyle name="常规 14 4 2 2 2 2" xfId="52606"/>
    <cellStyle name="常规 14 4 2 2 3" xfId="52607"/>
    <cellStyle name="常规 14 4 2 3" xfId="52608"/>
    <cellStyle name="常规 14 4 2 3 2" xfId="52609"/>
    <cellStyle name="常规 14 4 2 4" xfId="52610"/>
    <cellStyle name="常规 14 4 3" xfId="52611"/>
    <cellStyle name="常规 14 4 4" xfId="52612"/>
    <cellStyle name="常规 14 4 4 2" xfId="52613"/>
    <cellStyle name="常规 14 4 4 2 2" xfId="52614"/>
    <cellStyle name="常规 14 4 4 3" xfId="52615"/>
    <cellStyle name="常规 14 4 5" xfId="52616"/>
    <cellStyle name="常规 14 4 5 2" xfId="52617"/>
    <cellStyle name="常规 14 4 5 2 2" xfId="52618"/>
    <cellStyle name="常规 14 4 5 3" xfId="52619"/>
    <cellStyle name="常规 14 4 6" xfId="52620"/>
    <cellStyle name="常规 14 4 6 2" xfId="52621"/>
    <cellStyle name="常规 14 4 6 2 2" xfId="52622"/>
    <cellStyle name="常规 14 4 6 3" xfId="52623"/>
    <cellStyle name="常规 14 5" xfId="3412"/>
    <cellStyle name="常规 14 5 2" xfId="7690"/>
    <cellStyle name="常规 14 5 2 2" xfId="52624"/>
    <cellStyle name="常规 14 5 2 2 2" xfId="52625"/>
    <cellStyle name="常规 14 5 2 2 2 2" xfId="52626"/>
    <cellStyle name="常规 14 5 2 2 3" xfId="52627"/>
    <cellStyle name="常规 14 5 2 3" xfId="52628"/>
    <cellStyle name="常规 14 5 2 3 2" xfId="52629"/>
    <cellStyle name="常规 14 5 2 4" xfId="52630"/>
    <cellStyle name="常规 14 5 3" xfId="52631"/>
    <cellStyle name="常规 14 5 4" xfId="52632"/>
    <cellStyle name="常规 14 5 4 2" xfId="52633"/>
    <cellStyle name="常规 14 5 4 2 2" xfId="52634"/>
    <cellStyle name="常规 14 5 4 3" xfId="52635"/>
    <cellStyle name="常规 14 5 5" xfId="52636"/>
    <cellStyle name="常规 14 5 5 2" xfId="52637"/>
    <cellStyle name="常规 14 5 5 2 2" xfId="52638"/>
    <cellStyle name="常规 14 5 5 3" xfId="52639"/>
    <cellStyle name="常规 14 5 6" xfId="52640"/>
    <cellStyle name="常规 14 5 6 2" xfId="52641"/>
    <cellStyle name="常规 14 5 6 2 2" xfId="52642"/>
    <cellStyle name="常规 14 5 6 3" xfId="52643"/>
    <cellStyle name="常规 14 6" xfId="3413"/>
    <cellStyle name="常规 14 6 2" xfId="7691"/>
    <cellStyle name="常规 14 6 2 2" xfId="52644"/>
    <cellStyle name="常规 14 6 2 2 2" xfId="52645"/>
    <cellStyle name="常规 14 6 2 2 2 2" xfId="52646"/>
    <cellStyle name="常规 14 6 2 2 3" xfId="52647"/>
    <cellStyle name="常规 14 6 2 3" xfId="52648"/>
    <cellStyle name="常规 14 6 2 3 2" xfId="52649"/>
    <cellStyle name="常规 14 6 2 4" xfId="52650"/>
    <cellStyle name="常规 14 6 3" xfId="52651"/>
    <cellStyle name="常规 14 6 4" xfId="52652"/>
    <cellStyle name="常规 14 6 4 2" xfId="52653"/>
    <cellStyle name="常规 14 6 4 2 2" xfId="52654"/>
    <cellStyle name="常规 14 6 4 3" xfId="52655"/>
    <cellStyle name="常规 14 6 5" xfId="52656"/>
    <cellStyle name="常规 14 6 5 2" xfId="52657"/>
    <cellStyle name="常规 14 6 5 2 2" xfId="52658"/>
    <cellStyle name="常规 14 6 5 3" xfId="52659"/>
    <cellStyle name="常规 14 6 6" xfId="52660"/>
    <cellStyle name="常规 14 6 6 2" xfId="52661"/>
    <cellStyle name="常规 14 6 6 2 2" xfId="52662"/>
    <cellStyle name="常规 14 6 6 3" xfId="52663"/>
    <cellStyle name="常规 14 7" xfId="3414"/>
    <cellStyle name="常规 14 7 2" xfId="7692"/>
    <cellStyle name="常规 14 7 2 2" xfId="52664"/>
    <cellStyle name="常规 14 7 2 2 2" xfId="52665"/>
    <cellStyle name="常规 14 7 2 2 2 2" xfId="52666"/>
    <cellStyle name="常规 14 7 2 2 3" xfId="52667"/>
    <cellStyle name="常规 14 7 2 3" xfId="52668"/>
    <cellStyle name="常规 14 7 2 3 2" xfId="52669"/>
    <cellStyle name="常规 14 7 2 4" xfId="52670"/>
    <cellStyle name="常规 14 7 3" xfId="52671"/>
    <cellStyle name="常规 14 7 4" xfId="52672"/>
    <cellStyle name="常规 14 7 4 2" xfId="52673"/>
    <cellStyle name="常规 14 7 4 2 2" xfId="52674"/>
    <cellStyle name="常规 14 7 4 3" xfId="52675"/>
    <cellStyle name="常规 14 7 5" xfId="52676"/>
    <cellStyle name="常规 14 7 5 2" xfId="52677"/>
    <cellStyle name="常规 14 7 5 2 2" xfId="52678"/>
    <cellStyle name="常规 14 7 5 3" xfId="52679"/>
    <cellStyle name="常规 14 7 6" xfId="52680"/>
    <cellStyle name="常规 14 7 6 2" xfId="52681"/>
    <cellStyle name="常规 14 7 6 2 2" xfId="52682"/>
    <cellStyle name="常规 14 7 6 3" xfId="52683"/>
    <cellStyle name="常规 14 8" xfId="3415"/>
    <cellStyle name="常规 14 8 2" xfId="7693"/>
    <cellStyle name="常规 14 8 2 2" xfId="52684"/>
    <cellStyle name="常规 14 8 2 2 2" xfId="52685"/>
    <cellStyle name="常规 14 8 2 2 2 2" xfId="52686"/>
    <cellStyle name="常规 14 8 2 2 3" xfId="52687"/>
    <cellStyle name="常规 14 8 2 3" xfId="52688"/>
    <cellStyle name="常规 14 8 2 3 2" xfId="52689"/>
    <cellStyle name="常规 14 8 2 4" xfId="52690"/>
    <cellStyle name="常规 14 8 3" xfId="52691"/>
    <cellStyle name="常规 14 8 4" xfId="52692"/>
    <cellStyle name="常规 14 8 4 2" xfId="52693"/>
    <cellStyle name="常规 14 8 4 2 2" xfId="52694"/>
    <cellStyle name="常规 14 8 4 3" xfId="52695"/>
    <cellStyle name="常规 14 8 5" xfId="52696"/>
    <cellStyle name="常规 14 8 5 2" xfId="52697"/>
    <cellStyle name="常规 14 8 5 2 2" xfId="52698"/>
    <cellStyle name="常规 14 8 5 3" xfId="52699"/>
    <cellStyle name="常规 14 8 6" xfId="52700"/>
    <cellStyle name="常规 14 8 6 2" xfId="52701"/>
    <cellStyle name="常规 14 8 6 2 2" xfId="52702"/>
    <cellStyle name="常规 14 8 6 3" xfId="52703"/>
    <cellStyle name="常规 14 9" xfId="7694"/>
    <cellStyle name="常规 14 9 2" xfId="52704"/>
    <cellStyle name="常规 14 9 2 2" xfId="52705"/>
    <cellStyle name="常规 14 9 2 2 2" xfId="52706"/>
    <cellStyle name="常规 14 9 2 2 2 2" xfId="52707"/>
    <cellStyle name="常规 14 9 2 2 3" xfId="52708"/>
    <cellStyle name="常规 14 9 2 3" xfId="52709"/>
    <cellStyle name="常规 14 9 2 3 2" xfId="52710"/>
    <cellStyle name="常规 14 9 2 4" xfId="52711"/>
    <cellStyle name="常规 14 9 3" xfId="52712"/>
    <cellStyle name="常规 14 9 4" xfId="52713"/>
    <cellStyle name="常规 14 9 4 2" xfId="52714"/>
    <cellStyle name="常规 14 9 4 2 2" xfId="52715"/>
    <cellStyle name="常规 14 9 4 3" xfId="52716"/>
    <cellStyle name="常规 14 9 5" xfId="52717"/>
    <cellStyle name="常规 14 9 5 2" xfId="52718"/>
    <cellStyle name="常规 14 9 5 2 2" xfId="52719"/>
    <cellStyle name="常规 14 9 5 3" xfId="52720"/>
    <cellStyle name="常规 14 9 6" xfId="52721"/>
    <cellStyle name="常规 14 9 6 2" xfId="52722"/>
    <cellStyle name="常规 14 9 6 2 2" xfId="52723"/>
    <cellStyle name="常规 14 9 6 3" xfId="52724"/>
    <cellStyle name="常规 14_培训名单通知" xfId="7695"/>
    <cellStyle name="常规 140" xfId="203"/>
    <cellStyle name="常规 140 2" xfId="7696"/>
    <cellStyle name="常规 141" xfId="204"/>
    <cellStyle name="常规 141 2" xfId="7697"/>
    <cellStyle name="常规 142" xfId="205"/>
    <cellStyle name="常规 142 2" xfId="7698"/>
    <cellStyle name="常规 143" xfId="206"/>
    <cellStyle name="常规 143 2" xfId="7699"/>
    <cellStyle name="常规 144" xfId="207"/>
    <cellStyle name="常规 144 2" xfId="7700"/>
    <cellStyle name="常规 145" xfId="208"/>
    <cellStyle name="常规 145 2" xfId="11326"/>
    <cellStyle name="常规 145 2 2" xfId="11327"/>
    <cellStyle name="常规 145 2 2 2" xfId="24745"/>
    <cellStyle name="常规 145 2 3" xfId="24746"/>
    <cellStyle name="常规 145 3" xfId="11328"/>
    <cellStyle name="常规 145 3 2" xfId="24747"/>
    <cellStyle name="常规 145 4" xfId="24748"/>
    <cellStyle name="常规 145 5" xfId="7701"/>
    <cellStyle name="常规 146" xfId="209"/>
    <cellStyle name="常规 146 2" xfId="11329"/>
    <cellStyle name="常规 146 2 2" xfId="11330"/>
    <cellStyle name="常规 146 2 2 2" xfId="24749"/>
    <cellStyle name="常规 146 2 3" xfId="24750"/>
    <cellStyle name="常规 146 3" xfId="11331"/>
    <cellStyle name="常规 146 3 2" xfId="24751"/>
    <cellStyle name="常规 146 4" xfId="24752"/>
    <cellStyle name="常规 146 5" xfId="7702"/>
    <cellStyle name="常规 147" xfId="210"/>
    <cellStyle name="常规 147 2" xfId="11332"/>
    <cellStyle name="常规 148" xfId="211"/>
    <cellStyle name="常规 148 2" xfId="24753"/>
    <cellStyle name="常规 148 3" xfId="11333"/>
    <cellStyle name="常规 149" xfId="212"/>
    <cellStyle name="常规 149 2" xfId="24754"/>
    <cellStyle name="常规 149 2 2" xfId="52725"/>
    <cellStyle name="常规 149 2 2 2" xfId="52726"/>
    <cellStyle name="常规 149 2 3" xfId="52727"/>
    <cellStyle name="常规 149 3" xfId="52728"/>
    <cellStyle name="常规 149 3 2" xfId="52729"/>
    <cellStyle name="常规 149 4" xfId="52730"/>
    <cellStyle name="常规 149 5" xfId="11334"/>
    <cellStyle name="常规 15" xfId="30"/>
    <cellStyle name="常规 15 2" xfId="3417"/>
    <cellStyle name="常规 15 2 2" xfId="3418"/>
    <cellStyle name="常规 15 2 2 2" xfId="3419"/>
    <cellStyle name="常规 15 2 3" xfId="7704"/>
    <cellStyle name="常规 15 2 4" xfId="52731"/>
    <cellStyle name="常规 15 2 5" xfId="52732"/>
    <cellStyle name="常规 15 3" xfId="3420"/>
    <cellStyle name="常规 15 3 2" xfId="3421"/>
    <cellStyle name="常规 15 3 2 2" xfId="3422"/>
    <cellStyle name="常规 15 3 3" xfId="7705"/>
    <cellStyle name="常规 15 3 4" xfId="52733"/>
    <cellStyle name="常规 15 4" xfId="3423"/>
    <cellStyle name="常规 15 4 2" xfId="3424"/>
    <cellStyle name="常规 15 4 3" xfId="7706"/>
    <cellStyle name="常规 15 4 4" xfId="52734"/>
    <cellStyle name="常规 15 5" xfId="7707"/>
    <cellStyle name="常规 15 6" xfId="7703"/>
    <cellStyle name="常规 15 7" xfId="52735"/>
    <cellStyle name="常规 15 8" xfId="52736"/>
    <cellStyle name="常规 15 9" xfId="3416"/>
    <cellStyle name="常规 150" xfId="213"/>
    <cellStyle name="常规 150 2" xfId="24755"/>
    <cellStyle name="常规 150 2 2" xfId="52737"/>
    <cellStyle name="常规 150 2 2 2" xfId="52738"/>
    <cellStyle name="常规 150 2 3" xfId="52739"/>
    <cellStyle name="常规 150 3" xfId="52740"/>
    <cellStyle name="常规 150 3 2" xfId="52741"/>
    <cellStyle name="常规 150 4" xfId="52742"/>
    <cellStyle name="常规 150 5" xfId="11335"/>
    <cellStyle name="常规 151" xfId="214"/>
    <cellStyle name="常规 151 2" xfId="11337"/>
    <cellStyle name="常规 151 2 2" xfId="10770"/>
    <cellStyle name="常规 151 2 2 2" xfId="24756"/>
    <cellStyle name="常规 151 2 2 2 2" xfId="24757"/>
    <cellStyle name="常规 151 2 2 2 2 2" xfId="24758"/>
    <cellStyle name="常规 151 2 2 2 2 2 2" xfId="24759"/>
    <cellStyle name="常规 151 2 2 2 2 2 2 2" xfId="23392"/>
    <cellStyle name="常规 151 2 2 2 2 2 2 3" xfId="23395"/>
    <cellStyle name="常规 151 2 2 2 2 2 3" xfId="24760"/>
    <cellStyle name="常规 151 2 2 2 2 3" xfId="24761"/>
    <cellStyle name="常规 151 2 2 2 3" xfId="24762"/>
    <cellStyle name="常规 151 2 2 3" xfId="24763"/>
    <cellStyle name="常规 151 2 3" xfId="24764"/>
    <cellStyle name="常规 151 3" xfId="24765"/>
    <cellStyle name="常规 151 3 2" xfId="52743"/>
    <cellStyle name="常规 151 4" xfId="52744"/>
    <cellStyle name="常规 151 5" xfId="11336"/>
    <cellStyle name="常规 152" xfId="215"/>
    <cellStyle name="常规 152 2" xfId="24766"/>
    <cellStyle name="常规 152 2 2" xfId="24767"/>
    <cellStyle name="常规 152 2 2 2" xfId="52745"/>
    <cellStyle name="常规 152 2 3" xfId="52746"/>
    <cellStyle name="常规 152 3" xfId="24768"/>
    <cellStyle name="常规 152 3 2" xfId="52747"/>
    <cellStyle name="常规 152 4" xfId="52748"/>
    <cellStyle name="常规 152 5" xfId="11338"/>
    <cellStyle name="常规 153" xfId="216"/>
    <cellStyle name="常规 153 2" xfId="24770"/>
    <cellStyle name="常规 153 3" xfId="24769"/>
    <cellStyle name="常规 153 4" xfId="5501"/>
    <cellStyle name="常规 154" xfId="217"/>
    <cellStyle name="常规 154 2" xfId="24772"/>
    <cellStyle name="常规 154 3" xfId="24771"/>
    <cellStyle name="常规 154 4" xfId="10522"/>
    <cellStyle name="常规 155" xfId="218"/>
    <cellStyle name="常规 155 2" xfId="24774"/>
    <cellStyle name="常规 155 3" xfId="24773"/>
    <cellStyle name="常规 155 4" xfId="21932"/>
    <cellStyle name="常规 156" xfId="219"/>
    <cellStyle name="常规 156 2" xfId="24776"/>
    <cellStyle name="常规 156 2 2" xfId="52749"/>
    <cellStyle name="常规 156 2 2 2" xfId="52750"/>
    <cellStyle name="常规 156 2 3" xfId="52751"/>
    <cellStyle name="常规 156 3" xfId="24775"/>
    <cellStyle name="常规 156 4" xfId="52752"/>
    <cellStyle name="常规 156 4 2" xfId="52753"/>
    <cellStyle name="常规 156 5" xfId="52754"/>
    <cellStyle name="常规 156 6" xfId="21942"/>
    <cellStyle name="常规 157" xfId="220"/>
    <cellStyle name="常规 157 2" xfId="24778"/>
    <cellStyle name="常规 157 3" xfId="24777"/>
    <cellStyle name="常规 157 4" xfId="21949"/>
    <cellStyle name="常规 158" xfId="221"/>
    <cellStyle name="常规 158 2" xfId="24780"/>
    <cellStyle name="常规 158 3" xfId="24779"/>
    <cellStyle name="常规 158 4" xfId="21738"/>
    <cellStyle name="常规 159" xfId="222"/>
    <cellStyle name="常规 159 2" xfId="24782"/>
    <cellStyle name="常规 159 3" xfId="24781"/>
    <cellStyle name="常规 16" xfId="31"/>
    <cellStyle name="常规 16 10" xfId="21756"/>
    <cellStyle name="常规 16 10 10" xfId="7709"/>
    <cellStyle name="常规 16 10 10 2" xfId="7710"/>
    <cellStyle name="常规 16 10 10 2 2" xfId="7711"/>
    <cellStyle name="常规 16 10 10 2 2 2" xfId="24783"/>
    <cellStyle name="常规 16 10 10 2 2 2 2" xfId="24784"/>
    <cellStyle name="常规 16 10 10 2 3" xfId="24785"/>
    <cellStyle name="常规 16 10 10 2 3 2" xfId="24786"/>
    <cellStyle name="常规 16 10 10 3" xfId="24787"/>
    <cellStyle name="常规 16 10 10 3 2" xfId="24788"/>
    <cellStyle name="常规 16 10 10_試験・研修" xfId="7712"/>
    <cellStyle name="常规 16 11" xfId="52755"/>
    <cellStyle name="常规 16 12" xfId="3425"/>
    <cellStyle name="常规 16 13" xfId="223"/>
    <cellStyle name="常规 16 2" xfId="3426"/>
    <cellStyle name="常规 16 2 2" xfId="7714"/>
    <cellStyle name="常规 16 2 2 2" xfId="52756"/>
    <cellStyle name="常规 16 2 2 2 2" xfId="52757"/>
    <cellStyle name="常规 16 2 2 2 3" xfId="52758"/>
    <cellStyle name="常规 16 2 3" xfId="11339"/>
    <cellStyle name="常规 16 2 3 2" xfId="11340"/>
    <cellStyle name="常规 16 2 3 2 2" xfId="24789"/>
    <cellStyle name="常规 16 2 3 3" xfId="24790"/>
    <cellStyle name="常规 16 2 4" xfId="11341"/>
    <cellStyle name="常规 16 2 4 2" xfId="24791"/>
    <cellStyle name="常规 16 2 5" xfId="7713"/>
    <cellStyle name="常规 16 2_培训名单通知" xfId="7715"/>
    <cellStyle name="常规 16 3" xfId="3427"/>
    <cellStyle name="常规 16 3 2" xfId="7716"/>
    <cellStyle name="常规 16 3 3" xfId="52759"/>
    <cellStyle name="常规 16 3 4" xfId="52760"/>
    <cellStyle name="常规 16 4" xfId="7717"/>
    <cellStyle name="常规 16 4 2" xfId="52761"/>
    <cellStyle name="常规 16 5" xfId="11342"/>
    <cellStyle name="常规 16 5 2" xfId="11343"/>
    <cellStyle name="常规 16 5 2 2" xfId="24792"/>
    <cellStyle name="常规 16 5 3" xfId="24793"/>
    <cellStyle name="常规 16 6" xfId="11344"/>
    <cellStyle name="常规 16 6 2" xfId="24794"/>
    <cellStyle name="常规 16 7" xfId="11345"/>
    <cellStyle name="常规 16 7 2" xfId="24795"/>
    <cellStyle name="常规 16 8" xfId="7708"/>
    <cellStyle name="常规 16 9" xfId="5566"/>
    <cellStyle name="常规 16_培训名单通知" xfId="7718"/>
    <cellStyle name="常规 160" xfId="224"/>
    <cellStyle name="常规 160 2" xfId="7719"/>
    <cellStyle name="常规 160 3" xfId="52762"/>
    <cellStyle name="常规 160 4" xfId="3428"/>
    <cellStyle name="常规 161" xfId="225"/>
    <cellStyle name="常规 161 2" xfId="24797"/>
    <cellStyle name="常规 161 3" xfId="24796"/>
    <cellStyle name="常规 162" xfId="226"/>
    <cellStyle name="常规 162 2" xfId="52763"/>
    <cellStyle name="常规 162 3" xfId="52764"/>
    <cellStyle name="常规 162 3 2" xfId="52765"/>
    <cellStyle name="常规 162 3 2 2" xfId="52766"/>
    <cellStyle name="常规 162 3 3" xfId="52767"/>
    <cellStyle name="常规 162 4" xfId="52768"/>
    <cellStyle name="常规 162 4 2" xfId="52769"/>
    <cellStyle name="常规 162 5" xfId="52770"/>
    <cellStyle name="常规 162 6" xfId="24798"/>
    <cellStyle name="常规 163" xfId="227"/>
    <cellStyle name="常规 163 2" xfId="52771"/>
    <cellStyle name="常规 163 3" xfId="52772"/>
    <cellStyle name="常规 163 3 2" xfId="52773"/>
    <cellStyle name="常规 163 3 2 2" xfId="52774"/>
    <cellStyle name="常规 163 3 3" xfId="52775"/>
    <cellStyle name="常规 163 4" xfId="52776"/>
    <cellStyle name="常规 163 4 2" xfId="52777"/>
    <cellStyle name="常规 163 5" xfId="52778"/>
    <cellStyle name="常规 163 6" xfId="24799"/>
    <cellStyle name="常规 164" xfId="228"/>
    <cellStyle name="常规 164 2" xfId="52779"/>
    <cellStyle name="常规 164 3" xfId="52780"/>
    <cellStyle name="常规 164 3 2" xfId="52781"/>
    <cellStyle name="常规 164 3 2 2" xfId="52782"/>
    <cellStyle name="常规 164 3 3" xfId="52783"/>
    <cellStyle name="常规 164 4" xfId="52784"/>
    <cellStyle name="常规 164 4 2" xfId="52785"/>
    <cellStyle name="常规 164 5" xfId="52786"/>
    <cellStyle name="常规 164 6" xfId="23396"/>
    <cellStyle name="常规 165" xfId="229"/>
    <cellStyle name="常规 165 2" xfId="52788"/>
    <cellStyle name="常规 165 2 2" xfId="52789"/>
    <cellStyle name="常规 165 3" xfId="52790"/>
    <cellStyle name="常规 165 4" xfId="52787"/>
    <cellStyle name="常规 166" xfId="230"/>
    <cellStyle name="常规 166 2" xfId="52792"/>
    <cellStyle name="常规 166 2 2" xfId="52793"/>
    <cellStyle name="常规 166 3" xfId="52794"/>
    <cellStyle name="常规 166 4" xfId="52791"/>
    <cellStyle name="常规 167" xfId="231"/>
    <cellStyle name="常规 167 2" xfId="7720"/>
    <cellStyle name="常规 167 3" xfId="52795"/>
    <cellStyle name="常规 167 4" xfId="3429"/>
    <cellStyle name="常规 168" xfId="232"/>
    <cellStyle name="常规 168 2" xfId="52796"/>
    <cellStyle name="常规 169" xfId="233"/>
    <cellStyle name="常规 169 2" xfId="52797"/>
    <cellStyle name="常规 17" xfId="32"/>
    <cellStyle name="常规 17 10" xfId="3430"/>
    <cellStyle name="常规 17 11" xfId="234"/>
    <cellStyle name="常规 17 2" xfId="3431"/>
    <cellStyle name="常规 17 2 2" xfId="7722"/>
    <cellStyle name="常规 17 2 2 2 2 2" xfId="52798"/>
    <cellStyle name="常规 17 2 2 2 2 2 3" xfId="52799"/>
    <cellStyle name="常规 17 2 3" xfId="52800"/>
    <cellStyle name="常规 17 2 4 3 2 2" xfId="52801"/>
    <cellStyle name="常规 17 2 7 2" xfId="52802"/>
    <cellStyle name="常规 17 3" xfId="7723"/>
    <cellStyle name="常规 17 3 2" xfId="52803"/>
    <cellStyle name="常规 17 4" xfId="7724"/>
    <cellStyle name="常规 17 4 2" xfId="52804"/>
    <cellStyle name="常规 17 5" xfId="7725"/>
    <cellStyle name="常规 17 6" xfId="7721"/>
    <cellStyle name="常规 17 7" xfId="46444"/>
    <cellStyle name="常规 17 7 2" xfId="52805"/>
    <cellStyle name="常规 17 7 2 2" xfId="52806"/>
    <cellStyle name="常规 17 7 3" xfId="52807"/>
    <cellStyle name="常规 17 8" xfId="52808"/>
    <cellStyle name="常规 17 8 2" xfId="52809"/>
    <cellStyle name="常规 17 9" xfId="52810"/>
    <cellStyle name="常规 17_培训名单通知" xfId="7726"/>
    <cellStyle name="常规 170" xfId="235"/>
    <cellStyle name="常规 170 2" xfId="52812"/>
    <cellStyle name="常规 170 3" xfId="52813"/>
    <cellStyle name="常规 170 3 2" xfId="52814"/>
    <cellStyle name="常规 170 4" xfId="52815"/>
    <cellStyle name="常规 170 5" xfId="52811"/>
    <cellStyle name="常规 171" xfId="236"/>
    <cellStyle name="常规 171 2" xfId="52817"/>
    <cellStyle name="常规 171 2 2" xfId="52818"/>
    <cellStyle name="常规 171 3" xfId="52819"/>
    <cellStyle name="常规 171 4" xfId="52816"/>
    <cellStyle name="常规 172" xfId="237"/>
    <cellStyle name="常规 172 2" xfId="52821"/>
    <cellStyle name="常规 172 2 2" xfId="52822"/>
    <cellStyle name="常规 172 3" xfId="52823"/>
    <cellStyle name="常规 172 4" xfId="52820"/>
    <cellStyle name="常规 173" xfId="238"/>
    <cellStyle name="常规 173 2" xfId="52825"/>
    <cellStyle name="常规 173 2 2" xfId="52826"/>
    <cellStyle name="常规 173 3" xfId="52827"/>
    <cellStyle name="常规 173 4" xfId="52824"/>
    <cellStyle name="常规 174" xfId="239"/>
    <cellStyle name="常规 174 2" xfId="52829"/>
    <cellStyle name="常规 174 2 2" xfId="52830"/>
    <cellStyle name="常规 174 3" xfId="52831"/>
    <cellStyle name="常规 174 4" xfId="52828"/>
    <cellStyle name="常规 175" xfId="240"/>
    <cellStyle name="常规 175 2" xfId="52833"/>
    <cellStyle name="常规 175 2 2" xfId="52834"/>
    <cellStyle name="常规 175 3" xfId="52835"/>
    <cellStyle name="常规 175 4" xfId="52832"/>
    <cellStyle name="常规 176" xfId="241"/>
    <cellStyle name="常规 176 2" xfId="52837"/>
    <cellStyle name="常规 176 2 2" xfId="52838"/>
    <cellStyle name="常规 176 3" xfId="52839"/>
    <cellStyle name="常规 176 4" xfId="52836"/>
    <cellStyle name="常规 177" xfId="242"/>
    <cellStyle name="常规 177 2" xfId="52841"/>
    <cellStyle name="常规 177 2 2" xfId="52842"/>
    <cellStyle name="常规 177 3" xfId="52843"/>
    <cellStyle name="常规 177 4" xfId="52840"/>
    <cellStyle name="常规 178" xfId="243"/>
    <cellStyle name="常规 178 2" xfId="52845"/>
    <cellStyle name="常规 178 2 2" xfId="52846"/>
    <cellStyle name="常规 178 3" xfId="52847"/>
    <cellStyle name="常规 178 4" xfId="52844"/>
    <cellStyle name="常规 179" xfId="244"/>
    <cellStyle name="常规 179 2" xfId="52849"/>
    <cellStyle name="常规 179 2 2" xfId="52850"/>
    <cellStyle name="常规 179 3" xfId="52851"/>
    <cellStyle name="常规 179 4" xfId="52848"/>
    <cellStyle name="常规 18" xfId="33"/>
    <cellStyle name="常规 18 10" xfId="52852"/>
    <cellStyle name="常规 18 11" xfId="3432"/>
    <cellStyle name="常规 18 12" xfId="245"/>
    <cellStyle name="常规 18 2" xfId="3433"/>
    <cellStyle name="常规 18 2 10" xfId="52853"/>
    <cellStyle name="常规 18 2 11" xfId="52854"/>
    <cellStyle name="常规 18 2 2" xfId="7728"/>
    <cellStyle name="常规 18 2 2 2" xfId="52855"/>
    <cellStyle name="常规 18 2 3" xfId="52856"/>
    <cellStyle name="常规 18 2 4" xfId="52857"/>
    <cellStyle name="常规 18 2 5" xfId="52858"/>
    <cellStyle name="常规 18 2 6" xfId="52859"/>
    <cellStyle name="常规 18 2 7" xfId="52860"/>
    <cellStyle name="常规 18 2 8" xfId="52861"/>
    <cellStyle name="常规 18 2 9" xfId="52862"/>
    <cellStyle name="常规 18 3" xfId="3434"/>
    <cellStyle name="常规 18 3 2" xfId="7729"/>
    <cellStyle name="常规 18 3 2 10" xfId="52863"/>
    <cellStyle name="常规 18 3 2 11" xfId="52864"/>
    <cellStyle name="常规 18 3 2 12" xfId="52865"/>
    <cellStyle name="常规 18 3 2 2" xfId="52866"/>
    <cellStyle name="常规 18 3 2 2 2" xfId="52867"/>
    <cellStyle name="常规 18 3 2 2 3" xfId="52868"/>
    <cellStyle name="常规 18 3 2 3" xfId="52869"/>
    <cellStyle name="常规 18 3 2 3 2" xfId="52870"/>
    <cellStyle name="常规 18 3 2 3 3" xfId="52871"/>
    <cellStyle name="常规 18 3 2 4" xfId="52872"/>
    <cellStyle name="常规 18 3 2 4 2" xfId="52873"/>
    <cellStyle name="常规 18 3 2 4 3" xfId="52874"/>
    <cellStyle name="常规 18 3 2 5" xfId="52875"/>
    <cellStyle name="常规 18 3 2 5 2" xfId="52876"/>
    <cellStyle name="常规 18 3 2 5 3" xfId="52877"/>
    <cellStyle name="常规 18 3 2 6" xfId="52878"/>
    <cellStyle name="常规 18 3 2 6 2" xfId="52879"/>
    <cellStyle name="常规 18 3 2 6 3" xfId="52880"/>
    <cellStyle name="常规 18 3 2 7" xfId="52881"/>
    <cellStyle name="常规 18 3 2 7 2" xfId="52882"/>
    <cellStyle name="常规 18 3 2 7 3" xfId="52883"/>
    <cellStyle name="常规 18 3 2 7 4" xfId="52884"/>
    <cellStyle name="常规 18 3 2 7 5" xfId="52885"/>
    <cellStyle name="常规 18 3 2 7 6" xfId="52886"/>
    <cellStyle name="常规 18 3 2 7 7" xfId="52887"/>
    <cellStyle name="常规 18 3 2 8" xfId="52888"/>
    <cellStyle name="常规 18 3 2 8 2" xfId="52889"/>
    <cellStyle name="常规 18 3 2 8 3" xfId="52890"/>
    <cellStyle name="常规 18 3 2 9" xfId="52891"/>
    <cellStyle name="常规 18 3 2 9 2" xfId="52892"/>
    <cellStyle name="常规 18 3 2 9 3" xfId="52893"/>
    <cellStyle name="常规 18 3 2 9 4" xfId="52894"/>
    <cellStyle name="常规 18 3 2 9 5" xfId="52895"/>
    <cellStyle name="常规 18 3 2 9 6" xfId="52896"/>
    <cellStyle name="常规 18 3 2 9 7" xfId="52897"/>
    <cellStyle name="常规 18 3 2 9 8" xfId="52898"/>
    <cellStyle name="常规 18 3 3" xfId="52899"/>
    <cellStyle name="常规 18 3 4" xfId="52900"/>
    <cellStyle name="常规 18 3 5" xfId="52901"/>
    <cellStyle name="常规 18 3 6" xfId="52902"/>
    <cellStyle name="常规 18 3 7" xfId="52903"/>
    <cellStyle name="常规 18 4" xfId="7727"/>
    <cellStyle name="常规 18 5" xfId="52904"/>
    <cellStyle name="常规 18 5 2" xfId="52905"/>
    <cellStyle name="常规 18 6" xfId="52906"/>
    <cellStyle name="常规 18 7" xfId="52907"/>
    <cellStyle name="常规 18 8" xfId="52908"/>
    <cellStyle name="常规 18 9" xfId="52909"/>
    <cellStyle name="常规 180" xfId="246"/>
    <cellStyle name="常规 180 2" xfId="52911"/>
    <cellStyle name="常规 180 2 2" xfId="52912"/>
    <cellStyle name="常规 180 3" xfId="52913"/>
    <cellStyle name="常规 180 4" xfId="52910"/>
    <cellStyle name="常规 181" xfId="247"/>
    <cellStyle name="常规 181 2" xfId="52915"/>
    <cellStyle name="常规 181 2 2" xfId="52916"/>
    <cellStyle name="常规 181 3" xfId="52917"/>
    <cellStyle name="常规 181 4" xfId="52914"/>
    <cellStyle name="常规 182" xfId="248"/>
    <cellStyle name="常规 182 2" xfId="52919"/>
    <cellStyle name="常规 182 2 2" xfId="52920"/>
    <cellStyle name="常规 182 3" xfId="52921"/>
    <cellStyle name="常规 182 4" xfId="52918"/>
    <cellStyle name="常规 183" xfId="249"/>
    <cellStyle name="常规 183 2" xfId="52923"/>
    <cellStyle name="常规 183 2 2" xfId="52924"/>
    <cellStyle name="常规 183 3" xfId="52925"/>
    <cellStyle name="常规 183 4" xfId="52922"/>
    <cellStyle name="常规 184" xfId="250"/>
    <cellStyle name="常规 184 2" xfId="52927"/>
    <cellStyle name="常规 184 2 2" xfId="52928"/>
    <cellStyle name="常规 184 3" xfId="52929"/>
    <cellStyle name="常规 184 4" xfId="52926"/>
    <cellStyle name="常规 185" xfId="251"/>
    <cellStyle name="常规 185 2" xfId="52931"/>
    <cellStyle name="常规 185 2 2" xfId="52932"/>
    <cellStyle name="常规 185 3" xfId="52933"/>
    <cellStyle name="常规 185 4" xfId="52930"/>
    <cellStyle name="常规 186" xfId="252"/>
    <cellStyle name="常规 186 2" xfId="52935"/>
    <cellStyle name="常规 186 2 2" xfId="52936"/>
    <cellStyle name="常规 186 3" xfId="52937"/>
    <cellStyle name="常规 186 4" xfId="52934"/>
    <cellStyle name="常规 187" xfId="253"/>
    <cellStyle name="常规 187 2" xfId="52939"/>
    <cellStyle name="常规 187 2 2" xfId="52940"/>
    <cellStyle name="常规 187 3" xfId="52941"/>
    <cellStyle name="常规 187 4" xfId="52938"/>
    <cellStyle name="常规 188" xfId="254"/>
    <cellStyle name="常规 188 2" xfId="52943"/>
    <cellStyle name="常规 188 2 2" xfId="52944"/>
    <cellStyle name="常规 188 3" xfId="52945"/>
    <cellStyle name="常规 188 4" xfId="52942"/>
    <cellStyle name="常规 189" xfId="255"/>
    <cellStyle name="常规 189 2" xfId="52947"/>
    <cellStyle name="常规 189 2 2" xfId="52948"/>
    <cellStyle name="常规 189 3" xfId="52949"/>
    <cellStyle name="常规 189 4" xfId="52946"/>
    <cellStyle name="常规 19" xfId="34"/>
    <cellStyle name="常规 19 10" xfId="52950"/>
    <cellStyle name="常规 19 10 2" xfId="52951"/>
    <cellStyle name="常规 19 11" xfId="52952"/>
    <cellStyle name="常规 19 11 2" xfId="52953"/>
    <cellStyle name="常规 19 11 2 2" xfId="52954"/>
    <cellStyle name="常规 19 11 3" xfId="52955"/>
    <cellStyle name="常规 19 12" xfId="52956"/>
    <cellStyle name="常规 19 12 2" xfId="52957"/>
    <cellStyle name="常规 19 12 2 2" xfId="52958"/>
    <cellStyle name="常规 19 12 3" xfId="52959"/>
    <cellStyle name="常规 19 13" xfId="52960"/>
    <cellStyle name="常规 19 13 2" xfId="52961"/>
    <cellStyle name="常规 19 13 2 2" xfId="52962"/>
    <cellStyle name="常规 19 13 3" xfId="52963"/>
    <cellStyle name="常规 19 14" xfId="3435"/>
    <cellStyle name="常规 19 15" xfId="256"/>
    <cellStyle name="常规 19 2" xfId="3436"/>
    <cellStyle name="常规 19 2 2" xfId="7731"/>
    <cellStyle name="常规 19 2 2 2" xfId="52964"/>
    <cellStyle name="常规 19 2 2 2 2" xfId="52965"/>
    <cellStyle name="常规 19 2 2 2 2 2" xfId="52966"/>
    <cellStyle name="常规 19 2 2 2 3" xfId="52967"/>
    <cellStyle name="常规 19 2 2 3" xfId="52968"/>
    <cellStyle name="常规 19 2 2 3 2" xfId="52969"/>
    <cellStyle name="常规 19 2 2 4" xfId="52970"/>
    <cellStyle name="常规 19 2 3" xfId="52971"/>
    <cellStyle name="常规 19 2 4" xfId="52972"/>
    <cellStyle name="常规 19 2 4 2" xfId="52973"/>
    <cellStyle name="常规 19 2 4 2 2" xfId="52974"/>
    <cellStyle name="常规 19 2 4 3" xfId="52975"/>
    <cellStyle name="常规 19 2 5" xfId="52976"/>
    <cellStyle name="常规 19 2 5 2" xfId="52977"/>
    <cellStyle name="常规 19 2 5 2 2" xfId="52978"/>
    <cellStyle name="常规 19 2 5 3" xfId="52979"/>
    <cellStyle name="常规 19 2 6" xfId="52980"/>
    <cellStyle name="常规 19 2 6 2" xfId="52981"/>
    <cellStyle name="常规 19 2 6 2 2" xfId="52982"/>
    <cellStyle name="常规 19 2 6 3" xfId="52983"/>
    <cellStyle name="常规 19 2 7" xfId="52984"/>
    <cellStyle name="常规 19 3" xfId="3437"/>
    <cellStyle name="常规 19 3 2" xfId="7732"/>
    <cellStyle name="常规 19 3 2 2" xfId="52985"/>
    <cellStyle name="常规 19 3 2 2 2" xfId="52986"/>
    <cellStyle name="常规 19 3 2 2 2 2" xfId="52987"/>
    <cellStyle name="常规 19 3 2 2 3" xfId="52988"/>
    <cellStyle name="常规 19 3 2 3" xfId="52989"/>
    <cellStyle name="常规 19 3 2 3 2" xfId="52990"/>
    <cellStyle name="常规 19 3 2 4" xfId="52991"/>
    <cellStyle name="常规 19 3 3" xfId="52992"/>
    <cellStyle name="常规 19 3 4" xfId="52993"/>
    <cellStyle name="常规 19 3 4 2" xfId="52994"/>
    <cellStyle name="常规 19 3 4 2 2" xfId="52995"/>
    <cellStyle name="常规 19 3 4 3" xfId="52996"/>
    <cellStyle name="常规 19 3 5" xfId="52997"/>
    <cellStyle name="常规 19 3 5 2" xfId="52998"/>
    <cellStyle name="常规 19 3 5 2 2" xfId="52999"/>
    <cellStyle name="常规 19 3 5 3" xfId="53000"/>
    <cellStyle name="常规 19 3 6" xfId="53001"/>
    <cellStyle name="常规 19 3 6 2" xfId="53002"/>
    <cellStyle name="常规 19 3 6 2 2" xfId="53003"/>
    <cellStyle name="常规 19 3 6 3" xfId="53004"/>
    <cellStyle name="常规 19 4" xfId="3438"/>
    <cellStyle name="常规 19 4 2" xfId="53005"/>
    <cellStyle name="常规 19 4 2 2" xfId="53006"/>
    <cellStyle name="常规 19 4 2 2 2" xfId="53007"/>
    <cellStyle name="常规 19 4 2 3" xfId="53008"/>
    <cellStyle name="常规 19 4 3" xfId="53009"/>
    <cellStyle name="常规 19 4 3 2" xfId="53010"/>
    <cellStyle name="常规 19 4 3 2 2" xfId="53011"/>
    <cellStyle name="常规 19 4 3 3" xfId="53012"/>
    <cellStyle name="常规 19 4 4" xfId="53013"/>
    <cellStyle name="常规 19 4 4 2" xfId="53014"/>
    <cellStyle name="常规 19 4 4 2 2" xfId="53015"/>
    <cellStyle name="常规 19 4 4 3" xfId="53016"/>
    <cellStyle name="常规 19 4 5" xfId="53017"/>
    <cellStyle name="常规 19 4 5 2" xfId="53018"/>
    <cellStyle name="常规 19 4 6" xfId="53019"/>
    <cellStyle name="常规 19 5" xfId="3439"/>
    <cellStyle name="常规 19 5 2" xfId="53020"/>
    <cellStyle name="常规 19 5 2 2" xfId="53021"/>
    <cellStyle name="常规 19 5 2 2 2" xfId="53022"/>
    <cellStyle name="常规 19 5 2 3" xfId="53023"/>
    <cellStyle name="常规 19 5 3" xfId="53024"/>
    <cellStyle name="常规 19 5 3 2" xfId="53025"/>
    <cellStyle name="常规 19 5 3 2 2" xfId="53026"/>
    <cellStyle name="常规 19 5 3 3" xfId="53027"/>
    <cellStyle name="常规 19 5 4" xfId="53028"/>
    <cellStyle name="常规 19 5 4 2" xfId="53029"/>
    <cellStyle name="常规 19 5 4 2 2" xfId="53030"/>
    <cellStyle name="常规 19 5 4 3" xfId="53031"/>
    <cellStyle name="常规 19 5 5" xfId="53032"/>
    <cellStyle name="常规 19 5 5 2" xfId="53033"/>
    <cellStyle name="常规 19 5 6" xfId="53034"/>
    <cellStyle name="常规 19 6" xfId="3440"/>
    <cellStyle name="常规 19 6 2" xfId="53035"/>
    <cellStyle name="常规 19 6 2 2" xfId="53036"/>
    <cellStyle name="常规 19 6 2 2 2" xfId="53037"/>
    <cellStyle name="常规 19 6 2 3" xfId="53038"/>
    <cellStyle name="常规 19 6 3" xfId="53039"/>
    <cellStyle name="常规 19 6 3 2" xfId="53040"/>
    <cellStyle name="常规 19 6 3 2 2" xfId="53041"/>
    <cellStyle name="常规 19 6 3 3" xfId="53042"/>
    <cellStyle name="常规 19 6 4" xfId="53043"/>
    <cellStyle name="常规 19 6 4 2" xfId="53044"/>
    <cellStyle name="常规 19 6 4 2 2" xfId="53045"/>
    <cellStyle name="常规 19 6 4 3" xfId="53046"/>
    <cellStyle name="常规 19 6 5" xfId="53047"/>
    <cellStyle name="常规 19 6 5 2" xfId="53048"/>
    <cellStyle name="常规 19 6 6" xfId="53049"/>
    <cellStyle name="常规 19 7" xfId="3441"/>
    <cellStyle name="常规 19 7 2" xfId="53050"/>
    <cellStyle name="常规 19 7 2 2" xfId="53051"/>
    <cellStyle name="常规 19 7 2 2 2" xfId="53052"/>
    <cellStyle name="常规 19 7 2 3" xfId="53053"/>
    <cellStyle name="常规 19 7 3" xfId="53054"/>
    <cellStyle name="常规 19 7 3 2" xfId="53055"/>
    <cellStyle name="常规 19 7 3 2 2" xfId="53056"/>
    <cellStyle name="常规 19 7 3 3" xfId="53057"/>
    <cellStyle name="常规 19 7 4" xfId="53058"/>
    <cellStyle name="常规 19 7 4 2" xfId="53059"/>
    <cellStyle name="常规 19 7 4 2 2" xfId="53060"/>
    <cellStyle name="常规 19 7 4 3" xfId="53061"/>
    <cellStyle name="常规 19 7 5" xfId="53062"/>
    <cellStyle name="常规 19 7 5 2" xfId="53063"/>
    <cellStyle name="常规 19 7 6" xfId="53064"/>
    <cellStyle name="常规 19 8" xfId="7730"/>
    <cellStyle name="常规 19 8 2" xfId="53065"/>
    <cellStyle name="常规 19 8 2 2" xfId="53066"/>
    <cellStyle name="常规 19 8 2 2 2" xfId="53067"/>
    <cellStyle name="常规 19 8 2 3" xfId="53068"/>
    <cellStyle name="常规 19 8 3" xfId="53069"/>
    <cellStyle name="常规 19 8 3 2" xfId="53070"/>
    <cellStyle name="常规 19 8 3 2 2" xfId="53071"/>
    <cellStyle name="常规 19 8 3 3" xfId="53072"/>
    <cellStyle name="常规 19 8 4" xfId="53073"/>
    <cellStyle name="常规 19 8 4 2" xfId="53074"/>
    <cellStyle name="常规 19 8 4 2 2" xfId="53075"/>
    <cellStyle name="常规 19 8 4 3" xfId="53076"/>
    <cellStyle name="常规 19 8 5" xfId="53077"/>
    <cellStyle name="常规 19 8 5 2" xfId="53078"/>
    <cellStyle name="常规 19 8 6" xfId="53079"/>
    <cellStyle name="常规 19 9" xfId="53080"/>
    <cellStyle name="常规 19 9 2" xfId="53081"/>
    <cellStyle name="常规 19 9 2 2" xfId="53082"/>
    <cellStyle name="常规 19 9 2 2 2" xfId="53083"/>
    <cellStyle name="常规 19 9 2 3" xfId="53084"/>
    <cellStyle name="常规 19 9 3" xfId="53085"/>
    <cellStyle name="常规 19 9 3 2" xfId="53086"/>
    <cellStyle name="常规 19 9 4" xfId="53087"/>
    <cellStyle name="常规 190" xfId="257"/>
    <cellStyle name="常规 190 2" xfId="53089"/>
    <cellStyle name="常规 190 2 2" xfId="53090"/>
    <cellStyle name="常规 190 3" xfId="53091"/>
    <cellStyle name="常规 190 4" xfId="53088"/>
    <cellStyle name="常规 191" xfId="258"/>
    <cellStyle name="常规 191 2" xfId="53093"/>
    <cellStyle name="常规 191 2 2" xfId="53094"/>
    <cellStyle name="常规 191 3" xfId="53095"/>
    <cellStyle name="常规 191 4" xfId="53092"/>
    <cellStyle name="常规 192" xfId="259"/>
    <cellStyle name="常规 192 2" xfId="53097"/>
    <cellStyle name="常规 192 2 2" xfId="53098"/>
    <cellStyle name="常规 192 3" xfId="53099"/>
    <cellStyle name="常规 192 4" xfId="53096"/>
    <cellStyle name="常规 193" xfId="260"/>
    <cellStyle name="常规 193 2" xfId="53101"/>
    <cellStyle name="常规 193 2 2" xfId="53102"/>
    <cellStyle name="常规 193 3" xfId="53103"/>
    <cellStyle name="常规 193 4" xfId="53100"/>
    <cellStyle name="常规 194" xfId="261"/>
    <cellStyle name="常规 194 2" xfId="53105"/>
    <cellStyle name="常规 194 2 2" xfId="53106"/>
    <cellStyle name="常规 194 3" xfId="53107"/>
    <cellStyle name="常规 194 4" xfId="53104"/>
    <cellStyle name="常规 195" xfId="262"/>
    <cellStyle name="常规 195 2" xfId="53109"/>
    <cellStyle name="常规 195 2 2" xfId="53110"/>
    <cellStyle name="常规 195 3" xfId="53111"/>
    <cellStyle name="常规 195 4" xfId="53108"/>
    <cellStyle name="常规 196" xfId="263"/>
    <cellStyle name="常规 196 2" xfId="53113"/>
    <cellStyle name="常规 196 2 2" xfId="53114"/>
    <cellStyle name="常规 196 3" xfId="53115"/>
    <cellStyle name="常规 196 4" xfId="53112"/>
    <cellStyle name="常规 197" xfId="264"/>
    <cellStyle name="常规 197 2" xfId="53117"/>
    <cellStyle name="常规 197 2 2" xfId="53118"/>
    <cellStyle name="常规 197 3" xfId="53119"/>
    <cellStyle name="常规 197 4" xfId="53116"/>
    <cellStyle name="常规 198" xfId="265"/>
    <cellStyle name="常规 198 2" xfId="53121"/>
    <cellStyle name="常规 198 2 2" xfId="53122"/>
    <cellStyle name="常规 198 3" xfId="53123"/>
    <cellStyle name="常规 198 4" xfId="53120"/>
    <cellStyle name="常规 199" xfId="266"/>
    <cellStyle name="常规 199 2" xfId="53125"/>
    <cellStyle name="常规 199 2 2" xfId="53126"/>
    <cellStyle name="常规 199 3" xfId="53127"/>
    <cellStyle name="常规 199 4" xfId="53124"/>
    <cellStyle name="常规 2" xfId="2"/>
    <cellStyle name="常规 2 10" xfId="3442"/>
    <cellStyle name="常规 2 10 2" xfId="7735"/>
    <cellStyle name="常规 2 10 2 2" xfId="53128"/>
    <cellStyle name="常规 2 10 3" xfId="7736"/>
    <cellStyle name="常规 2 10 3 2" xfId="53129"/>
    <cellStyle name="常规 2 10 4" xfId="53130"/>
    <cellStyle name="常规 2 10 5" xfId="53131"/>
    <cellStyle name="常规 2 100" xfId="53132"/>
    <cellStyle name="常规 2 101" xfId="53133"/>
    <cellStyle name="常规 2 102" xfId="720"/>
    <cellStyle name="常规 2 103" xfId="60835"/>
    <cellStyle name="常规 2 104" xfId="267"/>
    <cellStyle name="常规 2 105" xfId="61127"/>
    <cellStyle name="常规 2 11" xfId="3443"/>
    <cellStyle name="常规 2 11 10" xfId="53134"/>
    <cellStyle name="常规 2 11 11" xfId="53135"/>
    <cellStyle name="常规 2 11 12" xfId="53136"/>
    <cellStyle name="常规 2 11 2" xfId="7738"/>
    <cellStyle name="常规 2 11 2 2" xfId="53137"/>
    <cellStyle name="常规 2 11 2 3" xfId="53138"/>
    <cellStyle name="常规 2 11 2 4" xfId="53139"/>
    <cellStyle name="常规 2 11 2 5" xfId="53140"/>
    <cellStyle name="常规 2 11 3" xfId="7739"/>
    <cellStyle name="常规 2 11 3 2" xfId="53141"/>
    <cellStyle name="常规 2 11 4" xfId="7737"/>
    <cellStyle name="常规 2 11 5" xfId="53142"/>
    <cellStyle name="常规 2 11 6" xfId="53143"/>
    <cellStyle name="常规 2 11 7" xfId="53144"/>
    <cellStyle name="常规 2 11 8" xfId="53145"/>
    <cellStyle name="常规 2 11 9" xfId="53146"/>
    <cellStyle name="常规 2 12" xfId="7740"/>
    <cellStyle name="常规 2 12 10" xfId="53147"/>
    <cellStyle name="常规 2 12 11" xfId="53148"/>
    <cellStyle name="常规 2 12 12" xfId="53149"/>
    <cellStyle name="常规 2 12 2" xfId="7741"/>
    <cellStyle name="常规 2 12 2 2" xfId="53150"/>
    <cellStyle name="常规 2 12 3" xfId="7742"/>
    <cellStyle name="常规 2 12 3 2" xfId="53151"/>
    <cellStyle name="常规 2 12 4" xfId="53152"/>
    <cellStyle name="常规 2 12 5" xfId="53153"/>
    <cellStyle name="常规 2 12 6" xfId="53154"/>
    <cellStyle name="常规 2 12 7" xfId="53155"/>
    <cellStyle name="常规 2 12 8" xfId="53156"/>
    <cellStyle name="常规 2 12 9" xfId="53157"/>
    <cellStyle name="常规 2 13" xfId="7743"/>
    <cellStyle name="常规 2 13 2" xfId="7744"/>
    <cellStyle name="常规 2 13 2 2" xfId="53158"/>
    <cellStyle name="常规 2 13 3" xfId="7745"/>
    <cellStyle name="常规 2 13 3 2" xfId="53159"/>
    <cellStyle name="常规 2 13 4" xfId="53160"/>
    <cellStyle name="常规 2 13 5" xfId="53161"/>
    <cellStyle name="常规 2 13 6" xfId="53162"/>
    <cellStyle name="常规 2 14" xfId="7746"/>
    <cellStyle name="常规 2 14 2" xfId="7747"/>
    <cellStyle name="常规 2 14 2 2" xfId="53163"/>
    <cellStyle name="常规 2 14 3" xfId="7748"/>
    <cellStyle name="常规 2 14 3 2" xfId="53164"/>
    <cellStyle name="常规 2 14 4" xfId="53165"/>
    <cellStyle name="常规 2 14 5" xfId="53166"/>
    <cellStyle name="常规 2 14 6" xfId="53167"/>
    <cellStyle name="常规 2 15" xfId="7749"/>
    <cellStyle name="常规 2 15 2" xfId="7750"/>
    <cellStyle name="常规 2 15 2 2" xfId="53168"/>
    <cellStyle name="常规 2 15 3" xfId="7751"/>
    <cellStyle name="常规 2 15 3 2" xfId="53169"/>
    <cellStyle name="常规 2 15 4" xfId="53170"/>
    <cellStyle name="常规 2 15 5" xfId="53171"/>
    <cellStyle name="常规 2 16" xfId="7752"/>
    <cellStyle name="常规 2 16 2" xfId="7753"/>
    <cellStyle name="常规 2 16 2 2" xfId="53172"/>
    <cellStyle name="常规 2 16 3" xfId="7754"/>
    <cellStyle name="常规 2 16 3 2" xfId="53173"/>
    <cellStyle name="常规 2 16 4" xfId="53174"/>
    <cellStyle name="常规 2 16 5" xfId="53175"/>
    <cellStyle name="常规 2 17" xfId="7755"/>
    <cellStyle name="常规 2 17 2" xfId="7756"/>
    <cellStyle name="常规 2 17 2 2" xfId="53176"/>
    <cellStyle name="常规 2 17 3" xfId="7757"/>
    <cellStyle name="常规 2 17 3 2" xfId="53177"/>
    <cellStyle name="常规 2 17 4" xfId="53178"/>
    <cellStyle name="常规 2 18" xfId="7758"/>
    <cellStyle name="常规 2 18 2" xfId="7759"/>
    <cellStyle name="常规 2 18 2 2" xfId="53179"/>
    <cellStyle name="常规 2 18 3" xfId="7760"/>
    <cellStyle name="常规 2 18 3 2" xfId="53180"/>
    <cellStyle name="常规 2 18 4" xfId="53181"/>
    <cellStyle name="常规 2 19" xfId="7761"/>
    <cellStyle name="常规 2 19 2" xfId="7762"/>
    <cellStyle name="常规 2 19 2 2" xfId="53182"/>
    <cellStyle name="常规 2 19 3" xfId="7763"/>
    <cellStyle name="常规 2 19 3 2" xfId="53183"/>
    <cellStyle name="常规 2 19 4" xfId="53184"/>
    <cellStyle name="常规 2 2" xfId="35"/>
    <cellStyle name="常规 2 2 10" xfId="7765"/>
    <cellStyle name="常规 2 2 10 2" xfId="7766"/>
    <cellStyle name="常规 2 2 10 2 2" xfId="53185"/>
    <cellStyle name="常规 2 2 10_培训名单通知" xfId="7767"/>
    <cellStyle name="常规 2 2 11" xfId="7768"/>
    <cellStyle name="常规 2 2 11 2" xfId="7769"/>
    <cellStyle name="常规 2 2 11 2 2" xfId="53186"/>
    <cellStyle name="常规 2 2 11 3" xfId="53187"/>
    <cellStyle name="常规 2 2 12" xfId="7770"/>
    <cellStyle name="常规 2 2 12 2" xfId="53188"/>
    <cellStyle name="常规 2 2 13" xfId="7771"/>
    <cellStyle name="常规 2 2 13 2" xfId="53189"/>
    <cellStyle name="常规 2 2 14" xfId="7772"/>
    <cellStyle name="常规 2 2 14 2" xfId="53190"/>
    <cellStyle name="常规 2 2 15" xfId="7773"/>
    <cellStyle name="常规 2 2 15 2" xfId="53191"/>
    <cellStyle name="常规 2 2 16" xfId="7774"/>
    <cellStyle name="常规 2 2 16 2" xfId="53192"/>
    <cellStyle name="常规 2 2 17" xfId="7775"/>
    <cellStyle name="常规 2 2 17 2" xfId="53193"/>
    <cellStyle name="常规 2 2 18" xfId="7776"/>
    <cellStyle name="常规 2 2 18 2" xfId="53194"/>
    <cellStyle name="常规 2 2 19" xfId="7777"/>
    <cellStyle name="常规 2 2 19 2" xfId="53195"/>
    <cellStyle name="常规 2 2 2" xfId="268"/>
    <cellStyle name="常规 2 2 2 10" xfId="53196"/>
    <cellStyle name="常规 2 2 2 11" xfId="53197"/>
    <cellStyle name="常规 2 2 2 12" xfId="53198"/>
    <cellStyle name="常规 2 2 2 13" xfId="53199"/>
    <cellStyle name="常规 2 2 2 14" xfId="53200"/>
    <cellStyle name="常规 2 2 2 15" xfId="53201"/>
    <cellStyle name="常规 2 2 2 16" xfId="53202"/>
    <cellStyle name="常规 2 2 2 17" xfId="53203"/>
    <cellStyle name="常规 2 2 2 18" xfId="53204"/>
    <cellStyle name="常规 2 2 2 19" xfId="3445"/>
    <cellStyle name="常规 2 2 2 2" xfId="3446"/>
    <cellStyle name="常规 2 2 2 2 10" xfId="53205"/>
    <cellStyle name="常规 2 2 2 2 11" xfId="53206"/>
    <cellStyle name="常规 2 2 2 2 12" xfId="53207"/>
    <cellStyle name="常规 2 2 2 2 13" xfId="53208"/>
    <cellStyle name="常规 2 2 2 2 14" xfId="53209"/>
    <cellStyle name="常规 2 2 2 2 2" xfId="3447"/>
    <cellStyle name="常规 2 2 2 2 2 2" xfId="24801"/>
    <cellStyle name="常规 2 2 2 2 2 2 2" xfId="61130"/>
    <cellStyle name="常规 2 2 2 2 2 2 2 2" xfId="61131"/>
    <cellStyle name="常规 2 2 2 2 2 2 2 2 2" xfId="61132"/>
    <cellStyle name="常规 2 2 2 2 2 2 2 2 2 2" xfId="61133"/>
    <cellStyle name="常规 2 2 2 2 2 2 2 2 3" xfId="61134"/>
    <cellStyle name="常规 2 2 2 2 2 2 2 2 4" xfId="61135"/>
    <cellStyle name="常规 2 2 2 2 2 2 2 3" xfId="61136"/>
    <cellStyle name="常规 2 2 2 2 2 2 2 3 2" xfId="61137"/>
    <cellStyle name="常规 2 2 2 2 2 3" xfId="53210"/>
    <cellStyle name="常规 2 2 2 2 3" xfId="7779"/>
    <cellStyle name="常规 2 2 2 2 3 2" xfId="24802"/>
    <cellStyle name="常规 2 2 2 2 4" xfId="53211"/>
    <cellStyle name="常规 2 2 2 2 5" xfId="53212"/>
    <cellStyle name="常规 2 2 2 2 6" xfId="53213"/>
    <cellStyle name="常规 2 2 2 2 7" xfId="53214"/>
    <cellStyle name="常规 2 2 2 2 8" xfId="53215"/>
    <cellStyle name="常规 2 2 2 2 9" xfId="53216"/>
    <cellStyle name="常规 2 2 2 20" xfId="60977"/>
    <cellStyle name="常规 2 2 2 21" xfId="61129"/>
    <cellStyle name="常规 2 2 2 3" xfId="7780"/>
    <cellStyle name="常规 2 2 2 3 10" xfId="53217"/>
    <cellStyle name="常规 2 2 2 3 11" xfId="53218"/>
    <cellStyle name="常规 2 2 2 3 2" xfId="53219"/>
    <cellStyle name="常规 2 2 2 3 3" xfId="53220"/>
    <cellStyle name="常规 2 2 2 3 4" xfId="53221"/>
    <cellStyle name="常规 2 2 2 3 5" xfId="53222"/>
    <cellStyle name="常规 2 2 2 3 6" xfId="53223"/>
    <cellStyle name="常规 2 2 2 3 7" xfId="53224"/>
    <cellStyle name="常规 2 2 2 3 8" xfId="53225"/>
    <cellStyle name="常规 2 2 2 3 9" xfId="53226"/>
    <cellStyle name="常规 2 2 2 4" xfId="7778"/>
    <cellStyle name="常规 2 2 2 4 10" xfId="53227"/>
    <cellStyle name="常规 2 2 2 4 11" xfId="53228"/>
    <cellStyle name="常规 2 2 2 4 2" xfId="53229"/>
    <cellStyle name="常规 2 2 2 4 3" xfId="53230"/>
    <cellStyle name="常规 2 2 2 4 4" xfId="53231"/>
    <cellStyle name="常规 2 2 2 4 5" xfId="53232"/>
    <cellStyle name="常规 2 2 2 4 6" xfId="53233"/>
    <cellStyle name="常规 2 2 2 4 7" xfId="53234"/>
    <cellStyle name="常规 2 2 2 4 8" xfId="53235"/>
    <cellStyle name="常规 2 2 2 4 9" xfId="53236"/>
    <cellStyle name="常规 2 2 2 5" xfId="53237"/>
    <cellStyle name="常规 2 2 2 5 2" xfId="53238"/>
    <cellStyle name="常规 2 2 2 5 3" xfId="53239"/>
    <cellStyle name="常规 2 2 2 5 4" xfId="53240"/>
    <cellStyle name="常规 2 2 2 5 5" xfId="53241"/>
    <cellStyle name="常规 2 2 2 5 6" xfId="53242"/>
    <cellStyle name="常规 2 2 2 6" xfId="53243"/>
    <cellStyle name="常规 2 2 2 7" xfId="53244"/>
    <cellStyle name="常规 2 2 2 8" xfId="53245"/>
    <cellStyle name="常规 2 2 2 9" xfId="53246"/>
    <cellStyle name="常规 2 2 2_20120924人事部予算管理" xfId="7781"/>
    <cellStyle name="常规 2 2 20" xfId="7782"/>
    <cellStyle name="常规 2 2 20 2" xfId="53247"/>
    <cellStyle name="常规 2 2 21" xfId="7783"/>
    <cellStyle name="常规 2 2 21 2" xfId="53248"/>
    <cellStyle name="常规 2 2 22" xfId="7784"/>
    <cellStyle name="常规 2 2 22 2" xfId="53249"/>
    <cellStyle name="常规 2 2 23" xfId="7785"/>
    <cellStyle name="常规 2 2 23 2" xfId="53250"/>
    <cellStyle name="常规 2 2 24" xfId="7786"/>
    <cellStyle name="常规 2 2 24 2" xfId="53251"/>
    <cellStyle name="常规 2 2 25" xfId="7787"/>
    <cellStyle name="常规 2 2 25 2" xfId="53252"/>
    <cellStyle name="常规 2 2 26" xfId="7788"/>
    <cellStyle name="常规 2 2 26 2" xfId="53253"/>
    <cellStyle name="常规 2 2 27" xfId="7789"/>
    <cellStyle name="常规 2 2 27 2" xfId="53254"/>
    <cellStyle name="常规 2 2 28" xfId="7790"/>
    <cellStyle name="常规 2 2 28 2" xfId="53255"/>
    <cellStyle name="常规 2 2 29" xfId="7791"/>
    <cellStyle name="常规 2 2 29 2" xfId="53256"/>
    <cellStyle name="常规 2 2 3" xfId="3448"/>
    <cellStyle name="常规 2 2 3 10" xfId="53257"/>
    <cellStyle name="常规 2 2 3 11" xfId="53258"/>
    <cellStyle name="常规 2 2 3 12" xfId="53259"/>
    <cellStyle name="常规 2 2 3 13" xfId="53260"/>
    <cellStyle name="常规 2 2 3 14" xfId="53261"/>
    <cellStyle name="常规 2 2 3 15" xfId="53262"/>
    <cellStyle name="常规 2 2 3 16" xfId="60978"/>
    <cellStyle name="常规 2 2 3 2" xfId="3449"/>
    <cellStyle name="常规 2 2 3 2 10" xfId="53263"/>
    <cellStyle name="常规 2 2 3 2 11" xfId="53264"/>
    <cellStyle name="常规 2 2 3 2 12" xfId="53265"/>
    <cellStyle name="常规 2 2 3 2 13" xfId="53266"/>
    <cellStyle name="常规 2 2 3 2 14" xfId="53267"/>
    <cellStyle name="常规 2 2 3 2 15" xfId="53268"/>
    <cellStyle name="常规 2 2 3 2 2" xfId="7793"/>
    <cellStyle name="常规 2 2 3 2 2 10" xfId="53269"/>
    <cellStyle name="常规 2 2 3 2 2 11" xfId="53270"/>
    <cellStyle name="常规 2 2 3 2 2 2" xfId="53271"/>
    <cellStyle name="常规 2 2 3 2 2 3" xfId="53272"/>
    <cellStyle name="常规 2 2 3 2 2 4" xfId="53273"/>
    <cellStyle name="常规 2 2 3 2 2 5" xfId="53274"/>
    <cellStyle name="常规 2 2 3 2 2 6" xfId="53275"/>
    <cellStyle name="常规 2 2 3 2 2 7" xfId="53276"/>
    <cellStyle name="常规 2 2 3 2 2 8" xfId="53277"/>
    <cellStyle name="常规 2 2 3 2 2 9" xfId="53278"/>
    <cellStyle name="常规 2 2 3 2 3" xfId="53279"/>
    <cellStyle name="常规 2 2 3 2 4" xfId="53280"/>
    <cellStyle name="常规 2 2 3 2 5" xfId="53281"/>
    <cellStyle name="常规 2 2 3 2 6" xfId="53282"/>
    <cellStyle name="常规 2 2 3 2 7" xfId="53283"/>
    <cellStyle name="常规 2 2 3 2 8" xfId="53284"/>
    <cellStyle name="常规 2 2 3 2 9" xfId="53285"/>
    <cellStyle name="常规 2 2 3 3" xfId="7792"/>
    <cellStyle name="常规 2 2 3 4" xfId="53286"/>
    <cellStyle name="常规 2 2 3 5" xfId="53287"/>
    <cellStyle name="常规 2 2 3 6" xfId="53288"/>
    <cellStyle name="常规 2 2 3 7" xfId="53289"/>
    <cellStyle name="常规 2 2 3 8" xfId="53290"/>
    <cellStyle name="常规 2 2 3 9" xfId="53291"/>
    <cellStyle name="常规 2 2 3_培训名单通知" xfId="7794"/>
    <cellStyle name="常规 2 2 30" xfId="7795"/>
    <cellStyle name="常规 2 2 30 2" xfId="53292"/>
    <cellStyle name="常规 2 2 31" xfId="7796"/>
    <cellStyle name="常规 2 2 31 2" xfId="53293"/>
    <cellStyle name="常规 2 2 32" xfId="7797"/>
    <cellStyle name="常规 2 2 32 2" xfId="53294"/>
    <cellStyle name="常规 2 2 33" xfId="7764"/>
    <cellStyle name="常规 2 2 33 2" xfId="24803"/>
    <cellStyle name="常规 2 2 34" xfId="17382"/>
    <cellStyle name="常规 2 2 34 2" xfId="24804"/>
    <cellStyle name="常规 2 2 35" xfId="21755"/>
    <cellStyle name="常规 2 2 36" xfId="7245"/>
    <cellStyle name="常规 2 2 37" xfId="21762"/>
    <cellStyle name="常规 2 2 38" xfId="21757"/>
    <cellStyle name="常规 2 2 39" xfId="24800"/>
    <cellStyle name="常规 2 2 4" xfId="3450"/>
    <cellStyle name="常规 2 2 4 10" xfId="53295"/>
    <cellStyle name="常规 2 2 4 11" xfId="53296"/>
    <cellStyle name="常规 2 2 4 12" xfId="53297"/>
    <cellStyle name="常规 2 2 4 13" xfId="53298"/>
    <cellStyle name="常规 2 2 4 14" xfId="53299"/>
    <cellStyle name="常规 2 2 4 15" xfId="53300"/>
    <cellStyle name="常规 2 2 4 16" xfId="53301"/>
    <cellStyle name="常规 2 2 4 17" xfId="53302"/>
    <cellStyle name="常规 2 2 4 18" xfId="53303"/>
    <cellStyle name="常规 2 2 4 19" xfId="60979"/>
    <cellStyle name="常规 2 2 4 2" xfId="3451"/>
    <cellStyle name="常规 2 2 4 2 10" xfId="53304"/>
    <cellStyle name="常规 2 2 4 2 11" xfId="53305"/>
    <cellStyle name="常规 2 2 4 2 12" xfId="53306"/>
    <cellStyle name="常规 2 2 4 2 2" xfId="53307"/>
    <cellStyle name="常规 2 2 4 2 2 10" xfId="53308"/>
    <cellStyle name="常规 2 2 4 2 2 11" xfId="53309"/>
    <cellStyle name="常规 2 2 4 2 2 12" xfId="53310"/>
    <cellStyle name="常规 2 2 4 2 2 13" xfId="53311"/>
    <cellStyle name="常规 2 2 4 2 2 14" xfId="53312"/>
    <cellStyle name="常规 2 2 4 2 2 2" xfId="53313"/>
    <cellStyle name="常规 2 2 4 2 2 2 10" xfId="53314"/>
    <cellStyle name="常规 2 2 4 2 2 2 11" xfId="53315"/>
    <cellStyle name="常规 2 2 4 2 2 2 2" xfId="53316"/>
    <cellStyle name="常规 2 2 4 2 2 2 3" xfId="53317"/>
    <cellStyle name="常规 2 2 4 2 2 2 4" xfId="53318"/>
    <cellStyle name="常规 2 2 4 2 2 2 5" xfId="53319"/>
    <cellStyle name="常规 2 2 4 2 2 2 6" xfId="53320"/>
    <cellStyle name="常规 2 2 4 2 2 2 7" xfId="53321"/>
    <cellStyle name="常规 2 2 4 2 2 2 8" xfId="53322"/>
    <cellStyle name="常规 2 2 4 2 2 2 9" xfId="53323"/>
    <cellStyle name="常规 2 2 4 2 2 3" xfId="53324"/>
    <cellStyle name="常规 2 2 4 2 2 3 10" xfId="53325"/>
    <cellStyle name="常规 2 2 4 2 2 3 11" xfId="53326"/>
    <cellStyle name="常规 2 2 4 2 2 3 2" xfId="53327"/>
    <cellStyle name="常规 2 2 4 2 2 3 2 2" xfId="53328"/>
    <cellStyle name="常规 2 2 4 2 2 3 3" xfId="53329"/>
    <cellStyle name="常规 2 2 4 2 2 3 4" xfId="53330"/>
    <cellStyle name="常规 2 2 4 2 2 3 5" xfId="53331"/>
    <cellStyle name="常规 2 2 4 2 2 3 6" xfId="53332"/>
    <cellStyle name="常规 2 2 4 2 2 3 7" xfId="53333"/>
    <cellStyle name="常规 2 2 4 2 2 3 8" xfId="53334"/>
    <cellStyle name="常规 2 2 4 2 2 3 9" xfId="53335"/>
    <cellStyle name="常规 2 2 4 2 2 4" xfId="53336"/>
    <cellStyle name="常规 2 2 4 2 2 4 2" xfId="53337"/>
    <cellStyle name="常规 2 2 4 2 2 4 3" xfId="53338"/>
    <cellStyle name="常规 2 2 4 2 2 4 4" xfId="53339"/>
    <cellStyle name="常规 2 2 4 2 2 4 5" xfId="53340"/>
    <cellStyle name="常规 2 2 4 2 2 5" xfId="53341"/>
    <cellStyle name="常规 2 2 4 2 2 6" xfId="53342"/>
    <cellStyle name="常规 2 2 4 2 2 7" xfId="53343"/>
    <cellStyle name="常规 2 2 4 2 2 8" xfId="53344"/>
    <cellStyle name="常规 2 2 4 2 2 9" xfId="53345"/>
    <cellStyle name="常规 2 2 4 2 3" xfId="53346"/>
    <cellStyle name="常规 2 2 4 2 3 2" xfId="53347"/>
    <cellStyle name="常规 2 2 4 2 3 3" xfId="53348"/>
    <cellStyle name="常规 2 2 4 2 3 4" xfId="53349"/>
    <cellStyle name="常规 2 2 4 2 3 5" xfId="53350"/>
    <cellStyle name="常规 2 2 4 2 3 6" xfId="53351"/>
    <cellStyle name="常规 2 2 4 2 3 7" xfId="53352"/>
    <cellStyle name="常规 2 2 4 2 4" xfId="53353"/>
    <cellStyle name="常规 2 2 4 2 5" xfId="53354"/>
    <cellStyle name="常规 2 2 4 2 6" xfId="53355"/>
    <cellStyle name="常规 2 2 4 2 7" xfId="53356"/>
    <cellStyle name="常规 2 2 4 2 8" xfId="53357"/>
    <cellStyle name="常规 2 2 4 2 9" xfId="53358"/>
    <cellStyle name="常规 2 2 4 20" xfId="53359"/>
    <cellStyle name="常规 2 2 4 3" xfId="3452"/>
    <cellStyle name="常规 2 2 4 3 10" xfId="53360"/>
    <cellStyle name="常规 2 2 4 3 11" xfId="53361"/>
    <cellStyle name="常规 2 2 4 3 12" xfId="53362"/>
    <cellStyle name="常规 2 2 4 3 2" xfId="53363"/>
    <cellStyle name="常规 2 2 4 3 2 10" xfId="53364"/>
    <cellStyle name="常规 2 2 4 3 2 11" xfId="53365"/>
    <cellStyle name="常规 2 2 4 3 2 2" xfId="53366"/>
    <cellStyle name="常规 2 2 4 3 2 3" xfId="53367"/>
    <cellStyle name="常规 2 2 4 3 2 4" xfId="53368"/>
    <cellStyle name="常规 2 2 4 3 2 5" xfId="53369"/>
    <cellStyle name="常规 2 2 4 3 2 6" xfId="53370"/>
    <cellStyle name="常规 2 2 4 3 2 7" xfId="53371"/>
    <cellStyle name="常规 2 2 4 3 2 8" xfId="53372"/>
    <cellStyle name="常规 2 2 4 3 2 9" xfId="53373"/>
    <cellStyle name="常规 2 2 4 3 3" xfId="53374"/>
    <cellStyle name="常规 2 2 4 3 4" xfId="53375"/>
    <cellStyle name="常规 2 2 4 3 5" xfId="53376"/>
    <cellStyle name="常规 2 2 4 3 6" xfId="53377"/>
    <cellStyle name="常规 2 2 4 3 7" xfId="53378"/>
    <cellStyle name="常规 2 2 4 3 8" xfId="53379"/>
    <cellStyle name="常规 2 2 4 3 9" xfId="53380"/>
    <cellStyle name="常规 2 2 4 4" xfId="7798"/>
    <cellStyle name="常规 2 2 4 4 10" xfId="53381"/>
    <cellStyle name="常规 2 2 4 4 11" xfId="53382"/>
    <cellStyle name="常规 2 2 4 4 12" xfId="53383"/>
    <cellStyle name="常规 2 2 4 4 2" xfId="53384"/>
    <cellStyle name="常规 2 2 4 4 2 10" xfId="53385"/>
    <cellStyle name="常规 2 2 4 4 2 11" xfId="53386"/>
    <cellStyle name="常规 2 2 4 4 2 2" xfId="53387"/>
    <cellStyle name="常规 2 2 4 4 2 3" xfId="53388"/>
    <cellStyle name="常规 2 2 4 4 2 4" xfId="53389"/>
    <cellStyle name="常规 2 2 4 4 2 5" xfId="53390"/>
    <cellStyle name="常规 2 2 4 4 2 6" xfId="53391"/>
    <cellStyle name="常规 2 2 4 4 2 7" xfId="53392"/>
    <cellStyle name="常规 2 2 4 4 2 8" xfId="53393"/>
    <cellStyle name="常规 2 2 4 4 2 9" xfId="53394"/>
    <cellStyle name="常规 2 2 4 4 3" xfId="53395"/>
    <cellStyle name="常规 2 2 4 4 4" xfId="53396"/>
    <cellStyle name="常规 2 2 4 4 5" xfId="53397"/>
    <cellStyle name="常规 2 2 4 4 6" xfId="53398"/>
    <cellStyle name="常规 2 2 4 4 7" xfId="53399"/>
    <cellStyle name="常规 2 2 4 4 8" xfId="53400"/>
    <cellStyle name="常规 2 2 4 4 9" xfId="53401"/>
    <cellStyle name="常规 2 2 4 5" xfId="53402"/>
    <cellStyle name="常规 2 2 4 5 2" xfId="53403"/>
    <cellStyle name="常规 2 2 4 5 3" xfId="53404"/>
    <cellStyle name="常规 2 2 4 5 4" xfId="53405"/>
    <cellStyle name="常规 2 2 4 5 5" xfId="53406"/>
    <cellStyle name="常规 2 2 4 5 6" xfId="53407"/>
    <cellStyle name="常规 2 2 4 6" xfId="53408"/>
    <cellStyle name="常规 2 2 4 6 2" xfId="53409"/>
    <cellStyle name="常规 2 2 4 6 3" xfId="53410"/>
    <cellStyle name="常规 2 2 4 6 4" xfId="53411"/>
    <cellStyle name="常规 2 2 4 6 5" xfId="53412"/>
    <cellStyle name="常规 2 2 4 6 6" xfId="53413"/>
    <cellStyle name="常规 2 2 4 7" xfId="53414"/>
    <cellStyle name="常规 2 2 4 7 2" xfId="53415"/>
    <cellStyle name="常规 2 2 4 7 3" xfId="53416"/>
    <cellStyle name="常规 2 2 4 7 4" xfId="53417"/>
    <cellStyle name="常规 2 2 4 7 5" xfId="53418"/>
    <cellStyle name="常规 2 2 4 7 6" xfId="53419"/>
    <cellStyle name="常规 2 2 4 8" xfId="53420"/>
    <cellStyle name="常规 2 2 4 8 2" xfId="53421"/>
    <cellStyle name="常规 2 2 4 8 3" xfId="53422"/>
    <cellStyle name="常规 2 2 4 8 4" xfId="53423"/>
    <cellStyle name="常规 2 2 4 8 5" xfId="53424"/>
    <cellStyle name="常规 2 2 4 9" xfId="53425"/>
    <cellStyle name="常规 2 2 4_培训名单通知" xfId="7800"/>
    <cellStyle name="常规 2 2 40" xfId="23428"/>
    <cellStyle name="常规 2 2 41" xfId="3444"/>
    <cellStyle name="常规 2 2 42" xfId="60976"/>
    <cellStyle name="常规 2 2 43" xfId="61120"/>
    <cellStyle name="常规 2 2 44" xfId="61113"/>
    <cellStyle name="常规 2 2 45" xfId="61128"/>
    <cellStyle name="常规 2 2 5" xfId="3453"/>
    <cellStyle name="常规 2 2 5 2" xfId="7802"/>
    <cellStyle name="常规 2 2 5 2 2" xfId="53426"/>
    <cellStyle name="常规 2 2 5 3" xfId="7801"/>
    <cellStyle name="常规 2 2 5 4" xfId="53427"/>
    <cellStyle name="常规 2 2 5_培训名单通知" xfId="7803"/>
    <cellStyle name="常规 2 2 6" xfId="7804"/>
    <cellStyle name="常规 2 2 6 2" xfId="7805"/>
    <cellStyle name="常规 2 2 6 2 2" xfId="53428"/>
    <cellStyle name="常规 2 2 6 3" xfId="53429"/>
    <cellStyle name="常规 2 2 6 4" xfId="53430"/>
    <cellStyle name="常规 2 2 6_培训名单通知" xfId="7806"/>
    <cellStyle name="常规 2 2 7" xfId="7807"/>
    <cellStyle name="常规 2 2 7 2" xfId="7808"/>
    <cellStyle name="常规 2 2 7 2 2" xfId="53431"/>
    <cellStyle name="常规 2 2 7_培训名单通知" xfId="7809"/>
    <cellStyle name="常规 2 2 8" xfId="7810"/>
    <cellStyle name="常规 2 2 8 2" xfId="7811"/>
    <cellStyle name="常规 2 2 8 2 2" xfId="53432"/>
    <cellStyle name="常规 2 2 8_培训名单通知" xfId="7812"/>
    <cellStyle name="常规 2 2 9" xfId="7813"/>
    <cellStyle name="常规 2 2 9 2" xfId="7814"/>
    <cellStyle name="常规 2 2 9 2 2" xfId="53433"/>
    <cellStyle name="常规 2 2 9_培训名单通知" xfId="7815"/>
    <cellStyle name="常规 2 2_20120924人事部予算管理" xfId="7816"/>
    <cellStyle name="常规 2 20" xfId="7817"/>
    <cellStyle name="常规 2 20 2" xfId="7818"/>
    <cellStyle name="常规 2 20 2 2" xfId="53434"/>
    <cellStyle name="常规 2 20 3" xfId="7819"/>
    <cellStyle name="常规 2 20 3 2" xfId="53435"/>
    <cellStyle name="常规 2 20 4" xfId="53436"/>
    <cellStyle name="常规 2 21" xfId="7820"/>
    <cellStyle name="常规 2 21 2" xfId="7821"/>
    <cellStyle name="常规 2 21 2 2" xfId="53437"/>
    <cellStyle name="常规 2 21 3" xfId="7822"/>
    <cellStyle name="常规 2 21 3 2" xfId="53438"/>
    <cellStyle name="常规 2 21 4" xfId="53439"/>
    <cellStyle name="常规 2 22" xfId="7823"/>
    <cellStyle name="常规 2 22 2" xfId="7824"/>
    <cellStyle name="常规 2 22 2 2" xfId="53440"/>
    <cellStyle name="常规 2 22 3" xfId="7825"/>
    <cellStyle name="常规 2 22 3 2" xfId="53441"/>
    <cellStyle name="常规 2 22 4" xfId="53442"/>
    <cellStyle name="常规 2 23" xfId="7826"/>
    <cellStyle name="常规 2 23 2" xfId="7827"/>
    <cellStyle name="常规 2 23 2 2" xfId="53443"/>
    <cellStyle name="常规 2 23 3" xfId="7828"/>
    <cellStyle name="常规 2 23 3 2" xfId="53444"/>
    <cellStyle name="常规 2 23 4" xfId="53445"/>
    <cellStyle name="常规 2 24" xfId="7829"/>
    <cellStyle name="常规 2 24 2" xfId="53446"/>
    <cellStyle name="常规 2 25" xfId="7830"/>
    <cellStyle name="常规 2 25 2" xfId="53447"/>
    <cellStyle name="常规 2 26" xfId="7831"/>
    <cellStyle name="常规 2 26 2" xfId="53448"/>
    <cellStyle name="常规 2 27" xfId="7832"/>
    <cellStyle name="常规 2 27 2" xfId="53449"/>
    <cellStyle name="常规 2 28" xfId="7833"/>
    <cellStyle name="常规 2 28 2" xfId="53450"/>
    <cellStyle name="常规 2 29" xfId="7834"/>
    <cellStyle name="常规 2 29 2" xfId="53451"/>
    <cellStyle name="常规 2 3" xfId="269"/>
    <cellStyle name="常规 2 3 10" xfId="7836"/>
    <cellStyle name="常规 2 3 10 2" xfId="53452"/>
    <cellStyle name="常规 2 3 11" xfId="7837"/>
    <cellStyle name="常规 2 3 11 2" xfId="53453"/>
    <cellStyle name="常规 2 3 12" xfId="7838"/>
    <cellStyle name="常规 2 3 12 2" xfId="53454"/>
    <cellStyle name="常规 2 3 13" xfId="7835"/>
    <cellStyle name="常规 2 3 14" xfId="53455"/>
    <cellStyle name="常规 2 3 15" xfId="3454"/>
    <cellStyle name="常规 2 3 16" xfId="60980"/>
    <cellStyle name="常规 2 3 2" xfId="270"/>
    <cellStyle name="常规 2 3 2 2" xfId="7839"/>
    <cellStyle name="常规 2 3 2 3" xfId="53456"/>
    <cellStyle name="常规 2 3 2 4" xfId="53457"/>
    <cellStyle name="常规 2 3 2 5" xfId="3455"/>
    <cellStyle name="常规 2 3 3" xfId="3456"/>
    <cellStyle name="常规 2 3 3 2" xfId="7840"/>
    <cellStyle name="常规 2 3 3 3" xfId="53458"/>
    <cellStyle name="常规 2 3 3 4" xfId="53459"/>
    <cellStyle name="常规 2 3 4" xfId="3457"/>
    <cellStyle name="常规 2 3 4 2" xfId="3458"/>
    <cellStyle name="常规 2 3 4 3" xfId="3459"/>
    <cellStyle name="常规 2 3 4 4" xfId="7841"/>
    <cellStyle name="常规 2 3 4 5" xfId="53460"/>
    <cellStyle name="常规 2 3 5" xfId="3460"/>
    <cellStyle name="常规 2 3 5 2" xfId="7842"/>
    <cellStyle name="常规 2 3 5 3" xfId="53461"/>
    <cellStyle name="常规 2 3 6" xfId="7843"/>
    <cellStyle name="常规 2 3 6 2" xfId="53462"/>
    <cellStyle name="常规 2 3 6 3" xfId="53463"/>
    <cellStyle name="常规 2 3 7" xfId="7844"/>
    <cellStyle name="常规 2 3 7 2" xfId="53464"/>
    <cellStyle name="常规 2 3 8" xfId="7845"/>
    <cellStyle name="常规 2 3 8 2" xfId="53465"/>
    <cellStyle name="常规 2 3 9" xfId="7846"/>
    <cellStyle name="常规 2 3 9 2" xfId="53466"/>
    <cellStyle name="常规 2 3_副本40期事業計画  (2)" xfId="7847"/>
    <cellStyle name="常规 2 30" xfId="7848"/>
    <cellStyle name="常规 2 30 2" xfId="53467"/>
    <cellStyle name="常规 2 31" xfId="7849"/>
    <cellStyle name="常规 2 31 2" xfId="53468"/>
    <cellStyle name="常规 2 32" xfId="7850"/>
    <cellStyle name="常规 2 32 2" xfId="53469"/>
    <cellStyle name="常规 2 33" xfId="7851"/>
    <cellStyle name="常规 2 34" xfId="7852"/>
    <cellStyle name="常规 2 35" xfId="7853"/>
    <cellStyle name="常规 2 36" xfId="7854"/>
    <cellStyle name="常规 2 37" xfId="7855"/>
    <cellStyle name="常规 2 38" xfId="7856"/>
    <cellStyle name="常规 2 39" xfId="7857"/>
    <cellStyle name="常规 2 4" xfId="69"/>
    <cellStyle name="常规 2 4 10" xfId="7859"/>
    <cellStyle name="常规 2 4 10 2" xfId="53470"/>
    <cellStyle name="常规 2 4 11" xfId="7860"/>
    <cellStyle name="常规 2 4 11 2" xfId="53471"/>
    <cellStyle name="常规 2 4 12" xfId="7861"/>
    <cellStyle name="常规 2 4 12 2" xfId="53472"/>
    <cellStyle name="常规 2 4 13" xfId="7858"/>
    <cellStyle name="常规 2 4 14" xfId="3461"/>
    <cellStyle name="常规 2 4 15" xfId="60981"/>
    <cellStyle name="常规 2 4 2" xfId="3462"/>
    <cellStyle name="常规 2 4 2 2" xfId="3463"/>
    <cellStyle name="常规 2 4 2 2 2" xfId="3464"/>
    <cellStyle name="常规 2 4 2 2 2 2" xfId="53473"/>
    <cellStyle name="常规 2 4 2 2 2 2 2" xfId="53474"/>
    <cellStyle name="常规 2 4 2 2 2 2 2 2" xfId="53475"/>
    <cellStyle name="常规 2 4 2 2 2 2 2 3" xfId="53476"/>
    <cellStyle name="常规 2 4 2 2 2 2 2 4" xfId="53477"/>
    <cellStyle name="常规 2 4 2 2 2 2 2 5" xfId="53478"/>
    <cellStyle name="常规 2 4 2 2 2 2 3" xfId="53479"/>
    <cellStyle name="常规 2 4 2 2 2 2 4" xfId="53480"/>
    <cellStyle name="常规 2 4 2 2 2 2 5" xfId="53481"/>
    <cellStyle name="常规 2 4 2 2 2 2 6" xfId="53482"/>
    <cellStyle name="常规 2 4 2 2 2 3" xfId="53483"/>
    <cellStyle name="常规 2 4 2 2 2 4" xfId="53484"/>
    <cellStyle name="常规 2 4 2 2 2 5" xfId="53485"/>
    <cellStyle name="常规 2 4 2 2 2 6" xfId="53486"/>
    <cellStyle name="常规 2 4 2 2 3" xfId="53487"/>
    <cellStyle name="常规 2 4 2 2 4" xfId="53488"/>
    <cellStyle name="常规 2 4 2 2 5" xfId="53489"/>
    <cellStyle name="常规 2 4 2 2 6" xfId="53490"/>
    <cellStyle name="常规 2 4 2 2 7" xfId="53491"/>
    <cellStyle name="常规 2 4 2 2 8" xfId="53492"/>
    <cellStyle name="常规 2 4 2 2 9" xfId="53493"/>
    <cellStyle name="常规 2 4 2 3" xfId="7862"/>
    <cellStyle name="常规 2 4 2 4" xfId="53494"/>
    <cellStyle name="常规 2 4 2 5" xfId="53495"/>
    <cellStyle name="常规 2 4 2 6" xfId="53496"/>
    <cellStyle name="常规 2 4 2 7" xfId="53497"/>
    <cellStyle name="常规 2 4 2 8" xfId="53498"/>
    <cellStyle name="常规 2 4 2 9" xfId="53499"/>
    <cellStyle name="常规 2 4 3" xfId="3465"/>
    <cellStyle name="常规 2 4 3 2" xfId="3466"/>
    <cellStyle name="常规 2 4 3 2 2" xfId="53500"/>
    <cellStyle name="常规 2 4 3 3" xfId="7863"/>
    <cellStyle name="常规 2 4 3 4" xfId="53501"/>
    <cellStyle name="常规 2 4 3 5" xfId="53502"/>
    <cellStyle name="常规 2 4 4" xfId="3467"/>
    <cellStyle name="常规 2 4 4 2" xfId="3468"/>
    <cellStyle name="常规 2 4 4 3" xfId="7864"/>
    <cellStyle name="常规 2 4 4 4" xfId="53503"/>
    <cellStyle name="常规 2 4 5" xfId="7865"/>
    <cellStyle name="常规 2 4 5 2" xfId="53504"/>
    <cellStyle name="常规 2 4 5 3" xfId="53505"/>
    <cellStyle name="常规 2 4 6" xfId="7866"/>
    <cellStyle name="常规 2 4 6 2" xfId="53506"/>
    <cellStyle name="常规 2 4 7" xfId="7867"/>
    <cellStyle name="常规 2 4 7 2" xfId="53507"/>
    <cellStyle name="常规 2 4 8" xfId="7868"/>
    <cellStyle name="常规 2 4 8 2" xfId="53508"/>
    <cellStyle name="常规 2 4 9" xfId="7869"/>
    <cellStyle name="常规 2 4 9 2" xfId="53509"/>
    <cellStyle name="常规 2 4_报价）招牌 博多一幸 正佳广场店" xfId="53510"/>
    <cellStyle name="常规 2 40" xfId="7870"/>
    <cellStyle name="常规 2 41" xfId="7871"/>
    <cellStyle name="常规 2 42" xfId="7872"/>
    <cellStyle name="常规 2 43" xfId="7873"/>
    <cellStyle name="常规 2 44" xfId="7874"/>
    <cellStyle name="常规 2 45" xfId="7875"/>
    <cellStyle name="常规 2 46" xfId="7876"/>
    <cellStyle name="常规 2 47" xfId="7877"/>
    <cellStyle name="常规 2 48" xfId="7878"/>
    <cellStyle name="常规 2 49" xfId="7879"/>
    <cellStyle name="常规 2 5" xfId="691"/>
    <cellStyle name="常规 2 5 10" xfId="3469"/>
    <cellStyle name="常规 2 5 11" xfId="60982"/>
    <cellStyle name="常规 2 5 2" xfId="36"/>
    <cellStyle name="常规 2 5 2 2" xfId="3471"/>
    <cellStyle name="常规 2 5 2 3" xfId="7881"/>
    <cellStyle name="常规 2 5 2 4" xfId="53511"/>
    <cellStyle name="常规 2 5 2 5" xfId="53512"/>
    <cellStyle name="常规 2 5 2 6" xfId="3470"/>
    <cellStyle name="常规 2 5 2 7" xfId="60834"/>
    <cellStyle name="常规 2 5 3" xfId="3472"/>
    <cellStyle name="常规 2 5 3 2" xfId="3473"/>
    <cellStyle name="常规 2 5 3 3" xfId="7882"/>
    <cellStyle name="常规 2 5 3 4" xfId="53513"/>
    <cellStyle name="常规 2 5 3 5" xfId="53514"/>
    <cellStyle name="常规 2 5 4" xfId="3474"/>
    <cellStyle name="常规 2 5 4 2" xfId="7883"/>
    <cellStyle name="常规 2 5 4 3" xfId="53515"/>
    <cellStyle name="常规 2 5 5" xfId="7880"/>
    <cellStyle name="常规 2 5 6" xfId="53516"/>
    <cellStyle name="常规 2 5 7" xfId="53517"/>
    <cellStyle name="常规 2 5 8" xfId="53518"/>
    <cellStyle name="常规 2 5 9" xfId="53519"/>
    <cellStyle name="常规 2 50" xfId="7884"/>
    <cellStyle name="常规 2 51" xfId="7885"/>
    <cellStyle name="常规 2 52" xfId="7886"/>
    <cellStyle name="常规 2 53" xfId="7887"/>
    <cellStyle name="常规 2 54" xfId="7888"/>
    <cellStyle name="常规 2 54 2" xfId="11346"/>
    <cellStyle name="常规 2 55" xfId="24805"/>
    <cellStyle name="常规 2 56" xfId="24806"/>
    <cellStyle name="常规 2 57" xfId="748"/>
    <cellStyle name="常规 2 58" xfId="53520"/>
    <cellStyle name="常规 2 59" xfId="53521"/>
    <cellStyle name="常规 2 6" xfId="3475"/>
    <cellStyle name="常规 2 6 2" xfId="3476"/>
    <cellStyle name="常规 2 6 2 2" xfId="3477"/>
    <cellStyle name="常规 2 6 2 3" xfId="7890"/>
    <cellStyle name="常规 2 6 2 4" xfId="53522"/>
    <cellStyle name="常规 2 6 2 5" xfId="53523"/>
    <cellStyle name="常规 2 6 2 6" xfId="53524"/>
    <cellStyle name="常规 2 6 2 7" xfId="53525"/>
    <cellStyle name="常规 2 6 3" xfId="3478"/>
    <cellStyle name="常规 2 6 3 2" xfId="3479"/>
    <cellStyle name="常规 2 6 3 3" xfId="7891"/>
    <cellStyle name="常规 2 6 3 4" xfId="53526"/>
    <cellStyle name="常规 2 6 3 5" xfId="53527"/>
    <cellStyle name="常规 2 6 4" xfId="3480"/>
    <cellStyle name="常规 2 6 4 2" xfId="7892"/>
    <cellStyle name="常规 2 6 4 3" xfId="53528"/>
    <cellStyle name="常规 2 6 5" xfId="7889"/>
    <cellStyle name="常规 2 6 6" xfId="53529"/>
    <cellStyle name="常规 2 6 7" xfId="53530"/>
    <cellStyle name="常规 2 6 8" xfId="60983"/>
    <cellStyle name="常规 2 60" xfId="53531"/>
    <cellStyle name="常规 2 61" xfId="53532"/>
    <cellStyle name="常规 2 62" xfId="53533"/>
    <cellStyle name="常规 2 63" xfId="53534"/>
    <cellStyle name="常规 2 64" xfId="53535"/>
    <cellStyle name="常规 2 65" xfId="53536"/>
    <cellStyle name="常规 2 66" xfId="53537"/>
    <cellStyle name="常规 2 67" xfId="53538"/>
    <cellStyle name="常规 2 68" xfId="53539"/>
    <cellStyle name="常规 2 69" xfId="53540"/>
    <cellStyle name="常规 2 7" xfId="3481"/>
    <cellStyle name="常规 2 7 2" xfId="3482"/>
    <cellStyle name="常规 2 7 2 2" xfId="7894"/>
    <cellStyle name="常规 2 7 2 3" xfId="53541"/>
    <cellStyle name="常规 2 7 3" xfId="7895"/>
    <cellStyle name="常规 2 7 3 2" xfId="53542"/>
    <cellStyle name="常规 2 7 4" xfId="7896"/>
    <cellStyle name="常规 2 7 4 2" xfId="53543"/>
    <cellStyle name="常规 2 7 5" xfId="7893"/>
    <cellStyle name="常规 2 7 6" xfId="53544"/>
    <cellStyle name="常规 2 70" xfId="53545"/>
    <cellStyle name="常规 2 71" xfId="53546"/>
    <cellStyle name="常规 2 72" xfId="53547"/>
    <cellStyle name="常规 2 73" xfId="53548"/>
    <cellStyle name="常规 2 74" xfId="53549"/>
    <cellStyle name="常规 2 75" xfId="53550"/>
    <cellStyle name="常规 2 76" xfId="53551"/>
    <cellStyle name="常规 2 77" xfId="53552"/>
    <cellStyle name="常规 2 78" xfId="53553"/>
    <cellStyle name="常规 2 79" xfId="53554"/>
    <cellStyle name="常规 2 8" xfId="3483"/>
    <cellStyle name="常规 2 8 2" xfId="3484"/>
    <cellStyle name="常规 2 8 2 2" xfId="7898"/>
    <cellStyle name="常规 2 8 2 3" xfId="53555"/>
    <cellStyle name="常规 2 8 3" xfId="7899"/>
    <cellStyle name="常规 2 8 3 2" xfId="53556"/>
    <cellStyle name="常规 2 8 4" xfId="7900"/>
    <cellStyle name="常规 2 8 4 2" xfId="53557"/>
    <cellStyle name="常规 2 8 5" xfId="7897"/>
    <cellStyle name="常规 2 8 6" xfId="53558"/>
    <cellStyle name="常规 2 80" xfId="53559"/>
    <cellStyle name="常规 2 81" xfId="53560"/>
    <cellStyle name="常规 2 82" xfId="53561"/>
    <cellStyle name="常规 2 83" xfId="53562"/>
    <cellStyle name="常规 2 84" xfId="53563"/>
    <cellStyle name="常规 2 85" xfId="53564"/>
    <cellStyle name="常规 2 86" xfId="53565"/>
    <cellStyle name="常规 2 87" xfId="53566"/>
    <cellStyle name="常规 2 88" xfId="53567"/>
    <cellStyle name="常规 2 89" xfId="53568"/>
    <cellStyle name="常规 2 9" xfId="3485"/>
    <cellStyle name="常规 2 9 2" xfId="3486"/>
    <cellStyle name="常规 2 9 2 2" xfId="7902"/>
    <cellStyle name="常规 2 9 2 3" xfId="53569"/>
    <cellStyle name="常规 2 9 3" xfId="7903"/>
    <cellStyle name="常规 2 9 3 2" xfId="53570"/>
    <cellStyle name="常规 2 9 4" xfId="7904"/>
    <cellStyle name="常规 2 9 4 2" xfId="53571"/>
    <cellStyle name="常规 2 9 5" xfId="7901"/>
    <cellStyle name="常规 2 9 6" xfId="53572"/>
    <cellStyle name="常规 2 90" xfId="53573"/>
    <cellStyle name="常规 2 91" xfId="53574"/>
    <cellStyle name="常规 2 92" xfId="53575"/>
    <cellStyle name="常规 2 93" xfId="53576"/>
    <cellStyle name="常规 2 94" xfId="53577"/>
    <cellStyle name="常规 2 95" xfId="53578"/>
    <cellStyle name="常规 2 96" xfId="53579"/>
    <cellStyle name="常规 2 97" xfId="53580"/>
    <cellStyle name="常规 2 98" xfId="53581"/>
    <cellStyle name="常规 2 99" xfId="53582"/>
    <cellStyle name="常规 2_0907原価率(理論）" xfId="271"/>
    <cellStyle name="常规 20" xfId="37"/>
    <cellStyle name="常规 20 10" xfId="7907"/>
    <cellStyle name="常规 20 10 2" xfId="53583"/>
    <cellStyle name="常规 20 11" xfId="7908"/>
    <cellStyle name="常规 20 11 2" xfId="53584"/>
    <cellStyle name="常规 20 12" xfId="7906"/>
    <cellStyle name="常规 20 12 2" xfId="53585"/>
    <cellStyle name="常规 20 12 2 2" xfId="53586"/>
    <cellStyle name="常规 20 12 2 2 2" xfId="53587"/>
    <cellStyle name="常规 20 12 2 3" xfId="53588"/>
    <cellStyle name="常规 20 12 3" xfId="53589"/>
    <cellStyle name="常规 20 12 3 2" xfId="53590"/>
    <cellStyle name="常规 20 12 4" xfId="53591"/>
    <cellStyle name="常规 20 13" xfId="53592"/>
    <cellStyle name="常规 20 14" xfId="53593"/>
    <cellStyle name="常规 20 14 2" xfId="53594"/>
    <cellStyle name="常规 20 14 2 2" xfId="53595"/>
    <cellStyle name="常规 20 14 3" xfId="53596"/>
    <cellStyle name="常规 20 15" xfId="53597"/>
    <cellStyle name="常规 20 15 2" xfId="53598"/>
    <cellStyle name="常规 20 15 2 2" xfId="53599"/>
    <cellStyle name="常规 20 15 3" xfId="53600"/>
    <cellStyle name="常规 20 16" xfId="53601"/>
    <cellStyle name="常规 20 16 2" xfId="53602"/>
    <cellStyle name="常规 20 16 2 2" xfId="53603"/>
    <cellStyle name="常规 20 16 3" xfId="53604"/>
    <cellStyle name="常规 20 17" xfId="3487"/>
    <cellStyle name="常规 20 18" xfId="272"/>
    <cellStyle name="常规 20 2" xfId="3488"/>
    <cellStyle name="常规 20 2 2" xfId="7909"/>
    <cellStyle name="常规 20 2 2 2" xfId="53605"/>
    <cellStyle name="常规 20 2 2 2 2" xfId="53606"/>
    <cellStyle name="常规 20 2 2 2 2 2" xfId="53607"/>
    <cellStyle name="常规 20 2 2 2 3" xfId="53608"/>
    <cellStyle name="常规 20 2 2 3" xfId="53609"/>
    <cellStyle name="常规 20 2 2 4" xfId="53610"/>
    <cellStyle name="常规 20 2 2 4 2" xfId="53611"/>
    <cellStyle name="常规 20 2 2 5" xfId="53612"/>
    <cellStyle name="常规 20 2 3" xfId="53613"/>
    <cellStyle name="常规 20 2 3 2 2 2" xfId="53614"/>
    <cellStyle name="常规 20 2 4" xfId="53615"/>
    <cellStyle name="常规 20 2 4 2" xfId="53616"/>
    <cellStyle name="常规 20 2 4 2 2" xfId="53617"/>
    <cellStyle name="常规 20 2 4 3" xfId="53618"/>
    <cellStyle name="常规 20 2 5" xfId="53619"/>
    <cellStyle name="常规 20 2 5 2" xfId="53620"/>
    <cellStyle name="常规 20 2 5 2 2" xfId="53621"/>
    <cellStyle name="常规 20 2 5 3" xfId="53622"/>
    <cellStyle name="常规 20 2 6" xfId="53623"/>
    <cellStyle name="常规 20 2 6 2" xfId="53624"/>
    <cellStyle name="常规 20 2 6 2 2" xfId="53625"/>
    <cellStyle name="常规 20 2 6 3" xfId="53626"/>
    <cellStyle name="常规 20 3" xfId="3489"/>
    <cellStyle name="常规 20 3 2" xfId="7910"/>
    <cellStyle name="常规 20 3 2 2" xfId="53627"/>
    <cellStyle name="常规 20 3 2 2 2" xfId="53628"/>
    <cellStyle name="常规 20 3 2 2 2 2" xfId="53629"/>
    <cellStyle name="常规 20 3 2 2 3" xfId="53630"/>
    <cellStyle name="常规 20 3 2 3" xfId="53631"/>
    <cellStyle name="常规 20 3 2 3 2" xfId="53632"/>
    <cellStyle name="常规 20 3 2 4" xfId="53633"/>
    <cellStyle name="常规 20 3 3" xfId="53634"/>
    <cellStyle name="常规 20 3 4" xfId="53635"/>
    <cellStyle name="常规 20 3 4 2" xfId="53636"/>
    <cellStyle name="常规 20 3 4 2 2" xfId="53637"/>
    <cellStyle name="常规 20 3 4 3" xfId="53638"/>
    <cellStyle name="常规 20 3 5" xfId="53639"/>
    <cellStyle name="常规 20 3 5 2" xfId="53640"/>
    <cellStyle name="常规 20 3 5 2 2" xfId="53641"/>
    <cellStyle name="常规 20 3 5 3" xfId="53642"/>
    <cellStyle name="常规 20 3 6" xfId="53643"/>
    <cellStyle name="常规 20 3 6 2" xfId="53644"/>
    <cellStyle name="常规 20 3 6 2 2" xfId="53645"/>
    <cellStyle name="常规 20 3 6 3" xfId="53646"/>
    <cellStyle name="常规 20 4" xfId="3490"/>
    <cellStyle name="常规 20 4 2" xfId="7911"/>
    <cellStyle name="常规 20 4 2 2" xfId="53647"/>
    <cellStyle name="常规 20 4 2 2 2" xfId="53648"/>
    <cellStyle name="常规 20 4 2 2 2 2" xfId="53649"/>
    <cellStyle name="常规 20 4 2 2 3" xfId="53650"/>
    <cellStyle name="常规 20 4 2 3" xfId="53651"/>
    <cellStyle name="常规 20 4 2 3 2" xfId="53652"/>
    <cellStyle name="常规 20 4 2 4" xfId="53653"/>
    <cellStyle name="常规 20 4 3" xfId="53654"/>
    <cellStyle name="常规 20 4 4" xfId="53655"/>
    <cellStyle name="常规 20 4 4 2" xfId="53656"/>
    <cellStyle name="常规 20 4 4 2 2" xfId="53657"/>
    <cellStyle name="常规 20 4 4 3" xfId="53658"/>
    <cellStyle name="常规 20 4 5" xfId="53659"/>
    <cellStyle name="常规 20 4 5 2" xfId="53660"/>
    <cellStyle name="常规 20 4 5 2 2" xfId="53661"/>
    <cellStyle name="常规 20 4 5 3" xfId="53662"/>
    <cellStyle name="常规 20 4 6" xfId="53663"/>
    <cellStyle name="常规 20 4 6 2" xfId="53664"/>
    <cellStyle name="常规 20 4 6 2 2" xfId="53665"/>
    <cellStyle name="常规 20 4 6 3" xfId="53666"/>
    <cellStyle name="常规 20 5" xfId="3491"/>
    <cellStyle name="常规 20 5 2" xfId="7912"/>
    <cellStyle name="常规 20 5 2 2" xfId="53667"/>
    <cellStyle name="常规 20 5 2 2 2" xfId="53668"/>
    <cellStyle name="常规 20 5 2 2 2 2" xfId="53669"/>
    <cellStyle name="常规 20 5 2 2 3" xfId="53670"/>
    <cellStyle name="常规 20 5 2 3" xfId="53671"/>
    <cellStyle name="常规 20 5 2 3 2" xfId="53672"/>
    <cellStyle name="常规 20 5 2 4" xfId="53673"/>
    <cellStyle name="常规 20 5 3" xfId="53674"/>
    <cellStyle name="常规 20 5 4" xfId="53675"/>
    <cellStyle name="常规 20 5 4 2" xfId="53676"/>
    <cellStyle name="常规 20 5 4 2 2" xfId="53677"/>
    <cellStyle name="常规 20 5 4 3" xfId="53678"/>
    <cellStyle name="常规 20 5 5" xfId="53679"/>
    <cellStyle name="常规 20 5 5 2" xfId="53680"/>
    <cellStyle name="常规 20 5 5 2 2" xfId="53681"/>
    <cellStyle name="常规 20 5 5 3" xfId="53682"/>
    <cellStyle name="常规 20 5 6" xfId="53683"/>
    <cellStyle name="常规 20 5 6 2" xfId="53684"/>
    <cellStyle name="常规 20 5 6 2 2" xfId="53685"/>
    <cellStyle name="常规 20 5 6 3" xfId="53686"/>
    <cellStyle name="常规 20 6" xfId="3492"/>
    <cellStyle name="常规 20 6 2" xfId="7913"/>
    <cellStyle name="常规 20 6 2 2" xfId="53687"/>
    <cellStyle name="常规 20 6 2 2 2" xfId="53688"/>
    <cellStyle name="常规 20 6 2 2 2 2" xfId="53689"/>
    <cellStyle name="常规 20 6 2 2 3" xfId="53690"/>
    <cellStyle name="常规 20 6 2 3" xfId="53691"/>
    <cellStyle name="常规 20 6 2 3 2" xfId="53692"/>
    <cellStyle name="常规 20 6 2 4" xfId="53693"/>
    <cellStyle name="常规 20 6 3" xfId="53694"/>
    <cellStyle name="常规 20 6 4" xfId="53695"/>
    <cellStyle name="常规 20 6 4 2" xfId="53696"/>
    <cellStyle name="常规 20 6 4 2 2" xfId="53697"/>
    <cellStyle name="常规 20 6 4 3" xfId="53698"/>
    <cellStyle name="常规 20 6 5" xfId="53699"/>
    <cellStyle name="常规 20 6 5 2" xfId="53700"/>
    <cellStyle name="常规 20 6 5 2 2" xfId="53701"/>
    <cellStyle name="常规 20 6 5 3" xfId="53702"/>
    <cellStyle name="常规 20 6 6" xfId="53703"/>
    <cellStyle name="常规 20 6 6 2" xfId="53704"/>
    <cellStyle name="常规 20 6 6 2 2" xfId="53705"/>
    <cellStyle name="常规 20 6 6 3" xfId="53706"/>
    <cellStyle name="常规 20 7" xfId="3493"/>
    <cellStyle name="常规 20 7 2" xfId="7914"/>
    <cellStyle name="常规 20 7 2 2" xfId="53707"/>
    <cellStyle name="常规 20 7 2 2 2" xfId="53708"/>
    <cellStyle name="常规 20 7 2 2 2 2" xfId="53709"/>
    <cellStyle name="常规 20 7 2 2 3" xfId="53710"/>
    <cellStyle name="常规 20 7 2 3" xfId="53711"/>
    <cellStyle name="常规 20 7 2 3 2" xfId="53712"/>
    <cellStyle name="常规 20 7 2 4" xfId="53713"/>
    <cellStyle name="常规 20 7 3" xfId="53714"/>
    <cellStyle name="常规 20 7 4" xfId="53715"/>
    <cellStyle name="常规 20 7 4 2" xfId="53716"/>
    <cellStyle name="常规 20 7 4 2 2" xfId="53717"/>
    <cellStyle name="常规 20 7 4 3" xfId="53718"/>
    <cellStyle name="常规 20 7 5" xfId="53719"/>
    <cellStyle name="常规 20 7 5 2" xfId="53720"/>
    <cellStyle name="常规 20 7 5 2 2" xfId="53721"/>
    <cellStyle name="常规 20 7 5 3" xfId="53722"/>
    <cellStyle name="常规 20 7 6" xfId="53723"/>
    <cellStyle name="常规 20 7 6 2" xfId="53724"/>
    <cellStyle name="常规 20 7 6 2 2" xfId="53725"/>
    <cellStyle name="常规 20 7 6 3" xfId="53726"/>
    <cellStyle name="常规 20 8" xfId="7915"/>
    <cellStyle name="常规 20 8 2" xfId="53727"/>
    <cellStyle name="常规 20 8 2 2" xfId="53728"/>
    <cellStyle name="常规 20 8 2 2 2" xfId="53729"/>
    <cellStyle name="常规 20 8 2 2 2 2" xfId="53730"/>
    <cellStyle name="常规 20 8 2 2 3" xfId="53731"/>
    <cellStyle name="常规 20 8 2 3" xfId="53732"/>
    <cellStyle name="常规 20 8 2 3 2" xfId="53733"/>
    <cellStyle name="常规 20 8 2 4" xfId="53734"/>
    <cellStyle name="常规 20 8 3" xfId="53735"/>
    <cellStyle name="常规 20 8 4" xfId="53736"/>
    <cellStyle name="常规 20 8 4 2" xfId="53737"/>
    <cellStyle name="常规 20 8 4 2 2" xfId="53738"/>
    <cellStyle name="常规 20 8 4 3" xfId="53739"/>
    <cellStyle name="常规 20 8 5" xfId="53740"/>
    <cellStyle name="常规 20 8 5 2" xfId="53741"/>
    <cellStyle name="常规 20 8 5 2 2" xfId="53742"/>
    <cellStyle name="常规 20 8 5 3" xfId="53743"/>
    <cellStyle name="常规 20 8 6" xfId="53744"/>
    <cellStyle name="常规 20 8 6 2" xfId="53745"/>
    <cellStyle name="常规 20 8 6 2 2" xfId="53746"/>
    <cellStyle name="常规 20 8 6 3" xfId="53747"/>
    <cellStyle name="常规 20 9" xfId="7916"/>
    <cellStyle name="常规 20 9 2" xfId="53748"/>
    <cellStyle name="常规 20 9 2 2" xfId="53749"/>
    <cellStyle name="常规 20 9 3" xfId="53750"/>
    <cellStyle name="常规 200" xfId="273"/>
    <cellStyle name="常规 200 2" xfId="53752"/>
    <cellStyle name="常规 200 2 2" xfId="53753"/>
    <cellStyle name="常规 200 3" xfId="53754"/>
    <cellStyle name="常规 200 4" xfId="53751"/>
    <cellStyle name="常规 201" xfId="274"/>
    <cellStyle name="常规 201 2" xfId="53756"/>
    <cellStyle name="常规 201 2 2" xfId="53757"/>
    <cellStyle name="常规 201 3" xfId="53758"/>
    <cellStyle name="常规 201 4" xfId="53755"/>
    <cellStyle name="常规 202" xfId="275"/>
    <cellStyle name="常规 202 2" xfId="53760"/>
    <cellStyle name="常规 202 2 2" xfId="53761"/>
    <cellStyle name="常规 202 3" xfId="53762"/>
    <cellStyle name="常规 202 4" xfId="53759"/>
    <cellStyle name="常规 203" xfId="276"/>
    <cellStyle name="常规 203 2" xfId="53764"/>
    <cellStyle name="常规 203 2 2" xfId="53765"/>
    <cellStyle name="常规 203 3" xfId="53766"/>
    <cellStyle name="常规 203 4" xfId="53763"/>
    <cellStyle name="常规 204" xfId="277"/>
    <cellStyle name="常规 204 2" xfId="53768"/>
    <cellStyle name="常规 204 2 2" xfId="53769"/>
    <cellStyle name="常规 204 3" xfId="53770"/>
    <cellStyle name="常规 204 4" xfId="53767"/>
    <cellStyle name="常规 205" xfId="278"/>
    <cellStyle name="常规 205 2" xfId="53772"/>
    <cellStyle name="常规 205 2 2" xfId="53773"/>
    <cellStyle name="常规 205 3" xfId="53774"/>
    <cellStyle name="常规 205 4" xfId="53771"/>
    <cellStyle name="常规 206" xfId="279"/>
    <cellStyle name="常规 206 2" xfId="53776"/>
    <cellStyle name="常规 206 2 2" xfId="53777"/>
    <cellStyle name="常规 206 3" xfId="53778"/>
    <cellStyle name="常规 206 4" xfId="53775"/>
    <cellStyle name="常规 207" xfId="280"/>
    <cellStyle name="常规 207 2" xfId="53780"/>
    <cellStyle name="常规 207 2 2" xfId="53781"/>
    <cellStyle name="常规 207 3" xfId="53782"/>
    <cellStyle name="常规 207 4" xfId="53779"/>
    <cellStyle name="常规 208" xfId="281"/>
    <cellStyle name="常规 208 2" xfId="53784"/>
    <cellStyle name="常规 208 2 2" xfId="53785"/>
    <cellStyle name="常规 208 3" xfId="53786"/>
    <cellStyle name="常规 208 4" xfId="53783"/>
    <cellStyle name="常规 209" xfId="282"/>
    <cellStyle name="常规 209 2" xfId="53788"/>
    <cellStyle name="常规 209 2 2" xfId="53789"/>
    <cellStyle name="常规 209 3" xfId="53790"/>
    <cellStyle name="常规 209 4" xfId="53787"/>
    <cellStyle name="常规 21" xfId="38"/>
    <cellStyle name="常规 21 10" xfId="53791"/>
    <cellStyle name="常规 21 10 2" xfId="53792"/>
    <cellStyle name="常规 21 11" xfId="53793"/>
    <cellStyle name="常规 21 11 2" xfId="53794"/>
    <cellStyle name="常规 21 11 2 2" xfId="53795"/>
    <cellStyle name="常规 21 11 3" xfId="53796"/>
    <cellStyle name="常规 21 12" xfId="53797"/>
    <cellStyle name="常规 21 12 2" xfId="53798"/>
    <cellStyle name="常规 21 12 2 2" xfId="53799"/>
    <cellStyle name="常规 21 12 3" xfId="53800"/>
    <cellStyle name="常规 21 13" xfId="53801"/>
    <cellStyle name="常规 21 13 2" xfId="53802"/>
    <cellStyle name="常规 21 13 2 2" xfId="53803"/>
    <cellStyle name="常规 21 13 3" xfId="53804"/>
    <cellStyle name="常规 21 14" xfId="3494"/>
    <cellStyle name="常规 21 15" xfId="283"/>
    <cellStyle name="常规 21 2" xfId="3495"/>
    <cellStyle name="常规 21 2 2" xfId="7918"/>
    <cellStyle name="常规 21 2 2 2" xfId="53805"/>
    <cellStyle name="常规 21 2 2 2 2" xfId="53806"/>
    <cellStyle name="常规 21 2 2 2 2 2" xfId="53807"/>
    <cellStyle name="常规 21 2 2 2 3" xfId="53808"/>
    <cellStyle name="常规 21 2 2 3" xfId="53809"/>
    <cellStyle name="常规 21 2 2 3 2" xfId="53810"/>
    <cellStyle name="常规 21 2 2 4" xfId="53811"/>
    <cellStyle name="常规 21 2 3" xfId="53812"/>
    <cellStyle name="常规 21 2 4" xfId="53813"/>
    <cellStyle name="常规 21 2 4 2" xfId="53814"/>
    <cellStyle name="常规 21 2 4 2 2" xfId="53815"/>
    <cellStyle name="常规 21 2 4 3" xfId="53816"/>
    <cellStyle name="常规 21 2 5" xfId="53817"/>
    <cellStyle name="常规 21 2 5 2" xfId="53818"/>
    <cellStyle name="常规 21 2 5 2 2" xfId="53819"/>
    <cellStyle name="常规 21 2 5 3" xfId="53820"/>
    <cellStyle name="常规 21 2 6" xfId="53821"/>
    <cellStyle name="常规 21 2 6 2" xfId="53822"/>
    <cellStyle name="常规 21 2 6 2 2" xfId="53823"/>
    <cellStyle name="常规 21 2 6 3" xfId="53824"/>
    <cellStyle name="常规 21 3" xfId="3496"/>
    <cellStyle name="常规 21 3 2" xfId="7919"/>
    <cellStyle name="常规 21 3 2 2" xfId="53825"/>
    <cellStyle name="常规 21 3 2 2 2" xfId="53826"/>
    <cellStyle name="常规 21 3 2 2 2 2" xfId="53827"/>
    <cellStyle name="常规 21 3 2 2 3" xfId="53828"/>
    <cellStyle name="常规 21 3 2 3" xfId="53829"/>
    <cellStyle name="常规 21 3 2 3 2" xfId="53830"/>
    <cellStyle name="常规 21 3 2 4" xfId="53831"/>
    <cellStyle name="常规 21 3 3" xfId="53832"/>
    <cellStyle name="常规 21 3 4" xfId="53833"/>
    <cellStyle name="常规 21 3 4 2" xfId="53834"/>
    <cellStyle name="常规 21 3 4 2 2" xfId="53835"/>
    <cellStyle name="常规 21 3 4 3" xfId="53836"/>
    <cellStyle name="常规 21 3 5" xfId="53837"/>
    <cellStyle name="常规 21 3 5 2" xfId="53838"/>
    <cellStyle name="常规 21 3 5 2 2" xfId="53839"/>
    <cellStyle name="常规 21 3 5 3" xfId="53840"/>
    <cellStyle name="常规 21 3 6" xfId="53841"/>
    <cellStyle name="常规 21 3 6 2" xfId="53842"/>
    <cellStyle name="常规 21 3 6 2 2" xfId="53843"/>
    <cellStyle name="常规 21 3 6 3" xfId="53844"/>
    <cellStyle name="常规 21 4" xfId="3497"/>
    <cellStyle name="常规 21 4 2" xfId="53845"/>
    <cellStyle name="常规 21 4 2 2" xfId="53846"/>
    <cellStyle name="常规 21 4 2 2 2" xfId="53847"/>
    <cellStyle name="常规 21 4 2 3" xfId="53848"/>
    <cellStyle name="常规 21 4 3" xfId="53849"/>
    <cellStyle name="常规 21 4 3 2" xfId="53850"/>
    <cellStyle name="常规 21 4 3 2 2" xfId="53851"/>
    <cellStyle name="常规 21 4 3 3" xfId="53852"/>
    <cellStyle name="常规 21 4 4" xfId="53853"/>
    <cellStyle name="常规 21 4 4 2" xfId="53854"/>
    <cellStyle name="常规 21 4 4 2 2" xfId="53855"/>
    <cellStyle name="常规 21 4 4 3" xfId="53856"/>
    <cellStyle name="常规 21 4 5" xfId="53857"/>
    <cellStyle name="常规 21 4 5 2" xfId="53858"/>
    <cellStyle name="常规 21 5" xfId="3498"/>
    <cellStyle name="常规 21 5 2" xfId="53859"/>
    <cellStyle name="常规 21 5 2 2" xfId="53860"/>
    <cellStyle name="常规 21 5 2 2 2" xfId="53861"/>
    <cellStyle name="常规 21 5 2 3" xfId="53862"/>
    <cellStyle name="常规 21 5 3" xfId="53863"/>
    <cellStyle name="常规 21 5 3 2" xfId="53864"/>
    <cellStyle name="常规 21 5 3 2 2" xfId="53865"/>
    <cellStyle name="常规 21 5 3 3" xfId="53866"/>
    <cellStyle name="常规 21 5 4" xfId="53867"/>
    <cellStyle name="常规 21 5 4 2" xfId="53868"/>
    <cellStyle name="常规 21 5 4 2 2" xfId="53869"/>
    <cellStyle name="常规 21 5 4 3" xfId="53870"/>
    <cellStyle name="常规 21 5 5" xfId="53871"/>
    <cellStyle name="常规 21 5 5 2" xfId="53872"/>
    <cellStyle name="常规 21 5 6" xfId="53873"/>
    <cellStyle name="常规 21 6" xfId="3499"/>
    <cellStyle name="常规 21 6 2" xfId="53874"/>
    <cellStyle name="常规 21 6 2 2" xfId="53875"/>
    <cellStyle name="常规 21 6 2 2 2" xfId="53876"/>
    <cellStyle name="常规 21 6 2 3" xfId="53877"/>
    <cellStyle name="常规 21 6 3" xfId="53878"/>
    <cellStyle name="常规 21 6 3 2" xfId="53879"/>
    <cellStyle name="常规 21 6 3 2 2" xfId="53880"/>
    <cellStyle name="常规 21 6 3 3" xfId="53881"/>
    <cellStyle name="常规 21 6 4" xfId="53882"/>
    <cellStyle name="常规 21 6 4 2" xfId="53883"/>
    <cellStyle name="常规 21 6 4 2 2" xfId="53884"/>
    <cellStyle name="常规 21 6 4 3" xfId="53885"/>
    <cellStyle name="常规 21 6 5" xfId="53886"/>
    <cellStyle name="常规 21 6 5 2" xfId="53887"/>
    <cellStyle name="常规 21 6 6" xfId="53888"/>
    <cellStyle name="常规 21 7" xfId="3500"/>
    <cellStyle name="常规 21 7 2" xfId="53889"/>
    <cellStyle name="常规 21 7 2 2" xfId="53890"/>
    <cellStyle name="常规 21 7 2 2 2" xfId="53891"/>
    <cellStyle name="常规 21 7 2 3" xfId="53892"/>
    <cellStyle name="常规 21 7 3" xfId="53893"/>
    <cellStyle name="常规 21 7 3 2" xfId="53894"/>
    <cellStyle name="常规 21 7 3 2 2" xfId="53895"/>
    <cellStyle name="常规 21 7 3 3" xfId="53896"/>
    <cellStyle name="常规 21 7 4" xfId="53897"/>
    <cellStyle name="常规 21 7 4 2" xfId="53898"/>
    <cellStyle name="常规 21 7 4 2 2" xfId="53899"/>
    <cellStyle name="常规 21 7 4 3" xfId="53900"/>
    <cellStyle name="常规 21 7 5" xfId="53901"/>
    <cellStyle name="常规 21 7 5 2" xfId="53902"/>
    <cellStyle name="常规 21 7 6" xfId="53903"/>
    <cellStyle name="常规 21 8" xfId="7917"/>
    <cellStyle name="常规 21 8 2" xfId="53904"/>
    <cellStyle name="常规 21 8 2 2" xfId="53905"/>
    <cellStyle name="常规 21 8 2 2 2" xfId="53906"/>
    <cellStyle name="常规 21 8 2 3" xfId="53907"/>
    <cellStyle name="常规 21 8 3" xfId="53908"/>
    <cellStyle name="常规 21 8 3 2" xfId="53909"/>
    <cellStyle name="常规 21 8 3 2 2" xfId="53910"/>
    <cellStyle name="常规 21 8 3 3" xfId="53911"/>
    <cellStyle name="常规 21 8 4" xfId="53912"/>
    <cellStyle name="常规 21 8 4 2" xfId="53913"/>
    <cellStyle name="常规 21 8 4 2 2" xfId="53914"/>
    <cellStyle name="常规 21 8 4 3" xfId="53915"/>
    <cellStyle name="常规 21 8 5" xfId="53916"/>
    <cellStyle name="常规 21 8 5 2" xfId="53917"/>
    <cellStyle name="常规 21 8 6" xfId="53918"/>
    <cellStyle name="常规 21 9" xfId="53919"/>
    <cellStyle name="常规 21 9 2" xfId="53920"/>
    <cellStyle name="常规 21 9 2 2" xfId="53921"/>
    <cellStyle name="常规 21 9 2 2 2" xfId="53922"/>
    <cellStyle name="常规 21 9 2 3" xfId="53923"/>
    <cellStyle name="常规 21 9 3" xfId="53924"/>
    <cellStyle name="常规 21 9 3 2" xfId="53925"/>
    <cellStyle name="常规 21 9 4" xfId="53926"/>
    <cellStyle name="常规 210" xfId="284"/>
    <cellStyle name="常规 210 2" xfId="53928"/>
    <cellStyle name="常规 210 2 2" xfId="53929"/>
    <cellStyle name="常规 210 3" xfId="53930"/>
    <cellStyle name="常规 210 4" xfId="53927"/>
    <cellStyle name="常规 211" xfId="285"/>
    <cellStyle name="常规 211 2" xfId="53932"/>
    <cellStyle name="常规 211 2 2" xfId="53933"/>
    <cellStyle name="常规 211 3" xfId="53934"/>
    <cellStyle name="常规 211 4" xfId="53931"/>
    <cellStyle name="常规 212" xfId="286"/>
    <cellStyle name="常规 212 2" xfId="53936"/>
    <cellStyle name="常规 212 2 2" xfId="53937"/>
    <cellStyle name="常规 212 3" xfId="53938"/>
    <cellStyle name="常规 212 4" xfId="53935"/>
    <cellStyle name="常规 213" xfId="287"/>
    <cellStyle name="常规 213 2" xfId="53940"/>
    <cellStyle name="常规 213 2 2" xfId="53941"/>
    <cellStyle name="常规 213 3" xfId="53942"/>
    <cellStyle name="常规 213 4" xfId="53939"/>
    <cellStyle name="常规 214" xfId="288"/>
    <cellStyle name="常规 214 2" xfId="53944"/>
    <cellStyle name="常规 214 2 2" xfId="53945"/>
    <cellStyle name="常规 214 3" xfId="53946"/>
    <cellStyle name="常规 214 4" xfId="53943"/>
    <cellStyle name="常规 215" xfId="289"/>
    <cellStyle name="常规 215 2" xfId="53948"/>
    <cellStyle name="常规 215 2 2" xfId="53949"/>
    <cellStyle name="常规 215 3" xfId="53950"/>
    <cellStyle name="常规 215 4" xfId="53947"/>
    <cellStyle name="常规 216" xfId="290"/>
    <cellStyle name="常规 216 2" xfId="53952"/>
    <cellStyle name="常规 216 2 2" xfId="53953"/>
    <cellStyle name="常规 216 3" xfId="53954"/>
    <cellStyle name="常规 216 4" xfId="53951"/>
    <cellStyle name="常规 217" xfId="291"/>
    <cellStyle name="常规 217 2" xfId="53956"/>
    <cellStyle name="常规 217 2 2" xfId="53957"/>
    <cellStyle name="常规 217 3" xfId="53958"/>
    <cellStyle name="常规 217 4" xfId="53955"/>
    <cellStyle name="常规 218" xfId="292"/>
    <cellStyle name="常规 218 2" xfId="53960"/>
    <cellStyle name="常规 218 2 2" xfId="53961"/>
    <cellStyle name="常规 218 3" xfId="53962"/>
    <cellStyle name="常规 218 4" xfId="53959"/>
    <cellStyle name="常规 219" xfId="293"/>
    <cellStyle name="常规 219 2" xfId="53964"/>
    <cellStyle name="常规 219 2 2" xfId="53965"/>
    <cellStyle name="常规 219 3" xfId="53966"/>
    <cellStyle name="常规 219 4" xfId="53963"/>
    <cellStyle name="常规 22" xfId="294"/>
    <cellStyle name="常规 22 10" xfId="53967"/>
    <cellStyle name="常规 22 10 2" xfId="53968"/>
    <cellStyle name="常规 22 11" xfId="53969"/>
    <cellStyle name="常规 22 11 2" xfId="53970"/>
    <cellStyle name="常规 22 11 2 2" xfId="53971"/>
    <cellStyle name="常规 22 11 3" xfId="53972"/>
    <cellStyle name="常规 22 12" xfId="53973"/>
    <cellStyle name="常规 22 12 2" xfId="53974"/>
    <cellStyle name="常规 22 12 2 2" xfId="53975"/>
    <cellStyle name="常规 22 12 3" xfId="53976"/>
    <cellStyle name="常规 22 13" xfId="53977"/>
    <cellStyle name="常规 22 13 2" xfId="53978"/>
    <cellStyle name="常规 22 13 2 2" xfId="53979"/>
    <cellStyle name="常规 22 13 3" xfId="53980"/>
    <cellStyle name="常规 22 14" xfId="3501"/>
    <cellStyle name="常规 22 2" xfId="3502"/>
    <cellStyle name="常规 22 2 2" xfId="7921"/>
    <cellStyle name="常规 22 2 2 2" xfId="53981"/>
    <cellStyle name="常规 22 2 2 2 2" xfId="53982"/>
    <cellStyle name="常规 22 2 2 2 2 2" xfId="53983"/>
    <cellStyle name="常规 22 2 2 2 3" xfId="53984"/>
    <cellStyle name="常规 22 2 2 3" xfId="53985"/>
    <cellStyle name="常规 22 2 2 3 2" xfId="53986"/>
    <cellStyle name="常规 22 2 2 4" xfId="53987"/>
    <cellStyle name="常规 22 2 3" xfId="53988"/>
    <cellStyle name="常规 22 2 4" xfId="53989"/>
    <cellStyle name="常规 22 2 4 2" xfId="53990"/>
    <cellStyle name="常规 22 2 4 2 2" xfId="53991"/>
    <cellStyle name="常规 22 2 4 3" xfId="53992"/>
    <cellStyle name="常规 22 2 5" xfId="53993"/>
    <cellStyle name="常规 22 2 5 2" xfId="53994"/>
    <cellStyle name="常规 22 2 5 2 2" xfId="53995"/>
    <cellStyle name="常规 22 2 5 3" xfId="53996"/>
    <cellStyle name="常规 22 2 6" xfId="53997"/>
    <cellStyle name="常规 22 2 6 2" xfId="53998"/>
    <cellStyle name="常规 22 2 6 2 2" xfId="53999"/>
    <cellStyle name="常规 22 2 6 3" xfId="54000"/>
    <cellStyle name="常规 22 3" xfId="3503"/>
    <cellStyle name="常规 22 3 2" xfId="7922"/>
    <cellStyle name="常规 22 3 2 2" xfId="54001"/>
    <cellStyle name="常规 22 3 2 2 2" xfId="54002"/>
    <cellStyle name="常规 22 3 2 2 2 2" xfId="54003"/>
    <cellStyle name="常规 22 3 2 2 3" xfId="54004"/>
    <cellStyle name="常规 22 3 2 3" xfId="54005"/>
    <cellStyle name="常规 22 3 2 3 2" xfId="54006"/>
    <cellStyle name="常规 22 3 2 4" xfId="54007"/>
    <cellStyle name="常规 22 3 3" xfId="54008"/>
    <cellStyle name="常规 22 3 4" xfId="54009"/>
    <cellStyle name="常规 22 3 4 2" xfId="54010"/>
    <cellStyle name="常规 22 3 4 2 2" xfId="54011"/>
    <cellStyle name="常规 22 3 4 3" xfId="54012"/>
    <cellStyle name="常规 22 3 5" xfId="54013"/>
    <cellStyle name="常规 22 3 5 2" xfId="54014"/>
    <cellStyle name="常规 22 3 5 2 2" xfId="54015"/>
    <cellStyle name="常规 22 3 5 3" xfId="54016"/>
    <cellStyle name="常规 22 3 6" xfId="54017"/>
    <cellStyle name="常规 22 3 6 2" xfId="54018"/>
    <cellStyle name="常规 22 3 6 2 2" xfId="54019"/>
    <cellStyle name="常规 22 3 6 3" xfId="54020"/>
    <cellStyle name="常规 22 4" xfId="3504"/>
    <cellStyle name="常规 22 4 2" xfId="54021"/>
    <cellStyle name="常规 22 4 2 2" xfId="54022"/>
    <cellStyle name="常规 22 4 2 2 2" xfId="54023"/>
    <cellStyle name="常规 22 4 2 3" xfId="54024"/>
    <cellStyle name="常规 22 4 3" xfId="54025"/>
    <cellStyle name="常规 22 4 3 2" xfId="54026"/>
    <cellStyle name="常规 22 4 3 2 2" xfId="54027"/>
    <cellStyle name="常规 22 4 3 3" xfId="54028"/>
    <cellStyle name="常规 22 4 4" xfId="54029"/>
    <cellStyle name="常规 22 4 4 2" xfId="54030"/>
    <cellStyle name="常规 22 4 4 2 2" xfId="54031"/>
    <cellStyle name="常规 22 4 4 3" xfId="54032"/>
    <cellStyle name="常规 22 4 5" xfId="54033"/>
    <cellStyle name="常规 22 4 5 2" xfId="54034"/>
    <cellStyle name="常规 22 5" xfId="3505"/>
    <cellStyle name="常规 22 5 2" xfId="54035"/>
    <cellStyle name="常规 22 5 2 2" xfId="54036"/>
    <cellStyle name="常规 22 5 2 2 2" xfId="54037"/>
    <cellStyle name="常规 22 5 2 3" xfId="54038"/>
    <cellStyle name="常规 22 5 3" xfId="54039"/>
    <cellStyle name="常规 22 5 3 2" xfId="54040"/>
    <cellStyle name="常规 22 5 3 2 2" xfId="54041"/>
    <cellStyle name="常规 22 5 3 3" xfId="54042"/>
    <cellStyle name="常规 22 5 4" xfId="54043"/>
    <cellStyle name="常规 22 5 4 2" xfId="54044"/>
    <cellStyle name="常规 22 5 4 2 2" xfId="54045"/>
    <cellStyle name="常规 22 5 4 3" xfId="54046"/>
    <cellStyle name="常规 22 5 5" xfId="54047"/>
    <cellStyle name="常规 22 5 5 2" xfId="54048"/>
    <cellStyle name="常规 22 5 6" xfId="54049"/>
    <cellStyle name="常规 22 6" xfId="3506"/>
    <cellStyle name="常规 22 6 2" xfId="54050"/>
    <cellStyle name="常规 22 6 2 2" xfId="54051"/>
    <cellStyle name="常规 22 6 2 2 2" xfId="54052"/>
    <cellStyle name="常规 22 6 2 3" xfId="54053"/>
    <cellStyle name="常规 22 6 3" xfId="54054"/>
    <cellStyle name="常规 22 6 3 2" xfId="54055"/>
    <cellStyle name="常规 22 6 3 2 2" xfId="54056"/>
    <cellStyle name="常规 22 6 3 3" xfId="54057"/>
    <cellStyle name="常规 22 6 4" xfId="54058"/>
    <cellStyle name="常规 22 6 4 2" xfId="54059"/>
    <cellStyle name="常规 22 6 4 2 2" xfId="54060"/>
    <cellStyle name="常规 22 6 4 3" xfId="54061"/>
    <cellStyle name="常规 22 6 5" xfId="54062"/>
    <cellStyle name="常规 22 6 5 2" xfId="54063"/>
    <cellStyle name="常规 22 6 6" xfId="54064"/>
    <cellStyle name="常规 22 7" xfId="3507"/>
    <cellStyle name="常规 22 7 2" xfId="54065"/>
    <cellStyle name="常规 22 7 2 2" xfId="54066"/>
    <cellStyle name="常规 22 7 2 2 2" xfId="54067"/>
    <cellStyle name="常规 22 7 2 3" xfId="54068"/>
    <cellStyle name="常规 22 7 3" xfId="54069"/>
    <cellStyle name="常规 22 7 3 2" xfId="54070"/>
    <cellStyle name="常规 22 7 3 2 2" xfId="54071"/>
    <cellStyle name="常规 22 7 3 3" xfId="54072"/>
    <cellStyle name="常规 22 7 4" xfId="54073"/>
    <cellStyle name="常规 22 7 4 2" xfId="54074"/>
    <cellStyle name="常规 22 7 4 2 2" xfId="54075"/>
    <cellStyle name="常规 22 7 4 3" xfId="54076"/>
    <cellStyle name="常规 22 7 5" xfId="54077"/>
    <cellStyle name="常规 22 7 5 2" xfId="54078"/>
    <cellStyle name="常规 22 7 6" xfId="54079"/>
    <cellStyle name="常规 22 8" xfId="7920"/>
    <cellStyle name="常规 22 8 2" xfId="54080"/>
    <cellStyle name="常规 22 8 2 2" xfId="54081"/>
    <cellStyle name="常规 22 8 2 2 2" xfId="54082"/>
    <cellStyle name="常规 22 8 2 3" xfId="54083"/>
    <cellStyle name="常规 22 8 3" xfId="54084"/>
    <cellStyle name="常规 22 8 3 2" xfId="54085"/>
    <cellStyle name="常规 22 8 3 2 2" xfId="54086"/>
    <cellStyle name="常规 22 8 3 3" xfId="54087"/>
    <cellStyle name="常规 22 8 4" xfId="54088"/>
    <cellStyle name="常规 22 8 4 2" xfId="54089"/>
    <cellStyle name="常规 22 8 4 2 2" xfId="54090"/>
    <cellStyle name="常规 22 8 4 3" xfId="54091"/>
    <cellStyle name="常规 22 8 5" xfId="54092"/>
    <cellStyle name="常规 22 8 5 2" xfId="54093"/>
    <cellStyle name="常规 22 8 6" xfId="54094"/>
    <cellStyle name="常规 22 9" xfId="54095"/>
    <cellStyle name="常规 22 9 2" xfId="54096"/>
    <cellStyle name="常规 22 9 2 2" xfId="54097"/>
    <cellStyle name="常规 22 9 2 2 2" xfId="54098"/>
    <cellStyle name="常规 22 9 2 3" xfId="54099"/>
    <cellStyle name="常规 22 9 3" xfId="54100"/>
    <cellStyle name="常规 22 9 3 2" xfId="54101"/>
    <cellStyle name="常规 22 9 4" xfId="54102"/>
    <cellStyle name="常规 220" xfId="295"/>
    <cellStyle name="常规 220 2" xfId="54103"/>
    <cellStyle name="常规 221" xfId="296"/>
    <cellStyle name="常规 222" xfId="297"/>
    <cellStyle name="常规 223" xfId="298"/>
    <cellStyle name="常规 224" xfId="299"/>
    <cellStyle name="常规 225" xfId="300"/>
    <cellStyle name="常规 226" xfId="301"/>
    <cellStyle name="常规 227" xfId="302"/>
    <cellStyle name="常规 228" xfId="303"/>
    <cellStyle name="常规 229" xfId="304"/>
    <cellStyle name="常规 23" xfId="305"/>
    <cellStyle name="常规 23 10" xfId="7924"/>
    <cellStyle name="常规 23 10 2" xfId="54104"/>
    <cellStyle name="常规 23 11" xfId="7925"/>
    <cellStyle name="常规 23 11 2" xfId="54105"/>
    <cellStyle name="常规 23 12" xfId="7923"/>
    <cellStyle name="常规 23 12 2" xfId="54106"/>
    <cellStyle name="常规 23 12 2 2" xfId="54107"/>
    <cellStyle name="常规 23 12 2 2 2" xfId="54108"/>
    <cellStyle name="常规 23 12 2 3" xfId="54109"/>
    <cellStyle name="常规 23 12 3" xfId="54110"/>
    <cellStyle name="常规 23 12 3 2" xfId="54111"/>
    <cellStyle name="常规 23 12 4" xfId="54112"/>
    <cellStyle name="常规 23 13" xfId="54113"/>
    <cellStyle name="常规 23 14" xfId="54114"/>
    <cellStyle name="常规 23 14 2" xfId="54115"/>
    <cellStyle name="常规 23 14 2 2" xfId="54116"/>
    <cellStyle name="常规 23 14 3" xfId="54117"/>
    <cellStyle name="常规 23 15" xfId="54118"/>
    <cellStyle name="常规 23 15 2" xfId="54119"/>
    <cellStyle name="常规 23 15 2 2" xfId="54120"/>
    <cellStyle name="常规 23 15 3" xfId="54121"/>
    <cellStyle name="常规 23 16" xfId="54122"/>
    <cellStyle name="常规 23 16 2" xfId="54123"/>
    <cellStyle name="常规 23 16 2 2" xfId="54124"/>
    <cellStyle name="常规 23 16 3" xfId="54125"/>
    <cellStyle name="常规 23 17" xfId="3508"/>
    <cellStyle name="常规 23 2" xfId="3509"/>
    <cellStyle name="常规 23 2 2" xfId="7926"/>
    <cellStyle name="常规 23 2 2 2" xfId="54126"/>
    <cellStyle name="常规 23 2 2 2 2" xfId="54127"/>
    <cellStyle name="常规 23 2 2 2 2 2" xfId="54128"/>
    <cellStyle name="常规 23 2 2 2 3" xfId="54129"/>
    <cellStyle name="常规 23 2 2 3" xfId="54130"/>
    <cellStyle name="常规 23 2 2 3 2" xfId="54131"/>
    <cellStyle name="常规 23 2 2 4" xfId="54132"/>
    <cellStyle name="常规 23 2 3" xfId="54133"/>
    <cellStyle name="常规 23 2 4" xfId="54134"/>
    <cellStyle name="常规 23 2 4 2" xfId="54135"/>
    <cellStyle name="常规 23 2 4 2 2" xfId="54136"/>
    <cellStyle name="常规 23 2 4 3" xfId="54137"/>
    <cellStyle name="常规 23 2 5" xfId="54138"/>
    <cellStyle name="常规 23 2 5 2" xfId="54139"/>
    <cellStyle name="常规 23 2 5 2 2" xfId="54140"/>
    <cellStyle name="常规 23 2 5 3" xfId="54141"/>
    <cellStyle name="常规 23 2 6" xfId="54142"/>
    <cellStyle name="常规 23 2 6 2" xfId="54143"/>
    <cellStyle name="常规 23 2 6 2 2" xfId="54144"/>
    <cellStyle name="常规 23 2 6 3" xfId="54145"/>
    <cellStyle name="常规 23 3" xfId="3510"/>
    <cellStyle name="常规 23 3 2" xfId="7927"/>
    <cellStyle name="常规 23 3 2 2" xfId="54146"/>
    <cellStyle name="常规 23 3 2 2 2" xfId="54147"/>
    <cellStyle name="常规 23 3 2 2 2 2" xfId="54148"/>
    <cellStyle name="常规 23 3 2 2 3" xfId="54149"/>
    <cellStyle name="常规 23 3 2 3" xfId="54150"/>
    <cellStyle name="常规 23 3 2 3 2" xfId="54151"/>
    <cellStyle name="常规 23 3 2 4" xfId="54152"/>
    <cellStyle name="常规 23 3 3" xfId="54153"/>
    <cellStyle name="常规 23 3 4" xfId="54154"/>
    <cellStyle name="常规 23 3 4 2" xfId="54155"/>
    <cellStyle name="常规 23 3 4 2 2" xfId="54156"/>
    <cellStyle name="常规 23 3 4 3" xfId="54157"/>
    <cellStyle name="常规 23 3 5" xfId="54158"/>
    <cellStyle name="常规 23 3 5 2" xfId="54159"/>
    <cellStyle name="常规 23 3 5 2 2" xfId="54160"/>
    <cellStyle name="常规 23 3 5 3" xfId="54161"/>
    <cellStyle name="常规 23 3 6" xfId="54162"/>
    <cellStyle name="常规 23 3 6 2" xfId="54163"/>
    <cellStyle name="常规 23 3 6 2 2" xfId="54164"/>
    <cellStyle name="常规 23 3 6 3" xfId="54165"/>
    <cellStyle name="常规 23 4" xfId="3511"/>
    <cellStyle name="常规 23 4 2" xfId="7928"/>
    <cellStyle name="常规 23 4 2 2" xfId="54166"/>
    <cellStyle name="常规 23 4 2 2 2" xfId="54167"/>
    <cellStyle name="常规 23 4 2 2 2 2" xfId="54168"/>
    <cellStyle name="常规 23 4 2 2 3" xfId="54169"/>
    <cellStyle name="常规 23 4 2 3" xfId="54170"/>
    <cellStyle name="常规 23 4 2 3 2" xfId="54171"/>
    <cellStyle name="常规 23 4 2 4" xfId="54172"/>
    <cellStyle name="常规 23 4 3" xfId="54173"/>
    <cellStyle name="常规 23 4 4" xfId="54174"/>
    <cellStyle name="常规 23 4 4 2" xfId="54175"/>
    <cellStyle name="常规 23 4 4 2 2" xfId="54176"/>
    <cellStyle name="常规 23 4 4 3" xfId="54177"/>
    <cellStyle name="常规 23 4 5" xfId="54178"/>
    <cellStyle name="常规 23 4 5 2" xfId="54179"/>
    <cellStyle name="常规 23 4 5 2 2" xfId="54180"/>
    <cellStyle name="常规 23 4 5 3" xfId="54181"/>
    <cellStyle name="常规 23 4 6" xfId="54182"/>
    <cellStyle name="常规 23 4 6 2" xfId="54183"/>
    <cellStyle name="常规 23 4 6 2 2" xfId="54184"/>
    <cellStyle name="常规 23 4 6 3" xfId="54185"/>
    <cellStyle name="常规 23 5" xfId="3512"/>
    <cellStyle name="常规 23 5 2" xfId="7929"/>
    <cellStyle name="常规 23 5 2 2" xfId="54186"/>
    <cellStyle name="常规 23 5 2 2 2" xfId="54187"/>
    <cellStyle name="常规 23 5 2 2 2 2" xfId="54188"/>
    <cellStyle name="常规 23 5 2 2 3" xfId="54189"/>
    <cellStyle name="常规 23 5 2 3" xfId="54190"/>
    <cellStyle name="常规 23 5 2 3 2" xfId="54191"/>
    <cellStyle name="常规 23 5 2 4" xfId="54192"/>
    <cellStyle name="常规 23 5 3" xfId="54193"/>
    <cellStyle name="常规 23 5 4" xfId="54194"/>
    <cellStyle name="常规 23 5 4 2" xfId="54195"/>
    <cellStyle name="常规 23 5 4 2 2" xfId="54196"/>
    <cellStyle name="常规 23 5 4 3" xfId="54197"/>
    <cellStyle name="常规 23 5 5" xfId="54198"/>
    <cellStyle name="常规 23 5 5 2" xfId="54199"/>
    <cellStyle name="常规 23 5 5 2 2" xfId="54200"/>
    <cellStyle name="常规 23 5 5 3" xfId="54201"/>
    <cellStyle name="常规 23 5 6" xfId="54202"/>
    <cellStyle name="常规 23 5 6 2" xfId="54203"/>
    <cellStyle name="常规 23 5 6 2 2" xfId="54204"/>
    <cellStyle name="常规 23 5 6 3" xfId="54205"/>
    <cellStyle name="常规 23 6" xfId="3513"/>
    <cellStyle name="常规 23 6 2" xfId="7930"/>
    <cellStyle name="常规 23 6 2 2" xfId="54206"/>
    <cellStyle name="常规 23 6 2 2 2" xfId="54207"/>
    <cellStyle name="常规 23 6 2 2 2 2" xfId="54208"/>
    <cellStyle name="常规 23 6 2 2 3" xfId="54209"/>
    <cellStyle name="常规 23 6 2 3" xfId="54210"/>
    <cellStyle name="常规 23 6 2 3 2" xfId="54211"/>
    <cellStyle name="常规 23 6 2 4" xfId="54212"/>
    <cellStyle name="常规 23 6 3" xfId="54213"/>
    <cellStyle name="常规 23 6 4" xfId="54214"/>
    <cellStyle name="常规 23 6 4 2" xfId="54215"/>
    <cellStyle name="常规 23 6 4 2 2" xfId="54216"/>
    <cellStyle name="常规 23 6 4 3" xfId="54217"/>
    <cellStyle name="常规 23 6 5" xfId="54218"/>
    <cellStyle name="常规 23 6 5 2" xfId="54219"/>
    <cellStyle name="常规 23 6 5 2 2" xfId="54220"/>
    <cellStyle name="常规 23 6 5 3" xfId="54221"/>
    <cellStyle name="常规 23 6 6" xfId="54222"/>
    <cellStyle name="常规 23 6 6 2" xfId="54223"/>
    <cellStyle name="常规 23 6 6 2 2" xfId="54224"/>
    <cellStyle name="常规 23 6 6 3" xfId="54225"/>
    <cellStyle name="常规 23 7" xfId="3514"/>
    <cellStyle name="常规 23 7 2" xfId="7931"/>
    <cellStyle name="常规 23 7 2 2" xfId="54226"/>
    <cellStyle name="常规 23 7 2 2 2" xfId="54227"/>
    <cellStyle name="常规 23 7 2 2 2 2" xfId="54228"/>
    <cellStyle name="常规 23 7 2 2 3" xfId="54229"/>
    <cellStyle name="常规 23 7 2 3" xfId="54230"/>
    <cellStyle name="常规 23 7 2 3 2" xfId="54231"/>
    <cellStyle name="常规 23 7 2 4" xfId="54232"/>
    <cellStyle name="常规 23 7 3" xfId="54233"/>
    <cellStyle name="常规 23 7 4" xfId="54234"/>
    <cellStyle name="常规 23 7 4 2" xfId="54235"/>
    <cellStyle name="常规 23 7 4 2 2" xfId="54236"/>
    <cellStyle name="常规 23 7 4 3" xfId="54237"/>
    <cellStyle name="常规 23 7 5" xfId="54238"/>
    <cellStyle name="常规 23 7 5 2" xfId="54239"/>
    <cellStyle name="常规 23 7 5 2 2" xfId="54240"/>
    <cellStyle name="常规 23 7 5 3" xfId="54241"/>
    <cellStyle name="常规 23 7 6" xfId="54242"/>
    <cellStyle name="常规 23 7 6 2" xfId="54243"/>
    <cellStyle name="常规 23 7 6 2 2" xfId="54244"/>
    <cellStyle name="常规 23 7 6 3" xfId="54245"/>
    <cellStyle name="常规 23 8" xfId="7932"/>
    <cellStyle name="常规 23 8 2" xfId="54246"/>
    <cellStyle name="常规 23 8 2 2" xfId="54247"/>
    <cellStyle name="常规 23 8 2 2 2" xfId="54248"/>
    <cellStyle name="常规 23 8 2 2 2 2" xfId="54249"/>
    <cellStyle name="常规 23 8 2 2 3" xfId="54250"/>
    <cellStyle name="常规 23 8 2 3" xfId="54251"/>
    <cellStyle name="常规 23 8 2 3 2" xfId="54252"/>
    <cellStyle name="常规 23 8 2 4" xfId="54253"/>
    <cellStyle name="常规 23 8 3" xfId="54254"/>
    <cellStyle name="常规 23 8 4" xfId="54255"/>
    <cellStyle name="常规 23 8 4 2" xfId="54256"/>
    <cellStyle name="常规 23 8 4 2 2" xfId="54257"/>
    <cellStyle name="常规 23 8 4 3" xfId="54258"/>
    <cellStyle name="常规 23 8 5" xfId="54259"/>
    <cellStyle name="常规 23 8 5 2" xfId="54260"/>
    <cellStyle name="常规 23 8 5 2 2" xfId="54261"/>
    <cellStyle name="常规 23 8 5 3" xfId="54262"/>
    <cellStyle name="常规 23 8 6" xfId="54263"/>
    <cellStyle name="常规 23 8 6 2" xfId="54264"/>
    <cellStyle name="常规 23 8 6 2 2" xfId="54265"/>
    <cellStyle name="常规 23 8 6 3" xfId="54266"/>
    <cellStyle name="常规 23 9" xfId="7933"/>
    <cellStyle name="常规 23 9 2" xfId="54267"/>
    <cellStyle name="常规 23 9 2 2" xfId="54268"/>
    <cellStyle name="常规 23 9 3" xfId="54269"/>
    <cellStyle name="常规 230" xfId="306"/>
    <cellStyle name="常规 231" xfId="307"/>
    <cellStyle name="常规 232" xfId="308"/>
    <cellStyle name="常规 233" xfId="309"/>
    <cellStyle name="常规 234" xfId="310"/>
    <cellStyle name="常规 235" xfId="311"/>
    <cellStyle name="常规 236" xfId="312"/>
    <cellStyle name="常规 237" xfId="313"/>
    <cellStyle name="常规 238" xfId="314"/>
    <cellStyle name="常规 239" xfId="315"/>
    <cellStyle name="常规 24" xfId="316"/>
    <cellStyle name="常规 24 10" xfId="54270"/>
    <cellStyle name="常规 24 10 2" xfId="54271"/>
    <cellStyle name="常规 24 11" xfId="54272"/>
    <cellStyle name="常规 24 11 2" xfId="54273"/>
    <cellStyle name="常规 24 11 2 2" xfId="54274"/>
    <cellStyle name="常规 24 11 3" xfId="54275"/>
    <cellStyle name="常规 24 12" xfId="54276"/>
    <cellStyle name="常规 24 12 2" xfId="54277"/>
    <cellStyle name="常规 24 12 2 2" xfId="54278"/>
    <cellStyle name="常规 24 12 3" xfId="54279"/>
    <cellStyle name="常规 24 13" xfId="54280"/>
    <cellStyle name="常规 24 13 2" xfId="54281"/>
    <cellStyle name="常规 24 13 2 2" xfId="54282"/>
    <cellStyle name="常规 24 13 3" xfId="54283"/>
    <cellStyle name="常规 24 14" xfId="3515"/>
    <cellStyle name="常规 24 2" xfId="3516"/>
    <cellStyle name="常规 24 2 2" xfId="7935"/>
    <cellStyle name="常规 24 2 2 2" xfId="54284"/>
    <cellStyle name="常规 24 2 2 2 2" xfId="54285"/>
    <cellStyle name="常规 24 2 2 2 2 2" xfId="54286"/>
    <cellStyle name="常规 24 2 2 2 3" xfId="54287"/>
    <cellStyle name="常规 24 2 2 3" xfId="54288"/>
    <cellStyle name="常规 24 2 2 3 2" xfId="54289"/>
    <cellStyle name="常规 24 2 2 4" xfId="54290"/>
    <cellStyle name="常规 24 2 3" xfId="54291"/>
    <cellStyle name="常规 24 2 4" xfId="54292"/>
    <cellStyle name="常规 24 2 4 2" xfId="54293"/>
    <cellStyle name="常规 24 2 4 2 2" xfId="54294"/>
    <cellStyle name="常规 24 2 4 3" xfId="54295"/>
    <cellStyle name="常规 24 2 5" xfId="54296"/>
    <cellStyle name="常规 24 2 5 2" xfId="54297"/>
    <cellStyle name="常规 24 2 5 2 2" xfId="54298"/>
    <cellStyle name="常规 24 2 5 3" xfId="54299"/>
    <cellStyle name="常规 24 2 6" xfId="54300"/>
    <cellStyle name="常规 24 2 6 2" xfId="54301"/>
    <cellStyle name="常规 24 2 6 2 2" xfId="54302"/>
    <cellStyle name="常规 24 2 6 3" xfId="54303"/>
    <cellStyle name="常规 24 3" xfId="3517"/>
    <cellStyle name="常规 24 3 2" xfId="7936"/>
    <cellStyle name="常规 24 3 2 2" xfId="54304"/>
    <cellStyle name="常规 24 3 2 2 2" xfId="54305"/>
    <cellStyle name="常规 24 3 2 2 2 2" xfId="54306"/>
    <cellStyle name="常规 24 3 2 2 3" xfId="54307"/>
    <cellStyle name="常规 24 3 2 3" xfId="54308"/>
    <cellStyle name="常规 24 3 2 3 2" xfId="54309"/>
    <cellStyle name="常规 24 3 2 4" xfId="54310"/>
    <cellStyle name="常规 24 3 3" xfId="54311"/>
    <cellStyle name="常规 24 3 4" xfId="54312"/>
    <cellStyle name="常规 24 3 4 2" xfId="54313"/>
    <cellStyle name="常规 24 3 4 2 2" xfId="54314"/>
    <cellStyle name="常规 24 3 4 3" xfId="54315"/>
    <cellStyle name="常规 24 3 5" xfId="54316"/>
    <cellStyle name="常规 24 3 5 2" xfId="54317"/>
    <cellStyle name="常规 24 3 5 2 2" xfId="54318"/>
    <cellStyle name="常规 24 3 5 3" xfId="54319"/>
    <cellStyle name="常规 24 3 6" xfId="54320"/>
    <cellStyle name="常规 24 3 6 2" xfId="54321"/>
    <cellStyle name="常规 24 3 6 2 2" xfId="54322"/>
    <cellStyle name="常规 24 3 6 3" xfId="54323"/>
    <cellStyle name="常规 24 4" xfId="3518"/>
    <cellStyle name="常规 24 4 2" xfId="54324"/>
    <cellStyle name="常规 24 4 2 2" xfId="54325"/>
    <cellStyle name="常规 24 4 2 2 2" xfId="54326"/>
    <cellStyle name="常规 24 4 2 3" xfId="54327"/>
    <cellStyle name="常规 24 4 3" xfId="54328"/>
    <cellStyle name="常规 24 4 3 2" xfId="54329"/>
    <cellStyle name="常规 24 4 3 2 2" xfId="54330"/>
    <cellStyle name="常规 24 4 3 3" xfId="54331"/>
    <cellStyle name="常规 24 4 4" xfId="54332"/>
    <cellStyle name="常规 24 4 4 2" xfId="54333"/>
    <cellStyle name="常规 24 4 4 2 2" xfId="54334"/>
    <cellStyle name="常规 24 4 4 3" xfId="54335"/>
    <cellStyle name="常规 24 4 5" xfId="54336"/>
    <cellStyle name="常规 24 4 5 2" xfId="54337"/>
    <cellStyle name="常规 24 5" xfId="3519"/>
    <cellStyle name="常规 24 5 2" xfId="54338"/>
    <cellStyle name="常规 24 5 2 2" xfId="54339"/>
    <cellStyle name="常规 24 5 2 2 2" xfId="54340"/>
    <cellStyle name="常规 24 5 2 3" xfId="54341"/>
    <cellStyle name="常规 24 5 3" xfId="54342"/>
    <cellStyle name="常规 24 5 3 2" xfId="54343"/>
    <cellStyle name="常规 24 5 3 2 2" xfId="54344"/>
    <cellStyle name="常规 24 5 3 3" xfId="54345"/>
    <cellStyle name="常规 24 5 4" xfId="54346"/>
    <cellStyle name="常规 24 5 4 2" xfId="54347"/>
    <cellStyle name="常规 24 5 4 2 2" xfId="54348"/>
    <cellStyle name="常规 24 5 4 3" xfId="54349"/>
    <cellStyle name="常规 24 5 5" xfId="54350"/>
    <cellStyle name="常规 24 5 5 2" xfId="54351"/>
    <cellStyle name="常规 24 5 6" xfId="54352"/>
    <cellStyle name="常规 24 6" xfId="3520"/>
    <cellStyle name="常规 24 6 2" xfId="54353"/>
    <cellStyle name="常规 24 6 2 2" xfId="54354"/>
    <cellStyle name="常规 24 6 2 2 2" xfId="54355"/>
    <cellStyle name="常规 24 6 2 3" xfId="54356"/>
    <cellStyle name="常规 24 6 3" xfId="54357"/>
    <cellStyle name="常规 24 6 3 2" xfId="54358"/>
    <cellStyle name="常规 24 6 3 2 2" xfId="54359"/>
    <cellStyle name="常规 24 6 3 3" xfId="54360"/>
    <cellStyle name="常规 24 6 4" xfId="54361"/>
    <cellStyle name="常规 24 6 4 2" xfId="54362"/>
    <cellStyle name="常规 24 6 4 2 2" xfId="54363"/>
    <cellStyle name="常规 24 6 4 3" xfId="54364"/>
    <cellStyle name="常规 24 6 5" xfId="54365"/>
    <cellStyle name="常规 24 6 5 2" xfId="54366"/>
    <cellStyle name="常规 24 6 6" xfId="54367"/>
    <cellStyle name="常规 24 7" xfId="3521"/>
    <cellStyle name="常规 24 7 2" xfId="54368"/>
    <cellStyle name="常规 24 7 2 2" xfId="54369"/>
    <cellStyle name="常规 24 7 2 2 2" xfId="54370"/>
    <cellStyle name="常规 24 7 2 3" xfId="54371"/>
    <cellStyle name="常规 24 7 3" xfId="54372"/>
    <cellStyle name="常规 24 7 3 2" xfId="54373"/>
    <cellStyle name="常规 24 7 3 2 2" xfId="54374"/>
    <cellStyle name="常规 24 7 3 3" xfId="54375"/>
    <cellStyle name="常规 24 7 4" xfId="54376"/>
    <cellStyle name="常规 24 7 4 2" xfId="54377"/>
    <cellStyle name="常规 24 7 4 2 2" xfId="54378"/>
    <cellStyle name="常规 24 7 4 3" xfId="54379"/>
    <cellStyle name="常规 24 7 5" xfId="54380"/>
    <cellStyle name="常规 24 7 5 2" xfId="54381"/>
    <cellStyle name="常规 24 7 6" xfId="54382"/>
    <cellStyle name="常规 24 8" xfId="7934"/>
    <cellStyle name="常规 24 8 2" xfId="54383"/>
    <cellStyle name="常规 24 8 2 2" xfId="54384"/>
    <cellStyle name="常规 24 8 2 2 2" xfId="54385"/>
    <cellStyle name="常规 24 8 2 3" xfId="54386"/>
    <cellStyle name="常规 24 8 3" xfId="54387"/>
    <cellStyle name="常规 24 8 3 2" xfId="54388"/>
    <cellStyle name="常规 24 8 3 2 2" xfId="54389"/>
    <cellStyle name="常规 24 8 3 3" xfId="54390"/>
    <cellStyle name="常规 24 8 4" xfId="54391"/>
    <cellStyle name="常规 24 8 4 2" xfId="54392"/>
    <cellStyle name="常规 24 8 4 2 2" xfId="54393"/>
    <cellStyle name="常规 24 8 4 3" xfId="54394"/>
    <cellStyle name="常规 24 8 5" xfId="54395"/>
    <cellStyle name="常规 24 8 5 2" xfId="54396"/>
    <cellStyle name="常规 24 8 6" xfId="54397"/>
    <cellStyle name="常规 24 9" xfId="54398"/>
    <cellStyle name="常规 24 9 2" xfId="54399"/>
    <cellStyle name="常规 24 9 2 2" xfId="54400"/>
    <cellStyle name="常规 24 9 2 2 2" xfId="54401"/>
    <cellStyle name="常规 24 9 2 3" xfId="54402"/>
    <cellStyle name="常规 24 9 3" xfId="54403"/>
    <cellStyle name="常规 24 9 3 2" xfId="54404"/>
    <cellStyle name="常规 24 9 4" xfId="54405"/>
    <cellStyle name="常规 240" xfId="317"/>
    <cellStyle name="常规 241" xfId="318"/>
    <cellStyle name="常规 242" xfId="319"/>
    <cellStyle name="常规 243" xfId="320"/>
    <cellStyle name="常规 244" xfId="321"/>
    <cellStyle name="常规 245" xfId="322"/>
    <cellStyle name="常规 246" xfId="323"/>
    <cellStyle name="常规 247" xfId="324"/>
    <cellStyle name="常规 248" xfId="325"/>
    <cellStyle name="常规 249" xfId="326"/>
    <cellStyle name="常规 25" xfId="327"/>
    <cellStyle name="常规 25 10" xfId="54406"/>
    <cellStyle name="常规 25 10 2" xfId="54407"/>
    <cellStyle name="常规 25 11" xfId="54408"/>
    <cellStyle name="常规 25 11 2" xfId="54409"/>
    <cellStyle name="常规 25 11 2 2" xfId="54410"/>
    <cellStyle name="常规 25 11 3" xfId="54411"/>
    <cellStyle name="常规 25 12" xfId="54412"/>
    <cellStyle name="常规 25 12 2" xfId="54413"/>
    <cellStyle name="常规 25 12 2 2" xfId="54414"/>
    <cellStyle name="常规 25 12 3" xfId="54415"/>
    <cellStyle name="常规 25 13" xfId="54416"/>
    <cellStyle name="常规 25 13 2" xfId="54417"/>
    <cellStyle name="常规 25 13 2 2" xfId="54418"/>
    <cellStyle name="常规 25 13 3" xfId="54419"/>
    <cellStyle name="常规 25 14" xfId="3522"/>
    <cellStyle name="常规 25 2" xfId="3523"/>
    <cellStyle name="常规 25 2 2" xfId="7938"/>
    <cellStyle name="常规 25 2 2 2" xfId="54420"/>
    <cellStyle name="常规 25 2 2 2 2" xfId="54421"/>
    <cellStyle name="常规 25 2 2 2 2 2" xfId="54422"/>
    <cellStyle name="常规 25 2 2 2 3" xfId="54423"/>
    <cellStyle name="常规 25 2 2 3" xfId="54424"/>
    <cellStyle name="常规 25 2 2 3 2" xfId="54425"/>
    <cellStyle name="常规 25 2 2 4" xfId="54426"/>
    <cellStyle name="常规 25 2 3" xfId="54427"/>
    <cellStyle name="常规 25 2 4" xfId="54428"/>
    <cellStyle name="常规 25 2 4 2" xfId="54429"/>
    <cellStyle name="常规 25 2 4 2 2" xfId="54430"/>
    <cellStyle name="常规 25 2 4 3" xfId="54431"/>
    <cellStyle name="常规 25 2 5" xfId="54432"/>
    <cellStyle name="常规 25 2 5 2" xfId="54433"/>
    <cellStyle name="常规 25 2 5 2 2" xfId="54434"/>
    <cellStyle name="常规 25 2 5 3" xfId="54435"/>
    <cellStyle name="常规 25 2 6" xfId="54436"/>
    <cellStyle name="常规 25 2 6 2" xfId="54437"/>
    <cellStyle name="常规 25 2 6 2 2" xfId="54438"/>
    <cellStyle name="常规 25 2 6 3" xfId="54439"/>
    <cellStyle name="常规 25 3" xfId="3524"/>
    <cellStyle name="常规 25 3 2" xfId="7939"/>
    <cellStyle name="常规 25 3 2 2" xfId="54440"/>
    <cellStyle name="常规 25 3 2 2 2" xfId="54441"/>
    <cellStyle name="常规 25 3 2 2 2 2" xfId="54442"/>
    <cellStyle name="常规 25 3 2 2 3" xfId="54443"/>
    <cellStyle name="常规 25 3 2 3" xfId="54444"/>
    <cellStyle name="常规 25 3 2 3 2" xfId="54445"/>
    <cellStyle name="常规 25 3 2 4" xfId="54446"/>
    <cellStyle name="常规 25 3 3" xfId="54447"/>
    <cellStyle name="常规 25 3 4" xfId="54448"/>
    <cellStyle name="常规 25 3 4 2" xfId="54449"/>
    <cellStyle name="常规 25 3 4 2 2" xfId="54450"/>
    <cellStyle name="常规 25 3 4 3" xfId="54451"/>
    <cellStyle name="常规 25 3 5" xfId="54452"/>
    <cellStyle name="常规 25 3 5 2" xfId="54453"/>
    <cellStyle name="常规 25 3 5 2 2" xfId="54454"/>
    <cellStyle name="常规 25 3 5 3" xfId="54455"/>
    <cellStyle name="常规 25 3 6" xfId="54456"/>
    <cellStyle name="常规 25 3 6 2" xfId="54457"/>
    <cellStyle name="常规 25 3 6 2 2" xfId="54458"/>
    <cellStyle name="常规 25 3 6 3" xfId="54459"/>
    <cellStyle name="常规 25 4" xfId="3525"/>
    <cellStyle name="常规 25 4 2" xfId="54460"/>
    <cellStyle name="常规 25 4 2 2" xfId="54461"/>
    <cellStyle name="常规 25 4 2 2 2" xfId="54462"/>
    <cellStyle name="常规 25 4 2 3" xfId="54463"/>
    <cellStyle name="常规 25 4 3" xfId="54464"/>
    <cellStyle name="常规 25 4 3 2" xfId="54465"/>
    <cellStyle name="常规 25 4 3 2 2" xfId="54466"/>
    <cellStyle name="常规 25 4 3 3" xfId="54467"/>
    <cellStyle name="常规 25 4 4" xfId="54468"/>
    <cellStyle name="常规 25 4 4 2" xfId="54469"/>
    <cellStyle name="常规 25 4 4 2 2" xfId="54470"/>
    <cellStyle name="常规 25 4 4 3" xfId="54471"/>
    <cellStyle name="常规 25 4 5" xfId="54472"/>
    <cellStyle name="常规 25 4 5 2" xfId="54473"/>
    <cellStyle name="常规 25 5" xfId="3526"/>
    <cellStyle name="常规 25 5 2" xfId="54474"/>
    <cellStyle name="常规 25 5 2 2" xfId="54475"/>
    <cellStyle name="常规 25 5 2 2 2" xfId="54476"/>
    <cellStyle name="常规 25 5 2 3" xfId="54477"/>
    <cellStyle name="常规 25 5 3" xfId="54478"/>
    <cellStyle name="常规 25 5 3 2" xfId="54479"/>
    <cellStyle name="常规 25 5 3 2 2" xfId="54480"/>
    <cellStyle name="常规 25 5 3 3" xfId="54481"/>
    <cellStyle name="常规 25 5 4" xfId="54482"/>
    <cellStyle name="常规 25 5 4 2" xfId="54483"/>
    <cellStyle name="常规 25 5 4 2 2" xfId="54484"/>
    <cellStyle name="常规 25 5 4 3" xfId="54485"/>
    <cellStyle name="常规 25 5 5" xfId="54486"/>
    <cellStyle name="常规 25 5 5 2" xfId="54487"/>
    <cellStyle name="常规 25 5 6" xfId="54488"/>
    <cellStyle name="常规 25 6" xfId="3527"/>
    <cellStyle name="常规 25 6 2" xfId="54489"/>
    <cellStyle name="常规 25 6 2 2" xfId="54490"/>
    <cellStyle name="常规 25 6 2 2 2" xfId="54491"/>
    <cellStyle name="常规 25 6 2 3" xfId="54492"/>
    <cellStyle name="常规 25 6 3" xfId="54493"/>
    <cellStyle name="常规 25 6 3 2" xfId="54494"/>
    <cellStyle name="常规 25 6 3 2 2" xfId="54495"/>
    <cellStyle name="常规 25 6 3 3" xfId="54496"/>
    <cellStyle name="常规 25 6 4" xfId="54497"/>
    <cellStyle name="常规 25 6 4 2" xfId="54498"/>
    <cellStyle name="常规 25 6 4 2 2" xfId="54499"/>
    <cellStyle name="常规 25 6 4 3" xfId="54500"/>
    <cellStyle name="常规 25 6 5" xfId="54501"/>
    <cellStyle name="常规 25 6 5 2" xfId="54502"/>
    <cellStyle name="常规 25 6 6" xfId="54503"/>
    <cellStyle name="常规 25 7" xfId="3528"/>
    <cellStyle name="常规 25 7 2" xfId="54504"/>
    <cellStyle name="常规 25 7 2 2" xfId="54505"/>
    <cellStyle name="常规 25 7 2 2 2" xfId="54506"/>
    <cellStyle name="常规 25 7 2 3" xfId="54507"/>
    <cellStyle name="常规 25 7 3" xfId="54508"/>
    <cellStyle name="常规 25 7 3 2" xfId="54509"/>
    <cellStyle name="常规 25 7 3 2 2" xfId="54510"/>
    <cellStyle name="常规 25 7 3 3" xfId="54511"/>
    <cellStyle name="常规 25 7 4" xfId="54512"/>
    <cellStyle name="常规 25 7 4 2" xfId="54513"/>
    <cellStyle name="常规 25 7 4 2 2" xfId="54514"/>
    <cellStyle name="常规 25 7 4 3" xfId="54515"/>
    <cellStyle name="常规 25 7 5" xfId="54516"/>
    <cellStyle name="常规 25 7 5 2" xfId="54517"/>
    <cellStyle name="常规 25 7 6" xfId="54518"/>
    <cellStyle name="常规 25 8" xfId="7937"/>
    <cellStyle name="常规 25 8 2" xfId="54519"/>
    <cellStyle name="常规 25 8 2 2" xfId="54520"/>
    <cellStyle name="常规 25 8 2 2 2" xfId="54521"/>
    <cellStyle name="常规 25 8 2 3" xfId="54522"/>
    <cellStyle name="常规 25 8 3" xfId="54523"/>
    <cellStyle name="常规 25 8 3 2" xfId="54524"/>
    <cellStyle name="常规 25 8 3 2 2" xfId="54525"/>
    <cellStyle name="常规 25 8 3 3" xfId="54526"/>
    <cellStyle name="常规 25 8 4" xfId="54527"/>
    <cellStyle name="常规 25 8 4 2" xfId="54528"/>
    <cellStyle name="常规 25 8 4 2 2" xfId="54529"/>
    <cellStyle name="常规 25 8 4 3" xfId="54530"/>
    <cellStyle name="常规 25 8 5" xfId="54531"/>
    <cellStyle name="常规 25 8 5 2" xfId="54532"/>
    <cellStyle name="常规 25 8 6" xfId="54533"/>
    <cellStyle name="常规 25 9" xfId="54534"/>
    <cellStyle name="常规 25 9 2" xfId="54535"/>
    <cellStyle name="常规 25 9 2 2" xfId="54536"/>
    <cellStyle name="常规 25 9 2 2 2" xfId="54537"/>
    <cellStyle name="常规 25 9 2 3" xfId="54538"/>
    <cellStyle name="常规 25 9 3" xfId="54539"/>
    <cellStyle name="常规 25 9 3 2" xfId="54540"/>
    <cellStyle name="常规 25 9 4" xfId="54541"/>
    <cellStyle name="常规 250" xfId="328"/>
    <cellStyle name="常规 251" xfId="329"/>
    <cellStyle name="常规 252" xfId="330"/>
    <cellStyle name="常规 253" xfId="331"/>
    <cellStyle name="常规 254" xfId="332"/>
    <cellStyle name="常规 255" xfId="333"/>
    <cellStyle name="常规 256" xfId="334"/>
    <cellStyle name="常规 257" xfId="335"/>
    <cellStyle name="常规 258" xfId="336"/>
    <cellStyle name="常规 259" xfId="337"/>
    <cellStyle name="常规 26" xfId="338"/>
    <cellStyle name="常规 26 10" xfId="54542"/>
    <cellStyle name="常规 26 10 2" xfId="54543"/>
    <cellStyle name="常规 26 11" xfId="54544"/>
    <cellStyle name="常规 26 11 2" xfId="54545"/>
    <cellStyle name="常规 26 11 2 2" xfId="54546"/>
    <cellStyle name="常规 26 11 3" xfId="54547"/>
    <cellStyle name="常规 26 12" xfId="54548"/>
    <cellStyle name="常规 26 12 2" xfId="54549"/>
    <cellStyle name="常规 26 12 2 2" xfId="54550"/>
    <cellStyle name="常规 26 12 3" xfId="54551"/>
    <cellStyle name="常规 26 13" xfId="54552"/>
    <cellStyle name="常规 26 13 2" xfId="54553"/>
    <cellStyle name="常规 26 13 2 2" xfId="54554"/>
    <cellStyle name="常规 26 13 3" xfId="54555"/>
    <cellStyle name="常规 26 14" xfId="3529"/>
    <cellStyle name="常规 26 2" xfId="3530"/>
    <cellStyle name="常规 26 2 2" xfId="7941"/>
    <cellStyle name="常规 26 2 2 2" xfId="54556"/>
    <cellStyle name="常规 26 2 2 2 2" xfId="54557"/>
    <cellStyle name="常规 26 2 2 2 2 2" xfId="54558"/>
    <cellStyle name="常规 26 2 2 2 3" xfId="54559"/>
    <cellStyle name="常规 26 2 2 3" xfId="54560"/>
    <cellStyle name="常规 26 2 2 3 2" xfId="54561"/>
    <cellStyle name="常规 26 2 2 4" xfId="54562"/>
    <cellStyle name="常规 26 2 3" xfId="54563"/>
    <cellStyle name="常规 26 2 4" xfId="54564"/>
    <cellStyle name="常规 26 2 4 2" xfId="54565"/>
    <cellStyle name="常规 26 2 4 2 2" xfId="54566"/>
    <cellStyle name="常规 26 2 4 3" xfId="54567"/>
    <cellStyle name="常规 26 2 5" xfId="54568"/>
    <cellStyle name="常规 26 2 5 2" xfId="54569"/>
    <cellStyle name="常规 26 2 5 2 2" xfId="54570"/>
    <cellStyle name="常规 26 2 5 3" xfId="54571"/>
    <cellStyle name="常规 26 2 6" xfId="54572"/>
    <cellStyle name="常规 26 2 6 2" xfId="54573"/>
    <cellStyle name="常规 26 2 6 2 2" xfId="54574"/>
    <cellStyle name="常规 26 2 6 3" xfId="54575"/>
    <cellStyle name="常规 26 3" xfId="3531"/>
    <cellStyle name="常规 26 3 2" xfId="7942"/>
    <cellStyle name="常规 26 3 2 2" xfId="54576"/>
    <cellStyle name="常规 26 3 2 2 2" xfId="54577"/>
    <cellStyle name="常规 26 3 2 2 2 2" xfId="54578"/>
    <cellStyle name="常规 26 3 2 2 3" xfId="54579"/>
    <cellStyle name="常规 26 3 2 3" xfId="54580"/>
    <cellStyle name="常规 26 3 2 3 2" xfId="54581"/>
    <cellStyle name="常规 26 3 2 4" xfId="54582"/>
    <cellStyle name="常规 26 3 3" xfId="54583"/>
    <cellStyle name="常规 26 3 4" xfId="54584"/>
    <cellStyle name="常规 26 3 4 2" xfId="54585"/>
    <cellStyle name="常规 26 3 4 2 2" xfId="54586"/>
    <cellStyle name="常规 26 3 4 3" xfId="54587"/>
    <cellStyle name="常规 26 3 5" xfId="54588"/>
    <cellStyle name="常规 26 3 5 2" xfId="54589"/>
    <cellStyle name="常规 26 3 5 2 2" xfId="54590"/>
    <cellStyle name="常规 26 3 5 3" xfId="54591"/>
    <cellStyle name="常规 26 3 6" xfId="54592"/>
    <cellStyle name="常规 26 3 6 2" xfId="54593"/>
    <cellStyle name="常规 26 3 6 2 2" xfId="54594"/>
    <cellStyle name="常规 26 3 6 3" xfId="54595"/>
    <cellStyle name="常规 26 4" xfId="3532"/>
    <cellStyle name="常规 26 4 2" xfId="54596"/>
    <cellStyle name="常规 26 4 2 2" xfId="54597"/>
    <cellStyle name="常规 26 4 2 2 2" xfId="54598"/>
    <cellStyle name="常规 26 4 2 3" xfId="54599"/>
    <cellStyle name="常规 26 4 3" xfId="54600"/>
    <cellStyle name="常规 26 4 3 2" xfId="54601"/>
    <cellStyle name="常规 26 4 3 2 2" xfId="54602"/>
    <cellStyle name="常规 26 4 3 3" xfId="54603"/>
    <cellStyle name="常规 26 4 4" xfId="54604"/>
    <cellStyle name="常规 26 4 4 2" xfId="54605"/>
    <cellStyle name="常规 26 4 4 2 2" xfId="54606"/>
    <cellStyle name="常规 26 4 4 3" xfId="54607"/>
    <cellStyle name="常规 26 4 5" xfId="54608"/>
    <cellStyle name="常规 26 4 5 2" xfId="54609"/>
    <cellStyle name="常规 26 5" xfId="3533"/>
    <cellStyle name="常规 26 5 2" xfId="54610"/>
    <cellStyle name="常规 26 5 2 2" xfId="54611"/>
    <cellStyle name="常规 26 5 2 2 2" xfId="54612"/>
    <cellStyle name="常规 26 5 2 3" xfId="54613"/>
    <cellStyle name="常规 26 5 3" xfId="54614"/>
    <cellStyle name="常规 26 5 3 2" xfId="54615"/>
    <cellStyle name="常规 26 5 3 2 2" xfId="54616"/>
    <cellStyle name="常规 26 5 3 3" xfId="54617"/>
    <cellStyle name="常规 26 5 4" xfId="54618"/>
    <cellStyle name="常规 26 5 4 2" xfId="54619"/>
    <cellStyle name="常规 26 5 4 2 2" xfId="54620"/>
    <cellStyle name="常规 26 5 4 3" xfId="54621"/>
    <cellStyle name="常规 26 5 5" xfId="54622"/>
    <cellStyle name="常规 26 5 5 2" xfId="54623"/>
    <cellStyle name="常规 26 5 6" xfId="54624"/>
    <cellStyle name="常规 26 6" xfId="3534"/>
    <cellStyle name="常规 26 6 2" xfId="54625"/>
    <cellStyle name="常规 26 6 2 2" xfId="54626"/>
    <cellStyle name="常规 26 6 2 2 2" xfId="54627"/>
    <cellStyle name="常规 26 6 2 3" xfId="54628"/>
    <cellStyle name="常规 26 6 3" xfId="54629"/>
    <cellStyle name="常规 26 6 3 2" xfId="54630"/>
    <cellStyle name="常规 26 6 3 2 2" xfId="54631"/>
    <cellStyle name="常规 26 6 3 3" xfId="54632"/>
    <cellStyle name="常规 26 6 4" xfId="54633"/>
    <cellStyle name="常规 26 6 4 2" xfId="54634"/>
    <cellStyle name="常规 26 6 4 2 2" xfId="54635"/>
    <cellStyle name="常规 26 6 4 3" xfId="54636"/>
    <cellStyle name="常规 26 6 5" xfId="54637"/>
    <cellStyle name="常规 26 6 5 2" xfId="54638"/>
    <cellStyle name="常规 26 6 6" xfId="54639"/>
    <cellStyle name="常规 26 7" xfId="3535"/>
    <cellStyle name="常规 26 7 2" xfId="54640"/>
    <cellStyle name="常规 26 7 2 2" xfId="54641"/>
    <cellStyle name="常规 26 7 2 2 2" xfId="54642"/>
    <cellStyle name="常规 26 7 2 3" xfId="54643"/>
    <cellStyle name="常规 26 7 3" xfId="54644"/>
    <cellStyle name="常规 26 7 3 2" xfId="54645"/>
    <cellStyle name="常规 26 7 3 2 2" xfId="54646"/>
    <cellStyle name="常规 26 7 3 3" xfId="54647"/>
    <cellStyle name="常规 26 7 4" xfId="54648"/>
    <cellStyle name="常规 26 7 4 2" xfId="54649"/>
    <cellStyle name="常规 26 7 4 2 2" xfId="54650"/>
    <cellStyle name="常规 26 7 4 3" xfId="54651"/>
    <cellStyle name="常规 26 7 5" xfId="54652"/>
    <cellStyle name="常规 26 7 5 2" xfId="54653"/>
    <cellStyle name="常规 26 7 6" xfId="54654"/>
    <cellStyle name="常规 26 8" xfId="7940"/>
    <cellStyle name="常规 26 8 2" xfId="54655"/>
    <cellStyle name="常规 26 8 2 2" xfId="54656"/>
    <cellStyle name="常规 26 8 2 2 2" xfId="54657"/>
    <cellStyle name="常规 26 8 2 3" xfId="54658"/>
    <cellStyle name="常规 26 8 3" xfId="54659"/>
    <cellStyle name="常规 26 8 3 2" xfId="54660"/>
    <cellStyle name="常规 26 8 3 2 2" xfId="54661"/>
    <cellStyle name="常规 26 8 3 3" xfId="54662"/>
    <cellStyle name="常规 26 8 4" xfId="54663"/>
    <cellStyle name="常规 26 8 4 2" xfId="54664"/>
    <cellStyle name="常规 26 8 4 2 2" xfId="54665"/>
    <cellStyle name="常规 26 8 4 3" xfId="54666"/>
    <cellStyle name="常规 26 8 5" xfId="54667"/>
    <cellStyle name="常规 26 8 5 2" xfId="54668"/>
    <cellStyle name="常规 26 8 6" xfId="54669"/>
    <cellStyle name="常规 26 9" xfId="54670"/>
    <cellStyle name="常规 26 9 2" xfId="54671"/>
    <cellStyle name="常规 26 9 2 2" xfId="54672"/>
    <cellStyle name="常规 26 9 2 2 2" xfId="54673"/>
    <cellStyle name="常规 26 9 2 3" xfId="54674"/>
    <cellStyle name="常规 26 9 3" xfId="54675"/>
    <cellStyle name="常规 26 9 3 2" xfId="54676"/>
    <cellStyle name="常规 26 9 4" xfId="54677"/>
    <cellStyle name="常规 260" xfId="339"/>
    <cellStyle name="常规 261" xfId="340"/>
    <cellStyle name="常规 262" xfId="341"/>
    <cellStyle name="常规 263" xfId="342"/>
    <cellStyle name="常规 264" xfId="343"/>
    <cellStyle name="常规 265" xfId="344"/>
    <cellStyle name="常规 266" xfId="345"/>
    <cellStyle name="常规 267" xfId="346"/>
    <cellStyle name="常规 268" xfId="347"/>
    <cellStyle name="常规 269" xfId="348"/>
    <cellStyle name="常规 27" xfId="349"/>
    <cellStyle name="常规 27 10" xfId="7944"/>
    <cellStyle name="常规 27 10 2" xfId="54678"/>
    <cellStyle name="常规 27 11" xfId="7945"/>
    <cellStyle name="常规 27 11 2" xfId="54679"/>
    <cellStyle name="常规 27 12" xfId="7943"/>
    <cellStyle name="常规 27 12 2" xfId="54680"/>
    <cellStyle name="常规 27 12 2 2" xfId="54681"/>
    <cellStyle name="常规 27 12 2 2 2" xfId="54682"/>
    <cellStyle name="常规 27 12 2 3" xfId="54683"/>
    <cellStyle name="常规 27 12 3" xfId="54684"/>
    <cellStyle name="常规 27 12 3 2" xfId="54685"/>
    <cellStyle name="常规 27 12 4" xfId="54686"/>
    <cellStyle name="常规 27 13" xfId="54687"/>
    <cellStyle name="常规 27 14" xfId="54688"/>
    <cellStyle name="常规 27 14 2" xfId="54689"/>
    <cellStyle name="常规 27 14 2 2" xfId="54690"/>
    <cellStyle name="常规 27 14 3" xfId="54691"/>
    <cellStyle name="常规 27 15" xfId="54692"/>
    <cellStyle name="常规 27 15 2" xfId="54693"/>
    <cellStyle name="常规 27 15 2 2" xfId="54694"/>
    <cellStyle name="常规 27 15 3" xfId="54695"/>
    <cellStyle name="常规 27 16" xfId="54696"/>
    <cellStyle name="常规 27 16 2" xfId="54697"/>
    <cellStyle name="常规 27 16 2 2" xfId="54698"/>
    <cellStyle name="常规 27 16 3" xfId="54699"/>
    <cellStyle name="常规 27 17" xfId="3536"/>
    <cellStyle name="常规 27 2" xfId="3537"/>
    <cellStyle name="常规 27 2 2" xfId="7946"/>
    <cellStyle name="常规 27 2 2 2" xfId="54700"/>
    <cellStyle name="常规 27 2 2 2 2" xfId="54701"/>
    <cellStyle name="常规 27 2 2 2 2 2" xfId="54702"/>
    <cellStyle name="常规 27 2 2 2 3" xfId="54703"/>
    <cellStyle name="常规 27 2 2 3" xfId="54704"/>
    <cellStyle name="常规 27 2 2 3 2" xfId="54705"/>
    <cellStyle name="常规 27 2 2 4" xfId="54706"/>
    <cellStyle name="常规 27 2 3" xfId="54707"/>
    <cellStyle name="常规 27 2 4" xfId="54708"/>
    <cellStyle name="常规 27 2 4 2" xfId="54709"/>
    <cellStyle name="常规 27 2 4 2 2" xfId="54710"/>
    <cellStyle name="常规 27 2 4 3" xfId="54711"/>
    <cellStyle name="常规 27 2 5" xfId="54712"/>
    <cellStyle name="常规 27 2 5 2" xfId="54713"/>
    <cellStyle name="常规 27 2 5 2 2" xfId="54714"/>
    <cellStyle name="常规 27 2 5 3" xfId="54715"/>
    <cellStyle name="常规 27 2 6" xfId="54716"/>
    <cellStyle name="常规 27 2 6 2" xfId="54717"/>
    <cellStyle name="常规 27 2 6 2 2" xfId="54718"/>
    <cellStyle name="常规 27 2 6 3" xfId="54719"/>
    <cellStyle name="常规 27 3" xfId="3538"/>
    <cellStyle name="常规 27 3 2" xfId="7947"/>
    <cellStyle name="常规 27 3 2 2" xfId="54720"/>
    <cellStyle name="常规 27 3 2 2 2" xfId="54721"/>
    <cellStyle name="常规 27 3 2 2 2 2" xfId="54722"/>
    <cellStyle name="常规 27 3 2 2 3" xfId="54723"/>
    <cellStyle name="常规 27 3 2 3" xfId="54724"/>
    <cellStyle name="常规 27 3 2 3 2" xfId="54725"/>
    <cellStyle name="常规 27 3 2 4" xfId="54726"/>
    <cellStyle name="常规 27 3 3" xfId="54727"/>
    <cellStyle name="常规 27 3 4" xfId="54728"/>
    <cellStyle name="常规 27 3 4 2" xfId="54729"/>
    <cellStyle name="常规 27 3 4 2 2" xfId="54730"/>
    <cellStyle name="常规 27 3 4 3" xfId="54731"/>
    <cellStyle name="常规 27 3 5" xfId="54732"/>
    <cellStyle name="常规 27 3 5 2" xfId="54733"/>
    <cellStyle name="常规 27 3 5 2 2" xfId="54734"/>
    <cellStyle name="常规 27 3 5 3" xfId="54735"/>
    <cellStyle name="常规 27 3 6" xfId="54736"/>
    <cellStyle name="常规 27 3 6 2" xfId="54737"/>
    <cellStyle name="常规 27 3 6 2 2" xfId="54738"/>
    <cellStyle name="常规 27 3 6 3" xfId="54739"/>
    <cellStyle name="常规 27 4" xfId="3539"/>
    <cellStyle name="常规 27 4 2" xfId="7948"/>
    <cellStyle name="常规 27 4 2 2" xfId="54740"/>
    <cellStyle name="常规 27 4 2 2 2" xfId="54741"/>
    <cellStyle name="常规 27 4 2 2 2 2" xfId="54742"/>
    <cellStyle name="常规 27 4 2 2 3" xfId="54743"/>
    <cellStyle name="常规 27 4 2 3" xfId="54744"/>
    <cellStyle name="常规 27 4 2 3 2" xfId="54745"/>
    <cellStyle name="常规 27 4 2 4" xfId="54746"/>
    <cellStyle name="常规 27 4 3" xfId="54747"/>
    <cellStyle name="常规 27 4 4" xfId="54748"/>
    <cellStyle name="常规 27 4 4 2" xfId="54749"/>
    <cellStyle name="常规 27 4 4 2 2" xfId="54750"/>
    <cellStyle name="常规 27 4 4 3" xfId="54751"/>
    <cellStyle name="常规 27 4 5" xfId="54752"/>
    <cellStyle name="常规 27 4 5 2" xfId="54753"/>
    <cellStyle name="常规 27 4 5 2 2" xfId="54754"/>
    <cellStyle name="常规 27 4 5 3" xfId="54755"/>
    <cellStyle name="常规 27 4 6" xfId="54756"/>
    <cellStyle name="常规 27 4 6 2" xfId="54757"/>
    <cellStyle name="常规 27 4 6 2 2" xfId="54758"/>
    <cellStyle name="常规 27 4 6 3" xfId="54759"/>
    <cellStyle name="常规 27 5" xfId="3540"/>
    <cellStyle name="常规 27 5 2" xfId="7949"/>
    <cellStyle name="常规 27 5 2 2" xfId="54760"/>
    <cellStyle name="常规 27 5 2 2 2" xfId="54761"/>
    <cellStyle name="常规 27 5 2 2 2 2" xfId="54762"/>
    <cellStyle name="常规 27 5 2 2 3" xfId="54763"/>
    <cellStyle name="常规 27 5 2 3" xfId="54764"/>
    <cellStyle name="常规 27 5 2 3 2" xfId="54765"/>
    <cellStyle name="常规 27 5 2 4" xfId="54766"/>
    <cellStyle name="常规 27 5 3" xfId="54767"/>
    <cellStyle name="常规 27 5 4" xfId="54768"/>
    <cellStyle name="常规 27 5 4 2" xfId="54769"/>
    <cellStyle name="常规 27 5 4 2 2" xfId="54770"/>
    <cellStyle name="常规 27 5 4 3" xfId="54771"/>
    <cellStyle name="常规 27 5 5" xfId="54772"/>
    <cellStyle name="常规 27 5 5 2" xfId="54773"/>
    <cellStyle name="常规 27 5 5 2 2" xfId="54774"/>
    <cellStyle name="常规 27 5 5 3" xfId="54775"/>
    <cellStyle name="常规 27 5 6" xfId="54776"/>
    <cellStyle name="常规 27 5 6 2" xfId="54777"/>
    <cellStyle name="常规 27 5 6 2 2" xfId="54778"/>
    <cellStyle name="常规 27 5 6 3" xfId="54779"/>
    <cellStyle name="常规 27 6" xfId="3541"/>
    <cellStyle name="常规 27 6 2" xfId="7950"/>
    <cellStyle name="常规 27 6 2 2" xfId="54780"/>
    <cellStyle name="常规 27 6 2 2 2" xfId="54781"/>
    <cellStyle name="常规 27 6 2 2 2 2" xfId="54782"/>
    <cellStyle name="常规 27 6 2 2 3" xfId="54783"/>
    <cellStyle name="常规 27 6 2 3" xfId="54784"/>
    <cellStyle name="常规 27 6 2 3 2" xfId="54785"/>
    <cellStyle name="常规 27 6 2 4" xfId="54786"/>
    <cellStyle name="常规 27 6 3" xfId="54787"/>
    <cellStyle name="常规 27 6 4" xfId="54788"/>
    <cellStyle name="常规 27 6 4 2" xfId="54789"/>
    <cellStyle name="常规 27 6 4 2 2" xfId="54790"/>
    <cellStyle name="常规 27 6 4 3" xfId="54791"/>
    <cellStyle name="常规 27 6 5" xfId="54792"/>
    <cellStyle name="常规 27 6 5 2" xfId="54793"/>
    <cellStyle name="常规 27 6 5 2 2" xfId="54794"/>
    <cellStyle name="常规 27 6 5 3" xfId="54795"/>
    <cellStyle name="常规 27 6 6" xfId="54796"/>
    <cellStyle name="常规 27 6 6 2" xfId="54797"/>
    <cellStyle name="常规 27 6 6 2 2" xfId="54798"/>
    <cellStyle name="常规 27 6 6 3" xfId="54799"/>
    <cellStyle name="常规 27 7" xfId="3542"/>
    <cellStyle name="常规 27 7 2" xfId="7951"/>
    <cellStyle name="常规 27 7 2 2" xfId="54800"/>
    <cellStyle name="常规 27 7 2 2 2" xfId="54801"/>
    <cellStyle name="常规 27 7 2 2 2 2" xfId="54802"/>
    <cellStyle name="常规 27 7 2 2 3" xfId="54803"/>
    <cellStyle name="常规 27 7 2 3" xfId="54804"/>
    <cellStyle name="常规 27 7 2 3 2" xfId="54805"/>
    <cellStyle name="常规 27 7 2 4" xfId="54806"/>
    <cellStyle name="常规 27 7 3" xfId="54807"/>
    <cellStyle name="常规 27 7 4" xfId="54808"/>
    <cellStyle name="常规 27 7 4 2" xfId="54809"/>
    <cellStyle name="常规 27 7 4 2 2" xfId="54810"/>
    <cellStyle name="常规 27 7 4 3" xfId="54811"/>
    <cellStyle name="常规 27 7 5" xfId="54812"/>
    <cellStyle name="常规 27 7 5 2" xfId="54813"/>
    <cellStyle name="常规 27 7 5 2 2" xfId="54814"/>
    <cellStyle name="常规 27 7 5 3" xfId="54815"/>
    <cellStyle name="常规 27 7 6" xfId="54816"/>
    <cellStyle name="常规 27 7 6 2" xfId="54817"/>
    <cellStyle name="常规 27 7 6 2 2" xfId="54818"/>
    <cellStyle name="常规 27 7 6 3" xfId="54819"/>
    <cellStyle name="常规 27 8" xfId="7952"/>
    <cellStyle name="常规 27 8 2" xfId="54820"/>
    <cellStyle name="常规 27 8 2 2" xfId="54821"/>
    <cellStyle name="常规 27 8 2 2 2" xfId="54822"/>
    <cellStyle name="常规 27 8 2 2 2 2" xfId="54823"/>
    <cellStyle name="常规 27 8 2 2 3" xfId="54824"/>
    <cellStyle name="常规 27 8 2 3" xfId="54825"/>
    <cellStyle name="常规 27 8 2 3 2" xfId="54826"/>
    <cellStyle name="常规 27 8 2 4" xfId="54827"/>
    <cellStyle name="常规 27 8 3" xfId="54828"/>
    <cellStyle name="常规 27 8 4" xfId="54829"/>
    <cellStyle name="常规 27 8 4 2" xfId="54830"/>
    <cellStyle name="常规 27 8 4 2 2" xfId="54831"/>
    <cellStyle name="常规 27 8 4 3" xfId="54832"/>
    <cellStyle name="常规 27 8 5" xfId="54833"/>
    <cellStyle name="常规 27 8 5 2" xfId="54834"/>
    <cellStyle name="常规 27 8 5 2 2" xfId="54835"/>
    <cellStyle name="常规 27 8 5 3" xfId="54836"/>
    <cellStyle name="常规 27 8 6" xfId="54837"/>
    <cellStyle name="常规 27 8 6 2" xfId="54838"/>
    <cellStyle name="常规 27 8 6 2 2" xfId="54839"/>
    <cellStyle name="常规 27 8 6 3" xfId="54840"/>
    <cellStyle name="常规 27 9" xfId="7953"/>
    <cellStyle name="常规 27 9 2" xfId="54841"/>
    <cellStyle name="常规 27 9 2 2" xfId="54842"/>
    <cellStyle name="常规 27 9 3" xfId="54843"/>
    <cellStyle name="常规 270" xfId="350"/>
    <cellStyle name="常规 271" xfId="351"/>
    <cellStyle name="常规 272" xfId="352"/>
    <cellStyle name="常规 273" xfId="353"/>
    <cellStyle name="常规 274" xfId="354"/>
    <cellStyle name="常规 275" xfId="355"/>
    <cellStyle name="常规 276" xfId="356"/>
    <cellStyle name="常规 277" xfId="357"/>
    <cellStyle name="常规 278" xfId="358"/>
    <cellStyle name="常规 279" xfId="359"/>
    <cellStyle name="常规 28" xfId="360"/>
    <cellStyle name="常规 28 10" xfId="54844"/>
    <cellStyle name="常规 28 10 2" xfId="54845"/>
    <cellStyle name="常规 28 11" xfId="54846"/>
    <cellStyle name="常规 28 11 2" xfId="54847"/>
    <cellStyle name="常规 28 11 2 2" xfId="54848"/>
    <cellStyle name="常规 28 11 3" xfId="54849"/>
    <cellStyle name="常规 28 12" xfId="54850"/>
    <cellStyle name="常规 28 12 2" xfId="54851"/>
    <cellStyle name="常规 28 12 2 2" xfId="54852"/>
    <cellStyle name="常规 28 12 3" xfId="54853"/>
    <cellStyle name="常规 28 13" xfId="54854"/>
    <cellStyle name="常规 28 13 2" xfId="54855"/>
    <cellStyle name="常规 28 13 2 2" xfId="54856"/>
    <cellStyle name="常规 28 13 3" xfId="54857"/>
    <cellStyle name="常规 28 14" xfId="3543"/>
    <cellStyle name="常规 28 15" xfId="61138"/>
    <cellStyle name="常规 28 2" xfId="3544"/>
    <cellStyle name="常规 28 2 2" xfId="7955"/>
    <cellStyle name="常规 28 2 2 2" xfId="54858"/>
    <cellStyle name="常规 28 2 2 2 2" xfId="54859"/>
    <cellStyle name="常规 28 2 2 2 2 2" xfId="54860"/>
    <cellStyle name="常规 28 2 2 2 3" xfId="54861"/>
    <cellStyle name="常规 28 2 2 3" xfId="54862"/>
    <cellStyle name="常规 28 2 2 3 2" xfId="54863"/>
    <cellStyle name="常规 28 2 2 4" xfId="54864"/>
    <cellStyle name="常规 28 2 3" xfId="54865"/>
    <cellStyle name="常规 28 2 4" xfId="54866"/>
    <cellStyle name="常规 28 2 4 2" xfId="54867"/>
    <cellStyle name="常规 28 2 4 2 2" xfId="54868"/>
    <cellStyle name="常规 28 2 4 3" xfId="54869"/>
    <cellStyle name="常规 28 2 5" xfId="54870"/>
    <cellStyle name="常规 28 2 5 2" xfId="54871"/>
    <cellStyle name="常规 28 2 5 2 2" xfId="54872"/>
    <cellStyle name="常规 28 2 5 3" xfId="54873"/>
    <cellStyle name="常规 28 2 6" xfId="54874"/>
    <cellStyle name="常规 28 2 6 2" xfId="54875"/>
    <cellStyle name="常规 28 2 6 2 2" xfId="54876"/>
    <cellStyle name="常规 28 2 6 3" xfId="54877"/>
    <cellStyle name="常规 28 3" xfId="3545"/>
    <cellStyle name="常规 28 3 2" xfId="7956"/>
    <cellStyle name="常规 28 3 2 2" xfId="54878"/>
    <cellStyle name="常规 28 3 2 2 2" xfId="54879"/>
    <cellStyle name="常规 28 3 2 2 2 2" xfId="54880"/>
    <cellStyle name="常规 28 3 2 2 3" xfId="54881"/>
    <cellStyle name="常规 28 3 2 3" xfId="54882"/>
    <cellStyle name="常规 28 3 2 3 2" xfId="54883"/>
    <cellStyle name="常规 28 3 2 4" xfId="54884"/>
    <cellStyle name="常规 28 3 3" xfId="54885"/>
    <cellStyle name="常规 28 3 4" xfId="54886"/>
    <cellStyle name="常规 28 3 4 2" xfId="54887"/>
    <cellStyle name="常规 28 3 4 2 2" xfId="54888"/>
    <cellStyle name="常规 28 3 4 3" xfId="54889"/>
    <cellStyle name="常规 28 3 5" xfId="54890"/>
    <cellStyle name="常规 28 3 5 2" xfId="54891"/>
    <cellStyle name="常规 28 3 5 2 2" xfId="54892"/>
    <cellStyle name="常规 28 3 5 3" xfId="54893"/>
    <cellStyle name="常规 28 3 6" xfId="54894"/>
    <cellStyle name="常规 28 3 6 2" xfId="54895"/>
    <cellStyle name="常规 28 3 6 2 2" xfId="54896"/>
    <cellStyle name="常规 28 3 6 3" xfId="54897"/>
    <cellStyle name="常规 28 4" xfId="3546"/>
    <cellStyle name="常规 28 4 2" xfId="54898"/>
    <cellStyle name="常规 28 4 2 2" xfId="54899"/>
    <cellStyle name="常规 28 4 2 2 2" xfId="54900"/>
    <cellStyle name="常规 28 4 2 3" xfId="54901"/>
    <cellStyle name="常规 28 4 3" xfId="54902"/>
    <cellStyle name="常规 28 4 3 2" xfId="54903"/>
    <cellStyle name="常规 28 4 3 2 2" xfId="54904"/>
    <cellStyle name="常规 28 4 3 3" xfId="54905"/>
    <cellStyle name="常规 28 4 4" xfId="54906"/>
    <cellStyle name="常规 28 4 4 2" xfId="54907"/>
    <cellStyle name="常规 28 4 4 2 2" xfId="54908"/>
    <cellStyle name="常规 28 4 4 3" xfId="54909"/>
    <cellStyle name="常规 28 4 5" xfId="54910"/>
    <cellStyle name="常规 28 4 5 2" xfId="54911"/>
    <cellStyle name="常规 28 5" xfId="3547"/>
    <cellStyle name="常规 28 5 2" xfId="54912"/>
    <cellStyle name="常规 28 5 2 2" xfId="54913"/>
    <cellStyle name="常规 28 5 2 2 2" xfId="54914"/>
    <cellStyle name="常规 28 5 2 3" xfId="54915"/>
    <cellStyle name="常规 28 5 3" xfId="54916"/>
    <cellStyle name="常规 28 5 3 2" xfId="54917"/>
    <cellStyle name="常规 28 5 3 2 2" xfId="54918"/>
    <cellStyle name="常规 28 5 3 3" xfId="54919"/>
    <cellStyle name="常规 28 5 4" xfId="54920"/>
    <cellStyle name="常规 28 5 4 2" xfId="54921"/>
    <cellStyle name="常规 28 5 4 2 2" xfId="54922"/>
    <cellStyle name="常规 28 5 4 3" xfId="54923"/>
    <cellStyle name="常规 28 5 5" xfId="54924"/>
    <cellStyle name="常规 28 5 5 2" xfId="54925"/>
    <cellStyle name="常规 28 5 6" xfId="54926"/>
    <cellStyle name="常规 28 6" xfId="3548"/>
    <cellStyle name="常规 28 6 2" xfId="54927"/>
    <cellStyle name="常规 28 6 2 2" xfId="54928"/>
    <cellStyle name="常规 28 6 2 2 2" xfId="54929"/>
    <cellStyle name="常规 28 6 2 3" xfId="54930"/>
    <cellStyle name="常规 28 6 3" xfId="54931"/>
    <cellStyle name="常规 28 6 3 2" xfId="54932"/>
    <cellStyle name="常规 28 6 3 2 2" xfId="54933"/>
    <cellStyle name="常规 28 6 3 3" xfId="54934"/>
    <cellStyle name="常规 28 6 4" xfId="54935"/>
    <cellStyle name="常规 28 6 4 2" xfId="54936"/>
    <cellStyle name="常规 28 6 4 2 2" xfId="54937"/>
    <cellStyle name="常规 28 6 4 3" xfId="54938"/>
    <cellStyle name="常规 28 6 5" xfId="54939"/>
    <cellStyle name="常规 28 6 5 2" xfId="54940"/>
    <cellStyle name="常规 28 6 6" xfId="54941"/>
    <cellStyle name="常规 28 7" xfId="3549"/>
    <cellStyle name="常规 28 7 2" xfId="54942"/>
    <cellStyle name="常规 28 7 2 2" xfId="54943"/>
    <cellStyle name="常规 28 7 2 2 2" xfId="54944"/>
    <cellStyle name="常规 28 7 2 3" xfId="54945"/>
    <cellStyle name="常规 28 7 3" xfId="54946"/>
    <cellStyle name="常规 28 7 3 2" xfId="54947"/>
    <cellStyle name="常规 28 7 3 2 2" xfId="54948"/>
    <cellStyle name="常规 28 7 3 3" xfId="54949"/>
    <cellStyle name="常规 28 7 4" xfId="54950"/>
    <cellStyle name="常规 28 7 4 2" xfId="54951"/>
    <cellStyle name="常规 28 7 4 2 2" xfId="54952"/>
    <cellStyle name="常规 28 7 4 3" xfId="54953"/>
    <cellStyle name="常规 28 7 5" xfId="54954"/>
    <cellStyle name="常规 28 7 5 2" xfId="54955"/>
    <cellStyle name="常规 28 7 6" xfId="54956"/>
    <cellStyle name="常规 28 8" xfId="7954"/>
    <cellStyle name="常规 28 8 2" xfId="54957"/>
    <cellStyle name="常规 28 8 2 2" xfId="54958"/>
    <cellStyle name="常规 28 8 2 2 2" xfId="54959"/>
    <cellStyle name="常规 28 8 2 3" xfId="54960"/>
    <cellStyle name="常规 28 8 3" xfId="54961"/>
    <cellStyle name="常规 28 8 3 2" xfId="54962"/>
    <cellStyle name="常规 28 8 3 2 2" xfId="54963"/>
    <cellStyle name="常规 28 8 3 3" xfId="54964"/>
    <cellStyle name="常规 28 8 4" xfId="54965"/>
    <cellStyle name="常规 28 8 4 2" xfId="54966"/>
    <cellStyle name="常规 28 8 4 2 2" xfId="54967"/>
    <cellStyle name="常规 28 8 4 3" xfId="54968"/>
    <cellStyle name="常规 28 8 5" xfId="54969"/>
    <cellStyle name="常规 28 8 5 2" xfId="54970"/>
    <cellStyle name="常规 28 8 6" xfId="54971"/>
    <cellStyle name="常规 28 9" xfId="54972"/>
    <cellStyle name="常规 28 9 2" xfId="54973"/>
    <cellStyle name="常规 28 9 2 2" xfId="54974"/>
    <cellStyle name="常规 28 9 2 2 2" xfId="54975"/>
    <cellStyle name="常规 28 9 2 3" xfId="54976"/>
    <cellStyle name="常规 28 9 3" xfId="54977"/>
    <cellStyle name="常规 28 9 3 2" xfId="54978"/>
    <cellStyle name="常规 28 9 4" xfId="54979"/>
    <cellStyle name="常规 280" xfId="361"/>
    <cellStyle name="常规 281" xfId="362"/>
    <cellStyle name="常规 282" xfId="363"/>
    <cellStyle name="常规 283" xfId="364"/>
    <cellStyle name="常规 284" xfId="365"/>
    <cellStyle name="常规 285" xfId="366"/>
    <cellStyle name="常规 286" xfId="367"/>
    <cellStyle name="常规 287" xfId="368"/>
    <cellStyle name="常规 288" xfId="369"/>
    <cellStyle name="常规 289" xfId="370"/>
    <cellStyle name="常规 29" xfId="371"/>
    <cellStyle name="常规 29 10" xfId="54980"/>
    <cellStyle name="常规 29 10 2" xfId="54981"/>
    <cellStyle name="常规 29 11" xfId="54982"/>
    <cellStyle name="常规 29 11 2" xfId="54983"/>
    <cellStyle name="常规 29 11 2 2" xfId="54984"/>
    <cellStyle name="常规 29 11 3" xfId="54985"/>
    <cellStyle name="常规 29 12" xfId="54986"/>
    <cellStyle name="常规 29 12 2" xfId="54987"/>
    <cellStyle name="常规 29 12 2 2" xfId="54988"/>
    <cellStyle name="常规 29 12 3" xfId="54989"/>
    <cellStyle name="常规 29 13" xfId="54990"/>
    <cellStyle name="常规 29 13 2" xfId="54991"/>
    <cellStyle name="常规 29 13 2 2" xfId="54992"/>
    <cellStyle name="常规 29 13 3" xfId="54993"/>
    <cellStyle name="常规 29 14" xfId="3550"/>
    <cellStyle name="常规 29 2" xfId="3551"/>
    <cellStyle name="常规 29 2 2" xfId="7958"/>
    <cellStyle name="常规 29 2 2 2" xfId="54994"/>
    <cellStyle name="常规 29 2 2 2 2" xfId="54995"/>
    <cellStyle name="常规 29 2 2 2 2 2" xfId="54996"/>
    <cellStyle name="常规 29 2 2 2 3" xfId="54997"/>
    <cellStyle name="常规 29 2 2 3" xfId="54998"/>
    <cellStyle name="常规 29 2 2 3 2" xfId="54999"/>
    <cellStyle name="常规 29 2 2 4" xfId="55000"/>
    <cellStyle name="常规 29 2 3" xfId="55001"/>
    <cellStyle name="常规 29 2 4" xfId="55002"/>
    <cellStyle name="常规 29 2 4 2" xfId="55003"/>
    <cellStyle name="常规 29 2 4 2 2" xfId="55004"/>
    <cellStyle name="常规 29 2 4 3" xfId="55005"/>
    <cellStyle name="常规 29 2 5" xfId="55006"/>
    <cellStyle name="常规 29 2 5 2" xfId="55007"/>
    <cellStyle name="常规 29 2 5 2 2" xfId="55008"/>
    <cellStyle name="常规 29 2 5 3" xfId="55009"/>
    <cellStyle name="常规 29 2 6" xfId="55010"/>
    <cellStyle name="常规 29 2 6 2" xfId="55011"/>
    <cellStyle name="常规 29 2 6 2 2" xfId="55012"/>
    <cellStyle name="常规 29 2 6 3" xfId="55013"/>
    <cellStyle name="常规 29 3" xfId="3552"/>
    <cellStyle name="常规 29 3 2" xfId="7959"/>
    <cellStyle name="常规 29 3 2 2" xfId="55014"/>
    <cellStyle name="常规 29 3 2 2 2" xfId="55015"/>
    <cellStyle name="常规 29 3 2 2 2 2" xfId="55016"/>
    <cellStyle name="常规 29 3 2 2 3" xfId="55017"/>
    <cellStyle name="常规 29 3 2 3" xfId="55018"/>
    <cellStyle name="常规 29 3 2 3 2" xfId="55019"/>
    <cellStyle name="常规 29 3 2 4" xfId="55020"/>
    <cellStyle name="常规 29 3 3" xfId="55021"/>
    <cellStyle name="常规 29 3 4" xfId="55022"/>
    <cellStyle name="常规 29 3 4 2" xfId="55023"/>
    <cellStyle name="常规 29 3 4 2 2" xfId="55024"/>
    <cellStyle name="常规 29 3 4 3" xfId="55025"/>
    <cellStyle name="常规 29 3 5" xfId="55026"/>
    <cellStyle name="常规 29 3 5 2" xfId="55027"/>
    <cellStyle name="常规 29 3 5 2 2" xfId="55028"/>
    <cellStyle name="常规 29 3 5 3" xfId="55029"/>
    <cellStyle name="常规 29 3 6" xfId="55030"/>
    <cellStyle name="常规 29 3 6 2" xfId="55031"/>
    <cellStyle name="常规 29 3 6 2 2" xfId="55032"/>
    <cellStyle name="常规 29 3 6 3" xfId="55033"/>
    <cellStyle name="常规 29 4" xfId="3553"/>
    <cellStyle name="常规 29 4 2" xfId="55034"/>
    <cellStyle name="常规 29 4 2 2" xfId="55035"/>
    <cellStyle name="常规 29 4 2 2 2" xfId="55036"/>
    <cellStyle name="常规 29 4 2 3" xfId="55037"/>
    <cellStyle name="常规 29 4 3" xfId="55038"/>
    <cellStyle name="常规 29 4 3 2" xfId="55039"/>
    <cellStyle name="常规 29 4 3 2 2" xfId="55040"/>
    <cellStyle name="常规 29 4 3 3" xfId="55041"/>
    <cellStyle name="常规 29 4 4" xfId="55042"/>
    <cellStyle name="常规 29 4 4 2" xfId="55043"/>
    <cellStyle name="常规 29 4 4 2 2" xfId="55044"/>
    <cellStyle name="常规 29 4 4 3" xfId="55045"/>
    <cellStyle name="常规 29 4 5" xfId="55046"/>
    <cellStyle name="常规 29 4 5 2" xfId="55047"/>
    <cellStyle name="常规 29 5" xfId="3554"/>
    <cellStyle name="常规 29 5 2" xfId="55048"/>
    <cellStyle name="常规 29 5 2 2" xfId="55049"/>
    <cellStyle name="常规 29 5 2 2 2" xfId="55050"/>
    <cellStyle name="常规 29 5 2 3" xfId="55051"/>
    <cellStyle name="常规 29 5 3" xfId="55052"/>
    <cellStyle name="常规 29 5 3 2" xfId="55053"/>
    <cellStyle name="常规 29 5 3 2 2" xfId="55054"/>
    <cellStyle name="常规 29 5 3 3" xfId="55055"/>
    <cellStyle name="常规 29 5 4" xfId="55056"/>
    <cellStyle name="常规 29 5 4 2" xfId="55057"/>
    <cellStyle name="常规 29 5 4 2 2" xfId="55058"/>
    <cellStyle name="常规 29 5 4 3" xfId="55059"/>
    <cellStyle name="常规 29 5 5" xfId="55060"/>
    <cellStyle name="常规 29 5 5 2" xfId="55061"/>
    <cellStyle name="常规 29 5 6" xfId="55062"/>
    <cellStyle name="常规 29 6" xfId="3555"/>
    <cellStyle name="常规 29 6 2" xfId="55063"/>
    <cellStyle name="常规 29 6 2 2" xfId="55064"/>
    <cellStyle name="常规 29 6 2 2 2" xfId="55065"/>
    <cellStyle name="常规 29 6 2 3" xfId="55066"/>
    <cellStyle name="常规 29 6 3" xfId="55067"/>
    <cellStyle name="常规 29 6 3 2" xfId="55068"/>
    <cellStyle name="常规 29 6 3 2 2" xfId="55069"/>
    <cellStyle name="常规 29 6 3 3" xfId="55070"/>
    <cellStyle name="常规 29 6 4" xfId="55071"/>
    <cellStyle name="常规 29 6 4 2" xfId="55072"/>
    <cellStyle name="常规 29 6 4 2 2" xfId="55073"/>
    <cellStyle name="常规 29 6 4 3" xfId="55074"/>
    <cellStyle name="常规 29 6 5" xfId="55075"/>
    <cellStyle name="常规 29 6 5 2" xfId="55076"/>
    <cellStyle name="常规 29 6 6" xfId="55077"/>
    <cellStyle name="常规 29 7" xfId="3556"/>
    <cellStyle name="常规 29 7 2" xfId="55078"/>
    <cellStyle name="常规 29 7 2 2" xfId="55079"/>
    <cellStyle name="常规 29 7 2 2 2" xfId="55080"/>
    <cellStyle name="常规 29 7 2 3" xfId="55081"/>
    <cellStyle name="常规 29 7 3" xfId="55082"/>
    <cellStyle name="常规 29 7 3 2" xfId="55083"/>
    <cellStyle name="常规 29 7 3 2 2" xfId="55084"/>
    <cellStyle name="常规 29 7 3 3" xfId="55085"/>
    <cellStyle name="常规 29 7 4" xfId="55086"/>
    <cellStyle name="常规 29 7 4 2" xfId="55087"/>
    <cellStyle name="常规 29 7 4 2 2" xfId="55088"/>
    <cellStyle name="常规 29 7 4 3" xfId="55089"/>
    <cellStyle name="常规 29 7 5" xfId="55090"/>
    <cellStyle name="常规 29 7 5 2" xfId="55091"/>
    <cellStyle name="常规 29 7 6" xfId="55092"/>
    <cellStyle name="常规 29 8" xfId="7957"/>
    <cellStyle name="常规 29 8 2" xfId="55093"/>
    <cellStyle name="常规 29 8 2 2" xfId="55094"/>
    <cellStyle name="常规 29 8 2 2 2" xfId="55095"/>
    <cellStyle name="常规 29 8 2 3" xfId="55096"/>
    <cellStyle name="常规 29 8 3" xfId="55097"/>
    <cellStyle name="常规 29 8 3 2" xfId="55098"/>
    <cellStyle name="常规 29 8 3 2 2" xfId="55099"/>
    <cellStyle name="常规 29 8 3 3" xfId="55100"/>
    <cellStyle name="常规 29 8 4" xfId="55101"/>
    <cellStyle name="常规 29 8 4 2" xfId="55102"/>
    <cellStyle name="常规 29 8 4 2 2" xfId="55103"/>
    <cellStyle name="常规 29 8 4 3" xfId="55104"/>
    <cellStyle name="常规 29 8 5" xfId="55105"/>
    <cellStyle name="常规 29 8 5 2" xfId="55106"/>
    <cellStyle name="常规 29 8 6" xfId="55107"/>
    <cellStyle name="常规 29 9" xfId="55108"/>
    <cellStyle name="常规 29 9 2" xfId="55109"/>
    <cellStyle name="常规 29 9 2 2" xfId="55110"/>
    <cellStyle name="常规 29 9 2 2 2" xfId="55111"/>
    <cellStyle name="常规 29 9 2 3" xfId="55112"/>
    <cellStyle name="常规 29 9 3" xfId="55113"/>
    <cellStyle name="常规 29 9 3 2" xfId="55114"/>
    <cellStyle name="常规 29 9 4" xfId="55115"/>
    <cellStyle name="常规 290" xfId="372"/>
    <cellStyle name="常规 291" xfId="373"/>
    <cellStyle name="常规 292" xfId="374"/>
    <cellStyle name="常规 293" xfId="375"/>
    <cellStyle name="常规 294" xfId="376"/>
    <cellStyle name="常规 295" xfId="377"/>
    <cellStyle name="常规 296" xfId="378"/>
    <cellStyle name="常规 297" xfId="379"/>
    <cellStyle name="常规 298" xfId="380"/>
    <cellStyle name="常规 299" xfId="381"/>
    <cellStyle name="常规 3" xfId="39"/>
    <cellStyle name="常规 3 10" xfId="7961"/>
    <cellStyle name="常规 3 10 2" xfId="55116"/>
    <cellStyle name="常规 3 11" xfId="7962"/>
    <cellStyle name="常规 3 11 2" xfId="55117"/>
    <cellStyle name="常规 3 12" xfId="7963"/>
    <cellStyle name="常规 3 12 2" xfId="11347"/>
    <cellStyle name="常规 3 13" xfId="7964"/>
    <cellStyle name="常规 3 14" xfId="7960"/>
    <cellStyle name="常规 3 14 2" xfId="24807"/>
    <cellStyle name="常规 3 15" xfId="749"/>
    <cellStyle name="常规 3 16" xfId="60832"/>
    <cellStyle name="常规 3 17" xfId="60984"/>
    <cellStyle name="常规 3 18" xfId="382"/>
    <cellStyle name="常规 3 19" xfId="61139"/>
    <cellStyle name="常规 3 2" xfId="383"/>
    <cellStyle name="常规 3 2 2" xfId="3557"/>
    <cellStyle name="常规 3 2 2 10" xfId="55118"/>
    <cellStyle name="常规 3 2 2 11" xfId="55119"/>
    <cellStyle name="常规 3 2 2 2" xfId="3558"/>
    <cellStyle name="常规 3 2 2 2 2" xfId="3559"/>
    <cellStyle name="常规 3 2 2 2 2 2" xfId="7968"/>
    <cellStyle name="常规 3 2 2 2 3" xfId="7967"/>
    <cellStyle name="常规 3 2 2 2 4" xfId="55120"/>
    <cellStyle name="常规 3 2 2 3" xfId="24808"/>
    <cellStyle name="常规 3 2 2 3 2" xfId="24809"/>
    <cellStyle name="常规 3 2 2 4" xfId="55121"/>
    <cellStyle name="常规 3 2 2 5" xfId="55122"/>
    <cellStyle name="常规 3 2 2 6" xfId="55123"/>
    <cellStyle name="常规 3 2 2 7" xfId="55124"/>
    <cellStyle name="常规 3 2 2 8" xfId="55125"/>
    <cellStyle name="常规 3 2 2 9" xfId="55126"/>
    <cellStyle name="常规 3 2 3" xfId="3560"/>
    <cellStyle name="常规 3 2 3 2" xfId="24810"/>
    <cellStyle name="常规 3 2 3 3" xfId="55127"/>
    <cellStyle name="常规 3 2 3 4" xfId="55128"/>
    <cellStyle name="常规 3 2 4" xfId="3561"/>
    <cellStyle name="常规 3 2 4 2" xfId="24811"/>
    <cellStyle name="常规 3 2 5" xfId="55129"/>
    <cellStyle name="常规 3 2 6" xfId="55130"/>
    <cellStyle name="常规 3 2 6 2" xfId="55131"/>
    <cellStyle name="常规 3 2 7" xfId="750"/>
    <cellStyle name="常规 3 2 8" xfId="61140"/>
    <cellStyle name="常规 3 2_試験・研修" xfId="7970"/>
    <cellStyle name="常规 3 3" xfId="3562"/>
    <cellStyle name="常规 3 3 10" xfId="55132"/>
    <cellStyle name="常规 3 3 11" xfId="55133"/>
    <cellStyle name="常规 3 3 2" xfId="3563"/>
    <cellStyle name="常规 3 3 2 2" xfId="55134"/>
    <cellStyle name="常规 3 3 2 3" xfId="55135"/>
    <cellStyle name="常规 3 3 2 4" xfId="55136"/>
    <cellStyle name="常规 3 3 3" xfId="3564"/>
    <cellStyle name="常规 3 3 3 2" xfId="55137"/>
    <cellStyle name="常规 3 3 3 3" xfId="55138"/>
    <cellStyle name="常规 3 3 3 4" xfId="55139"/>
    <cellStyle name="常规 3 3 4" xfId="55140"/>
    <cellStyle name="常规 3 3 5" xfId="55141"/>
    <cellStyle name="常规 3 3 6" xfId="55142"/>
    <cellStyle name="常规 3 3 7" xfId="55143"/>
    <cellStyle name="常规 3 3 8" xfId="55144"/>
    <cellStyle name="常规 3 3 9" xfId="55145"/>
    <cellStyle name="常规 3 4" xfId="3565"/>
    <cellStyle name="常规 3 4 2" xfId="3566"/>
    <cellStyle name="常规 3 4 2 2" xfId="55146"/>
    <cellStyle name="常规 3 4 2 3" xfId="55147"/>
    <cellStyle name="常规 3 4 2 4" xfId="55148"/>
    <cellStyle name="常规 3 4 3" xfId="3567"/>
    <cellStyle name="常规 3 4 3 2" xfId="55149"/>
    <cellStyle name="常规 3 4 3 3" xfId="55150"/>
    <cellStyle name="常规 3 4 3 4" xfId="55151"/>
    <cellStyle name="常规 3 4 4" xfId="55152"/>
    <cellStyle name="常规 3 4 5" xfId="55153"/>
    <cellStyle name="常规 3 4 6" xfId="55154"/>
    <cellStyle name="常规 3 5" xfId="3568"/>
    <cellStyle name="常规 3 5 2" xfId="3569"/>
    <cellStyle name="常规 3 5 2 2" xfId="7979"/>
    <cellStyle name="常规 3 5 2 2 2" xfId="55155"/>
    <cellStyle name="常规 3 5 2 3" xfId="55156"/>
    <cellStyle name="常规 3 5 3" xfId="7980"/>
    <cellStyle name="常规 3 5 3 2" xfId="55157"/>
    <cellStyle name="常规 3 5 4" xfId="55158"/>
    <cellStyle name="常规 3 5_20120924人事部予算管理" xfId="7981"/>
    <cellStyle name="常规 3 6" xfId="3570"/>
    <cellStyle name="常规 3 6 2" xfId="55159"/>
    <cellStyle name="常规 3 6 3" xfId="55160"/>
    <cellStyle name="常规 3 6 4" xfId="55161"/>
    <cellStyle name="常规 3 7" xfId="3571"/>
    <cellStyle name="常规 3 7 2" xfId="55162"/>
    <cellStyle name="常规 3 7 3" xfId="55163"/>
    <cellStyle name="常规 3 7 4" xfId="55164"/>
    <cellStyle name="常规 3 7 5" xfId="55165"/>
    <cellStyle name="常规 3 7 6" xfId="55166"/>
    <cellStyle name="常规 3 7 7" xfId="60831"/>
    <cellStyle name="常规 3 8" xfId="3572"/>
    <cellStyle name="常规 3 8 2" xfId="3573"/>
    <cellStyle name="常规 3 8 3" xfId="7984"/>
    <cellStyle name="常规 3 8 4" xfId="55167"/>
    <cellStyle name="常规 3 9" xfId="7985"/>
    <cellStyle name="常规 3 9 2" xfId="55168"/>
    <cellStyle name="常规 3_2012年奖金预提明细" xfId="7986"/>
    <cellStyle name="常规 30" xfId="384"/>
    <cellStyle name="常规 30 10" xfId="55169"/>
    <cellStyle name="常规 30 10 2" xfId="55170"/>
    <cellStyle name="常规 30 11" xfId="55171"/>
    <cellStyle name="常规 30 11 2" xfId="55172"/>
    <cellStyle name="常规 30 11 2 2" xfId="55173"/>
    <cellStyle name="常规 30 11 3" xfId="55174"/>
    <cellStyle name="常规 30 12" xfId="55175"/>
    <cellStyle name="常规 30 12 2" xfId="55176"/>
    <cellStyle name="常规 30 12 2 2" xfId="55177"/>
    <cellStyle name="常规 30 12 3" xfId="55178"/>
    <cellStyle name="常规 30 13" xfId="55179"/>
    <cellStyle name="常规 30 13 2" xfId="55180"/>
    <cellStyle name="常规 30 13 2 2" xfId="55181"/>
    <cellStyle name="常规 30 13 3" xfId="55182"/>
    <cellStyle name="常规 30 14" xfId="3574"/>
    <cellStyle name="常规 30 2" xfId="3575"/>
    <cellStyle name="常规 30 2 2" xfId="7988"/>
    <cellStyle name="常规 30 2 2 2" xfId="55183"/>
    <cellStyle name="常规 30 2 2 2 2" xfId="55184"/>
    <cellStyle name="常规 30 2 2 2 2 2" xfId="55185"/>
    <cellStyle name="常规 30 2 2 2 3" xfId="55186"/>
    <cellStyle name="常规 30 2 2 3" xfId="55187"/>
    <cellStyle name="常规 30 2 2 3 2" xfId="55188"/>
    <cellStyle name="常规 30 2 2 4" xfId="55189"/>
    <cellStyle name="常规 30 2 3" xfId="55190"/>
    <cellStyle name="常规 30 2 4" xfId="55191"/>
    <cellStyle name="常规 30 2 4 2" xfId="55192"/>
    <cellStyle name="常规 30 2 4 2 2" xfId="55193"/>
    <cellStyle name="常规 30 2 4 3" xfId="55194"/>
    <cellStyle name="常规 30 2 5" xfId="55195"/>
    <cellStyle name="常规 30 2 5 2" xfId="55196"/>
    <cellStyle name="常规 30 2 5 2 2" xfId="55197"/>
    <cellStyle name="常规 30 2 5 3" xfId="55198"/>
    <cellStyle name="常规 30 2 6" xfId="55199"/>
    <cellStyle name="常规 30 2 6 2" xfId="55200"/>
    <cellStyle name="常规 30 2 6 2 2" xfId="55201"/>
    <cellStyle name="常规 30 2 6 3" xfId="55202"/>
    <cellStyle name="常规 30 3" xfId="3576"/>
    <cellStyle name="常规 30 3 2" xfId="7989"/>
    <cellStyle name="常规 30 3 2 2" xfId="55203"/>
    <cellStyle name="常规 30 3 2 2 2" xfId="55204"/>
    <cellStyle name="常规 30 3 2 2 2 2" xfId="55205"/>
    <cellStyle name="常规 30 3 2 2 3" xfId="55206"/>
    <cellStyle name="常规 30 3 2 3" xfId="55207"/>
    <cellStyle name="常规 30 3 2 3 2" xfId="55208"/>
    <cellStyle name="常规 30 3 2 4" xfId="55209"/>
    <cellStyle name="常规 30 3 3" xfId="55210"/>
    <cellStyle name="常规 30 3 4" xfId="55211"/>
    <cellStyle name="常规 30 3 4 2" xfId="55212"/>
    <cellStyle name="常规 30 3 4 2 2" xfId="55213"/>
    <cellStyle name="常规 30 3 4 3" xfId="55214"/>
    <cellStyle name="常规 30 3 5" xfId="55215"/>
    <cellStyle name="常规 30 3 5 2" xfId="55216"/>
    <cellStyle name="常规 30 3 5 2 2" xfId="55217"/>
    <cellStyle name="常规 30 3 5 3" xfId="55218"/>
    <cellStyle name="常规 30 3 6" xfId="55219"/>
    <cellStyle name="常规 30 3 6 2" xfId="55220"/>
    <cellStyle name="常规 30 3 6 2 2" xfId="55221"/>
    <cellStyle name="常规 30 3 6 3" xfId="55222"/>
    <cellStyle name="常规 30 4" xfId="3577"/>
    <cellStyle name="常规 30 4 2" xfId="55223"/>
    <cellStyle name="常规 30 4 2 2" xfId="55224"/>
    <cellStyle name="常规 30 4 2 2 2" xfId="55225"/>
    <cellStyle name="常规 30 4 2 3" xfId="55226"/>
    <cellStyle name="常规 30 4 3" xfId="55227"/>
    <cellStyle name="常规 30 4 3 2" xfId="55228"/>
    <cellStyle name="常规 30 4 3 2 2" xfId="55229"/>
    <cellStyle name="常规 30 4 3 3" xfId="55230"/>
    <cellStyle name="常规 30 4 4" xfId="55231"/>
    <cellStyle name="常规 30 4 4 2" xfId="55232"/>
    <cellStyle name="常规 30 4 4 2 2" xfId="55233"/>
    <cellStyle name="常规 30 4 4 3" xfId="55234"/>
    <cellStyle name="常规 30 4 5" xfId="55235"/>
    <cellStyle name="常规 30 4 5 2" xfId="55236"/>
    <cellStyle name="常规 30 5" xfId="3578"/>
    <cellStyle name="常规 30 5 2" xfId="55237"/>
    <cellStyle name="常规 30 5 2 2" xfId="55238"/>
    <cellStyle name="常规 30 5 2 2 2" xfId="55239"/>
    <cellStyle name="常规 30 5 2 3" xfId="55240"/>
    <cellStyle name="常规 30 5 3" xfId="55241"/>
    <cellStyle name="常规 30 5 3 2" xfId="55242"/>
    <cellStyle name="常规 30 5 3 2 2" xfId="55243"/>
    <cellStyle name="常规 30 5 3 3" xfId="55244"/>
    <cellStyle name="常规 30 5 4" xfId="55245"/>
    <cellStyle name="常规 30 5 4 2" xfId="55246"/>
    <cellStyle name="常规 30 5 4 2 2" xfId="55247"/>
    <cellStyle name="常规 30 5 4 3" xfId="55248"/>
    <cellStyle name="常规 30 5 5" xfId="55249"/>
    <cellStyle name="常规 30 5 5 2" xfId="55250"/>
    <cellStyle name="常规 30 5 6" xfId="55251"/>
    <cellStyle name="常规 30 6" xfId="3579"/>
    <cellStyle name="常规 30 6 2" xfId="55252"/>
    <cellStyle name="常规 30 6 2 2" xfId="55253"/>
    <cellStyle name="常规 30 6 2 2 2" xfId="55254"/>
    <cellStyle name="常规 30 6 2 3" xfId="55255"/>
    <cellStyle name="常规 30 6 3" xfId="55256"/>
    <cellStyle name="常规 30 6 3 2" xfId="55257"/>
    <cellStyle name="常规 30 6 3 2 2" xfId="55258"/>
    <cellStyle name="常规 30 6 3 3" xfId="55259"/>
    <cellStyle name="常规 30 6 4" xfId="55260"/>
    <cellStyle name="常规 30 6 4 2" xfId="55261"/>
    <cellStyle name="常规 30 6 4 2 2" xfId="55262"/>
    <cellStyle name="常规 30 6 4 3" xfId="55263"/>
    <cellStyle name="常规 30 6 5" xfId="55264"/>
    <cellStyle name="常规 30 6 5 2" xfId="55265"/>
    <cellStyle name="常规 30 6 6" xfId="55266"/>
    <cellStyle name="常规 30 7" xfId="3580"/>
    <cellStyle name="常规 30 7 2" xfId="55267"/>
    <cellStyle name="常规 30 7 2 2" xfId="55268"/>
    <cellStyle name="常规 30 7 2 2 2" xfId="55269"/>
    <cellStyle name="常规 30 7 2 3" xfId="55270"/>
    <cellStyle name="常规 30 7 3" xfId="55271"/>
    <cellStyle name="常规 30 7 3 2" xfId="55272"/>
    <cellStyle name="常规 30 7 3 2 2" xfId="55273"/>
    <cellStyle name="常规 30 7 3 3" xfId="55274"/>
    <cellStyle name="常规 30 7 4" xfId="55275"/>
    <cellStyle name="常规 30 7 4 2" xfId="55276"/>
    <cellStyle name="常规 30 7 4 2 2" xfId="55277"/>
    <cellStyle name="常规 30 7 4 3" xfId="55278"/>
    <cellStyle name="常规 30 7 5" xfId="55279"/>
    <cellStyle name="常规 30 7 5 2" xfId="55280"/>
    <cellStyle name="常规 30 7 6" xfId="55281"/>
    <cellStyle name="常规 30 8" xfId="7987"/>
    <cellStyle name="常规 30 8 2" xfId="55282"/>
    <cellStyle name="常规 30 8 2 2" xfId="55283"/>
    <cellStyle name="常规 30 8 2 2 2" xfId="55284"/>
    <cellStyle name="常规 30 8 2 3" xfId="55285"/>
    <cellStyle name="常规 30 8 3" xfId="55286"/>
    <cellStyle name="常规 30 8 3 2" xfId="55287"/>
    <cellStyle name="常规 30 8 3 2 2" xfId="55288"/>
    <cellStyle name="常规 30 8 3 3" xfId="55289"/>
    <cellStyle name="常规 30 8 4" xfId="55290"/>
    <cellStyle name="常规 30 8 4 2" xfId="55291"/>
    <cellStyle name="常规 30 8 4 2 2" xfId="55292"/>
    <cellStyle name="常规 30 8 4 3" xfId="55293"/>
    <cellStyle name="常规 30 8 5" xfId="55294"/>
    <cellStyle name="常规 30 8 5 2" xfId="55295"/>
    <cellStyle name="常规 30 8 6" xfId="55296"/>
    <cellStyle name="常规 30 9" xfId="55297"/>
    <cellStyle name="常规 30 9 2" xfId="55298"/>
    <cellStyle name="常规 30 9 2 2" xfId="55299"/>
    <cellStyle name="常规 30 9 2 2 2" xfId="55300"/>
    <cellStyle name="常规 30 9 2 3" xfId="55301"/>
    <cellStyle name="常规 30 9 3" xfId="55302"/>
    <cellStyle name="常规 30 9 3 2" xfId="55303"/>
    <cellStyle name="常规 30 9 4" xfId="55304"/>
    <cellStyle name="常规 300" xfId="385"/>
    <cellStyle name="常规 301" xfId="386"/>
    <cellStyle name="常规 302" xfId="387"/>
    <cellStyle name="常规 303" xfId="388"/>
    <cellStyle name="常规 304" xfId="389"/>
    <cellStyle name="常规 305" xfId="390"/>
    <cellStyle name="常规 306" xfId="391"/>
    <cellStyle name="常规 307" xfId="392"/>
    <cellStyle name="常规 308" xfId="393"/>
    <cellStyle name="常规 309" xfId="394"/>
    <cellStyle name="常规 31" xfId="395"/>
    <cellStyle name="常规 31 10" xfId="55305"/>
    <cellStyle name="常规 31 10 2" xfId="55306"/>
    <cellStyle name="常规 31 11" xfId="55307"/>
    <cellStyle name="常规 31 11 2" xfId="55308"/>
    <cellStyle name="常规 31 11 2 2" xfId="55309"/>
    <cellStyle name="常规 31 11 3" xfId="55310"/>
    <cellStyle name="常规 31 12" xfId="55311"/>
    <cellStyle name="常规 31 12 2" xfId="55312"/>
    <cellStyle name="常规 31 12 2 2" xfId="55313"/>
    <cellStyle name="常规 31 12 3" xfId="55314"/>
    <cellStyle name="常规 31 13" xfId="55315"/>
    <cellStyle name="常规 31 13 2" xfId="55316"/>
    <cellStyle name="常规 31 13 2 2" xfId="55317"/>
    <cellStyle name="常规 31 13 3" xfId="55318"/>
    <cellStyle name="常规 31 14" xfId="3581"/>
    <cellStyle name="常规 31 2" xfId="3582"/>
    <cellStyle name="常规 31 2 2" xfId="7991"/>
    <cellStyle name="常规 31 2 2 2" xfId="55319"/>
    <cellStyle name="常规 31 2 2 2 2" xfId="55320"/>
    <cellStyle name="常规 31 2 2 2 2 2" xfId="55321"/>
    <cellStyle name="常规 31 2 2 2 3" xfId="55322"/>
    <cellStyle name="常规 31 2 2 3" xfId="55323"/>
    <cellStyle name="常规 31 2 2 3 2" xfId="55324"/>
    <cellStyle name="常规 31 2 2 4" xfId="55325"/>
    <cellStyle name="常规 31 2 3" xfId="55326"/>
    <cellStyle name="常规 31 2 4" xfId="55327"/>
    <cellStyle name="常规 31 2 4 2" xfId="55328"/>
    <cellStyle name="常规 31 2 4 2 2" xfId="55329"/>
    <cellStyle name="常规 31 2 4 3" xfId="55330"/>
    <cellStyle name="常规 31 2 5" xfId="55331"/>
    <cellStyle name="常规 31 2 5 2" xfId="55332"/>
    <cellStyle name="常规 31 2 5 2 2" xfId="55333"/>
    <cellStyle name="常规 31 2 5 3" xfId="55334"/>
    <cellStyle name="常规 31 2 6" xfId="55335"/>
    <cellStyle name="常规 31 2 6 2" xfId="55336"/>
    <cellStyle name="常规 31 2 6 2 2" xfId="55337"/>
    <cellStyle name="常规 31 2 6 3" xfId="55338"/>
    <cellStyle name="常规 31 3" xfId="3583"/>
    <cellStyle name="常规 31 3 2" xfId="7992"/>
    <cellStyle name="常规 31 3 2 2" xfId="55339"/>
    <cellStyle name="常规 31 3 2 2 2" xfId="55340"/>
    <cellStyle name="常规 31 3 2 2 2 2" xfId="55341"/>
    <cellStyle name="常规 31 3 2 2 3" xfId="55342"/>
    <cellStyle name="常规 31 3 2 3" xfId="55343"/>
    <cellStyle name="常规 31 3 2 3 2" xfId="55344"/>
    <cellStyle name="常规 31 3 2 4" xfId="55345"/>
    <cellStyle name="常规 31 3 3" xfId="55346"/>
    <cellStyle name="常规 31 3 4" xfId="55347"/>
    <cellStyle name="常规 31 3 4 2" xfId="55348"/>
    <cellStyle name="常规 31 3 4 2 2" xfId="55349"/>
    <cellStyle name="常规 31 3 4 3" xfId="55350"/>
    <cellStyle name="常规 31 3 5" xfId="55351"/>
    <cellStyle name="常规 31 3 5 2" xfId="55352"/>
    <cellStyle name="常规 31 3 5 2 2" xfId="55353"/>
    <cellStyle name="常规 31 3 5 3" xfId="55354"/>
    <cellStyle name="常规 31 3 6" xfId="55355"/>
    <cellStyle name="常规 31 3 6 2" xfId="55356"/>
    <cellStyle name="常规 31 3 6 2 2" xfId="55357"/>
    <cellStyle name="常规 31 3 6 3" xfId="55358"/>
    <cellStyle name="常规 31 4" xfId="3584"/>
    <cellStyle name="常规 31 4 2" xfId="55359"/>
    <cellStyle name="常规 31 4 2 2" xfId="55360"/>
    <cellStyle name="常规 31 4 2 2 2" xfId="55361"/>
    <cellStyle name="常规 31 4 2 3" xfId="55362"/>
    <cellStyle name="常规 31 4 3" xfId="55363"/>
    <cellStyle name="常规 31 4 3 2" xfId="55364"/>
    <cellStyle name="常规 31 4 3 2 2" xfId="55365"/>
    <cellStyle name="常规 31 4 3 3" xfId="55366"/>
    <cellStyle name="常规 31 4 4" xfId="55367"/>
    <cellStyle name="常规 31 4 4 2" xfId="55368"/>
    <cellStyle name="常规 31 4 4 2 2" xfId="55369"/>
    <cellStyle name="常规 31 4 4 3" xfId="55370"/>
    <cellStyle name="常规 31 4 5" xfId="55371"/>
    <cellStyle name="常规 31 4 5 2" xfId="55372"/>
    <cellStyle name="常规 31 5" xfId="3585"/>
    <cellStyle name="常规 31 5 2" xfId="55373"/>
    <cellStyle name="常规 31 5 2 2" xfId="55374"/>
    <cellStyle name="常规 31 5 2 2 2" xfId="55375"/>
    <cellStyle name="常规 31 5 2 3" xfId="55376"/>
    <cellStyle name="常规 31 5 3" xfId="55377"/>
    <cellStyle name="常规 31 5 3 2" xfId="55378"/>
    <cellStyle name="常规 31 5 3 2 2" xfId="55379"/>
    <cellStyle name="常规 31 5 3 3" xfId="55380"/>
    <cellStyle name="常规 31 5 4" xfId="55381"/>
    <cellStyle name="常规 31 5 4 2" xfId="55382"/>
    <cellStyle name="常规 31 5 4 2 2" xfId="55383"/>
    <cellStyle name="常规 31 5 4 3" xfId="55384"/>
    <cellStyle name="常规 31 5 5" xfId="55385"/>
    <cellStyle name="常规 31 5 5 2" xfId="55386"/>
    <cellStyle name="常规 31 5 6" xfId="55387"/>
    <cellStyle name="常规 31 6" xfId="3586"/>
    <cellStyle name="常规 31 6 2" xfId="55388"/>
    <cellStyle name="常规 31 6 2 2" xfId="55389"/>
    <cellStyle name="常规 31 6 2 2 2" xfId="55390"/>
    <cellStyle name="常规 31 6 2 3" xfId="55391"/>
    <cellStyle name="常规 31 6 3" xfId="55392"/>
    <cellStyle name="常规 31 6 3 2" xfId="55393"/>
    <cellStyle name="常规 31 6 3 2 2" xfId="55394"/>
    <cellStyle name="常规 31 6 3 3" xfId="55395"/>
    <cellStyle name="常规 31 6 4" xfId="55396"/>
    <cellStyle name="常规 31 6 4 2" xfId="55397"/>
    <cellStyle name="常规 31 6 4 2 2" xfId="55398"/>
    <cellStyle name="常规 31 6 4 3" xfId="55399"/>
    <cellStyle name="常规 31 6 5" xfId="55400"/>
    <cellStyle name="常规 31 6 5 2" xfId="55401"/>
    <cellStyle name="常规 31 6 6" xfId="55402"/>
    <cellStyle name="常规 31 7" xfId="3587"/>
    <cellStyle name="常规 31 7 2" xfId="55403"/>
    <cellStyle name="常规 31 7 2 2" xfId="55404"/>
    <cellStyle name="常规 31 7 2 2 2" xfId="55405"/>
    <cellStyle name="常规 31 7 2 3" xfId="55406"/>
    <cellStyle name="常规 31 7 3" xfId="55407"/>
    <cellStyle name="常规 31 7 3 2" xfId="55408"/>
    <cellStyle name="常规 31 7 3 2 2" xfId="55409"/>
    <cellStyle name="常规 31 7 3 3" xfId="55410"/>
    <cellStyle name="常规 31 7 4" xfId="55411"/>
    <cellStyle name="常规 31 7 4 2" xfId="55412"/>
    <cellStyle name="常规 31 7 4 2 2" xfId="55413"/>
    <cellStyle name="常规 31 7 4 3" xfId="55414"/>
    <cellStyle name="常规 31 7 5" xfId="55415"/>
    <cellStyle name="常规 31 7 5 2" xfId="55416"/>
    <cellStyle name="常规 31 7 6" xfId="55417"/>
    <cellStyle name="常规 31 8" xfId="7990"/>
    <cellStyle name="常规 31 8 2" xfId="55418"/>
    <cellStyle name="常规 31 8 2 2" xfId="55419"/>
    <cellStyle name="常规 31 8 2 2 2" xfId="55420"/>
    <cellStyle name="常规 31 8 2 3" xfId="55421"/>
    <cellStyle name="常规 31 8 3" xfId="55422"/>
    <cellStyle name="常规 31 8 3 2" xfId="55423"/>
    <cellStyle name="常规 31 8 3 2 2" xfId="55424"/>
    <cellStyle name="常规 31 8 3 3" xfId="55425"/>
    <cellStyle name="常规 31 8 4" xfId="55426"/>
    <cellStyle name="常规 31 8 4 2" xfId="55427"/>
    <cellStyle name="常规 31 8 4 2 2" xfId="55428"/>
    <cellStyle name="常规 31 8 4 3" xfId="55429"/>
    <cellStyle name="常规 31 8 5" xfId="55430"/>
    <cellStyle name="常规 31 8 5 2" xfId="55431"/>
    <cellStyle name="常规 31 8 6" xfId="55432"/>
    <cellStyle name="常规 31 9" xfId="55433"/>
    <cellStyle name="常规 31 9 2" xfId="55434"/>
    <cellStyle name="常规 31 9 2 2" xfId="55435"/>
    <cellStyle name="常规 31 9 2 2 2" xfId="55436"/>
    <cellStyle name="常规 31 9 2 3" xfId="55437"/>
    <cellStyle name="常规 31 9 3" xfId="55438"/>
    <cellStyle name="常规 31 9 3 2" xfId="55439"/>
    <cellStyle name="常规 31 9 4" xfId="55440"/>
    <cellStyle name="常规 310" xfId="396"/>
    <cellStyle name="常规 311" xfId="397"/>
    <cellStyle name="常规 312" xfId="398"/>
    <cellStyle name="常规 313" xfId="399"/>
    <cellStyle name="常规 314" xfId="400"/>
    <cellStyle name="常规 315" xfId="401"/>
    <cellStyle name="常规 316" xfId="402"/>
    <cellStyle name="常规 317" xfId="403"/>
    <cellStyle name="常规 318" xfId="404"/>
    <cellStyle name="常规 319" xfId="405"/>
    <cellStyle name="常规 32" xfId="406"/>
    <cellStyle name="常规 32 10" xfId="55441"/>
    <cellStyle name="常规 32 10 2" xfId="55442"/>
    <cellStyle name="常规 32 11" xfId="55443"/>
    <cellStyle name="常规 32 11 2" xfId="55444"/>
    <cellStyle name="常规 32 11 2 2" xfId="55445"/>
    <cellStyle name="常规 32 11 3" xfId="55446"/>
    <cellStyle name="常规 32 12" xfId="55447"/>
    <cellStyle name="常规 32 12 2" xfId="55448"/>
    <cellStyle name="常规 32 12 2 2" xfId="55449"/>
    <cellStyle name="常规 32 12 3" xfId="55450"/>
    <cellStyle name="常规 32 13" xfId="55451"/>
    <cellStyle name="常规 32 13 2" xfId="55452"/>
    <cellStyle name="常规 32 13 2 2" xfId="55453"/>
    <cellStyle name="常规 32 13 3" xfId="55454"/>
    <cellStyle name="常规 32 14" xfId="55455"/>
    <cellStyle name="常规 32 15" xfId="3588"/>
    <cellStyle name="常规 32 2" xfId="3589"/>
    <cellStyle name="常规 32 2 2" xfId="55456"/>
    <cellStyle name="常规 32 2 2 2" xfId="55457"/>
    <cellStyle name="常规 32 2 2 2 2" xfId="55458"/>
    <cellStyle name="常规 32 2 2 3" xfId="55459"/>
    <cellStyle name="常规 32 2 3" xfId="55460"/>
    <cellStyle name="常规 32 2 3 2" xfId="55461"/>
    <cellStyle name="常规 32 2 3 2 2" xfId="55462"/>
    <cellStyle name="常规 32 2 3 3" xfId="55463"/>
    <cellStyle name="常规 32 2 4" xfId="55464"/>
    <cellStyle name="常规 32 2 4 2" xfId="55465"/>
    <cellStyle name="常规 32 2 4 2 2" xfId="55466"/>
    <cellStyle name="常规 32 2 4 3" xfId="55467"/>
    <cellStyle name="常规 32 2 5" xfId="55468"/>
    <cellStyle name="常规 32 2 5 2" xfId="55469"/>
    <cellStyle name="常规 32 3" xfId="3590"/>
    <cellStyle name="常规 32 3 2" xfId="55470"/>
    <cellStyle name="常规 32 3 2 2" xfId="55471"/>
    <cellStyle name="常规 32 3 2 2 2" xfId="55472"/>
    <cellStyle name="常规 32 3 2 3" xfId="55473"/>
    <cellStyle name="常规 32 3 3" xfId="55474"/>
    <cellStyle name="常规 32 3 3 2" xfId="55475"/>
    <cellStyle name="常规 32 3 3 2 2" xfId="55476"/>
    <cellStyle name="常规 32 3 3 3" xfId="55477"/>
    <cellStyle name="常规 32 3 4" xfId="55478"/>
    <cellStyle name="常规 32 3 4 2" xfId="55479"/>
    <cellStyle name="常规 32 3 4 2 2" xfId="55480"/>
    <cellStyle name="常规 32 3 4 3" xfId="55481"/>
    <cellStyle name="常规 32 3 5" xfId="55482"/>
    <cellStyle name="常规 32 3 5 2" xfId="55483"/>
    <cellStyle name="常规 32 4" xfId="3591"/>
    <cellStyle name="常规 32 4 2" xfId="55484"/>
    <cellStyle name="常规 32 4 2 2" xfId="55485"/>
    <cellStyle name="常规 32 4 2 2 2" xfId="55486"/>
    <cellStyle name="常规 32 4 2 3" xfId="55487"/>
    <cellStyle name="常规 32 4 3" xfId="55488"/>
    <cellStyle name="常规 32 4 3 2" xfId="55489"/>
    <cellStyle name="常规 32 4 3 2 2" xfId="55490"/>
    <cellStyle name="常规 32 4 3 3" xfId="55491"/>
    <cellStyle name="常规 32 4 4" xfId="55492"/>
    <cellStyle name="常规 32 4 4 2" xfId="55493"/>
    <cellStyle name="常规 32 4 4 2 2" xfId="55494"/>
    <cellStyle name="常规 32 4 4 3" xfId="55495"/>
    <cellStyle name="常规 32 4 5" xfId="55496"/>
    <cellStyle name="常规 32 4 5 2" xfId="55497"/>
    <cellStyle name="常规 32 5" xfId="3592"/>
    <cellStyle name="常规 32 5 2" xfId="55498"/>
    <cellStyle name="常规 32 5 2 2" xfId="55499"/>
    <cellStyle name="常规 32 5 2 2 2" xfId="55500"/>
    <cellStyle name="常规 32 5 2 3" xfId="55501"/>
    <cellStyle name="常规 32 5 3" xfId="55502"/>
    <cellStyle name="常规 32 5 3 2" xfId="55503"/>
    <cellStyle name="常规 32 5 3 2 2" xfId="55504"/>
    <cellStyle name="常规 32 5 3 3" xfId="55505"/>
    <cellStyle name="常规 32 5 4" xfId="55506"/>
    <cellStyle name="常规 32 5 4 2" xfId="55507"/>
    <cellStyle name="常规 32 5 4 2 2" xfId="55508"/>
    <cellStyle name="常规 32 5 4 3" xfId="55509"/>
    <cellStyle name="常规 32 5 5" xfId="55510"/>
    <cellStyle name="常规 32 5 5 2" xfId="55511"/>
    <cellStyle name="常规 32 5 6" xfId="55512"/>
    <cellStyle name="常规 32 6" xfId="3593"/>
    <cellStyle name="常规 32 6 2" xfId="55513"/>
    <cellStyle name="常规 32 6 2 2" xfId="55514"/>
    <cellStyle name="常规 32 6 2 2 2" xfId="55515"/>
    <cellStyle name="常规 32 6 2 3" xfId="55516"/>
    <cellStyle name="常规 32 6 3" xfId="55517"/>
    <cellStyle name="常规 32 6 3 2" xfId="55518"/>
    <cellStyle name="常规 32 6 3 2 2" xfId="55519"/>
    <cellStyle name="常规 32 6 3 3" xfId="55520"/>
    <cellStyle name="常规 32 6 4" xfId="55521"/>
    <cellStyle name="常规 32 6 4 2" xfId="55522"/>
    <cellStyle name="常规 32 6 4 2 2" xfId="55523"/>
    <cellStyle name="常规 32 6 4 3" xfId="55524"/>
    <cellStyle name="常规 32 6 5" xfId="55525"/>
    <cellStyle name="常规 32 6 5 2" xfId="55526"/>
    <cellStyle name="常规 32 6 6" xfId="55527"/>
    <cellStyle name="常规 32 7" xfId="3594"/>
    <cellStyle name="常规 32 7 2" xfId="55528"/>
    <cellStyle name="常规 32 7 2 2" xfId="55529"/>
    <cellStyle name="常规 32 7 2 2 2" xfId="55530"/>
    <cellStyle name="常规 32 7 2 3" xfId="55531"/>
    <cellStyle name="常规 32 7 3" xfId="55532"/>
    <cellStyle name="常规 32 7 3 2" xfId="55533"/>
    <cellStyle name="常规 32 7 3 2 2" xfId="55534"/>
    <cellStyle name="常规 32 7 3 3" xfId="55535"/>
    <cellStyle name="常规 32 7 4" xfId="55536"/>
    <cellStyle name="常规 32 7 4 2" xfId="55537"/>
    <cellStyle name="常规 32 7 4 2 2" xfId="55538"/>
    <cellStyle name="常规 32 7 4 3" xfId="55539"/>
    <cellStyle name="常规 32 7 5" xfId="55540"/>
    <cellStyle name="常规 32 7 5 2" xfId="55541"/>
    <cellStyle name="常规 32 7 6" xfId="55542"/>
    <cellStyle name="常规 32 8" xfId="7993"/>
    <cellStyle name="常规 32 8 2" xfId="55543"/>
    <cellStyle name="常规 32 8 2 2" xfId="55544"/>
    <cellStyle name="常规 32 8 2 2 2" xfId="55545"/>
    <cellStyle name="常规 32 8 2 3" xfId="55546"/>
    <cellStyle name="常规 32 8 3" xfId="55547"/>
    <cellStyle name="常规 32 8 3 2" xfId="55548"/>
    <cellStyle name="常规 32 8 3 2 2" xfId="55549"/>
    <cellStyle name="常规 32 8 3 3" xfId="55550"/>
    <cellStyle name="常规 32 8 4" xfId="55551"/>
    <cellStyle name="常规 32 8 4 2" xfId="55552"/>
    <cellStyle name="常规 32 8 4 2 2" xfId="55553"/>
    <cellStyle name="常规 32 8 4 3" xfId="55554"/>
    <cellStyle name="常规 32 8 5" xfId="55555"/>
    <cellStyle name="常规 32 8 5 2" xfId="55556"/>
    <cellStyle name="常规 32 8 6" xfId="55557"/>
    <cellStyle name="常规 32 9" xfId="55558"/>
    <cellStyle name="常规 32 9 2" xfId="55559"/>
    <cellStyle name="常规 32 9 2 2" xfId="55560"/>
    <cellStyle name="常规 32 9 2 2 2" xfId="55561"/>
    <cellStyle name="常规 32 9 2 3" xfId="55562"/>
    <cellStyle name="常规 32 9 3" xfId="55563"/>
    <cellStyle name="常规 32 9 3 2" xfId="55564"/>
    <cellStyle name="常规 32 9 4" xfId="55565"/>
    <cellStyle name="常规 320" xfId="407"/>
    <cellStyle name="常规 321" xfId="408"/>
    <cellStyle name="常规 322" xfId="409"/>
    <cellStyle name="常规 323" xfId="410"/>
    <cellStyle name="常规 324" xfId="411"/>
    <cellStyle name="常规 325" xfId="412"/>
    <cellStyle name="常规 326" xfId="413"/>
    <cellStyle name="常规 327" xfId="414"/>
    <cellStyle name="常规 328" xfId="415"/>
    <cellStyle name="常规 329" xfId="416"/>
    <cellStyle name="常规 33" xfId="417"/>
    <cellStyle name="常规 33 10" xfId="55566"/>
    <cellStyle name="常规 33 10 2" xfId="55567"/>
    <cellStyle name="常规 33 11" xfId="55568"/>
    <cellStyle name="常规 33 11 2" xfId="55569"/>
    <cellStyle name="常规 33 11 2 2" xfId="55570"/>
    <cellStyle name="常规 33 11 3" xfId="55571"/>
    <cellStyle name="常规 33 12" xfId="55572"/>
    <cellStyle name="常规 33 12 2" xfId="55573"/>
    <cellStyle name="常规 33 12 2 2" xfId="55574"/>
    <cellStyle name="常规 33 12 3" xfId="55575"/>
    <cellStyle name="常规 33 13" xfId="55576"/>
    <cellStyle name="常规 33 13 2" xfId="55577"/>
    <cellStyle name="常规 33 13 2 2" xfId="55578"/>
    <cellStyle name="常规 33 13 3" xfId="55579"/>
    <cellStyle name="常规 33 14" xfId="3595"/>
    <cellStyle name="常规 33 2" xfId="3596"/>
    <cellStyle name="常规 33 2 2" xfId="55580"/>
    <cellStyle name="常规 33 2 2 2" xfId="55581"/>
    <cellStyle name="常规 33 2 2 2 2" xfId="55582"/>
    <cellStyle name="常规 33 2 2 3" xfId="55583"/>
    <cellStyle name="常规 33 2 3" xfId="55584"/>
    <cellStyle name="常规 33 2 3 2" xfId="55585"/>
    <cellStyle name="常规 33 2 3 2 2" xfId="55586"/>
    <cellStyle name="常规 33 2 3 3" xfId="55587"/>
    <cellStyle name="常规 33 2 4" xfId="55588"/>
    <cellStyle name="常规 33 2 4 2" xfId="55589"/>
    <cellStyle name="常规 33 2 4 2 2" xfId="55590"/>
    <cellStyle name="常规 33 2 4 3" xfId="55591"/>
    <cellStyle name="常规 33 2 5" xfId="55592"/>
    <cellStyle name="常规 33 2 5 2" xfId="55593"/>
    <cellStyle name="常规 33 3" xfId="3597"/>
    <cellStyle name="常规 33 3 2" xfId="55594"/>
    <cellStyle name="常规 33 3 2 2" xfId="55595"/>
    <cellStyle name="常规 33 3 2 2 2" xfId="55596"/>
    <cellStyle name="常规 33 3 2 3" xfId="55597"/>
    <cellStyle name="常规 33 3 3" xfId="55598"/>
    <cellStyle name="常规 33 3 3 2" xfId="55599"/>
    <cellStyle name="常规 33 3 3 2 2" xfId="55600"/>
    <cellStyle name="常规 33 3 3 3" xfId="55601"/>
    <cellStyle name="常规 33 3 4" xfId="55602"/>
    <cellStyle name="常规 33 3 4 2" xfId="55603"/>
    <cellStyle name="常规 33 3 4 2 2" xfId="55604"/>
    <cellStyle name="常规 33 3 4 3" xfId="55605"/>
    <cellStyle name="常规 33 3 5" xfId="55606"/>
    <cellStyle name="常规 33 3 5 2" xfId="55607"/>
    <cellStyle name="常规 33 4" xfId="3598"/>
    <cellStyle name="常规 33 4 2" xfId="55608"/>
    <cellStyle name="常规 33 4 2 2" xfId="55609"/>
    <cellStyle name="常规 33 4 2 2 2" xfId="55610"/>
    <cellStyle name="常规 33 4 2 3" xfId="55611"/>
    <cellStyle name="常规 33 4 3" xfId="55612"/>
    <cellStyle name="常规 33 4 3 2" xfId="55613"/>
    <cellStyle name="常规 33 4 3 2 2" xfId="55614"/>
    <cellStyle name="常规 33 4 3 3" xfId="55615"/>
    <cellStyle name="常规 33 4 4" xfId="55616"/>
    <cellStyle name="常规 33 4 4 2" xfId="55617"/>
    <cellStyle name="常规 33 4 4 2 2" xfId="55618"/>
    <cellStyle name="常规 33 4 4 3" xfId="55619"/>
    <cellStyle name="常规 33 4 5" xfId="55620"/>
    <cellStyle name="常规 33 4 5 2" xfId="55621"/>
    <cellStyle name="常规 33 5" xfId="3599"/>
    <cellStyle name="常规 33 5 2" xfId="55622"/>
    <cellStyle name="常规 33 5 2 2" xfId="55623"/>
    <cellStyle name="常规 33 5 2 2 2" xfId="55624"/>
    <cellStyle name="常规 33 5 2 3" xfId="55625"/>
    <cellStyle name="常规 33 5 3" xfId="55626"/>
    <cellStyle name="常规 33 5 3 2" xfId="55627"/>
    <cellStyle name="常规 33 5 3 2 2" xfId="55628"/>
    <cellStyle name="常规 33 5 3 3" xfId="55629"/>
    <cellStyle name="常规 33 5 4" xfId="55630"/>
    <cellStyle name="常规 33 5 4 2" xfId="55631"/>
    <cellStyle name="常规 33 5 4 2 2" xfId="55632"/>
    <cellStyle name="常规 33 5 4 3" xfId="55633"/>
    <cellStyle name="常规 33 5 5" xfId="55634"/>
    <cellStyle name="常规 33 5 5 2" xfId="55635"/>
    <cellStyle name="常规 33 5 6" xfId="55636"/>
    <cellStyle name="常规 33 6" xfId="3600"/>
    <cellStyle name="常规 33 6 2" xfId="55637"/>
    <cellStyle name="常规 33 6 2 2" xfId="55638"/>
    <cellStyle name="常规 33 6 2 2 2" xfId="55639"/>
    <cellStyle name="常规 33 6 2 3" xfId="55640"/>
    <cellStyle name="常规 33 6 3" xfId="55641"/>
    <cellStyle name="常规 33 6 3 2" xfId="55642"/>
    <cellStyle name="常规 33 6 3 2 2" xfId="55643"/>
    <cellStyle name="常规 33 6 3 3" xfId="55644"/>
    <cellStyle name="常规 33 6 4" xfId="55645"/>
    <cellStyle name="常规 33 6 4 2" xfId="55646"/>
    <cellStyle name="常规 33 6 4 2 2" xfId="55647"/>
    <cellStyle name="常规 33 6 4 3" xfId="55648"/>
    <cellStyle name="常规 33 6 5" xfId="55649"/>
    <cellStyle name="常规 33 6 5 2" xfId="55650"/>
    <cellStyle name="常规 33 6 6" xfId="55651"/>
    <cellStyle name="常规 33 7" xfId="3601"/>
    <cellStyle name="常规 33 7 2" xfId="55652"/>
    <cellStyle name="常规 33 7 2 2" xfId="55653"/>
    <cellStyle name="常规 33 7 2 2 2" xfId="55654"/>
    <cellStyle name="常规 33 7 2 3" xfId="55655"/>
    <cellStyle name="常规 33 7 3" xfId="55656"/>
    <cellStyle name="常规 33 7 3 2" xfId="55657"/>
    <cellStyle name="常规 33 7 3 2 2" xfId="55658"/>
    <cellStyle name="常规 33 7 3 3" xfId="55659"/>
    <cellStyle name="常规 33 7 4" xfId="55660"/>
    <cellStyle name="常规 33 7 4 2" xfId="55661"/>
    <cellStyle name="常规 33 7 4 2 2" xfId="55662"/>
    <cellStyle name="常规 33 7 4 3" xfId="55663"/>
    <cellStyle name="常规 33 7 5" xfId="55664"/>
    <cellStyle name="常规 33 7 5 2" xfId="55665"/>
    <cellStyle name="常规 33 7 6" xfId="55666"/>
    <cellStyle name="常规 33 8" xfId="7994"/>
    <cellStyle name="常规 33 8 2" xfId="55667"/>
    <cellStyle name="常规 33 8 2 2" xfId="55668"/>
    <cellStyle name="常规 33 8 2 2 2" xfId="55669"/>
    <cellStyle name="常规 33 8 2 3" xfId="55670"/>
    <cellStyle name="常规 33 8 3" xfId="55671"/>
    <cellStyle name="常规 33 8 3 2" xfId="55672"/>
    <cellStyle name="常规 33 8 3 2 2" xfId="55673"/>
    <cellStyle name="常规 33 8 3 3" xfId="55674"/>
    <cellStyle name="常规 33 8 4" xfId="55675"/>
    <cellStyle name="常规 33 8 4 2" xfId="55676"/>
    <cellStyle name="常规 33 8 4 2 2" xfId="55677"/>
    <cellStyle name="常规 33 8 4 3" xfId="55678"/>
    <cellStyle name="常规 33 8 5" xfId="55679"/>
    <cellStyle name="常规 33 8 5 2" xfId="55680"/>
    <cellStyle name="常规 33 8 6" xfId="55681"/>
    <cellStyle name="常规 33 9" xfId="55682"/>
    <cellStyle name="常规 33 9 2" xfId="55683"/>
    <cellStyle name="常规 33 9 2 2" xfId="55684"/>
    <cellStyle name="常规 33 9 2 2 2" xfId="55685"/>
    <cellStyle name="常规 33 9 2 3" xfId="55686"/>
    <cellStyle name="常规 33 9 3" xfId="55687"/>
    <cellStyle name="常规 33 9 3 2" xfId="55688"/>
    <cellStyle name="常规 33 9 4" xfId="55689"/>
    <cellStyle name="常规 330" xfId="418"/>
    <cellStyle name="常规 331" xfId="419"/>
    <cellStyle name="常规 332" xfId="420"/>
    <cellStyle name="常规 333" xfId="421"/>
    <cellStyle name="常规 334" xfId="422"/>
    <cellStyle name="常规 335" xfId="423"/>
    <cellStyle name="常规 336" xfId="424"/>
    <cellStyle name="常规 337" xfId="425"/>
    <cellStyle name="常规 338" xfId="426"/>
    <cellStyle name="常规 339" xfId="427"/>
    <cellStyle name="常规 34" xfId="428"/>
    <cellStyle name="常规 34 2" xfId="7995"/>
    <cellStyle name="常规 34 2 2" xfId="55690"/>
    <cellStyle name="常规 34 2 2 2" xfId="55691"/>
    <cellStyle name="常规 34 2 2 2 2" xfId="55692"/>
    <cellStyle name="常规 34 2 2 3" xfId="55693"/>
    <cellStyle name="常规 34 2 3" xfId="55694"/>
    <cellStyle name="常规 34 2 3 2" xfId="55695"/>
    <cellStyle name="常规 34 2 4" xfId="55696"/>
    <cellStyle name="常规 34 3" xfId="55697"/>
    <cellStyle name="常规 34 4" xfId="55698"/>
    <cellStyle name="常规 34 4 2" xfId="55699"/>
    <cellStyle name="常规 34 4 2 2" xfId="55700"/>
    <cellStyle name="常规 34 4 3" xfId="55701"/>
    <cellStyle name="常规 34 5" xfId="55702"/>
    <cellStyle name="常规 34 5 2" xfId="55703"/>
    <cellStyle name="常规 34 5 2 2" xfId="55704"/>
    <cellStyle name="常规 34 5 3" xfId="55705"/>
    <cellStyle name="常规 34 6" xfId="55706"/>
    <cellStyle name="常规 34 6 2" xfId="55707"/>
    <cellStyle name="常规 34 6 2 2" xfId="55708"/>
    <cellStyle name="常规 34 6 3" xfId="55709"/>
    <cellStyle name="常规 34 7" xfId="3602"/>
    <cellStyle name="常规 340" xfId="429"/>
    <cellStyle name="常规 341" xfId="430"/>
    <cellStyle name="常规 342" xfId="431"/>
    <cellStyle name="常规 343" xfId="432"/>
    <cellStyle name="常规 344" xfId="433"/>
    <cellStyle name="常规 345" xfId="434"/>
    <cellStyle name="常规 346" xfId="435"/>
    <cellStyle name="常规 347" xfId="436"/>
    <cellStyle name="常规 348" xfId="437"/>
    <cellStyle name="常规 349" xfId="438"/>
    <cellStyle name="常规 35" xfId="439"/>
    <cellStyle name="常规 35 2" xfId="7996"/>
    <cellStyle name="常规 35 2 2" xfId="55710"/>
    <cellStyle name="常规 35 2 2 2" xfId="55711"/>
    <cellStyle name="常规 35 2 2 2 2" xfId="55712"/>
    <cellStyle name="常规 35 2 2 3" xfId="55713"/>
    <cellStyle name="常规 35 2 3" xfId="55714"/>
    <cellStyle name="常规 35 2 3 2" xfId="55715"/>
    <cellStyle name="常规 35 2 4" xfId="55716"/>
    <cellStyle name="常规 35 3" xfId="55717"/>
    <cellStyle name="常规 35 4" xfId="55718"/>
    <cellStyle name="常规 35 4 2" xfId="55719"/>
    <cellStyle name="常规 35 4 2 2" xfId="55720"/>
    <cellStyle name="常规 35 4 3" xfId="55721"/>
    <cellStyle name="常规 35 5" xfId="55722"/>
    <cellStyle name="常规 35 5 2" xfId="55723"/>
    <cellStyle name="常规 35 5 2 2" xfId="55724"/>
    <cellStyle name="常规 35 5 3" xfId="55725"/>
    <cellStyle name="常规 35 6" xfId="55726"/>
    <cellStyle name="常规 35 6 2" xfId="55727"/>
    <cellStyle name="常规 35 6 2 2" xfId="55728"/>
    <cellStyle name="常规 35 6 3" xfId="55729"/>
    <cellStyle name="常规 35 7" xfId="3603"/>
    <cellStyle name="常规 350" xfId="440"/>
    <cellStyle name="常规 351" xfId="441"/>
    <cellStyle name="常规 352" xfId="442"/>
    <cellStyle name="常规 353" xfId="443"/>
    <cellStyle name="常规 354" xfId="444"/>
    <cellStyle name="常规 355" xfId="445"/>
    <cellStyle name="常规 356" xfId="446"/>
    <cellStyle name="常规 357" xfId="447"/>
    <cellStyle name="常规 358" xfId="448"/>
    <cellStyle name="常规 359" xfId="449"/>
    <cellStyle name="常规 36" xfId="450"/>
    <cellStyle name="常规 36 2" xfId="7997"/>
    <cellStyle name="常规 36 2 2" xfId="55730"/>
    <cellStyle name="常规 36 2 2 2" xfId="55731"/>
    <cellStyle name="常规 36 2 2 2 2" xfId="55732"/>
    <cellStyle name="常规 36 2 2 3" xfId="55733"/>
    <cellStyle name="常规 36 2 3" xfId="55734"/>
    <cellStyle name="常规 36 2 3 2" xfId="55735"/>
    <cellStyle name="常规 36 2 4" xfId="55736"/>
    <cellStyle name="常规 36 3" xfId="55737"/>
    <cellStyle name="常规 36 4" xfId="55738"/>
    <cellStyle name="常规 36 4 2" xfId="55739"/>
    <cellStyle name="常规 36 4 2 2" xfId="55740"/>
    <cellStyle name="常规 36 4 3" xfId="55741"/>
    <cellStyle name="常规 36 5" xfId="55742"/>
    <cellStyle name="常规 36 5 2" xfId="55743"/>
    <cellStyle name="常规 36 5 2 2" xfId="55744"/>
    <cellStyle name="常规 36 5 3" xfId="55745"/>
    <cellStyle name="常规 36 6" xfId="55746"/>
    <cellStyle name="常规 36 6 2" xfId="55747"/>
    <cellStyle name="常规 36 6 2 2" xfId="55748"/>
    <cellStyle name="常规 36 6 3" xfId="55749"/>
    <cellStyle name="常规 36 7" xfId="3604"/>
    <cellStyle name="常规 360" xfId="451"/>
    <cellStyle name="常规 361" xfId="452"/>
    <cellStyle name="常规 362" xfId="453"/>
    <cellStyle name="常规 363" xfId="454"/>
    <cellStyle name="常规 364" xfId="455"/>
    <cellStyle name="常规 365" xfId="456"/>
    <cellStyle name="常规 366" xfId="457"/>
    <cellStyle name="常规 367" xfId="458"/>
    <cellStyle name="常规 368" xfId="459"/>
    <cellStyle name="常规 369" xfId="460"/>
    <cellStyle name="常规 37" xfId="461"/>
    <cellStyle name="常规 37 2" xfId="7998"/>
    <cellStyle name="常规 37 2 2" xfId="55750"/>
    <cellStyle name="常规 37 2 2 2" xfId="55751"/>
    <cellStyle name="常规 37 2 2 2 2" xfId="55752"/>
    <cellStyle name="常规 37 2 2 3" xfId="55753"/>
    <cellStyle name="常规 37 2 3" xfId="55754"/>
    <cellStyle name="常规 37 2 3 2" xfId="55755"/>
    <cellStyle name="常规 37 2 4" xfId="55756"/>
    <cellStyle name="常规 37 3" xfId="55757"/>
    <cellStyle name="常规 37 4" xfId="55758"/>
    <cellStyle name="常规 37 4 2" xfId="55759"/>
    <cellStyle name="常规 37 4 2 2" xfId="55760"/>
    <cellStyle name="常规 37 4 3" xfId="55761"/>
    <cellStyle name="常规 37 5" xfId="55762"/>
    <cellStyle name="常规 37 5 2" xfId="55763"/>
    <cellStyle name="常规 37 5 2 2" xfId="55764"/>
    <cellStyle name="常规 37 5 3" xfId="55765"/>
    <cellStyle name="常规 37 6" xfId="55766"/>
    <cellStyle name="常规 37 6 2" xfId="55767"/>
    <cellStyle name="常规 37 6 2 2" xfId="55768"/>
    <cellStyle name="常规 37 6 3" xfId="55769"/>
    <cellStyle name="常规 37 7" xfId="3605"/>
    <cellStyle name="常规 370" xfId="462"/>
    <cellStyle name="常规 371" xfId="463"/>
    <cellStyle name="常规 372" xfId="464"/>
    <cellStyle name="常规 373" xfId="465"/>
    <cellStyle name="常规 374" xfId="466"/>
    <cellStyle name="常规 375" xfId="467"/>
    <cellStyle name="常规 376" xfId="468"/>
    <cellStyle name="常规 377" xfId="469"/>
    <cellStyle name="常规 378" xfId="470"/>
    <cellStyle name="常规 379" xfId="471"/>
    <cellStyle name="常规 38" xfId="472"/>
    <cellStyle name="常规 38 10" xfId="55770"/>
    <cellStyle name="常规 38 11" xfId="55771"/>
    <cellStyle name="常规 38 12" xfId="3606"/>
    <cellStyle name="常规 38 2" xfId="7999"/>
    <cellStyle name="常规 38 2 2" xfId="55772"/>
    <cellStyle name="常规 38 2 2 2" xfId="55773"/>
    <cellStyle name="常规 38 2 2 2 2" xfId="55774"/>
    <cellStyle name="常规 38 2 2 3" xfId="55775"/>
    <cellStyle name="常规 38 2 3" xfId="55776"/>
    <cellStyle name="常规 38 2 3 2" xfId="55777"/>
    <cellStyle name="常规 38 2 4" xfId="55778"/>
    <cellStyle name="常规 38 3" xfId="55779"/>
    <cellStyle name="常规 38 4" xfId="55780"/>
    <cellStyle name="常规 38 4 2" xfId="55781"/>
    <cellStyle name="常规 38 4 2 2" xfId="55782"/>
    <cellStyle name="常规 38 4 3" xfId="55783"/>
    <cellStyle name="常规 38 5" xfId="55784"/>
    <cellStyle name="常规 38 5 2" xfId="55785"/>
    <cellStyle name="常规 38 5 2 2" xfId="55786"/>
    <cellStyle name="常规 38 5 3" xfId="55787"/>
    <cellStyle name="常规 38 6" xfId="55788"/>
    <cellStyle name="常规 38 6 2" xfId="55789"/>
    <cellStyle name="常规 38 6 2 2" xfId="55790"/>
    <cellStyle name="常规 38 6 3" xfId="55791"/>
    <cellStyle name="常规 38 7" xfId="55792"/>
    <cellStyle name="常规 38 8" xfId="55793"/>
    <cellStyle name="常规 38 9" xfId="55794"/>
    <cellStyle name="常规 380" xfId="473"/>
    <cellStyle name="常规 381" xfId="474"/>
    <cellStyle name="常规 382" xfId="475"/>
    <cellStyle name="常规 383" xfId="476"/>
    <cellStyle name="常规 384" xfId="477"/>
    <cellStyle name="常规 385" xfId="478"/>
    <cellStyle name="常规 386" xfId="479"/>
    <cellStyle name="常规 387" xfId="480"/>
    <cellStyle name="常规 388" xfId="481"/>
    <cellStyle name="常规 389" xfId="482"/>
    <cellStyle name="常规 39" xfId="483"/>
    <cellStyle name="常规 39 2" xfId="8001"/>
    <cellStyle name="常规 39 2 2" xfId="11348"/>
    <cellStyle name="常规 39 2 2 2" xfId="11349"/>
    <cellStyle name="常规 39 2 2 2 2" xfId="24812"/>
    <cellStyle name="常规 39 2 2 3" xfId="24813"/>
    <cellStyle name="常规 39 2 3" xfId="11350"/>
    <cellStyle name="常规 39 2 3 2" xfId="24814"/>
    <cellStyle name="常规 39 2 4" xfId="24815"/>
    <cellStyle name="常规 39 3" xfId="8000"/>
    <cellStyle name="常规 39 3 2" xfId="55795"/>
    <cellStyle name="常规 39 3 2 2" xfId="55796"/>
    <cellStyle name="常规 39 3 2 2 2" xfId="55797"/>
    <cellStyle name="常规 39 3 2 3" xfId="55798"/>
    <cellStyle name="常规 39 3 3" xfId="55799"/>
    <cellStyle name="常规 39 3 3 2" xfId="55800"/>
    <cellStyle name="常规 39 3 4" xfId="55801"/>
    <cellStyle name="常规 39 4" xfId="55802"/>
    <cellStyle name="常规 39 5" xfId="55803"/>
    <cellStyle name="常规 39 5 2" xfId="55804"/>
    <cellStyle name="常规 39 5 2 2" xfId="55805"/>
    <cellStyle name="常规 39 5 3" xfId="55806"/>
    <cellStyle name="常规 39 6" xfId="55807"/>
    <cellStyle name="常规 39 6 2" xfId="55808"/>
    <cellStyle name="常规 39 6 2 2" xfId="55809"/>
    <cellStyle name="常规 39 6 3" xfId="55810"/>
    <cellStyle name="常规 39 7" xfId="55811"/>
    <cellStyle name="常规 39 7 2" xfId="55812"/>
    <cellStyle name="常规 39 7 2 2" xfId="55813"/>
    <cellStyle name="常规 39 7 3" xfId="55814"/>
    <cellStyle name="常规 39 8" xfId="3607"/>
    <cellStyle name="常规 390" xfId="484"/>
    <cellStyle name="常规 391" xfId="485"/>
    <cellStyle name="常规 392" xfId="486"/>
    <cellStyle name="常规 393" xfId="487"/>
    <cellStyle name="常规 394" xfId="488"/>
    <cellStyle name="常规 395" xfId="489"/>
    <cellStyle name="常规 396" xfId="490"/>
    <cellStyle name="常规 397" xfId="491"/>
    <cellStyle name="常规 398" xfId="492"/>
    <cellStyle name="常规 399" xfId="493"/>
    <cellStyle name="常规 4" xfId="40"/>
    <cellStyle name="常规 4 10" xfId="8003"/>
    <cellStyle name="常规 4 11" xfId="8004"/>
    <cellStyle name="常规 4 12" xfId="8005"/>
    <cellStyle name="常规 4 13" xfId="8006"/>
    <cellStyle name="常规 4 14" xfId="8007"/>
    <cellStyle name="常规 4 14 2" xfId="55815"/>
    <cellStyle name="常规 4 15" xfId="8008"/>
    <cellStyle name="常规 4 15 2" xfId="55816"/>
    <cellStyle name="常规 4 16" xfId="8009"/>
    <cellStyle name="常规 4 16 2" xfId="55817"/>
    <cellStyle name="常规 4 17" xfId="8010"/>
    <cellStyle name="常规 4 17 2" xfId="55818"/>
    <cellStyle name="常规 4 18" xfId="8011"/>
    <cellStyle name="常规 4 18 2" xfId="55819"/>
    <cellStyle name="常规 4 19" xfId="8012"/>
    <cellStyle name="常规 4 19 2" xfId="55820"/>
    <cellStyle name="常规 4 2" xfId="495"/>
    <cellStyle name="常规 4 2 2" xfId="3609"/>
    <cellStyle name="常规 4 2 2 2" xfId="3610"/>
    <cellStyle name="常规 4 2 2 2 2" xfId="24817"/>
    <cellStyle name="常规 4 2 2 3" xfId="3611"/>
    <cellStyle name="常规 4 2 2 3 2" xfId="24818"/>
    <cellStyle name="常规 4 2 2 4" xfId="8014"/>
    <cellStyle name="常规 4 2 2 5" xfId="55821"/>
    <cellStyle name="常规 4 2 3" xfId="8015"/>
    <cellStyle name="常规 4 2 3 2" xfId="55822"/>
    <cellStyle name="常规 4 2 3 3" xfId="55823"/>
    <cellStyle name="常规 4 2 4" xfId="8016"/>
    <cellStyle name="常规 4 2 4 2" xfId="55824"/>
    <cellStyle name="常规 4 2 5" xfId="24819"/>
    <cellStyle name="常规 4 2 6" xfId="55825"/>
    <cellStyle name="常规 4 2 7" xfId="3608"/>
    <cellStyle name="常规 4 2_副本40期事業計画  (2)" xfId="8017"/>
    <cellStyle name="常规 4 20" xfId="8018"/>
    <cellStyle name="常规 4 20 2" xfId="55826"/>
    <cellStyle name="常规 4 21" xfId="8019"/>
    <cellStyle name="常规 4 21 2" xfId="55827"/>
    <cellStyle name="常规 4 22" xfId="8002"/>
    <cellStyle name="常规 4 22 2" xfId="24820"/>
    <cellStyle name="常规 4 23" xfId="17620"/>
    <cellStyle name="常规 4 24" xfId="21754"/>
    <cellStyle name="常规 4 25" xfId="7022"/>
    <cellStyle name="常规 4 26" xfId="21761"/>
    <cellStyle name="常规 4 27" xfId="21758"/>
    <cellStyle name="常规 4 28" xfId="24816"/>
    <cellStyle name="常规 4 29" xfId="23403"/>
    <cellStyle name="常规 4 3" xfId="3612"/>
    <cellStyle name="常规 4 3 2" xfId="3613"/>
    <cellStyle name="常规 4 3 2 2" xfId="3614"/>
    <cellStyle name="常规 4 3 2 2 2" xfId="24821"/>
    <cellStyle name="常规 4 3 2 3" xfId="8021"/>
    <cellStyle name="常规 4 3 2 4" xfId="55828"/>
    <cellStyle name="常规 4 3 3" xfId="8022"/>
    <cellStyle name="常规 4 3 4" xfId="8020"/>
    <cellStyle name="常规 4 3 5" xfId="55829"/>
    <cellStyle name="常规 4 30" xfId="55830"/>
    <cellStyle name="常规 4 31" xfId="55831"/>
    <cellStyle name="常规 4 32" xfId="55832"/>
    <cellStyle name="常规 4 33" xfId="55833"/>
    <cellStyle name="常规 4 34" xfId="55834"/>
    <cellStyle name="常规 4 35" xfId="55835"/>
    <cellStyle name="常规 4 36" xfId="55836"/>
    <cellStyle name="常规 4 37" xfId="55837"/>
    <cellStyle name="常规 4 38" xfId="55838"/>
    <cellStyle name="常规 4 39" xfId="55839"/>
    <cellStyle name="常规 4 4" xfId="3615"/>
    <cellStyle name="常规 4 4 2" xfId="3616"/>
    <cellStyle name="常规 4 4 3" xfId="8023"/>
    <cellStyle name="常规 4 4 4" xfId="55840"/>
    <cellStyle name="常规 4 40" xfId="55841"/>
    <cellStyle name="常规 4 41" xfId="55842"/>
    <cellStyle name="常规 4 42" xfId="55843"/>
    <cellStyle name="常规 4 43" xfId="55844"/>
    <cellStyle name="常规 4 44" xfId="55845"/>
    <cellStyle name="常规 4 45" xfId="55846"/>
    <cellStyle name="常规 4 46" xfId="55847"/>
    <cellStyle name="常规 4 47" xfId="55848"/>
    <cellStyle name="常规 4 48" xfId="55849"/>
    <cellStyle name="常规 4 49" xfId="55850"/>
    <cellStyle name="常规 4 5" xfId="3617"/>
    <cellStyle name="常规 4 5 2" xfId="3618"/>
    <cellStyle name="常规 4 5 3" xfId="3619"/>
    <cellStyle name="常规 4 5 4" xfId="8024"/>
    <cellStyle name="常规 4 5 5" xfId="55851"/>
    <cellStyle name="常规 4 50" xfId="55852"/>
    <cellStyle name="常规 4 51" xfId="55853"/>
    <cellStyle name="常规 4 52" xfId="55854"/>
    <cellStyle name="常规 4 53" xfId="55855"/>
    <cellStyle name="常规 4 54" xfId="55856"/>
    <cellStyle name="常规 4 55" xfId="55857"/>
    <cellStyle name="常规 4 56" xfId="55858"/>
    <cellStyle name="常规 4 57" xfId="55859"/>
    <cellStyle name="常规 4 58" xfId="55860"/>
    <cellStyle name="常规 4 59" xfId="55861"/>
    <cellStyle name="常规 4 6" xfId="8025"/>
    <cellStyle name="常规 4 60" xfId="55862"/>
    <cellStyle name="常规 4 61" xfId="55863"/>
    <cellStyle name="常规 4 62" xfId="55864"/>
    <cellStyle name="常规 4 63" xfId="55865"/>
    <cellStyle name="常规 4 64" xfId="55866"/>
    <cellStyle name="常规 4 65" xfId="55867"/>
    <cellStyle name="常规 4 66" xfId="55868"/>
    <cellStyle name="常规 4 67" xfId="55869"/>
    <cellStyle name="常规 4 68" xfId="55870"/>
    <cellStyle name="常规 4 69" xfId="55871"/>
    <cellStyle name="常规 4 7" xfId="8026"/>
    <cellStyle name="常规 4 7 2" xfId="55872"/>
    <cellStyle name="常规 4 70" xfId="55873"/>
    <cellStyle name="常规 4 71" xfId="55874"/>
    <cellStyle name="常规 4 72" xfId="55875"/>
    <cellStyle name="常规 4 73" xfId="55876"/>
    <cellStyle name="常规 4 74" xfId="55877"/>
    <cellStyle name="常规 4 75" xfId="55878"/>
    <cellStyle name="常规 4 76" xfId="55879"/>
    <cellStyle name="常规 4 77" xfId="55880"/>
    <cellStyle name="常规 4 78" xfId="55881"/>
    <cellStyle name="常规 4 79" xfId="55882"/>
    <cellStyle name="常规 4 8" xfId="8027"/>
    <cellStyle name="常规 4 80" xfId="55883"/>
    <cellStyle name="常规 4 81" xfId="55884"/>
    <cellStyle name="常规 4 82" xfId="55885"/>
    <cellStyle name="常规 4 83" xfId="751"/>
    <cellStyle name="常规 4 84" xfId="60985"/>
    <cellStyle name="常规 4 85" xfId="61121"/>
    <cellStyle name="常规 4 86" xfId="60836"/>
    <cellStyle name="常规 4 87" xfId="494"/>
    <cellStyle name="常规 4 88" xfId="61141"/>
    <cellStyle name="常规 4 9" xfId="8028"/>
    <cellStyle name="常规 4_副本40期事業計画  (2)" xfId="8029"/>
    <cellStyle name="常规 40" xfId="496"/>
    <cellStyle name="常规 40 10" xfId="55886"/>
    <cellStyle name="常规 40 11" xfId="55887"/>
    <cellStyle name="常规 40 12" xfId="3620"/>
    <cellStyle name="常规 40 2" xfId="8030"/>
    <cellStyle name="常规 40 2 2" xfId="55888"/>
    <cellStyle name="常规 40 2 2 2" xfId="55889"/>
    <cellStyle name="常规 40 2 2 2 2" xfId="55890"/>
    <cellStyle name="常规 40 2 2 3" xfId="55891"/>
    <cellStyle name="常规 40 2 3" xfId="55892"/>
    <cellStyle name="常规 40 2 3 2" xfId="55893"/>
    <cellStyle name="常规 40 2 4" xfId="55894"/>
    <cellStyle name="常规 40 3" xfId="55895"/>
    <cellStyle name="常规 40 4" xfId="55896"/>
    <cellStyle name="常规 40 4 2" xfId="55897"/>
    <cellStyle name="常规 40 4 2 2" xfId="55898"/>
    <cellStyle name="常规 40 4 3" xfId="55899"/>
    <cellStyle name="常规 40 5" xfId="55900"/>
    <cellStyle name="常规 40 5 2" xfId="55901"/>
    <cellStyle name="常规 40 5 2 2" xfId="55902"/>
    <cellStyle name="常规 40 5 3" xfId="55903"/>
    <cellStyle name="常规 40 6" xfId="55904"/>
    <cellStyle name="常规 40 6 2" xfId="55905"/>
    <cellStyle name="常规 40 6 2 2" xfId="55906"/>
    <cellStyle name="常规 40 6 3" xfId="55907"/>
    <cellStyle name="常规 40 7" xfId="55908"/>
    <cellStyle name="常规 40 8" xfId="55909"/>
    <cellStyle name="常规 40 9" xfId="55910"/>
    <cellStyle name="常规 400" xfId="497"/>
    <cellStyle name="常规 401" xfId="498"/>
    <cellStyle name="常规 402" xfId="499"/>
    <cellStyle name="常规 403" xfId="500"/>
    <cellStyle name="常规 404" xfId="501"/>
    <cellStyle name="常规 405" xfId="502"/>
    <cellStyle name="常规 406" xfId="503"/>
    <cellStyle name="常规 407" xfId="504"/>
    <cellStyle name="常规 408" xfId="505"/>
    <cellStyle name="常规 409" xfId="506"/>
    <cellStyle name="常规 41" xfId="507"/>
    <cellStyle name="常规 41 2" xfId="8031"/>
    <cellStyle name="常规 41 2 2" xfId="55911"/>
    <cellStyle name="常规 41 2 2 2" xfId="55912"/>
    <cellStyle name="常规 41 2 2 2 2" xfId="55913"/>
    <cellStyle name="常规 41 2 2 3" xfId="55914"/>
    <cellStyle name="常规 41 2 3" xfId="55915"/>
    <cellStyle name="常规 41 2 3 2" xfId="55916"/>
    <cellStyle name="常规 41 2 4" xfId="55917"/>
    <cellStyle name="常规 41 3" xfId="55918"/>
    <cellStyle name="常规 41 4" xfId="55919"/>
    <cellStyle name="常规 41 4 2" xfId="55920"/>
    <cellStyle name="常规 41 4 2 2" xfId="55921"/>
    <cellStyle name="常规 41 4 3" xfId="55922"/>
    <cellStyle name="常规 41 5" xfId="55923"/>
    <cellStyle name="常规 41 5 2" xfId="55924"/>
    <cellStyle name="常规 41 5 2 2" xfId="55925"/>
    <cellStyle name="常规 41 5 3" xfId="55926"/>
    <cellStyle name="常规 41 6" xfId="55927"/>
    <cellStyle name="常规 41 6 2" xfId="55928"/>
    <cellStyle name="常规 41 6 2 2" xfId="55929"/>
    <cellStyle name="常规 41 6 3" xfId="55930"/>
    <cellStyle name="常规 41 7" xfId="3621"/>
    <cellStyle name="常规 410" xfId="508"/>
    <cellStyle name="常规 411" xfId="509"/>
    <cellStyle name="常规 412" xfId="510"/>
    <cellStyle name="常规 413" xfId="511"/>
    <cellStyle name="常规 414" xfId="512"/>
    <cellStyle name="常规 415" xfId="513"/>
    <cellStyle name="常规 416" xfId="514"/>
    <cellStyle name="常规 417" xfId="515"/>
    <cellStyle name="常规 418" xfId="516"/>
    <cellStyle name="常规 419" xfId="517"/>
    <cellStyle name="常规 42" xfId="518"/>
    <cellStyle name="常规 42 2" xfId="8032"/>
    <cellStyle name="常规 42 2 2" xfId="55931"/>
    <cellStyle name="常规 42 2 2 2" xfId="55932"/>
    <cellStyle name="常规 42 2 2 2 2" xfId="55933"/>
    <cellStyle name="常规 42 2 2 3" xfId="55934"/>
    <cellStyle name="常规 42 2 3" xfId="55935"/>
    <cellStyle name="常规 42 2 3 2" xfId="55936"/>
    <cellStyle name="常规 42 2 4" xfId="55937"/>
    <cellStyle name="常规 42 3" xfId="55938"/>
    <cellStyle name="常规 42 4" xfId="55939"/>
    <cellStyle name="常规 42 4 2" xfId="55940"/>
    <cellStyle name="常规 42 4 2 2" xfId="55941"/>
    <cellStyle name="常规 42 4 3" xfId="55942"/>
    <cellStyle name="常规 42 5" xfId="55943"/>
    <cellStyle name="常规 42 5 2" xfId="55944"/>
    <cellStyle name="常规 42 5 2 2" xfId="55945"/>
    <cellStyle name="常规 42 5 3" xfId="55946"/>
    <cellStyle name="常规 42 6" xfId="55947"/>
    <cellStyle name="常规 42 6 2" xfId="55948"/>
    <cellStyle name="常规 42 6 2 2" xfId="55949"/>
    <cellStyle name="常规 42 6 3" xfId="55950"/>
    <cellStyle name="常规 42 7" xfId="3622"/>
    <cellStyle name="常规 420" xfId="519"/>
    <cellStyle name="常规 421" xfId="520"/>
    <cellStyle name="常规 422" xfId="521"/>
    <cellStyle name="常规 423" xfId="522"/>
    <cellStyle name="常规 424" xfId="523"/>
    <cellStyle name="常规 425" xfId="524"/>
    <cellStyle name="常规 426" xfId="525"/>
    <cellStyle name="常规 427" xfId="526"/>
    <cellStyle name="常规 428" xfId="527"/>
    <cellStyle name="常规 429" xfId="528"/>
    <cellStyle name="常规 43" xfId="529"/>
    <cellStyle name="常规 43 10" xfId="55951"/>
    <cellStyle name="常规 43 11" xfId="55952"/>
    <cellStyle name="常规 43 12" xfId="3623"/>
    <cellStyle name="常规 43 2" xfId="8033"/>
    <cellStyle name="常规 43 2 2" xfId="55953"/>
    <cellStyle name="常规 43 2 2 2" xfId="55954"/>
    <cellStyle name="常规 43 2 2 2 2" xfId="55955"/>
    <cellStyle name="常规 43 2 2 3" xfId="55956"/>
    <cellStyle name="常规 43 2 3" xfId="55957"/>
    <cellStyle name="常规 43 2 3 2" xfId="55958"/>
    <cellStyle name="常规 43 2 4" xfId="55959"/>
    <cellStyle name="常规 43 3" xfId="55960"/>
    <cellStyle name="常规 43 4" xfId="55961"/>
    <cellStyle name="常规 43 4 2" xfId="55962"/>
    <cellStyle name="常规 43 4 2 2" xfId="55963"/>
    <cellStyle name="常规 43 4 3" xfId="55964"/>
    <cellStyle name="常规 43 5" xfId="55965"/>
    <cellStyle name="常规 43 5 2" xfId="55966"/>
    <cellStyle name="常规 43 5 2 2" xfId="55967"/>
    <cellStyle name="常规 43 5 3" xfId="55968"/>
    <cellStyle name="常规 43 6" xfId="55969"/>
    <cellStyle name="常规 43 6 2" xfId="55970"/>
    <cellStyle name="常规 43 6 2 2" xfId="55971"/>
    <cellStyle name="常规 43 6 3" xfId="55972"/>
    <cellStyle name="常规 43 7" xfId="55973"/>
    <cellStyle name="常规 43 8" xfId="55974"/>
    <cellStyle name="常规 43 9" xfId="55975"/>
    <cellStyle name="常规 430" xfId="530"/>
    <cellStyle name="常规 431" xfId="531"/>
    <cellStyle name="常规 432" xfId="532"/>
    <cellStyle name="常规 433" xfId="533"/>
    <cellStyle name="常规 434" xfId="534"/>
    <cellStyle name="常规 435" xfId="535"/>
    <cellStyle name="常规 436" xfId="536"/>
    <cellStyle name="常规 437" xfId="537"/>
    <cellStyle name="常规 438" xfId="538"/>
    <cellStyle name="常规 439" xfId="539"/>
    <cellStyle name="常规 44" xfId="540"/>
    <cellStyle name="常规 44 2" xfId="8034"/>
    <cellStyle name="常规 44 2 2" xfId="55976"/>
    <cellStyle name="常规 44 2 2 2" xfId="55977"/>
    <cellStyle name="常规 44 2 2 2 2" xfId="55978"/>
    <cellStyle name="常规 44 2 2 3" xfId="55979"/>
    <cellStyle name="常规 44 2 3" xfId="55980"/>
    <cellStyle name="常规 44 2 3 2" xfId="55981"/>
    <cellStyle name="常规 44 2 4" xfId="55982"/>
    <cellStyle name="常规 44 3" xfId="55983"/>
    <cellStyle name="常规 44 4" xfId="55984"/>
    <cellStyle name="常规 44 4 2" xfId="55985"/>
    <cellStyle name="常规 44 4 2 2" xfId="55986"/>
    <cellStyle name="常规 44 4 3" xfId="55987"/>
    <cellStyle name="常规 44 5" xfId="55988"/>
    <cellStyle name="常规 44 5 2" xfId="55989"/>
    <cellStyle name="常规 44 5 2 2" xfId="55990"/>
    <cellStyle name="常规 44 5 3" xfId="55991"/>
    <cellStyle name="常规 44 6" xfId="55992"/>
    <cellStyle name="常规 44 6 2" xfId="55993"/>
    <cellStyle name="常规 44 6 2 2" xfId="55994"/>
    <cellStyle name="常规 44 6 3" xfId="55995"/>
    <cellStyle name="常规 44 7" xfId="3624"/>
    <cellStyle name="常规 440" xfId="541"/>
    <cellStyle name="常规 441" xfId="542"/>
    <cellStyle name="常规 442" xfId="543"/>
    <cellStyle name="常规 443" xfId="544"/>
    <cellStyle name="常规 444" xfId="545"/>
    <cellStyle name="常规 445" xfId="546"/>
    <cellStyle name="常规 446" xfId="547"/>
    <cellStyle name="常规 447" xfId="548"/>
    <cellStyle name="常规 448" xfId="549"/>
    <cellStyle name="常规 449" xfId="550"/>
    <cellStyle name="常规 45" xfId="551"/>
    <cellStyle name="常规 45 2" xfId="8035"/>
    <cellStyle name="常规 45 2 2" xfId="55996"/>
    <cellStyle name="常规 45 2 2 2" xfId="55997"/>
    <cellStyle name="常规 45 2 2 2 2" xfId="55998"/>
    <cellStyle name="常规 45 2 2 3" xfId="55999"/>
    <cellStyle name="常规 45 2 3" xfId="56000"/>
    <cellStyle name="常规 45 2 3 2" xfId="56001"/>
    <cellStyle name="常规 45 2 4" xfId="56002"/>
    <cellStyle name="常规 45 3" xfId="56003"/>
    <cellStyle name="常规 45 4" xfId="56004"/>
    <cellStyle name="常规 45 4 2" xfId="56005"/>
    <cellStyle name="常规 45 4 2 2" xfId="56006"/>
    <cellStyle name="常规 45 4 3" xfId="56007"/>
    <cellStyle name="常规 45 5" xfId="56008"/>
    <cellStyle name="常规 45 5 2" xfId="56009"/>
    <cellStyle name="常规 45 5 2 2" xfId="56010"/>
    <cellStyle name="常规 45 5 3" xfId="56011"/>
    <cellStyle name="常规 45 6" xfId="56012"/>
    <cellStyle name="常规 45 6 2" xfId="56013"/>
    <cellStyle name="常规 45 6 2 2" xfId="56014"/>
    <cellStyle name="常规 45 6 3" xfId="56015"/>
    <cellStyle name="常规 45 7" xfId="3625"/>
    <cellStyle name="常规 450" xfId="552"/>
    <cellStyle name="常规 451" xfId="553"/>
    <cellStyle name="常规 452" xfId="554"/>
    <cellStyle name="常规 453" xfId="555"/>
    <cellStyle name="常规 454" xfId="556"/>
    <cellStyle name="常规 455" xfId="557"/>
    <cellStyle name="常规 456" xfId="558"/>
    <cellStyle name="常规 457" xfId="559"/>
    <cellStyle name="常规 458" xfId="560"/>
    <cellStyle name="常规 459" xfId="561"/>
    <cellStyle name="常规 46" xfId="562"/>
    <cellStyle name="常规 46 10" xfId="56016"/>
    <cellStyle name="常规 46 11" xfId="56017"/>
    <cellStyle name="常规 46 12" xfId="3626"/>
    <cellStyle name="常规 46 2" xfId="8036"/>
    <cellStyle name="常规 46 2 2" xfId="56018"/>
    <cellStyle name="常规 46 2 2 2" xfId="56019"/>
    <cellStyle name="常规 46 2 2 2 2" xfId="56020"/>
    <cellStyle name="常规 46 2 2 3" xfId="56021"/>
    <cellStyle name="常规 46 2 3" xfId="56022"/>
    <cellStyle name="常规 46 2 3 2" xfId="56023"/>
    <cellStyle name="常规 46 2 4" xfId="56024"/>
    <cellStyle name="常规 46 3" xfId="56025"/>
    <cellStyle name="常规 46 4" xfId="56026"/>
    <cellStyle name="常规 46 4 2" xfId="56027"/>
    <cellStyle name="常规 46 4 2 2" xfId="56028"/>
    <cellStyle name="常规 46 4 3" xfId="56029"/>
    <cellStyle name="常规 46 5" xfId="56030"/>
    <cellStyle name="常规 46 5 2" xfId="56031"/>
    <cellStyle name="常规 46 5 2 2" xfId="56032"/>
    <cellStyle name="常规 46 5 3" xfId="56033"/>
    <cellStyle name="常规 46 6" xfId="56034"/>
    <cellStyle name="常规 46 6 2" xfId="56035"/>
    <cellStyle name="常规 46 6 2 2" xfId="56036"/>
    <cellStyle name="常规 46 6 3" xfId="56037"/>
    <cellStyle name="常规 46 7" xfId="56038"/>
    <cellStyle name="常规 46 8" xfId="56039"/>
    <cellStyle name="常规 46 9" xfId="56040"/>
    <cellStyle name="常规 460" xfId="563"/>
    <cellStyle name="常规 461" xfId="564"/>
    <cellStyle name="常规 462" xfId="565"/>
    <cellStyle name="常规 463" xfId="566"/>
    <cellStyle name="常规 464" xfId="567"/>
    <cellStyle name="常规 465" xfId="568"/>
    <cellStyle name="常规 466" xfId="569"/>
    <cellStyle name="常规 467" xfId="570"/>
    <cellStyle name="常规 468" xfId="571"/>
    <cellStyle name="常规 469" xfId="572"/>
    <cellStyle name="常规 47" xfId="573"/>
    <cellStyle name="常规 47 10" xfId="56041"/>
    <cellStyle name="常规 47 11" xfId="56042"/>
    <cellStyle name="常规 47 12" xfId="3627"/>
    <cellStyle name="常规 47 2" xfId="8037"/>
    <cellStyle name="常规 47 2 2" xfId="56043"/>
    <cellStyle name="常规 47 2 2 2" xfId="56044"/>
    <cellStyle name="常规 47 2 2 2 2" xfId="56045"/>
    <cellStyle name="常规 47 2 2 3" xfId="56046"/>
    <cellStyle name="常规 47 2 3" xfId="56047"/>
    <cellStyle name="常规 47 2 3 2" xfId="56048"/>
    <cellStyle name="常规 47 2 4" xfId="56049"/>
    <cellStyle name="常规 47 3" xfId="56050"/>
    <cellStyle name="常规 47 4" xfId="56051"/>
    <cellStyle name="常规 47 4 2" xfId="56052"/>
    <cellStyle name="常规 47 4 2 2" xfId="56053"/>
    <cellStyle name="常规 47 4 3" xfId="56054"/>
    <cellStyle name="常规 47 5" xfId="56055"/>
    <cellStyle name="常规 47 5 2" xfId="56056"/>
    <cellStyle name="常规 47 5 2 2" xfId="56057"/>
    <cellStyle name="常规 47 5 3" xfId="56058"/>
    <cellStyle name="常规 47 6" xfId="56059"/>
    <cellStyle name="常规 47 6 2" xfId="56060"/>
    <cellStyle name="常规 47 6 2 2" xfId="56061"/>
    <cellStyle name="常规 47 6 3" xfId="56062"/>
    <cellStyle name="常规 47 7" xfId="56063"/>
    <cellStyle name="常规 47 8" xfId="56064"/>
    <cellStyle name="常规 47 9" xfId="56065"/>
    <cellStyle name="常规 470" xfId="574"/>
    <cellStyle name="常规 471" xfId="575"/>
    <cellStyle name="常规 472" xfId="576"/>
    <cellStyle name="常规 473" xfId="577"/>
    <cellStyle name="常规 474" xfId="578"/>
    <cellStyle name="常规 475" xfId="579"/>
    <cellStyle name="常规 476" xfId="580"/>
    <cellStyle name="常规 477" xfId="581"/>
    <cellStyle name="常规 478" xfId="582"/>
    <cellStyle name="常规 479" xfId="583"/>
    <cellStyle name="常规 48" xfId="584"/>
    <cellStyle name="常规 48 2" xfId="8038"/>
    <cellStyle name="常规 48 2 2" xfId="56066"/>
    <cellStyle name="常规 48 2 2 2" xfId="56067"/>
    <cellStyle name="常规 48 2 2 2 2" xfId="56068"/>
    <cellStyle name="常规 48 2 2 3" xfId="56069"/>
    <cellStyle name="常规 48 2 3" xfId="56070"/>
    <cellStyle name="常规 48 2 3 2" xfId="56071"/>
    <cellStyle name="常规 48 2 4" xfId="56072"/>
    <cellStyle name="常规 48 2 5" xfId="56073"/>
    <cellStyle name="常规 48 3" xfId="56074"/>
    <cellStyle name="常规 48 4" xfId="56075"/>
    <cellStyle name="常规 48 4 2" xfId="56076"/>
    <cellStyle name="常规 48 4 2 2" xfId="56077"/>
    <cellStyle name="常规 48 4 3" xfId="56078"/>
    <cellStyle name="常规 48 5" xfId="56079"/>
    <cellStyle name="常规 48 5 2" xfId="56080"/>
    <cellStyle name="常规 48 5 2 2" xfId="56081"/>
    <cellStyle name="常规 48 5 3" xfId="56082"/>
    <cellStyle name="常规 48 6" xfId="56083"/>
    <cellStyle name="常规 48 6 2" xfId="56084"/>
    <cellStyle name="常规 48 6 2 2" xfId="56085"/>
    <cellStyle name="常规 48 6 3" xfId="56086"/>
    <cellStyle name="常规 48 7" xfId="3628"/>
    <cellStyle name="常规 480" xfId="585"/>
    <cellStyle name="常规 481" xfId="586"/>
    <cellStyle name="常规 482" xfId="587"/>
    <cellStyle name="常规 483" xfId="588"/>
    <cellStyle name="常规 484" xfId="589"/>
    <cellStyle name="常规 485" xfId="590"/>
    <cellStyle name="常规 486" xfId="591"/>
    <cellStyle name="常规 487" xfId="592"/>
    <cellStyle name="常规 488" xfId="593"/>
    <cellStyle name="常规 489" xfId="690"/>
    <cellStyle name="常规 49" xfId="594"/>
    <cellStyle name="常规 49 2" xfId="8039"/>
    <cellStyle name="常规 49 2 2" xfId="56087"/>
    <cellStyle name="常规 49 2 2 2" xfId="56088"/>
    <cellStyle name="常规 49 2 2 2 2" xfId="56089"/>
    <cellStyle name="常规 49 2 2 3" xfId="56090"/>
    <cellStyle name="常规 49 2 3" xfId="56091"/>
    <cellStyle name="常规 49 2 3 2" xfId="56092"/>
    <cellStyle name="常规 49 2 4" xfId="56093"/>
    <cellStyle name="常规 49 3" xfId="56094"/>
    <cellStyle name="常规 49 4" xfId="56095"/>
    <cellStyle name="常规 49 4 2" xfId="56096"/>
    <cellStyle name="常规 49 4 2 2" xfId="56097"/>
    <cellStyle name="常规 49 4 3" xfId="56098"/>
    <cellStyle name="常规 49 5" xfId="56099"/>
    <cellStyle name="常规 49 5 2" xfId="56100"/>
    <cellStyle name="常规 49 5 2 2" xfId="56101"/>
    <cellStyle name="常规 49 5 3" xfId="56102"/>
    <cellStyle name="常规 49 6" xfId="56103"/>
    <cellStyle name="常规 49 6 2" xfId="56104"/>
    <cellStyle name="常规 49 6 2 2" xfId="56105"/>
    <cellStyle name="常规 49 6 3" xfId="56106"/>
    <cellStyle name="常规 49 7" xfId="3629"/>
    <cellStyle name="常规 490" xfId="719"/>
    <cellStyle name="常规 491" xfId="60833"/>
    <cellStyle name="常规 492" xfId="61091"/>
    <cellStyle name="常规 493" xfId="61122"/>
    <cellStyle name="常规 494" xfId="66"/>
    <cellStyle name="常规 495" xfId="61123"/>
    <cellStyle name="常规 496" xfId="61126"/>
    <cellStyle name="常规 5" xfId="41"/>
    <cellStyle name="常规 5 10" xfId="8041"/>
    <cellStyle name="常规 5 10 2" xfId="56107"/>
    <cellStyle name="常规 5 11" xfId="8042"/>
    <cellStyle name="常规 5 11 2" xfId="56108"/>
    <cellStyle name="常规 5 12" xfId="8043"/>
    <cellStyle name="常规 5 12 2" xfId="56109"/>
    <cellStyle name="常规 5 13" xfId="8044"/>
    <cellStyle name="常规 5 13 2" xfId="56110"/>
    <cellStyle name="常规 5 14" xfId="8045"/>
    <cellStyle name="常规 5 14 2" xfId="56111"/>
    <cellStyle name="常规 5 15" xfId="8046"/>
    <cellStyle name="常规 5 15 2" xfId="56112"/>
    <cellStyle name="常规 5 16" xfId="8047"/>
    <cellStyle name="常规 5 16 2" xfId="56113"/>
    <cellStyle name="常规 5 17" xfId="8048"/>
    <cellStyle name="常规 5 17 2" xfId="56114"/>
    <cellStyle name="常规 5 18" xfId="8049"/>
    <cellStyle name="常规 5 18 2" xfId="56115"/>
    <cellStyle name="常规 5 19" xfId="8050"/>
    <cellStyle name="常规 5 19 2" xfId="56116"/>
    <cellStyle name="常规 5 2" xfId="595"/>
    <cellStyle name="常规 5 2 2" xfId="3630"/>
    <cellStyle name="常规 5 2 2 2" xfId="3631"/>
    <cellStyle name="常规 5 2 2 2 2" xfId="3632"/>
    <cellStyle name="常规 5 2 2 2 2 2" xfId="3633"/>
    <cellStyle name="常规 5 2 2 2 3" xfId="56117"/>
    <cellStyle name="常规 5 2 2 3" xfId="3634"/>
    <cellStyle name="常规 5 2 2 3 2" xfId="3635"/>
    <cellStyle name="常规 5 2 2 4" xfId="8052"/>
    <cellStyle name="常规 5 2 2 5" xfId="56118"/>
    <cellStyle name="常规 5 2 2 6" xfId="60988"/>
    <cellStyle name="常规 5 2 3" xfId="3636"/>
    <cellStyle name="常规 5 2 3 2" xfId="3637"/>
    <cellStyle name="常规 5 2 3 2 2" xfId="3638"/>
    <cellStyle name="常规 5 2 3 3" xfId="56119"/>
    <cellStyle name="常规 5 2 4" xfId="3639"/>
    <cellStyle name="常规 5 2 4 2" xfId="3640"/>
    <cellStyle name="常规 5 2 4 3" xfId="3641"/>
    <cellStyle name="常规 5 2 5" xfId="8051"/>
    <cellStyle name="常规 5 2 6" xfId="56120"/>
    <cellStyle name="常规 5 2 7" xfId="56121"/>
    <cellStyle name="常规 5 2 8" xfId="60987"/>
    <cellStyle name="常规 5 2_培训名单通知" xfId="8055"/>
    <cellStyle name="常规 5 20" xfId="8056"/>
    <cellStyle name="常规 5 20 2" xfId="56122"/>
    <cellStyle name="常规 5 21" xfId="8057"/>
    <cellStyle name="常规 5 21 2" xfId="56123"/>
    <cellStyle name="常规 5 22" xfId="8058"/>
    <cellStyle name="常规 5 23" xfId="11351"/>
    <cellStyle name="常规 5 24" xfId="11352"/>
    <cellStyle name="常规 5 25" xfId="11353"/>
    <cellStyle name="常规 5 26" xfId="8040"/>
    <cellStyle name="常规 5 26 2" xfId="24823"/>
    <cellStyle name="常规 5 27" xfId="17658"/>
    <cellStyle name="常规 5 27 2" xfId="24824"/>
    <cellStyle name="常规 5 28" xfId="21753"/>
    <cellStyle name="常规 5 28 2" xfId="24825"/>
    <cellStyle name="常规 5 29" xfId="6990"/>
    <cellStyle name="常规 5 29 2" xfId="24826"/>
    <cellStyle name="常规 5 3" xfId="3642"/>
    <cellStyle name="常规 5 3 2" xfId="3643"/>
    <cellStyle name="常规 5 3 2 2" xfId="3644"/>
    <cellStyle name="常规 5 3 3" xfId="8059"/>
    <cellStyle name="常规 5 3 4" xfId="56124"/>
    <cellStyle name="常规 5 30" xfId="18834"/>
    <cellStyle name="常规 5 30 2" xfId="24827"/>
    <cellStyle name="常规 5 31" xfId="21759"/>
    <cellStyle name="常规 5 31 2" xfId="24828"/>
    <cellStyle name="常规 5 32" xfId="24829"/>
    <cellStyle name="常规 5 33" xfId="24822"/>
    <cellStyle name="常规 5 34" xfId="23398"/>
    <cellStyle name="常规 5 35" xfId="56125"/>
    <cellStyle name="常规 5 36" xfId="56126"/>
    <cellStyle name="常规 5 37" xfId="56127"/>
    <cellStyle name="常规 5 38" xfId="56128"/>
    <cellStyle name="常规 5 39" xfId="56129"/>
    <cellStyle name="常规 5 4" xfId="3645"/>
    <cellStyle name="常规 5 4 2" xfId="3646"/>
    <cellStyle name="常规 5 4 2 2" xfId="3647"/>
    <cellStyle name="常规 5 4 3" xfId="8060"/>
    <cellStyle name="常规 5 4 4" xfId="56130"/>
    <cellStyle name="常规 5 4 5" xfId="56131"/>
    <cellStyle name="常规 5 40" xfId="56132"/>
    <cellStyle name="常规 5 41" xfId="56133"/>
    <cellStyle name="常规 5 42" xfId="56134"/>
    <cellStyle name="常规 5 43" xfId="56135"/>
    <cellStyle name="常规 5 44" xfId="56136"/>
    <cellStyle name="常规 5 45" xfId="56137"/>
    <cellStyle name="常规 5 46" xfId="56138"/>
    <cellStyle name="常规 5 47" xfId="56139"/>
    <cellStyle name="常规 5 48" xfId="56140"/>
    <cellStyle name="常规 5 49" xfId="56141"/>
    <cellStyle name="常规 5 5" xfId="3648"/>
    <cellStyle name="常规 5 5 2" xfId="3649"/>
    <cellStyle name="常规 5 5 2 2" xfId="8062"/>
    <cellStyle name="常规 5 5 2 3" xfId="56142"/>
    <cellStyle name="常规 5 5 2 4" xfId="56143"/>
    <cellStyle name="常规 5 5 3" xfId="8061"/>
    <cellStyle name="常规 5 5 4" xfId="56144"/>
    <cellStyle name="常规 5 5_培训名单通知" xfId="8063"/>
    <cellStyle name="常规 5 50" xfId="56145"/>
    <cellStyle name="常规 5 51" xfId="56146"/>
    <cellStyle name="常规 5 52" xfId="56147"/>
    <cellStyle name="常规 5 53" xfId="56148"/>
    <cellStyle name="常规 5 54" xfId="56149"/>
    <cellStyle name="常规 5 55" xfId="56150"/>
    <cellStyle name="常规 5 56" xfId="56151"/>
    <cellStyle name="常规 5 57" xfId="56152"/>
    <cellStyle name="常规 5 58" xfId="56153"/>
    <cellStyle name="常规 5 59" xfId="56154"/>
    <cellStyle name="常规 5 6" xfId="3650"/>
    <cellStyle name="常规 5 6 2" xfId="8064"/>
    <cellStyle name="常规 5 6 3" xfId="56155"/>
    <cellStyle name="常规 5 60" xfId="56156"/>
    <cellStyle name="常规 5 61" xfId="56157"/>
    <cellStyle name="常规 5 62" xfId="56158"/>
    <cellStyle name="常规 5 63" xfId="56159"/>
    <cellStyle name="常规 5 64" xfId="56160"/>
    <cellStyle name="常规 5 65" xfId="56161"/>
    <cellStyle name="常规 5 66" xfId="56162"/>
    <cellStyle name="常规 5 67" xfId="56163"/>
    <cellStyle name="常规 5 68" xfId="56164"/>
    <cellStyle name="常规 5 69" xfId="56165"/>
    <cellStyle name="常规 5 7" xfId="8065"/>
    <cellStyle name="常规 5 7 2" xfId="56166"/>
    <cellStyle name="常规 5 7 3" xfId="56167"/>
    <cellStyle name="常规 5 70" xfId="56168"/>
    <cellStyle name="常规 5 71" xfId="56169"/>
    <cellStyle name="常规 5 72" xfId="56170"/>
    <cellStyle name="常规 5 73" xfId="56171"/>
    <cellStyle name="常规 5 74" xfId="56172"/>
    <cellStyle name="常规 5 75" xfId="56173"/>
    <cellStyle name="常规 5 76" xfId="56174"/>
    <cellStyle name="常规 5 77" xfId="56175"/>
    <cellStyle name="常规 5 78" xfId="56176"/>
    <cellStyle name="常规 5 79" xfId="56177"/>
    <cellStyle name="常规 5 8" xfId="8066"/>
    <cellStyle name="常规 5 8 2" xfId="56178"/>
    <cellStyle name="常规 5 80" xfId="56179"/>
    <cellStyle name="常规 5 81" xfId="56180"/>
    <cellStyle name="常规 5 82" xfId="56181"/>
    <cellStyle name="常规 5 83" xfId="56182"/>
    <cellStyle name="常规 5 84" xfId="56183"/>
    <cellStyle name="常规 5 85" xfId="56184"/>
    <cellStyle name="常规 5 86" xfId="56185"/>
    <cellStyle name="常规 5 87" xfId="56186"/>
    <cellStyle name="常规 5 88" xfId="752"/>
    <cellStyle name="常规 5 89" xfId="60986"/>
    <cellStyle name="常规 5 9" xfId="8067"/>
    <cellStyle name="常规 5 9 2" xfId="56187"/>
    <cellStyle name="常规 5 90" xfId="61142"/>
    <cellStyle name="常规 5_201205同業他社比較（商品構成G）" xfId="3651"/>
    <cellStyle name="常规 50" xfId="596"/>
    <cellStyle name="常规 50 14" xfId="56188"/>
    <cellStyle name="常规 50 2" xfId="8068"/>
    <cellStyle name="常规 50 2 2" xfId="56189"/>
    <cellStyle name="常规 50 2 2 2" xfId="56190"/>
    <cellStyle name="常规 50 2 2 2 2" xfId="56191"/>
    <cellStyle name="常规 50 2 2 3" xfId="56192"/>
    <cellStyle name="常规 50 2 3" xfId="56193"/>
    <cellStyle name="常规 50 2 3 2" xfId="56194"/>
    <cellStyle name="常规 50 2 4" xfId="56195"/>
    <cellStyle name="常规 50 2 5" xfId="56196"/>
    <cellStyle name="常规 50 3" xfId="56197"/>
    <cellStyle name="常规 50 3 2" xfId="56198"/>
    <cellStyle name="常规 50 3 2 2" xfId="56199"/>
    <cellStyle name="常规 50 3 2 3" xfId="56200"/>
    <cellStyle name="常规 50 3 2 4" xfId="56201"/>
    <cellStyle name="常规 50 3 2 5" xfId="56202"/>
    <cellStyle name="常规 50 3 3" xfId="56203"/>
    <cellStyle name="常规 50 3 4" xfId="56204"/>
    <cellStyle name="常规 50 3 5" xfId="56205"/>
    <cellStyle name="常规 50 3 6" xfId="56206"/>
    <cellStyle name="常规 50 4" xfId="56207"/>
    <cellStyle name="常规 50 4 2" xfId="56208"/>
    <cellStyle name="常规 50 4 2 2" xfId="56209"/>
    <cellStyle name="常规 50 4 3" xfId="56210"/>
    <cellStyle name="常规 50 5" xfId="56211"/>
    <cellStyle name="常规 50 5 2" xfId="56212"/>
    <cellStyle name="常规 50 5 2 2" xfId="56213"/>
    <cellStyle name="常规 50 5 3" xfId="56214"/>
    <cellStyle name="常规 50 6" xfId="56215"/>
    <cellStyle name="常规 50 6 2" xfId="56216"/>
    <cellStyle name="常规 50 6 2 2" xfId="56217"/>
    <cellStyle name="常规 50 6 3" xfId="56218"/>
    <cellStyle name="常规 50 7" xfId="56219"/>
    <cellStyle name="常规 50 8" xfId="3652"/>
    <cellStyle name="常规 51" xfId="597"/>
    <cellStyle name="常规 51 2" xfId="8069"/>
    <cellStyle name="常规 51 2 2" xfId="56220"/>
    <cellStyle name="常规 51 2 2 2" xfId="56221"/>
    <cellStyle name="常规 51 2 2 2 2" xfId="56222"/>
    <cellStyle name="常规 51 2 2 3" xfId="56223"/>
    <cellStyle name="常规 51 2 3" xfId="56224"/>
    <cellStyle name="常规 51 2 3 2" xfId="56225"/>
    <cellStyle name="常规 51 2 4" xfId="56226"/>
    <cellStyle name="常规 51 2 5" xfId="56227"/>
    <cellStyle name="常规 51 3" xfId="56228"/>
    <cellStyle name="常规 51 4" xfId="56229"/>
    <cellStyle name="常规 51 4 2" xfId="56230"/>
    <cellStyle name="常规 51 4 2 2" xfId="56231"/>
    <cellStyle name="常规 51 4 3" xfId="56232"/>
    <cellStyle name="常规 51 5" xfId="56233"/>
    <cellStyle name="常规 51 5 2" xfId="56234"/>
    <cellStyle name="常规 51 5 2 2" xfId="56235"/>
    <cellStyle name="常规 51 5 3" xfId="56236"/>
    <cellStyle name="常规 51 6" xfId="56237"/>
    <cellStyle name="常规 51 6 2" xfId="56238"/>
    <cellStyle name="常规 51 6 2 2" xfId="56239"/>
    <cellStyle name="常规 51 6 3" xfId="56240"/>
    <cellStyle name="常规 51 7" xfId="56241"/>
    <cellStyle name="常规 51 8" xfId="3653"/>
    <cellStyle name="常规 52" xfId="598"/>
    <cellStyle name="常规 52 2" xfId="8070"/>
    <cellStyle name="常规 52 2 2" xfId="56242"/>
    <cellStyle name="常规 52 2 2 2" xfId="56243"/>
    <cellStyle name="常规 52 2 2 2 2" xfId="56244"/>
    <cellStyle name="常规 52 2 2 3" xfId="56245"/>
    <cellStyle name="常规 52 2 3" xfId="56246"/>
    <cellStyle name="常规 52 2 3 2" xfId="56247"/>
    <cellStyle name="常规 52 2 4" xfId="56248"/>
    <cellStyle name="常规 52 3" xfId="56249"/>
    <cellStyle name="常规 52 4" xfId="56250"/>
    <cellStyle name="常规 52 4 2" xfId="56251"/>
    <cellStyle name="常规 52 4 2 2" xfId="56252"/>
    <cellStyle name="常规 52 4 3" xfId="56253"/>
    <cellStyle name="常规 52 5" xfId="56254"/>
    <cellStyle name="常规 52 5 2" xfId="56255"/>
    <cellStyle name="常规 52 5 2 2" xfId="56256"/>
    <cellStyle name="常规 52 5 3" xfId="56257"/>
    <cellStyle name="常规 52 6" xfId="56258"/>
    <cellStyle name="常规 52 6 2" xfId="56259"/>
    <cellStyle name="常规 52 6 2 2" xfId="56260"/>
    <cellStyle name="常规 52 6 3" xfId="56261"/>
    <cellStyle name="常规 52 7" xfId="3654"/>
    <cellStyle name="常规 53" xfId="599"/>
    <cellStyle name="常规 53 10" xfId="56262"/>
    <cellStyle name="常规 53 11" xfId="56263"/>
    <cellStyle name="常规 53 12" xfId="56264"/>
    <cellStyle name="常规 53 13" xfId="3655"/>
    <cellStyle name="常规 53 2" xfId="3656"/>
    <cellStyle name="常规 53 2 2" xfId="3657"/>
    <cellStyle name="常规 53 3" xfId="3658"/>
    <cellStyle name="常规 53 4" xfId="8071"/>
    <cellStyle name="常规 53 5" xfId="56265"/>
    <cellStyle name="常规 53 6" xfId="56266"/>
    <cellStyle name="常规 53 7" xfId="56267"/>
    <cellStyle name="常规 53 8" xfId="56268"/>
    <cellStyle name="常规 53 9" xfId="56269"/>
    <cellStyle name="常规 54" xfId="600"/>
    <cellStyle name="常规 54 2" xfId="8072"/>
    <cellStyle name="常规 54 2 2" xfId="56270"/>
    <cellStyle name="常规 54 2 2 2" xfId="56271"/>
    <cellStyle name="常规 54 2 2 2 2" xfId="56272"/>
    <cellStyle name="常规 54 2 2 3" xfId="56273"/>
    <cellStyle name="常规 54 2 3" xfId="56274"/>
    <cellStyle name="常规 54 2 3 2" xfId="56275"/>
    <cellStyle name="常规 54 2 4" xfId="56276"/>
    <cellStyle name="常规 54 3" xfId="56277"/>
    <cellStyle name="常规 54 4" xfId="56278"/>
    <cellStyle name="常规 54 4 2" xfId="56279"/>
    <cellStyle name="常规 54 4 2 2" xfId="56280"/>
    <cellStyle name="常规 54 4 3" xfId="56281"/>
    <cellStyle name="常规 54 5" xfId="56282"/>
    <cellStyle name="常规 54 5 2" xfId="56283"/>
    <cellStyle name="常规 54 5 2 2" xfId="56284"/>
    <cellStyle name="常规 54 5 3" xfId="56285"/>
    <cellStyle name="常规 54 6" xfId="56286"/>
    <cellStyle name="常规 54 6 2" xfId="56287"/>
    <cellStyle name="常规 54 6 2 2" xfId="56288"/>
    <cellStyle name="常规 54 6 3" xfId="56289"/>
    <cellStyle name="常规 54 7" xfId="3659"/>
    <cellStyle name="常规 55" xfId="601"/>
    <cellStyle name="常规 55 2" xfId="8073"/>
    <cellStyle name="常规 55 3" xfId="56290"/>
    <cellStyle name="常规 55 4" xfId="56291"/>
    <cellStyle name="常规 55 5" xfId="56292"/>
    <cellStyle name="常规 55 6" xfId="56293"/>
    <cellStyle name="常规 55 7" xfId="3660"/>
    <cellStyle name="常规 551" xfId="61143"/>
    <cellStyle name="常规 56" xfId="602"/>
    <cellStyle name="常规 56 2" xfId="8074"/>
    <cellStyle name="常规 56 2 2" xfId="56294"/>
    <cellStyle name="常规 56 2 2 2" xfId="56295"/>
    <cellStyle name="常规 56 2 2 2 2" xfId="56296"/>
    <cellStyle name="常规 56 2 2 3" xfId="56297"/>
    <cellStyle name="常规 56 2 3" xfId="56298"/>
    <cellStyle name="常规 56 2 3 2" xfId="56299"/>
    <cellStyle name="常规 56 2 4" xfId="56300"/>
    <cellStyle name="常规 56 3" xfId="56301"/>
    <cellStyle name="常规 56 4" xfId="56302"/>
    <cellStyle name="常规 56 4 2" xfId="56303"/>
    <cellStyle name="常规 56 4 2 2" xfId="56304"/>
    <cellStyle name="常规 56 4 3" xfId="56305"/>
    <cellStyle name="常规 56 5" xfId="56306"/>
    <cellStyle name="常规 56 5 2" xfId="56307"/>
    <cellStyle name="常规 56 5 2 2" xfId="56308"/>
    <cellStyle name="常规 56 5 3" xfId="56309"/>
    <cellStyle name="常规 56 6" xfId="56310"/>
    <cellStyle name="常规 56 6 2" xfId="56311"/>
    <cellStyle name="常规 56 6 2 2" xfId="56312"/>
    <cellStyle name="常规 56 6 3" xfId="56313"/>
    <cellStyle name="常规 56 7" xfId="3661"/>
    <cellStyle name="常规 57" xfId="603"/>
    <cellStyle name="常规 57 2" xfId="8075"/>
    <cellStyle name="常规 57 3" xfId="56314"/>
    <cellStyle name="常规 57 4" xfId="56315"/>
    <cellStyle name="常规 57 5" xfId="56316"/>
    <cellStyle name="常规 57 6" xfId="56317"/>
    <cellStyle name="常规 57 7" xfId="3662"/>
    <cellStyle name="常规 58" xfId="604"/>
    <cellStyle name="常规 58 2" xfId="8076"/>
    <cellStyle name="常规 58 3" xfId="56318"/>
    <cellStyle name="常规 58 4" xfId="56319"/>
    <cellStyle name="常规 58 5" xfId="56320"/>
    <cellStyle name="常规 58 6" xfId="3663"/>
    <cellStyle name="常规 59" xfId="605"/>
    <cellStyle name="常规 59 2" xfId="8077"/>
    <cellStyle name="常规 59 3" xfId="56321"/>
    <cellStyle name="常规 59 4" xfId="56322"/>
    <cellStyle name="常规 59 5" xfId="56323"/>
    <cellStyle name="常规 59 6" xfId="3664"/>
    <cellStyle name="常规 6" xfId="42"/>
    <cellStyle name="常规 6 10" xfId="753"/>
    <cellStyle name="常规 6 11" xfId="60989"/>
    <cellStyle name="常规 6 12" xfId="61144"/>
    <cellStyle name="常规 6 2" xfId="606"/>
    <cellStyle name="常规 6 2 2" xfId="688"/>
    <cellStyle name="常规 6 2 2 2" xfId="715"/>
    <cellStyle name="常规 6 2 2 3" xfId="8079"/>
    <cellStyle name="常规 6 2 3" xfId="56324"/>
    <cellStyle name="常规 6 2 4" xfId="56325"/>
    <cellStyle name="常规 6 2 5" xfId="56326"/>
    <cellStyle name="常规 6 2 6" xfId="3665"/>
    <cellStyle name="常规 6 3" xfId="607"/>
    <cellStyle name="常规 6 3 2" xfId="8080"/>
    <cellStyle name="常规 6 3 3" xfId="56327"/>
    <cellStyle name="常规 6 3 4" xfId="56328"/>
    <cellStyle name="常规 6 3 5" xfId="3666"/>
    <cellStyle name="常规 6 4" xfId="3667"/>
    <cellStyle name="常规 6 4 2" xfId="3668"/>
    <cellStyle name="常规 6 4 3" xfId="8081"/>
    <cellStyle name="常规 6 4 4" xfId="56329"/>
    <cellStyle name="常规 6 5" xfId="3669"/>
    <cellStyle name="常规 6 5 2" xfId="3670"/>
    <cellStyle name="常规 6 6" xfId="56330"/>
    <cellStyle name="常规 6 7" xfId="56331"/>
    <cellStyle name="常规 6 8" xfId="56332"/>
    <cellStyle name="常规 6 9" xfId="56333"/>
    <cellStyle name="常规 6_培训名单通知" xfId="8082"/>
    <cellStyle name="常规 60" xfId="608"/>
    <cellStyle name="常规 60 2" xfId="8083"/>
    <cellStyle name="常规 60 3" xfId="56334"/>
    <cellStyle name="常规 60 4" xfId="56335"/>
    <cellStyle name="常规 60 5" xfId="56336"/>
    <cellStyle name="常规 60 6" xfId="3671"/>
    <cellStyle name="常规 61" xfId="609"/>
    <cellStyle name="常规 61 2" xfId="8084"/>
    <cellStyle name="常规 61 3" xfId="56337"/>
    <cellStyle name="常规 61 4" xfId="56338"/>
    <cellStyle name="常规 61 5" xfId="56339"/>
    <cellStyle name="常规 61 6" xfId="3672"/>
    <cellStyle name="常规 62" xfId="610"/>
    <cellStyle name="常规 62 2" xfId="8085"/>
    <cellStyle name="常规 62 3" xfId="56340"/>
    <cellStyle name="常规 62 4" xfId="56341"/>
    <cellStyle name="常规 62 5" xfId="56342"/>
    <cellStyle name="常规 62 6" xfId="3673"/>
    <cellStyle name="常规 63" xfId="611"/>
    <cellStyle name="常规 63 2" xfId="8086"/>
    <cellStyle name="常规 63 3" xfId="56343"/>
    <cellStyle name="常规 63 4" xfId="56344"/>
    <cellStyle name="常规 63 5" xfId="56345"/>
    <cellStyle name="常规 63 6" xfId="3674"/>
    <cellStyle name="常规 64" xfId="612"/>
    <cellStyle name="常规 64 2" xfId="8087"/>
    <cellStyle name="常规 64 3" xfId="56346"/>
    <cellStyle name="常规 64 4" xfId="56347"/>
    <cellStyle name="常规 64 5" xfId="56348"/>
    <cellStyle name="常规 64 6" xfId="3675"/>
    <cellStyle name="常规 65" xfId="613"/>
    <cellStyle name="常规 65 2" xfId="8088"/>
    <cellStyle name="常规 65 3" xfId="56349"/>
    <cellStyle name="常规 65 4" xfId="56350"/>
    <cellStyle name="常规 65 5" xfId="56351"/>
    <cellStyle name="常规 65 6" xfId="3676"/>
    <cellStyle name="常规 66" xfId="614"/>
    <cellStyle name="常规 66 2" xfId="8089"/>
    <cellStyle name="常规 66 3" xfId="56352"/>
    <cellStyle name="常规 66 4" xfId="56353"/>
    <cellStyle name="常规 66 5" xfId="56354"/>
    <cellStyle name="常规 66 6" xfId="3677"/>
    <cellStyle name="常规 67" xfId="615"/>
    <cellStyle name="常规 67 2" xfId="8090"/>
    <cellStyle name="常规 67 3" xfId="56355"/>
    <cellStyle name="常规 67 4" xfId="3678"/>
    <cellStyle name="常规 68" xfId="616"/>
    <cellStyle name="常规 68 2" xfId="8091"/>
    <cellStyle name="常规 68 2 2" xfId="56356"/>
    <cellStyle name="常规 68 2 2 2" xfId="56357"/>
    <cellStyle name="常规 68 2 2 2 2" xfId="56358"/>
    <cellStyle name="常规 68 2 2 3" xfId="56359"/>
    <cellStyle name="常规 68 2 3" xfId="56360"/>
    <cellStyle name="常规 68 2 3 2" xfId="56361"/>
    <cellStyle name="常规 68 2 4" xfId="56362"/>
    <cellStyle name="常规 68 3" xfId="56363"/>
    <cellStyle name="常规 68 4" xfId="56364"/>
    <cellStyle name="常规 68 4 2" xfId="56365"/>
    <cellStyle name="常规 68 4 2 2" xfId="56366"/>
    <cellStyle name="常规 68 4 3" xfId="56367"/>
    <cellStyle name="常规 68 5" xfId="56368"/>
    <cellStyle name="常规 68 5 2" xfId="56369"/>
    <cellStyle name="常规 68 5 2 2" xfId="56370"/>
    <cellStyle name="常规 68 5 3" xfId="56371"/>
    <cellStyle name="常规 68 6" xfId="56372"/>
    <cellStyle name="常规 68 6 2" xfId="56373"/>
    <cellStyle name="常规 68 6 2 2" xfId="56374"/>
    <cellStyle name="常规 68 6 3" xfId="56375"/>
    <cellStyle name="常规 68 7" xfId="3679"/>
    <cellStyle name="常规 69" xfId="617"/>
    <cellStyle name="常规 69 2" xfId="8092"/>
    <cellStyle name="常规 69 3" xfId="56376"/>
    <cellStyle name="常规 69 4" xfId="3680"/>
    <cellStyle name="常规 7" xfId="43"/>
    <cellStyle name="常规 7 10" xfId="60990"/>
    <cellStyle name="常规 7 2" xfId="618"/>
    <cellStyle name="常规 7 2 2" xfId="3682"/>
    <cellStyle name="常规 7 2 2 2" xfId="11354"/>
    <cellStyle name="常规 7 2 2 2 2" xfId="11355"/>
    <cellStyle name="常规 7 2 2 2 2 2" xfId="24830"/>
    <cellStyle name="常规 7 2 2 2 3" xfId="24831"/>
    <cellStyle name="常规 7 2 2 3" xfId="11356"/>
    <cellStyle name="常规 7 2 2 3 2" xfId="24832"/>
    <cellStyle name="常规 7 2 2 3 2 2" xfId="56377"/>
    <cellStyle name="常规 7 2 2 3 3" xfId="56378"/>
    <cellStyle name="常规 7 2 2 4" xfId="8095"/>
    <cellStyle name="常规 7 2 2 4 2" xfId="56379"/>
    <cellStyle name="常规 7 2 2 5" xfId="61124"/>
    <cellStyle name="常规 7 2 3" xfId="8094"/>
    <cellStyle name="常规 7 2 3 2" xfId="24834"/>
    <cellStyle name="常规 7 2 3 2 2" xfId="56380"/>
    <cellStyle name="常规 7 2 3 3" xfId="24833"/>
    <cellStyle name="常规 7 2 4" xfId="56381"/>
    <cellStyle name="常规 7 2 5" xfId="56382"/>
    <cellStyle name="常规 7 2 6" xfId="3681"/>
    <cellStyle name="常规 7 3" xfId="619"/>
    <cellStyle name="常规 7 3 2" xfId="8096"/>
    <cellStyle name="常规 7 3 3" xfId="56383"/>
    <cellStyle name="常规 7 3 4" xfId="56384"/>
    <cellStyle name="常规 7 3 5" xfId="3683"/>
    <cellStyle name="常规 7 4" xfId="3684"/>
    <cellStyle name="常规 7 4 2" xfId="8097"/>
    <cellStyle name="常规 7 4 3" xfId="56385"/>
    <cellStyle name="常规 7 4 4" xfId="56386"/>
    <cellStyle name="常规 7 5" xfId="3685"/>
    <cellStyle name="常规 7 5 2" xfId="3686"/>
    <cellStyle name="常规 7 5 2 2" xfId="11358"/>
    <cellStyle name="常规 7 5 2 2 2" xfId="24835"/>
    <cellStyle name="常规 7 5 2 3" xfId="11357"/>
    <cellStyle name="常规 7 5 3" xfId="11359"/>
    <cellStyle name="常规 7 5 3 2" xfId="24836"/>
    <cellStyle name="常规 7 5 4" xfId="8098"/>
    <cellStyle name="常规 7 5 4 2" xfId="56387"/>
    <cellStyle name="常规 7 5 4 2 2" xfId="56388"/>
    <cellStyle name="常规 7 5 4 3" xfId="56389"/>
    <cellStyle name="常规 7 5 5" xfId="56390"/>
    <cellStyle name="常规 7 5 5 2" xfId="56391"/>
    <cellStyle name="常规 7 6" xfId="3687"/>
    <cellStyle name="常规 7 6 2" xfId="3688"/>
    <cellStyle name="常规 7 6 2 2" xfId="24838"/>
    <cellStyle name="常规 7 6 3" xfId="24837"/>
    <cellStyle name="常规 7 7" xfId="8093"/>
    <cellStyle name="常规 7 7 2" xfId="56392"/>
    <cellStyle name="常规 7 7 2 2" xfId="56393"/>
    <cellStyle name="常规 7 7 3" xfId="56394"/>
    <cellStyle name="常规 7 8" xfId="56395"/>
    <cellStyle name="常规 7 9" xfId="723"/>
    <cellStyle name="常规 7_培训名单通知" xfId="8099"/>
    <cellStyle name="常规 70" xfId="620"/>
    <cellStyle name="常规 70 2" xfId="8100"/>
    <cellStyle name="常规 70 3" xfId="56396"/>
    <cellStyle name="常规 70 4" xfId="3689"/>
    <cellStyle name="常规 71" xfId="621"/>
    <cellStyle name="常规 71 2" xfId="8101"/>
    <cellStyle name="常规 71 2 2" xfId="56397"/>
    <cellStyle name="常规 71 2 2 2" xfId="56398"/>
    <cellStyle name="常规 71 2 2 2 2" xfId="56399"/>
    <cellStyle name="常规 71 2 2 3" xfId="56400"/>
    <cellStyle name="常规 71 2 3" xfId="56401"/>
    <cellStyle name="常规 71 2 3 2" xfId="56402"/>
    <cellStyle name="常规 71 2 4" xfId="56403"/>
    <cellStyle name="常规 71 3" xfId="56404"/>
    <cellStyle name="常规 71 4" xfId="56405"/>
    <cellStyle name="常规 71 4 2" xfId="56406"/>
    <cellStyle name="常规 71 4 2 2" xfId="56407"/>
    <cellStyle name="常规 71 4 3" xfId="56408"/>
    <cellStyle name="常规 71 5" xfId="56409"/>
    <cellStyle name="常规 71 5 2" xfId="56410"/>
    <cellStyle name="常规 71 5 2 2" xfId="56411"/>
    <cellStyle name="常规 71 5 3" xfId="56412"/>
    <cellStyle name="常规 71 6" xfId="56413"/>
    <cellStyle name="常规 71 6 2" xfId="56414"/>
    <cellStyle name="常规 71 6 2 2" xfId="56415"/>
    <cellStyle name="常规 71 6 3" xfId="56416"/>
    <cellStyle name="常规 71 7" xfId="771"/>
    <cellStyle name="常规 72" xfId="622"/>
    <cellStyle name="常规 72 2" xfId="56417"/>
    <cellStyle name="常规 72 2 2" xfId="56418"/>
    <cellStyle name="常规 72 2 2 2" xfId="56419"/>
    <cellStyle name="常规 72 2 2 2 2" xfId="56420"/>
    <cellStyle name="常规 72 2 2 3" xfId="56421"/>
    <cellStyle name="常规 72 2 3" xfId="56422"/>
    <cellStyle name="常规 72 2 3 2" xfId="56423"/>
    <cellStyle name="常规 72 2 4" xfId="56424"/>
    <cellStyle name="常规 72 3" xfId="56425"/>
    <cellStyle name="常规 72 4" xfId="56426"/>
    <cellStyle name="常规 72 4 2" xfId="56427"/>
    <cellStyle name="常规 72 4 2 2" xfId="56428"/>
    <cellStyle name="常规 72 4 3" xfId="56429"/>
    <cellStyle name="常规 72 5" xfId="56430"/>
    <cellStyle name="常规 72 5 2" xfId="56431"/>
    <cellStyle name="常规 72 5 2 2" xfId="56432"/>
    <cellStyle name="常规 72 5 3" xfId="56433"/>
    <cellStyle name="常规 72 6" xfId="56434"/>
    <cellStyle name="常规 72 6 2" xfId="56435"/>
    <cellStyle name="常规 72 6 2 2" xfId="56436"/>
    <cellStyle name="常规 72 6 3" xfId="56437"/>
    <cellStyle name="常规 72 7" xfId="8102"/>
    <cellStyle name="常规 73" xfId="623"/>
    <cellStyle name="常规 73 2" xfId="56438"/>
    <cellStyle name="常规 73 2 2" xfId="56439"/>
    <cellStyle name="常规 73 2 2 2" xfId="56440"/>
    <cellStyle name="常规 73 2 2 2 2" xfId="56441"/>
    <cellStyle name="常规 73 2 2 3" xfId="56442"/>
    <cellStyle name="常规 73 2 3" xfId="56443"/>
    <cellStyle name="常规 73 2 3 2" xfId="56444"/>
    <cellStyle name="常规 73 2 4" xfId="56445"/>
    <cellStyle name="常规 73 3" xfId="56446"/>
    <cellStyle name="常规 73 4" xfId="56447"/>
    <cellStyle name="常规 73 4 2" xfId="56448"/>
    <cellStyle name="常规 73 4 2 2" xfId="56449"/>
    <cellStyle name="常规 73 4 3" xfId="56450"/>
    <cellStyle name="常规 73 5" xfId="56451"/>
    <cellStyle name="常规 73 5 2" xfId="56452"/>
    <cellStyle name="常规 73 5 2 2" xfId="56453"/>
    <cellStyle name="常规 73 5 3" xfId="56454"/>
    <cellStyle name="常规 73 6" xfId="56455"/>
    <cellStyle name="常规 73 6 2" xfId="56456"/>
    <cellStyle name="常规 73 6 2 2" xfId="56457"/>
    <cellStyle name="常规 73 6 3" xfId="56458"/>
    <cellStyle name="常规 73 7" xfId="8103"/>
    <cellStyle name="常规 74" xfId="624"/>
    <cellStyle name="常规 74 2" xfId="56459"/>
    <cellStyle name="常规 74 2 2" xfId="56460"/>
    <cellStyle name="常规 74 2 2 2" xfId="56461"/>
    <cellStyle name="常规 74 2 2 2 2" xfId="56462"/>
    <cellStyle name="常规 74 2 2 3" xfId="56463"/>
    <cellStyle name="常规 74 2 3" xfId="56464"/>
    <cellStyle name="常规 74 2 3 2" xfId="56465"/>
    <cellStyle name="常规 74 2 4" xfId="56466"/>
    <cellStyle name="常规 74 3" xfId="56467"/>
    <cellStyle name="常规 74 4" xfId="56468"/>
    <cellStyle name="常规 74 4 2" xfId="56469"/>
    <cellStyle name="常规 74 4 2 2" xfId="56470"/>
    <cellStyle name="常规 74 4 3" xfId="56471"/>
    <cellStyle name="常规 74 5" xfId="56472"/>
    <cellStyle name="常规 74 5 2" xfId="56473"/>
    <cellStyle name="常规 74 5 2 2" xfId="56474"/>
    <cellStyle name="常规 74 5 3" xfId="56475"/>
    <cellStyle name="常规 74 6" xfId="56476"/>
    <cellStyle name="常规 74 6 2" xfId="56477"/>
    <cellStyle name="常规 74 6 2 2" xfId="56478"/>
    <cellStyle name="常规 74 6 3" xfId="56479"/>
    <cellStyle name="常规 74 7" xfId="8104"/>
    <cellStyle name="常规 75" xfId="625"/>
    <cellStyle name="常规 75 2" xfId="56480"/>
    <cellStyle name="常规 75 2 2" xfId="56481"/>
    <cellStyle name="常规 75 2 2 2" xfId="56482"/>
    <cellStyle name="常规 75 2 2 2 2" xfId="56483"/>
    <cellStyle name="常规 75 2 2 3" xfId="56484"/>
    <cellStyle name="常规 75 2 3" xfId="56485"/>
    <cellStyle name="常规 75 2 3 2" xfId="56486"/>
    <cellStyle name="常规 75 2 4" xfId="56487"/>
    <cellStyle name="常规 75 3" xfId="56488"/>
    <cellStyle name="常规 75 4" xfId="56489"/>
    <cellStyle name="常规 75 4 2" xfId="56490"/>
    <cellStyle name="常规 75 4 2 2" xfId="56491"/>
    <cellStyle name="常规 75 4 3" xfId="56492"/>
    <cellStyle name="常规 75 5" xfId="56493"/>
    <cellStyle name="常规 75 5 2" xfId="56494"/>
    <cellStyle name="常规 75 5 2 2" xfId="56495"/>
    <cellStyle name="常规 75 5 3" xfId="56496"/>
    <cellStyle name="常规 75 6" xfId="56497"/>
    <cellStyle name="常规 75 6 2" xfId="56498"/>
    <cellStyle name="常规 75 6 2 2" xfId="56499"/>
    <cellStyle name="常规 75 6 3" xfId="56500"/>
    <cellStyle name="常规 75 7" xfId="8105"/>
    <cellStyle name="常规 76" xfId="626"/>
    <cellStyle name="常规 76 2" xfId="56501"/>
    <cellStyle name="常规 76 2 2" xfId="56502"/>
    <cellStyle name="常规 76 2 2 2" xfId="56503"/>
    <cellStyle name="常规 76 2 2 2 2" xfId="56504"/>
    <cellStyle name="常规 76 2 2 3" xfId="56505"/>
    <cellStyle name="常规 76 2 3" xfId="56506"/>
    <cellStyle name="常规 76 2 3 2" xfId="56507"/>
    <cellStyle name="常规 76 2 4" xfId="56508"/>
    <cellStyle name="常规 76 3" xfId="56509"/>
    <cellStyle name="常规 76 4" xfId="56510"/>
    <cellStyle name="常规 76 4 2" xfId="56511"/>
    <cellStyle name="常规 76 4 2 2" xfId="56512"/>
    <cellStyle name="常规 76 4 3" xfId="56513"/>
    <cellStyle name="常规 76 5" xfId="56514"/>
    <cellStyle name="常规 76 5 2" xfId="56515"/>
    <cellStyle name="常规 76 5 2 2" xfId="56516"/>
    <cellStyle name="常规 76 5 3" xfId="56517"/>
    <cellStyle name="常规 76 6" xfId="56518"/>
    <cellStyle name="常规 76 6 2" xfId="56519"/>
    <cellStyle name="常规 76 6 2 2" xfId="56520"/>
    <cellStyle name="常规 76 6 3" xfId="56521"/>
    <cellStyle name="常规 76 7" xfId="8106"/>
    <cellStyle name="常规 77" xfId="627"/>
    <cellStyle name="常规 77 2" xfId="56522"/>
    <cellStyle name="常规 77 2 2" xfId="56523"/>
    <cellStyle name="常规 77 2 2 2" xfId="56524"/>
    <cellStyle name="常规 77 2 2 2 2" xfId="56525"/>
    <cellStyle name="常规 77 2 2 3" xfId="56526"/>
    <cellStyle name="常规 77 2 3" xfId="56527"/>
    <cellStyle name="常规 77 2 3 2" xfId="56528"/>
    <cellStyle name="常规 77 2 4" xfId="56529"/>
    <cellStyle name="常规 77 3" xfId="56530"/>
    <cellStyle name="常规 77 4" xfId="56531"/>
    <cellStyle name="常规 77 4 2" xfId="56532"/>
    <cellStyle name="常规 77 4 2 2" xfId="56533"/>
    <cellStyle name="常规 77 4 3" xfId="56534"/>
    <cellStyle name="常规 77 5" xfId="56535"/>
    <cellStyle name="常规 77 5 2" xfId="56536"/>
    <cellStyle name="常规 77 5 2 2" xfId="56537"/>
    <cellStyle name="常规 77 5 3" xfId="56538"/>
    <cellStyle name="常规 77 6" xfId="56539"/>
    <cellStyle name="常规 77 6 2" xfId="56540"/>
    <cellStyle name="常规 77 6 2 2" xfId="56541"/>
    <cellStyle name="常规 77 6 3" xfId="56542"/>
    <cellStyle name="常规 77 7" xfId="8107"/>
    <cellStyle name="常规 78" xfId="628"/>
    <cellStyle name="常规 78 2" xfId="56543"/>
    <cellStyle name="常规 78 2 2" xfId="56544"/>
    <cellStyle name="常规 78 2 2 2" xfId="56545"/>
    <cellStyle name="常规 78 2 2 2 2" xfId="56546"/>
    <cellStyle name="常规 78 2 2 3" xfId="56547"/>
    <cellStyle name="常规 78 2 3" xfId="56548"/>
    <cellStyle name="常规 78 2 3 2" xfId="56549"/>
    <cellStyle name="常规 78 2 4" xfId="56550"/>
    <cellStyle name="常规 78 3" xfId="56551"/>
    <cellStyle name="常规 78 4" xfId="56552"/>
    <cellStyle name="常规 78 4 2" xfId="56553"/>
    <cellStyle name="常规 78 4 2 2" xfId="56554"/>
    <cellStyle name="常规 78 4 3" xfId="56555"/>
    <cellStyle name="常规 78 5" xfId="56556"/>
    <cellStyle name="常规 78 5 2" xfId="56557"/>
    <cellStyle name="常规 78 5 2 2" xfId="56558"/>
    <cellStyle name="常规 78 5 3" xfId="56559"/>
    <cellStyle name="常规 78 6" xfId="56560"/>
    <cellStyle name="常规 78 6 2" xfId="56561"/>
    <cellStyle name="常规 78 6 2 2" xfId="56562"/>
    <cellStyle name="常规 78 6 3" xfId="56563"/>
    <cellStyle name="常规 78 7" xfId="8108"/>
    <cellStyle name="常规 79" xfId="629"/>
    <cellStyle name="常规 79 2" xfId="56564"/>
    <cellStyle name="常规 79 2 2" xfId="56565"/>
    <cellStyle name="常规 79 2 2 2" xfId="56566"/>
    <cellStyle name="常规 79 2 2 2 2" xfId="56567"/>
    <cellStyle name="常规 79 2 2 3" xfId="56568"/>
    <cellStyle name="常规 79 2 3" xfId="56569"/>
    <cellStyle name="常规 79 2 3 2" xfId="56570"/>
    <cellStyle name="常规 79 2 4" xfId="56571"/>
    <cellStyle name="常规 79 3" xfId="56572"/>
    <cellStyle name="常规 79 4" xfId="56573"/>
    <cellStyle name="常规 79 4 2" xfId="56574"/>
    <cellStyle name="常规 79 4 2 2" xfId="56575"/>
    <cellStyle name="常规 79 4 3" xfId="56576"/>
    <cellStyle name="常规 79 5" xfId="56577"/>
    <cellStyle name="常规 79 5 2" xfId="56578"/>
    <cellStyle name="常规 79 5 2 2" xfId="56579"/>
    <cellStyle name="常规 79 5 3" xfId="56580"/>
    <cellStyle name="常规 79 6" xfId="56581"/>
    <cellStyle name="常规 79 6 2" xfId="56582"/>
    <cellStyle name="常规 79 6 2 2" xfId="56583"/>
    <cellStyle name="常规 79 6 3" xfId="56584"/>
    <cellStyle name="常规 79 7" xfId="8109"/>
    <cellStyle name="常规 8" xfId="44"/>
    <cellStyle name="常规 8 10" xfId="8111"/>
    <cellStyle name="常规 8 11" xfId="8112"/>
    <cellStyle name="常规 8 12" xfId="8113"/>
    <cellStyle name="常规 8 13" xfId="8114"/>
    <cellStyle name="常规 8 14" xfId="8115"/>
    <cellStyle name="常规 8 14 2" xfId="56585"/>
    <cellStyle name="常规 8 15" xfId="8116"/>
    <cellStyle name="常规 8 15 2" xfId="56586"/>
    <cellStyle name="常规 8 16" xfId="8117"/>
    <cellStyle name="常规 8 16 2" xfId="56587"/>
    <cellStyle name="常规 8 17" xfId="8118"/>
    <cellStyle name="常规 8 17 2" xfId="56588"/>
    <cellStyle name="常规 8 18" xfId="8119"/>
    <cellStyle name="常规 8 18 2" xfId="56589"/>
    <cellStyle name="常规 8 19" xfId="8120"/>
    <cellStyle name="常规 8 19 2" xfId="56590"/>
    <cellStyle name="常规 8 2" xfId="630"/>
    <cellStyle name="常规 8 2 2" xfId="3692"/>
    <cellStyle name="常规 8 2 2 2" xfId="3693"/>
    <cellStyle name="常规 8 2 2 3" xfId="8122"/>
    <cellStyle name="常规 8 2 2 4" xfId="56591"/>
    <cellStyle name="常规 8 2 2 5" xfId="56592"/>
    <cellStyle name="常规 8 2 3" xfId="3694"/>
    <cellStyle name="常规 8 2 3 2" xfId="3695"/>
    <cellStyle name="常规 8 2 4" xfId="8121"/>
    <cellStyle name="常规 8 2 5" xfId="56593"/>
    <cellStyle name="常规 8 2 6" xfId="3691"/>
    <cellStyle name="常规 8 20" xfId="8123"/>
    <cellStyle name="常规 8 20 2" xfId="56594"/>
    <cellStyle name="常规 8 21" xfId="8124"/>
    <cellStyle name="常规 8 21 2" xfId="56595"/>
    <cellStyle name="常规 8 22" xfId="8125"/>
    <cellStyle name="常规 8 22 2" xfId="56596"/>
    <cellStyle name="常规 8 23" xfId="8126"/>
    <cellStyle name="常规 8 23 2" xfId="56597"/>
    <cellStyle name="常规 8 24" xfId="8127"/>
    <cellStyle name="常规 8 24 2" xfId="56598"/>
    <cellStyle name="常规 8 25" xfId="8128"/>
    <cellStyle name="常规 8 26" xfId="8110"/>
    <cellStyle name="常规 8 27" xfId="56599"/>
    <cellStyle name="常规 8 28" xfId="3690"/>
    <cellStyle name="常规 8 29" xfId="60991"/>
    <cellStyle name="常规 8 3" xfId="3696"/>
    <cellStyle name="常规 8 3 2" xfId="3697"/>
    <cellStyle name="常规 8 3 2 2" xfId="8130"/>
    <cellStyle name="常规 8 3 2 3" xfId="56600"/>
    <cellStyle name="常规 8 3 3" xfId="8129"/>
    <cellStyle name="常规 8 3 4" xfId="56601"/>
    <cellStyle name="常规 8 4" xfId="3698"/>
    <cellStyle name="常规 8 4 2" xfId="8131"/>
    <cellStyle name="常规 8 4 3" xfId="56602"/>
    <cellStyle name="常规 8 5" xfId="3699"/>
    <cellStyle name="常规 8 5 2" xfId="8132"/>
    <cellStyle name="常规 8 5 3" xfId="56603"/>
    <cellStyle name="常规 8 6" xfId="8133"/>
    <cellStyle name="常规 8 6 2" xfId="56604"/>
    <cellStyle name="常规 8 6 3" xfId="56605"/>
    <cellStyle name="常规 8 7" xfId="8134"/>
    <cellStyle name="常规 8 8" xfId="8135"/>
    <cellStyle name="常规 8 9" xfId="8136"/>
    <cellStyle name="常规 8_201205同業他社比較（商品構成G）" xfId="3700"/>
    <cellStyle name="常规 80" xfId="631"/>
    <cellStyle name="常规 80 2" xfId="56606"/>
    <cellStyle name="常规 80 2 2" xfId="56607"/>
    <cellStyle name="常规 80 2 2 2" xfId="56608"/>
    <cellStyle name="常规 80 2 2 2 2" xfId="56609"/>
    <cellStyle name="常规 80 2 2 3" xfId="56610"/>
    <cellStyle name="常规 80 2 3" xfId="56611"/>
    <cellStyle name="常规 80 2 3 2" xfId="56612"/>
    <cellStyle name="常规 80 2 4" xfId="56613"/>
    <cellStyle name="常规 80 3" xfId="56614"/>
    <cellStyle name="常规 80 4" xfId="56615"/>
    <cellStyle name="常规 80 4 2" xfId="56616"/>
    <cellStyle name="常规 80 4 2 2" xfId="56617"/>
    <cellStyle name="常规 80 4 3" xfId="56618"/>
    <cellStyle name="常规 80 5" xfId="56619"/>
    <cellStyle name="常规 80 5 2" xfId="56620"/>
    <cellStyle name="常规 80 5 2 2" xfId="56621"/>
    <cellStyle name="常规 80 5 3" xfId="56622"/>
    <cellStyle name="常规 80 6" xfId="56623"/>
    <cellStyle name="常规 80 6 2" xfId="56624"/>
    <cellStyle name="常规 80 6 2 2" xfId="56625"/>
    <cellStyle name="常规 80 6 3" xfId="56626"/>
    <cellStyle name="常规 80 7" xfId="8138"/>
    <cellStyle name="常规 81" xfId="632"/>
    <cellStyle name="常规 81 2" xfId="56627"/>
    <cellStyle name="常规 81 2 2" xfId="56628"/>
    <cellStyle name="常规 81 2 2 2" xfId="56629"/>
    <cellStyle name="常规 81 2 2 2 2" xfId="56630"/>
    <cellStyle name="常规 81 2 2 3" xfId="56631"/>
    <cellStyle name="常规 81 2 3" xfId="56632"/>
    <cellStyle name="常规 81 2 3 2" xfId="56633"/>
    <cellStyle name="常规 81 2 4" xfId="56634"/>
    <cellStyle name="常规 81 3" xfId="56635"/>
    <cellStyle name="常规 81 4" xfId="56636"/>
    <cellStyle name="常规 81 4 2" xfId="56637"/>
    <cellStyle name="常规 81 4 2 2" xfId="56638"/>
    <cellStyle name="常规 81 4 3" xfId="56639"/>
    <cellStyle name="常规 81 5" xfId="56640"/>
    <cellStyle name="常规 81 5 2" xfId="56641"/>
    <cellStyle name="常规 81 5 2 2" xfId="56642"/>
    <cellStyle name="常规 81 5 3" xfId="56643"/>
    <cellStyle name="常规 81 6" xfId="56644"/>
    <cellStyle name="常规 81 6 2" xfId="56645"/>
    <cellStyle name="常规 81 6 2 2" xfId="56646"/>
    <cellStyle name="常规 81 6 3" xfId="56647"/>
    <cellStyle name="常规 81 7" xfId="8139"/>
    <cellStyle name="常规 82" xfId="633"/>
    <cellStyle name="常规 82 2" xfId="56648"/>
    <cellStyle name="常规 82 2 2" xfId="56649"/>
    <cellStyle name="常规 82 2 2 2" xfId="56650"/>
    <cellStyle name="常规 82 2 2 2 2" xfId="56651"/>
    <cellStyle name="常规 82 2 2 3" xfId="56652"/>
    <cellStyle name="常规 82 2 3" xfId="56653"/>
    <cellStyle name="常规 82 2 3 2" xfId="56654"/>
    <cellStyle name="常规 82 2 4" xfId="56655"/>
    <cellStyle name="常规 82 3" xfId="56656"/>
    <cellStyle name="常规 82 4" xfId="56657"/>
    <cellStyle name="常规 82 4 2" xfId="56658"/>
    <cellStyle name="常规 82 4 2 2" xfId="56659"/>
    <cellStyle name="常规 82 4 3" xfId="56660"/>
    <cellStyle name="常规 82 5" xfId="56661"/>
    <cellStyle name="常规 82 5 2" xfId="56662"/>
    <cellStyle name="常规 82 5 2 2" xfId="56663"/>
    <cellStyle name="常规 82 5 3" xfId="56664"/>
    <cellStyle name="常规 82 6" xfId="56665"/>
    <cellStyle name="常规 82 6 2" xfId="56666"/>
    <cellStyle name="常规 82 6 2 2" xfId="56667"/>
    <cellStyle name="常规 82 6 3" xfId="56668"/>
    <cellStyle name="常规 82 7" xfId="8140"/>
    <cellStyle name="常规 83" xfId="634"/>
    <cellStyle name="常规 83 2" xfId="56669"/>
    <cellStyle name="常规 83 3" xfId="56670"/>
    <cellStyle name="常规 83 4" xfId="8141"/>
    <cellStyle name="常规 84" xfId="635"/>
    <cellStyle name="常规 84 2" xfId="56671"/>
    <cellStyle name="常规 84 3" xfId="56672"/>
    <cellStyle name="常规 84 4" xfId="8142"/>
    <cellStyle name="常规 85" xfId="636"/>
    <cellStyle name="常规 85 2" xfId="56673"/>
    <cellStyle name="常规 85 3" xfId="56674"/>
    <cellStyle name="常规 85 4" xfId="8143"/>
    <cellStyle name="常规 86" xfId="637"/>
    <cellStyle name="常规 86 2" xfId="56675"/>
    <cellStyle name="常规 86 2 2" xfId="56676"/>
    <cellStyle name="常规 86 3" xfId="56677"/>
    <cellStyle name="常规 86 4" xfId="8144"/>
    <cellStyle name="常规 87" xfId="638"/>
    <cellStyle name="常规 87 2" xfId="56678"/>
    <cellStyle name="常规 87 2 2" xfId="56679"/>
    <cellStyle name="常规 87 3" xfId="56680"/>
    <cellStyle name="常规 87 4" xfId="8145"/>
    <cellStyle name="常规 88" xfId="639"/>
    <cellStyle name="常规 88 2" xfId="56681"/>
    <cellStyle name="常规 88 2 2" xfId="56682"/>
    <cellStyle name="常规 88 3" xfId="56683"/>
    <cellStyle name="常规 88 4" xfId="8146"/>
    <cellStyle name="常规 89" xfId="640"/>
    <cellStyle name="常规 89 2" xfId="56684"/>
    <cellStyle name="常规 89 2 2" xfId="56685"/>
    <cellStyle name="常规 89 3" xfId="56686"/>
    <cellStyle name="常规 89 4" xfId="8147"/>
    <cellStyle name="常规 9" xfId="45"/>
    <cellStyle name="常规 9 10" xfId="8149"/>
    <cellStyle name="常规 9 10 2" xfId="56687"/>
    <cellStyle name="常规 9 10 3" xfId="56688"/>
    <cellStyle name="常规 9 11" xfId="8150"/>
    <cellStyle name="常规 9 11 2" xfId="56689"/>
    <cellStyle name="常规 9 12" xfId="8151"/>
    <cellStyle name="常规 9 12 2" xfId="56690"/>
    <cellStyle name="常规 9 13" xfId="8152"/>
    <cellStyle name="常规 9 13 2" xfId="56691"/>
    <cellStyle name="常规 9 14" xfId="8153"/>
    <cellStyle name="常规 9 14 2" xfId="56692"/>
    <cellStyle name="常规 9 15" xfId="8154"/>
    <cellStyle name="常规 9 15 2" xfId="56693"/>
    <cellStyle name="常规 9 16" xfId="8155"/>
    <cellStyle name="常规 9 16 2" xfId="56694"/>
    <cellStyle name="常规 9 17" xfId="8156"/>
    <cellStyle name="常规 9 17 2" xfId="56695"/>
    <cellStyle name="常规 9 18" xfId="8157"/>
    <cellStyle name="常规 9 18 2" xfId="56696"/>
    <cellStyle name="常规 9 19" xfId="8158"/>
    <cellStyle name="常规 9 19 2" xfId="56697"/>
    <cellStyle name="常规 9 2" xfId="641"/>
    <cellStyle name="常规 9 2 2" xfId="3703"/>
    <cellStyle name="常规 9 2 2 2" xfId="56698"/>
    <cellStyle name="常规 9 2 2 2 2" xfId="61148"/>
    <cellStyle name="常规 9 2 2 3" xfId="56699"/>
    <cellStyle name="常规 9 2 2 4" xfId="56700"/>
    <cellStyle name="常规 9 2 2 5" xfId="61147"/>
    <cellStyle name="常规 9 2 3" xfId="3704"/>
    <cellStyle name="常规 9 2 3 2" xfId="56701"/>
    <cellStyle name="常规 9 2 3 3" xfId="56702"/>
    <cellStyle name="常规 9 2 3 4" xfId="56703"/>
    <cellStyle name="常规 9 2 3 5" xfId="61149"/>
    <cellStyle name="常规 9 2 4" xfId="8159"/>
    <cellStyle name="常规 9 2 5" xfId="56704"/>
    <cellStyle name="常规 9 2 6" xfId="56705"/>
    <cellStyle name="常规 9 2 7" xfId="3702"/>
    <cellStyle name="常规 9 2 8" xfId="61146"/>
    <cellStyle name="常规 9 2_40期事業計画（商品部）  (3)" xfId="3705"/>
    <cellStyle name="常规 9 20" xfId="8163"/>
    <cellStyle name="常规 9 20 2" xfId="56706"/>
    <cellStyle name="常规 9 21" xfId="8164"/>
    <cellStyle name="常规 9 21 2" xfId="56707"/>
    <cellStyle name="常规 9 22" xfId="8165"/>
    <cellStyle name="常规 9 22 2" xfId="56708"/>
    <cellStyle name="常规 9 23" xfId="8166"/>
    <cellStyle name="常规 9 23 2" xfId="56709"/>
    <cellStyle name="常规 9 24" xfId="8167"/>
    <cellStyle name="常规 9 24 2" xfId="56710"/>
    <cellStyle name="常规 9 25" xfId="8148"/>
    <cellStyle name="常规 9 26" xfId="17767"/>
    <cellStyle name="常规 9 27" xfId="21752"/>
    <cellStyle name="常规 9 28" xfId="6899"/>
    <cellStyle name="常规 9 29" xfId="18833"/>
    <cellStyle name="常规 9 3" xfId="3706"/>
    <cellStyle name="常规 9 3 2" xfId="56711"/>
    <cellStyle name="常规 9 3 2 2" xfId="61151"/>
    <cellStyle name="常规 9 3 3" xfId="56712"/>
    <cellStyle name="常规 9 3 4" xfId="56713"/>
    <cellStyle name="常规 9 3 5" xfId="61150"/>
    <cellStyle name="常规 9 30" xfId="21760"/>
    <cellStyle name="常规 9 31" xfId="24839"/>
    <cellStyle name="常规 9 32" xfId="39986"/>
    <cellStyle name="常规 9 33" xfId="3701"/>
    <cellStyle name="常规 9 34" xfId="61145"/>
    <cellStyle name="常规 9 4" xfId="3707"/>
    <cellStyle name="常规 9 4 2" xfId="56714"/>
    <cellStyle name="常规 9 4 3" xfId="56715"/>
    <cellStyle name="常规 9 4 4" xfId="56716"/>
    <cellStyle name="常规 9 5" xfId="8170"/>
    <cellStyle name="常规 9 5 2" xfId="56717"/>
    <cellStyle name="常规 9 5 3" xfId="56718"/>
    <cellStyle name="常规 9 6" xfId="8171"/>
    <cellStyle name="常规 9 6 2" xfId="56719"/>
    <cellStyle name="常规 9 6 3" xfId="56720"/>
    <cellStyle name="常规 9 7" xfId="8172"/>
    <cellStyle name="常规 9 7 2" xfId="56721"/>
    <cellStyle name="常规 9 7 3" xfId="56722"/>
    <cellStyle name="常规 9 8" xfId="8173"/>
    <cellStyle name="常规 9 8 2" xfId="56723"/>
    <cellStyle name="常规 9 8 3" xfId="56724"/>
    <cellStyle name="常规 9 9" xfId="8174"/>
    <cellStyle name="常规 9 9 2" xfId="56725"/>
    <cellStyle name="常规 9 9 3" xfId="56726"/>
    <cellStyle name="常规 9_培训名单通知" xfId="8175"/>
    <cellStyle name="常规 90" xfId="642"/>
    <cellStyle name="常规 90 2" xfId="56727"/>
    <cellStyle name="常规 90 3" xfId="56728"/>
    <cellStyle name="常规 90 4" xfId="8176"/>
    <cellStyle name="常规 91" xfId="643"/>
    <cellStyle name="常规 91 2" xfId="56729"/>
    <cellStyle name="常规 91 3" xfId="56730"/>
    <cellStyle name="常规 91 4" xfId="8177"/>
    <cellStyle name="常规 92" xfId="644"/>
    <cellStyle name="常规 92 2" xfId="56731"/>
    <cellStyle name="常规 92 2 2" xfId="56732"/>
    <cellStyle name="常规 92 3" xfId="56733"/>
    <cellStyle name="常规 92 4" xfId="8178"/>
    <cellStyle name="常规 93" xfId="645"/>
    <cellStyle name="常规 93 2" xfId="56734"/>
    <cellStyle name="常规 93 2 2" xfId="56735"/>
    <cellStyle name="常规 93 3" xfId="56736"/>
    <cellStyle name="常规 93 4" xfId="8179"/>
    <cellStyle name="常规 94" xfId="646"/>
    <cellStyle name="常规 94 2" xfId="56737"/>
    <cellStyle name="常规 94 2 2" xfId="56738"/>
    <cellStyle name="常规 94 3" xfId="56739"/>
    <cellStyle name="常规 94 4" xfId="8180"/>
    <cellStyle name="常规 95" xfId="647"/>
    <cellStyle name="常规 95 2" xfId="56740"/>
    <cellStyle name="常规 95 2 2" xfId="56741"/>
    <cellStyle name="常规 95 3" xfId="56742"/>
    <cellStyle name="常规 95 4" xfId="8181"/>
    <cellStyle name="常规 96" xfId="648"/>
    <cellStyle name="常规 96 2" xfId="56743"/>
    <cellStyle name="常规 96 3" xfId="56744"/>
    <cellStyle name="常规 96 4" xfId="8182"/>
    <cellStyle name="常规 97" xfId="649"/>
    <cellStyle name="常规 97 2" xfId="56745"/>
    <cellStyle name="常规 97 3" xfId="56746"/>
    <cellStyle name="常规 97 4" xfId="8183"/>
    <cellStyle name="常规 98" xfId="650"/>
    <cellStyle name="常规 98 2" xfId="56747"/>
    <cellStyle name="常规 98 3" xfId="56748"/>
    <cellStyle name="常规 98 4" xfId="8184"/>
    <cellStyle name="常规 99" xfId="651"/>
    <cellStyle name="常规 99 2" xfId="56749"/>
    <cellStyle name="常规 99 3" xfId="56750"/>
    <cellStyle name="常规 99 4" xfId="8185"/>
    <cellStyle name="超链接 2" xfId="46"/>
    <cellStyle name="超链接 2 10" xfId="56751"/>
    <cellStyle name="超链接 2 2" xfId="656"/>
    <cellStyle name="超链接 2 2 2" xfId="3708"/>
    <cellStyle name="超链接 2 2 2 2" xfId="56752"/>
    <cellStyle name="超链接 2 2 2 3" xfId="56753"/>
    <cellStyle name="超链接 2 2 2 4" xfId="56754"/>
    <cellStyle name="超链接 2 2 3" xfId="3709"/>
    <cellStyle name="超链接 2 2 3 2" xfId="56755"/>
    <cellStyle name="超链接 2 2 3 3" xfId="56756"/>
    <cellStyle name="超链接 2 2 3 4" xfId="56757"/>
    <cellStyle name="超链接 2 2 4" xfId="56758"/>
    <cellStyle name="超链接 2 2 5" xfId="56759"/>
    <cellStyle name="超链接 2 2 6" xfId="56760"/>
    <cellStyle name="超链接 2 2 7" xfId="56761"/>
    <cellStyle name="超链接 2 2 8" xfId="56762"/>
    <cellStyle name="超链接 2 2 9" xfId="56763"/>
    <cellStyle name="超链接 2 3" xfId="657"/>
    <cellStyle name="超链接 2 3 2" xfId="56764"/>
    <cellStyle name="超链接 2 3 3" xfId="56765"/>
    <cellStyle name="超链接 2 3 4" xfId="56766"/>
    <cellStyle name="超链接 2 3 5" xfId="3710"/>
    <cellStyle name="超链接 2 4" xfId="3711"/>
    <cellStyle name="超链接 2 4 2" xfId="56767"/>
    <cellStyle name="超链接 2 4 3" xfId="56768"/>
    <cellStyle name="超链接 2 4 4" xfId="56769"/>
    <cellStyle name="超链接 2 5" xfId="56770"/>
    <cellStyle name="超链接 2 6" xfId="56771"/>
    <cellStyle name="超链接 2 7" xfId="56772"/>
    <cellStyle name="超链接 2 8" xfId="56773"/>
    <cellStyle name="超链接 2 9" xfId="56774"/>
    <cellStyle name="超链接 2_3月メンテナンス請求" xfId="56775"/>
    <cellStyle name="超链接 3" xfId="718"/>
    <cellStyle name="超链接 3 2" xfId="56776"/>
    <cellStyle name="超链接 3 2 2" xfId="56777"/>
    <cellStyle name="超链接 3 2 3" xfId="56778"/>
    <cellStyle name="超链接 3 3" xfId="56779"/>
    <cellStyle name="超链接 3 3 2" xfId="56780"/>
    <cellStyle name="超链接 3 4" xfId="56781"/>
    <cellStyle name="超链接 3 5" xfId="8192"/>
    <cellStyle name="超链接 4" xfId="56782"/>
    <cellStyle name="超链接 4 2" xfId="56783"/>
    <cellStyle name="超链接 5" xfId="56784"/>
    <cellStyle name="出力" xfId="3712"/>
    <cellStyle name="出力 10" xfId="24841"/>
    <cellStyle name="出力 11" xfId="24840"/>
    <cellStyle name="出力 2" xfId="162"/>
    <cellStyle name="出力 2 10" xfId="11360"/>
    <cellStyle name="出力 2 10 2" xfId="18505"/>
    <cellStyle name="出力 2 10 2 2" xfId="24843"/>
    <cellStyle name="出力 2 10 3" xfId="24842"/>
    <cellStyle name="出力 2 11" xfId="8194"/>
    <cellStyle name="出力 2 11 2" xfId="24845"/>
    <cellStyle name="出力 2 11 3" xfId="24844"/>
    <cellStyle name="出力 2 12" xfId="24846"/>
    <cellStyle name="出力 2 13" xfId="24847"/>
    <cellStyle name="出力 2 14" xfId="3713"/>
    <cellStyle name="出力 2 2" xfId="3714"/>
    <cellStyle name="出力 2 2 10" xfId="24848"/>
    <cellStyle name="出力 2 2 11" xfId="60992"/>
    <cellStyle name="出力 2 2 2" xfId="3715"/>
    <cellStyle name="出力 2 2 2 2" xfId="3716"/>
    <cellStyle name="出力 2 2 2 2 2" xfId="11362"/>
    <cellStyle name="出力 2 2 2 2 2 2" xfId="20472"/>
    <cellStyle name="出力 2 2 2 2 2 2 2" xfId="24850"/>
    <cellStyle name="出力 2 2 2 2 2 2 3" xfId="56785"/>
    <cellStyle name="出力 2 2 2 2 2 3" xfId="24849"/>
    <cellStyle name="出力 2 2 2 2 2 4" xfId="56786"/>
    <cellStyle name="出力 2 2 2 2 3" xfId="11363"/>
    <cellStyle name="出力 2 2 2 2 3 2" xfId="21420"/>
    <cellStyle name="出力 2 2 2 2 3 2 2" xfId="24852"/>
    <cellStyle name="出力 2 2 2 2 3 3" xfId="24851"/>
    <cellStyle name="出力 2 2 2 2 4" xfId="11361"/>
    <cellStyle name="出力 2 2 2 2 4 2" xfId="24853"/>
    <cellStyle name="出力 2 2 2 2 5" xfId="18504"/>
    <cellStyle name="出力 2 2 2 3" xfId="3717"/>
    <cellStyle name="出力 2 2 2 3 2" xfId="11364"/>
    <cellStyle name="出力 2 2 2 3 2 2" xfId="24854"/>
    <cellStyle name="出力 2 2 2 3 2 2 2" xfId="56787"/>
    <cellStyle name="出力 2 2 2 3 2 2 3" xfId="56788"/>
    <cellStyle name="出力 2 2 2 3 2 3" xfId="56789"/>
    <cellStyle name="出力 2 2 2 3 2 4" xfId="56790"/>
    <cellStyle name="出力 2 2 2 3 3" xfId="19480"/>
    <cellStyle name="出力 2 2 2 3 3 2" xfId="56791"/>
    <cellStyle name="出力 2 2 2 3 3 3" xfId="56792"/>
    <cellStyle name="出力 2 2 2 3 4" xfId="56793"/>
    <cellStyle name="出力 2 2 2 3 5" xfId="56794"/>
    <cellStyle name="出力 2 2 2 4" xfId="8196"/>
    <cellStyle name="出力 2 2 2 4 2" xfId="24855"/>
    <cellStyle name="出力 2 2 2 4 2 2" xfId="56795"/>
    <cellStyle name="出力 2 2 2 4 2 3" xfId="56796"/>
    <cellStyle name="出力 2 2 2 4 3" xfId="56797"/>
    <cellStyle name="出力 2 2 2 4 4" xfId="56798"/>
    <cellStyle name="出力 2 2 2 5" xfId="56799"/>
    <cellStyle name="出力 2 2 2 5 2" xfId="56800"/>
    <cellStyle name="出力 2 2 2 5 3" xfId="56801"/>
    <cellStyle name="出力 2 2 3" xfId="3718"/>
    <cellStyle name="出力 2 2 3 2" xfId="11365"/>
    <cellStyle name="出力 2 2 3 2 2" xfId="11366"/>
    <cellStyle name="出力 2 2 3 2 2 2" xfId="20470"/>
    <cellStyle name="出力 2 2 3 2 2 2 2" xfId="24858"/>
    <cellStyle name="出力 2 2 3 2 2 3" xfId="24857"/>
    <cellStyle name="出力 2 2 3 2 3" xfId="11367"/>
    <cellStyle name="出力 2 2 3 2 3 2" xfId="20469"/>
    <cellStyle name="出力 2 2 3 2 3 2 2" xfId="24860"/>
    <cellStyle name="出力 2 2 3 2 3 3" xfId="24859"/>
    <cellStyle name="出力 2 2 3 2 4" xfId="20471"/>
    <cellStyle name="出力 2 2 3 2 4 2" xfId="24861"/>
    <cellStyle name="出力 2 2 3 2 5" xfId="24856"/>
    <cellStyle name="出力 2 2 3 3" xfId="11368"/>
    <cellStyle name="出力 2 2 3 3 2" xfId="20468"/>
    <cellStyle name="出力 2 2 3 3 2 2" xfId="24863"/>
    <cellStyle name="出力 2 2 3 3 3" xfId="24862"/>
    <cellStyle name="出力 2 2 3 4" xfId="8197"/>
    <cellStyle name="出力 2 2 3 4 2" xfId="24864"/>
    <cellStyle name="出力 2 2 4" xfId="3719"/>
    <cellStyle name="出力 2 2 4 2" xfId="11369"/>
    <cellStyle name="出力 2 2 4 2 2" xfId="11370"/>
    <cellStyle name="出力 2 2 4 2 2 2" xfId="21120"/>
    <cellStyle name="出力 2 2 4 2 2 2 2" xfId="24867"/>
    <cellStyle name="出力 2 2 4 2 2 3" xfId="24866"/>
    <cellStyle name="出力 2 2 4 2 3" xfId="11371"/>
    <cellStyle name="出力 2 2 4 2 3 2" xfId="20466"/>
    <cellStyle name="出力 2 2 4 2 3 2 2" xfId="24869"/>
    <cellStyle name="出力 2 2 4 2 3 3" xfId="24868"/>
    <cellStyle name="出力 2 2 4 2 4" xfId="20467"/>
    <cellStyle name="出力 2 2 4 2 4 2" xfId="24870"/>
    <cellStyle name="出力 2 2 4 2 5" xfId="24865"/>
    <cellStyle name="出力 2 2 4 3" xfId="11372"/>
    <cellStyle name="出力 2 2 4 3 2" xfId="20465"/>
    <cellStyle name="出力 2 2 4 3 2 2" xfId="24872"/>
    <cellStyle name="出力 2 2 4 3 3" xfId="24871"/>
    <cellStyle name="出力 2 2 4 4" xfId="8198"/>
    <cellStyle name="出力 2 2 4 4 2" xfId="24873"/>
    <cellStyle name="出力 2 2 5" xfId="8199"/>
    <cellStyle name="出力 2 2 5 2" xfId="11373"/>
    <cellStyle name="出力 2 2 5 2 2" xfId="11374"/>
    <cellStyle name="出力 2 2 5 2 2 2" xfId="21419"/>
    <cellStyle name="出力 2 2 5 2 2 2 2" xfId="24877"/>
    <cellStyle name="出力 2 2 5 2 2 3" xfId="24876"/>
    <cellStyle name="出力 2 2 5 2 3" xfId="11375"/>
    <cellStyle name="出力 2 2 5 2 3 2" xfId="21418"/>
    <cellStyle name="出力 2 2 5 2 3 2 2" xfId="24879"/>
    <cellStyle name="出力 2 2 5 2 3 3" xfId="24878"/>
    <cellStyle name="出力 2 2 5 2 4" xfId="18503"/>
    <cellStyle name="出力 2 2 5 2 4 2" xfId="24880"/>
    <cellStyle name="出力 2 2 5 2 5" xfId="24875"/>
    <cellStyle name="出力 2 2 5 3" xfId="11376"/>
    <cellStyle name="出力 2 2 5 3 2" xfId="19479"/>
    <cellStyle name="出力 2 2 5 3 2 2" xfId="24882"/>
    <cellStyle name="出力 2 2 5 3 3" xfId="24881"/>
    <cellStyle name="出力 2 2 5 4" xfId="24883"/>
    <cellStyle name="出力 2 2 5 5" xfId="24874"/>
    <cellStyle name="出力 2 2 6" xfId="8200"/>
    <cellStyle name="出力 2 2 6 2" xfId="11377"/>
    <cellStyle name="出力 2 2 6 2 2" xfId="11378"/>
    <cellStyle name="出力 2 2 6 2 2 2" xfId="20463"/>
    <cellStyle name="出力 2 2 6 2 2 2 2" xfId="24887"/>
    <cellStyle name="出力 2 2 6 2 2 3" xfId="24886"/>
    <cellStyle name="出力 2 2 6 2 3" xfId="20464"/>
    <cellStyle name="出力 2 2 6 2 3 2" xfId="24888"/>
    <cellStyle name="出力 2 2 6 2 4" xfId="24885"/>
    <cellStyle name="出力 2 2 6 3" xfId="11379"/>
    <cellStyle name="出力 2 2 6 3 2" xfId="20462"/>
    <cellStyle name="出力 2 2 6 3 2 2" xfId="24890"/>
    <cellStyle name="出力 2 2 6 3 3" xfId="24889"/>
    <cellStyle name="出力 2 2 6 4" xfId="24891"/>
    <cellStyle name="出力 2 2 6 5" xfId="24884"/>
    <cellStyle name="出力 2 2 7" xfId="11380"/>
    <cellStyle name="出力 2 2 7 2" xfId="11381"/>
    <cellStyle name="出力 2 2 7 2 2" xfId="21417"/>
    <cellStyle name="出力 2 2 7 2 2 2" xfId="24894"/>
    <cellStyle name="出力 2 2 7 2 3" xfId="24893"/>
    <cellStyle name="出力 2 2 7 3" xfId="11382"/>
    <cellStyle name="出力 2 2 7 3 2" xfId="19478"/>
    <cellStyle name="出力 2 2 7 3 2 2" xfId="24896"/>
    <cellStyle name="出力 2 2 7 3 3" xfId="24895"/>
    <cellStyle name="出力 2 2 7 4" xfId="20461"/>
    <cellStyle name="出力 2 2 7 4 2" xfId="24897"/>
    <cellStyle name="出力 2 2 7 5" xfId="24892"/>
    <cellStyle name="出力 2 2 8" xfId="11383"/>
    <cellStyle name="出力 2 2 8 2" xfId="17818"/>
    <cellStyle name="出力 2 2 8 2 2" xfId="24899"/>
    <cellStyle name="出力 2 2 8 3" xfId="24898"/>
    <cellStyle name="出力 2 2 9" xfId="8195"/>
    <cellStyle name="出力 2 2 9 2" xfId="24901"/>
    <cellStyle name="出力 2 2 9 3" xfId="24900"/>
    <cellStyle name="出力 2 3" xfId="3720"/>
    <cellStyle name="出力 2 3 2" xfId="3721"/>
    <cellStyle name="出力 2 3 2 2" xfId="3722"/>
    <cellStyle name="出力 2 3 2 2 2" xfId="11385"/>
    <cellStyle name="出力 2 3 2 2 2 2" xfId="20460"/>
    <cellStyle name="出力 2 3 2 2 2 2 2" xfId="24903"/>
    <cellStyle name="出力 2 3 2 2 2 2 3" xfId="56802"/>
    <cellStyle name="出力 2 3 2 2 2 3" xfId="24902"/>
    <cellStyle name="出力 2 3 2 2 2 4" xfId="56803"/>
    <cellStyle name="出力 2 3 2 2 3" xfId="11386"/>
    <cellStyle name="出力 2 3 2 2 3 2" xfId="20459"/>
    <cellStyle name="出力 2 3 2 2 3 2 2" xfId="24905"/>
    <cellStyle name="出力 2 3 2 2 3 3" xfId="24904"/>
    <cellStyle name="出力 2 3 2 2 4" xfId="11384"/>
    <cellStyle name="出力 2 3 2 2 4 2" xfId="24906"/>
    <cellStyle name="出力 2 3 2 2 5" xfId="18502"/>
    <cellStyle name="出力 2 3 2 3" xfId="3723"/>
    <cellStyle name="出力 2 3 2 3 2" xfId="11387"/>
    <cellStyle name="出力 2 3 2 3 2 2" xfId="24907"/>
    <cellStyle name="出力 2 3 2 3 2 2 2" xfId="56804"/>
    <cellStyle name="出力 2 3 2 3 2 2 3" xfId="56805"/>
    <cellStyle name="出力 2 3 2 3 2 3" xfId="56806"/>
    <cellStyle name="出力 2 3 2 3 2 4" xfId="56807"/>
    <cellStyle name="出力 2 3 2 3 3" xfId="20458"/>
    <cellStyle name="出力 2 3 2 3 3 2" xfId="56808"/>
    <cellStyle name="出力 2 3 2 3 3 3" xfId="56809"/>
    <cellStyle name="出力 2 3 2 3 4" xfId="56810"/>
    <cellStyle name="出力 2 3 2 3 5" xfId="56811"/>
    <cellStyle name="出力 2 3 2 4" xfId="8202"/>
    <cellStyle name="出力 2 3 2 4 2" xfId="24908"/>
    <cellStyle name="出力 2 3 2 4 2 2" xfId="56812"/>
    <cellStyle name="出力 2 3 2 4 2 3" xfId="56813"/>
    <cellStyle name="出力 2 3 2 4 3" xfId="56814"/>
    <cellStyle name="出力 2 3 2 4 4" xfId="56815"/>
    <cellStyle name="出力 2 3 2 5" xfId="56816"/>
    <cellStyle name="出力 2 3 2 5 2" xfId="56817"/>
    <cellStyle name="出力 2 3 2 5 3" xfId="56818"/>
    <cellStyle name="出力 2 3 3" xfId="3724"/>
    <cellStyle name="出力 2 3 3 2" xfId="11388"/>
    <cellStyle name="出力 2 3 3 2 2" xfId="11389"/>
    <cellStyle name="出力 2 3 3 2 2 2" xfId="20457"/>
    <cellStyle name="出力 2 3 3 2 2 2 2" xfId="24911"/>
    <cellStyle name="出力 2 3 3 2 2 3" xfId="24910"/>
    <cellStyle name="出力 2 3 3 2 3" xfId="11390"/>
    <cellStyle name="出力 2 3 3 2 3 2" xfId="18501"/>
    <cellStyle name="出力 2 3 3 2 3 2 2" xfId="24913"/>
    <cellStyle name="出力 2 3 3 2 3 3" xfId="24912"/>
    <cellStyle name="出力 2 3 3 2 4" xfId="21416"/>
    <cellStyle name="出力 2 3 3 2 4 2" xfId="24914"/>
    <cellStyle name="出力 2 3 3 2 5" xfId="24909"/>
    <cellStyle name="出力 2 3 3 3" xfId="11391"/>
    <cellStyle name="出力 2 3 3 3 2" xfId="20456"/>
    <cellStyle name="出力 2 3 3 3 2 2" xfId="24916"/>
    <cellStyle name="出力 2 3 3 3 3" xfId="24915"/>
    <cellStyle name="出力 2 3 3 4" xfId="8203"/>
    <cellStyle name="出力 2 3 3 4 2" xfId="24917"/>
    <cellStyle name="出力 2 3 4" xfId="3725"/>
    <cellStyle name="出力 2 3 4 2" xfId="11392"/>
    <cellStyle name="出力 2 3 4 2 2" xfId="11393"/>
    <cellStyle name="出力 2 3 4 2 2 2" xfId="18747"/>
    <cellStyle name="出力 2 3 4 2 2 2 2" xfId="24920"/>
    <cellStyle name="出力 2 3 4 2 2 3" xfId="24919"/>
    <cellStyle name="出力 2 3 4 2 3" xfId="11394"/>
    <cellStyle name="出力 2 3 4 2 3 2" xfId="19477"/>
    <cellStyle name="出力 2 3 4 2 3 2 2" xfId="24922"/>
    <cellStyle name="出力 2 3 4 2 3 3" xfId="24921"/>
    <cellStyle name="出力 2 3 4 2 4" xfId="20455"/>
    <cellStyle name="出力 2 3 4 2 4 2" xfId="24923"/>
    <cellStyle name="出力 2 3 4 2 5" xfId="24918"/>
    <cellStyle name="出力 2 3 4 3" xfId="11395"/>
    <cellStyle name="出力 2 3 4 3 2" xfId="20454"/>
    <cellStyle name="出力 2 3 4 3 2 2" xfId="24925"/>
    <cellStyle name="出力 2 3 4 3 3" xfId="24924"/>
    <cellStyle name="出力 2 3 4 4" xfId="8204"/>
    <cellStyle name="出力 2 3 4 4 2" xfId="24926"/>
    <cellStyle name="出力 2 3 5" xfId="8205"/>
    <cellStyle name="出力 2 3 5 2" xfId="11396"/>
    <cellStyle name="出力 2 3 5 2 2" xfId="11397"/>
    <cellStyle name="出力 2 3 5 2 2 2" xfId="18500"/>
    <cellStyle name="出力 2 3 5 2 2 2 2" xfId="24930"/>
    <cellStyle name="出力 2 3 5 2 2 3" xfId="24929"/>
    <cellStyle name="出力 2 3 5 2 3" xfId="11398"/>
    <cellStyle name="出力 2 3 5 2 3 2" xfId="18499"/>
    <cellStyle name="出力 2 3 5 2 3 2 2" xfId="24932"/>
    <cellStyle name="出力 2 3 5 2 3 3" xfId="24931"/>
    <cellStyle name="出力 2 3 5 2 4" xfId="20453"/>
    <cellStyle name="出力 2 3 5 2 4 2" xfId="24933"/>
    <cellStyle name="出力 2 3 5 2 5" xfId="24928"/>
    <cellStyle name="出力 2 3 5 3" xfId="11399"/>
    <cellStyle name="出力 2 3 5 3 2" xfId="20452"/>
    <cellStyle name="出力 2 3 5 3 2 2" xfId="24935"/>
    <cellStyle name="出力 2 3 5 3 3" xfId="24934"/>
    <cellStyle name="出力 2 3 5 4" xfId="24936"/>
    <cellStyle name="出力 2 3 5 5" xfId="24927"/>
    <cellStyle name="出力 2 3 6" xfId="11400"/>
    <cellStyle name="出力 2 3 6 2" xfId="11401"/>
    <cellStyle name="出力 2 3 6 2 2" xfId="20451"/>
    <cellStyle name="出力 2 3 6 2 2 2" xfId="24939"/>
    <cellStyle name="出力 2 3 6 2 3" xfId="24938"/>
    <cellStyle name="出力 2 3 6 3" xfId="11402"/>
    <cellStyle name="出力 2 3 6 3 2" xfId="20450"/>
    <cellStyle name="出力 2 3 6 3 2 2" xfId="24941"/>
    <cellStyle name="出力 2 3 6 3 3" xfId="24940"/>
    <cellStyle name="出力 2 3 6 4" xfId="19476"/>
    <cellStyle name="出力 2 3 6 4 2" xfId="24942"/>
    <cellStyle name="出力 2 3 6 5" xfId="24937"/>
    <cellStyle name="出力 2 3 7" xfId="11403"/>
    <cellStyle name="出力 2 3 7 2" xfId="20449"/>
    <cellStyle name="出力 2 3 7 2 2" xfId="24944"/>
    <cellStyle name="出力 2 3 7 3" xfId="24943"/>
    <cellStyle name="出力 2 3 8" xfId="8201"/>
    <cellStyle name="出力 2 3 8 2" xfId="24945"/>
    <cellStyle name="出力 2 3 9" xfId="56819"/>
    <cellStyle name="出力 2 4" xfId="3726"/>
    <cellStyle name="出力 2 4 2" xfId="11404"/>
    <cellStyle name="出力 2 4 2 2" xfId="11405"/>
    <cellStyle name="出力 2 4 2 2 2" xfId="21414"/>
    <cellStyle name="出力 2 4 2 2 2 2" xfId="24949"/>
    <cellStyle name="出力 2 4 2 2 3" xfId="24948"/>
    <cellStyle name="出力 2 4 2 3" xfId="11406"/>
    <cellStyle name="出力 2 4 2 3 2" xfId="21119"/>
    <cellStyle name="出力 2 4 2 3 2 2" xfId="24951"/>
    <cellStyle name="出力 2 4 2 3 3" xfId="24950"/>
    <cellStyle name="出力 2 4 2 4" xfId="21415"/>
    <cellStyle name="出力 2 4 2 4 2" xfId="24952"/>
    <cellStyle name="出力 2 4 2 5" xfId="24947"/>
    <cellStyle name="出力 2 4 3" xfId="11407"/>
    <cellStyle name="出力 2 4 3 2" xfId="20448"/>
    <cellStyle name="出力 2 4 3 2 2" xfId="24954"/>
    <cellStyle name="出力 2 4 3 3" xfId="24953"/>
    <cellStyle name="出力 2 4 4" xfId="8206"/>
    <cellStyle name="出力 2 4 4 2" xfId="24955"/>
    <cellStyle name="出力 2 4 5" xfId="24946"/>
    <cellStyle name="出力 2 5" xfId="3727"/>
    <cellStyle name="出力 2 5 2" xfId="11408"/>
    <cellStyle name="出力 2 5 2 2" xfId="11409"/>
    <cellStyle name="出力 2 5 2 2 2" xfId="20446"/>
    <cellStyle name="出力 2 5 2 2 2 2" xfId="24959"/>
    <cellStyle name="出力 2 5 2 2 3" xfId="24958"/>
    <cellStyle name="出力 2 5 2 3" xfId="11410"/>
    <cellStyle name="出力 2 5 2 3 2" xfId="20445"/>
    <cellStyle name="出力 2 5 2 3 2 2" xfId="24961"/>
    <cellStyle name="出力 2 5 2 3 3" xfId="24960"/>
    <cellStyle name="出力 2 5 2 4" xfId="20447"/>
    <cellStyle name="出力 2 5 2 4 2" xfId="24962"/>
    <cellStyle name="出力 2 5 2 5" xfId="24957"/>
    <cellStyle name="出力 2 5 3" xfId="11411"/>
    <cellStyle name="出力 2 5 3 2" xfId="21413"/>
    <cellStyle name="出力 2 5 3 2 2" xfId="24964"/>
    <cellStyle name="出力 2 5 3 3" xfId="24963"/>
    <cellStyle name="出力 2 5 4" xfId="8207"/>
    <cellStyle name="出力 2 5 4 2" xfId="24965"/>
    <cellStyle name="出力 2 5 5" xfId="24956"/>
    <cellStyle name="出力 2 6" xfId="8208"/>
    <cellStyle name="出力 2 6 2" xfId="11412"/>
    <cellStyle name="出力 2 6 2 2" xfId="11413"/>
    <cellStyle name="出力 2 6 2 2 2" xfId="19474"/>
    <cellStyle name="出力 2 6 2 2 2 2" xfId="24969"/>
    <cellStyle name="出力 2 6 2 2 3" xfId="24968"/>
    <cellStyle name="出力 2 6 2 3" xfId="11414"/>
    <cellStyle name="出力 2 6 2 3 2" xfId="18498"/>
    <cellStyle name="出力 2 6 2 3 2 2" xfId="24971"/>
    <cellStyle name="出力 2 6 2 3 3" xfId="24970"/>
    <cellStyle name="出力 2 6 2 4" xfId="19475"/>
    <cellStyle name="出力 2 6 2 4 2" xfId="24972"/>
    <cellStyle name="出力 2 6 2 5" xfId="24967"/>
    <cellStyle name="出力 2 6 3" xfId="11415"/>
    <cellStyle name="出力 2 6 3 2" xfId="20444"/>
    <cellStyle name="出力 2 6 3 2 2" xfId="24974"/>
    <cellStyle name="出力 2 6 3 3" xfId="24973"/>
    <cellStyle name="出力 2 6 4" xfId="24975"/>
    <cellStyle name="出力 2 6 5" xfId="24966"/>
    <cellStyle name="出力 2 7" xfId="8209"/>
    <cellStyle name="出力 2 7 2" xfId="11416"/>
    <cellStyle name="出力 2 7 2 2" xfId="11417"/>
    <cellStyle name="出力 2 7 2 2 2" xfId="20442"/>
    <cellStyle name="出力 2 7 2 2 2 2" xfId="24979"/>
    <cellStyle name="出力 2 7 2 2 3" xfId="24978"/>
    <cellStyle name="出力 2 7 2 3" xfId="11418"/>
    <cellStyle name="出力 2 7 2 3 2" xfId="21412"/>
    <cellStyle name="出力 2 7 2 3 2 2" xfId="24981"/>
    <cellStyle name="出力 2 7 2 3 3" xfId="24980"/>
    <cellStyle name="出力 2 7 2 4" xfId="20443"/>
    <cellStyle name="出力 2 7 2 4 2" xfId="24982"/>
    <cellStyle name="出力 2 7 2 5" xfId="24977"/>
    <cellStyle name="出力 2 7 3" xfId="11419"/>
    <cellStyle name="出力 2 7 3 2" xfId="20441"/>
    <cellStyle name="出力 2 7 3 2 2" xfId="24984"/>
    <cellStyle name="出力 2 7 3 3" xfId="24983"/>
    <cellStyle name="出力 2 7 4" xfId="24985"/>
    <cellStyle name="出力 2 7 5" xfId="24976"/>
    <cellStyle name="出力 2 8" xfId="8210"/>
    <cellStyle name="出力 2 8 2" xfId="11420"/>
    <cellStyle name="出力 2 8 2 2" xfId="11421"/>
    <cellStyle name="出力 2 8 2 2 2" xfId="20440"/>
    <cellStyle name="出力 2 8 2 2 2 2" xfId="24989"/>
    <cellStyle name="出力 2 8 2 2 3" xfId="24988"/>
    <cellStyle name="出力 2 8 2 3" xfId="18497"/>
    <cellStyle name="出力 2 8 2 3 2" xfId="24990"/>
    <cellStyle name="出力 2 8 2 4" xfId="24987"/>
    <cellStyle name="出力 2 8 3" xfId="11422"/>
    <cellStyle name="出力 2 8 3 2" xfId="20439"/>
    <cellStyle name="出力 2 8 3 2 2" xfId="24992"/>
    <cellStyle name="出力 2 8 3 3" xfId="24991"/>
    <cellStyle name="出力 2 8 4" xfId="24993"/>
    <cellStyle name="出力 2 8 5" xfId="24986"/>
    <cellStyle name="出力 2 9" xfId="11423"/>
    <cellStyle name="出力 2 9 2" xfId="11424"/>
    <cellStyle name="出力 2 9 2 2" xfId="17817"/>
    <cellStyle name="出力 2 9 2 2 2" xfId="24996"/>
    <cellStyle name="出力 2 9 2 3" xfId="24995"/>
    <cellStyle name="出力 2 9 3" xfId="11425"/>
    <cellStyle name="出力 2 9 3 2" xfId="20438"/>
    <cellStyle name="出力 2 9 3 2 2" xfId="24998"/>
    <cellStyle name="出力 2 9 3 3" xfId="24997"/>
    <cellStyle name="出力 2 9 4" xfId="18746"/>
    <cellStyle name="出力 2 9 4 2" xfId="24999"/>
    <cellStyle name="出力 2 9 5" xfId="24994"/>
    <cellStyle name="出力 3" xfId="3728"/>
    <cellStyle name="出力 3 10" xfId="11426"/>
    <cellStyle name="出力 3 10 2" xfId="20437"/>
    <cellStyle name="出力 3 10 2 2" xfId="25001"/>
    <cellStyle name="出力 3 10 3" xfId="25000"/>
    <cellStyle name="出力 3 11" xfId="8211"/>
    <cellStyle name="出力 3 11 2" xfId="25003"/>
    <cellStyle name="出力 3 11 3" xfId="25002"/>
    <cellStyle name="出力 3 12" xfId="25004"/>
    <cellStyle name="出力 3 13" xfId="25005"/>
    <cellStyle name="出力 3 14" xfId="60993"/>
    <cellStyle name="出力 3 2" xfId="3729"/>
    <cellStyle name="出力 3 2 10" xfId="60994"/>
    <cellStyle name="出力 3 2 2" xfId="3730"/>
    <cellStyle name="出力 3 2 2 2" xfId="3731"/>
    <cellStyle name="出力 3 2 2 2 2" xfId="11428"/>
    <cellStyle name="出力 3 2 2 2 2 2" xfId="20436"/>
    <cellStyle name="出力 3 2 2 2 2 2 2" xfId="25007"/>
    <cellStyle name="出力 3 2 2 2 2 2 3" xfId="56820"/>
    <cellStyle name="出力 3 2 2 2 2 3" xfId="25006"/>
    <cellStyle name="出力 3 2 2 2 2 4" xfId="56821"/>
    <cellStyle name="出力 3 2 2 2 3" xfId="11429"/>
    <cellStyle name="出力 3 2 2 2 3 2" xfId="20435"/>
    <cellStyle name="出力 3 2 2 2 3 2 2" xfId="25009"/>
    <cellStyle name="出力 3 2 2 2 3 3" xfId="25008"/>
    <cellStyle name="出力 3 2 2 2 4" xfId="11427"/>
    <cellStyle name="出力 3 2 2 2 4 2" xfId="25010"/>
    <cellStyle name="出力 3 2 2 2 5" xfId="18496"/>
    <cellStyle name="出力 3 2 2 3" xfId="3732"/>
    <cellStyle name="出力 3 2 2 3 2" xfId="11430"/>
    <cellStyle name="出力 3 2 2 3 2 2" xfId="25011"/>
    <cellStyle name="出力 3 2 2 3 2 2 2" xfId="56822"/>
    <cellStyle name="出力 3 2 2 3 2 2 3" xfId="56823"/>
    <cellStyle name="出力 3 2 2 3 2 3" xfId="56824"/>
    <cellStyle name="出力 3 2 2 3 2 4" xfId="56825"/>
    <cellStyle name="出力 3 2 2 3 3" xfId="19473"/>
    <cellStyle name="出力 3 2 2 3 3 2" xfId="56826"/>
    <cellStyle name="出力 3 2 2 3 3 3" xfId="56827"/>
    <cellStyle name="出力 3 2 2 3 4" xfId="56828"/>
    <cellStyle name="出力 3 2 2 3 5" xfId="56829"/>
    <cellStyle name="出力 3 2 2 4" xfId="8213"/>
    <cellStyle name="出力 3 2 2 4 2" xfId="25012"/>
    <cellStyle name="出力 3 2 2 4 2 2" xfId="56830"/>
    <cellStyle name="出力 3 2 2 4 2 3" xfId="56831"/>
    <cellStyle name="出力 3 2 2 4 3" xfId="56832"/>
    <cellStyle name="出力 3 2 2 4 4" xfId="56833"/>
    <cellStyle name="出力 3 2 2 5" xfId="56834"/>
    <cellStyle name="出力 3 2 2 5 2" xfId="56835"/>
    <cellStyle name="出力 3 2 2 5 3" xfId="56836"/>
    <cellStyle name="出力 3 2 3" xfId="3733"/>
    <cellStyle name="出力 3 2 3 2" xfId="11431"/>
    <cellStyle name="出力 3 2 3 2 2" xfId="11432"/>
    <cellStyle name="出力 3 2 3 2 2 2" xfId="20433"/>
    <cellStyle name="出力 3 2 3 2 2 2 2" xfId="25015"/>
    <cellStyle name="出力 3 2 3 2 2 3" xfId="25014"/>
    <cellStyle name="出力 3 2 3 2 3" xfId="11433"/>
    <cellStyle name="出力 3 2 3 2 3 2" xfId="18495"/>
    <cellStyle name="出力 3 2 3 2 3 2 2" xfId="25017"/>
    <cellStyle name="出力 3 2 3 2 3 3" xfId="25016"/>
    <cellStyle name="出力 3 2 3 2 4" xfId="20434"/>
    <cellStyle name="出力 3 2 3 2 4 2" xfId="25018"/>
    <cellStyle name="出力 3 2 3 2 5" xfId="25013"/>
    <cellStyle name="出力 3 2 3 3" xfId="11434"/>
    <cellStyle name="出力 3 2 3 3 2" xfId="21411"/>
    <cellStyle name="出力 3 2 3 3 2 2" xfId="25020"/>
    <cellStyle name="出力 3 2 3 3 3" xfId="25019"/>
    <cellStyle name="出力 3 2 3 4" xfId="8214"/>
    <cellStyle name="出力 3 2 3 4 2" xfId="25021"/>
    <cellStyle name="出力 3 2 4" xfId="3734"/>
    <cellStyle name="出力 3 2 4 2" xfId="11435"/>
    <cellStyle name="出力 3 2 4 2 2" xfId="11436"/>
    <cellStyle name="出力 3 2 4 2 2 2" xfId="19472"/>
    <cellStyle name="出力 3 2 4 2 2 2 2" xfId="25024"/>
    <cellStyle name="出力 3 2 4 2 2 3" xfId="25023"/>
    <cellStyle name="出力 3 2 4 2 3" xfId="11437"/>
    <cellStyle name="出力 3 2 4 2 3 2" xfId="18494"/>
    <cellStyle name="出力 3 2 4 2 3 2 2" xfId="25026"/>
    <cellStyle name="出力 3 2 4 2 3 3" xfId="25025"/>
    <cellStyle name="出力 3 2 4 2 4" xfId="21410"/>
    <cellStyle name="出力 3 2 4 2 4 2" xfId="25027"/>
    <cellStyle name="出力 3 2 4 2 5" xfId="25022"/>
    <cellStyle name="出力 3 2 4 3" xfId="11438"/>
    <cellStyle name="出力 3 2 4 3 2" xfId="20432"/>
    <cellStyle name="出力 3 2 4 3 2 2" xfId="25029"/>
    <cellStyle name="出力 3 2 4 3 3" xfId="25028"/>
    <cellStyle name="出力 3 2 4 4" xfId="8215"/>
    <cellStyle name="出力 3 2 4 4 2" xfId="25030"/>
    <cellStyle name="出力 3 2 5" xfId="8216"/>
    <cellStyle name="出力 3 2 5 2" xfId="11439"/>
    <cellStyle name="出力 3 2 5 2 2" xfId="11440"/>
    <cellStyle name="出力 3 2 5 2 2 2" xfId="20430"/>
    <cellStyle name="出力 3 2 5 2 2 2 2" xfId="25034"/>
    <cellStyle name="出力 3 2 5 2 2 3" xfId="25033"/>
    <cellStyle name="出力 3 2 5 2 3" xfId="11441"/>
    <cellStyle name="出力 3 2 5 2 3 2" xfId="21409"/>
    <cellStyle name="出力 3 2 5 2 3 2 2" xfId="25036"/>
    <cellStyle name="出力 3 2 5 2 3 3" xfId="25035"/>
    <cellStyle name="出力 3 2 5 2 4" xfId="20431"/>
    <cellStyle name="出力 3 2 5 2 4 2" xfId="25037"/>
    <cellStyle name="出力 3 2 5 2 5" xfId="25032"/>
    <cellStyle name="出力 3 2 5 3" xfId="11442"/>
    <cellStyle name="出力 3 2 5 3 2" xfId="21118"/>
    <cellStyle name="出力 3 2 5 3 2 2" xfId="25039"/>
    <cellStyle name="出力 3 2 5 3 3" xfId="25038"/>
    <cellStyle name="出力 3 2 5 4" xfId="25040"/>
    <cellStyle name="出力 3 2 5 5" xfId="25031"/>
    <cellStyle name="出力 3 2 6" xfId="11443"/>
    <cellStyle name="出力 3 2 6 2" xfId="11444"/>
    <cellStyle name="出力 3 2 6 2 2" xfId="20429"/>
    <cellStyle name="出力 3 2 6 2 2 2" xfId="25043"/>
    <cellStyle name="出力 3 2 6 2 3" xfId="25042"/>
    <cellStyle name="出力 3 2 6 3" xfId="11445"/>
    <cellStyle name="出力 3 2 6 3 2" xfId="20428"/>
    <cellStyle name="出力 3 2 6 3 2 2" xfId="25045"/>
    <cellStyle name="出力 3 2 6 3 3" xfId="25044"/>
    <cellStyle name="出力 3 2 6 4" xfId="19471"/>
    <cellStyle name="出力 3 2 6 4 2" xfId="25046"/>
    <cellStyle name="出力 3 2 6 5" xfId="25041"/>
    <cellStyle name="出力 3 2 7" xfId="11446"/>
    <cellStyle name="出力 3 2 7 2" xfId="20427"/>
    <cellStyle name="出力 3 2 7 2 2" xfId="25048"/>
    <cellStyle name="出力 3 2 7 3" xfId="25047"/>
    <cellStyle name="出力 3 2 8" xfId="8212"/>
    <cellStyle name="出力 3 2 8 2" xfId="25049"/>
    <cellStyle name="出力 3 2 9" xfId="56837"/>
    <cellStyle name="出力 3 3" xfId="3735"/>
    <cellStyle name="出力 3 3 2" xfId="3736"/>
    <cellStyle name="出力 3 3 2 2" xfId="3737"/>
    <cellStyle name="出力 3 3 2 2 2" xfId="11448"/>
    <cellStyle name="出力 3 3 2 2 2 2" xfId="21408"/>
    <cellStyle name="出力 3 3 2 2 2 2 2" xfId="25051"/>
    <cellStyle name="出力 3 3 2 2 2 2 3" xfId="56838"/>
    <cellStyle name="出力 3 3 2 2 2 3" xfId="25050"/>
    <cellStyle name="出力 3 3 2 2 2 4" xfId="56839"/>
    <cellStyle name="出力 3 3 2 2 3" xfId="11449"/>
    <cellStyle name="出力 3 3 2 2 3 2" xfId="20425"/>
    <cellStyle name="出力 3 3 2 2 3 2 2" xfId="25053"/>
    <cellStyle name="出力 3 3 2 2 3 3" xfId="25052"/>
    <cellStyle name="出力 3 3 2 2 4" xfId="11447"/>
    <cellStyle name="出力 3 3 2 2 4 2" xfId="25054"/>
    <cellStyle name="出力 3 3 2 2 5" xfId="20426"/>
    <cellStyle name="出力 3 3 2 3" xfId="3738"/>
    <cellStyle name="出力 3 3 2 3 2" xfId="11450"/>
    <cellStyle name="出力 3 3 2 3 2 2" xfId="25055"/>
    <cellStyle name="出力 3 3 2 3 2 2 2" xfId="56840"/>
    <cellStyle name="出力 3 3 2 3 2 2 3" xfId="56841"/>
    <cellStyle name="出力 3 3 2 3 2 3" xfId="56842"/>
    <cellStyle name="出力 3 3 2 3 2 4" xfId="56843"/>
    <cellStyle name="出力 3 3 2 3 3" xfId="18493"/>
    <cellStyle name="出力 3 3 2 3 3 2" xfId="56844"/>
    <cellStyle name="出力 3 3 2 3 3 3" xfId="56845"/>
    <cellStyle name="出力 3 3 2 3 4" xfId="56846"/>
    <cellStyle name="出力 3 3 2 3 5" xfId="56847"/>
    <cellStyle name="出力 3 3 2 4" xfId="8218"/>
    <cellStyle name="出力 3 3 2 4 2" xfId="25056"/>
    <cellStyle name="出力 3 3 2 4 2 2" xfId="56848"/>
    <cellStyle name="出力 3 3 2 4 2 3" xfId="56849"/>
    <cellStyle name="出力 3 3 2 4 3" xfId="56850"/>
    <cellStyle name="出力 3 3 2 4 4" xfId="56851"/>
    <cellStyle name="出力 3 3 2 5" xfId="56852"/>
    <cellStyle name="出力 3 3 2 5 2" xfId="56853"/>
    <cellStyle name="出力 3 3 2 5 3" xfId="56854"/>
    <cellStyle name="出力 3 3 3" xfId="3739"/>
    <cellStyle name="出力 3 3 3 2" xfId="11451"/>
    <cellStyle name="出力 3 3 3 2 2" xfId="11452"/>
    <cellStyle name="出力 3 3 3 2 2 2" xfId="20423"/>
    <cellStyle name="出力 3 3 3 2 2 2 2" xfId="25059"/>
    <cellStyle name="出力 3 3 3 2 2 3" xfId="25058"/>
    <cellStyle name="出力 3 3 3 2 3" xfId="11453"/>
    <cellStyle name="出力 3 3 3 2 3 2" xfId="18745"/>
    <cellStyle name="出力 3 3 3 2 3 2 2" xfId="25061"/>
    <cellStyle name="出力 3 3 3 2 3 3" xfId="25060"/>
    <cellStyle name="出力 3 3 3 2 4" xfId="20424"/>
    <cellStyle name="出力 3 3 3 2 4 2" xfId="25062"/>
    <cellStyle name="出力 3 3 3 2 5" xfId="25057"/>
    <cellStyle name="出力 3 3 3 3" xfId="11454"/>
    <cellStyle name="出力 3 3 3 3 2" xfId="19470"/>
    <cellStyle name="出力 3 3 3 3 2 2" xfId="25064"/>
    <cellStyle name="出力 3 3 3 3 3" xfId="25063"/>
    <cellStyle name="出力 3 3 3 4" xfId="8219"/>
    <cellStyle name="出力 3 3 3 4 2" xfId="25065"/>
    <cellStyle name="出力 3 3 4" xfId="3740"/>
    <cellStyle name="出力 3 3 4 2" xfId="11455"/>
    <cellStyle name="出力 3 3 4 2 2" xfId="11456"/>
    <cellStyle name="出力 3 3 4 2 2 2" xfId="20421"/>
    <cellStyle name="出力 3 3 4 2 2 2 2" xfId="25068"/>
    <cellStyle name="出力 3 3 4 2 2 3" xfId="25067"/>
    <cellStyle name="出力 3 3 4 2 3" xfId="11457"/>
    <cellStyle name="出力 3 3 4 2 3 2" xfId="18492"/>
    <cellStyle name="出力 3 3 4 2 3 2 2" xfId="25070"/>
    <cellStyle name="出力 3 3 4 2 3 3" xfId="25069"/>
    <cellStyle name="出力 3 3 4 2 4" xfId="20422"/>
    <cellStyle name="出力 3 3 4 2 4 2" xfId="25071"/>
    <cellStyle name="出力 3 3 4 2 5" xfId="25066"/>
    <cellStyle name="出力 3 3 4 3" xfId="11458"/>
    <cellStyle name="出力 3 3 4 3 2" xfId="20420"/>
    <cellStyle name="出力 3 3 4 3 2 2" xfId="25073"/>
    <cellStyle name="出力 3 3 4 3 3" xfId="25072"/>
    <cellStyle name="出力 3 3 4 4" xfId="8220"/>
    <cellStyle name="出力 3 3 4 4 2" xfId="25074"/>
    <cellStyle name="出力 3 3 5" xfId="8221"/>
    <cellStyle name="出力 3 3 5 2" xfId="11459"/>
    <cellStyle name="出力 3 3 5 2 2" xfId="11460"/>
    <cellStyle name="出力 3 3 5 2 2 2" xfId="17816"/>
    <cellStyle name="出力 3 3 5 2 2 2 2" xfId="25078"/>
    <cellStyle name="出力 3 3 5 2 2 3" xfId="25077"/>
    <cellStyle name="出力 3 3 5 2 3" xfId="11461"/>
    <cellStyle name="出力 3 3 5 2 3 2" xfId="20418"/>
    <cellStyle name="出力 3 3 5 2 3 2 2" xfId="25080"/>
    <cellStyle name="出力 3 3 5 2 3 3" xfId="25079"/>
    <cellStyle name="出力 3 3 5 2 4" xfId="20419"/>
    <cellStyle name="出力 3 3 5 2 4 2" xfId="25081"/>
    <cellStyle name="出力 3 3 5 2 5" xfId="25076"/>
    <cellStyle name="出力 3 3 5 3" xfId="11462"/>
    <cellStyle name="出力 3 3 5 3 2" xfId="20417"/>
    <cellStyle name="出力 3 3 5 3 2 2" xfId="25083"/>
    <cellStyle name="出力 3 3 5 3 3" xfId="25082"/>
    <cellStyle name="出力 3 3 5 4" xfId="25084"/>
    <cellStyle name="出力 3 3 5 5" xfId="25075"/>
    <cellStyle name="出力 3 3 6" xfId="11463"/>
    <cellStyle name="出力 3 3 6 2" xfId="11464"/>
    <cellStyle name="出力 3 3 6 2 2" xfId="21407"/>
    <cellStyle name="出力 3 3 6 2 2 2" xfId="25087"/>
    <cellStyle name="出力 3 3 6 2 3" xfId="25086"/>
    <cellStyle name="出力 3 3 6 3" xfId="11465"/>
    <cellStyle name="出力 3 3 6 3 2" xfId="21406"/>
    <cellStyle name="出力 3 3 6 3 2 2" xfId="25089"/>
    <cellStyle name="出力 3 3 6 3 3" xfId="25088"/>
    <cellStyle name="出力 3 3 6 4" xfId="18491"/>
    <cellStyle name="出力 3 3 6 4 2" xfId="25090"/>
    <cellStyle name="出力 3 3 6 5" xfId="25085"/>
    <cellStyle name="出力 3 3 7" xfId="11466"/>
    <cellStyle name="出力 3 3 7 2" xfId="19469"/>
    <cellStyle name="出力 3 3 7 2 2" xfId="25092"/>
    <cellStyle name="出力 3 3 7 3" xfId="25091"/>
    <cellStyle name="出力 3 3 8" xfId="8217"/>
    <cellStyle name="出力 3 3 8 2" xfId="25093"/>
    <cellStyle name="出力 3 3 9" xfId="56855"/>
    <cellStyle name="出力 3 4" xfId="3741"/>
    <cellStyle name="出力 3 4 2" xfId="3742"/>
    <cellStyle name="出力 3 4 2 2" xfId="11468"/>
    <cellStyle name="出力 3 4 2 2 2" xfId="20415"/>
    <cellStyle name="出力 3 4 2 2 2 2" xfId="25095"/>
    <cellStyle name="出力 3 4 2 2 2 3" xfId="56856"/>
    <cellStyle name="出力 3 4 2 2 3" xfId="25094"/>
    <cellStyle name="出力 3 4 2 2 4" xfId="56857"/>
    <cellStyle name="出力 3 4 2 3" xfId="11469"/>
    <cellStyle name="出力 3 4 2 3 2" xfId="20414"/>
    <cellStyle name="出力 3 4 2 3 2 2" xfId="25097"/>
    <cellStyle name="出力 3 4 2 3 3" xfId="25096"/>
    <cellStyle name="出力 3 4 2 4" xfId="11467"/>
    <cellStyle name="出力 3 4 2 4 2" xfId="25098"/>
    <cellStyle name="出力 3 4 2 5" xfId="20416"/>
    <cellStyle name="出力 3 4 3" xfId="3743"/>
    <cellStyle name="出力 3 4 3 2" xfId="11470"/>
    <cellStyle name="出力 3 4 3 2 2" xfId="25099"/>
    <cellStyle name="出力 3 4 3 2 2 2" xfId="56858"/>
    <cellStyle name="出力 3 4 3 2 2 3" xfId="56859"/>
    <cellStyle name="出力 3 4 3 2 3" xfId="56860"/>
    <cellStyle name="出力 3 4 3 2 4" xfId="56861"/>
    <cellStyle name="出力 3 4 3 3" xfId="20413"/>
    <cellStyle name="出力 3 4 3 3 2" xfId="56862"/>
    <cellStyle name="出力 3 4 3 3 3" xfId="56863"/>
    <cellStyle name="出力 3 4 3 4" xfId="56864"/>
    <cellStyle name="出力 3 4 3 5" xfId="56865"/>
    <cellStyle name="出力 3 4 4" xfId="8222"/>
    <cellStyle name="出力 3 4 4 2" xfId="25100"/>
    <cellStyle name="出力 3 4 4 2 2" xfId="56866"/>
    <cellStyle name="出力 3 4 4 2 3" xfId="56867"/>
    <cellStyle name="出力 3 4 4 3" xfId="56868"/>
    <cellStyle name="出力 3 4 4 4" xfId="56869"/>
    <cellStyle name="出力 3 4 5" xfId="56870"/>
    <cellStyle name="出力 3 4 5 2" xfId="56871"/>
    <cellStyle name="出力 3 4 5 3" xfId="56872"/>
    <cellStyle name="出力 3 5" xfId="3744"/>
    <cellStyle name="出力 3 5 2" xfId="11471"/>
    <cellStyle name="出力 3 5 2 2" xfId="11472"/>
    <cellStyle name="出力 3 5 2 2 2" xfId="19468"/>
    <cellStyle name="出力 3 5 2 2 2 2" xfId="25104"/>
    <cellStyle name="出力 3 5 2 2 3" xfId="25103"/>
    <cellStyle name="出力 3 5 2 3" xfId="11473"/>
    <cellStyle name="出力 3 5 2 3 2" xfId="21117"/>
    <cellStyle name="出力 3 5 2 3 2 2" xfId="25106"/>
    <cellStyle name="出力 3 5 2 3 3" xfId="25105"/>
    <cellStyle name="出力 3 5 2 4" xfId="21405"/>
    <cellStyle name="出力 3 5 2 4 2" xfId="25107"/>
    <cellStyle name="出力 3 5 2 5" xfId="25102"/>
    <cellStyle name="出力 3 5 3" xfId="11474"/>
    <cellStyle name="出力 3 5 3 2" xfId="19467"/>
    <cellStyle name="出力 3 5 3 2 2" xfId="25109"/>
    <cellStyle name="出力 3 5 3 3" xfId="25108"/>
    <cellStyle name="出力 3 5 4" xfId="8223"/>
    <cellStyle name="出力 3 5 4 2" xfId="25110"/>
    <cellStyle name="出力 3 5 5" xfId="25101"/>
    <cellStyle name="出力 3 6" xfId="3745"/>
    <cellStyle name="出力 3 6 2" xfId="11475"/>
    <cellStyle name="出力 3 6 2 2" xfId="11476"/>
    <cellStyle name="出力 3 6 2 2 2" xfId="18489"/>
    <cellStyle name="出力 3 6 2 2 2 2" xfId="25114"/>
    <cellStyle name="出力 3 6 2 2 3" xfId="25113"/>
    <cellStyle name="出力 3 6 2 3" xfId="11477"/>
    <cellStyle name="出力 3 6 2 3 2" xfId="20412"/>
    <cellStyle name="出力 3 6 2 3 2 2" xfId="25116"/>
    <cellStyle name="出力 3 6 2 3 3" xfId="25115"/>
    <cellStyle name="出力 3 6 2 4" xfId="18490"/>
    <cellStyle name="出力 3 6 2 4 2" xfId="25117"/>
    <cellStyle name="出力 3 6 2 5" xfId="25112"/>
    <cellStyle name="出力 3 6 3" xfId="11478"/>
    <cellStyle name="出力 3 6 3 2" xfId="20411"/>
    <cellStyle name="出力 3 6 3 2 2" xfId="25119"/>
    <cellStyle name="出力 3 6 3 3" xfId="25118"/>
    <cellStyle name="出力 3 6 4" xfId="8224"/>
    <cellStyle name="出力 3 6 4 2" xfId="25120"/>
    <cellStyle name="出力 3 6 5" xfId="25111"/>
    <cellStyle name="出力 3 7" xfId="8225"/>
    <cellStyle name="出力 3 7 2" xfId="11479"/>
    <cellStyle name="出力 3 7 2 2" xfId="11480"/>
    <cellStyle name="出力 3 7 2 2 2" xfId="20410"/>
    <cellStyle name="出力 3 7 2 2 2 2" xfId="25124"/>
    <cellStyle name="出力 3 7 2 2 3" xfId="25123"/>
    <cellStyle name="出力 3 7 2 3" xfId="11481"/>
    <cellStyle name="出力 3 7 2 3 2" xfId="20409"/>
    <cellStyle name="出力 3 7 2 3 2 2" xfId="25126"/>
    <cellStyle name="出力 3 7 2 3 3" xfId="25125"/>
    <cellStyle name="出力 3 7 2 4" xfId="21404"/>
    <cellStyle name="出力 3 7 2 4 2" xfId="25127"/>
    <cellStyle name="出力 3 7 2 5" xfId="25122"/>
    <cellStyle name="出力 3 7 3" xfId="11482"/>
    <cellStyle name="出力 3 7 3 2" xfId="20408"/>
    <cellStyle name="出力 3 7 3 2 2" xfId="25129"/>
    <cellStyle name="出力 3 7 3 3" xfId="25128"/>
    <cellStyle name="出力 3 7 4" xfId="25130"/>
    <cellStyle name="出力 3 7 5" xfId="25121"/>
    <cellStyle name="出力 3 8" xfId="8226"/>
    <cellStyle name="出力 3 8 2" xfId="11483"/>
    <cellStyle name="出力 3 8 2 2" xfId="11484"/>
    <cellStyle name="出力 3 8 2 2 2" xfId="18744"/>
    <cellStyle name="出力 3 8 2 2 2 2" xfId="25134"/>
    <cellStyle name="出力 3 8 2 2 3" xfId="25133"/>
    <cellStyle name="出力 3 8 2 3" xfId="20407"/>
    <cellStyle name="出力 3 8 2 3 2" xfId="25135"/>
    <cellStyle name="出力 3 8 2 4" xfId="25132"/>
    <cellStyle name="出力 3 8 3" xfId="11485"/>
    <cellStyle name="出力 3 8 3 2" xfId="19466"/>
    <cellStyle name="出力 3 8 3 2 2" xfId="25137"/>
    <cellStyle name="出力 3 8 3 3" xfId="25136"/>
    <cellStyle name="出力 3 8 4" xfId="25138"/>
    <cellStyle name="出力 3 8 5" xfId="25131"/>
    <cellStyle name="出力 3 9" xfId="11486"/>
    <cellStyle name="出力 3 9 2" xfId="11487"/>
    <cellStyle name="出力 3 9 2 2" xfId="20405"/>
    <cellStyle name="出力 3 9 2 2 2" xfId="25141"/>
    <cellStyle name="出力 3 9 2 3" xfId="25140"/>
    <cellStyle name="出力 3 9 3" xfId="11488"/>
    <cellStyle name="出力 3 9 3 2" xfId="18488"/>
    <cellStyle name="出力 3 9 3 2 2" xfId="25143"/>
    <cellStyle name="出力 3 9 3 3" xfId="25142"/>
    <cellStyle name="出力 3 9 4" xfId="20406"/>
    <cellStyle name="出力 3 9 4 2" xfId="25144"/>
    <cellStyle name="出力 3 9 5" xfId="25139"/>
    <cellStyle name="出力 4" xfId="3746"/>
    <cellStyle name="出力 4 10" xfId="11489"/>
    <cellStyle name="出力 4 10 2" xfId="20404"/>
    <cellStyle name="出力 4 10 2 2" xfId="25146"/>
    <cellStyle name="出力 4 10 3" xfId="25145"/>
    <cellStyle name="出力 4 11" xfId="8227"/>
    <cellStyle name="出力 4 11 2" xfId="25148"/>
    <cellStyle name="出力 4 11 3" xfId="25147"/>
    <cellStyle name="出力 4 12" xfId="25149"/>
    <cellStyle name="出力 4 13" xfId="60995"/>
    <cellStyle name="出力 4 2" xfId="3747"/>
    <cellStyle name="出力 4 2 10" xfId="60996"/>
    <cellStyle name="出力 4 2 2" xfId="3748"/>
    <cellStyle name="出力 4 2 2 2" xfId="3749"/>
    <cellStyle name="出力 4 2 2 2 2" xfId="11491"/>
    <cellStyle name="出力 4 2 2 2 2 2" xfId="17815"/>
    <cellStyle name="出力 4 2 2 2 2 2 2" xfId="25151"/>
    <cellStyle name="出力 4 2 2 2 2 2 3" xfId="56873"/>
    <cellStyle name="出力 4 2 2 2 2 3" xfId="25150"/>
    <cellStyle name="出力 4 2 2 2 2 4" xfId="56874"/>
    <cellStyle name="出力 4 2 2 2 3" xfId="11492"/>
    <cellStyle name="出力 4 2 2 2 3 2" xfId="20402"/>
    <cellStyle name="出力 4 2 2 2 3 2 2" xfId="25153"/>
    <cellStyle name="出力 4 2 2 2 3 3" xfId="25152"/>
    <cellStyle name="出力 4 2 2 2 4" xfId="11490"/>
    <cellStyle name="出力 4 2 2 2 4 2" xfId="25154"/>
    <cellStyle name="出力 4 2 2 2 5" xfId="20403"/>
    <cellStyle name="出力 4 2 2 3" xfId="3750"/>
    <cellStyle name="出力 4 2 2 3 2" xfId="11493"/>
    <cellStyle name="出力 4 2 2 3 2 2" xfId="25155"/>
    <cellStyle name="出力 4 2 2 3 2 2 2" xfId="56875"/>
    <cellStyle name="出力 4 2 2 3 2 2 3" xfId="56876"/>
    <cellStyle name="出力 4 2 2 3 2 3" xfId="56877"/>
    <cellStyle name="出力 4 2 2 3 2 4" xfId="56878"/>
    <cellStyle name="出力 4 2 2 3 3" xfId="20401"/>
    <cellStyle name="出力 4 2 2 3 3 2" xfId="56879"/>
    <cellStyle name="出力 4 2 2 3 3 3" xfId="56880"/>
    <cellStyle name="出力 4 2 2 3 4" xfId="56881"/>
    <cellStyle name="出力 4 2 2 3 5" xfId="56882"/>
    <cellStyle name="出力 4 2 2 4" xfId="8229"/>
    <cellStyle name="出力 4 2 2 4 2" xfId="25156"/>
    <cellStyle name="出力 4 2 2 4 2 2" xfId="56883"/>
    <cellStyle name="出力 4 2 2 4 2 3" xfId="56884"/>
    <cellStyle name="出力 4 2 2 4 3" xfId="56885"/>
    <cellStyle name="出力 4 2 2 4 4" xfId="56886"/>
    <cellStyle name="出力 4 2 2 5" xfId="56887"/>
    <cellStyle name="出力 4 2 2 5 2" xfId="56888"/>
    <cellStyle name="出力 4 2 2 5 3" xfId="56889"/>
    <cellStyle name="出力 4 2 3" xfId="3751"/>
    <cellStyle name="出力 4 2 3 2" xfId="11494"/>
    <cellStyle name="出力 4 2 3 2 2" xfId="11495"/>
    <cellStyle name="出力 4 2 3 2 2 2" xfId="18743"/>
    <cellStyle name="出力 4 2 3 2 2 2 2" xfId="25159"/>
    <cellStyle name="出力 4 2 3 2 2 3" xfId="25158"/>
    <cellStyle name="出力 4 2 3 2 3" xfId="11496"/>
    <cellStyle name="出力 4 2 3 2 3 2" xfId="21403"/>
    <cellStyle name="出力 4 2 3 2 3 2 2" xfId="25161"/>
    <cellStyle name="出力 4 2 3 2 3 3" xfId="25160"/>
    <cellStyle name="出力 4 2 3 2 4" xfId="18487"/>
    <cellStyle name="出力 4 2 3 2 4 2" xfId="25162"/>
    <cellStyle name="出力 4 2 3 2 5" xfId="25157"/>
    <cellStyle name="出力 4 2 3 3" xfId="11497"/>
    <cellStyle name="出力 4 2 3 3 2" xfId="19465"/>
    <cellStyle name="出力 4 2 3 3 2 2" xfId="25164"/>
    <cellStyle name="出力 4 2 3 3 3" xfId="25163"/>
    <cellStyle name="出力 4 2 3 4" xfId="8230"/>
    <cellStyle name="出力 4 2 3 4 2" xfId="25165"/>
    <cellStyle name="出力 4 2 4" xfId="3752"/>
    <cellStyle name="出力 4 2 4 2" xfId="11498"/>
    <cellStyle name="出力 4 2 4 2 2" xfId="11499"/>
    <cellStyle name="出力 4 2 4 2 2 2" xfId="20399"/>
    <cellStyle name="出力 4 2 4 2 2 2 2" xfId="25168"/>
    <cellStyle name="出力 4 2 4 2 2 3" xfId="25167"/>
    <cellStyle name="出力 4 2 4 2 3" xfId="11500"/>
    <cellStyle name="出力 4 2 4 2 3 2" xfId="20398"/>
    <cellStyle name="出力 4 2 4 2 3 2 2" xfId="25170"/>
    <cellStyle name="出力 4 2 4 2 3 3" xfId="25169"/>
    <cellStyle name="出力 4 2 4 2 4" xfId="20400"/>
    <cellStyle name="出力 4 2 4 2 4 2" xfId="25171"/>
    <cellStyle name="出力 4 2 4 2 5" xfId="25166"/>
    <cellStyle name="出力 4 2 4 3" xfId="11501"/>
    <cellStyle name="出力 4 2 4 3 2" xfId="20397"/>
    <cellStyle name="出力 4 2 4 3 2 2" xfId="25173"/>
    <cellStyle name="出力 4 2 4 3 3" xfId="25172"/>
    <cellStyle name="出力 4 2 4 4" xfId="8231"/>
    <cellStyle name="出力 4 2 4 4 2" xfId="25174"/>
    <cellStyle name="出力 4 2 5" xfId="8232"/>
    <cellStyle name="出力 4 2 5 2" xfId="11502"/>
    <cellStyle name="出力 4 2 5 2 2" xfId="11503"/>
    <cellStyle name="出力 4 2 5 2 2 2" xfId="19464"/>
    <cellStyle name="出力 4 2 5 2 2 2 2" xfId="25178"/>
    <cellStyle name="出力 4 2 5 2 2 3" xfId="25177"/>
    <cellStyle name="出力 4 2 5 2 3" xfId="11504"/>
    <cellStyle name="出力 4 2 5 2 3 2" xfId="18647"/>
    <cellStyle name="出力 4 2 5 2 3 2 2" xfId="25180"/>
    <cellStyle name="出力 4 2 5 2 3 3" xfId="25179"/>
    <cellStyle name="出力 4 2 5 2 4" xfId="21402"/>
    <cellStyle name="出力 4 2 5 2 4 2" xfId="25181"/>
    <cellStyle name="出力 4 2 5 2 5" xfId="25176"/>
    <cellStyle name="出力 4 2 5 3" xfId="11505"/>
    <cellStyle name="出力 4 2 5 3 2" xfId="18486"/>
    <cellStyle name="出力 4 2 5 3 2 2" xfId="25183"/>
    <cellStyle name="出力 4 2 5 3 3" xfId="25182"/>
    <cellStyle name="出力 4 2 5 4" xfId="25184"/>
    <cellStyle name="出力 4 2 5 5" xfId="25175"/>
    <cellStyle name="出力 4 2 6" xfId="11506"/>
    <cellStyle name="出力 4 2 6 2" xfId="11507"/>
    <cellStyle name="出力 4 2 6 2 2" xfId="20395"/>
    <cellStyle name="出力 4 2 6 2 2 2" xfId="25187"/>
    <cellStyle name="出力 4 2 6 2 3" xfId="25186"/>
    <cellStyle name="出力 4 2 6 3" xfId="11508"/>
    <cellStyle name="出力 4 2 6 3 2" xfId="20394"/>
    <cellStyle name="出力 4 2 6 3 2 2" xfId="25189"/>
    <cellStyle name="出力 4 2 6 3 3" xfId="25188"/>
    <cellStyle name="出力 4 2 6 4" xfId="20396"/>
    <cellStyle name="出力 4 2 6 4 2" xfId="25190"/>
    <cellStyle name="出力 4 2 6 5" xfId="25185"/>
    <cellStyle name="出力 4 2 7" xfId="11509"/>
    <cellStyle name="出力 4 2 7 2" xfId="21401"/>
    <cellStyle name="出力 4 2 7 2 2" xfId="25192"/>
    <cellStyle name="出力 4 2 7 3" xfId="25191"/>
    <cellStyle name="出力 4 2 8" xfId="8228"/>
    <cellStyle name="出力 4 2 8 2" xfId="25193"/>
    <cellStyle name="出力 4 2 9" xfId="56890"/>
    <cellStyle name="出力 4 3" xfId="3753"/>
    <cellStyle name="出力 4 3 2" xfId="3754"/>
    <cellStyle name="出力 4 3 2 2" xfId="3755"/>
    <cellStyle name="出力 4 3 2 2 2" xfId="11511"/>
    <cellStyle name="出力 4 3 2 2 2 2" xfId="18485"/>
    <cellStyle name="出力 4 3 2 2 2 2 2" xfId="25195"/>
    <cellStyle name="出力 4 3 2 2 2 2 3" xfId="56891"/>
    <cellStyle name="出力 4 3 2 2 2 3" xfId="25194"/>
    <cellStyle name="出力 4 3 2 2 2 4" xfId="56892"/>
    <cellStyle name="出力 4 3 2 2 3" xfId="11512"/>
    <cellStyle name="出力 4 3 2 2 3 2" xfId="18484"/>
    <cellStyle name="出力 4 3 2 2 3 2 2" xfId="25197"/>
    <cellStyle name="出力 4 3 2 2 3 3" xfId="25196"/>
    <cellStyle name="出力 4 3 2 2 4" xfId="11510"/>
    <cellStyle name="出力 4 3 2 2 4 2" xfId="25198"/>
    <cellStyle name="出力 4 3 2 2 5" xfId="20393"/>
    <cellStyle name="出力 4 3 2 3" xfId="3756"/>
    <cellStyle name="出力 4 3 2 3 2" xfId="11513"/>
    <cellStyle name="出力 4 3 2 3 2 2" xfId="25199"/>
    <cellStyle name="出力 4 3 2 3 2 2 2" xfId="56893"/>
    <cellStyle name="出力 4 3 2 3 2 2 3" xfId="56894"/>
    <cellStyle name="出力 4 3 2 3 2 3" xfId="56895"/>
    <cellStyle name="出力 4 3 2 3 2 4" xfId="56896"/>
    <cellStyle name="出力 4 3 2 3 3" xfId="20392"/>
    <cellStyle name="出力 4 3 2 3 3 2" xfId="56897"/>
    <cellStyle name="出力 4 3 2 3 3 3" xfId="56898"/>
    <cellStyle name="出力 4 3 2 3 4" xfId="56899"/>
    <cellStyle name="出力 4 3 2 3 5" xfId="56900"/>
    <cellStyle name="出力 4 3 2 4" xfId="8234"/>
    <cellStyle name="出力 4 3 2 4 2" xfId="25200"/>
    <cellStyle name="出力 4 3 2 4 2 2" xfId="56901"/>
    <cellStyle name="出力 4 3 2 4 2 3" xfId="56902"/>
    <cellStyle name="出力 4 3 2 4 3" xfId="56903"/>
    <cellStyle name="出力 4 3 2 4 4" xfId="56904"/>
    <cellStyle name="出力 4 3 2 5" xfId="56905"/>
    <cellStyle name="出力 4 3 2 5 2" xfId="56906"/>
    <cellStyle name="出力 4 3 2 5 3" xfId="56907"/>
    <cellStyle name="出力 4 3 3" xfId="3757"/>
    <cellStyle name="出力 4 3 3 2" xfId="11514"/>
    <cellStyle name="出力 4 3 3 2 2" xfId="11515"/>
    <cellStyle name="出力 4 3 3 2 2 2" xfId="19463"/>
    <cellStyle name="出力 4 3 3 2 2 2 2" xfId="25203"/>
    <cellStyle name="出力 4 3 3 2 2 3" xfId="25202"/>
    <cellStyle name="出力 4 3 3 2 3" xfId="11516"/>
    <cellStyle name="出力 4 3 3 2 3 2" xfId="20391"/>
    <cellStyle name="出力 4 3 3 2 3 2 2" xfId="25205"/>
    <cellStyle name="出力 4 3 3 2 3 3" xfId="25204"/>
    <cellStyle name="出力 4 3 3 2 4" xfId="21400"/>
    <cellStyle name="出力 4 3 3 2 4 2" xfId="25206"/>
    <cellStyle name="出力 4 3 3 2 5" xfId="25201"/>
    <cellStyle name="出力 4 3 3 3" xfId="11517"/>
    <cellStyle name="出力 4 3 3 3 2" xfId="20390"/>
    <cellStyle name="出力 4 3 3 3 2 2" xfId="25208"/>
    <cellStyle name="出力 4 3 3 3 3" xfId="25207"/>
    <cellStyle name="出力 4 3 3 4" xfId="8235"/>
    <cellStyle name="出力 4 3 3 4 2" xfId="25209"/>
    <cellStyle name="出力 4 3 4" xfId="3758"/>
    <cellStyle name="出力 4 3 4 2" xfId="11518"/>
    <cellStyle name="出力 4 3 4 2 2" xfId="11519"/>
    <cellStyle name="出力 4 3 4 2 2 2" xfId="20388"/>
    <cellStyle name="出力 4 3 4 2 2 2 2" xfId="25212"/>
    <cellStyle name="出力 4 3 4 2 2 3" xfId="25211"/>
    <cellStyle name="出力 4 3 4 2 3" xfId="11520"/>
    <cellStyle name="出力 4 3 4 2 3 2" xfId="20387"/>
    <cellStyle name="出力 4 3 4 2 3 2 2" xfId="25214"/>
    <cellStyle name="出力 4 3 4 2 3 3" xfId="25213"/>
    <cellStyle name="出力 4 3 4 2 4" xfId="20389"/>
    <cellStyle name="出力 4 3 4 2 4 2" xfId="25215"/>
    <cellStyle name="出力 4 3 4 2 5" xfId="25210"/>
    <cellStyle name="出力 4 3 4 3" xfId="11521"/>
    <cellStyle name="出力 4 3 4 3 2" xfId="19462"/>
    <cellStyle name="出力 4 3 4 3 2 2" xfId="25217"/>
    <cellStyle name="出力 4 3 4 3 3" xfId="25216"/>
    <cellStyle name="出力 4 3 4 4" xfId="8236"/>
    <cellStyle name="出力 4 3 4 4 2" xfId="25218"/>
    <cellStyle name="出力 4 3 5" xfId="8237"/>
    <cellStyle name="出力 4 3 5 2" xfId="11522"/>
    <cellStyle name="出力 4 3 5 2 2" xfId="11523"/>
    <cellStyle name="出力 4 3 5 2 2 2" xfId="20385"/>
    <cellStyle name="出力 4 3 5 2 2 2 2" xfId="25222"/>
    <cellStyle name="出力 4 3 5 2 2 3" xfId="25221"/>
    <cellStyle name="出力 4 3 5 2 3" xfId="11524"/>
    <cellStyle name="出力 4 3 5 2 3 2" xfId="18483"/>
    <cellStyle name="出力 4 3 5 2 3 2 2" xfId="25224"/>
    <cellStyle name="出力 4 3 5 2 3 3" xfId="25223"/>
    <cellStyle name="出力 4 3 5 2 4" xfId="20386"/>
    <cellStyle name="出力 4 3 5 2 4 2" xfId="25225"/>
    <cellStyle name="出力 4 3 5 2 5" xfId="25220"/>
    <cellStyle name="出力 4 3 5 3" xfId="11525"/>
    <cellStyle name="出力 4 3 5 3 2" xfId="21399"/>
    <cellStyle name="出力 4 3 5 3 2 2" xfId="25227"/>
    <cellStyle name="出力 4 3 5 3 3" xfId="25226"/>
    <cellStyle name="出力 4 3 5 4" xfId="25228"/>
    <cellStyle name="出力 4 3 5 5" xfId="25219"/>
    <cellStyle name="出力 4 3 6" xfId="11526"/>
    <cellStyle name="出力 4 3 6 2" xfId="11527"/>
    <cellStyle name="出力 4 3 6 2 2" xfId="17814"/>
    <cellStyle name="出力 4 3 6 2 2 2" xfId="25231"/>
    <cellStyle name="出力 4 3 6 2 3" xfId="25230"/>
    <cellStyle name="出力 4 3 6 3" xfId="11528"/>
    <cellStyle name="出力 4 3 6 3 2" xfId="20384"/>
    <cellStyle name="出力 4 3 6 3 2 2" xfId="25233"/>
    <cellStyle name="出力 4 3 6 3 3" xfId="25232"/>
    <cellStyle name="出力 4 3 6 4" xfId="21398"/>
    <cellStyle name="出力 4 3 6 4 2" xfId="25234"/>
    <cellStyle name="出力 4 3 6 5" xfId="25229"/>
    <cellStyle name="出力 4 3 7" xfId="11529"/>
    <cellStyle name="出力 4 3 7 2" xfId="20383"/>
    <cellStyle name="出力 4 3 7 2 2" xfId="25236"/>
    <cellStyle name="出力 4 3 7 3" xfId="25235"/>
    <cellStyle name="出力 4 3 8" xfId="8233"/>
    <cellStyle name="出力 4 3 8 2" xfId="25237"/>
    <cellStyle name="出力 4 3 9" xfId="56908"/>
    <cellStyle name="出力 4 4" xfId="3759"/>
    <cellStyle name="出力 4 4 2" xfId="3760"/>
    <cellStyle name="出力 4 4 2 2" xfId="11531"/>
    <cellStyle name="出力 4 4 2 2 2" xfId="20381"/>
    <cellStyle name="出力 4 4 2 2 2 2" xfId="25239"/>
    <cellStyle name="出力 4 4 2 2 2 3" xfId="56909"/>
    <cellStyle name="出力 4 4 2 2 3" xfId="25238"/>
    <cellStyle name="出力 4 4 2 2 4" xfId="56910"/>
    <cellStyle name="出力 4 4 2 3" xfId="11532"/>
    <cellStyle name="出力 4 4 2 3 2" xfId="21397"/>
    <cellStyle name="出力 4 4 2 3 2 2" xfId="25241"/>
    <cellStyle name="出力 4 4 2 3 3" xfId="25240"/>
    <cellStyle name="出力 4 4 2 4" xfId="11530"/>
    <cellStyle name="出力 4 4 2 4 2" xfId="25242"/>
    <cellStyle name="出力 4 4 2 5" xfId="20382"/>
    <cellStyle name="出力 4 4 3" xfId="3761"/>
    <cellStyle name="出力 4 4 3 2" xfId="11533"/>
    <cellStyle name="出力 4 4 3 2 2" xfId="25243"/>
    <cellStyle name="出力 4 4 3 2 2 2" xfId="56911"/>
    <cellStyle name="出力 4 4 3 2 2 3" xfId="56912"/>
    <cellStyle name="出力 4 4 3 2 3" xfId="56913"/>
    <cellStyle name="出力 4 4 3 2 4" xfId="56914"/>
    <cellStyle name="出力 4 4 3 3" xfId="17813"/>
    <cellStyle name="出力 4 4 3 3 2" xfId="56915"/>
    <cellStyle name="出力 4 4 3 3 3" xfId="56916"/>
    <cellStyle name="出力 4 4 3 4" xfId="56917"/>
    <cellStyle name="出力 4 4 3 5" xfId="56918"/>
    <cellStyle name="出力 4 4 4" xfId="8238"/>
    <cellStyle name="出力 4 4 4 2" xfId="25244"/>
    <cellStyle name="出力 4 4 4 2 2" xfId="56919"/>
    <cellStyle name="出力 4 4 4 2 3" xfId="56920"/>
    <cellStyle name="出力 4 4 4 3" xfId="56921"/>
    <cellStyle name="出力 4 4 4 4" xfId="56922"/>
    <cellStyle name="出力 4 4 5" xfId="56923"/>
    <cellStyle name="出力 4 4 5 2" xfId="56924"/>
    <cellStyle name="出力 4 4 5 3" xfId="56925"/>
    <cellStyle name="出力 4 5" xfId="3762"/>
    <cellStyle name="出力 4 5 2" xfId="11534"/>
    <cellStyle name="出力 4 5 2 2" xfId="11535"/>
    <cellStyle name="出力 4 5 2 2 2" xfId="17812"/>
    <cellStyle name="出力 4 5 2 2 2 2" xfId="25247"/>
    <cellStyle name="出力 4 5 2 2 3" xfId="25246"/>
    <cellStyle name="出力 4 5 2 3" xfId="11536"/>
    <cellStyle name="出力 4 5 2 3 2" xfId="18482"/>
    <cellStyle name="出力 4 5 2 3 2 2" xfId="25249"/>
    <cellStyle name="出力 4 5 2 3 3" xfId="25248"/>
    <cellStyle name="出力 4 5 2 4" xfId="19461"/>
    <cellStyle name="出力 4 5 2 4 2" xfId="25250"/>
    <cellStyle name="出力 4 5 2 5" xfId="25245"/>
    <cellStyle name="出力 4 5 3" xfId="11537"/>
    <cellStyle name="出力 4 5 3 2" xfId="20380"/>
    <cellStyle name="出力 4 5 3 2 2" xfId="25252"/>
    <cellStyle name="出力 4 5 3 3" xfId="25251"/>
    <cellStyle name="出力 4 5 4" xfId="8239"/>
    <cellStyle name="出力 4 5 4 2" xfId="25253"/>
    <cellStyle name="出力 4 6" xfId="3763"/>
    <cellStyle name="出力 4 6 2" xfId="11538"/>
    <cellStyle name="出力 4 6 2 2" xfId="11539"/>
    <cellStyle name="出力 4 6 2 2 2" xfId="20378"/>
    <cellStyle name="出力 4 6 2 2 2 2" xfId="25256"/>
    <cellStyle name="出力 4 6 2 2 3" xfId="25255"/>
    <cellStyle name="出力 4 6 2 3" xfId="11540"/>
    <cellStyle name="出力 4 6 2 3 2" xfId="21116"/>
    <cellStyle name="出力 4 6 2 3 2 2" xfId="25258"/>
    <cellStyle name="出力 4 6 2 3 3" xfId="25257"/>
    <cellStyle name="出力 4 6 2 4" xfId="20379"/>
    <cellStyle name="出力 4 6 2 4 2" xfId="25259"/>
    <cellStyle name="出力 4 6 2 5" xfId="25254"/>
    <cellStyle name="出力 4 6 3" xfId="11541"/>
    <cellStyle name="出力 4 6 3 2" xfId="21396"/>
    <cellStyle name="出力 4 6 3 2 2" xfId="25261"/>
    <cellStyle name="出力 4 6 3 3" xfId="25260"/>
    <cellStyle name="出力 4 6 4" xfId="8240"/>
    <cellStyle name="出力 4 6 4 2" xfId="25262"/>
    <cellStyle name="出力 4 7" xfId="8241"/>
    <cellStyle name="出力 4 7 2" xfId="11542"/>
    <cellStyle name="出力 4 7 2 2" xfId="11543"/>
    <cellStyle name="出力 4 7 2 2 2" xfId="18481"/>
    <cellStyle name="出力 4 7 2 2 2 2" xfId="25266"/>
    <cellStyle name="出力 4 7 2 2 3" xfId="25265"/>
    <cellStyle name="出力 4 7 2 3" xfId="11544"/>
    <cellStyle name="出力 4 7 2 3 2" xfId="20376"/>
    <cellStyle name="出力 4 7 2 3 2 2" xfId="25268"/>
    <cellStyle name="出力 4 7 2 3 3" xfId="25267"/>
    <cellStyle name="出力 4 7 2 4" xfId="20377"/>
    <cellStyle name="出力 4 7 2 4 2" xfId="25269"/>
    <cellStyle name="出力 4 7 2 5" xfId="25264"/>
    <cellStyle name="出力 4 7 3" xfId="11545"/>
    <cellStyle name="出力 4 7 3 2" xfId="20375"/>
    <cellStyle name="出力 4 7 3 2 2" xfId="25271"/>
    <cellStyle name="出力 4 7 3 3" xfId="25270"/>
    <cellStyle name="出力 4 7 4" xfId="25272"/>
    <cellStyle name="出力 4 7 5" xfId="25263"/>
    <cellStyle name="出力 4 8" xfId="8242"/>
    <cellStyle name="出力 4 8 2" xfId="11546"/>
    <cellStyle name="出力 4 8 2 2" xfId="11547"/>
    <cellStyle name="出力 4 8 2 2 2" xfId="20374"/>
    <cellStyle name="出力 4 8 2 2 2 2" xfId="25276"/>
    <cellStyle name="出力 4 8 2 2 3" xfId="25275"/>
    <cellStyle name="出力 4 8 2 3" xfId="18742"/>
    <cellStyle name="出力 4 8 2 3 2" xfId="25277"/>
    <cellStyle name="出力 4 8 2 4" xfId="25274"/>
    <cellStyle name="出力 4 8 3" xfId="11548"/>
    <cellStyle name="出力 4 8 3 2" xfId="20373"/>
    <cellStyle name="出力 4 8 3 2 2" xfId="25279"/>
    <cellStyle name="出力 4 8 3 3" xfId="25278"/>
    <cellStyle name="出力 4 8 4" xfId="25280"/>
    <cellStyle name="出力 4 8 5" xfId="25273"/>
    <cellStyle name="出力 4 9" xfId="11549"/>
    <cellStyle name="出力 4 9 2" xfId="11550"/>
    <cellStyle name="出力 4 9 2 2" xfId="18480"/>
    <cellStyle name="出力 4 9 2 2 2" xfId="25283"/>
    <cellStyle name="出力 4 9 2 3" xfId="25282"/>
    <cellStyle name="出力 4 9 3" xfId="11551"/>
    <cellStyle name="出力 4 9 3 2" xfId="18479"/>
    <cellStyle name="出力 4 9 3 2 2" xfId="25285"/>
    <cellStyle name="出力 4 9 3 3" xfId="25284"/>
    <cellStyle name="出力 4 9 4" xfId="17811"/>
    <cellStyle name="出力 4 9 4 2" xfId="25286"/>
    <cellStyle name="出力 4 9 5" xfId="25281"/>
    <cellStyle name="出力 5" xfId="8243"/>
    <cellStyle name="出力 5 2" xfId="11552"/>
    <cellStyle name="出力 5 2 2" xfId="11553"/>
    <cellStyle name="出力 5 2 2 2" xfId="20371"/>
    <cellStyle name="出力 5 2 2 2 2" xfId="25290"/>
    <cellStyle name="出力 5 2 2 3" xfId="25289"/>
    <cellStyle name="出力 5 2 3" xfId="20372"/>
    <cellStyle name="出力 5 2 3 2" xfId="25291"/>
    <cellStyle name="出力 5 2 4" xfId="25288"/>
    <cellStyle name="出力 5 3" xfId="11554"/>
    <cellStyle name="出力 5 3 2" xfId="17810"/>
    <cellStyle name="出力 5 3 2 2" xfId="25293"/>
    <cellStyle name="出力 5 3 3" xfId="25292"/>
    <cellStyle name="出力 5 4" xfId="25294"/>
    <cellStyle name="出力 5 5" xfId="25287"/>
    <cellStyle name="出力 5 6" xfId="60997"/>
    <cellStyle name="出力 6" xfId="11555"/>
    <cellStyle name="出力 6 2" xfId="20370"/>
    <cellStyle name="出力 6 2 2" xfId="25296"/>
    <cellStyle name="出力 6 2 3" xfId="56926"/>
    <cellStyle name="出力 6 3" xfId="25295"/>
    <cellStyle name="出力 6 4" xfId="56927"/>
    <cellStyle name="出力 7" xfId="8193"/>
    <cellStyle name="出力 7 2" xfId="25298"/>
    <cellStyle name="出力 7 3" xfId="25297"/>
    <cellStyle name="出力 8" xfId="25299"/>
    <cellStyle name="出力 8 2" xfId="56928"/>
    <cellStyle name="出力 8 3" xfId="56929"/>
    <cellStyle name="出力 9" xfId="25300"/>
    <cellStyle name="出力 9 2" xfId="56930"/>
    <cellStyle name="出力 9 3" xfId="56931"/>
    <cellStyle name="出力_培训名单通知" xfId="8244"/>
    <cellStyle name="悪い" xfId="3764"/>
    <cellStyle name="悪い 2" xfId="123"/>
    <cellStyle name="悪い 2 10" xfId="3765"/>
    <cellStyle name="悪い 2 2" xfId="3766"/>
    <cellStyle name="悪い 2 2 2" xfId="3767"/>
    <cellStyle name="悪い 2 2 3" xfId="56932"/>
    <cellStyle name="悪い 2 2 4" xfId="56933"/>
    <cellStyle name="悪い 2 2 5" xfId="56934"/>
    <cellStyle name="悪い 2 3" xfId="3768"/>
    <cellStyle name="悪い 2 3 2" xfId="3769"/>
    <cellStyle name="悪い 2 3 3" xfId="56935"/>
    <cellStyle name="悪い 2 3 4" xfId="56936"/>
    <cellStyle name="悪い 2 3 5" xfId="56937"/>
    <cellStyle name="悪い 2 4" xfId="8249"/>
    <cellStyle name="悪い 2 5" xfId="56938"/>
    <cellStyle name="悪い 2 6" xfId="56939"/>
    <cellStyle name="悪い 2 7" xfId="56940"/>
    <cellStyle name="悪い 2 8" xfId="56941"/>
    <cellStyle name="悪い 2 9" xfId="56942"/>
    <cellStyle name="悪い 3" xfId="3770"/>
    <cellStyle name="悪い 3 2" xfId="3771"/>
    <cellStyle name="悪い 3 2 2" xfId="3772"/>
    <cellStyle name="悪い 3 2 3" xfId="56943"/>
    <cellStyle name="悪い 3 2 4" xfId="56944"/>
    <cellStyle name="悪い 3 2 5" xfId="56945"/>
    <cellStyle name="悪い 3 3" xfId="3773"/>
    <cellStyle name="悪い 3 3 2" xfId="3774"/>
    <cellStyle name="悪い 3 3 3" xfId="56946"/>
    <cellStyle name="悪い 3 3 4" xfId="56947"/>
    <cellStyle name="悪い 3 3 5" xfId="56948"/>
    <cellStyle name="悪い 3 4" xfId="3775"/>
    <cellStyle name="悪い 3 4 2" xfId="8253"/>
    <cellStyle name="悪い 3 4 3" xfId="56949"/>
    <cellStyle name="悪い 3 5" xfId="56950"/>
    <cellStyle name="悪い 3 6" xfId="56951"/>
    <cellStyle name="悪い 3 7" xfId="56952"/>
    <cellStyle name="悪い 3 8" xfId="56953"/>
    <cellStyle name="悪い 4" xfId="3776"/>
    <cellStyle name="悪い 4 2" xfId="3777"/>
    <cellStyle name="悪い 4 2 2" xfId="3778"/>
    <cellStyle name="悪い 4 2 3" xfId="56954"/>
    <cellStyle name="悪い 4 2 4" xfId="56955"/>
    <cellStyle name="悪い 4 2 5" xfId="56956"/>
    <cellStyle name="悪い 4 3" xfId="3779"/>
    <cellStyle name="悪い 4 3 2" xfId="3780"/>
    <cellStyle name="悪い 4 3 3" xfId="56957"/>
    <cellStyle name="悪い 4 3 4" xfId="56958"/>
    <cellStyle name="悪い 4 3 5" xfId="56959"/>
    <cellStyle name="悪い 4 4" xfId="3781"/>
    <cellStyle name="悪い 4 5" xfId="56960"/>
    <cellStyle name="悪い 4 6" xfId="56961"/>
    <cellStyle name="悪い 4 7" xfId="56962"/>
    <cellStyle name="悪い 5" xfId="8245"/>
    <cellStyle name="悪い 5 2" xfId="25301"/>
    <cellStyle name="悪い 5 3" xfId="60998"/>
    <cellStyle name="悪い 6" xfId="56963"/>
    <cellStyle name="輔色1" xfId="8257"/>
    <cellStyle name="輔色2" xfId="8258"/>
    <cellStyle name="輔色3" xfId="8259"/>
    <cellStyle name="輔色4" xfId="8260"/>
    <cellStyle name="輔色5" xfId="8261"/>
    <cellStyle name="輔色6" xfId="8262"/>
    <cellStyle name="好 2" xfId="141"/>
    <cellStyle name="好 2 2" xfId="3782"/>
    <cellStyle name="好 2 2 2" xfId="3783"/>
    <cellStyle name="好 2 2 2 2" xfId="8265"/>
    <cellStyle name="好 2 2 2 3" xfId="56964"/>
    <cellStyle name="好 2 2 2 4" xfId="56965"/>
    <cellStyle name="好 2 2 3" xfId="3784"/>
    <cellStyle name="好 2 2 4" xfId="8264"/>
    <cellStyle name="好 2 2 5" xfId="56966"/>
    <cellStyle name="好 2 3" xfId="3785"/>
    <cellStyle name="好 2 3 2" xfId="8266"/>
    <cellStyle name="好 2 3 3" xfId="56967"/>
    <cellStyle name="好 2 4" xfId="56968"/>
    <cellStyle name="好 2 5" xfId="56969"/>
    <cellStyle name="好 2 6" xfId="56970"/>
    <cellStyle name="好 2 7" xfId="56971"/>
    <cellStyle name="好 2 8" xfId="754"/>
    <cellStyle name="好 2 9" xfId="60999"/>
    <cellStyle name="好 3" xfId="3786"/>
    <cellStyle name="好 3 2" xfId="3787"/>
    <cellStyle name="好 3 2 2" xfId="25302"/>
    <cellStyle name="好 3 3" xfId="8269"/>
    <cellStyle name="好 3 4" xfId="56972"/>
    <cellStyle name="好 4" xfId="8270"/>
    <cellStyle name="好 4 2" xfId="8271"/>
    <cellStyle name="好 5" xfId="56973"/>
    <cellStyle name="好 6" xfId="56974"/>
    <cellStyle name="好_●Guangzhou)加装开水器" xfId="56975"/>
    <cellStyle name="好_●Guangzhou)加装开水器 2" xfId="56976"/>
    <cellStyle name="好_●Guangzhou)加装开水器 3" xfId="56977"/>
    <cellStyle name="好_●Guangzhou)加装开水器 4" xfId="56978"/>
    <cellStyle name="好_●Guangzhou)加装开水器 5" xfId="56979"/>
    <cellStyle name="好_0" xfId="47"/>
    <cellStyle name="好_0910POSDATA" xfId="142"/>
    <cellStyle name="好_0910POSDATA 2" xfId="3788"/>
    <cellStyle name="好_0910POSDATA 2 2" xfId="3789"/>
    <cellStyle name="好_0910POSDATA 2 3" xfId="56980"/>
    <cellStyle name="好_0910POSDATA 2 4" xfId="56981"/>
    <cellStyle name="好_0910POSDATA 3" xfId="3790"/>
    <cellStyle name="好_0910POSDATA 3 2" xfId="3791"/>
    <cellStyle name="好_0910POSDATA 3 3" xfId="56982"/>
    <cellStyle name="好_0910POSDATA 3 4" xfId="56983"/>
    <cellStyle name="好_0910POSDATA 4" xfId="56984"/>
    <cellStyle name="好_0910POSDATA 5" xfId="56985"/>
    <cellStyle name="好_0910POSDATA 6" xfId="56986"/>
    <cellStyle name="好_0910POSDATA 7" xfId="61000"/>
    <cellStyle name="好_0910POSDATA_Sheet1" xfId="3792"/>
    <cellStyle name="好_0910POSDATA_Sheet1 2" xfId="3793"/>
    <cellStyle name="好_0910POSDATA_Sheet1 3" xfId="56987"/>
    <cellStyle name="好_0910POSDATA_Sheet1 4" xfId="56988"/>
    <cellStyle name="好_0910POSDATA_儊僯儏乕娤嶡(2-1)" xfId="3794"/>
    <cellStyle name="好_0910POSDATA_儊僯儏乕娤嶡(2-1) 2" xfId="3795"/>
    <cellStyle name="好_0910POSDATA_儊僯儏乕娤嶡(2-1) 3" xfId="56989"/>
    <cellStyle name="好_0910POSDATA_儊僯儏乕娤嶡(2-1) 4" xfId="56990"/>
    <cellStyle name="好_0910POSDATA_儊僯儏乕娤嶡(2-1)." xfId="3796"/>
    <cellStyle name="好_0910POSDATA_儊僯儏乕娤嶡(2-1). 2" xfId="3797"/>
    <cellStyle name="好_0910POSDATA_儊僯儏乕娤嶡(2-1). 3" xfId="56991"/>
    <cellStyle name="好_0910POSDATA_儊僯儏乕娤嶡(2-1). 4" xfId="56992"/>
    <cellStyle name="好_0910POSDATA_儊僯儏乕娤嶡(2-1)._副本新メニュー観察(上海) 201204 花島添削 (5)" xfId="3798"/>
    <cellStyle name="好_0910POSDATA_儊僯儏乕娤嶡(2-1)._副本新メニュー観察(上海) 201204 花島添削 (5) 2" xfId="3799"/>
    <cellStyle name="好_0910POSDATA_儊僯儏乕娤嶡(2-1)._副本新メニュー観察(上海) 201204 花島添削 (5) 3" xfId="56993"/>
    <cellStyle name="好_0910POSDATA_儊僯儏乕娤嶡(2-1)._副本新メニュー観察(上海) 201204 花島添削 (5) 4" xfId="56994"/>
    <cellStyle name="好_0910POSDATA_儊僯儏乕娤嶡(2-1)._新メニュー観察(上海) 201204 花島添削 (2) (5)" xfId="3800"/>
    <cellStyle name="好_0910POSDATA_儊僯儏乕娤嶡(2-1)._新メニュー観察(上海) 201204 花島添削 (2) (5) 2" xfId="3801"/>
    <cellStyle name="好_0910POSDATA_儊僯儏乕娤嶡(2-1)._新メニュー観察(上海) 201204 花島添削 (2) (5) 3" xfId="56995"/>
    <cellStyle name="好_0910POSDATA_儊僯儏乕娤嶡(2-1)._新メニュー観察(上海) 201204 花島添削 (2) (5) 4" xfId="56996"/>
    <cellStyle name="好_0910POSDATA_儊僯儏乕娤嶡(2-1)_副本新メニュー観察(上海) 201204 花島添削 (5)" xfId="3802"/>
    <cellStyle name="好_0910POSDATA_儊僯儏乕娤嶡(2-1)_副本新メニュー観察(上海) 201204 花島添削 (5) 2" xfId="3803"/>
    <cellStyle name="好_0910POSDATA_儊僯儏乕娤嶡(2-1)_副本新メニュー観察(上海) 201204 花島添削 (5) 3" xfId="56997"/>
    <cellStyle name="好_0910POSDATA_儊僯儏乕娤嶡(2-1)_副本新メニュー観察(上海) 201204 花島添削 (5) 4" xfId="56998"/>
    <cellStyle name="好_0910POSDATA_儊僯儏乕娤嶡(2-1)_新メニュー観察(上海) 201204 花島添削 (2) (5)" xfId="3804"/>
    <cellStyle name="好_0910POSDATA_儊僯儏乕娤嶡(2-1)_新メニュー観察(上海) 201204 花島添削 (2) (5) 2" xfId="3805"/>
    <cellStyle name="好_0910POSDATA_儊僯儏乕娤嶡(2-1)_新メニュー観察(上海) 201204 花島添削 (2) (5) 3" xfId="56999"/>
    <cellStyle name="好_0910POSDATA_儊僯儏乕娤嶡(2-1)_新メニュー観察(上海) 201204 花島添削 (2) (5) 4" xfId="57000"/>
    <cellStyle name="好_0910POSDATA_儊僯儏乕娤嶡(2-2乯" xfId="3806"/>
    <cellStyle name="好_0910POSDATA_儊僯儏乕娤嶡(2-2乯 2" xfId="3807"/>
    <cellStyle name="好_0910POSDATA_儊僯儏乕娤嶡(2-2乯 3" xfId="57001"/>
    <cellStyle name="好_0910POSDATA_儊僯儏乕娤嶡(2-2乯 4" xfId="57002"/>
    <cellStyle name="好_0910POSDATA_物流" xfId="3808"/>
    <cellStyle name="好_0910POSDATA_物流 2" xfId="3809"/>
    <cellStyle name="好_0910POSDATA_物流 2 2" xfId="3810"/>
    <cellStyle name="好_0910POSDATA_物流 2 3" xfId="57003"/>
    <cellStyle name="好_0910POSDATA_物流 2 4" xfId="57004"/>
    <cellStyle name="好_0910POSDATA_物流 3" xfId="3811"/>
    <cellStyle name="好_0910POSDATA_物流 3 2" xfId="3812"/>
    <cellStyle name="好_0910POSDATA_物流 3 3" xfId="57005"/>
    <cellStyle name="好_0910POSDATA_物流 3 4" xfId="57006"/>
    <cellStyle name="好_0910POSDATA_物流 4" xfId="3813"/>
    <cellStyle name="好_0910POSDATA_物流 5" xfId="57007"/>
    <cellStyle name="好_0910POSDATA_物流 6" xfId="57008"/>
    <cellStyle name="好_0910POSDATA_物流_開発商品(chen)" xfId="3814"/>
    <cellStyle name="好_0910POSDATA_物流_開発商品(chen) 2" xfId="3815"/>
    <cellStyle name="好_0910POSDATA_物流_開発商品(chen) 2 2" xfId="3816"/>
    <cellStyle name="好_0910POSDATA_物流_開発商品(chen) 2 3" xfId="57009"/>
    <cellStyle name="好_0910POSDATA_物流_開発商品(chen) 2 4" xfId="57010"/>
    <cellStyle name="好_0910POSDATA_物流_開発商品(chen) 3" xfId="3817"/>
    <cellStyle name="好_0910POSDATA_物流_開発商品(chen) 3 2" xfId="3818"/>
    <cellStyle name="好_0910POSDATA_物流_開発商品(chen) 3 3" xfId="57011"/>
    <cellStyle name="好_0910POSDATA_物流_開発商品(chen) 3 4" xfId="57012"/>
    <cellStyle name="好_0910POSDATA_物流_開発商品(chen) 4" xfId="3819"/>
    <cellStyle name="好_0910POSDATA_物流_開発商品(chen) 5" xfId="57013"/>
    <cellStyle name="好_0910POSDATA_物流_開発商品(chen) 6" xfId="57014"/>
    <cellStyle name="好_0910POSDATA_物流_開発商品(chen)_40期事業計画（商品部）  (3)" xfId="3820"/>
    <cellStyle name="好_0910POSDATA_物流_開発商品(chen)_40期事業計画（商品部）  (3) 2" xfId="3821"/>
    <cellStyle name="好_0910POSDATA_物流_開発商品(chen)_40期事業計画（商品部）  (3) 3" xfId="57015"/>
    <cellStyle name="好_0910POSDATA_物流_開発商品(chen)_40期事業計画（商品部）  (3) 4" xfId="57016"/>
    <cellStyle name="好_0910POSDATA_物流_開発商品(chen)_40期事業計画（商品部1）" xfId="3822"/>
    <cellStyle name="好_0910POSDATA_物流_開発商品(chen)_40期事業計画（商品部1） 2" xfId="3823"/>
    <cellStyle name="好_0910POSDATA_物流_開発商品(chen)_40期事業計画（商品部1） 2 2" xfId="3824"/>
    <cellStyle name="好_0910POSDATA_物流_開発商品(chen)_40期事業計画（商品部1） 2 3" xfId="57017"/>
    <cellStyle name="好_0910POSDATA_物流_開発商品(chen)_40期事業計画（商品部1） 2 4" xfId="57018"/>
    <cellStyle name="好_0910POSDATA_物流_開発商品(chen)_40期事業計画（商品部1） 3" xfId="3825"/>
    <cellStyle name="好_0910POSDATA_物流_開発商品(chen)_40期事業計画（商品部1） 3 2" xfId="3826"/>
    <cellStyle name="好_0910POSDATA_物流_開発商品(chen)_40期事業計画（商品部1） 3 3" xfId="57019"/>
    <cellStyle name="好_0910POSDATA_物流_開発商品(chen)_40期事業計画（商品部1） 3 4" xfId="57020"/>
    <cellStyle name="好_0910POSDATA_物流_開発商品(chen)_40期事業計画（商品部1） 4" xfId="3827"/>
    <cellStyle name="好_0910POSDATA_物流_開発商品(chen)_40期事業計画（商品部1） 5" xfId="57021"/>
    <cellStyle name="好_0910POSDATA_物流_開発商品(chen)_40期事業計画（商品部1） 6" xfId="57022"/>
    <cellStyle name="好_0910POSDATA_物流_開発商品(chen)_40期預実（商品部） (3)" xfId="3828"/>
    <cellStyle name="好_0910POSDATA_物流_開発商品(chen)_40期預実（商品部） (3) 2" xfId="3829"/>
    <cellStyle name="好_0910POSDATA_物流_開発商品(chen)_40期預実（商品部） (3) 2 2" xfId="3830"/>
    <cellStyle name="好_0910POSDATA_物流_開発商品(chen)_40期預実（商品部） (3) 2 3" xfId="57023"/>
    <cellStyle name="好_0910POSDATA_物流_開発商品(chen)_40期預実（商品部） (3) 2 4" xfId="57024"/>
    <cellStyle name="好_0910POSDATA_物流_開発商品(chen)_40期預実（商品部） (3) 3" xfId="3831"/>
    <cellStyle name="好_0910POSDATA_物流_開発商品(chen)_40期預実（商品部） (3) 3 2" xfId="3832"/>
    <cellStyle name="好_0910POSDATA_物流_開発商品(chen)_40期預実（商品部） (3) 3 3" xfId="57025"/>
    <cellStyle name="好_0910POSDATA_物流_開発商品(chen)_40期預実（商品部） (3) 3 4" xfId="57026"/>
    <cellStyle name="好_0910POSDATA_物流_開発商品(chen)_40期預実（商品部） (3) 4" xfId="3833"/>
    <cellStyle name="好_0910POSDATA_物流_開発商品(chen)_40期預実（商品部） (3) 5" xfId="57027"/>
    <cellStyle name="好_0910POSDATA_物流_開発商品(chen)_40期預実（商品部） (3) 6" xfId="57028"/>
    <cellStyle name="好_0910POSDATA_物流_開発商品(chen)_41期事業計画(商品部)" xfId="3834"/>
    <cellStyle name="好_0910POSDATA_物流_開発商品(chen)_41期事業計画(商品部) 2" xfId="3835"/>
    <cellStyle name="好_0910POSDATA_物流_開発商品(chen)_41期事業計画(商品部) 2 2" xfId="3836"/>
    <cellStyle name="好_0910POSDATA_物流_開発商品(chen)_41期事業計画(商品部) 2 3" xfId="57029"/>
    <cellStyle name="好_0910POSDATA_物流_開発商品(chen)_41期事業計画(商品部) 2 4" xfId="57030"/>
    <cellStyle name="好_0910POSDATA_物流_開発商品(chen)_41期事業計画(商品部) 3" xfId="3837"/>
    <cellStyle name="好_0910POSDATA_物流_開発商品(chen)_41期事業計画(商品部) 3 2" xfId="3838"/>
    <cellStyle name="好_0910POSDATA_物流_開発商品(chen)_41期事業計画(商品部) 3 3" xfId="57031"/>
    <cellStyle name="好_0910POSDATA_物流_開発商品(chen)_41期事業計画(商品部) 3 4" xfId="57032"/>
    <cellStyle name="好_0910POSDATA_物流_開発商品(chen)_41期事業計画(商品部) 4" xfId="3839"/>
    <cellStyle name="好_0910POSDATA_物流_開発商品(chen)_41期事業計画(商品部) 5" xfId="57033"/>
    <cellStyle name="好_0910POSDATA_物流_開発商品(chen)_41期事業計画(商品部) 6" xfId="57034"/>
    <cellStyle name="好_0910POSDATA_物流_開発商品(chen)_CPI" xfId="3840"/>
    <cellStyle name="好_0910POSDATA_物流_開発商品(chen)_CPI 2" xfId="3841"/>
    <cellStyle name="好_0910POSDATA_物流_開発商品(chen)_CPI 2 2" xfId="3842"/>
    <cellStyle name="好_0910POSDATA_物流_開発商品(chen)_CPI 2 3" xfId="57035"/>
    <cellStyle name="好_0910POSDATA_物流_開発商品(chen)_CPI 2 4" xfId="57036"/>
    <cellStyle name="好_0910POSDATA_物流_開発商品(chen)_CPI 3" xfId="3843"/>
    <cellStyle name="好_0910POSDATA_物流_開発商品(chen)_CPI 3 2" xfId="3844"/>
    <cellStyle name="好_0910POSDATA_物流_開発商品(chen)_CPI 3 3" xfId="57037"/>
    <cellStyle name="好_0910POSDATA_物流_開発商品(chen)_CPI 3 4" xfId="57038"/>
    <cellStyle name="好_0910POSDATA_物流_開発商品(chen)_CPI 4" xfId="3845"/>
    <cellStyle name="好_0910POSDATA_物流_開発商品(chen)_CPI 5" xfId="57039"/>
    <cellStyle name="好_0910POSDATA_物流_開発商品(chen)_CPI 6" xfId="57040"/>
    <cellStyle name="好_0910POSDATA_物流_開発商品(chen)_CPI(1)" xfId="3846"/>
    <cellStyle name="好_0910POSDATA_物流_開発商品(chen)_CPI(1) 2" xfId="3847"/>
    <cellStyle name="好_0910POSDATA_物流_開発商品(chen)_CPI(1) 3" xfId="57041"/>
    <cellStyle name="好_0910POSDATA_物流_開発商品(chen)_CPI(1) 4" xfId="57042"/>
    <cellStyle name="好_0910POSDATA_物流_開発商品(chen)_副本40期預実（商品部） (3)" xfId="3848"/>
    <cellStyle name="好_0910POSDATA_物流_開発商品(chen)_副本40期預実（商品部） (3) 2" xfId="3849"/>
    <cellStyle name="好_0910POSDATA_物流_開発商品(chen)_副本40期預実（商品部） (3) 2 2" xfId="3850"/>
    <cellStyle name="好_0910POSDATA_物流_開発商品(chen)_副本40期預実（商品部） (3) 2 3" xfId="57043"/>
    <cellStyle name="好_0910POSDATA_物流_開発商品(chen)_副本40期預実（商品部） (3) 2 4" xfId="57044"/>
    <cellStyle name="好_0910POSDATA_物流_開発商品(chen)_副本40期預実（商品部） (3) 3" xfId="3851"/>
    <cellStyle name="好_0910POSDATA_物流_開発商品(chen)_副本40期預実（商品部） (3) 3 2" xfId="3852"/>
    <cellStyle name="好_0910POSDATA_物流_開発商品(chen)_副本40期預実（商品部） (3) 3 3" xfId="57045"/>
    <cellStyle name="好_0910POSDATA_物流_開発商品(chen)_副本40期預実（商品部） (3) 3 4" xfId="57046"/>
    <cellStyle name="好_0910POSDATA_物流_開発商品(chen)_副本40期預実（商品部） (3) 4" xfId="3853"/>
    <cellStyle name="好_0910POSDATA_物流_開発商品(chen)_副本40期預実（商品部） (3) 5" xfId="57047"/>
    <cellStyle name="好_0910POSDATA_物流_開発商品(chen)_副本40期預実（商品部） (3) 6" xfId="57048"/>
    <cellStyle name="好_0910POSDATA_物流_開発商品(chen)_副本41期事業計画商品部（備品） (2) (2)" xfId="3854"/>
    <cellStyle name="好_0910POSDATA_物流_開発商品(chen)_副本41期事業計画商品部（備品） (2) (2) 2" xfId="3855"/>
    <cellStyle name="好_0910POSDATA_物流_開発商品(chen)_副本41期事業計画商品部（備品） (2) (2) 2 2" xfId="3856"/>
    <cellStyle name="好_0910POSDATA_物流_開発商品(chen)_副本41期事業計画商品部（備品） (2) (2) 2 3" xfId="57049"/>
    <cellStyle name="好_0910POSDATA_物流_開発商品(chen)_副本41期事業計画商品部（備品） (2) (2) 2 4" xfId="57050"/>
    <cellStyle name="好_0910POSDATA_物流_開発商品(chen)_副本41期事業計画商品部（備品） (2) (2) 3" xfId="3857"/>
    <cellStyle name="好_0910POSDATA_物流_開発商品(chen)_副本41期事業計画商品部（備品） (2) (2) 3 2" xfId="3858"/>
    <cellStyle name="好_0910POSDATA_物流_開発商品(chen)_副本41期事業計画商品部（備品） (2) (2) 3 3" xfId="57051"/>
    <cellStyle name="好_0910POSDATA_物流_開発商品(chen)_副本41期事業計画商品部（備品） (2) (2) 3 4" xfId="57052"/>
    <cellStyle name="好_0910POSDATA_物流_開発商品(chen)_副本41期事業計画商品部（備品） (2) (2) 4" xfId="3859"/>
    <cellStyle name="好_0910POSDATA_物流_開発商品(chen)_副本41期事業計画商品部（備品） (2) (2) 5" xfId="57053"/>
    <cellStyle name="好_0910POSDATA_物流_開発商品(chen)_副本41期事業計画商品部（備品） (2) (2) 6" xfId="57054"/>
    <cellStyle name="好_0910POSDATA_新メニュー実績" xfId="3860"/>
    <cellStyle name="好_0910POSDATA_新メニュー実績 2" xfId="3861"/>
    <cellStyle name="好_0910POSDATA_新メニュー実績 3" xfId="57055"/>
    <cellStyle name="好_0910POSDATA_新メニュー実績 4" xfId="57056"/>
    <cellStyle name="好_0910POSDATA_原価率201003" xfId="143"/>
    <cellStyle name="好_0910POSDATA_原価率201003 2" xfId="3862"/>
    <cellStyle name="好_0910POSDATA_原価率201003 2 2" xfId="3863"/>
    <cellStyle name="好_0910POSDATA_原価率201003 2 3" xfId="57057"/>
    <cellStyle name="好_0910POSDATA_原価率201003 2 4" xfId="57058"/>
    <cellStyle name="好_0910POSDATA_原価率201003 3" xfId="3864"/>
    <cellStyle name="好_0910POSDATA_原価率201003 3 2" xfId="3865"/>
    <cellStyle name="好_0910POSDATA_原価率201003 3 3" xfId="57059"/>
    <cellStyle name="好_0910POSDATA_原価率201003 3 4" xfId="57060"/>
    <cellStyle name="好_0910POSDATA_原価率201003 4" xfId="57061"/>
    <cellStyle name="好_0910POSDATA_原価率201003 5" xfId="57062"/>
    <cellStyle name="好_0910POSDATA_原価率201003 6" xfId="57063"/>
    <cellStyle name="好_0910POSDATA_原価率201003 7" xfId="61001"/>
    <cellStyle name="好_0910POSDATA_原価率201003_Sheet1" xfId="3866"/>
    <cellStyle name="好_0910POSDATA_原価率201003_Sheet1 2" xfId="3867"/>
    <cellStyle name="好_0910POSDATA_原価率201003_Sheet1 3" xfId="57064"/>
    <cellStyle name="好_0910POSDATA_原価率201003_Sheet1 4" xfId="57065"/>
    <cellStyle name="好_0910POSDATA_原価率201003_儊僯儏乕娤嶡(2-1)" xfId="3868"/>
    <cellStyle name="好_0910POSDATA_原価率201003_儊僯儏乕娤嶡(2-1) 2" xfId="3869"/>
    <cellStyle name="好_0910POSDATA_原価率201003_儊僯儏乕娤嶡(2-1) 3" xfId="57066"/>
    <cellStyle name="好_0910POSDATA_原価率201003_儊僯儏乕娤嶡(2-1) 4" xfId="57067"/>
    <cellStyle name="好_0910POSDATA_原価率201003_儊僯儏乕娤嶡(2-1)." xfId="3870"/>
    <cellStyle name="好_0910POSDATA_原価率201003_儊僯儏乕娤嶡(2-1). 2" xfId="3871"/>
    <cellStyle name="好_0910POSDATA_原価率201003_儊僯儏乕娤嶡(2-1). 3" xfId="57068"/>
    <cellStyle name="好_0910POSDATA_原価率201003_儊僯儏乕娤嶡(2-1). 4" xfId="57069"/>
    <cellStyle name="好_0910POSDATA_原価率201003_儊僯儏乕娤嶡(2-1)._副本新メニュー観察(上海) 201204 花島添削 (5)" xfId="3872"/>
    <cellStyle name="好_0910POSDATA_原価率201003_儊僯儏乕娤嶡(2-1)._副本新メニュー観察(上海) 201204 花島添削 (5) 2" xfId="3873"/>
    <cellStyle name="好_0910POSDATA_原価率201003_儊僯儏乕娤嶡(2-1)._副本新メニュー観察(上海) 201204 花島添削 (5) 3" xfId="57070"/>
    <cellStyle name="好_0910POSDATA_原価率201003_儊僯儏乕娤嶡(2-1)._副本新メニュー観察(上海) 201204 花島添削 (5) 4" xfId="57071"/>
    <cellStyle name="好_0910POSDATA_原価率201003_儊僯儏乕娤嶡(2-1)._新メニュー観察(上海) 201204 花島添削 (2) (5)" xfId="3874"/>
    <cellStyle name="好_0910POSDATA_原価率201003_儊僯儏乕娤嶡(2-1)._新メニュー観察(上海) 201204 花島添削 (2) (5) 2" xfId="3875"/>
    <cellStyle name="好_0910POSDATA_原価率201003_儊僯儏乕娤嶡(2-1)._新メニュー観察(上海) 201204 花島添削 (2) (5) 3" xfId="57072"/>
    <cellStyle name="好_0910POSDATA_原価率201003_儊僯儏乕娤嶡(2-1)._新メニュー観察(上海) 201204 花島添削 (2) (5) 4" xfId="57073"/>
    <cellStyle name="好_0910POSDATA_原価率201003_儊僯儏乕娤嶡(2-1)_副本新メニュー観察(上海) 201204 花島添削 (5)" xfId="3876"/>
    <cellStyle name="好_0910POSDATA_原価率201003_儊僯儏乕娤嶡(2-1)_副本新メニュー観察(上海) 201204 花島添削 (5) 2" xfId="3877"/>
    <cellStyle name="好_0910POSDATA_原価率201003_儊僯儏乕娤嶡(2-1)_副本新メニュー観察(上海) 201204 花島添削 (5) 3" xfId="57074"/>
    <cellStyle name="好_0910POSDATA_原価率201003_儊僯儏乕娤嶡(2-1)_副本新メニュー観察(上海) 201204 花島添削 (5) 4" xfId="57075"/>
    <cellStyle name="好_0910POSDATA_原価率201003_儊僯儏乕娤嶡(2-1)_新メニュー観察(上海) 201204 花島添削 (2) (5)" xfId="3878"/>
    <cellStyle name="好_0910POSDATA_原価率201003_儊僯儏乕娤嶡(2-1)_新メニュー観察(上海) 201204 花島添削 (2) (5) 2" xfId="3879"/>
    <cellStyle name="好_0910POSDATA_原価率201003_儊僯儏乕娤嶡(2-1)_新メニュー観察(上海) 201204 花島添削 (2) (5) 3" xfId="57076"/>
    <cellStyle name="好_0910POSDATA_原価率201003_儊僯儏乕娤嶡(2-1)_新メニュー観察(上海) 201204 花島添削 (2) (5) 4" xfId="57077"/>
    <cellStyle name="好_0910POSDATA_原価率201003_儊僯儏乕娤嶡(2-2乯" xfId="3880"/>
    <cellStyle name="好_0910POSDATA_原価率201003_儊僯儏乕娤嶡(2-2乯 2" xfId="3881"/>
    <cellStyle name="好_0910POSDATA_原価率201003_儊僯儏乕娤嶡(2-2乯 3" xfId="57078"/>
    <cellStyle name="好_0910POSDATA_原価率201003_儊僯儏乕娤嶡(2-2乯 4" xfId="57079"/>
    <cellStyle name="好_0910POSDATA_原価率201003_物流" xfId="3882"/>
    <cellStyle name="好_0910POSDATA_原価率201003_物流 2" xfId="3883"/>
    <cellStyle name="好_0910POSDATA_原価率201003_物流 2 2" xfId="3884"/>
    <cellStyle name="好_0910POSDATA_原価率201003_物流 2 3" xfId="57080"/>
    <cellStyle name="好_0910POSDATA_原価率201003_物流 2 4" xfId="57081"/>
    <cellStyle name="好_0910POSDATA_原価率201003_物流 3" xfId="3885"/>
    <cellStyle name="好_0910POSDATA_原価率201003_物流 3 2" xfId="3886"/>
    <cellStyle name="好_0910POSDATA_原価率201003_物流 3 3" xfId="57082"/>
    <cellStyle name="好_0910POSDATA_原価率201003_物流 3 4" xfId="57083"/>
    <cellStyle name="好_0910POSDATA_原価率201003_物流 4" xfId="3887"/>
    <cellStyle name="好_0910POSDATA_原価率201003_物流 5" xfId="57084"/>
    <cellStyle name="好_0910POSDATA_原価率201003_物流 6" xfId="57085"/>
    <cellStyle name="好_0910POSDATA_原価率201003_物流_開発商品(chen)" xfId="3888"/>
    <cellStyle name="好_0910POSDATA_原価率201003_物流_開発商品(chen) 2" xfId="3889"/>
    <cellStyle name="好_0910POSDATA_原価率201003_物流_開発商品(chen) 2 2" xfId="3890"/>
    <cellStyle name="好_0910POSDATA_原価率201003_物流_開発商品(chen) 2 3" xfId="57086"/>
    <cellStyle name="好_0910POSDATA_原価率201003_物流_開発商品(chen) 2 4" xfId="57087"/>
    <cellStyle name="好_0910POSDATA_原価率201003_物流_開発商品(chen) 3" xfId="3891"/>
    <cellStyle name="好_0910POSDATA_原価率201003_物流_開発商品(chen) 3 2" xfId="3892"/>
    <cellStyle name="好_0910POSDATA_原価率201003_物流_開発商品(chen) 3 3" xfId="57088"/>
    <cellStyle name="好_0910POSDATA_原価率201003_物流_開発商品(chen) 3 4" xfId="57089"/>
    <cellStyle name="好_0910POSDATA_原価率201003_物流_開発商品(chen) 4" xfId="3893"/>
    <cellStyle name="好_0910POSDATA_原価率201003_物流_開発商品(chen) 5" xfId="57090"/>
    <cellStyle name="好_0910POSDATA_原価率201003_物流_開発商品(chen) 6" xfId="57091"/>
    <cellStyle name="好_0910POSDATA_原価率201003_物流_開発商品(chen)_40期事業計画（商品部）  (3)" xfId="3894"/>
    <cellStyle name="好_0910POSDATA_原価率201003_物流_開発商品(chen)_40期事業計画（商品部）  (3) 2" xfId="3895"/>
    <cellStyle name="好_0910POSDATA_原価率201003_物流_開発商品(chen)_40期事業計画（商品部）  (3) 3" xfId="57092"/>
    <cellStyle name="好_0910POSDATA_原価率201003_物流_開発商品(chen)_40期事業計画（商品部）  (3) 4" xfId="57093"/>
    <cellStyle name="好_0910POSDATA_原価率201003_物流_開発商品(chen)_40期事業計画（商品部1）" xfId="3896"/>
    <cellStyle name="好_0910POSDATA_原価率201003_物流_開発商品(chen)_40期事業計画（商品部1） 2" xfId="3897"/>
    <cellStyle name="好_0910POSDATA_原価率201003_物流_開発商品(chen)_40期事業計画（商品部1） 2 2" xfId="3898"/>
    <cellStyle name="好_0910POSDATA_原価率201003_物流_開発商品(chen)_40期事業計画（商品部1） 2 3" xfId="57094"/>
    <cellStyle name="好_0910POSDATA_原価率201003_物流_開発商品(chen)_40期事業計画（商品部1） 2 4" xfId="57095"/>
    <cellStyle name="好_0910POSDATA_原価率201003_物流_開発商品(chen)_40期事業計画（商品部1） 3" xfId="3899"/>
    <cellStyle name="好_0910POSDATA_原価率201003_物流_開発商品(chen)_40期事業計画（商品部1） 3 2" xfId="3900"/>
    <cellStyle name="好_0910POSDATA_原価率201003_物流_開発商品(chen)_40期事業計画（商品部1） 3 3" xfId="57096"/>
    <cellStyle name="好_0910POSDATA_原価率201003_物流_開発商品(chen)_40期事業計画（商品部1） 3 4" xfId="57097"/>
    <cellStyle name="好_0910POSDATA_原価率201003_物流_開発商品(chen)_40期事業計画（商品部1） 4" xfId="3901"/>
    <cellStyle name="好_0910POSDATA_原価率201003_物流_開発商品(chen)_40期事業計画（商品部1） 5" xfId="57098"/>
    <cellStyle name="好_0910POSDATA_原価率201003_物流_開発商品(chen)_40期事業計画（商品部1） 6" xfId="57099"/>
    <cellStyle name="好_0910POSDATA_原価率201003_物流_開発商品(chen)_40期預実（商品部） (3)" xfId="3902"/>
    <cellStyle name="好_0910POSDATA_原価率201003_物流_開発商品(chen)_40期預実（商品部） (3) 2" xfId="3903"/>
    <cellStyle name="好_0910POSDATA_原価率201003_物流_開発商品(chen)_40期預実（商品部） (3) 2 2" xfId="3904"/>
    <cellStyle name="好_0910POSDATA_原価率201003_物流_開発商品(chen)_40期預実（商品部） (3) 2 3" xfId="57100"/>
    <cellStyle name="好_0910POSDATA_原価率201003_物流_開発商品(chen)_40期預実（商品部） (3) 2 4" xfId="57101"/>
    <cellStyle name="好_0910POSDATA_原価率201003_物流_開発商品(chen)_40期預実（商品部） (3) 3" xfId="3905"/>
    <cellStyle name="好_0910POSDATA_原価率201003_物流_開発商品(chen)_40期預実（商品部） (3) 3 2" xfId="3906"/>
    <cellStyle name="好_0910POSDATA_原価率201003_物流_開発商品(chen)_40期預実（商品部） (3) 3 3" xfId="57102"/>
    <cellStyle name="好_0910POSDATA_原価率201003_物流_開発商品(chen)_40期預実（商品部） (3) 3 4" xfId="57103"/>
    <cellStyle name="好_0910POSDATA_原価率201003_物流_開発商品(chen)_40期預実（商品部） (3) 4" xfId="3907"/>
    <cellStyle name="好_0910POSDATA_原価率201003_物流_開発商品(chen)_40期預実（商品部） (3) 5" xfId="57104"/>
    <cellStyle name="好_0910POSDATA_原価率201003_物流_開発商品(chen)_40期預実（商品部） (3) 6" xfId="57105"/>
    <cellStyle name="好_0910POSDATA_原価率201003_物流_開発商品(chen)_41期事業計画(商品部)" xfId="3908"/>
    <cellStyle name="好_0910POSDATA_原価率201003_物流_開発商品(chen)_41期事業計画(商品部) 2" xfId="3909"/>
    <cellStyle name="好_0910POSDATA_原価率201003_物流_開発商品(chen)_41期事業計画(商品部) 2 2" xfId="3910"/>
    <cellStyle name="好_0910POSDATA_原価率201003_物流_開発商品(chen)_41期事業計画(商品部) 2 3" xfId="57106"/>
    <cellStyle name="好_0910POSDATA_原価率201003_物流_開発商品(chen)_41期事業計画(商品部) 2 4" xfId="57107"/>
    <cellStyle name="好_0910POSDATA_原価率201003_物流_開発商品(chen)_41期事業計画(商品部) 3" xfId="3911"/>
    <cellStyle name="好_0910POSDATA_原価率201003_物流_開発商品(chen)_41期事業計画(商品部) 3 2" xfId="3912"/>
    <cellStyle name="好_0910POSDATA_原価率201003_物流_開発商品(chen)_41期事業計画(商品部) 3 3" xfId="57108"/>
    <cellStyle name="好_0910POSDATA_原価率201003_物流_開発商品(chen)_41期事業計画(商品部) 3 4" xfId="57109"/>
    <cellStyle name="好_0910POSDATA_原価率201003_物流_開発商品(chen)_41期事業計画(商品部) 4" xfId="3913"/>
    <cellStyle name="好_0910POSDATA_原価率201003_物流_開発商品(chen)_41期事業計画(商品部) 5" xfId="57110"/>
    <cellStyle name="好_0910POSDATA_原価率201003_物流_開発商品(chen)_41期事業計画(商品部) 6" xfId="57111"/>
    <cellStyle name="好_0910POSDATA_原価率201003_物流_開発商品(chen)_CPI" xfId="3914"/>
    <cellStyle name="好_0910POSDATA_原価率201003_物流_開発商品(chen)_CPI 2" xfId="3915"/>
    <cellStyle name="好_0910POSDATA_原価率201003_物流_開発商品(chen)_CPI 2 2" xfId="3916"/>
    <cellStyle name="好_0910POSDATA_原価率201003_物流_開発商品(chen)_CPI 2 3" xfId="57112"/>
    <cellStyle name="好_0910POSDATA_原価率201003_物流_開発商品(chen)_CPI 2 4" xfId="57113"/>
    <cellStyle name="好_0910POSDATA_原価率201003_物流_開発商品(chen)_CPI 3" xfId="3917"/>
    <cellStyle name="好_0910POSDATA_原価率201003_物流_開発商品(chen)_CPI 3 2" xfId="3918"/>
    <cellStyle name="好_0910POSDATA_原価率201003_物流_開発商品(chen)_CPI 3 3" xfId="57114"/>
    <cellStyle name="好_0910POSDATA_原価率201003_物流_開発商品(chen)_CPI 3 4" xfId="57115"/>
    <cellStyle name="好_0910POSDATA_原価率201003_物流_開発商品(chen)_CPI 4" xfId="3919"/>
    <cellStyle name="好_0910POSDATA_原価率201003_物流_開発商品(chen)_CPI 5" xfId="57116"/>
    <cellStyle name="好_0910POSDATA_原価率201003_物流_開発商品(chen)_CPI 6" xfId="57117"/>
    <cellStyle name="好_0910POSDATA_原価率201003_物流_開発商品(chen)_CPI(1)" xfId="3920"/>
    <cellStyle name="好_0910POSDATA_原価率201003_物流_開発商品(chen)_CPI(1) 2" xfId="3921"/>
    <cellStyle name="好_0910POSDATA_原価率201003_物流_開発商品(chen)_CPI(1) 3" xfId="57118"/>
    <cellStyle name="好_0910POSDATA_原価率201003_物流_開発商品(chen)_CPI(1) 4" xfId="57119"/>
    <cellStyle name="好_0910POSDATA_原価率201003_物流_開発商品(chen)_副本40期預実（商品部） (3)" xfId="3922"/>
    <cellStyle name="好_0910POSDATA_原価率201003_物流_開発商品(chen)_副本40期預実（商品部） (3) 2" xfId="3923"/>
    <cellStyle name="好_0910POSDATA_原価率201003_物流_開発商品(chen)_副本40期預実（商品部） (3) 2 2" xfId="3924"/>
    <cellStyle name="好_0910POSDATA_原価率201003_物流_開発商品(chen)_副本40期預実（商品部） (3) 2 3" xfId="57120"/>
    <cellStyle name="好_0910POSDATA_原価率201003_物流_開発商品(chen)_副本40期預実（商品部） (3) 2 4" xfId="57121"/>
    <cellStyle name="好_0910POSDATA_原価率201003_物流_開発商品(chen)_副本40期預実（商品部） (3) 3" xfId="3925"/>
    <cellStyle name="好_0910POSDATA_原価率201003_物流_開発商品(chen)_副本40期預実（商品部） (3) 3 2" xfId="3926"/>
    <cellStyle name="好_0910POSDATA_原価率201003_物流_開発商品(chen)_副本40期預実（商品部） (3) 3 3" xfId="57122"/>
    <cellStyle name="好_0910POSDATA_原価率201003_物流_開発商品(chen)_副本40期預実（商品部） (3) 3 4" xfId="57123"/>
    <cellStyle name="好_0910POSDATA_原価率201003_物流_開発商品(chen)_副本40期預実（商品部） (3) 4" xfId="3927"/>
    <cellStyle name="好_0910POSDATA_原価率201003_物流_開発商品(chen)_副本40期預実（商品部） (3) 5" xfId="57124"/>
    <cellStyle name="好_0910POSDATA_原価率201003_物流_開発商品(chen)_副本40期預実（商品部） (3) 6" xfId="57125"/>
    <cellStyle name="好_0910POSDATA_原価率201003_物流_開発商品(chen)_副本41期事業計画商品部（備品） (2) (2)" xfId="3928"/>
    <cellStyle name="好_0910POSDATA_原価率201003_物流_開発商品(chen)_副本41期事業計画商品部（備品） (2) (2) 2" xfId="3929"/>
    <cellStyle name="好_0910POSDATA_原価率201003_物流_開発商品(chen)_副本41期事業計画商品部（備品） (2) (2) 2 2" xfId="3930"/>
    <cellStyle name="好_0910POSDATA_原価率201003_物流_開発商品(chen)_副本41期事業計画商品部（備品） (2) (2) 2 3" xfId="57126"/>
    <cellStyle name="好_0910POSDATA_原価率201003_物流_開発商品(chen)_副本41期事業計画商品部（備品） (2) (2) 2 4" xfId="57127"/>
    <cellStyle name="好_0910POSDATA_原価率201003_物流_開発商品(chen)_副本41期事業計画商品部（備品） (2) (2) 3" xfId="3931"/>
    <cellStyle name="好_0910POSDATA_原価率201003_物流_開発商品(chen)_副本41期事業計画商品部（備品） (2) (2) 3 2" xfId="3932"/>
    <cellStyle name="好_0910POSDATA_原価率201003_物流_開発商品(chen)_副本41期事業計画商品部（備品） (2) (2) 3 3" xfId="57128"/>
    <cellStyle name="好_0910POSDATA_原価率201003_物流_開発商品(chen)_副本41期事業計画商品部（備品） (2) (2) 3 4" xfId="57129"/>
    <cellStyle name="好_0910POSDATA_原価率201003_物流_開発商品(chen)_副本41期事業計画商品部（備品） (2) (2) 4" xfId="3933"/>
    <cellStyle name="好_0910POSDATA_原価率201003_物流_開発商品(chen)_副本41期事業計画商品部（備品） (2) (2) 5" xfId="57130"/>
    <cellStyle name="好_0910POSDATA_原価率201003_物流_開発商品(chen)_副本41期事業計画商品部（備品） (2) (2) 6" xfId="57131"/>
    <cellStyle name="好_0910POSDATA_原価率201003_新メニュー実績" xfId="3934"/>
    <cellStyle name="好_0910POSDATA_原価率201003_新メニュー実績 2" xfId="3935"/>
    <cellStyle name="好_0910POSDATA_原価率201003_新メニュー実績 3" xfId="57132"/>
    <cellStyle name="好_0910POSDATA_原価率201003_新メニュー実績 4" xfId="57133"/>
    <cellStyle name="好_0911POSDATA" xfId="144"/>
    <cellStyle name="好_0911POSDATA 2" xfId="3936"/>
    <cellStyle name="好_0911POSDATA 2 2" xfId="3937"/>
    <cellStyle name="好_0911POSDATA 2 3" xfId="57134"/>
    <cellStyle name="好_0911POSDATA 2 4" xfId="57135"/>
    <cellStyle name="好_0911POSDATA 3" xfId="3938"/>
    <cellStyle name="好_0911POSDATA 3 2" xfId="3939"/>
    <cellStyle name="好_0911POSDATA 3 3" xfId="57136"/>
    <cellStyle name="好_0911POSDATA 3 4" xfId="57137"/>
    <cellStyle name="好_0911POSDATA 4" xfId="57138"/>
    <cellStyle name="好_0911POSDATA 5" xfId="57139"/>
    <cellStyle name="好_0911POSDATA 6" xfId="57140"/>
    <cellStyle name="好_0911POSDATA 7" xfId="61002"/>
    <cellStyle name="好_0911POSDATA_Sheet1" xfId="3940"/>
    <cellStyle name="好_0911POSDATA_Sheet1 2" xfId="3941"/>
    <cellStyle name="好_0911POSDATA_Sheet1 3" xfId="57141"/>
    <cellStyle name="好_0911POSDATA_Sheet1 4" xfId="57142"/>
    <cellStyle name="好_0911POSDATA_儊僯儏乕娤嶡(2-1)" xfId="3942"/>
    <cellStyle name="好_0911POSDATA_儊僯儏乕娤嶡(2-1) 2" xfId="3943"/>
    <cellStyle name="好_0911POSDATA_儊僯儏乕娤嶡(2-1) 3" xfId="57143"/>
    <cellStyle name="好_0911POSDATA_儊僯儏乕娤嶡(2-1) 4" xfId="57144"/>
    <cellStyle name="好_0911POSDATA_儊僯儏乕娤嶡(2-1)." xfId="3944"/>
    <cellStyle name="好_0911POSDATA_儊僯儏乕娤嶡(2-1). 2" xfId="3945"/>
    <cellStyle name="好_0911POSDATA_儊僯儏乕娤嶡(2-1). 3" xfId="57145"/>
    <cellStyle name="好_0911POSDATA_儊僯儏乕娤嶡(2-1). 4" xfId="57146"/>
    <cellStyle name="好_0911POSDATA_儊僯儏乕娤嶡(2-1)._副本新メニュー観察(上海) 201204 花島添削 (5)" xfId="3946"/>
    <cellStyle name="好_0911POSDATA_儊僯儏乕娤嶡(2-1)._副本新メニュー観察(上海) 201204 花島添削 (5) 2" xfId="3947"/>
    <cellStyle name="好_0911POSDATA_儊僯儏乕娤嶡(2-1)._副本新メニュー観察(上海) 201204 花島添削 (5) 3" xfId="57147"/>
    <cellStyle name="好_0911POSDATA_儊僯儏乕娤嶡(2-1)._副本新メニュー観察(上海) 201204 花島添削 (5) 4" xfId="57148"/>
    <cellStyle name="好_0911POSDATA_儊僯儏乕娤嶡(2-1)._新メニュー観察(上海) 201204 花島添削 (2) (5)" xfId="3948"/>
    <cellStyle name="好_0911POSDATA_儊僯儏乕娤嶡(2-1)._新メニュー観察(上海) 201204 花島添削 (2) (5) 2" xfId="3949"/>
    <cellStyle name="好_0911POSDATA_儊僯儏乕娤嶡(2-1)._新メニュー観察(上海) 201204 花島添削 (2) (5) 3" xfId="57149"/>
    <cellStyle name="好_0911POSDATA_儊僯儏乕娤嶡(2-1)._新メニュー観察(上海) 201204 花島添削 (2) (5) 4" xfId="57150"/>
    <cellStyle name="好_0911POSDATA_儊僯儏乕娤嶡(2-1)_副本新メニュー観察(上海) 201204 花島添削 (5)" xfId="3950"/>
    <cellStyle name="好_0911POSDATA_儊僯儏乕娤嶡(2-1)_副本新メニュー観察(上海) 201204 花島添削 (5) 2" xfId="3951"/>
    <cellStyle name="好_0911POSDATA_儊僯儏乕娤嶡(2-1)_副本新メニュー観察(上海) 201204 花島添削 (5) 3" xfId="57151"/>
    <cellStyle name="好_0911POSDATA_儊僯儏乕娤嶡(2-1)_副本新メニュー観察(上海) 201204 花島添削 (5) 4" xfId="57152"/>
    <cellStyle name="好_0911POSDATA_儊僯儏乕娤嶡(2-1)_新メニュー観察(上海) 201204 花島添削 (2) (5)" xfId="3952"/>
    <cellStyle name="好_0911POSDATA_儊僯儏乕娤嶡(2-1)_新メニュー観察(上海) 201204 花島添削 (2) (5) 2" xfId="3953"/>
    <cellStyle name="好_0911POSDATA_儊僯儏乕娤嶡(2-1)_新メニュー観察(上海) 201204 花島添削 (2) (5) 3" xfId="57153"/>
    <cellStyle name="好_0911POSDATA_儊僯儏乕娤嶡(2-1)_新メニュー観察(上海) 201204 花島添削 (2) (5) 4" xfId="57154"/>
    <cellStyle name="好_0911POSDATA_儊僯儏乕娤嶡(2-2乯" xfId="3954"/>
    <cellStyle name="好_0911POSDATA_儊僯儏乕娤嶡(2-2乯 2" xfId="3955"/>
    <cellStyle name="好_0911POSDATA_儊僯儏乕娤嶡(2-2乯 3" xfId="57155"/>
    <cellStyle name="好_0911POSDATA_儊僯儏乕娤嶡(2-2乯 4" xfId="57156"/>
    <cellStyle name="好_0911POSDATA_物流" xfId="3956"/>
    <cellStyle name="好_0911POSDATA_物流 2" xfId="3957"/>
    <cellStyle name="好_0911POSDATA_物流 2 2" xfId="3958"/>
    <cellStyle name="好_0911POSDATA_物流 2 3" xfId="57157"/>
    <cellStyle name="好_0911POSDATA_物流 2 4" xfId="57158"/>
    <cellStyle name="好_0911POSDATA_物流 3" xfId="3959"/>
    <cellStyle name="好_0911POSDATA_物流 3 2" xfId="3960"/>
    <cellStyle name="好_0911POSDATA_物流 3 3" xfId="57159"/>
    <cellStyle name="好_0911POSDATA_物流 3 4" xfId="57160"/>
    <cellStyle name="好_0911POSDATA_物流 4" xfId="3961"/>
    <cellStyle name="好_0911POSDATA_物流 5" xfId="57161"/>
    <cellStyle name="好_0911POSDATA_物流 6" xfId="57162"/>
    <cellStyle name="好_0911POSDATA_物流_開発商品(chen)" xfId="3962"/>
    <cellStyle name="好_0911POSDATA_物流_開発商品(chen) 2" xfId="3963"/>
    <cellStyle name="好_0911POSDATA_物流_開発商品(chen) 2 2" xfId="3964"/>
    <cellStyle name="好_0911POSDATA_物流_開発商品(chen) 2 3" xfId="57163"/>
    <cellStyle name="好_0911POSDATA_物流_開発商品(chen) 2 4" xfId="57164"/>
    <cellStyle name="好_0911POSDATA_物流_開発商品(chen) 3" xfId="3965"/>
    <cellStyle name="好_0911POSDATA_物流_開発商品(chen) 3 2" xfId="3966"/>
    <cellStyle name="好_0911POSDATA_物流_開発商品(chen) 3 3" xfId="57165"/>
    <cellStyle name="好_0911POSDATA_物流_開発商品(chen) 3 4" xfId="57166"/>
    <cellStyle name="好_0911POSDATA_物流_開発商品(chen) 4" xfId="3967"/>
    <cellStyle name="好_0911POSDATA_物流_開発商品(chen) 5" xfId="57167"/>
    <cellStyle name="好_0911POSDATA_物流_開発商品(chen) 6" xfId="57168"/>
    <cellStyle name="好_0911POSDATA_物流_開発商品(chen)_40期事業計画（商品部）  (3)" xfId="3968"/>
    <cellStyle name="好_0911POSDATA_物流_開発商品(chen)_40期事業計画（商品部）  (3) 2" xfId="3969"/>
    <cellStyle name="好_0911POSDATA_物流_開発商品(chen)_40期事業計画（商品部）  (3) 3" xfId="57169"/>
    <cellStyle name="好_0911POSDATA_物流_開発商品(chen)_40期事業計画（商品部）  (3) 4" xfId="57170"/>
    <cellStyle name="好_0911POSDATA_物流_開発商品(chen)_40期事業計画（商品部1）" xfId="3970"/>
    <cellStyle name="好_0911POSDATA_物流_開発商品(chen)_40期事業計画（商品部1） 2" xfId="3971"/>
    <cellStyle name="好_0911POSDATA_物流_開発商品(chen)_40期事業計画（商品部1） 2 2" xfId="3972"/>
    <cellStyle name="好_0911POSDATA_物流_開発商品(chen)_40期事業計画（商品部1） 2 3" xfId="57171"/>
    <cellStyle name="好_0911POSDATA_物流_開発商品(chen)_40期事業計画（商品部1） 2 4" xfId="57172"/>
    <cellStyle name="好_0911POSDATA_物流_開発商品(chen)_40期事業計画（商品部1） 3" xfId="3973"/>
    <cellStyle name="好_0911POSDATA_物流_開発商品(chen)_40期事業計画（商品部1） 3 2" xfId="3974"/>
    <cellStyle name="好_0911POSDATA_物流_開発商品(chen)_40期事業計画（商品部1） 3 3" xfId="57173"/>
    <cellStyle name="好_0911POSDATA_物流_開発商品(chen)_40期事業計画（商品部1） 3 4" xfId="57174"/>
    <cellStyle name="好_0911POSDATA_物流_開発商品(chen)_40期事業計画（商品部1） 4" xfId="3975"/>
    <cellStyle name="好_0911POSDATA_物流_開発商品(chen)_40期事業計画（商品部1） 5" xfId="57175"/>
    <cellStyle name="好_0911POSDATA_物流_開発商品(chen)_40期事業計画（商品部1） 6" xfId="57176"/>
    <cellStyle name="好_0911POSDATA_物流_開発商品(chen)_40期預実（商品部） (3)" xfId="3976"/>
    <cellStyle name="好_0911POSDATA_物流_開発商品(chen)_40期預実（商品部） (3) 2" xfId="3977"/>
    <cellStyle name="好_0911POSDATA_物流_開発商品(chen)_40期預実（商品部） (3) 2 2" xfId="3978"/>
    <cellStyle name="好_0911POSDATA_物流_開発商品(chen)_40期預実（商品部） (3) 2 3" xfId="57177"/>
    <cellStyle name="好_0911POSDATA_物流_開発商品(chen)_40期預実（商品部） (3) 2 4" xfId="57178"/>
    <cellStyle name="好_0911POSDATA_物流_開発商品(chen)_40期預実（商品部） (3) 3" xfId="3979"/>
    <cellStyle name="好_0911POSDATA_物流_開発商品(chen)_40期預実（商品部） (3) 3 2" xfId="3980"/>
    <cellStyle name="好_0911POSDATA_物流_開発商品(chen)_40期預実（商品部） (3) 3 3" xfId="57179"/>
    <cellStyle name="好_0911POSDATA_物流_開発商品(chen)_40期預実（商品部） (3) 3 4" xfId="57180"/>
    <cellStyle name="好_0911POSDATA_物流_開発商品(chen)_40期預実（商品部） (3) 4" xfId="3981"/>
    <cellStyle name="好_0911POSDATA_物流_開発商品(chen)_40期預実（商品部） (3) 5" xfId="57181"/>
    <cellStyle name="好_0911POSDATA_物流_開発商品(chen)_40期預実（商品部） (3) 6" xfId="57182"/>
    <cellStyle name="好_0911POSDATA_物流_開発商品(chen)_41期事業計画(商品部)" xfId="3982"/>
    <cellStyle name="好_0911POSDATA_物流_開発商品(chen)_41期事業計画(商品部) 2" xfId="3983"/>
    <cellStyle name="好_0911POSDATA_物流_開発商品(chen)_41期事業計画(商品部) 2 2" xfId="3984"/>
    <cellStyle name="好_0911POSDATA_物流_開発商品(chen)_41期事業計画(商品部) 2 3" xfId="57183"/>
    <cellStyle name="好_0911POSDATA_物流_開発商品(chen)_41期事業計画(商品部) 2 4" xfId="57184"/>
    <cellStyle name="好_0911POSDATA_物流_開発商品(chen)_41期事業計画(商品部) 3" xfId="3985"/>
    <cellStyle name="好_0911POSDATA_物流_開発商品(chen)_41期事業計画(商品部) 3 2" xfId="3986"/>
    <cellStyle name="好_0911POSDATA_物流_開発商品(chen)_41期事業計画(商品部) 3 3" xfId="57185"/>
    <cellStyle name="好_0911POSDATA_物流_開発商品(chen)_41期事業計画(商品部) 3 4" xfId="57186"/>
    <cellStyle name="好_0911POSDATA_物流_開発商品(chen)_41期事業計画(商品部) 4" xfId="3987"/>
    <cellStyle name="好_0911POSDATA_物流_開発商品(chen)_41期事業計画(商品部) 5" xfId="57187"/>
    <cellStyle name="好_0911POSDATA_物流_開発商品(chen)_41期事業計画(商品部) 6" xfId="57188"/>
    <cellStyle name="好_0911POSDATA_物流_開発商品(chen)_CPI" xfId="3988"/>
    <cellStyle name="好_0911POSDATA_物流_開発商品(chen)_CPI 2" xfId="3989"/>
    <cellStyle name="好_0911POSDATA_物流_開発商品(chen)_CPI 2 2" xfId="3990"/>
    <cellStyle name="好_0911POSDATA_物流_開発商品(chen)_CPI 2 3" xfId="57189"/>
    <cellStyle name="好_0911POSDATA_物流_開発商品(chen)_CPI 2 4" xfId="57190"/>
    <cellStyle name="好_0911POSDATA_物流_開発商品(chen)_CPI 3" xfId="3991"/>
    <cellStyle name="好_0911POSDATA_物流_開発商品(chen)_CPI 3 2" xfId="3992"/>
    <cellStyle name="好_0911POSDATA_物流_開発商品(chen)_CPI 3 3" xfId="57191"/>
    <cellStyle name="好_0911POSDATA_物流_開発商品(chen)_CPI 3 4" xfId="57192"/>
    <cellStyle name="好_0911POSDATA_物流_開発商品(chen)_CPI 4" xfId="3993"/>
    <cellStyle name="好_0911POSDATA_物流_開発商品(chen)_CPI 5" xfId="57193"/>
    <cellStyle name="好_0911POSDATA_物流_開発商品(chen)_CPI 6" xfId="57194"/>
    <cellStyle name="好_0911POSDATA_物流_開発商品(chen)_CPI(1)" xfId="3994"/>
    <cellStyle name="好_0911POSDATA_物流_開発商品(chen)_CPI(1) 2" xfId="3995"/>
    <cellStyle name="好_0911POSDATA_物流_開発商品(chen)_CPI(1) 3" xfId="57195"/>
    <cellStyle name="好_0911POSDATA_物流_開発商品(chen)_CPI(1) 4" xfId="57196"/>
    <cellStyle name="好_0911POSDATA_物流_開発商品(chen)_副本40期預実（商品部） (3)" xfId="3996"/>
    <cellStyle name="好_0911POSDATA_物流_開発商品(chen)_副本40期預実（商品部） (3) 2" xfId="3997"/>
    <cellStyle name="好_0911POSDATA_物流_開発商品(chen)_副本40期預実（商品部） (3) 2 2" xfId="3998"/>
    <cellStyle name="好_0911POSDATA_物流_開発商品(chen)_副本40期預実（商品部） (3) 2 3" xfId="57197"/>
    <cellStyle name="好_0911POSDATA_物流_開発商品(chen)_副本40期預実（商品部） (3) 2 4" xfId="57198"/>
    <cellStyle name="好_0911POSDATA_物流_開発商品(chen)_副本40期預実（商品部） (3) 3" xfId="3999"/>
    <cellStyle name="好_0911POSDATA_物流_開発商品(chen)_副本40期預実（商品部） (3) 3 2" xfId="4000"/>
    <cellStyle name="好_0911POSDATA_物流_開発商品(chen)_副本40期預実（商品部） (3) 3 3" xfId="57199"/>
    <cellStyle name="好_0911POSDATA_物流_開発商品(chen)_副本40期預実（商品部） (3) 3 4" xfId="57200"/>
    <cellStyle name="好_0911POSDATA_物流_開発商品(chen)_副本40期預実（商品部） (3) 4" xfId="4001"/>
    <cellStyle name="好_0911POSDATA_物流_開発商品(chen)_副本40期預実（商品部） (3) 5" xfId="57201"/>
    <cellStyle name="好_0911POSDATA_物流_開発商品(chen)_副本40期預実（商品部） (3) 6" xfId="57202"/>
    <cellStyle name="好_0911POSDATA_物流_開発商品(chen)_副本41期事業計画商品部（備品） (2) (2)" xfId="4002"/>
    <cellStyle name="好_0911POSDATA_物流_開発商品(chen)_副本41期事業計画商品部（備品） (2) (2) 2" xfId="4003"/>
    <cellStyle name="好_0911POSDATA_物流_開発商品(chen)_副本41期事業計画商品部（備品） (2) (2) 2 2" xfId="4004"/>
    <cellStyle name="好_0911POSDATA_物流_開発商品(chen)_副本41期事業計画商品部（備品） (2) (2) 2 3" xfId="57203"/>
    <cellStyle name="好_0911POSDATA_物流_開発商品(chen)_副本41期事業計画商品部（備品） (2) (2) 2 4" xfId="57204"/>
    <cellStyle name="好_0911POSDATA_物流_開発商品(chen)_副本41期事業計画商品部（備品） (2) (2) 3" xfId="4005"/>
    <cellStyle name="好_0911POSDATA_物流_開発商品(chen)_副本41期事業計画商品部（備品） (2) (2) 3 2" xfId="4006"/>
    <cellStyle name="好_0911POSDATA_物流_開発商品(chen)_副本41期事業計画商品部（備品） (2) (2) 3 3" xfId="57205"/>
    <cellStyle name="好_0911POSDATA_物流_開発商品(chen)_副本41期事業計画商品部（備品） (2) (2) 3 4" xfId="57206"/>
    <cellStyle name="好_0911POSDATA_物流_開発商品(chen)_副本41期事業計画商品部（備品） (2) (2) 4" xfId="4007"/>
    <cellStyle name="好_0911POSDATA_物流_開発商品(chen)_副本41期事業計画商品部（備品） (2) (2) 5" xfId="57207"/>
    <cellStyle name="好_0911POSDATA_物流_開発商品(chen)_副本41期事業計画商品部（備品） (2) (2) 6" xfId="57208"/>
    <cellStyle name="好_0911POSDATA_新メニュー実績" xfId="4008"/>
    <cellStyle name="好_0911POSDATA_新メニュー実績 2" xfId="4009"/>
    <cellStyle name="好_0911POSDATA_新メニュー実績 3" xfId="57209"/>
    <cellStyle name="好_0911POSDATA_新メニュー実績 4" xfId="57210"/>
    <cellStyle name="好_0911POSDATA_原価率201003" xfId="145"/>
    <cellStyle name="好_0911POSDATA_原価率201003 2" xfId="4010"/>
    <cellStyle name="好_0911POSDATA_原価率201003 2 2" xfId="4011"/>
    <cellStyle name="好_0911POSDATA_原価率201003 2 3" xfId="57211"/>
    <cellStyle name="好_0911POSDATA_原価率201003 2 4" xfId="57212"/>
    <cellStyle name="好_0911POSDATA_原価率201003 3" xfId="4012"/>
    <cellStyle name="好_0911POSDATA_原価率201003 3 2" xfId="4013"/>
    <cellStyle name="好_0911POSDATA_原価率201003 3 3" xfId="57213"/>
    <cellStyle name="好_0911POSDATA_原価率201003 3 4" xfId="57214"/>
    <cellStyle name="好_0911POSDATA_原価率201003 4" xfId="57215"/>
    <cellStyle name="好_0911POSDATA_原価率201003 5" xfId="57216"/>
    <cellStyle name="好_0911POSDATA_原価率201003 6" xfId="57217"/>
    <cellStyle name="好_0911POSDATA_原価率201003 7" xfId="61003"/>
    <cellStyle name="好_0911POSDATA_原価率201003_Sheet1" xfId="4014"/>
    <cellStyle name="好_0911POSDATA_原価率201003_Sheet1 2" xfId="4015"/>
    <cellStyle name="好_0911POSDATA_原価率201003_Sheet1 3" xfId="57218"/>
    <cellStyle name="好_0911POSDATA_原価率201003_Sheet1 4" xfId="57219"/>
    <cellStyle name="好_0911POSDATA_原価率201003_儊僯儏乕娤嶡(2-1)" xfId="4016"/>
    <cellStyle name="好_0911POSDATA_原価率201003_儊僯儏乕娤嶡(2-1) 2" xfId="4017"/>
    <cellStyle name="好_0911POSDATA_原価率201003_儊僯儏乕娤嶡(2-1) 3" xfId="57220"/>
    <cellStyle name="好_0911POSDATA_原価率201003_儊僯儏乕娤嶡(2-1) 4" xfId="57221"/>
    <cellStyle name="好_0911POSDATA_原価率201003_儊僯儏乕娤嶡(2-1)." xfId="4018"/>
    <cellStyle name="好_0911POSDATA_原価率201003_儊僯儏乕娤嶡(2-1). 2" xfId="4019"/>
    <cellStyle name="好_0911POSDATA_原価率201003_儊僯儏乕娤嶡(2-1). 3" xfId="57222"/>
    <cellStyle name="好_0911POSDATA_原価率201003_儊僯儏乕娤嶡(2-1). 4" xfId="57223"/>
    <cellStyle name="好_0911POSDATA_原価率201003_儊僯儏乕娤嶡(2-1)._副本新メニュー観察(上海) 201204 花島添削 (5)" xfId="4020"/>
    <cellStyle name="好_0911POSDATA_原価率201003_儊僯儏乕娤嶡(2-1)._副本新メニュー観察(上海) 201204 花島添削 (5) 2" xfId="4021"/>
    <cellStyle name="好_0911POSDATA_原価率201003_儊僯儏乕娤嶡(2-1)._副本新メニュー観察(上海) 201204 花島添削 (5) 3" xfId="57224"/>
    <cellStyle name="好_0911POSDATA_原価率201003_儊僯儏乕娤嶡(2-1)._副本新メニュー観察(上海) 201204 花島添削 (5) 4" xfId="57225"/>
    <cellStyle name="好_0911POSDATA_原価率201003_儊僯儏乕娤嶡(2-1)._新メニュー観察(上海) 201204 花島添削 (2) (5)" xfId="4022"/>
    <cellStyle name="好_0911POSDATA_原価率201003_儊僯儏乕娤嶡(2-1)._新メニュー観察(上海) 201204 花島添削 (2) (5) 2" xfId="4023"/>
    <cellStyle name="好_0911POSDATA_原価率201003_儊僯儏乕娤嶡(2-1)._新メニュー観察(上海) 201204 花島添削 (2) (5) 3" xfId="57226"/>
    <cellStyle name="好_0911POSDATA_原価率201003_儊僯儏乕娤嶡(2-1)._新メニュー観察(上海) 201204 花島添削 (2) (5) 4" xfId="57227"/>
    <cellStyle name="好_0911POSDATA_原価率201003_儊僯儏乕娤嶡(2-1)_副本新メニュー観察(上海) 201204 花島添削 (5)" xfId="4024"/>
    <cellStyle name="好_0911POSDATA_原価率201003_儊僯儏乕娤嶡(2-1)_副本新メニュー観察(上海) 201204 花島添削 (5) 2" xfId="4025"/>
    <cellStyle name="好_0911POSDATA_原価率201003_儊僯儏乕娤嶡(2-1)_副本新メニュー観察(上海) 201204 花島添削 (5) 3" xfId="57228"/>
    <cellStyle name="好_0911POSDATA_原価率201003_儊僯儏乕娤嶡(2-1)_副本新メニュー観察(上海) 201204 花島添削 (5) 4" xfId="57229"/>
    <cellStyle name="好_0911POSDATA_原価率201003_儊僯儏乕娤嶡(2-1)_新メニュー観察(上海) 201204 花島添削 (2) (5)" xfId="4026"/>
    <cellStyle name="好_0911POSDATA_原価率201003_儊僯儏乕娤嶡(2-1)_新メニュー観察(上海) 201204 花島添削 (2) (5) 2" xfId="4027"/>
    <cellStyle name="好_0911POSDATA_原価率201003_儊僯儏乕娤嶡(2-1)_新メニュー観察(上海) 201204 花島添削 (2) (5) 3" xfId="57230"/>
    <cellStyle name="好_0911POSDATA_原価率201003_儊僯儏乕娤嶡(2-1)_新メニュー観察(上海) 201204 花島添削 (2) (5) 4" xfId="57231"/>
    <cellStyle name="好_0911POSDATA_原価率201003_儊僯儏乕娤嶡(2-2乯" xfId="4028"/>
    <cellStyle name="好_0911POSDATA_原価率201003_儊僯儏乕娤嶡(2-2乯 2" xfId="4029"/>
    <cellStyle name="好_0911POSDATA_原価率201003_儊僯儏乕娤嶡(2-2乯 3" xfId="57232"/>
    <cellStyle name="好_0911POSDATA_原価率201003_儊僯儏乕娤嶡(2-2乯 4" xfId="57233"/>
    <cellStyle name="好_0911POSDATA_原価率201003_物流" xfId="4030"/>
    <cellStyle name="好_0911POSDATA_原価率201003_物流 2" xfId="4031"/>
    <cellStyle name="好_0911POSDATA_原価率201003_物流 2 2" xfId="4032"/>
    <cellStyle name="好_0911POSDATA_原価率201003_物流 2 3" xfId="57234"/>
    <cellStyle name="好_0911POSDATA_原価率201003_物流 2 4" xfId="57235"/>
    <cellStyle name="好_0911POSDATA_原価率201003_物流 3" xfId="4033"/>
    <cellStyle name="好_0911POSDATA_原価率201003_物流 3 2" xfId="4034"/>
    <cellStyle name="好_0911POSDATA_原価率201003_物流 3 3" xfId="57236"/>
    <cellStyle name="好_0911POSDATA_原価率201003_物流 3 4" xfId="57237"/>
    <cellStyle name="好_0911POSDATA_原価率201003_物流 4" xfId="4035"/>
    <cellStyle name="好_0911POSDATA_原価率201003_物流 5" xfId="57238"/>
    <cellStyle name="好_0911POSDATA_原価率201003_物流 6" xfId="57239"/>
    <cellStyle name="好_0911POSDATA_原価率201003_物流_開発商品(chen)" xfId="4036"/>
    <cellStyle name="好_0911POSDATA_原価率201003_物流_開発商品(chen) 2" xfId="4037"/>
    <cellStyle name="好_0911POSDATA_原価率201003_物流_開発商品(chen) 2 2" xfId="4038"/>
    <cellStyle name="好_0911POSDATA_原価率201003_物流_開発商品(chen) 2 3" xfId="57240"/>
    <cellStyle name="好_0911POSDATA_原価率201003_物流_開発商品(chen) 2 4" xfId="57241"/>
    <cellStyle name="好_0911POSDATA_原価率201003_物流_開発商品(chen) 3" xfId="4039"/>
    <cellStyle name="好_0911POSDATA_原価率201003_物流_開発商品(chen) 3 2" xfId="4040"/>
    <cellStyle name="好_0911POSDATA_原価率201003_物流_開発商品(chen) 3 3" xfId="57242"/>
    <cellStyle name="好_0911POSDATA_原価率201003_物流_開発商品(chen) 3 4" xfId="57243"/>
    <cellStyle name="好_0911POSDATA_原価率201003_物流_開発商品(chen) 4" xfId="4041"/>
    <cellStyle name="好_0911POSDATA_原価率201003_物流_開発商品(chen) 5" xfId="57244"/>
    <cellStyle name="好_0911POSDATA_原価率201003_物流_開発商品(chen) 6" xfId="57245"/>
    <cellStyle name="好_0911POSDATA_原価率201003_物流_開発商品(chen)_40期事業計画（商品部）  (3)" xfId="4042"/>
    <cellStyle name="好_0911POSDATA_原価率201003_物流_開発商品(chen)_40期事業計画（商品部）  (3) 2" xfId="4043"/>
    <cellStyle name="好_0911POSDATA_原価率201003_物流_開発商品(chen)_40期事業計画（商品部）  (3) 3" xfId="57246"/>
    <cellStyle name="好_0911POSDATA_原価率201003_物流_開発商品(chen)_40期事業計画（商品部）  (3) 4" xfId="57247"/>
    <cellStyle name="好_0911POSDATA_原価率201003_物流_開発商品(chen)_40期事業計画（商品部1）" xfId="4044"/>
    <cellStyle name="好_0911POSDATA_原価率201003_物流_開発商品(chen)_40期事業計画（商品部1） 2" xfId="4045"/>
    <cellStyle name="好_0911POSDATA_原価率201003_物流_開発商品(chen)_40期事業計画（商品部1） 2 2" xfId="4046"/>
    <cellStyle name="好_0911POSDATA_原価率201003_物流_開発商品(chen)_40期事業計画（商品部1） 2 3" xfId="57248"/>
    <cellStyle name="好_0911POSDATA_原価率201003_物流_開発商品(chen)_40期事業計画（商品部1） 2 4" xfId="57249"/>
    <cellStyle name="好_0911POSDATA_原価率201003_物流_開発商品(chen)_40期事業計画（商品部1） 3" xfId="4047"/>
    <cellStyle name="好_0911POSDATA_原価率201003_物流_開発商品(chen)_40期事業計画（商品部1） 3 2" xfId="4048"/>
    <cellStyle name="好_0911POSDATA_原価率201003_物流_開発商品(chen)_40期事業計画（商品部1） 3 3" xfId="57250"/>
    <cellStyle name="好_0911POSDATA_原価率201003_物流_開発商品(chen)_40期事業計画（商品部1） 3 4" xfId="57251"/>
    <cellStyle name="好_0911POSDATA_原価率201003_物流_開発商品(chen)_40期事業計画（商品部1） 4" xfId="4049"/>
    <cellStyle name="好_0911POSDATA_原価率201003_物流_開発商品(chen)_40期事業計画（商品部1） 5" xfId="57252"/>
    <cellStyle name="好_0911POSDATA_原価率201003_物流_開発商品(chen)_40期事業計画（商品部1） 6" xfId="57253"/>
    <cellStyle name="好_0911POSDATA_原価率201003_物流_開発商品(chen)_40期預実（商品部） (3)" xfId="4050"/>
    <cellStyle name="好_0911POSDATA_原価率201003_物流_開発商品(chen)_40期預実（商品部） (3) 2" xfId="4051"/>
    <cellStyle name="好_0911POSDATA_原価率201003_物流_開発商品(chen)_40期預実（商品部） (3) 2 2" xfId="4052"/>
    <cellStyle name="好_0911POSDATA_原価率201003_物流_開発商品(chen)_40期預実（商品部） (3) 2 3" xfId="57254"/>
    <cellStyle name="好_0911POSDATA_原価率201003_物流_開発商品(chen)_40期預実（商品部） (3) 2 4" xfId="57255"/>
    <cellStyle name="好_0911POSDATA_原価率201003_物流_開発商品(chen)_40期預実（商品部） (3) 3" xfId="4053"/>
    <cellStyle name="好_0911POSDATA_原価率201003_物流_開発商品(chen)_40期預実（商品部） (3) 3 2" xfId="4054"/>
    <cellStyle name="好_0911POSDATA_原価率201003_物流_開発商品(chen)_40期預実（商品部） (3) 3 3" xfId="57256"/>
    <cellStyle name="好_0911POSDATA_原価率201003_物流_開発商品(chen)_40期預実（商品部） (3) 3 4" xfId="57257"/>
    <cellStyle name="好_0911POSDATA_原価率201003_物流_開発商品(chen)_40期預実（商品部） (3) 4" xfId="4055"/>
    <cellStyle name="好_0911POSDATA_原価率201003_物流_開発商品(chen)_40期預実（商品部） (3) 5" xfId="57258"/>
    <cellStyle name="好_0911POSDATA_原価率201003_物流_開発商品(chen)_40期預実（商品部） (3) 6" xfId="57259"/>
    <cellStyle name="好_0911POSDATA_原価率201003_物流_開発商品(chen)_41期事業計画(商品部)" xfId="4056"/>
    <cellStyle name="好_0911POSDATA_原価率201003_物流_開発商品(chen)_41期事業計画(商品部) 2" xfId="4057"/>
    <cellStyle name="好_0911POSDATA_原価率201003_物流_開発商品(chen)_41期事業計画(商品部) 2 2" xfId="4058"/>
    <cellStyle name="好_0911POSDATA_原価率201003_物流_開発商品(chen)_41期事業計画(商品部) 2 3" xfId="57260"/>
    <cellStyle name="好_0911POSDATA_原価率201003_物流_開発商品(chen)_41期事業計画(商品部) 2 4" xfId="57261"/>
    <cellStyle name="好_0911POSDATA_原価率201003_物流_開発商品(chen)_41期事業計画(商品部) 3" xfId="4059"/>
    <cellStyle name="好_0911POSDATA_原価率201003_物流_開発商品(chen)_41期事業計画(商品部) 3 2" xfId="4060"/>
    <cellStyle name="好_0911POSDATA_原価率201003_物流_開発商品(chen)_41期事業計画(商品部) 3 3" xfId="57262"/>
    <cellStyle name="好_0911POSDATA_原価率201003_物流_開発商品(chen)_41期事業計画(商品部) 3 4" xfId="57263"/>
    <cellStyle name="好_0911POSDATA_原価率201003_物流_開発商品(chen)_41期事業計画(商品部) 4" xfId="4061"/>
    <cellStyle name="好_0911POSDATA_原価率201003_物流_開発商品(chen)_41期事業計画(商品部) 5" xfId="57264"/>
    <cellStyle name="好_0911POSDATA_原価率201003_物流_開発商品(chen)_41期事業計画(商品部) 6" xfId="57265"/>
    <cellStyle name="好_0911POSDATA_原価率201003_物流_開発商品(chen)_CPI" xfId="4062"/>
    <cellStyle name="好_0911POSDATA_原価率201003_物流_開発商品(chen)_CPI 2" xfId="4063"/>
    <cellStyle name="好_0911POSDATA_原価率201003_物流_開発商品(chen)_CPI 2 2" xfId="4064"/>
    <cellStyle name="好_0911POSDATA_原価率201003_物流_開発商品(chen)_CPI 2 3" xfId="57266"/>
    <cellStyle name="好_0911POSDATA_原価率201003_物流_開発商品(chen)_CPI 2 4" xfId="57267"/>
    <cellStyle name="好_0911POSDATA_原価率201003_物流_開発商品(chen)_CPI 3" xfId="4065"/>
    <cellStyle name="好_0911POSDATA_原価率201003_物流_開発商品(chen)_CPI 3 2" xfId="4066"/>
    <cellStyle name="好_0911POSDATA_原価率201003_物流_開発商品(chen)_CPI 3 3" xfId="57268"/>
    <cellStyle name="好_0911POSDATA_原価率201003_物流_開発商品(chen)_CPI 3 4" xfId="57269"/>
    <cellStyle name="好_0911POSDATA_原価率201003_物流_開発商品(chen)_CPI 4" xfId="4067"/>
    <cellStyle name="好_0911POSDATA_原価率201003_物流_開発商品(chen)_CPI 5" xfId="57270"/>
    <cellStyle name="好_0911POSDATA_原価率201003_物流_開発商品(chen)_CPI 6" xfId="57271"/>
    <cellStyle name="好_0911POSDATA_原価率201003_物流_開発商品(chen)_CPI(1)" xfId="4068"/>
    <cellStyle name="好_0911POSDATA_原価率201003_物流_開発商品(chen)_CPI(1) 2" xfId="4069"/>
    <cellStyle name="好_0911POSDATA_原価率201003_物流_開発商品(chen)_CPI(1) 3" xfId="57272"/>
    <cellStyle name="好_0911POSDATA_原価率201003_物流_開発商品(chen)_CPI(1) 4" xfId="57273"/>
    <cellStyle name="好_0911POSDATA_原価率201003_物流_開発商品(chen)_副本40期預実（商品部） (3)" xfId="4070"/>
    <cellStyle name="好_0911POSDATA_原価率201003_物流_開発商品(chen)_副本40期預実（商品部） (3) 2" xfId="4071"/>
    <cellStyle name="好_0911POSDATA_原価率201003_物流_開発商品(chen)_副本40期預実（商品部） (3) 2 2" xfId="4072"/>
    <cellStyle name="好_0911POSDATA_原価率201003_物流_開発商品(chen)_副本40期預実（商品部） (3) 2 3" xfId="57274"/>
    <cellStyle name="好_0911POSDATA_原価率201003_物流_開発商品(chen)_副本40期預実（商品部） (3) 2 4" xfId="57275"/>
    <cellStyle name="好_0911POSDATA_原価率201003_物流_開発商品(chen)_副本40期預実（商品部） (3) 3" xfId="4073"/>
    <cellStyle name="好_0911POSDATA_原価率201003_物流_開発商品(chen)_副本40期預実（商品部） (3) 3 2" xfId="4074"/>
    <cellStyle name="好_0911POSDATA_原価率201003_物流_開発商品(chen)_副本40期預実（商品部） (3) 3 3" xfId="57276"/>
    <cellStyle name="好_0911POSDATA_原価率201003_物流_開発商品(chen)_副本40期預実（商品部） (3) 3 4" xfId="57277"/>
    <cellStyle name="好_0911POSDATA_原価率201003_物流_開発商品(chen)_副本40期預実（商品部） (3) 4" xfId="4075"/>
    <cellStyle name="好_0911POSDATA_原価率201003_物流_開発商品(chen)_副本40期預実（商品部） (3) 5" xfId="57278"/>
    <cellStyle name="好_0911POSDATA_原価率201003_物流_開発商品(chen)_副本40期預実（商品部） (3) 6" xfId="57279"/>
    <cellStyle name="好_0911POSDATA_原価率201003_物流_開発商品(chen)_副本41期事業計画商品部（備品） (2) (2)" xfId="4076"/>
    <cellStyle name="好_0911POSDATA_原価率201003_物流_開発商品(chen)_副本41期事業計画商品部（備品） (2) (2) 2" xfId="4077"/>
    <cellStyle name="好_0911POSDATA_原価率201003_物流_開発商品(chen)_副本41期事業計画商品部（備品） (2) (2) 2 2" xfId="4078"/>
    <cellStyle name="好_0911POSDATA_原価率201003_物流_開発商品(chen)_副本41期事業計画商品部（備品） (2) (2) 2 3" xfId="57280"/>
    <cellStyle name="好_0911POSDATA_原価率201003_物流_開発商品(chen)_副本41期事業計画商品部（備品） (2) (2) 2 4" xfId="57281"/>
    <cellStyle name="好_0911POSDATA_原価率201003_物流_開発商品(chen)_副本41期事業計画商品部（備品） (2) (2) 3" xfId="4079"/>
    <cellStyle name="好_0911POSDATA_原価率201003_物流_開発商品(chen)_副本41期事業計画商品部（備品） (2) (2) 3 2" xfId="4080"/>
    <cellStyle name="好_0911POSDATA_原価率201003_物流_開発商品(chen)_副本41期事業計画商品部（備品） (2) (2) 3 3" xfId="57282"/>
    <cellStyle name="好_0911POSDATA_原価率201003_物流_開発商品(chen)_副本41期事業計画商品部（備品） (2) (2) 3 4" xfId="57283"/>
    <cellStyle name="好_0911POSDATA_原価率201003_物流_開発商品(chen)_副本41期事業計画商品部（備品） (2) (2) 4" xfId="4081"/>
    <cellStyle name="好_0911POSDATA_原価率201003_物流_開発商品(chen)_副本41期事業計画商品部（備品） (2) (2) 5" xfId="57284"/>
    <cellStyle name="好_0911POSDATA_原価率201003_物流_開発商品(chen)_副本41期事業計画商品部（備品） (2) (2) 6" xfId="57285"/>
    <cellStyle name="好_0911POSDATA_原価率201003_新メニュー実績" xfId="4082"/>
    <cellStyle name="好_0911POSDATA_原価率201003_新メニュー実績 2" xfId="4083"/>
    <cellStyle name="好_0911POSDATA_原価率201003_新メニュー実績 3" xfId="57286"/>
    <cellStyle name="好_0911POSDATA_原価率201003_新メニュー実績 4" xfId="57287"/>
    <cellStyle name="好_0912POSDATA" xfId="146"/>
    <cellStyle name="好_0912POSDATA 2" xfId="4084"/>
    <cellStyle name="好_0912POSDATA 2 2" xfId="4085"/>
    <cellStyle name="好_0912POSDATA 2 3" xfId="57288"/>
    <cellStyle name="好_0912POSDATA 2 4" xfId="57289"/>
    <cellStyle name="好_0912POSDATA 3" xfId="4086"/>
    <cellStyle name="好_0912POSDATA 3 2" xfId="4087"/>
    <cellStyle name="好_0912POSDATA 3 3" xfId="57290"/>
    <cellStyle name="好_0912POSDATA 3 4" xfId="57291"/>
    <cellStyle name="好_0912POSDATA 4" xfId="57292"/>
    <cellStyle name="好_0912POSDATA 5" xfId="57293"/>
    <cellStyle name="好_0912POSDATA 6" xfId="57294"/>
    <cellStyle name="好_0912POSDATA 7" xfId="61004"/>
    <cellStyle name="好_0912POSDATA_Sheet1" xfId="4088"/>
    <cellStyle name="好_0912POSDATA_Sheet1 2" xfId="4089"/>
    <cellStyle name="好_0912POSDATA_Sheet1 3" xfId="57295"/>
    <cellStyle name="好_0912POSDATA_Sheet1 4" xfId="57296"/>
    <cellStyle name="好_0912POSDATA_儊僯儏乕娤嶡(2-1)" xfId="4090"/>
    <cellStyle name="好_0912POSDATA_儊僯儏乕娤嶡(2-1) 2" xfId="4091"/>
    <cellStyle name="好_0912POSDATA_儊僯儏乕娤嶡(2-1) 3" xfId="57297"/>
    <cellStyle name="好_0912POSDATA_儊僯儏乕娤嶡(2-1) 4" xfId="57298"/>
    <cellStyle name="好_0912POSDATA_儊僯儏乕娤嶡(2-1)." xfId="4092"/>
    <cellStyle name="好_0912POSDATA_儊僯儏乕娤嶡(2-1). 2" xfId="4093"/>
    <cellStyle name="好_0912POSDATA_儊僯儏乕娤嶡(2-1). 3" xfId="57299"/>
    <cellStyle name="好_0912POSDATA_儊僯儏乕娤嶡(2-1). 4" xfId="57300"/>
    <cellStyle name="好_0912POSDATA_儊僯儏乕娤嶡(2-1)._副本新メニュー観察(上海) 201204 花島添削 (5)" xfId="4094"/>
    <cellStyle name="好_0912POSDATA_儊僯儏乕娤嶡(2-1)._副本新メニュー観察(上海) 201204 花島添削 (5) 2" xfId="4095"/>
    <cellStyle name="好_0912POSDATA_儊僯儏乕娤嶡(2-1)._副本新メニュー観察(上海) 201204 花島添削 (5) 3" xfId="57301"/>
    <cellStyle name="好_0912POSDATA_儊僯儏乕娤嶡(2-1)._副本新メニュー観察(上海) 201204 花島添削 (5) 4" xfId="57302"/>
    <cellStyle name="好_0912POSDATA_儊僯儏乕娤嶡(2-1)._新メニュー観察(上海) 201204 花島添削 (2) (5)" xfId="4096"/>
    <cellStyle name="好_0912POSDATA_儊僯儏乕娤嶡(2-1)._新メニュー観察(上海) 201204 花島添削 (2) (5) 2" xfId="4097"/>
    <cellStyle name="好_0912POSDATA_儊僯儏乕娤嶡(2-1)._新メニュー観察(上海) 201204 花島添削 (2) (5) 3" xfId="57303"/>
    <cellStyle name="好_0912POSDATA_儊僯儏乕娤嶡(2-1)._新メニュー観察(上海) 201204 花島添削 (2) (5) 4" xfId="57304"/>
    <cellStyle name="好_0912POSDATA_儊僯儏乕娤嶡(2-1)_副本新メニュー観察(上海) 201204 花島添削 (5)" xfId="4098"/>
    <cellStyle name="好_0912POSDATA_儊僯儏乕娤嶡(2-1)_副本新メニュー観察(上海) 201204 花島添削 (5) 2" xfId="4099"/>
    <cellStyle name="好_0912POSDATA_儊僯儏乕娤嶡(2-1)_副本新メニュー観察(上海) 201204 花島添削 (5) 3" xfId="57305"/>
    <cellStyle name="好_0912POSDATA_儊僯儏乕娤嶡(2-1)_副本新メニュー観察(上海) 201204 花島添削 (5) 4" xfId="57306"/>
    <cellStyle name="好_0912POSDATA_儊僯儏乕娤嶡(2-1)_新メニュー観察(上海) 201204 花島添削 (2) (5)" xfId="4100"/>
    <cellStyle name="好_0912POSDATA_儊僯儏乕娤嶡(2-1)_新メニュー観察(上海) 201204 花島添削 (2) (5) 2" xfId="4101"/>
    <cellStyle name="好_0912POSDATA_儊僯儏乕娤嶡(2-1)_新メニュー観察(上海) 201204 花島添削 (2) (5) 3" xfId="57307"/>
    <cellStyle name="好_0912POSDATA_儊僯儏乕娤嶡(2-1)_新メニュー観察(上海) 201204 花島添削 (2) (5) 4" xfId="57308"/>
    <cellStyle name="好_0912POSDATA_儊僯儏乕娤嶡(2-2乯" xfId="4102"/>
    <cellStyle name="好_0912POSDATA_儊僯儏乕娤嶡(2-2乯 2" xfId="4103"/>
    <cellStyle name="好_0912POSDATA_儊僯儏乕娤嶡(2-2乯 3" xfId="57309"/>
    <cellStyle name="好_0912POSDATA_儊僯儏乕娤嶡(2-2乯 4" xfId="57310"/>
    <cellStyle name="好_0912POSDATA_物流" xfId="4104"/>
    <cellStyle name="好_0912POSDATA_物流 2" xfId="4105"/>
    <cellStyle name="好_0912POSDATA_物流 2 2" xfId="4106"/>
    <cellStyle name="好_0912POSDATA_物流 2 3" xfId="57311"/>
    <cellStyle name="好_0912POSDATA_物流 2 4" xfId="57312"/>
    <cellStyle name="好_0912POSDATA_物流 3" xfId="4107"/>
    <cellStyle name="好_0912POSDATA_物流 3 2" xfId="4108"/>
    <cellStyle name="好_0912POSDATA_物流 3 3" xfId="57313"/>
    <cellStyle name="好_0912POSDATA_物流 3 4" xfId="57314"/>
    <cellStyle name="好_0912POSDATA_物流 4" xfId="4109"/>
    <cellStyle name="好_0912POSDATA_物流 5" xfId="57315"/>
    <cellStyle name="好_0912POSDATA_物流 6" xfId="57316"/>
    <cellStyle name="好_0912POSDATA_物流_開発商品(chen)" xfId="4110"/>
    <cellStyle name="好_0912POSDATA_物流_開発商品(chen) 2" xfId="4111"/>
    <cellStyle name="好_0912POSDATA_物流_開発商品(chen) 2 2" xfId="4112"/>
    <cellStyle name="好_0912POSDATA_物流_開発商品(chen) 2 3" xfId="57317"/>
    <cellStyle name="好_0912POSDATA_物流_開発商品(chen) 2 4" xfId="57318"/>
    <cellStyle name="好_0912POSDATA_物流_開発商品(chen) 3" xfId="4113"/>
    <cellStyle name="好_0912POSDATA_物流_開発商品(chen) 3 2" xfId="4114"/>
    <cellStyle name="好_0912POSDATA_物流_開発商品(chen) 3 3" xfId="57319"/>
    <cellStyle name="好_0912POSDATA_物流_開発商品(chen) 3 4" xfId="57320"/>
    <cellStyle name="好_0912POSDATA_物流_開発商品(chen) 4" xfId="4115"/>
    <cellStyle name="好_0912POSDATA_物流_開発商品(chen) 5" xfId="57321"/>
    <cellStyle name="好_0912POSDATA_物流_開発商品(chen) 6" xfId="57322"/>
    <cellStyle name="好_0912POSDATA_物流_開発商品(chen)_40期事業計画（商品部）  (3)" xfId="4116"/>
    <cellStyle name="好_0912POSDATA_物流_開発商品(chen)_40期事業計画（商品部）  (3) 2" xfId="4117"/>
    <cellStyle name="好_0912POSDATA_物流_開発商品(chen)_40期事業計画（商品部）  (3) 3" xfId="57323"/>
    <cellStyle name="好_0912POSDATA_物流_開発商品(chen)_40期事業計画（商品部）  (3) 4" xfId="57324"/>
    <cellStyle name="好_0912POSDATA_物流_開発商品(chen)_40期事業計画（商品部1）" xfId="4118"/>
    <cellStyle name="好_0912POSDATA_物流_開発商品(chen)_40期事業計画（商品部1） 2" xfId="4119"/>
    <cellStyle name="好_0912POSDATA_物流_開発商品(chen)_40期事業計画（商品部1） 2 2" xfId="4120"/>
    <cellStyle name="好_0912POSDATA_物流_開発商品(chen)_40期事業計画（商品部1） 2 3" xfId="57325"/>
    <cellStyle name="好_0912POSDATA_物流_開発商品(chen)_40期事業計画（商品部1） 2 4" xfId="57326"/>
    <cellStyle name="好_0912POSDATA_物流_開発商品(chen)_40期事業計画（商品部1） 3" xfId="4121"/>
    <cellStyle name="好_0912POSDATA_物流_開発商品(chen)_40期事業計画（商品部1） 3 2" xfId="4122"/>
    <cellStyle name="好_0912POSDATA_物流_開発商品(chen)_40期事業計画（商品部1） 3 3" xfId="57327"/>
    <cellStyle name="好_0912POSDATA_物流_開発商品(chen)_40期事業計画（商品部1） 3 4" xfId="57328"/>
    <cellStyle name="好_0912POSDATA_物流_開発商品(chen)_40期事業計画（商品部1） 4" xfId="4123"/>
    <cellStyle name="好_0912POSDATA_物流_開発商品(chen)_40期事業計画（商品部1） 5" xfId="57329"/>
    <cellStyle name="好_0912POSDATA_物流_開発商品(chen)_40期事業計画（商品部1） 6" xfId="57330"/>
    <cellStyle name="好_0912POSDATA_物流_開発商品(chen)_40期預実（商品部） (3)" xfId="4124"/>
    <cellStyle name="好_0912POSDATA_物流_開発商品(chen)_40期預実（商品部） (3) 2" xfId="4125"/>
    <cellStyle name="好_0912POSDATA_物流_開発商品(chen)_40期預実（商品部） (3) 2 2" xfId="4126"/>
    <cellStyle name="好_0912POSDATA_物流_開発商品(chen)_40期預実（商品部） (3) 2 3" xfId="57331"/>
    <cellStyle name="好_0912POSDATA_物流_開発商品(chen)_40期預実（商品部） (3) 2 4" xfId="57332"/>
    <cellStyle name="好_0912POSDATA_物流_開発商品(chen)_40期預実（商品部） (3) 3" xfId="4127"/>
    <cellStyle name="好_0912POSDATA_物流_開発商品(chen)_40期預実（商品部） (3) 3 2" xfId="4128"/>
    <cellStyle name="好_0912POSDATA_物流_開発商品(chen)_40期預実（商品部） (3) 3 3" xfId="57333"/>
    <cellStyle name="好_0912POSDATA_物流_開発商品(chen)_40期預実（商品部） (3) 3 4" xfId="57334"/>
    <cellStyle name="好_0912POSDATA_物流_開発商品(chen)_40期預実（商品部） (3) 4" xfId="4129"/>
    <cellStyle name="好_0912POSDATA_物流_開発商品(chen)_40期預実（商品部） (3) 5" xfId="57335"/>
    <cellStyle name="好_0912POSDATA_物流_開発商品(chen)_40期預実（商品部） (3) 6" xfId="57336"/>
    <cellStyle name="好_0912POSDATA_物流_開発商品(chen)_41期事業計画(商品部)" xfId="4130"/>
    <cellStyle name="好_0912POSDATA_物流_開発商品(chen)_41期事業計画(商品部) 2" xfId="4131"/>
    <cellStyle name="好_0912POSDATA_物流_開発商品(chen)_41期事業計画(商品部) 2 2" xfId="4132"/>
    <cellStyle name="好_0912POSDATA_物流_開発商品(chen)_41期事業計画(商品部) 2 3" xfId="57337"/>
    <cellStyle name="好_0912POSDATA_物流_開発商品(chen)_41期事業計画(商品部) 2 4" xfId="57338"/>
    <cellStyle name="好_0912POSDATA_物流_開発商品(chen)_41期事業計画(商品部) 3" xfId="4133"/>
    <cellStyle name="好_0912POSDATA_物流_開発商品(chen)_41期事業計画(商品部) 3 2" xfId="4134"/>
    <cellStyle name="好_0912POSDATA_物流_開発商品(chen)_41期事業計画(商品部) 3 3" xfId="57339"/>
    <cellStyle name="好_0912POSDATA_物流_開発商品(chen)_41期事業計画(商品部) 3 4" xfId="57340"/>
    <cellStyle name="好_0912POSDATA_物流_開発商品(chen)_41期事業計画(商品部) 4" xfId="4135"/>
    <cellStyle name="好_0912POSDATA_物流_開発商品(chen)_41期事業計画(商品部) 5" xfId="57341"/>
    <cellStyle name="好_0912POSDATA_物流_開発商品(chen)_41期事業計画(商品部) 6" xfId="57342"/>
    <cellStyle name="好_0912POSDATA_物流_開発商品(chen)_CPI" xfId="4136"/>
    <cellStyle name="好_0912POSDATA_物流_開発商品(chen)_CPI 2" xfId="4137"/>
    <cellStyle name="好_0912POSDATA_物流_開発商品(chen)_CPI 2 2" xfId="4138"/>
    <cellStyle name="好_0912POSDATA_物流_開発商品(chen)_CPI 2 3" xfId="57343"/>
    <cellStyle name="好_0912POSDATA_物流_開発商品(chen)_CPI 2 4" xfId="57344"/>
    <cellStyle name="好_0912POSDATA_物流_開発商品(chen)_CPI 3" xfId="4139"/>
    <cellStyle name="好_0912POSDATA_物流_開発商品(chen)_CPI 3 2" xfId="4140"/>
    <cellStyle name="好_0912POSDATA_物流_開発商品(chen)_CPI 3 3" xfId="57345"/>
    <cellStyle name="好_0912POSDATA_物流_開発商品(chen)_CPI 3 4" xfId="57346"/>
    <cellStyle name="好_0912POSDATA_物流_開発商品(chen)_CPI 4" xfId="4141"/>
    <cellStyle name="好_0912POSDATA_物流_開発商品(chen)_CPI 5" xfId="57347"/>
    <cellStyle name="好_0912POSDATA_物流_開発商品(chen)_CPI 6" xfId="57348"/>
    <cellStyle name="好_0912POSDATA_物流_開発商品(chen)_CPI(1)" xfId="4142"/>
    <cellStyle name="好_0912POSDATA_物流_開発商品(chen)_CPI(1) 2" xfId="4143"/>
    <cellStyle name="好_0912POSDATA_物流_開発商品(chen)_CPI(1) 3" xfId="57349"/>
    <cellStyle name="好_0912POSDATA_物流_開発商品(chen)_CPI(1) 4" xfId="57350"/>
    <cellStyle name="好_0912POSDATA_物流_開発商品(chen)_副本40期預実（商品部） (3)" xfId="4144"/>
    <cellStyle name="好_0912POSDATA_物流_開発商品(chen)_副本40期預実（商品部） (3) 2" xfId="4145"/>
    <cellStyle name="好_0912POSDATA_物流_開発商品(chen)_副本40期預実（商品部） (3) 2 2" xfId="4146"/>
    <cellStyle name="好_0912POSDATA_物流_開発商品(chen)_副本40期預実（商品部） (3) 2 3" xfId="57351"/>
    <cellStyle name="好_0912POSDATA_物流_開発商品(chen)_副本40期預実（商品部） (3) 2 4" xfId="57352"/>
    <cellStyle name="好_0912POSDATA_物流_開発商品(chen)_副本40期預実（商品部） (3) 3" xfId="4147"/>
    <cellStyle name="好_0912POSDATA_物流_開発商品(chen)_副本40期預実（商品部） (3) 3 2" xfId="4148"/>
    <cellStyle name="好_0912POSDATA_物流_開発商品(chen)_副本40期預実（商品部） (3) 3 3" xfId="57353"/>
    <cellStyle name="好_0912POSDATA_物流_開発商品(chen)_副本40期預実（商品部） (3) 3 4" xfId="57354"/>
    <cellStyle name="好_0912POSDATA_物流_開発商品(chen)_副本40期預実（商品部） (3) 4" xfId="4149"/>
    <cellStyle name="好_0912POSDATA_物流_開発商品(chen)_副本40期預実（商品部） (3) 5" xfId="57355"/>
    <cellStyle name="好_0912POSDATA_物流_開発商品(chen)_副本40期預実（商品部） (3) 6" xfId="57356"/>
    <cellStyle name="好_0912POSDATA_物流_開発商品(chen)_副本41期事業計画商品部（備品） (2) (2)" xfId="4150"/>
    <cellStyle name="好_0912POSDATA_物流_開発商品(chen)_副本41期事業計画商品部（備品） (2) (2) 2" xfId="4151"/>
    <cellStyle name="好_0912POSDATA_物流_開発商品(chen)_副本41期事業計画商品部（備品） (2) (2) 2 2" xfId="4152"/>
    <cellStyle name="好_0912POSDATA_物流_開発商品(chen)_副本41期事業計画商品部（備品） (2) (2) 2 3" xfId="57357"/>
    <cellStyle name="好_0912POSDATA_物流_開発商品(chen)_副本41期事業計画商品部（備品） (2) (2) 2 4" xfId="57358"/>
    <cellStyle name="好_0912POSDATA_物流_開発商品(chen)_副本41期事業計画商品部（備品） (2) (2) 3" xfId="4153"/>
    <cellStyle name="好_0912POSDATA_物流_開発商品(chen)_副本41期事業計画商品部（備品） (2) (2) 3 2" xfId="4154"/>
    <cellStyle name="好_0912POSDATA_物流_開発商品(chen)_副本41期事業計画商品部（備品） (2) (2) 3 3" xfId="57359"/>
    <cellStyle name="好_0912POSDATA_物流_開発商品(chen)_副本41期事業計画商品部（備品） (2) (2) 3 4" xfId="57360"/>
    <cellStyle name="好_0912POSDATA_物流_開発商品(chen)_副本41期事業計画商品部（備品） (2) (2) 4" xfId="4155"/>
    <cellStyle name="好_0912POSDATA_物流_開発商品(chen)_副本41期事業計画商品部（備品） (2) (2) 5" xfId="57361"/>
    <cellStyle name="好_0912POSDATA_物流_開発商品(chen)_副本41期事業計画商品部（備品） (2) (2) 6" xfId="57362"/>
    <cellStyle name="好_0912POSDATA_新メニュー実績" xfId="4156"/>
    <cellStyle name="好_0912POSDATA_新メニュー実績 2" xfId="4157"/>
    <cellStyle name="好_0912POSDATA_新メニュー実績 3" xfId="57363"/>
    <cellStyle name="好_0912POSDATA_新メニュー実績 4" xfId="57364"/>
    <cellStyle name="好_0912POSDATA_原価率201003" xfId="147"/>
    <cellStyle name="好_0912POSDATA_原価率201003 2" xfId="4158"/>
    <cellStyle name="好_0912POSDATA_原価率201003 2 2" xfId="4159"/>
    <cellStyle name="好_0912POSDATA_原価率201003 2 3" xfId="57365"/>
    <cellStyle name="好_0912POSDATA_原価率201003 2 4" xfId="57366"/>
    <cellStyle name="好_0912POSDATA_原価率201003 3" xfId="4160"/>
    <cellStyle name="好_0912POSDATA_原価率201003 3 2" xfId="4161"/>
    <cellStyle name="好_0912POSDATA_原価率201003 3 3" xfId="57367"/>
    <cellStyle name="好_0912POSDATA_原価率201003 3 4" xfId="57368"/>
    <cellStyle name="好_0912POSDATA_原価率201003 4" xfId="57369"/>
    <cellStyle name="好_0912POSDATA_原価率201003 5" xfId="57370"/>
    <cellStyle name="好_0912POSDATA_原価率201003 6" xfId="57371"/>
    <cellStyle name="好_0912POSDATA_原価率201003 7" xfId="61005"/>
    <cellStyle name="好_0912POSDATA_原価率201003_Sheet1" xfId="4162"/>
    <cellStyle name="好_0912POSDATA_原価率201003_Sheet1 2" xfId="4163"/>
    <cellStyle name="好_0912POSDATA_原価率201003_Sheet1 3" xfId="57372"/>
    <cellStyle name="好_0912POSDATA_原価率201003_Sheet1 4" xfId="57373"/>
    <cellStyle name="好_0912POSDATA_原価率201003_儊僯儏乕娤嶡(2-1)" xfId="4164"/>
    <cellStyle name="好_0912POSDATA_原価率201003_儊僯儏乕娤嶡(2-1) 2" xfId="4165"/>
    <cellStyle name="好_0912POSDATA_原価率201003_儊僯儏乕娤嶡(2-1) 3" xfId="57374"/>
    <cellStyle name="好_0912POSDATA_原価率201003_儊僯儏乕娤嶡(2-1) 4" xfId="57375"/>
    <cellStyle name="好_0912POSDATA_原価率201003_儊僯儏乕娤嶡(2-1)." xfId="4166"/>
    <cellStyle name="好_0912POSDATA_原価率201003_儊僯儏乕娤嶡(2-1). 2" xfId="4167"/>
    <cellStyle name="好_0912POSDATA_原価率201003_儊僯儏乕娤嶡(2-1). 3" xfId="57376"/>
    <cellStyle name="好_0912POSDATA_原価率201003_儊僯儏乕娤嶡(2-1). 4" xfId="57377"/>
    <cellStyle name="好_0912POSDATA_原価率201003_儊僯儏乕娤嶡(2-1)._副本新メニュー観察(上海) 201204 花島添削 (5)" xfId="4168"/>
    <cellStyle name="好_0912POSDATA_原価率201003_儊僯儏乕娤嶡(2-1)._副本新メニュー観察(上海) 201204 花島添削 (5) 2" xfId="4169"/>
    <cellStyle name="好_0912POSDATA_原価率201003_儊僯儏乕娤嶡(2-1)._副本新メニュー観察(上海) 201204 花島添削 (5) 3" xfId="57378"/>
    <cellStyle name="好_0912POSDATA_原価率201003_儊僯儏乕娤嶡(2-1)._副本新メニュー観察(上海) 201204 花島添削 (5) 4" xfId="57379"/>
    <cellStyle name="好_0912POSDATA_原価率201003_儊僯儏乕娤嶡(2-1)._新メニュー観察(上海) 201204 花島添削 (2) (5)" xfId="4170"/>
    <cellStyle name="好_0912POSDATA_原価率201003_儊僯儏乕娤嶡(2-1)._新メニュー観察(上海) 201204 花島添削 (2) (5) 2" xfId="4171"/>
    <cellStyle name="好_0912POSDATA_原価率201003_儊僯儏乕娤嶡(2-1)._新メニュー観察(上海) 201204 花島添削 (2) (5) 3" xfId="57380"/>
    <cellStyle name="好_0912POSDATA_原価率201003_儊僯儏乕娤嶡(2-1)._新メニュー観察(上海) 201204 花島添削 (2) (5) 4" xfId="57381"/>
    <cellStyle name="好_0912POSDATA_原価率201003_儊僯儏乕娤嶡(2-1)_副本新メニュー観察(上海) 201204 花島添削 (5)" xfId="4172"/>
    <cellStyle name="好_0912POSDATA_原価率201003_儊僯儏乕娤嶡(2-1)_副本新メニュー観察(上海) 201204 花島添削 (5) 2" xfId="4173"/>
    <cellStyle name="好_0912POSDATA_原価率201003_儊僯儏乕娤嶡(2-1)_副本新メニュー観察(上海) 201204 花島添削 (5) 3" xfId="57382"/>
    <cellStyle name="好_0912POSDATA_原価率201003_儊僯儏乕娤嶡(2-1)_副本新メニュー観察(上海) 201204 花島添削 (5) 4" xfId="57383"/>
    <cellStyle name="好_0912POSDATA_原価率201003_儊僯儏乕娤嶡(2-1)_新メニュー観察(上海) 201204 花島添削 (2) (5)" xfId="4174"/>
    <cellStyle name="好_0912POSDATA_原価率201003_儊僯儏乕娤嶡(2-1)_新メニュー観察(上海) 201204 花島添削 (2) (5) 2" xfId="4175"/>
    <cellStyle name="好_0912POSDATA_原価率201003_儊僯儏乕娤嶡(2-1)_新メニュー観察(上海) 201204 花島添削 (2) (5) 3" xfId="57384"/>
    <cellStyle name="好_0912POSDATA_原価率201003_儊僯儏乕娤嶡(2-1)_新メニュー観察(上海) 201204 花島添削 (2) (5) 4" xfId="57385"/>
    <cellStyle name="好_0912POSDATA_原価率201003_儊僯儏乕娤嶡(2-2乯" xfId="4176"/>
    <cellStyle name="好_0912POSDATA_原価率201003_儊僯儏乕娤嶡(2-2乯 2" xfId="4177"/>
    <cellStyle name="好_0912POSDATA_原価率201003_儊僯儏乕娤嶡(2-2乯 3" xfId="57386"/>
    <cellStyle name="好_0912POSDATA_原価率201003_儊僯儏乕娤嶡(2-2乯 4" xfId="57387"/>
    <cellStyle name="好_0912POSDATA_原価率201003_物流" xfId="4178"/>
    <cellStyle name="好_0912POSDATA_原価率201003_物流 2" xfId="4179"/>
    <cellStyle name="好_0912POSDATA_原価率201003_物流 2 2" xfId="4180"/>
    <cellStyle name="好_0912POSDATA_原価率201003_物流 2 3" xfId="57388"/>
    <cellStyle name="好_0912POSDATA_原価率201003_物流 2 4" xfId="57389"/>
    <cellStyle name="好_0912POSDATA_原価率201003_物流 3" xfId="4181"/>
    <cellStyle name="好_0912POSDATA_原価率201003_物流 3 2" xfId="4182"/>
    <cellStyle name="好_0912POSDATA_原価率201003_物流 3 3" xfId="57390"/>
    <cellStyle name="好_0912POSDATA_原価率201003_物流 3 4" xfId="57391"/>
    <cellStyle name="好_0912POSDATA_原価率201003_物流 4" xfId="4183"/>
    <cellStyle name="好_0912POSDATA_原価率201003_物流 5" xfId="57392"/>
    <cellStyle name="好_0912POSDATA_原価率201003_物流 6" xfId="57393"/>
    <cellStyle name="好_0912POSDATA_原価率201003_物流_開発商品(chen)" xfId="4184"/>
    <cellStyle name="好_0912POSDATA_原価率201003_物流_開発商品(chen) 2" xfId="4185"/>
    <cellStyle name="好_0912POSDATA_原価率201003_物流_開発商品(chen) 2 2" xfId="4186"/>
    <cellStyle name="好_0912POSDATA_原価率201003_物流_開発商品(chen) 2 3" xfId="57394"/>
    <cellStyle name="好_0912POSDATA_原価率201003_物流_開発商品(chen) 2 4" xfId="57395"/>
    <cellStyle name="好_0912POSDATA_原価率201003_物流_開発商品(chen) 3" xfId="4187"/>
    <cellStyle name="好_0912POSDATA_原価率201003_物流_開発商品(chen) 3 2" xfId="4188"/>
    <cellStyle name="好_0912POSDATA_原価率201003_物流_開発商品(chen) 3 3" xfId="57396"/>
    <cellStyle name="好_0912POSDATA_原価率201003_物流_開発商品(chen) 3 4" xfId="57397"/>
    <cellStyle name="好_0912POSDATA_原価率201003_物流_開発商品(chen) 4" xfId="4189"/>
    <cellStyle name="好_0912POSDATA_原価率201003_物流_開発商品(chen) 5" xfId="57398"/>
    <cellStyle name="好_0912POSDATA_原価率201003_物流_開発商品(chen) 6" xfId="57399"/>
    <cellStyle name="好_0912POSDATA_原価率201003_物流_開発商品(chen)_40期事業計画（商品部）  (3)" xfId="4190"/>
    <cellStyle name="好_0912POSDATA_原価率201003_物流_開発商品(chen)_40期事業計画（商品部）  (3) 2" xfId="4191"/>
    <cellStyle name="好_0912POSDATA_原価率201003_物流_開発商品(chen)_40期事業計画（商品部）  (3) 3" xfId="57400"/>
    <cellStyle name="好_0912POSDATA_原価率201003_物流_開発商品(chen)_40期事業計画（商品部）  (3) 4" xfId="57401"/>
    <cellStyle name="好_0912POSDATA_原価率201003_物流_開発商品(chen)_40期事業計画（商品部1）" xfId="4192"/>
    <cellStyle name="好_0912POSDATA_原価率201003_物流_開発商品(chen)_40期事業計画（商品部1） 2" xfId="4193"/>
    <cellStyle name="好_0912POSDATA_原価率201003_物流_開発商品(chen)_40期事業計画（商品部1） 2 2" xfId="4194"/>
    <cellStyle name="好_0912POSDATA_原価率201003_物流_開発商品(chen)_40期事業計画（商品部1） 2 3" xfId="57402"/>
    <cellStyle name="好_0912POSDATA_原価率201003_物流_開発商品(chen)_40期事業計画（商品部1） 2 4" xfId="57403"/>
    <cellStyle name="好_0912POSDATA_原価率201003_物流_開発商品(chen)_40期事業計画（商品部1） 3" xfId="4195"/>
    <cellStyle name="好_0912POSDATA_原価率201003_物流_開発商品(chen)_40期事業計画（商品部1） 3 2" xfId="4196"/>
    <cellStyle name="好_0912POSDATA_原価率201003_物流_開発商品(chen)_40期事業計画（商品部1） 3 3" xfId="57404"/>
    <cellStyle name="好_0912POSDATA_原価率201003_物流_開発商品(chen)_40期事業計画（商品部1） 3 4" xfId="57405"/>
    <cellStyle name="好_0912POSDATA_原価率201003_物流_開発商品(chen)_40期事業計画（商品部1） 4" xfId="4197"/>
    <cellStyle name="好_0912POSDATA_原価率201003_物流_開発商品(chen)_40期事業計画（商品部1） 5" xfId="57406"/>
    <cellStyle name="好_0912POSDATA_原価率201003_物流_開発商品(chen)_40期事業計画（商品部1） 6" xfId="57407"/>
    <cellStyle name="好_0912POSDATA_原価率201003_物流_開発商品(chen)_40期預実（商品部） (3)" xfId="4198"/>
    <cellStyle name="好_0912POSDATA_原価率201003_物流_開発商品(chen)_40期預実（商品部） (3) 2" xfId="4199"/>
    <cellStyle name="好_0912POSDATA_原価率201003_物流_開発商品(chen)_40期預実（商品部） (3) 2 2" xfId="4200"/>
    <cellStyle name="好_0912POSDATA_原価率201003_物流_開発商品(chen)_40期預実（商品部） (3) 2 3" xfId="57408"/>
    <cellStyle name="好_0912POSDATA_原価率201003_物流_開発商品(chen)_40期預実（商品部） (3) 2 4" xfId="57409"/>
    <cellStyle name="好_0912POSDATA_原価率201003_物流_開発商品(chen)_40期預実（商品部） (3) 3" xfId="4201"/>
    <cellStyle name="好_0912POSDATA_原価率201003_物流_開発商品(chen)_40期預実（商品部） (3) 3 2" xfId="4202"/>
    <cellStyle name="好_0912POSDATA_原価率201003_物流_開発商品(chen)_40期預実（商品部） (3) 3 3" xfId="57410"/>
    <cellStyle name="好_0912POSDATA_原価率201003_物流_開発商品(chen)_40期預実（商品部） (3) 3 4" xfId="57411"/>
    <cellStyle name="好_0912POSDATA_原価率201003_物流_開発商品(chen)_40期預実（商品部） (3) 4" xfId="4203"/>
    <cellStyle name="好_0912POSDATA_原価率201003_物流_開発商品(chen)_40期預実（商品部） (3) 5" xfId="57412"/>
    <cellStyle name="好_0912POSDATA_原価率201003_物流_開発商品(chen)_40期預実（商品部） (3) 6" xfId="57413"/>
    <cellStyle name="好_0912POSDATA_原価率201003_物流_開発商品(chen)_41期事業計画(商品部)" xfId="4204"/>
    <cellStyle name="好_0912POSDATA_原価率201003_物流_開発商品(chen)_41期事業計画(商品部) 2" xfId="4205"/>
    <cellStyle name="好_0912POSDATA_原価率201003_物流_開発商品(chen)_41期事業計画(商品部) 2 2" xfId="4206"/>
    <cellStyle name="好_0912POSDATA_原価率201003_物流_開発商品(chen)_41期事業計画(商品部) 2 3" xfId="57414"/>
    <cellStyle name="好_0912POSDATA_原価率201003_物流_開発商品(chen)_41期事業計画(商品部) 2 4" xfId="57415"/>
    <cellStyle name="好_0912POSDATA_原価率201003_物流_開発商品(chen)_41期事業計画(商品部) 3" xfId="4207"/>
    <cellStyle name="好_0912POSDATA_原価率201003_物流_開発商品(chen)_41期事業計画(商品部) 3 2" xfId="4208"/>
    <cellStyle name="好_0912POSDATA_原価率201003_物流_開発商品(chen)_41期事業計画(商品部) 3 3" xfId="57416"/>
    <cellStyle name="好_0912POSDATA_原価率201003_物流_開発商品(chen)_41期事業計画(商品部) 3 4" xfId="57417"/>
    <cellStyle name="好_0912POSDATA_原価率201003_物流_開発商品(chen)_41期事業計画(商品部) 4" xfId="4209"/>
    <cellStyle name="好_0912POSDATA_原価率201003_物流_開発商品(chen)_41期事業計画(商品部) 5" xfId="57418"/>
    <cellStyle name="好_0912POSDATA_原価率201003_物流_開発商品(chen)_41期事業計画(商品部) 6" xfId="57419"/>
    <cellStyle name="好_0912POSDATA_原価率201003_物流_開発商品(chen)_CPI" xfId="4210"/>
    <cellStyle name="好_0912POSDATA_原価率201003_物流_開発商品(chen)_CPI 2" xfId="4211"/>
    <cellStyle name="好_0912POSDATA_原価率201003_物流_開発商品(chen)_CPI 2 2" xfId="4212"/>
    <cellStyle name="好_0912POSDATA_原価率201003_物流_開発商品(chen)_CPI 2 3" xfId="57420"/>
    <cellStyle name="好_0912POSDATA_原価率201003_物流_開発商品(chen)_CPI 2 4" xfId="57421"/>
    <cellStyle name="好_0912POSDATA_原価率201003_物流_開発商品(chen)_CPI 3" xfId="4213"/>
    <cellStyle name="好_0912POSDATA_原価率201003_物流_開発商品(chen)_CPI 3 2" xfId="4214"/>
    <cellStyle name="好_0912POSDATA_原価率201003_物流_開発商品(chen)_CPI 3 3" xfId="57422"/>
    <cellStyle name="好_0912POSDATA_原価率201003_物流_開発商品(chen)_CPI 3 4" xfId="57423"/>
    <cellStyle name="好_0912POSDATA_原価率201003_物流_開発商品(chen)_CPI 4" xfId="4215"/>
    <cellStyle name="好_0912POSDATA_原価率201003_物流_開発商品(chen)_CPI 5" xfId="57424"/>
    <cellStyle name="好_0912POSDATA_原価率201003_物流_開発商品(chen)_CPI 6" xfId="57425"/>
    <cellStyle name="好_0912POSDATA_原価率201003_物流_開発商品(chen)_CPI(1)" xfId="4216"/>
    <cellStyle name="好_0912POSDATA_原価率201003_物流_開発商品(chen)_CPI(1) 2" xfId="4217"/>
    <cellStyle name="好_0912POSDATA_原価率201003_物流_開発商品(chen)_CPI(1) 3" xfId="57426"/>
    <cellStyle name="好_0912POSDATA_原価率201003_物流_開発商品(chen)_CPI(1) 4" xfId="57427"/>
    <cellStyle name="好_0912POSDATA_原価率201003_物流_開発商品(chen)_副本40期預実（商品部） (3)" xfId="4218"/>
    <cellStyle name="好_0912POSDATA_原価率201003_物流_開発商品(chen)_副本40期預実（商品部） (3) 2" xfId="4219"/>
    <cellStyle name="好_0912POSDATA_原価率201003_物流_開発商品(chen)_副本40期預実（商品部） (3) 2 2" xfId="4220"/>
    <cellStyle name="好_0912POSDATA_原価率201003_物流_開発商品(chen)_副本40期預実（商品部） (3) 2 3" xfId="57428"/>
    <cellStyle name="好_0912POSDATA_原価率201003_物流_開発商品(chen)_副本40期預実（商品部） (3) 2 4" xfId="57429"/>
    <cellStyle name="好_0912POSDATA_原価率201003_物流_開発商品(chen)_副本40期預実（商品部） (3) 3" xfId="4221"/>
    <cellStyle name="好_0912POSDATA_原価率201003_物流_開発商品(chen)_副本40期預実（商品部） (3) 3 2" xfId="4222"/>
    <cellStyle name="好_0912POSDATA_原価率201003_物流_開発商品(chen)_副本40期預実（商品部） (3) 3 3" xfId="57430"/>
    <cellStyle name="好_0912POSDATA_原価率201003_物流_開発商品(chen)_副本40期預実（商品部） (3) 3 4" xfId="57431"/>
    <cellStyle name="好_0912POSDATA_原価率201003_物流_開発商品(chen)_副本40期預実（商品部） (3) 4" xfId="4223"/>
    <cellStyle name="好_0912POSDATA_原価率201003_物流_開発商品(chen)_副本40期預実（商品部） (3) 5" xfId="57432"/>
    <cellStyle name="好_0912POSDATA_原価率201003_物流_開発商品(chen)_副本40期預実（商品部） (3) 6" xfId="57433"/>
    <cellStyle name="好_0912POSDATA_原価率201003_物流_開発商品(chen)_副本41期事業計画商品部（備品） (2) (2)" xfId="4224"/>
    <cellStyle name="好_0912POSDATA_原価率201003_物流_開発商品(chen)_副本41期事業計画商品部（備品） (2) (2) 2" xfId="4225"/>
    <cellStyle name="好_0912POSDATA_原価率201003_物流_開発商品(chen)_副本41期事業計画商品部（備品） (2) (2) 2 2" xfId="4226"/>
    <cellStyle name="好_0912POSDATA_原価率201003_物流_開発商品(chen)_副本41期事業計画商品部（備品） (2) (2) 2 3" xfId="57434"/>
    <cellStyle name="好_0912POSDATA_原価率201003_物流_開発商品(chen)_副本41期事業計画商品部（備品） (2) (2) 2 4" xfId="57435"/>
    <cellStyle name="好_0912POSDATA_原価率201003_物流_開発商品(chen)_副本41期事業計画商品部（備品） (2) (2) 3" xfId="4227"/>
    <cellStyle name="好_0912POSDATA_原価率201003_物流_開発商品(chen)_副本41期事業計画商品部（備品） (2) (2) 3 2" xfId="4228"/>
    <cellStyle name="好_0912POSDATA_原価率201003_物流_開発商品(chen)_副本41期事業計画商品部（備品） (2) (2) 3 3" xfId="57436"/>
    <cellStyle name="好_0912POSDATA_原価率201003_物流_開発商品(chen)_副本41期事業計画商品部（備品） (2) (2) 3 4" xfId="57437"/>
    <cellStyle name="好_0912POSDATA_原価率201003_物流_開発商品(chen)_副本41期事業計画商品部（備品） (2) (2) 4" xfId="4229"/>
    <cellStyle name="好_0912POSDATA_原価率201003_物流_開発商品(chen)_副本41期事業計画商品部（備品） (2) (2) 5" xfId="57438"/>
    <cellStyle name="好_0912POSDATA_原価率201003_物流_開発商品(chen)_副本41期事業計画商品部（備品） (2) (2) 6" xfId="57439"/>
    <cellStyle name="好_0912POSDATA_原価率201003_新メニュー実績" xfId="4230"/>
    <cellStyle name="好_0912POSDATA_原価率201003_新メニュー実績 2" xfId="4231"/>
    <cellStyle name="好_0912POSDATA_原価率201003_新メニュー実績 3" xfId="57440"/>
    <cellStyle name="好_0912POSDATA_原価率201003_新メニュー実績 4" xfId="57441"/>
    <cellStyle name="好_1" xfId="48"/>
    <cellStyle name="好_10" xfId="49"/>
    <cellStyle name="好_101121萨莉亚餐厅籐椅子見積(1)" xfId="57442"/>
    <cellStyle name="好_101121萨莉亚餐厅籐椅子見積(1) 2" xfId="57443"/>
    <cellStyle name="好_101121萨莉亚餐厅籐椅子見積(1) 3" xfId="57444"/>
    <cellStyle name="好_101121萨莉亚餐厅籐椅子見積(1) 4" xfId="57445"/>
    <cellStyle name="好_101121萨莉亚餐厅籐椅子見積(1) 5" xfId="57446"/>
    <cellStyle name="好_101121萨莉亚餐厅籐椅子見積(1) 6" xfId="57447"/>
    <cellStyle name="好_101121萨莉亚餐厅籐椅子見積(1) 7" xfId="57448"/>
    <cellStyle name="好_101121萨莉亚餐厅籐椅子見積(1) 8" xfId="57449"/>
    <cellStyle name="好_101121萨莉亚餐厅籐椅子見積(1)_3月メンテナンス請求" xfId="57450"/>
    <cellStyle name="好_101121萨莉亚餐厅籐椅子見積(1)_3月メンテナンス請求 2" xfId="57451"/>
    <cellStyle name="好_101121萨莉亚餐厅籐椅子見積(1)_3月メンテナンス請求 3" xfId="57452"/>
    <cellStyle name="好_101121萨莉亚餐厅籐椅子見積(1)_3月メンテナンス請求 4" xfId="57453"/>
    <cellStyle name="好_101121萨莉亚餐厅籐椅子見積(1)_3月メンテナンス請求 5" xfId="57454"/>
    <cellStyle name="好_101121萨莉亚餐厅籐椅子見積(1)_5月メンテナンス請求書(0614更新）" xfId="57455"/>
    <cellStyle name="好_101121萨莉亚餐厅籐椅子見積(1)_5月メンテナンス請求書(0614更新） 2" xfId="57456"/>
    <cellStyle name="好_101121萨莉亚餐厅籐椅子見積(1)_5月メンテナンス請求書(0614更新） 3" xfId="57457"/>
    <cellStyle name="好_101121萨莉亚餐厅籐椅子見積(1)_5月メンテナンス請求書(0614更新） 4" xfId="57458"/>
    <cellStyle name="好_101121萨莉亚餐厅籐椅子見積(1)_5月メンテナンス請求書(0614更新） 5" xfId="57459"/>
    <cellStyle name="好_101121萨莉亚餐厅籐椅子見積(1)_6月メンテナンス請求書" xfId="57460"/>
    <cellStyle name="好_101121萨莉亚餐厅籐椅子見積(1)_6月メンテナンス請求書 2" xfId="57461"/>
    <cellStyle name="好_101121萨莉亚餐厅籐椅子見積(1)_6月メンテナンス請求書 3" xfId="57462"/>
    <cellStyle name="好_101121萨莉亚餐厅籐椅子見積(1)_6月メンテナンス請求書 4" xfId="57463"/>
    <cellStyle name="好_101121萨莉亚餐厅籐椅子見積(1)_6月メンテナンス請求書 5" xfId="57464"/>
    <cellStyle name="好_101121萨莉亚餐厅籐椅子見積(1)_見積書)南山吉之岛破损沙发维修" xfId="57465"/>
    <cellStyle name="好_101121萨莉亚餐厅籐椅子見積(1)_見積書)南山吉之岛破损沙发维修 2" xfId="57466"/>
    <cellStyle name="好_101121萨莉亚餐厅籐椅子見積(1)_見積書)南山吉之岛破损沙发维修 3" xfId="57467"/>
    <cellStyle name="好_101121萨莉亚餐厅籐椅子見積(1)_見積書)南山吉之岛破损沙发维修 4" xfId="57468"/>
    <cellStyle name="好_101121萨莉亚餐厅籐椅子見積(1)_見積書)南山吉之岛破损沙发维修 5" xfId="57469"/>
    <cellStyle name="好_101121萨莉亚餐厅籐椅子見積(1)_見積書)南山吉之岛破损沙发维修_5月メンテナンス請求" xfId="57470"/>
    <cellStyle name="好_101121萨莉亚餐厅籐椅子見積(1)_見積書)南山吉之岛破损沙发维修_5月メンテナンス請求 2" xfId="57471"/>
    <cellStyle name="好_101121萨莉亚餐厅籐椅子見積(1)_見積書)南山吉之岛破损沙发维修_5月メンテナンス請求 3" xfId="57472"/>
    <cellStyle name="好_101121萨莉亚餐厅籐椅子見積(1)_見積書)南山吉之岛破损沙发维修_5月メンテナンス請求 4" xfId="57473"/>
    <cellStyle name="好_101121萨莉亚餐厅籐椅子見積(1)_見積書)南山吉之岛破损沙发维修_5月メンテナンス請求 5" xfId="57474"/>
    <cellStyle name="好_101121萨莉亚餐厅籐椅子見積(1)_見積書)上下九店烤箱维修" xfId="57475"/>
    <cellStyle name="好_101121萨莉亚餐厅籐椅子見積(1)_見積書)上下九店烤箱维修 2" xfId="57476"/>
    <cellStyle name="好_101121萨莉亚餐厅籐椅子見積(1)_見積書)上下九店烤箱维修 3" xfId="57477"/>
    <cellStyle name="好_101121萨莉亚餐厅籐椅子見積(1)_見積書)上下九店烤箱维修 4" xfId="57478"/>
    <cellStyle name="好_101121萨莉亚餐厅籐椅子見積(1)_見積書)上下九店烤箱维修 5" xfId="57479"/>
    <cellStyle name="好_101121萨莉亚餐厅籐椅子見積(1)_見積書)上下九店烤箱维修_5月メンテナンス請求" xfId="57480"/>
    <cellStyle name="好_101121萨莉亚餐厅籐椅子見積(1)_見積書)上下九店烤箱维修_5月メンテナンス請求 2" xfId="57481"/>
    <cellStyle name="好_101121萨莉亚餐厅籐椅子見積(1)_見積書)上下九店烤箱维修_5月メンテナンス請求 3" xfId="57482"/>
    <cellStyle name="好_101121萨莉亚餐厅籐椅子見積(1)_見積書)上下九店烤箱维修_5月メンテナンス請求 4" xfId="57483"/>
    <cellStyle name="好_101121萨莉亚餐厅籐椅子見積(1)_見積書)上下九店烤箱维修_5月メンテナンス請求 5" xfId="57484"/>
    <cellStyle name="好_101121萨莉亚餐厅籐椅子見積(1)_見積書5月" xfId="57485"/>
    <cellStyle name="好_101121萨莉亚餐厅籐椅子見積(1)_見積書5月 2" xfId="57486"/>
    <cellStyle name="好_101121萨莉亚餐厅籐椅子見積(1)_見積書5月 3" xfId="57487"/>
    <cellStyle name="好_101121萨莉亚餐厅籐椅子見積(1)_見積書5月 4" xfId="57488"/>
    <cellStyle name="好_101121萨莉亚餐厅籐椅子見積(1)_見積書5月 5" xfId="57489"/>
    <cellStyle name="好_101121萨莉亚餐厅籐椅子見積(1)_見積書雛形" xfId="57490"/>
    <cellStyle name="好_101121萨莉亚餐厅籐椅子見積(1)_見積書雛形 2" xfId="57491"/>
    <cellStyle name="好_101121萨莉亚餐厅籐椅子見積(1)_見積書雛形 3" xfId="57492"/>
    <cellStyle name="好_101121萨莉亚餐厅籐椅子見積(1)_見積書雛形 4" xfId="57493"/>
    <cellStyle name="好_101121萨莉亚餐厅籐椅子見積(1)_見積書雛形 5" xfId="57494"/>
    <cellStyle name="好_101121萨莉亚餐厅籐椅子見積(1)_見積書雛形_1" xfId="57495"/>
    <cellStyle name="好_101121萨莉亚餐厅籐椅子見積(1)_見積書雛形_1 2" xfId="57496"/>
    <cellStyle name="好_101121萨莉亚餐厅籐椅子見積(1)_見積書雛形_1 3" xfId="57497"/>
    <cellStyle name="好_101121萨莉亚餐厅籐椅子見積(1)_見積書雛形_1 4" xfId="57498"/>
    <cellStyle name="好_101121萨莉亚餐厅籐椅子見積(1)_見積書雛形_1 5" xfId="57499"/>
    <cellStyle name="好_10万元使用量0804" xfId="4232"/>
    <cellStyle name="好_11" xfId="50"/>
    <cellStyle name="好_12" xfId="51"/>
    <cellStyle name="好_1402月升迁" xfId="8501"/>
    <cellStyle name="好_2" xfId="52"/>
    <cellStyle name="好_2010-01POSDATA" xfId="148"/>
    <cellStyle name="好_2010-01POSDATA 2" xfId="4233"/>
    <cellStyle name="好_2010-01POSDATA 2 2" xfId="4234"/>
    <cellStyle name="好_2010-01POSDATA 2 3" xfId="57500"/>
    <cellStyle name="好_2010-01POSDATA 2 4" xfId="57501"/>
    <cellStyle name="好_2010-01POSDATA 3" xfId="4235"/>
    <cellStyle name="好_2010-01POSDATA 3 2" xfId="4236"/>
    <cellStyle name="好_2010-01POSDATA 3 3" xfId="57502"/>
    <cellStyle name="好_2010-01POSDATA 3 4" xfId="57503"/>
    <cellStyle name="好_2010-01POSDATA 4" xfId="57504"/>
    <cellStyle name="好_2010-01POSDATA 5" xfId="57505"/>
    <cellStyle name="好_2010-01POSDATA 6" xfId="57506"/>
    <cellStyle name="好_2010-01POSDATA 7" xfId="61006"/>
    <cellStyle name="好_2010-01POSDATA_Sheet1" xfId="4237"/>
    <cellStyle name="好_2010-01POSDATA_Sheet1 2" xfId="4238"/>
    <cellStyle name="好_2010-01POSDATA_Sheet1 3" xfId="57507"/>
    <cellStyle name="好_2010-01POSDATA_Sheet1 4" xfId="57508"/>
    <cellStyle name="好_2010-01POSDATA_儊僯儏乕娤嶡(2-1)" xfId="4239"/>
    <cellStyle name="好_2010-01POSDATA_儊僯儏乕娤嶡(2-1) 2" xfId="4240"/>
    <cellStyle name="好_2010-01POSDATA_儊僯儏乕娤嶡(2-1) 3" xfId="57509"/>
    <cellStyle name="好_2010-01POSDATA_儊僯儏乕娤嶡(2-1) 4" xfId="57510"/>
    <cellStyle name="好_2010-01POSDATA_儊僯儏乕娤嶡(2-1)." xfId="4241"/>
    <cellStyle name="好_2010-01POSDATA_儊僯儏乕娤嶡(2-1). 2" xfId="4242"/>
    <cellStyle name="好_2010-01POSDATA_儊僯儏乕娤嶡(2-1). 3" xfId="57511"/>
    <cellStyle name="好_2010-01POSDATA_儊僯儏乕娤嶡(2-1). 4" xfId="57512"/>
    <cellStyle name="好_2010-01POSDATA_儊僯儏乕娤嶡(2-1)._副本新メニュー観察(上海) 201204 花島添削 (5)" xfId="4243"/>
    <cellStyle name="好_2010-01POSDATA_儊僯儏乕娤嶡(2-1)._副本新メニュー観察(上海) 201204 花島添削 (5) 2" xfId="4244"/>
    <cellStyle name="好_2010-01POSDATA_儊僯儏乕娤嶡(2-1)._副本新メニュー観察(上海) 201204 花島添削 (5) 3" xfId="57513"/>
    <cellStyle name="好_2010-01POSDATA_儊僯儏乕娤嶡(2-1)._副本新メニュー観察(上海) 201204 花島添削 (5) 4" xfId="57514"/>
    <cellStyle name="好_2010-01POSDATA_儊僯儏乕娤嶡(2-1)._新メニュー観察(上海) 201204 花島添削 (2) (5)" xfId="4245"/>
    <cellStyle name="好_2010-01POSDATA_儊僯儏乕娤嶡(2-1)._新メニュー観察(上海) 201204 花島添削 (2) (5) 2" xfId="4246"/>
    <cellStyle name="好_2010-01POSDATA_儊僯儏乕娤嶡(2-1)._新メニュー観察(上海) 201204 花島添削 (2) (5) 3" xfId="57515"/>
    <cellStyle name="好_2010-01POSDATA_儊僯儏乕娤嶡(2-1)._新メニュー観察(上海) 201204 花島添削 (2) (5) 4" xfId="57516"/>
    <cellStyle name="好_2010-01POSDATA_儊僯儏乕娤嶡(2-1)_副本新メニュー観察(上海) 201204 花島添削 (5)" xfId="4247"/>
    <cellStyle name="好_2010-01POSDATA_儊僯儏乕娤嶡(2-1)_副本新メニュー観察(上海) 201204 花島添削 (5) 2" xfId="4248"/>
    <cellStyle name="好_2010-01POSDATA_儊僯儏乕娤嶡(2-1)_副本新メニュー観察(上海) 201204 花島添削 (5) 3" xfId="57517"/>
    <cellStyle name="好_2010-01POSDATA_儊僯儏乕娤嶡(2-1)_副本新メニュー観察(上海) 201204 花島添削 (5) 4" xfId="57518"/>
    <cellStyle name="好_2010-01POSDATA_儊僯儏乕娤嶡(2-1)_新メニュー観察(上海) 201204 花島添削 (2) (5)" xfId="4249"/>
    <cellStyle name="好_2010-01POSDATA_儊僯儏乕娤嶡(2-1)_新メニュー観察(上海) 201204 花島添削 (2) (5) 2" xfId="4250"/>
    <cellStyle name="好_2010-01POSDATA_儊僯儏乕娤嶡(2-1)_新メニュー観察(上海) 201204 花島添削 (2) (5) 3" xfId="57519"/>
    <cellStyle name="好_2010-01POSDATA_儊僯儏乕娤嶡(2-1)_新メニュー観察(上海) 201204 花島添削 (2) (5) 4" xfId="57520"/>
    <cellStyle name="好_2010-01POSDATA_儊僯儏乕娤嶡(2-2乯" xfId="4251"/>
    <cellStyle name="好_2010-01POSDATA_儊僯儏乕娤嶡(2-2乯 2" xfId="4252"/>
    <cellStyle name="好_2010-01POSDATA_儊僯儏乕娤嶡(2-2乯 3" xfId="57521"/>
    <cellStyle name="好_2010-01POSDATA_儊僯儏乕娤嶡(2-2乯 4" xfId="57522"/>
    <cellStyle name="好_2010-01POSDATA_物流" xfId="4253"/>
    <cellStyle name="好_2010-01POSDATA_物流 2" xfId="4254"/>
    <cellStyle name="好_2010-01POSDATA_物流 2 2" xfId="4255"/>
    <cellStyle name="好_2010-01POSDATA_物流 2 3" xfId="57523"/>
    <cellStyle name="好_2010-01POSDATA_物流 2 4" xfId="57524"/>
    <cellStyle name="好_2010-01POSDATA_物流 3" xfId="4256"/>
    <cellStyle name="好_2010-01POSDATA_物流 3 2" xfId="4257"/>
    <cellStyle name="好_2010-01POSDATA_物流 3 3" xfId="57525"/>
    <cellStyle name="好_2010-01POSDATA_物流 3 4" xfId="57526"/>
    <cellStyle name="好_2010-01POSDATA_物流 4" xfId="4258"/>
    <cellStyle name="好_2010-01POSDATA_物流 5" xfId="57527"/>
    <cellStyle name="好_2010-01POSDATA_物流 6" xfId="57528"/>
    <cellStyle name="好_2010-01POSDATA_物流_開発商品(chen)" xfId="4259"/>
    <cellStyle name="好_2010-01POSDATA_物流_開発商品(chen) 2" xfId="4260"/>
    <cellStyle name="好_2010-01POSDATA_物流_開発商品(chen) 2 2" xfId="4261"/>
    <cellStyle name="好_2010-01POSDATA_物流_開発商品(chen) 2 3" xfId="57529"/>
    <cellStyle name="好_2010-01POSDATA_物流_開発商品(chen) 2 4" xfId="57530"/>
    <cellStyle name="好_2010-01POSDATA_物流_開発商品(chen) 3" xfId="4262"/>
    <cellStyle name="好_2010-01POSDATA_物流_開発商品(chen) 3 2" xfId="4263"/>
    <cellStyle name="好_2010-01POSDATA_物流_開発商品(chen) 3 3" xfId="57531"/>
    <cellStyle name="好_2010-01POSDATA_物流_開発商品(chen) 3 4" xfId="57532"/>
    <cellStyle name="好_2010-01POSDATA_物流_開発商品(chen) 4" xfId="4264"/>
    <cellStyle name="好_2010-01POSDATA_物流_開発商品(chen) 5" xfId="57533"/>
    <cellStyle name="好_2010-01POSDATA_物流_開発商品(chen) 6" xfId="57534"/>
    <cellStyle name="好_2010-01POSDATA_物流_開発商品(chen)_40期事業計画（商品部）  (3)" xfId="4265"/>
    <cellStyle name="好_2010-01POSDATA_物流_開発商品(chen)_40期事業計画（商品部）  (3) 2" xfId="4266"/>
    <cellStyle name="好_2010-01POSDATA_物流_開発商品(chen)_40期事業計画（商品部）  (3) 3" xfId="57535"/>
    <cellStyle name="好_2010-01POSDATA_物流_開発商品(chen)_40期事業計画（商品部）  (3) 4" xfId="57536"/>
    <cellStyle name="好_2010-01POSDATA_物流_開発商品(chen)_40期事業計画（商品部1）" xfId="4267"/>
    <cellStyle name="好_2010-01POSDATA_物流_開発商品(chen)_40期事業計画（商品部1） 2" xfId="4268"/>
    <cellStyle name="好_2010-01POSDATA_物流_開発商品(chen)_40期事業計画（商品部1） 2 2" xfId="4269"/>
    <cellStyle name="好_2010-01POSDATA_物流_開発商品(chen)_40期事業計画（商品部1） 2 3" xfId="57537"/>
    <cellStyle name="好_2010-01POSDATA_物流_開発商品(chen)_40期事業計画（商品部1） 2 4" xfId="57538"/>
    <cellStyle name="好_2010-01POSDATA_物流_開発商品(chen)_40期事業計画（商品部1） 3" xfId="4270"/>
    <cellStyle name="好_2010-01POSDATA_物流_開発商品(chen)_40期事業計画（商品部1） 3 2" xfId="4271"/>
    <cellStyle name="好_2010-01POSDATA_物流_開発商品(chen)_40期事業計画（商品部1） 3 3" xfId="57539"/>
    <cellStyle name="好_2010-01POSDATA_物流_開発商品(chen)_40期事業計画（商品部1） 3 4" xfId="57540"/>
    <cellStyle name="好_2010-01POSDATA_物流_開発商品(chen)_40期事業計画（商品部1） 4" xfId="4272"/>
    <cellStyle name="好_2010-01POSDATA_物流_開発商品(chen)_40期事業計画（商品部1） 5" xfId="57541"/>
    <cellStyle name="好_2010-01POSDATA_物流_開発商品(chen)_40期事業計画（商品部1） 6" xfId="57542"/>
    <cellStyle name="好_2010-01POSDATA_物流_開発商品(chen)_40期預実（商品部） (3)" xfId="4273"/>
    <cellStyle name="好_2010-01POSDATA_物流_開発商品(chen)_40期預実（商品部） (3) 2" xfId="4274"/>
    <cellStyle name="好_2010-01POSDATA_物流_開発商品(chen)_40期預実（商品部） (3) 2 2" xfId="4275"/>
    <cellStyle name="好_2010-01POSDATA_物流_開発商品(chen)_40期預実（商品部） (3) 2 3" xfId="57543"/>
    <cellStyle name="好_2010-01POSDATA_物流_開発商品(chen)_40期預実（商品部） (3) 2 4" xfId="57544"/>
    <cellStyle name="好_2010-01POSDATA_物流_開発商品(chen)_40期預実（商品部） (3) 3" xfId="4276"/>
    <cellStyle name="好_2010-01POSDATA_物流_開発商品(chen)_40期預実（商品部） (3) 3 2" xfId="4277"/>
    <cellStyle name="好_2010-01POSDATA_物流_開発商品(chen)_40期預実（商品部） (3) 3 3" xfId="57545"/>
    <cellStyle name="好_2010-01POSDATA_物流_開発商品(chen)_40期預実（商品部） (3) 3 4" xfId="57546"/>
    <cellStyle name="好_2010-01POSDATA_物流_開発商品(chen)_40期預実（商品部） (3) 4" xfId="4278"/>
    <cellStyle name="好_2010-01POSDATA_物流_開発商品(chen)_40期預実（商品部） (3) 5" xfId="57547"/>
    <cellStyle name="好_2010-01POSDATA_物流_開発商品(chen)_40期預実（商品部） (3) 6" xfId="57548"/>
    <cellStyle name="好_2010-01POSDATA_物流_開発商品(chen)_41期事業計画(商品部)" xfId="4279"/>
    <cellStyle name="好_2010-01POSDATA_物流_開発商品(chen)_41期事業計画(商品部) 2" xfId="4280"/>
    <cellStyle name="好_2010-01POSDATA_物流_開発商品(chen)_41期事業計画(商品部) 2 2" xfId="4281"/>
    <cellStyle name="好_2010-01POSDATA_物流_開発商品(chen)_41期事業計画(商品部) 2 3" xfId="57549"/>
    <cellStyle name="好_2010-01POSDATA_物流_開発商品(chen)_41期事業計画(商品部) 2 4" xfId="57550"/>
    <cellStyle name="好_2010-01POSDATA_物流_開発商品(chen)_41期事業計画(商品部) 3" xfId="4282"/>
    <cellStyle name="好_2010-01POSDATA_物流_開発商品(chen)_41期事業計画(商品部) 3 2" xfId="4283"/>
    <cellStyle name="好_2010-01POSDATA_物流_開発商品(chen)_41期事業計画(商品部) 3 3" xfId="57551"/>
    <cellStyle name="好_2010-01POSDATA_物流_開発商品(chen)_41期事業計画(商品部) 3 4" xfId="57552"/>
    <cellStyle name="好_2010-01POSDATA_物流_開発商品(chen)_41期事業計画(商品部) 4" xfId="4284"/>
    <cellStyle name="好_2010-01POSDATA_物流_開発商品(chen)_41期事業計画(商品部) 5" xfId="57553"/>
    <cellStyle name="好_2010-01POSDATA_物流_開発商品(chen)_41期事業計画(商品部) 6" xfId="57554"/>
    <cellStyle name="好_2010-01POSDATA_物流_開発商品(chen)_CPI" xfId="4285"/>
    <cellStyle name="好_2010-01POSDATA_物流_開発商品(chen)_CPI 2" xfId="4286"/>
    <cellStyle name="好_2010-01POSDATA_物流_開発商品(chen)_CPI 2 2" xfId="4287"/>
    <cellStyle name="好_2010-01POSDATA_物流_開発商品(chen)_CPI 2 3" xfId="57555"/>
    <cellStyle name="好_2010-01POSDATA_物流_開発商品(chen)_CPI 2 4" xfId="57556"/>
    <cellStyle name="好_2010-01POSDATA_物流_開発商品(chen)_CPI 3" xfId="4288"/>
    <cellStyle name="好_2010-01POSDATA_物流_開発商品(chen)_CPI 3 2" xfId="4289"/>
    <cellStyle name="好_2010-01POSDATA_物流_開発商品(chen)_CPI 3 3" xfId="57557"/>
    <cellStyle name="好_2010-01POSDATA_物流_開発商品(chen)_CPI 3 4" xfId="57558"/>
    <cellStyle name="好_2010-01POSDATA_物流_開発商品(chen)_CPI 4" xfId="4290"/>
    <cellStyle name="好_2010-01POSDATA_物流_開発商品(chen)_CPI 5" xfId="57559"/>
    <cellStyle name="好_2010-01POSDATA_物流_開発商品(chen)_CPI 6" xfId="57560"/>
    <cellStyle name="好_2010-01POSDATA_物流_開発商品(chen)_CPI(1)" xfId="4291"/>
    <cellStyle name="好_2010-01POSDATA_物流_開発商品(chen)_CPI(1) 2" xfId="4292"/>
    <cellStyle name="好_2010-01POSDATA_物流_開発商品(chen)_CPI(1) 3" xfId="57561"/>
    <cellStyle name="好_2010-01POSDATA_物流_開発商品(chen)_CPI(1) 4" xfId="57562"/>
    <cellStyle name="好_2010-01POSDATA_物流_開発商品(chen)_副本40期預実（商品部） (3)" xfId="4293"/>
    <cellStyle name="好_2010-01POSDATA_物流_開発商品(chen)_副本40期預実（商品部） (3) 2" xfId="4294"/>
    <cellStyle name="好_2010-01POSDATA_物流_開発商品(chen)_副本40期預実（商品部） (3) 2 2" xfId="4295"/>
    <cellStyle name="好_2010-01POSDATA_物流_開発商品(chen)_副本40期預実（商品部） (3) 2 3" xfId="57563"/>
    <cellStyle name="好_2010-01POSDATA_物流_開発商品(chen)_副本40期預実（商品部） (3) 2 4" xfId="57564"/>
    <cellStyle name="好_2010-01POSDATA_物流_開発商品(chen)_副本40期預実（商品部） (3) 3" xfId="4296"/>
    <cellStyle name="好_2010-01POSDATA_物流_開発商品(chen)_副本40期預実（商品部） (3) 3 2" xfId="4297"/>
    <cellStyle name="好_2010-01POSDATA_物流_開発商品(chen)_副本40期預実（商品部） (3) 3 3" xfId="57565"/>
    <cellStyle name="好_2010-01POSDATA_物流_開発商品(chen)_副本40期預実（商品部） (3) 3 4" xfId="57566"/>
    <cellStyle name="好_2010-01POSDATA_物流_開発商品(chen)_副本40期預実（商品部） (3) 4" xfId="4298"/>
    <cellStyle name="好_2010-01POSDATA_物流_開発商品(chen)_副本40期預実（商品部） (3) 5" xfId="57567"/>
    <cellStyle name="好_2010-01POSDATA_物流_開発商品(chen)_副本40期預実（商品部） (3) 6" xfId="57568"/>
    <cellStyle name="好_2010-01POSDATA_物流_開発商品(chen)_副本41期事業計画商品部（備品） (2) (2)" xfId="4299"/>
    <cellStyle name="好_2010-01POSDATA_物流_開発商品(chen)_副本41期事業計画商品部（備品） (2) (2) 2" xfId="4300"/>
    <cellStyle name="好_2010-01POSDATA_物流_開発商品(chen)_副本41期事業計画商品部（備品） (2) (2) 2 2" xfId="4301"/>
    <cellStyle name="好_2010-01POSDATA_物流_開発商品(chen)_副本41期事業計画商品部（備品） (2) (2) 2 3" xfId="57569"/>
    <cellStyle name="好_2010-01POSDATA_物流_開発商品(chen)_副本41期事業計画商品部（備品） (2) (2) 2 4" xfId="57570"/>
    <cellStyle name="好_2010-01POSDATA_物流_開発商品(chen)_副本41期事業計画商品部（備品） (2) (2) 3" xfId="4302"/>
    <cellStyle name="好_2010-01POSDATA_物流_開発商品(chen)_副本41期事業計画商品部（備品） (2) (2) 3 2" xfId="4303"/>
    <cellStyle name="好_2010-01POSDATA_物流_開発商品(chen)_副本41期事業計画商品部（備品） (2) (2) 3 3" xfId="57571"/>
    <cellStyle name="好_2010-01POSDATA_物流_開発商品(chen)_副本41期事業計画商品部（備品） (2) (2) 3 4" xfId="57572"/>
    <cellStyle name="好_2010-01POSDATA_物流_開発商品(chen)_副本41期事業計画商品部（備品） (2) (2) 4" xfId="4304"/>
    <cellStyle name="好_2010-01POSDATA_物流_開発商品(chen)_副本41期事業計画商品部（備品） (2) (2) 5" xfId="57573"/>
    <cellStyle name="好_2010-01POSDATA_物流_開発商品(chen)_副本41期事業計画商品部（備品） (2) (2) 6" xfId="57574"/>
    <cellStyle name="好_2010-01POSDATA_新メニュー実績" xfId="4305"/>
    <cellStyle name="好_2010-01POSDATA_新メニュー実績 2" xfId="4306"/>
    <cellStyle name="好_2010-01POSDATA_新メニュー実績 3" xfId="57575"/>
    <cellStyle name="好_2010-01POSDATA_新メニュー実績 4" xfId="57576"/>
    <cellStyle name="好_2010-01POSDATA_原価率201003" xfId="149"/>
    <cellStyle name="好_2010-01POSDATA_原価率201003 2" xfId="4307"/>
    <cellStyle name="好_2010-01POSDATA_原価率201003 2 2" xfId="4308"/>
    <cellStyle name="好_2010-01POSDATA_原価率201003 2 3" xfId="57577"/>
    <cellStyle name="好_2010-01POSDATA_原価率201003 2 4" xfId="57578"/>
    <cellStyle name="好_2010-01POSDATA_原価率201003 3" xfId="4309"/>
    <cellStyle name="好_2010-01POSDATA_原価率201003 3 2" xfId="4310"/>
    <cellStyle name="好_2010-01POSDATA_原価率201003 3 3" xfId="57579"/>
    <cellStyle name="好_2010-01POSDATA_原価率201003 3 4" xfId="57580"/>
    <cellStyle name="好_2010-01POSDATA_原価率201003 4" xfId="57581"/>
    <cellStyle name="好_2010-01POSDATA_原価率201003 5" xfId="57582"/>
    <cellStyle name="好_2010-01POSDATA_原価率201003 6" xfId="57583"/>
    <cellStyle name="好_2010-01POSDATA_原価率201003 7" xfId="61007"/>
    <cellStyle name="好_2010-01POSDATA_原価率201003_Sheet1" xfId="4311"/>
    <cellStyle name="好_2010-01POSDATA_原価率201003_Sheet1 2" xfId="4312"/>
    <cellStyle name="好_2010-01POSDATA_原価率201003_Sheet1 3" xfId="57584"/>
    <cellStyle name="好_2010-01POSDATA_原価率201003_Sheet1 4" xfId="57585"/>
    <cellStyle name="好_2010-01POSDATA_原価率201003_儊僯儏乕娤嶡(2-1)" xfId="4313"/>
    <cellStyle name="好_2010-01POSDATA_原価率201003_儊僯儏乕娤嶡(2-1) 2" xfId="4314"/>
    <cellStyle name="好_2010-01POSDATA_原価率201003_儊僯儏乕娤嶡(2-1) 3" xfId="57586"/>
    <cellStyle name="好_2010-01POSDATA_原価率201003_儊僯儏乕娤嶡(2-1) 4" xfId="57587"/>
    <cellStyle name="好_2010-01POSDATA_原価率201003_儊僯儏乕娤嶡(2-1)." xfId="4315"/>
    <cellStyle name="好_2010-01POSDATA_原価率201003_儊僯儏乕娤嶡(2-1). 2" xfId="4316"/>
    <cellStyle name="好_2010-01POSDATA_原価率201003_儊僯儏乕娤嶡(2-1). 3" xfId="57588"/>
    <cellStyle name="好_2010-01POSDATA_原価率201003_儊僯儏乕娤嶡(2-1). 4" xfId="57589"/>
    <cellStyle name="好_2010-01POSDATA_原価率201003_儊僯儏乕娤嶡(2-1)._副本新メニュー観察(上海) 201204 花島添削 (5)" xfId="4317"/>
    <cellStyle name="好_2010-01POSDATA_原価率201003_儊僯儏乕娤嶡(2-1)._副本新メニュー観察(上海) 201204 花島添削 (5) 2" xfId="4318"/>
    <cellStyle name="好_2010-01POSDATA_原価率201003_儊僯儏乕娤嶡(2-1)._副本新メニュー観察(上海) 201204 花島添削 (5) 3" xfId="57590"/>
    <cellStyle name="好_2010-01POSDATA_原価率201003_儊僯儏乕娤嶡(2-1)._副本新メニュー観察(上海) 201204 花島添削 (5) 4" xfId="57591"/>
    <cellStyle name="好_2010-01POSDATA_原価率201003_儊僯儏乕娤嶡(2-1)._新メニュー観察(上海) 201204 花島添削 (2) (5)" xfId="4319"/>
    <cellStyle name="好_2010-01POSDATA_原価率201003_儊僯儏乕娤嶡(2-1)._新メニュー観察(上海) 201204 花島添削 (2) (5) 2" xfId="4320"/>
    <cellStyle name="好_2010-01POSDATA_原価率201003_儊僯儏乕娤嶡(2-1)._新メニュー観察(上海) 201204 花島添削 (2) (5) 3" xfId="57592"/>
    <cellStyle name="好_2010-01POSDATA_原価率201003_儊僯儏乕娤嶡(2-1)._新メニュー観察(上海) 201204 花島添削 (2) (5) 4" xfId="57593"/>
    <cellStyle name="好_2010-01POSDATA_原価率201003_儊僯儏乕娤嶡(2-1)_副本新メニュー観察(上海) 201204 花島添削 (5)" xfId="4321"/>
    <cellStyle name="好_2010-01POSDATA_原価率201003_儊僯儏乕娤嶡(2-1)_副本新メニュー観察(上海) 201204 花島添削 (5) 2" xfId="4322"/>
    <cellStyle name="好_2010-01POSDATA_原価率201003_儊僯儏乕娤嶡(2-1)_副本新メニュー観察(上海) 201204 花島添削 (5) 3" xfId="57594"/>
    <cellStyle name="好_2010-01POSDATA_原価率201003_儊僯儏乕娤嶡(2-1)_副本新メニュー観察(上海) 201204 花島添削 (5) 4" xfId="57595"/>
    <cellStyle name="好_2010-01POSDATA_原価率201003_儊僯儏乕娤嶡(2-1)_新メニュー観察(上海) 201204 花島添削 (2) (5)" xfId="4323"/>
    <cellStyle name="好_2010-01POSDATA_原価率201003_儊僯儏乕娤嶡(2-1)_新メニュー観察(上海) 201204 花島添削 (2) (5) 2" xfId="4324"/>
    <cellStyle name="好_2010-01POSDATA_原価率201003_儊僯儏乕娤嶡(2-1)_新メニュー観察(上海) 201204 花島添削 (2) (5) 3" xfId="57596"/>
    <cellStyle name="好_2010-01POSDATA_原価率201003_儊僯儏乕娤嶡(2-1)_新メニュー観察(上海) 201204 花島添削 (2) (5) 4" xfId="57597"/>
    <cellStyle name="好_2010-01POSDATA_原価率201003_儊僯儏乕娤嶡(2-2乯" xfId="4325"/>
    <cellStyle name="好_2010-01POSDATA_原価率201003_儊僯儏乕娤嶡(2-2乯 2" xfId="4326"/>
    <cellStyle name="好_2010-01POSDATA_原価率201003_儊僯儏乕娤嶡(2-2乯 3" xfId="57598"/>
    <cellStyle name="好_2010-01POSDATA_原価率201003_儊僯儏乕娤嶡(2-2乯 4" xfId="57599"/>
    <cellStyle name="好_2010-01POSDATA_原価率201003_物流" xfId="4327"/>
    <cellStyle name="好_2010-01POSDATA_原価率201003_物流 2" xfId="4328"/>
    <cellStyle name="好_2010-01POSDATA_原価率201003_物流 2 2" xfId="4329"/>
    <cellStyle name="好_2010-01POSDATA_原価率201003_物流 2 3" xfId="57600"/>
    <cellStyle name="好_2010-01POSDATA_原価率201003_物流 2 4" xfId="57601"/>
    <cellStyle name="好_2010-01POSDATA_原価率201003_物流 3" xfId="4330"/>
    <cellStyle name="好_2010-01POSDATA_原価率201003_物流 3 2" xfId="4331"/>
    <cellStyle name="好_2010-01POSDATA_原価率201003_物流 3 3" xfId="57602"/>
    <cellStyle name="好_2010-01POSDATA_原価率201003_物流 3 4" xfId="57603"/>
    <cellStyle name="好_2010-01POSDATA_原価率201003_物流 4" xfId="4332"/>
    <cellStyle name="好_2010-01POSDATA_原価率201003_物流 5" xfId="57604"/>
    <cellStyle name="好_2010-01POSDATA_原価率201003_物流 6" xfId="57605"/>
    <cellStyle name="好_2010-01POSDATA_原価率201003_物流_開発商品(chen)" xfId="4333"/>
    <cellStyle name="好_2010-01POSDATA_原価率201003_物流_開発商品(chen) 2" xfId="4334"/>
    <cellStyle name="好_2010-01POSDATA_原価率201003_物流_開発商品(chen) 2 2" xfId="4335"/>
    <cellStyle name="好_2010-01POSDATA_原価率201003_物流_開発商品(chen) 2 3" xfId="57606"/>
    <cellStyle name="好_2010-01POSDATA_原価率201003_物流_開発商品(chen) 2 4" xfId="57607"/>
    <cellStyle name="好_2010-01POSDATA_原価率201003_物流_開発商品(chen) 3" xfId="4336"/>
    <cellStyle name="好_2010-01POSDATA_原価率201003_物流_開発商品(chen) 3 2" xfId="4337"/>
    <cellStyle name="好_2010-01POSDATA_原価率201003_物流_開発商品(chen) 3 3" xfId="57608"/>
    <cellStyle name="好_2010-01POSDATA_原価率201003_物流_開発商品(chen) 3 4" xfId="57609"/>
    <cellStyle name="好_2010-01POSDATA_原価率201003_物流_開発商品(chen) 4" xfId="4338"/>
    <cellStyle name="好_2010-01POSDATA_原価率201003_物流_開発商品(chen) 5" xfId="57610"/>
    <cellStyle name="好_2010-01POSDATA_原価率201003_物流_開発商品(chen) 6" xfId="57611"/>
    <cellStyle name="好_2010-01POSDATA_原価率201003_物流_開発商品(chen)_40期事業計画（商品部）  (3)" xfId="4339"/>
    <cellStyle name="好_2010-01POSDATA_原価率201003_物流_開発商品(chen)_40期事業計画（商品部）  (3) 2" xfId="4340"/>
    <cellStyle name="好_2010-01POSDATA_原価率201003_物流_開発商品(chen)_40期事業計画（商品部）  (3) 3" xfId="57612"/>
    <cellStyle name="好_2010-01POSDATA_原価率201003_物流_開発商品(chen)_40期事業計画（商品部）  (3) 4" xfId="57613"/>
    <cellStyle name="好_2010-01POSDATA_原価率201003_物流_開発商品(chen)_40期事業計画（商品部1）" xfId="4341"/>
    <cellStyle name="好_2010-01POSDATA_原価率201003_物流_開発商品(chen)_40期事業計画（商品部1） 2" xfId="4342"/>
    <cellStyle name="好_2010-01POSDATA_原価率201003_物流_開発商品(chen)_40期事業計画（商品部1） 2 2" xfId="4343"/>
    <cellStyle name="好_2010-01POSDATA_原価率201003_物流_開発商品(chen)_40期事業計画（商品部1） 2 3" xfId="57614"/>
    <cellStyle name="好_2010-01POSDATA_原価率201003_物流_開発商品(chen)_40期事業計画（商品部1） 2 4" xfId="57615"/>
    <cellStyle name="好_2010-01POSDATA_原価率201003_物流_開発商品(chen)_40期事業計画（商品部1） 3" xfId="4344"/>
    <cellStyle name="好_2010-01POSDATA_原価率201003_物流_開発商品(chen)_40期事業計画（商品部1） 3 2" xfId="4345"/>
    <cellStyle name="好_2010-01POSDATA_原価率201003_物流_開発商品(chen)_40期事業計画（商品部1） 3 3" xfId="57616"/>
    <cellStyle name="好_2010-01POSDATA_原価率201003_物流_開発商品(chen)_40期事業計画（商品部1） 3 4" xfId="57617"/>
    <cellStyle name="好_2010-01POSDATA_原価率201003_物流_開発商品(chen)_40期事業計画（商品部1） 4" xfId="4346"/>
    <cellStyle name="好_2010-01POSDATA_原価率201003_物流_開発商品(chen)_40期事業計画（商品部1） 5" xfId="57618"/>
    <cellStyle name="好_2010-01POSDATA_原価率201003_物流_開発商品(chen)_40期事業計画（商品部1） 6" xfId="57619"/>
    <cellStyle name="好_2010-01POSDATA_原価率201003_物流_開発商品(chen)_40期預実（商品部） (3)" xfId="4347"/>
    <cellStyle name="好_2010-01POSDATA_原価率201003_物流_開発商品(chen)_40期預実（商品部） (3) 2" xfId="4348"/>
    <cellStyle name="好_2010-01POSDATA_原価率201003_物流_開発商品(chen)_40期預実（商品部） (3) 2 2" xfId="4349"/>
    <cellStyle name="好_2010-01POSDATA_原価率201003_物流_開発商品(chen)_40期預実（商品部） (3) 2 3" xfId="57620"/>
    <cellStyle name="好_2010-01POSDATA_原価率201003_物流_開発商品(chen)_40期預実（商品部） (3) 2 4" xfId="57621"/>
    <cellStyle name="好_2010-01POSDATA_原価率201003_物流_開発商品(chen)_40期預実（商品部） (3) 3" xfId="4350"/>
    <cellStyle name="好_2010-01POSDATA_原価率201003_物流_開発商品(chen)_40期預実（商品部） (3) 3 2" xfId="4351"/>
    <cellStyle name="好_2010-01POSDATA_原価率201003_物流_開発商品(chen)_40期預実（商品部） (3) 3 3" xfId="57622"/>
    <cellStyle name="好_2010-01POSDATA_原価率201003_物流_開発商品(chen)_40期預実（商品部） (3) 3 4" xfId="57623"/>
    <cellStyle name="好_2010-01POSDATA_原価率201003_物流_開発商品(chen)_40期預実（商品部） (3) 4" xfId="4352"/>
    <cellStyle name="好_2010-01POSDATA_原価率201003_物流_開発商品(chen)_40期預実（商品部） (3) 5" xfId="57624"/>
    <cellStyle name="好_2010-01POSDATA_原価率201003_物流_開発商品(chen)_40期預実（商品部） (3) 6" xfId="57625"/>
    <cellStyle name="好_2010-01POSDATA_原価率201003_物流_開発商品(chen)_41期事業計画(商品部)" xfId="4353"/>
    <cellStyle name="好_2010-01POSDATA_原価率201003_物流_開発商品(chen)_41期事業計画(商品部) 2" xfId="4354"/>
    <cellStyle name="好_2010-01POSDATA_原価率201003_物流_開発商品(chen)_41期事業計画(商品部) 2 2" xfId="4355"/>
    <cellStyle name="好_2010-01POSDATA_原価率201003_物流_開発商品(chen)_41期事業計画(商品部) 2 3" xfId="57626"/>
    <cellStyle name="好_2010-01POSDATA_原価率201003_物流_開発商品(chen)_41期事業計画(商品部) 2 4" xfId="57627"/>
    <cellStyle name="好_2010-01POSDATA_原価率201003_物流_開発商品(chen)_41期事業計画(商品部) 3" xfId="4356"/>
    <cellStyle name="好_2010-01POSDATA_原価率201003_物流_開発商品(chen)_41期事業計画(商品部) 3 2" xfId="4357"/>
    <cellStyle name="好_2010-01POSDATA_原価率201003_物流_開発商品(chen)_41期事業計画(商品部) 3 3" xfId="57628"/>
    <cellStyle name="好_2010-01POSDATA_原価率201003_物流_開発商品(chen)_41期事業計画(商品部) 3 4" xfId="57629"/>
    <cellStyle name="好_2010-01POSDATA_原価率201003_物流_開発商品(chen)_41期事業計画(商品部) 4" xfId="4358"/>
    <cellStyle name="好_2010-01POSDATA_原価率201003_物流_開発商品(chen)_41期事業計画(商品部) 5" xfId="57630"/>
    <cellStyle name="好_2010-01POSDATA_原価率201003_物流_開発商品(chen)_41期事業計画(商品部) 6" xfId="57631"/>
    <cellStyle name="好_2010-01POSDATA_原価率201003_物流_開発商品(chen)_CPI" xfId="4359"/>
    <cellStyle name="好_2010-01POSDATA_原価率201003_物流_開発商品(chen)_CPI 2" xfId="4360"/>
    <cellStyle name="好_2010-01POSDATA_原価率201003_物流_開発商品(chen)_CPI 2 2" xfId="4361"/>
    <cellStyle name="好_2010-01POSDATA_原価率201003_物流_開発商品(chen)_CPI 2 3" xfId="57632"/>
    <cellStyle name="好_2010-01POSDATA_原価率201003_物流_開発商品(chen)_CPI 2 4" xfId="57633"/>
    <cellStyle name="好_2010-01POSDATA_原価率201003_物流_開発商品(chen)_CPI 3" xfId="4362"/>
    <cellStyle name="好_2010-01POSDATA_原価率201003_物流_開発商品(chen)_CPI 3 2" xfId="4363"/>
    <cellStyle name="好_2010-01POSDATA_原価率201003_物流_開発商品(chen)_CPI 3 3" xfId="57634"/>
    <cellStyle name="好_2010-01POSDATA_原価率201003_物流_開発商品(chen)_CPI 3 4" xfId="57635"/>
    <cellStyle name="好_2010-01POSDATA_原価率201003_物流_開発商品(chen)_CPI 4" xfId="4364"/>
    <cellStyle name="好_2010-01POSDATA_原価率201003_物流_開発商品(chen)_CPI 5" xfId="57636"/>
    <cellStyle name="好_2010-01POSDATA_原価率201003_物流_開発商品(chen)_CPI 6" xfId="57637"/>
    <cellStyle name="好_2010-01POSDATA_原価率201003_物流_開発商品(chen)_CPI(1)" xfId="4365"/>
    <cellStyle name="好_2010-01POSDATA_原価率201003_物流_開発商品(chen)_CPI(1) 2" xfId="4366"/>
    <cellStyle name="好_2010-01POSDATA_原価率201003_物流_開発商品(chen)_CPI(1) 3" xfId="57638"/>
    <cellStyle name="好_2010-01POSDATA_原価率201003_物流_開発商品(chen)_CPI(1) 4" xfId="57639"/>
    <cellStyle name="好_2010-01POSDATA_原価率201003_物流_開発商品(chen)_副本40期預実（商品部） (3)" xfId="4367"/>
    <cellStyle name="好_2010-01POSDATA_原価率201003_物流_開発商品(chen)_副本40期預実（商品部） (3) 2" xfId="4368"/>
    <cellStyle name="好_2010-01POSDATA_原価率201003_物流_開発商品(chen)_副本40期預実（商品部） (3) 2 2" xfId="4369"/>
    <cellStyle name="好_2010-01POSDATA_原価率201003_物流_開発商品(chen)_副本40期預実（商品部） (3) 2 3" xfId="57640"/>
    <cellStyle name="好_2010-01POSDATA_原価率201003_物流_開発商品(chen)_副本40期預実（商品部） (3) 2 4" xfId="57641"/>
    <cellStyle name="好_2010-01POSDATA_原価率201003_物流_開発商品(chen)_副本40期預実（商品部） (3) 3" xfId="4370"/>
    <cellStyle name="好_2010-01POSDATA_原価率201003_物流_開発商品(chen)_副本40期預実（商品部） (3) 3 2" xfId="4371"/>
    <cellStyle name="好_2010-01POSDATA_原価率201003_物流_開発商品(chen)_副本40期預実（商品部） (3) 3 3" xfId="57642"/>
    <cellStyle name="好_2010-01POSDATA_原価率201003_物流_開発商品(chen)_副本40期預実（商品部） (3) 3 4" xfId="57643"/>
    <cellStyle name="好_2010-01POSDATA_原価率201003_物流_開発商品(chen)_副本40期預実（商品部） (3) 4" xfId="4372"/>
    <cellStyle name="好_2010-01POSDATA_原価率201003_物流_開発商品(chen)_副本40期預実（商品部） (3) 5" xfId="57644"/>
    <cellStyle name="好_2010-01POSDATA_原価率201003_物流_開発商品(chen)_副本40期預実（商品部） (3) 6" xfId="57645"/>
    <cellStyle name="好_2010-01POSDATA_原価率201003_物流_開発商品(chen)_副本41期事業計画商品部（備品） (2) (2)" xfId="4373"/>
    <cellStyle name="好_2010-01POSDATA_原価率201003_物流_開発商品(chen)_副本41期事業計画商品部（備品） (2) (2) 2" xfId="4374"/>
    <cellStyle name="好_2010-01POSDATA_原価率201003_物流_開発商品(chen)_副本41期事業計画商品部（備品） (2) (2) 2 2" xfId="4375"/>
    <cellStyle name="好_2010-01POSDATA_原価率201003_物流_開発商品(chen)_副本41期事業計画商品部（備品） (2) (2) 2 3" xfId="57646"/>
    <cellStyle name="好_2010-01POSDATA_原価率201003_物流_開発商品(chen)_副本41期事業計画商品部（備品） (2) (2) 2 4" xfId="57647"/>
    <cellStyle name="好_2010-01POSDATA_原価率201003_物流_開発商品(chen)_副本41期事業計画商品部（備品） (2) (2) 3" xfId="4376"/>
    <cellStyle name="好_2010-01POSDATA_原価率201003_物流_開発商品(chen)_副本41期事業計画商品部（備品） (2) (2) 3 2" xfId="4377"/>
    <cellStyle name="好_2010-01POSDATA_原価率201003_物流_開発商品(chen)_副本41期事業計画商品部（備品） (2) (2) 3 3" xfId="57648"/>
    <cellStyle name="好_2010-01POSDATA_原価率201003_物流_開発商品(chen)_副本41期事業計画商品部（備品） (2) (2) 3 4" xfId="57649"/>
    <cellStyle name="好_2010-01POSDATA_原価率201003_物流_開発商品(chen)_副本41期事業計画商品部（備品） (2) (2) 4" xfId="4378"/>
    <cellStyle name="好_2010-01POSDATA_原価率201003_物流_開発商品(chen)_副本41期事業計画商品部（備品） (2) (2) 5" xfId="57650"/>
    <cellStyle name="好_2010-01POSDATA_原価率201003_物流_開発商品(chen)_副本41期事業計画商品部（備品） (2) (2) 6" xfId="57651"/>
    <cellStyle name="好_2010-01POSDATA_原価率201003_新メニュー実績" xfId="4379"/>
    <cellStyle name="好_2010-01POSDATA_原価率201003_新メニュー実績 2" xfId="4380"/>
    <cellStyle name="好_2010-01POSDATA_原価率201003_新メニュー実績 3" xfId="57652"/>
    <cellStyle name="好_2010-01POSDATA_原価率201003_新メニュー実績 4" xfId="57653"/>
    <cellStyle name="好_20111001菜单配置" xfId="4381"/>
    <cellStyle name="好_20111001菜单配置 2" xfId="57654"/>
    <cellStyle name="好_20111001菜单配置 3" xfId="57655"/>
    <cellStyle name="好_2011餐具盘点" xfId="4382"/>
    <cellStyle name="好_2011餐具盘点 2" xfId="4383"/>
    <cellStyle name="好_2011餐具盘点 2 2" xfId="57656"/>
    <cellStyle name="好_2011餐具盘点 2 3" xfId="57657"/>
    <cellStyle name="好_2011餐具盘点 2 4" xfId="57658"/>
    <cellStyle name="好_2011餐具盘点 3" xfId="4384"/>
    <cellStyle name="好_2011餐具盘点 3 2" xfId="57659"/>
    <cellStyle name="好_2011餐具盘点 3 3" xfId="57660"/>
    <cellStyle name="好_2011餐具盘点 3 4" xfId="57661"/>
    <cellStyle name="好_2011餐具盘点 4" xfId="57662"/>
    <cellStyle name="好_2011餐具盘点 5" xfId="57663"/>
    <cellStyle name="好_2011餐具盘点 6" xfId="57664"/>
    <cellStyle name="好_2011餐具盘点_201205同業他社比較（商品構成G）" xfId="4385"/>
    <cellStyle name="好_2011餐具盘点_201205同業他社比較（商品構成G） 2" xfId="57665"/>
    <cellStyle name="好_2011餐具盘点_201205同業他社比較（商品構成G） 3" xfId="57666"/>
    <cellStyle name="好_2011餐具盘点_40期事業計画（商品部）  (3)" xfId="4386"/>
    <cellStyle name="好_2011餐具盘点_40期事業計画（商品部）  (3) 2" xfId="57667"/>
    <cellStyle name="好_2011餐具盘点_40期事業計画（商品部）  (3) 3" xfId="57668"/>
    <cellStyle name="好_2011餐具盘点_40期事業計画（商品部）  (3) 4" xfId="57669"/>
    <cellStyle name="好_2011餐具盘点_40期事業計画（商品部1）" xfId="4387"/>
    <cellStyle name="好_2011餐具盘点_40期事業計画（商品部1） 2" xfId="4388"/>
    <cellStyle name="好_2011餐具盘点_40期事業計画（商品部1） 2 2" xfId="57670"/>
    <cellStyle name="好_2011餐具盘点_40期事業計画（商品部1） 2 3" xfId="57671"/>
    <cellStyle name="好_2011餐具盘点_40期事業計画（商品部1） 2 4" xfId="57672"/>
    <cellStyle name="好_2011餐具盘点_40期事業計画（商品部1） 3" xfId="4389"/>
    <cellStyle name="好_2011餐具盘点_40期事業計画（商品部1） 3 2" xfId="57673"/>
    <cellStyle name="好_2011餐具盘点_40期事業計画（商品部1） 3 3" xfId="57674"/>
    <cellStyle name="好_2011餐具盘点_40期事業計画（商品部1） 3 4" xfId="57675"/>
    <cellStyle name="好_2011餐具盘点_40期事業計画（商品部1） 4" xfId="57676"/>
    <cellStyle name="好_2011餐具盘点_40期事業計画（商品部1） 5" xfId="57677"/>
    <cellStyle name="好_2011餐具盘点_40期事業計画（商品部1） 6" xfId="57678"/>
    <cellStyle name="好_2011餐具盘点_40期預実（商品部） (3)" xfId="4390"/>
    <cellStyle name="好_2011餐具盘点_40期預実（商品部） (3) 2" xfId="4391"/>
    <cellStyle name="好_2011餐具盘点_40期預実（商品部） (3) 2 2" xfId="57679"/>
    <cellStyle name="好_2011餐具盘点_40期預実（商品部） (3) 2 3" xfId="57680"/>
    <cellStyle name="好_2011餐具盘点_40期預実（商品部） (3) 2 4" xfId="57681"/>
    <cellStyle name="好_2011餐具盘点_40期預実（商品部） (3) 3" xfId="4392"/>
    <cellStyle name="好_2011餐具盘点_40期預実（商品部） (3) 3 2" xfId="57682"/>
    <cellStyle name="好_2011餐具盘点_40期預実（商品部） (3) 3 3" xfId="57683"/>
    <cellStyle name="好_2011餐具盘点_40期預実（商品部） (3) 3 4" xfId="57684"/>
    <cellStyle name="好_2011餐具盘点_40期預実（商品部） (3) 4" xfId="57685"/>
    <cellStyle name="好_2011餐具盘点_40期預実（商品部） (3) 5" xfId="57686"/>
    <cellStyle name="好_2011餐具盘点_40期預実（商品部） (3) 6" xfId="57687"/>
    <cellStyle name="好_2011餐具盘点_40期預実（商品部） (3)_201205同業他社比較（商品構成G）" xfId="4393"/>
    <cellStyle name="好_2011餐具盘点_40期預実（商品部） (3)_201205同業他社比較（商品構成G） 2" xfId="57688"/>
    <cellStyle name="好_2011餐具盘点_40期預実（商品部） (3)_201205同業他社比較（商品構成G） 3" xfId="57689"/>
    <cellStyle name="好_2011餐具盘点_40期預実（商品部） (3)_副本新メニュー観察(上海) 201204 花島添削 (5)" xfId="4394"/>
    <cellStyle name="好_2011餐具盘点_40期預実（商品部） (3)_副本新メニュー観察(上海) 201204 花島添削 (5) 2" xfId="57690"/>
    <cellStyle name="好_2011餐具盘点_40期預実（商品部） (3)_副本新メニュー観察(上海) 201204 花島添削 (5) 3" xfId="57691"/>
    <cellStyle name="好_2011餐具盘点_40期預実（商品部） (3)_副本新メニュー観察(上海) 201204 花島添削 (5) 4" xfId="57692"/>
    <cellStyle name="好_2011餐具盘点_40期預実（商品部） (3)_新メニュー観察(上海) 201204 花島添削 (2) (5)" xfId="4395"/>
    <cellStyle name="好_2011餐具盘点_40期預実（商品部） (3)_新メニュー観察(上海) 201204 花島添削 (2) (5) 2" xfId="57693"/>
    <cellStyle name="好_2011餐具盘点_40期預実（商品部） (3)_新メニュー観察(上海) 201204 花島添削 (2) (5) 3" xfId="57694"/>
    <cellStyle name="好_2011餐具盘点_40期預実（商品部） (3)_新メニュー観察(上海) 201204 花島添削 (2) (5) 4" xfId="57695"/>
    <cellStyle name="好_2011餐具盘点_40期預実（商品部） (3)_週新品観察." xfId="4396"/>
    <cellStyle name="好_2011餐具盘点_40期預実（商品部） (3)_週新品観察. 2" xfId="57696"/>
    <cellStyle name="好_2011餐具盘点_40期預実（商品部） (3)_週新品観察. 3" xfId="57697"/>
    <cellStyle name="好_2011餐具盘点_40期預実（商品部） (3)_週新品観察. 4" xfId="57698"/>
    <cellStyle name="好_2011餐具盘点_41期事業計画(商品部)" xfId="4397"/>
    <cellStyle name="好_2011餐具盘点_41期事業計画(商品部) 2" xfId="4398"/>
    <cellStyle name="好_2011餐具盘点_41期事業計画(商品部) 2 2" xfId="57699"/>
    <cellStyle name="好_2011餐具盘点_41期事業計画(商品部) 2 3" xfId="57700"/>
    <cellStyle name="好_2011餐具盘点_41期事業計画(商品部) 2 4" xfId="57701"/>
    <cellStyle name="好_2011餐具盘点_41期事業計画(商品部) 3" xfId="4399"/>
    <cellStyle name="好_2011餐具盘点_41期事業計画(商品部) 3 2" xfId="57702"/>
    <cellStyle name="好_2011餐具盘点_41期事業計画(商品部) 3 3" xfId="57703"/>
    <cellStyle name="好_2011餐具盘点_41期事業計画(商品部) 3 4" xfId="57704"/>
    <cellStyle name="好_2011餐具盘点_41期事業計画(商品部) 4" xfId="57705"/>
    <cellStyle name="好_2011餐具盘点_41期事業計画(商品部) 5" xfId="57706"/>
    <cellStyle name="好_2011餐具盘点_41期事業計画(商品部) 6" xfId="57707"/>
    <cellStyle name="好_2011餐具盘点_Book8 (4)" xfId="4400"/>
    <cellStyle name="好_2011餐具盘点_Book8 (4) 2" xfId="4401"/>
    <cellStyle name="好_2011餐具盘点_Book8 (4) 2 2" xfId="57708"/>
    <cellStyle name="好_2011餐具盘点_Book8 (4) 2 3" xfId="57709"/>
    <cellStyle name="好_2011餐具盘点_Book8 (4) 2 4" xfId="57710"/>
    <cellStyle name="好_2011餐具盘点_Book8 (4) 3" xfId="4402"/>
    <cellStyle name="好_2011餐具盘点_Book8 (4) 3 2" xfId="57711"/>
    <cellStyle name="好_2011餐具盘点_Book8 (4) 3 3" xfId="57712"/>
    <cellStyle name="好_2011餐具盘点_Book8 (4) 3 4" xfId="57713"/>
    <cellStyle name="好_2011餐具盘点_Book8 (4) 4" xfId="57714"/>
    <cellStyle name="好_2011餐具盘点_Book8 (4) 5" xfId="57715"/>
    <cellStyle name="好_2011餐具盘点_Book8 (4) 6" xfId="57716"/>
    <cellStyle name="好_2011餐具盘点_Book8 (4)_201205同業他社比較（商品構成G）" xfId="4403"/>
    <cellStyle name="好_2011餐具盘点_Book8 (4)_201205同業他社比較（商品構成G） 2" xfId="57717"/>
    <cellStyle name="好_2011餐具盘点_Book8 (4)_201205同業他社比較（商品構成G） 3" xfId="57718"/>
    <cellStyle name="好_2011餐具盘点_Book8 (4)_副本新メニュー観察(上海) 201204 花島添削 (5)" xfId="4404"/>
    <cellStyle name="好_2011餐具盘点_Book8 (4)_副本新メニュー観察(上海) 201204 花島添削 (5) 2" xfId="57719"/>
    <cellStyle name="好_2011餐具盘点_Book8 (4)_副本新メニュー観察(上海) 201204 花島添削 (5) 3" xfId="57720"/>
    <cellStyle name="好_2011餐具盘点_Book8 (4)_副本新メニュー観察(上海) 201204 花島添削 (5) 4" xfId="57721"/>
    <cellStyle name="好_2011餐具盘点_Book8 (4)_新メニュー観察(上海) 201204 花島添削 (2) (5)" xfId="4405"/>
    <cellStyle name="好_2011餐具盘点_Book8 (4)_新メニュー観察(上海) 201204 花島添削 (2) (5) 2" xfId="57722"/>
    <cellStyle name="好_2011餐具盘点_Book8 (4)_新メニュー観察(上海) 201204 花島添削 (2) (5) 3" xfId="57723"/>
    <cellStyle name="好_2011餐具盘点_Book8 (4)_新メニュー観察(上海) 201204 花島添削 (2) (5) 4" xfId="57724"/>
    <cellStyle name="好_2011餐具盘点_Book8 (4)_週新品観察." xfId="4406"/>
    <cellStyle name="好_2011餐具盘点_Book8 (4)_週新品観察. 2" xfId="57725"/>
    <cellStyle name="好_2011餐具盘点_Book8 (4)_週新品観察. 3" xfId="57726"/>
    <cellStyle name="好_2011餐具盘点_Book8 (4)_週新品観察. 4" xfId="57727"/>
    <cellStyle name="好_2011餐具盘点_CPI" xfId="4407"/>
    <cellStyle name="好_2011餐具盘点_CPI 2" xfId="4408"/>
    <cellStyle name="好_2011餐具盘点_CPI 2 2" xfId="57728"/>
    <cellStyle name="好_2011餐具盘点_CPI 2 3" xfId="57729"/>
    <cellStyle name="好_2011餐具盘点_CPI 2 4" xfId="57730"/>
    <cellStyle name="好_2011餐具盘点_CPI 3" xfId="4409"/>
    <cellStyle name="好_2011餐具盘点_CPI 3 2" xfId="57731"/>
    <cellStyle name="好_2011餐具盘点_CPI 3 3" xfId="57732"/>
    <cellStyle name="好_2011餐具盘点_CPI 3 4" xfId="57733"/>
    <cellStyle name="好_2011餐具盘点_CPI 4" xfId="57734"/>
    <cellStyle name="好_2011餐具盘点_CPI 5" xfId="57735"/>
    <cellStyle name="好_2011餐具盘点_CPI 6" xfId="57736"/>
    <cellStyle name="好_2011餐具盘点_CPI(1)" xfId="4410"/>
    <cellStyle name="好_2011餐具盘点_CPI(1) 2" xfId="57737"/>
    <cellStyle name="好_2011餐具盘点_CPI(1) 3" xfId="57738"/>
    <cellStyle name="好_2011餐具盘点_CPI(1) 4" xfId="57739"/>
    <cellStyle name="好_2011餐具盘点_副本40期預実（商品部） (3)" xfId="4411"/>
    <cellStyle name="好_2011餐具盘点_副本40期預実（商品部） (3) 2" xfId="4412"/>
    <cellStyle name="好_2011餐具盘点_副本40期預実（商品部） (3) 2 2" xfId="57740"/>
    <cellStyle name="好_2011餐具盘点_副本40期預実（商品部） (3) 2 3" xfId="57741"/>
    <cellStyle name="好_2011餐具盘点_副本40期預実（商品部） (3) 2 4" xfId="57742"/>
    <cellStyle name="好_2011餐具盘点_副本40期預実（商品部） (3) 3" xfId="4413"/>
    <cellStyle name="好_2011餐具盘点_副本40期預実（商品部） (3) 3 2" xfId="57743"/>
    <cellStyle name="好_2011餐具盘点_副本40期預実（商品部） (3) 3 3" xfId="57744"/>
    <cellStyle name="好_2011餐具盘点_副本40期預実（商品部） (3) 3 4" xfId="57745"/>
    <cellStyle name="好_2011餐具盘点_副本40期預実（商品部） (3) 4" xfId="57746"/>
    <cellStyle name="好_2011餐具盘点_副本40期預実（商品部） (3) 5" xfId="57747"/>
    <cellStyle name="好_2011餐具盘点_副本40期預実（商品部） (3) 6" xfId="57748"/>
    <cellStyle name="好_2011餐具盘点_副本40期預実（商品部） (3)_201205同業他社比較（商品構成G）" xfId="4414"/>
    <cellStyle name="好_2011餐具盘点_副本40期預実（商品部） (3)_201205同業他社比較（商品構成G） 2" xfId="57749"/>
    <cellStyle name="好_2011餐具盘点_副本40期預実（商品部） (3)_201205同業他社比較（商品構成G） 3" xfId="57750"/>
    <cellStyle name="好_2011餐具盘点_副本40期預実（商品部） (3)_副本新メニュー観察(上海) 201204 花島添削 (5)" xfId="4415"/>
    <cellStyle name="好_2011餐具盘点_副本40期預実（商品部） (3)_副本新メニュー観察(上海) 201204 花島添削 (5) 2" xfId="57751"/>
    <cellStyle name="好_2011餐具盘点_副本40期預実（商品部） (3)_副本新メニュー観察(上海) 201204 花島添削 (5) 3" xfId="57752"/>
    <cellStyle name="好_2011餐具盘点_副本40期預実（商品部） (3)_副本新メニュー観察(上海) 201204 花島添削 (5) 4" xfId="57753"/>
    <cellStyle name="好_2011餐具盘点_副本40期預実（商品部） (3)_新メニュー観察(上海) 201204 花島添削 (2) (5)" xfId="4416"/>
    <cellStyle name="好_2011餐具盘点_副本40期預実（商品部） (3)_新メニュー観察(上海) 201204 花島添削 (2) (5) 2" xfId="57754"/>
    <cellStyle name="好_2011餐具盘点_副本40期預実（商品部） (3)_新メニュー観察(上海) 201204 花島添削 (2) (5) 3" xfId="57755"/>
    <cellStyle name="好_2011餐具盘点_副本40期預実（商品部） (3)_新メニュー観察(上海) 201204 花島添削 (2) (5) 4" xfId="57756"/>
    <cellStyle name="好_2011餐具盘点_副本40期預実（商品部） (3)_週新品観察." xfId="4417"/>
    <cellStyle name="好_2011餐具盘点_副本40期預実（商品部） (3)_週新品観察. 2" xfId="57757"/>
    <cellStyle name="好_2011餐具盘点_副本40期預実（商品部） (3)_週新品観察. 3" xfId="57758"/>
    <cellStyle name="好_2011餐具盘点_副本40期預実（商品部） (3)_週新品観察. 4" xfId="57759"/>
    <cellStyle name="好_2011餐具盘点_副本41期事業計画商品部（備品） (2) (2)" xfId="4418"/>
    <cellStyle name="好_2011餐具盘点_副本41期事業計画商品部（備品） (2) (2) 2" xfId="4419"/>
    <cellStyle name="好_2011餐具盘点_副本41期事業計画商品部（備品） (2) (2) 2 2" xfId="57760"/>
    <cellStyle name="好_2011餐具盘点_副本41期事業計画商品部（備品） (2) (2) 2 3" xfId="57761"/>
    <cellStyle name="好_2011餐具盘点_副本41期事業計画商品部（備品） (2) (2) 2 4" xfId="57762"/>
    <cellStyle name="好_2011餐具盘点_副本41期事業計画商品部（備品） (2) (2) 3" xfId="4420"/>
    <cellStyle name="好_2011餐具盘点_副本41期事業計画商品部（備品） (2) (2) 3 2" xfId="57763"/>
    <cellStyle name="好_2011餐具盘点_副本41期事業計画商品部（備品） (2) (2) 3 3" xfId="57764"/>
    <cellStyle name="好_2011餐具盘点_副本41期事業計画商品部（備品） (2) (2) 3 4" xfId="57765"/>
    <cellStyle name="好_2011餐具盘点_副本41期事業計画商品部（備品） (2) (2) 4" xfId="57766"/>
    <cellStyle name="好_2011餐具盘点_副本41期事業計画商品部（備品） (2) (2) 5" xfId="57767"/>
    <cellStyle name="好_2011餐具盘点_副本41期事業計画商品部（備品） (2) (2) 6" xfId="57768"/>
    <cellStyle name="好_2011餐具盘点_副本新メニュー観察(上海) 201204 花島添削 (5)" xfId="4421"/>
    <cellStyle name="好_2011餐具盘点_副本新メニュー観察(上海) 201204 花島添削 (5) 2" xfId="57769"/>
    <cellStyle name="好_2011餐具盘点_副本新メニュー観察(上海) 201204 花島添削 (5) 3" xfId="57770"/>
    <cellStyle name="好_2011餐具盘点_副本新メニュー観察(上海) 201204 花島添削 (5) 4" xfId="57771"/>
    <cellStyle name="好_2011餐具盘点_改进" xfId="4422"/>
    <cellStyle name="好_2011餐具盘点_改进 2" xfId="4423"/>
    <cellStyle name="好_2011餐具盘点_改进 2 2" xfId="57772"/>
    <cellStyle name="好_2011餐具盘点_改进 2 3" xfId="57773"/>
    <cellStyle name="好_2011餐具盘点_改进 2 4" xfId="57774"/>
    <cellStyle name="好_2011餐具盘点_改进 3" xfId="4424"/>
    <cellStyle name="好_2011餐具盘点_改进 3 2" xfId="57775"/>
    <cellStyle name="好_2011餐具盘点_改进 3 3" xfId="57776"/>
    <cellStyle name="好_2011餐具盘点_改进 3 4" xfId="57777"/>
    <cellStyle name="好_2011餐具盘点_改进 4" xfId="57778"/>
    <cellStyle name="好_2011餐具盘点_改进 5" xfId="57779"/>
    <cellStyle name="好_2011餐具盘点_改进 6" xfId="57780"/>
    <cellStyle name="好_2011餐具盘点_改进_201205同業他社比較（商品構成G）" xfId="4425"/>
    <cellStyle name="好_2011餐具盘点_改进_201205同業他社比較（商品構成G） 2" xfId="57781"/>
    <cellStyle name="好_2011餐具盘点_改进_201205同業他社比較（商品構成G） 3" xfId="57782"/>
    <cellStyle name="好_2011餐具盘点_改进_副本新メニュー観察(上海) 201204 花島添削 (5)" xfId="4426"/>
    <cellStyle name="好_2011餐具盘点_改进_副本新メニュー観察(上海) 201204 花島添削 (5) 2" xfId="57783"/>
    <cellStyle name="好_2011餐具盘点_改进_副本新メニュー観察(上海) 201204 花島添削 (5) 3" xfId="57784"/>
    <cellStyle name="好_2011餐具盘点_改进_副本新メニュー観察(上海) 201204 花島添削 (5) 4" xfId="57785"/>
    <cellStyle name="好_2011餐具盘点_改进_新メニュー観察(上海) 201204 花島添削 (2) (5)" xfId="4427"/>
    <cellStyle name="好_2011餐具盘点_改进_新メニュー観察(上海) 201204 花島添削 (2) (5) 2" xfId="57786"/>
    <cellStyle name="好_2011餐具盘点_改进_新メニュー観察(上海) 201204 花島添削 (2) (5) 3" xfId="57787"/>
    <cellStyle name="好_2011餐具盘点_改进_新メニュー観察(上海) 201204 花島添削 (2) (5) 4" xfId="57788"/>
    <cellStyle name="好_2011餐具盘点_改进_週新品観察." xfId="4428"/>
    <cellStyle name="好_2011餐具盘点_改进_週新品観察. 2" xfId="57789"/>
    <cellStyle name="好_2011餐具盘点_改进_週新品観察. 3" xfId="57790"/>
    <cellStyle name="好_2011餐具盘点_改进_週新品観察. 4" xfId="57791"/>
    <cellStyle name="好_2011餐具盘点_新メニュー観察(上海) 201204 花島添削 (2) (5)" xfId="4429"/>
    <cellStyle name="好_2011餐具盘点_新メニュー観察(上海) 201204 花島添削 (2) (5) 2" xfId="57792"/>
    <cellStyle name="好_2011餐具盘点_新メニュー観察(上海) 201204 花島添削 (2) (5) 3" xfId="57793"/>
    <cellStyle name="好_2011餐具盘点_新メニュー観察(上海) 201204 花島添削 (2) (5) 4" xfId="57794"/>
    <cellStyle name="好_2011餐具盘点_週新品観察." xfId="4430"/>
    <cellStyle name="好_2011餐具盘点_週新品観察. 2" xfId="57795"/>
    <cellStyle name="好_2011餐具盘点_週新品観察. 3" xfId="57796"/>
    <cellStyle name="好_2011餐具盘点_週新品観察. 4" xfId="57797"/>
    <cellStyle name="好_2011投資コスト-verHK110427" xfId="8623"/>
    <cellStyle name="好_201204メニュー変更草案." xfId="4431"/>
    <cellStyle name="好_201204メニュー変更草案. 2" xfId="57798"/>
    <cellStyle name="好_201204メニュー変更草案. 3" xfId="57799"/>
    <cellStyle name="好_201204メニュー変更草案. 4" xfId="57800"/>
    <cellStyle name="好_201205同業他社比較（商品構成G）" xfId="4432"/>
    <cellStyle name="好_201205同業他社比較（商品構成G） 2" xfId="57801"/>
    <cellStyle name="好_201205同業他社比較（商品構成G） 3" xfId="57802"/>
    <cellStyle name="好_201205同業他社比較（商品構成G） 4" xfId="57803"/>
    <cellStyle name="好_201205同業他社比較（商品構成G）_副本新メニュー観察(上海) 201204 花島添削 (5)" xfId="4433"/>
    <cellStyle name="好_201205同業他社比較（商品構成G）_副本新メニュー観察(上海) 201204 花島添削 (5) 2" xfId="57804"/>
    <cellStyle name="好_201205同業他社比較（商品構成G）_副本新メニュー観察(上海) 201204 花島添削 (5) 3" xfId="57805"/>
    <cellStyle name="好_201205同業他社比較（商品構成G）_副本新メニュー観察(上海) 201204 花島添削 (5) 4" xfId="57806"/>
    <cellStyle name="好_201205同業他社比較（商品構成G）_新メニュー観察(上海) 201204 花島添削 (2) (5)" xfId="4434"/>
    <cellStyle name="好_201205同業他社比較（商品構成G）_新メニュー観察(上海) 201204 花島添削 (2) (5) 2" xfId="57807"/>
    <cellStyle name="好_201205同業他社比較（商品構成G）_新メニュー観察(上海) 201204 花島添削 (2) (5) 3" xfId="57808"/>
    <cellStyle name="好_201205同業他社比較（商品構成G）_新メニュー観察(上海) 201204 花島添削 (2) (5) 4" xfId="57809"/>
    <cellStyle name="好_2013年QSC評価給" xfId="57810"/>
    <cellStyle name="好_2013年QSC評価給 2" xfId="57811"/>
    <cellStyle name="好_2013年QSC評価給 3" xfId="57812"/>
    <cellStyle name="好_20141104萨莉亚丘比工厂考查事前资料 (1)" xfId="57813"/>
    <cellStyle name="好_2014年QSC評価給1" xfId="57814"/>
    <cellStyle name="好_2014年QSC評価給1 2" xfId="57815"/>
    <cellStyle name="好_2014年QSC評価給1 3" xfId="57816"/>
    <cellStyle name="好_23週目新品観察  (2)" xfId="4435"/>
    <cellStyle name="好_23週目新品観察  (2) 2" xfId="57817"/>
    <cellStyle name="好_23週目新品観察  (2) 3" xfId="57818"/>
    <cellStyle name="好_23週目新品観察  (2) 4" xfId="57819"/>
    <cellStyle name="好_3" xfId="53"/>
    <cellStyle name="好_3月メンテナンス請求" xfId="57820"/>
    <cellStyle name="好_3月メンテナンス請求 2" xfId="57821"/>
    <cellStyle name="好_3月メンテナンス請求 3" xfId="57822"/>
    <cellStyle name="好_3月メンテナンス請求 4" xfId="57823"/>
    <cellStyle name="好_3月メンテナンス請求 5" xfId="57824"/>
    <cellStyle name="好_4" xfId="54"/>
    <cellStyle name="好_40期事業計画（商品部）  (3)" xfId="4436"/>
    <cellStyle name="好_40期事業計画（商品部）  (3) 2" xfId="57825"/>
    <cellStyle name="好_40期事業計画（商品部）  (3) 3" xfId="57826"/>
    <cellStyle name="好_40期事業計画（商品部）  (3) 4" xfId="57827"/>
    <cellStyle name="好_40期預実（商品部） (3)" xfId="4437"/>
    <cellStyle name="好_40期預実（商品部） (3) 2" xfId="4438"/>
    <cellStyle name="好_40期預実（商品部） (3) 2 2" xfId="57828"/>
    <cellStyle name="好_40期預実（商品部） (3) 2 3" xfId="57829"/>
    <cellStyle name="好_40期預実（商品部） (3) 2 4" xfId="57830"/>
    <cellStyle name="好_40期預実（商品部） (3) 3" xfId="4439"/>
    <cellStyle name="好_40期預実（商品部） (3) 3 2" xfId="57831"/>
    <cellStyle name="好_40期預実（商品部） (3) 3 3" xfId="57832"/>
    <cellStyle name="好_40期預実（商品部） (3) 3 4" xfId="57833"/>
    <cellStyle name="好_40期預実（商品部） (3) 4" xfId="57834"/>
    <cellStyle name="好_40期預実（商品部） (3) 5" xfId="57835"/>
    <cellStyle name="好_40期預実（商品部） (3) 6" xfId="57836"/>
    <cellStyle name="好_40期預実（商品部） (3)_201205同業他社比較（商品構成G）" xfId="4440"/>
    <cellStyle name="好_40期預実（商品部） (3)_201205同業他社比較（商品構成G） 2" xfId="57837"/>
    <cellStyle name="好_40期預実（商品部） (3)_201205同業他社比較（商品構成G） 3" xfId="57838"/>
    <cellStyle name="好_40期預実（商品部） (3)_副本新メニュー観察(上海) 201204 花島添削 (5)" xfId="4441"/>
    <cellStyle name="好_40期預実（商品部） (3)_副本新メニュー観察(上海) 201204 花島添削 (5) 2" xfId="57839"/>
    <cellStyle name="好_40期預実（商品部） (3)_副本新メニュー観察(上海) 201204 花島添削 (5) 3" xfId="57840"/>
    <cellStyle name="好_40期預実（商品部） (3)_副本新メニュー観察(上海) 201204 花島添削 (5) 4" xfId="57841"/>
    <cellStyle name="好_40期預実（商品部） (3)_新メニュー観察(上海) 201204 花島添削 (2) (5)" xfId="4442"/>
    <cellStyle name="好_40期預実（商品部） (3)_新メニュー観察(上海) 201204 花島添削 (2) (5) 2" xfId="57842"/>
    <cellStyle name="好_40期預実（商品部） (3)_新メニュー観察(上海) 201204 花島添削 (2) (5) 3" xfId="57843"/>
    <cellStyle name="好_40期預実（商品部） (3)_新メニュー観察(上海) 201204 花島添削 (2) (5) 4" xfId="57844"/>
    <cellStyle name="好_40期預実（商品部） (3)_週新品観察." xfId="4443"/>
    <cellStyle name="好_40期預実（商品部） (3)_週新品観察. 2" xfId="57845"/>
    <cellStyle name="好_40期預実（商品部） (3)_週新品観察. 3" xfId="57846"/>
    <cellStyle name="好_40期預実（商品部） (3)_週新品観察. 4" xfId="57847"/>
    <cellStyle name="好_41期事業計画(商品部)" xfId="4444"/>
    <cellStyle name="好_41期事業計画(商品部) 2" xfId="4445"/>
    <cellStyle name="好_41期事業計画(商品部) 2 2" xfId="57848"/>
    <cellStyle name="好_41期事業計画(商品部) 2 3" xfId="57849"/>
    <cellStyle name="好_41期事業計画(商品部) 2 4" xfId="57850"/>
    <cellStyle name="好_41期事業計画(商品部) 3" xfId="4446"/>
    <cellStyle name="好_41期事業計画(商品部) 3 2" xfId="57851"/>
    <cellStyle name="好_41期事業計画(商品部) 3 3" xfId="57852"/>
    <cellStyle name="好_41期事業計画(商品部) 3 4" xfId="57853"/>
    <cellStyle name="好_41期事業計画(商品部) 4" xfId="57854"/>
    <cellStyle name="好_41期事業計画(商品部) 5" xfId="57855"/>
    <cellStyle name="好_41期事業計画(商品部) 6" xfId="57856"/>
    <cellStyle name="好_41期事業計画商品部（備品） (2)" xfId="4447"/>
    <cellStyle name="好_41期事業計画商品部（備品） (2) 2" xfId="4448"/>
    <cellStyle name="好_41期事業計画商品部（備品） (2) 2 2" xfId="57857"/>
    <cellStyle name="好_41期事業計画商品部（備品） (2) 2 3" xfId="57858"/>
    <cellStyle name="好_41期事業計画商品部（備品） (2) 2 4" xfId="57859"/>
    <cellStyle name="好_41期事業計画商品部（備品） (2) 3" xfId="4449"/>
    <cellStyle name="好_41期事業計画商品部（備品） (2) 3 2" xfId="57860"/>
    <cellStyle name="好_41期事業計画商品部（備品） (2) 3 3" xfId="57861"/>
    <cellStyle name="好_41期事業計画商品部（備品） (2) 3 4" xfId="57862"/>
    <cellStyle name="好_41期事業計画商品部（備品） (2) 4" xfId="57863"/>
    <cellStyle name="好_41期事業計画商品部（備品） (2) 5" xfId="57864"/>
    <cellStyle name="好_41期事業計画商品部（備品） (2) 6" xfId="57865"/>
    <cellStyle name="好_5" xfId="55"/>
    <cellStyle name="好_5月メンテナンス請求書(0614更新）" xfId="57866"/>
    <cellStyle name="好_5月メンテナンス請求書(0614更新） 2" xfId="57867"/>
    <cellStyle name="好_5月メンテナンス請求書(0614更新） 3" xfId="57868"/>
    <cellStyle name="好_5月メンテナンス請求書(0614更新） 4" xfId="57869"/>
    <cellStyle name="好_5月メンテナンス請求書(0614更新） 5" xfId="57870"/>
    <cellStyle name="好_6" xfId="56"/>
    <cellStyle name="好_6月メンテナンス請求書" xfId="57871"/>
    <cellStyle name="好_6月メンテナンス請求書 2" xfId="57872"/>
    <cellStyle name="好_6月メンテナンス請求書 3" xfId="57873"/>
    <cellStyle name="好_6月メンテナンス請求書 4" xfId="57874"/>
    <cellStyle name="好_6月メンテナンス請求書 5" xfId="57875"/>
    <cellStyle name="好_7" xfId="57"/>
    <cellStyle name="好_8" xfId="58"/>
    <cellStyle name="好_9" xfId="59"/>
    <cellStyle name="好_9月棚卸" xfId="4450"/>
    <cellStyle name="好_9月棚卸 2" xfId="4451"/>
    <cellStyle name="好_9月棚卸 2 2" xfId="57876"/>
    <cellStyle name="好_9月棚卸 2 3" xfId="57877"/>
    <cellStyle name="好_9月棚卸 2 4" xfId="57878"/>
    <cellStyle name="好_9月棚卸 3" xfId="4452"/>
    <cellStyle name="好_9月棚卸 3 2" xfId="57879"/>
    <cellStyle name="好_9月棚卸 3 3" xfId="57880"/>
    <cellStyle name="好_9月棚卸 3 4" xfId="57881"/>
    <cellStyle name="好_9月棚卸 4" xfId="57882"/>
    <cellStyle name="好_9月棚卸 5" xfId="57883"/>
    <cellStyle name="好_9月棚卸 6" xfId="57884"/>
    <cellStyle name="好_9月棚卸 7" xfId="61008"/>
    <cellStyle name="好_9月棚卸_40期事業計画（商品部）  (3)" xfId="4453"/>
    <cellStyle name="好_9月棚卸_40期事業計画（商品部）  (3) 2" xfId="57885"/>
    <cellStyle name="好_9月棚卸_40期事業計画（商品部）  (3) 3" xfId="57886"/>
    <cellStyle name="好_9月棚卸_40期事業計画（商品部）  (3) 4" xfId="57887"/>
    <cellStyle name="好_9月棚卸_40期事業計画（商品部1）" xfId="4454"/>
    <cellStyle name="好_9月棚卸_40期事業計画（商品部1） 2" xfId="4455"/>
    <cellStyle name="好_9月棚卸_40期事業計画（商品部1） 2 2" xfId="57888"/>
    <cellStyle name="好_9月棚卸_40期事業計画（商品部1） 2 3" xfId="57889"/>
    <cellStyle name="好_9月棚卸_40期事業計画（商品部1） 2 4" xfId="57890"/>
    <cellStyle name="好_9月棚卸_40期事業計画（商品部1） 3" xfId="4456"/>
    <cellStyle name="好_9月棚卸_40期事業計画（商品部1） 3 2" xfId="57891"/>
    <cellStyle name="好_9月棚卸_40期事業計画（商品部1） 3 3" xfId="57892"/>
    <cellStyle name="好_9月棚卸_40期事業計画（商品部1） 3 4" xfId="57893"/>
    <cellStyle name="好_9月棚卸_40期事業計画（商品部1） 4" xfId="57894"/>
    <cellStyle name="好_9月棚卸_40期事業計画（商品部1） 5" xfId="57895"/>
    <cellStyle name="好_9月棚卸_40期事業計画（商品部1） 6" xfId="57896"/>
    <cellStyle name="好_9月棚卸_41期事業計画(商品部)" xfId="4457"/>
    <cellStyle name="好_9月棚卸_41期事業計画(商品部) 2" xfId="4458"/>
    <cellStyle name="好_9月棚卸_41期事業計画(商品部) 2 2" xfId="57897"/>
    <cellStyle name="好_9月棚卸_41期事業計画(商品部) 2 3" xfId="57898"/>
    <cellStyle name="好_9月棚卸_41期事業計画(商品部) 2 4" xfId="57899"/>
    <cellStyle name="好_9月棚卸_41期事業計画(商品部) 3" xfId="4459"/>
    <cellStyle name="好_9月棚卸_41期事業計画(商品部) 3 2" xfId="57900"/>
    <cellStyle name="好_9月棚卸_41期事業計画(商品部) 3 3" xfId="57901"/>
    <cellStyle name="好_9月棚卸_41期事業計画(商品部) 3 4" xfId="57902"/>
    <cellStyle name="好_9月棚卸_41期事業計画(商品部) 4" xfId="57903"/>
    <cellStyle name="好_9月棚卸_41期事業計画(商品部) 5" xfId="57904"/>
    <cellStyle name="好_9月棚卸_41期事業計画(商品部) 6" xfId="57905"/>
    <cellStyle name="好_9月棚卸_CPI" xfId="4460"/>
    <cellStyle name="好_9月棚卸_CPI 2" xfId="4461"/>
    <cellStyle name="好_9月棚卸_CPI 2 2" xfId="57906"/>
    <cellStyle name="好_9月棚卸_CPI 2 3" xfId="57907"/>
    <cellStyle name="好_9月棚卸_CPI 2 4" xfId="57908"/>
    <cellStyle name="好_9月棚卸_CPI 3" xfId="4462"/>
    <cellStyle name="好_9月棚卸_CPI 3 2" xfId="57909"/>
    <cellStyle name="好_9月棚卸_CPI 3 3" xfId="57910"/>
    <cellStyle name="好_9月棚卸_CPI 3 4" xfId="57911"/>
    <cellStyle name="好_9月棚卸_CPI 4" xfId="57912"/>
    <cellStyle name="好_9月棚卸_CPI 5" xfId="57913"/>
    <cellStyle name="好_9月棚卸_CPI 6" xfId="57914"/>
    <cellStyle name="好_9月棚卸_CPI(1)" xfId="4463"/>
    <cellStyle name="好_9月棚卸_CPI(1) 2" xfId="57915"/>
    <cellStyle name="好_9月棚卸_CPI(1) 3" xfId="57916"/>
    <cellStyle name="好_9月棚卸_CPI(1) 4" xfId="57917"/>
    <cellStyle name="好_9月棚卸_店舗マスター(20110921) 李 総経理.xls" xfId="8656"/>
    <cellStyle name="好_9月棚卸_店舗マスター(20110921) 李 総経理.xls 2" xfId="57918"/>
    <cellStyle name="好_9月棚卸_店舗マスター20091104" xfId="8657"/>
    <cellStyle name="好_9月棚卸_店舗マスター20091104 2" xfId="57919"/>
    <cellStyle name="好_9月棚卸_副本41期事業計画商品部（備品） (2) (2)" xfId="4464"/>
    <cellStyle name="好_9月棚卸_副本41期事業計画商品部（備品） (2) (2) 2" xfId="4465"/>
    <cellStyle name="好_9月棚卸_副本41期事業計画商品部（備品） (2) (2) 2 2" xfId="57920"/>
    <cellStyle name="好_9月棚卸_副本41期事業計画商品部（備品） (2) (2) 2 3" xfId="57921"/>
    <cellStyle name="好_9月棚卸_副本41期事業計画商品部（備品） (2) (2) 2 4" xfId="57922"/>
    <cellStyle name="好_9月棚卸_副本41期事業計画商品部（備品） (2) (2) 3" xfId="4466"/>
    <cellStyle name="好_9月棚卸_副本41期事業計画商品部（備品） (2) (2) 3 2" xfId="57923"/>
    <cellStyle name="好_9月棚卸_副本41期事業計画商品部（備品） (2) (2) 3 3" xfId="57924"/>
    <cellStyle name="好_9月棚卸_副本41期事業計画商品部（備品） (2) (2) 3 4" xfId="57925"/>
    <cellStyle name="好_9月棚卸_副本41期事業計画商品部（備品） (2) (2) 4" xfId="57926"/>
    <cellStyle name="好_9月棚卸_副本41期事業計画商品部（備品） (2) (2) 5" xfId="57927"/>
    <cellStyle name="好_9月棚卸_副本41期事業計画商品部（備品） (2) (2) 6" xfId="57928"/>
    <cellStyle name="好_9月棚卸_進捗管理40期（営業部）" xfId="8661"/>
    <cellStyle name="好_9月棚卸_進捗管理40期（営業部） 2" xfId="8662"/>
    <cellStyle name="好_9月棚卸_進捗管理40期（営業部） 2 2" xfId="57929"/>
    <cellStyle name="好_9月棚卸_進捗管理40期（営業部） 3" xfId="57930"/>
    <cellStyle name="好_BS-P&amp;L 2008.12" xfId="8663"/>
    <cellStyle name="好_BS-PL 2009.12" xfId="8664"/>
    <cellStyle name="好_CPI" xfId="4467"/>
    <cellStyle name="好_CPI 2" xfId="4468"/>
    <cellStyle name="好_CPI 2 2" xfId="57931"/>
    <cellStyle name="好_CPI 2 3" xfId="57932"/>
    <cellStyle name="好_CPI 2 4" xfId="57933"/>
    <cellStyle name="好_CPI 3" xfId="4469"/>
    <cellStyle name="好_CPI 3 2" xfId="57934"/>
    <cellStyle name="好_CPI 3 3" xfId="57935"/>
    <cellStyle name="好_CPI 3 4" xfId="57936"/>
    <cellStyle name="好_CPI 4" xfId="57937"/>
    <cellStyle name="好_CPI 5" xfId="57938"/>
    <cellStyle name="好_CPI 6" xfId="57939"/>
    <cellStyle name="好_CPI(1)" xfId="4470"/>
    <cellStyle name="好_CPI(1) 2" xfId="57940"/>
    <cellStyle name="好_CPI(1) 3" xfId="57941"/>
    <cellStyle name="好_CPI(1) 4" xfId="57942"/>
    <cellStyle name="好_GuangZhou)厨房维修-石牌东路店" xfId="57943"/>
    <cellStyle name="好_GuangZhou)厨房维修-石牌东路店 2" xfId="57944"/>
    <cellStyle name="好_GuangZhou)厨房维修-石牌东路店 3" xfId="57945"/>
    <cellStyle name="好_GuangZhou)厨房维修-石牌东路店 4" xfId="57946"/>
    <cellStyle name="好_GuangZhou)厨房维修-石牌东路店 5" xfId="57947"/>
    <cellStyle name="好_HK-PL201012暫定" xfId="8669"/>
    <cellStyle name="好_LED景观灯安装报价-20130226" xfId="57948"/>
    <cellStyle name="好_LED景观灯安装报价-20130226 2" xfId="57949"/>
    <cellStyle name="好_LED景观灯安装报价-20130226 3" xfId="57950"/>
    <cellStyle name="好_LED景观灯安装报价-20130226 4" xfId="57951"/>
    <cellStyle name="好_LED景观灯安装报价-20130226 5" xfId="57952"/>
    <cellStyle name="好_LED景观灯洗墙灯安装报价-20130226" xfId="57953"/>
    <cellStyle name="好_LED景观灯洗墙灯安装报价-20130226 2" xfId="57954"/>
    <cellStyle name="好_LED景观灯洗墙灯安装报价-20130226 3" xfId="57955"/>
    <cellStyle name="好_LED景观灯洗墙灯安装报价-20130226 4" xfId="57956"/>
    <cellStyle name="好_LED景观灯洗墙灯安装报价-20130226 5" xfId="57957"/>
    <cellStyle name="好_WEEKLY報告(HK) 2011" xfId="8670"/>
    <cellStyle name="好_WEEKLY報告(HK) 2011 2" xfId="57958"/>
    <cellStyle name="好_WEEKLY報告(北京）2008.10" xfId="4471"/>
    <cellStyle name="好_WEEKLY報告(北京）2008.10 2" xfId="4472"/>
    <cellStyle name="好_WEEKLY報告(北京）2008.10 2 2" xfId="57959"/>
    <cellStyle name="好_WEEKLY報告(北京）2008.10 2 3" xfId="57960"/>
    <cellStyle name="好_WEEKLY報告(北京）2008.10 2 4" xfId="57961"/>
    <cellStyle name="好_WEEKLY報告(北京）2008.10 3" xfId="4473"/>
    <cellStyle name="好_WEEKLY報告(北京）2008.10 3 2" xfId="57962"/>
    <cellStyle name="好_WEEKLY報告(北京）2008.10 3 3" xfId="57963"/>
    <cellStyle name="好_WEEKLY報告(北京）2008.10 3 4" xfId="57964"/>
    <cellStyle name="好_WEEKLY報告(北京）2008.10 4" xfId="57965"/>
    <cellStyle name="好_WEEKLY報告(北京）2008.10 5" xfId="57966"/>
    <cellStyle name="好_WEEKLY報告(北京）2008.10 6" xfId="57967"/>
    <cellStyle name="好_WEEKLY報告(北京）2008.10 7" xfId="61009"/>
    <cellStyle name="好_WEEKLY報告(北京）2008.10_40期事業計画（商品部）  (3)" xfId="4474"/>
    <cellStyle name="好_WEEKLY報告(北京）2008.10_40期事業計画（商品部）  (3) 2" xfId="57968"/>
    <cellStyle name="好_WEEKLY報告(北京）2008.10_40期事業計画（商品部）  (3) 3" xfId="57969"/>
    <cellStyle name="好_WEEKLY報告(北京）2008.10_40期事業計画（商品部）  (3) 4" xfId="57970"/>
    <cellStyle name="好_WEEKLY報告(北京）2008.10_40期事業計画（商品部1）" xfId="4475"/>
    <cellStyle name="好_WEEKLY報告(北京）2008.10_40期事業計画（商品部1） 2" xfId="4476"/>
    <cellStyle name="好_WEEKLY報告(北京）2008.10_40期事業計画（商品部1） 2 2" xfId="57971"/>
    <cellStyle name="好_WEEKLY報告(北京）2008.10_40期事業計画（商品部1） 2 3" xfId="57972"/>
    <cellStyle name="好_WEEKLY報告(北京）2008.10_40期事業計画（商品部1） 2 4" xfId="57973"/>
    <cellStyle name="好_WEEKLY報告(北京）2008.10_40期事業計画（商品部1） 3" xfId="4477"/>
    <cellStyle name="好_WEEKLY報告(北京）2008.10_40期事業計画（商品部1） 3 2" xfId="57974"/>
    <cellStyle name="好_WEEKLY報告(北京）2008.10_40期事業計画（商品部1） 3 3" xfId="57975"/>
    <cellStyle name="好_WEEKLY報告(北京）2008.10_40期事業計画（商品部1） 3 4" xfId="57976"/>
    <cellStyle name="好_WEEKLY報告(北京）2008.10_40期事業計画（商品部1） 4" xfId="57977"/>
    <cellStyle name="好_WEEKLY報告(北京）2008.10_40期事業計画（商品部1） 5" xfId="57978"/>
    <cellStyle name="好_WEEKLY報告(北京）2008.10_40期事業計画（商品部1） 6" xfId="57979"/>
    <cellStyle name="好_WEEKLY報告(北京）2008.10_41期事業計画(商品部)" xfId="4478"/>
    <cellStyle name="好_WEEKLY報告(北京）2008.10_41期事業計画(商品部) 2" xfId="4479"/>
    <cellStyle name="好_WEEKLY報告(北京）2008.10_41期事業計画(商品部) 2 2" xfId="57980"/>
    <cellStyle name="好_WEEKLY報告(北京）2008.10_41期事業計画(商品部) 2 3" xfId="57981"/>
    <cellStyle name="好_WEEKLY報告(北京）2008.10_41期事業計画(商品部) 2 4" xfId="57982"/>
    <cellStyle name="好_WEEKLY報告(北京）2008.10_41期事業計画(商品部) 3" xfId="4480"/>
    <cellStyle name="好_WEEKLY報告(北京）2008.10_41期事業計画(商品部) 3 2" xfId="57983"/>
    <cellStyle name="好_WEEKLY報告(北京）2008.10_41期事業計画(商品部) 3 3" xfId="57984"/>
    <cellStyle name="好_WEEKLY報告(北京）2008.10_41期事業計画(商品部) 3 4" xfId="57985"/>
    <cellStyle name="好_WEEKLY報告(北京）2008.10_41期事業計画(商品部) 4" xfId="57986"/>
    <cellStyle name="好_WEEKLY報告(北京）2008.10_41期事業計画(商品部) 5" xfId="57987"/>
    <cellStyle name="好_WEEKLY報告(北京）2008.10_41期事業計画(商品部) 6" xfId="57988"/>
    <cellStyle name="好_WEEKLY報告(北京）2008.10_CPI" xfId="4481"/>
    <cellStyle name="好_WEEKLY報告(北京）2008.10_CPI 2" xfId="4482"/>
    <cellStyle name="好_WEEKLY報告(北京）2008.10_CPI 2 2" xfId="57989"/>
    <cellStyle name="好_WEEKLY報告(北京）2008.10_CPI 2 3" xfId="57990"/>
    <cellStyle name="好_WEEKLY報告(北京）2008.10_CPI 2 4" xfId="57991"/>
    <cellStyle name="好_WEEKLY報告(北京）2008.10_CPI 3" xfId="4483"/>
    <cellStyle name="好_WEEKLY報告(北京）2008.10_CPI 3 2" xfId="57992"/>
    <cellStyle name="好_WEEKLY報告(北京）2008.10_CPI 3 3" xfId="57993"/>
    <cellStyle name="好_WEEKLY報告(北京）2008.10_CPI 3 4" xfId="57994"/>
    <cellStyle name="好_WEEKLY報告(北京）2008.10_CPI 4" xfId="57995"/>
    <cellStyle name="好_WEEKLY報告(北京）2008.10_CPI 5" xfId="57996"/>
    <cellStyle name="好_WEEKLY報告(北京）2008.10_CPI 6" xfId="57997"/>
    <cellStyle name="好_WEEKLY報告(北京）2008.10_CPI(1)" xfId="4484"/>
    <cellStyle name="好_WEEKLY報告(北京）2008.10_CPI(1) 2" xfId="57998"/>
    <cellStyle name="好_WEEKLY報告(北京）2008.10_CPI(1) 3" xfId="57999"/>
    <cellStyle name="好_WEEKLY報告(北京）2008.10_CPI(1) 4" xfId="58000"/>
    <cellStyle name="好_WEEKLY報告(北京）2008.10_店舗マスター(20110921) 李 総経理.xls" xfId="8685"/>
    <cellStyle name="好_WEEKLY報告(北京）2008.10_店舗マスター(20110921) 李 総経理.xls 2" xfId="58001"/>
    <cellStyle name="好_WEEKLY報告(北京）2008.10_店舗マスター20091104" xfId="8686"/>
    <cellStyle name="好_WEEKLY報告(北京）2008.10_店舗マスター20091104 2" xfId="58002"/>
    <cellStyle name="好_WEEKLY報告(北京）2008.10_副本41期事業計画商品部（備品） (2) (2)" xfId="4485"/>
    <cellStyle name="好_WEEKLY報告(北京）2008.10_副本41期事業計画商品部（備品） (2) (2) 2" xfId="4486"/>
    <cellStyle name="好_WEEKLY報告(北京）2008.10_副本41期事業計画商品部（備品） (2) (2) 2 2" xfId="58003"/>
    <cellStyle name="好_WEEKLY報告(北京）2008.10_副本41期事業計画商品部（備品） (2) (2) 2 3" xfId="58004"/>
    <cellStyle name="好_WEEKLY報告(北京）2008.10_副本41期事業計画商品部（備品） (2) (2) 2 4" xfId="58005"/>
    <cellStyle name="好_WEEKLY報告(北京）2008.10_副本41期事業計画商品部（備品） (2) (2) 3" xfId="4487"/>
    <cellStyle name="好_WEEKLY報告(北京）2008.10_副本41期事業計画商品部（備品） (2) (2) 3 2" xfId="58006"/>
    <cellStyle name="好_WEEKLY報告(北京）2008.10_副本41期事業計画商品部（備品） (2) (2) 3 3" xfId="58007"/>
    <cellStyle name="好_WEEKLY報告(北京）2008.10_副本41期事業計画商品部（備品） (2) (2) 3 4" xfId="58008"/>
    <cellStyle name="好_WEEKLY報告(北京）2008.10_副本41期事業計画商品部（備品） (2) (2) 4" xfId="58009"/>
    <cellStyle name="好_WEEKLY報告(北京）2008.10_副本41期事業計画商品部（備品） (2) (2) 5" xfId="58010"/>
    <cellStyle name="好_WEEKLY報告(北京）2008.10_副本41期事業計画商品部（備品） (2) (2) 6" xfId="58011"/>
    <cellStyle name="好_WEEKLY報告(北京）2008.10_進捗管理40期（営業部）" xfId="8690"/>
    <cellStyle name="好_WEEKLY報告(北京）2008.10_進捗管理40期（営業部） 2" xfId="8691"/>
    <cellStyle name="好_WEEKLY報告(北京）2008.10_進捗管理40期（営業部） 2 2" xfId="58012"/>
    <cellStyle name="好_WEEKLY報告(北京）2008.10_進捗管理40期（営業部） 3" xfId="58013"/>
    <cellStyle name="好_WEEKLY報告（北京）20101" xfId="8692"/>
    <cellStyle name="好_WEEKLY報告（北京）20101 2" xfId="58014"/>
    <cellStyle name="好_WEEKLY報告（北京）20101_店舗マスター(20110921) 李 総経理.xls" xfId="8693"/>
    <cellStyle name="好_WEEKLY報告（北京）20101_店舗マスター(20110921) 李 総経理.xls 2" xfId="58015"/>
    <cellStyle name="好_WEEKLY報告書(GZ）20111" xfId="8694"/>
    <cellStyle name="好_WEEKLY報告書(GZ）20111 2" xfId="58016"/>
    <cellStyle name="好_Xl0000173" xfId="4488"/>
    <cellStyle name="好_Xl0000173 2" xfId="58017"/>
    <cellStyle name="好_Xl0000173 3" xfId="58018"/>
    <cellStyle name="好_Xl0000173 4" xfId="58019"/>
    <cellStyle name="好_Xl0000173_副本新メニュー観察(上海) 201204 花島添削 (5)" xfId="4489"/>
    <cellStyle name="好_Xl0000173_副本新メニュー観察(上海) 201204 花島添削 (5) 2" xfId="58020"/>
    <cellStyle name="好_Xl0000173_副本新メニュー観察(上海) 201204 花島添削 (5) 3" xfId="58021"/>
    <cellStyle name="好_Xl0000173_副本新メニュー観察(上海) 201204 花島添削 (5) 4" xfId="58022"/>
    <cellStyle name="好_Xl0000173_新メニュー観察(上海) 201204 花島添削 (2) (5)" xfId="4490"/>
    <cellStyle name="好_Xl0000173_新メニュー観察(上海) 201204 花島添削 (2) (5) 2" xfId="58023"/>
    <cellStyle name="好_Xl0000173_新メニュー観察(上海) 201204 花島添削 (2) (5) 3" xfId="58024"/>
    <cellStyle name="好_Xl0000173_新メニュー観察(上海) 201204 花島添削 (2) (5) 4" xfId="58025"/>
    <cellStyle name="好_Xl0000173_新メニュー観察(上海) 201204 花島添削 (2) (5) 5" xfId="58026"/>
    <cellStyle name="好_X展架广告制品报价20130128" xfId="58027"/>
    <cellStyle name="好_X展架广告制品报价20130128 2" xfId="58028"/>
    <cellStyle name="好_X展架广告制品报价20130128 3" xfId="58029"/>
    <cellStyle name="好_X展架广告制品报价20130128 4" xfId="58030"/>
    <cellStyle name="好_X展架广告制品报价20130128 5" xfId="58031"/>
    <cellStyle name="好_北京商品単価" xfId="4491"/>
    <cellStyle name="好_北京商品単価 2" xfId="4492"/>
    <cellStyle name="好_北京商品単価 2 2" xfId="58032"/>
    <cellStyle name="好_北京商品単価 2 3" xfId="58033"/>
    <cellStyle name="好_北京商品単価 2 4" xfId="58034"/>
    <cellStyle name="好_北京商品単価 2 5" xfId="58035"/>
    <cellStyle name="好_北京商品単価 3" xfId="4493"/>
    <cellStyle name="好_北京商品単価 3 2" xfId="58036"/>
    <cellStyle name="好_北京商品単価 3 3" xfId="58037"/>
    <cellStyle name="好_北京商品単価 3 4" xfId="58038"/>
    <cellStyle name="好_北京商品単価 3 5" xfId="58039"/>
    <cellStyle name="好_北京商品単価 4" xfId="58040"/>
    <cellStyle name="好_北京商品単価 5" xfId="58041"/>
    <cellStyle name="好_北京商品単価 6" xfId="58042"/>
    <cellStyle name="好_北京商品単価 7" xfId="58043"/>
    <cellStyle name="好_北京商品単価 8" xfId="61010"/>
    <cellStyle name="好_北京商品単価_40期事業計画（商品部）  (3)" xfId="4494"/>
    <cellStyle name="好_北京商品単価_40期事業計画（商品部）  (3) 2" xfId="58044"/>
    <cellStyle name="好_北京商品単価_40期事業計画（商品部）  (3) 3" xfId="58045"/>
    <cellStyle name="好_北京商品単価_40期事業計画（商品部）  (3) 4" xfId="58046"/>
    <cellStyle name="好_北京商品単価_40期事業計画（商品部）  (3) 5" xfId="58047"/>
    <cellStyle name="好_北京商品単価_40期事業計画（商品部1）" xfId="4495"/>
    <cellStyle name="好_北京商品単価_40期事業計画（商品部1） 2" xfId="4496"/>
    <cellStyle name="好_北京商品単価_40期事業計画（商品部1） 2 2" xfId="58048"/>
    <cellStyle name="好_北京商品単価_40期事業計画（商品部1） 2 3" xfId="58049"/>
    <cellStyle name="好_北京商品単価_40期事業計画（商品部1） 2 4" xfId="58050"/>
    <cellStyle name="好_北京商品単価_40期事業計画（商品部1） 2 5" xfId="58051"/>
    <cellStyle name="好_北京商品単価_40期事業計画（商品部1） 3" xfId="4497"/>
    <cellStyle name="好_北京商品単価_40期事業計画（商品部1） 3 2" xfId="58052"/>
    <cellStyle name="好_北京商品単価_40期事業計画（商品部1） 3 3" xfId="58053"/>
    <cellStyle name="好_北京商品単価_40期事業計画（商品部1） 3 4" xfId="58054"/>
    <cellStyle name="好_北京商品単価_40期事業計画（商品部1） 3 5" xfId="58055"/>
    <cellStyle name="好_北京商品単価_40期事業計画（商品部1） 4" xfId="58056"/>
    <cellStyle name="好_北京商品単価_40期事業計画（商品部1） 5" xfId="58057"/>
    <cellStyle name="好_北京商品単価_40期事業計画（商品部1） 6" xfId="58058"/>
    <cellStyle name="好_北京商品単価_40期事業計画（商品部1） 7" xfId="58059"/>
    <cellStyle name="好_北京商品単価_41期事業計画(商品部)" xfId="4498"/>
    <cellStyle name="好_北京商品単価_41期事業計画(商品部) 2" xfId="4499"/>
    <cellStyle name="好_北京商品単価_41期事業計画(商品部) 2 2" xfId="58060"/>
    <cellStyle name="好_北京商品単価_41期事業計画(商品部) 2 3" xfId="58061"/>
    <cellStyle name="好_北京商品単価_41期事業計画(商品部) 2 4" xfId="58062"/>
    <cellStyle name="好_北京商品単価_41期事業計画(商品部) 2 5" xfId="58063"/>
    <cellStyle name="好_北京商品単価_41期事業計画(商品部) 3" xfId="4500"/>
    <cellStyle name="好_北京商品単価_41期事業計画(商品部) 3 2" xfId="58064"/>
    <cellStyle name="好_北京商品単価_41期事業計画(商品部) 3 3" xfId="58065"/>
    <cellStyle name="好_北京商品単価_41期事業計画(商品部) 3 4" xfId="58066"/>
    <cellStyle name="好_北京商品単価_41期事業計画(商品部) 3 5" xfId="58067"/>
    <cellStyle name="好_北京商品単価_41期事業計画(商品部) 4" xfId="58068"/>
    <cellStyle name="好_北京商品単価_41期事業計画(商品部) 5" xfId="58069"/>
    <cellStyle name="好_北京商品単価_41期事業計画(商品部) 6" xfId="58070"/>
    <cellStyle name="好_北京商品単価_41期事業計画(商品部) 7" xfId="58071"/>
    <cellStyle name="好_北京商品単価_9月棚卸" xfId="4501"/>
    <cellStyle name="好_北京商品単価_9月棚卸 2" xfId="4502"/>
    <cellStyle name="好_北京商品単価_9月棚卸 2 2" xfId="58072"/>
    <cellStyle name="好_北京商品単価_9月棚卸 2 3" xfId="58073"/>
    <cellStyle name="好_北京商品単価_9月棚卸 2 4" xfId="58074"/>
    <cellStyle name="好_北京商品単価_9月棚卸 2 5" xfId="58075"/>
    <cellStyle name="好_北京商品単価_9月棚卸 3" xfId="4503"/>
    <cellStyle name="好_北京商品単価_9月棚卸 3 2" xfId="58076"/>
    <cellStyle name="好_北京商品単価_9月棚卸 3 3" xfId="58077"/>
    <cellStyle name="好_北京商品単価_9月棚卸 3 4" xfId="58078"/>
    <cellStyle name="好_北京商品単価_9月棚卸 3 5" xfId="58079"/>
    <cellStyle name="好_北京商品単価_9月棚卸 4" xfId="58080"/>
    <cellStyle name="好_北京商品単価_9月棚卸 5" xfId="58081"/>
    <cellStyle name="好_北京商品単価_9月棚卸 6" xfId="58082"/>
    <cellStyle name="好_北京商品単価_9月棚卸 7" xfId="58083"/>
    <cellStyle name="好_北京商品単価_9月棚卸 8" xfId="61011"/>
    <cellStyle name="好_北京商品単価_9月棚卸_40期事業計画（商品部）  (3)" xfId="4504"/>
    <cellStyle name="好_北京商品単価_9月棚卸_40期事業計画（商品部）  (3) 2" xfId="58084"/>
    <cellStyle name="好_北京商品単価_9月棚卸_40期事業計画（商品部）  (3) 3" xfId="58085"/>
    <cellStyle name="好_北京商品単価_9月棚卸_40期事業計画（商品部）  (3) 4" xfId="58086"/>
    <cellStyle name="好_北京商品単価_9月棚卸_40期事業計画（商品部）  (3) 5" xfId="58087"/>
    <cellStyle name="好_北京商品単価_9月棚卸_40期事業計画（商品部1）" xfId="4505"/>
    <cellStyle name="好_北京商品単価_9月棚卸_40期事業計画（商品部1） 2" xfId="4506"/>
    <cellStyle name="好_北京商品単価_9月棚卸_40期事業計画（商品部1） 2 2" xfId="58088"/>
    <cellStyle name="好_北京商品単価_9月棚卸_40期事業計画（商品部1） 2 3" xfId="58089"/>
    <cellStyle name="好_北京商品単価_9月棚卸_40期事業計画（商品部1） 2 4" xfId="58090"/>
    <cellStyle name="好_北京商品単価_9月棚卸_40期事業計画（商品部1） 2 5" xfId="58091"/>
    <cellStyle name="好_北京商品単価_9月棚卸_40期事業計画（商品部1） 3" xfId="4507"/>
    <cellStyle name="好_北京商品単価_9月棚卸_40期事業計画（商品部1） 3 2" xfId="58092"/>
    <cellStyle name="好_北京商品単価_9月棚卸_40期事業計画（商品部1） 3 3" xfId="58093"/>
    <cellStyle name="好_北京商品単価_9月棚卸_40期事業計画（商品部1） 3 4" xfId="58094"/>
    <cellStyle name="好_北京商品単価_9月棚卸_40期事業計画（商品部1） 3 5" xfId="58095"/>
    <cellStyle name="好_北京商品単価_9月棚卸_40期事業計画（商品部1） 4" xfId="58096"/>
    <cellStyle name="好_北京商品単価_9月棚卸_40期事業計画（商品部1） 5" xfId="58097"/>
    <cellStyle name="好_北京商品単価_9月棚卸_40期事業計画（商品部1） 6" xfId="58098"/>
    <cellStyle name="好_北京商品単価_9月棚卸_40期事業計画（商品部1） 7" xfId="58099"/>
    <cellStyle name="好_北京商品単価_9月棚卸_41期事業計画(商品部)" xfId="4508"/>
    <cellStyle name="好_北京商品単価_9月棚卸_41期事業計画(商品部) 2" xfId="4509"/>
    <cellStyle name="好_北京商品単価_9月棚卸_41期事業計画(商品部) 2 2" xfId="58100"/>
    <cellStyle name="好_北京商品単価_9月棚卸_41期事業計画(商品部) 2 3" xfId="58101"/>
    <cellStyle name="好_北京商品単価_9月棚卸_41期事業計画(商品部) 2 4" xfId="58102"/>
    <cellStyle name="好_北京商品単価_9月棚卸_41期事業計画(商品部) 2 5" xfId="58103"/>
    <cellStyle name="好_北京商品単価_9月棚卸_41期事業計画(商品部) 3" xfId="4510"/>
    <cellStyle name="好_北京商品単価_9月棚卸_41期事業計画(商品部) 3 2" xfId="58104"/>
    <cellStyle name="好_北京商品単価_9月棚卸_41期事業計画(商品部) 3 3" xfId="58105"/>
    <cellStyle name="好_北京商品単価_9月棚卸_41期事業計画(商品部) 3 4" xfId="58106"/>
    <cellStyle name="好_北京商品単価_9月棚卸_41期事業計画(商品部) 3 5" xfId="58107"/>
    <cellStyle name="好_北京商品単価_9月棚卸_41期事業計画(商品部) 4" xfId="58108"/>
    <cellStyle name="好_北京商品単価_9月棚卸_41期事業計画(商品部) 5" xfId="58109"/>
    <cellStyle name="好_北京商品単価_9月棚卸_41期事業計画(商品部) 6" xfId="58110"/>
    <cellStyle name="好_北京商品単価_9月棚卸_41期事業計画(商品部) 7" xfId="58111"/>
    <cellStyle name="好_北京商品単価_9月棚卸_CPI" xfId="4511"/>
    <cellStyle name="好_北京商品単価_9月棚卸_CPI 2" xfId="4512"/>
    <cellStyle name="好_北京商品単価_9月棚卸_CPI 2 2" xfId="58112"/>
    <cellStyle name="好_北京商品単価_9月棚卸_CPI 2 3" xfId="58113"/>
    <cellStyle name="好_北京商品単価_9月棚卸_CPI 2 4" xfId="58114"/>
    <cellStyle name="好_北京商品単価_9月棚卸_CPI 2 5" xfId="58115"/>
    <cellStyle name="好_北京商品単価_9月棚卸_CPI 3" xfId="4513"/>
    <cellStyle name="好_北京商品単価_9月棚卸_CPI 3 2" xfId="58116"/>
    <cellStyle name="好_北京商品単価_9月棚卸_CPI 3 3" xfId="58117"/>
    <cellStyle name="好_北京商品単価_9月棚卸_CPI 3 4" xfId="58118"/>
    <cellStyle name="好_北京商品単価_9月棚卸_CPI 3 5" xfId="58119"/>
    <cellStyle name="好_北京商品単価_9月棚卸_CPI 4" xfId="58120"/>
    <cellStyle name="好_北京商品単価_9月棚卸_CPI 5" xfId="58121"/>
    <cellStyle name="好_北京商品単価_9月棚卸_CPI 6" xfId="58122"/>
    <cellStyle name="好_北京商品単価_9月棚卸_CPI 7" xfId="58123"/>
    <cellStyle name="好_北京商品単価_9月棚卸_CPI(1)" xfId="4514"/>
    <cellStyle name="好_北京商品単価_9月棚卸_CPI(1) 2" xfId="58124"/>
    <cellStyle name="好_北京商品単価_9月棚卸_CPI(1) 3" xfId="58125"/>
    <cellStyle name="好_北京商品単価_9月棚卸_CPI(1) 4" xfId="58126"/>
    <cellStyle name="好_北京商品単価_9月棚卸_CPI(1) 5" xfId="58127"/>
    <cellStyle name="好_北京商品単価_9月棚卸_店舗マスター(20110921) 李 総経理.xls" xfId="8722"/>
    <cellStyle name="好_北京商品単価_9月棚卸_店舗マスター(20110921) 李 総経理.xls 2" xfId="58128"/>
    <cellStyle name="好_北京商品単価_9月棚卸_店舗マスター20091104" xfId="8723"/>
    <cellStyle name="好_北京商品単価_9月棚卸_店舗マスター20091104 2" xfId="58129"/>
    <cellStyle name="好_北京商品単価_9月棚卸_副本41期事業計画商品部（備品） (2) (2)" xfId="4515"/>
    <cellStyle name="好_北京商品単価_9月棚卸_副本41期事業計画商品部（備品） (2) (2) 2" xfId="4516"/>
    <cellStyle name="好_北京商品単価_9月棚卸_副本41期事業計画商品部（備品） (2) (2) 2 2" xfId="58130"/>
    <cellStyle name="好_北京商品単価_9月棚卸_副本41期事業計画商品部（備品） (2) (2) 2 3" xfId="58131"/>
    <cellStyle name="好_北京商品単価_9月棚卸_副本41期事業計画商品部（備品） (2) (2) 2 4" xfId="58132"/>
    <cellStyle name="好_北京商品単価_9月棚卸_副本41期事業計画商品部（備品） (2) (2) 2 5" xfId="58133"/>
    <cellStyle name="好_北京商品単価_9月棚卸_副本41期事業計画商品部（備品） (2) (2) 3" xfId="4517"/>
    <cellStyle name="好_北京商品単価_9月棚卸_副本41期事業計画商品部（備品） (2) (2) 3 2" xfId="58134"/>
    <cellStyle name="好_北京商品単価_9月棚卸_副本41期事業計画商品部（備品） (2) (2) 3 3" xfId="58135"/>
    <cellStyle name="好_北京商品単価_9月棚卸_副本41期事業計画商品部（備品） (2) (2) 3 4" xfId="58136"/>
    <cellStyle name="好_北京商品単価_9月棚卸_副本41期事業計画商品部（備品） (2) (2) 3 5" xfId="58137"/>
    <cellStyle name="好_北京商品単価_9月棚卸_副本41期事業計画商品部（備品） (2) (2) 4" xfId="58138"/>
    <cellStyle name="好_北京商品単価_9月棚卸_副本41期事業計画商品部（備品） (2) (2) 5" xfId="58139"/>
    <cellStyle name="好_北京商品単価_9月棚卸_副本41期事業計画商品部（備品） (2) (2) 6" xfId="58140"/>
    <cellStyle name="好_北京商品単価_9月棚卸_副本41期事業計画商品部（備品） (2) (2) 7" xfId="58141"/>
    <cellStyle name="好_北京商品単価_9月棚卸_進捗管理40期（営業部）" xfId="8727"/>
    <cellStyle name="好_北京商品単価_9月棚卸_進捗管理40期（営業部） 2" xfId="8728"/>
    <cellStyle name="好_北京商品単価_9月棚卸_進捗管理40期（営業部） 2 2" xfId="58142"/>
    <cellStyle name="好_北京商品単価_9月棚卸_進捗管理40期（営業部） 3" xfId="58143"/>
    <cellStyle name="好_北京商品単価_CPI" xfId="4518"/>
    <cellStyle name="好_北京商品単価_CPI 2" xfId="4519"/>
    <cellStyle name="好_北京商品単価_CPI 2 2" xfId="58144"/>
    <cellStyle name="好_北京商品単価_CPI 2 3" xfId="58145"/>
    <cellStyle name="好_北京商品単価_CPI 2 4" xfId="58146"/>
    <cellStyle name="好_北京商品単価_CPI 2 5" xfId="58147"/>
    <cellStyle name="好_北京商品単価_CPI 3" xfId="4520"/>
    <cellStyle name="好_北京商品単価_CPI 3 2" xfId="58148"/>
    <cellStyle name="好_北京商品単価_CPI 3 3" xfId="58149"/>
    <cellStyle name="好_北京商品単価_CPI 3 4" xfId="58150"/>
    <cellStyle name="好_北京商品単価_CPI 3 5" xfId="58151"/>
    <cellStyle name="好_北京商品単価_CPI 4" xfId="58152"/>
    <cellStyle name="好_北京商品単価_CPI 5" xfId="58153"/>
    <cellStyle name="好_北京商品単価_CPI 6" xfId="58154"/>
    <cellStyle name="好_北京商品単価_CPI 7" xfId="58155"/>
    <cellStyle name="好_北京商品単価_CPI(1)" xfId="4521"/>
    <cellStyle name="好_北京商品単価_CPI(1) 2" xfId="58156"/>
    <cellStyle name="好_北京商品単価_CPI(1) 3" xfId="58157"/>
    <cellStyle name="好_北京商品単価_CPI(1) 4" xfId="58158"/>
    <cellStyle name="好_北京商品単価_CPI(1) 5" xfId="58159"/>
    <cellStyle name="好_北京商品単価_店舗マスター(20110921) 李 総経理.xls" xfId="8733"/>
    <cellStyle name="好_北京商品単価_店舗マスター(20110921) 李 総経理.xls 2" xfId="58160"/>
    <cellStyle name="好_北京商品単価_店舗マスター20091104" xfId="8734"/>
    <cellStyle name="好_北京商品単価_店舗マスター20091104 2" xfId="58161"/>
    <cellStyle name="好_北京商品単価_副本41期事業計画商品部（備品） (2) (2)" xfId="4522"/>
    <cellStyle name="好_北京商品単価_副本41期事業計画商品部（備品） (2) (2) 2" xfId="4523"/>
    <cellStyle name="好_北京商品単価_副本41期事業計画商品部（備品） (2) (2) 2 2" xfId="58162"/>
    <cellStyle name="好_北京商品単価_副本41期事業計画商品部（備品） (2) (2) 2 3" xfId="58163"/>
    <cellStyle name="好_北京商品単価_副本41期事業計画商品部（備品） (2) (2) 2 4" xfId="58164"/>
    <cellStyle name="好_北京商品単価_副本41期事業計画商品部（備品） (2) (2) 2 5" xfId="58165"/>
    <cellStyle name="好_北京商品単価_副本41期事業計画商品部（備品） (2) (2) 3" xfId="4524"/>
    <cellStyle name="好_北京商品単価_副本41期事業計画商品部（備品） (2) (2) 3 2" xfId="58166"/>
    <cellStyle name="好_北京商品単価_副本41期事業計画商品部（備品） (2) (2) 3 3" xfId="58167"/>
    <cellStyle name="好_北京商品単価_副本41期事業計画商品部（備品） (2) (2) 3 4" xfId="58168"/>
    <cellStyle name="好_北京商品単価_副本41期事業計画商品部（備品） (2) (2) 3 5" xfId="58169"/>
    <cellStyle name="好_北京商品単価_副本41期事業計画商品部（備品） (2) (2) 4" xfId="58170"/>
    <cellStyle name="好_北京商品単価_副本41期事業計画商品部（備品） (2) (2) 5" xfId="58171"/>
    <cellStyle name="好_北京商品単価_副本41期事業計画商品部（備品） (2) (2) 6" xfId="58172"/>
    <cellStyle name="好_北京商品単価_副本41期事業計画商品部（備品） (2) (2) 7" xfId="58173"/>
    <cellStyle name="好_北京商品単価_進捗管理40期（営業部）" xfId="8738"/>
    <cellStyle name="好_北京商品単価_進捗管理40期（営業部） 2" xfId="8739"/>
    <cellStyle name="好_北京商品単価_進捗管理40期（営業部） 2 2" xfId="58174"/>
    <cellStyle name="好_北京商品単価_進捗管理40期（営業部） 3" xfId="58175"/>
    <cellStyle name="好_出店予定" xfId="8740"/>
    <cellStyle name="好_出店予定 2" xfId="58176"/>
    <cellStyle name="好_出店予定_店舗マスター(20110921) 李 総経理.xls" xfId="8741"/>
    <cellStyle name="好_出店予定_店舗マスター(20110921) 李 総経理.xls 2" xfId="58177"/>
    <cellStyle name="好_出店予定_店舗マスター20091104" xfId="8742"/>
    <cellStyle name="好_出店予定_店舗マスター20091104 2" xfId="58178"/>
    <cellStyle name="好_儊僯儏乕娤嶡(2-1)." xfId="4525"/>
    <cellStyle name="好_儊僯儏乕娤嶡(2-1). 2" xfId="58179"/>
    <cellStyle name="好_儊僯儏乕娤嶡(2-1). 3" xfId="58180"/>
    <cellStyle name="好_儊僯儏乕娤嶡(2-1). 4" xfId="58181"/>
    <cellStyle name="好_店舗マスター20101213" xfId="4526"/>
    <cellStyle name="好_店舗マスター20101213 2" xfId="8745"/>
    <cellStyle name="好_副本40期事業計画  (2)" xfId="8746"/>
    <cellStyle name="好_副本40期預実（商品部） (3)" xfId="4527"/>
    <cellStyle name="好_副本40期預実（商品部） (3) 2" xfId="4528"/>
    <cellStyle name="好_副本40期預実（商品部） (3) 2 2" xfId="58182"/>
    <cellStyle name="好_副本40期預実（商品部） (3) 2 3" xfId="58183"/>
    <cellStyle name="好_副本40期預実（商品部） (3) 2 4" xfId="58184"/>
    <cellStyle name="好_副本40期預実（商品部） (3) 2 5" xfId="58185"/>
    <cellStyle name="好_副本40期預実（商品部） (3) 3" xfId="4529"/>
    <cellStyle name="好_副本40期預実（商品部） (3) 3 2" xfId="58186"/>
    <cellStyle name="好_副本40期預実（商品部） (3) 3 3" xfId="58187"/>
    <cellStyle name="好_副本40期預実（商品部） (3) 3 4" xfId="58188"/>
    <cellStyle name="好_副本40期預実（商品部） (3) 3 5" xfId="58189"/>
    <cellStyle name="好_副本40期預実（商品部） (3) 4" xfId="58190"/>
    <cellStyle name="好_副本40期預実（商品部） (3) 5" xfId="58191"/>
    <cellStyle name="好_副本40期預実（商品部） (3) 6" xfId="58192"/>
    <cellStyle name="好_副本40期預実（商品部） (3) 7" xfId="58193"/>
    <cellStyle name="好_副本40期預実（商品部） (3)_201205同業他社比較（商品構成G）" xfId="4530"/>
    <cellStyle name="好_副本40期預実（商品部） (3)_201205同業他社比較（商品構成G） 2" xfId="58194"/>
    <cellStyle name="好_副本40期預実（商品部） (3)_201205同業他社比較（商品構成G） 3" xfId="58195"/>
    <cellStyle name="好_副本40期預実（商品部） (3)_201205同業他社比較（商品構成G） 4" xfId="58196"/>
    <cellStyle name="好_副本40期預実（商品部） (3)_副本新メニュー観察(上海) 201204 花島添削 (5)" xfId="4531"/>
    <cellStyle name="好_副本40期預実（商品部） (3)_副本新メニュー観察(上海) 201204 花島添削 (5) 2" xfId="58197"/>
    <cellStyle name="好_副本40期預実（商品部） (3)_副本新メニュー観察(上海) 201204 花島添削 (5) 3" xfId="58198"/>
    <cellStyle name="好_副本40期預実（商品部） (3)_副本新メニュー観察(上海) 201204 花島添削 (5) 4" xfId="58199"/>
    <cellStyle name="好_副本40期預実（商品部） (3)_副本新メニュー観察(上海) 201204 花島添削 (5) 5" xfId="58200"/>
    <cellStyle name="好_副本40期預実（商品部） (3)_新メニュー観察(上海) 201204 花島添削 (2) (5)" xfId="4532"/>
    <cellStyle name="好_副本40期預実（商品部） (3)_新メニュー観察(上海) 201204 花島添削 (2) (5) 2" xfId="58201"/>
    <cellStyle name="好_副本40期預実（商品部） (3)_新メニュー観察(上海) 201204 花島添削 (2) (5) 3" xfId="58202"/>
    <cellStyle name="好_副本40期預実（商品部） (3)_新メニュー観察(上海) 201204 花島添削 (2) (5) 4" xfId="58203"/>
    <cellStyle name="好_副本40期預実（商品部） (3)_新メニュー観察(上海) 201204 花島添削 (2) (5) 5" xfId="58204"/>
    <cellStyle name="好_副本40期預実（商品部） (3)_週新品観察." xfId="4533"/>
    <cellStyle name="好_副本40期預実（商品部） (3)_週新品観察. 2" xfId="58205"/>
    <cellStyle name="好_副本40期預実（商品部） (3)_週新品観察. 3" xfId="58206"/>
    <cellStyle name="好_副本40期預実（商品部） (3)_週新品観察. 4" xfId="58207"/>
    <cellStyle name="好_副本40期預実（商品部） (3)_週新品観察. 5" xfId="58208"/>
    <cellStyle name="好_副本41期事業計画商品部（備品） (2) (2)" xfId="4534"/>
    <cellStyle name="好_副本41期事業計画商品部（備品） (2) (2) 2" xfId="4535"/>
    <cellStyle name="好_副本41期事業計画商品部（備品） (2) (2) 2 2" xfId="58209"/>
    <cellStyle name="好_副本41期事業計画商品部（備品） (2) (2) 2 3" xfId="58210"/>
    <cellStyle name="好_副本41期事業計画商品部（備品） (2) (2) 2 4" xfId="58211"/>
    <cellStyle name="好_副本41期事業計画商品部（備品） (2) (2) 2 5" xfId="58212"/>
    <cellStyle name="好_副本41期事業計画商品部（備品） (2) (2) 3" xfId="4536"/>
    <cellStyle name="好_副本41期事業計画商品部（備品） (2) (2) 3 2" xfId="58213"/>
    <cellStyle name="好_副本41期事業計画商品部（備品） (2) (2) 3 3" xfId="58214"/>
    <cellStyle name="好_副本41期事業計画商品部（備品） (2) (2) 3 4" xfId="58215"/>
    <cellStyle name="好_副本41期事業計画商品部（備品） (2) (2) 3 5" xfId="58216"/>
    <cellStyle name="好_副本41期事業計画商品部（備品） (2) (2) 4" xfId="58217"/>
    <cellStyle name="好_副本41期事業計画商品部（備品） (2) (2) 5" xfId="58218"/>
    <cellStyle name="好_副本41期事業計画商品部（備品） (2) (2) 6" xfId="58219"/>
    <cellStyle name="好_副本41期事業計画商品部（備品） (2) (2) 7" xfId="58220"/>
    <cellStyle name="好_副本新建 Microsoft Excel 工作表 (2)" xfId="4537"/>
    <cellStyle name="好_改进" xfId="4538"/>
    <cellStyle name="好_改进 2" xfId="4539"/>
    <cellStyle name="好_改进 2 2" xfId="58221"/>
    <cellStyle name="好_改进 2 3" xfId="58222"/>
    <cellStyle name="好_改进 2 4" xfId="58223"/>
    <cellStyle name="好_改进 2 5" xfId="58224"/>
    <cellStyle name="好_改进 3" xfId="4540"/>
    <cellStyle name="好_改进 3 2" xfId="58225"/>
    <cellStyle name="好_改进 3 3" xfId="58226"/>
    <cellStyle name="好_改进 3 4" xfId="58227"/>
    <cellStyle name="好_改进 3 5" xfId="58228"/>
    <cellStyle name="好_改进 4" xfId="58229"/>
    <cellStyle name="好_改进 5" xfId="58230"/>
    <cellStyle name="好_改进 6" xfId="58231"/>
    <cellStyle name="好_改进 7" xfId="58232"/>
    <cellStyle name="好_改进_201205同業他社比較（商品構成G）" xfId="4541"/>
    <cellStyle name="好_改进_201205同業他社比較（商品構成G） 2" xfId="58233"/>
    <cellStyle name="好_改进_201205同業他社比較（商品構成G） 3" xfId="58234"/>
    <cellStyle name="好_改进_201205同業他社比較（商品構成G） 4" xfId="58235"/>
    <cellStyle name="好_改进_40期事業計画（商品部）  (3)" xfId="4542"/>
    <cellStyle name="好_改进_40期事業計画（商品部）  (3) 2" xfId="58236"/>
    <cellStyle name="好_改进_40期事業計画（商品部）  (3) 3" xfId="58237"/>
    <cellStyle name="好_改进_40期事業計画（商品部）  (3) 4" xfId="58238"/>
    <cellStyle name="好_改进_40期事業計画（商品部）  (3) 5" xfId="58239"/>
    <cellStyle name="好_改进_40期事業計画（商品部1）" xfId="4543"/>
    <cellStyle name="好_改进_40期事業計画（商品部1） 2" xfId="4544"/>
    <cellStyle name="好_改进_40期事業計画（商品部1） 2 2" xfId="58240"/>
    <cellStyle name="好_改进_40期事業計画（商品部1） 2 3" xfId="58241"/>
    <cellStyle name="好_改进_40期事業計画（商品部1） 2 4" xfId="58242"/>
    <cellStyle name="好_改进_40期事業計画（商品部1） 2 5" xfId="58243"/>
    <cellStyle name="好_改进_40期事業計画（商品部1） 3" xfId="4545"/>
    <cellStyle name="好_改进_40期事業計画（商品部1） 3 2" xfId="58244"/>
    <cellStyle name="好_改进_40期事業計画（商品部1） 3 3" xfId="58245"/>
    <cellStyle name="好_改进_40期事業計画（商品部1） 3 4" xfId="58246"/>
    <cellStyle name="好_改进_40期事業計画（商品部1） 3 5" xfId="58247"/>
    <cellStyle name="好_改进_40期事業計画（商品部1） 4" xfId="58248"/>
    <cellStyle name="好_改进_40期事業計画（商品部1） 5" xfId="58249"/>
    <cellStyle name="好_改进_40期事業計画（商品部1） 6" xfId="58250"/>
    <cellStyle name="好_改进_40期事業計画（商品部1） 7" xfId="58251"/>
    <cellStyle name="好_改进_40期預実（商品部） (3)" xfId="4546"/>
    <cellStyle name="好_改进_40期預実（商品部） (3) 2" xfId="4547"/>
    <cellStyle name="好_改进_40期預実（商品部） (3) 2 2" xfId="58252"/>
    <cellStyle name="好_改进_40期預実（商品部） (3) 2 3" xfId="58253"/>
    <cellStyle name="好_改进_40期預実（商品部） (3) 2 4" xfId="58254"/>
    <cellStyle name="好_改进_40期預実（商品部） (3) 2 5" xfId="58255"/>
    <cellStyle name="好_改进_40期預実（商品部） (3) 3" xfId="4548"/>
    <cellStyle name="好_改进_40期預実（商品部） (3) 3 2" xfId="58256"/>
    <cellStyle name="好_改进_40期預実（商品部） (3) 3 3" xfId="58257"/>
    <cellStyle name="好_改进_40期預実（商品部） (3) 3 4" xfId="58258"/>
    <cellStyle name="好_改进_40期預実（商品部） (3) 3 5" xfId="58259"/>
    <cellStyle name="好_改进_40期預実（商品部） (3) 4" xfId="58260"/>
    <cellStyle name="好_改进_40期預実（商品部） (3) 5" xfId="58261"/>
    <cellStyle name="好_改进_40期預実（商品部） (3) 6" xfId="58262"/>
    <cellStyle name="好_改进_40期預実（商品部） (3) 7" xfId="58263"/>
    <cellStyle name="好_改进_40期預実（商品部） (3)_201205同業他社比較（商品構成G）" xfId="4549"/>
    <cellStyle name="好_改进_40期預実（商品部） (3)_201205同業他社比較（商品構成G） 2" xfId="58264"/>
    <cellStyle name="好_改进_40期預実（商品部） (3)_201205同業他社比較（商品構成G） 3" xfId="58265"/>
    <cellStyle name="好_改进_40期預実（商品部） (3)_201205同業他社比較（商品構成G） 4" xfId="58266"/>
    <cellStyle name="好_改进_40期預実（商品部） (3)_副本新メニュー観察(上海) 201204 花島添削 (5)" xfId="4550"/>
    <cellStyle name="好_改进_40期預実（商品部） (3)_副本新メニュー観察(上海) 201204 花島添削 (5) 2" xfId="58267"/>
    <cellStyle name="好_改进_40期預実（商品部） (3)_副本新メニュー観察(上海) 201204 花島添削 (5) 3" xfId="58268"/>
    <cellStyle name="好_改进_40期預実（商品部） (3)_副本新メニュー観察(上海) 201204 花島添削 (5) 4" xfId="58269"/>
    <cellStyle name="好_改进_40期預実（商品部） (3)_副本新メニュー観察(上海) 201204 花島添削 (5) 5" xfId="58270"/>
    <cellStyle name="好_改进_40期預実（商品部） (3)_新メニュー観察(上海) 201204 花島添削 (2) (5)" xfId="4551"/>
    <cellStyle name="好_改进_40期預実（商品部） (3)_新メニュー観察(上海) 201204 花島添削 (2) (5) 2" xfId="58271"/>
    <cellStyle name="好_改进_40期預実（商品部） (3)_新メニュー観察(上海) 201204 花島添削 (2) (5) 3" xfId="58272"/>
    <cellStyle name="好_改进_40期預実（商品部） (3)_新メニュー観察(上海) 201204 花島添削 (2) (5) 4" xfId="58273"/>
    <cellStyle name="好_改进_40期預実（商品部） (3)_新メニュー観察(上海) 201204 花島添削 (2) (5) 5" xfId="58274"/>
    <cellStyle name="好_改进_40期預実（商品部） (3)_週新品観察." xfId="4552"/>
    <cellStyle name="好_改进_40期預実（商品部） (3)_週新品観察. 2" xfId="58275"/>
    <cellStyle name="好_改进_40期預実（商品部） (3)_週新品観察. 3" xfId="58276"/>
    <cellStyle name="好_改进_40期預実（商品部） (3)_週新品観察. 4" xfId="58277"/>
    <cellStyle name="好_改进_40期預実（商品部） (3)_週新品観察. 5" xfId="58278"/>
    <cellStyle name="好_改进_41期事業計画(商品部)" xfId="4553"/>
    <cellStyle name="好_改进_41期事業計画(商品部) 2" xfId="4554"/>
    <cellStyle name="好_改进_41期事業計画(商品部) 2 2" xfId="58279"/>
    <cellStyle name="好_改进_41期事業計画(商品部) 2 3" xfId="58280"/>
    <cellStyle name="好_改进_41期事業計画(商品部) 2 4" xfId="58281"/>
    <cellStyle name="好_改进_41期事業計画(商品部) 2 5" xfId="58282"/>
    <cellStyle name="好_改进_41期事業計画(商品部) 3" xfId="4555"/>
    <cellStyle name="好_改进_41期事業計画(商品部) 3 2" xfId="58283"/>
    <cellStyle name="好_改进_41期事業計画(商品部) 3 3" xfId="58284"/>
    <cellStyle name="好_改进_41期事業計画(商品部) 3 4" xfId="58285"/>
    <cellStyle name="好_改进_41期事業計画(商品部) 3 5" xfId="58286"/>
    <cellStyle name="好_改进_41期事業計画(商品部) 4" xfId="58287"/>
    <cellStyle name="好_改进_41期事業計画(商品部) 5" xfId="58288"/>
    <cellStyle name="好_改进_41期事業計画(商品部) 6" xfId="58289"/>
    <cellStyle name="好_改进_41期事業計画(商品部) 7" xfId="58290"/>
    <cellStyle name="好_改进_CPI" xfId="4556"/>
    <cellStyle name="好_改进_CPI 2" xfId="4557"/>
    <cellStyle name="好_改进_CPI 2 2" xfId="58291"/>
    <cellStyle name="好_改进_CPI 2 3" xfId="58292"/>
    <cellStyle name="好_改进_CPI 2 4" xfId="58293"/>
    <cellStyle name="好_改进_CPI 2 5" xfId="58294"/>
    <cellStyle name="好_改进_CPI 3" xfId="4558"/>
    <cellStyle name="好_改进_CPI 3 2" xfId="58295"/>
    <cellStyle name="好_改进_CPI 3 3" xfId="58296"/>
    <cellStyle name="好_改进_CPI 3 4" xfId="58297"/>
    <cellStyle name="好_改进_CPI 3 5" xfId="58298"/>
    <cellStyle name="好_改进_CPI 4" xfId="58299"/>
    <cellStyle name="好_改进_CPI 5" xfId="58300"/>
    <cellStyle name="好_改进_CPI 6" xfId="58301"/>
    <cellStyle name="好_改进_CPI 7" xfId="58302"/>
    <cellStyle name="好_改进_CPI(1)" xfId="4559"/>
    <cellStyle name="好_改进_CPI(1) 2" xfId="58303"/>
    <cellStyle name="好_改进_CPI(1) 3" xfId="58304"/>
    <cellStyle name="好_改进_CPI(1) 4" xfId="58305"/>
    <cellStyle name="好_改进_CPI(1) 5" xfId="58306"/>
    <cellStyle name="好_改进_副本40期預実（商品部） (3)" xfId="4560"/>
    <cellStyle name="好_改进_副本40期預実（商品部） (3) 2" xfId="4561"/>
    <cellStyle name="好_改进_副本40期預実（商品部） (3) 2 2" xfId="58307"/>
    <cellStyle name="好_改进_副本40期預実（商品部） (3) 2 3" xfId="58308"/>
    <cellStyle name="好_改进_副本40期預実（商品部） (3) 2 4" xfId="58309"/>
    <cellStyle name="好_改进_副本40期預実（商品部） (3) 2 5" xfId="58310"/>
    <cellStyle name="好_改进_副本40期預実（商品部） (3) 3" xfId="4562"/>
    <cellStyle name="好_改进_副本40期預実（商品部） (3) 3 2" xfId="58311"/>
    <cellStyle name="好_改进_副本40期預実（商品部） (3) 3 3" xfId="58312"/>
    <cellStyle name="好_改进_副本40期預実（商品部） (3) 3 4" xfId="58313"/>
    <cellStyle name="好_改进_副本40期預実（商品部） (3) 3 5" xfId="58314"/>
    <cellStyle name="好_改进_副本40期預実（商品部） (3) 4" xfId="58315"/>
    <cellStyle name="好_改进_副本40期預実（商品部） (3) 5" xfId="58316"/>
    <cellStyle name="好_改进_副本40期預実（商品部） (3) 6" xfId="58317"/>
    <cellStyle name="好_改进_副本40期預実（商品部） (3) 7" xfId="58318"/>
    <cellStyle name="好_改进_副本40期預実（商品部） (3)_201205同業他社比較（商品構成G）" xfId="4563"/>
    <cellStyle name="好_改进_副本40期預実（商品部） (3)_201205同業他社比較（商品構成G） 2" xfId="58319"/>
    <cellStyle name="好_改进_副本40期預実（商品部） (3)_201205同業他社比較（商品構成G） 3" xfId="58320"/>
    <cellStyle name="好_改进_副本40期預実（商品部） (3)_201205同業他社比較（商品構成G） 4" xfId="58321"/>
    <cellStyle name="好_改进_副本40期預実（商品部） (3)_副本新メニュー観察(上海) 201204 花島添削 (5)" xfId="4564"/>
    <cellStyle name="好_改进_副本40期預実（商品部） (3)_副本新メニュー観察(上海) 201204 花島添削 (5) 2" xfId="58322"/>
    <cellStyle name="好_改进_副本40期預実（商品部） (3)_副本新メニュー観察(上海) 201204 花島添削 (5) 3" xfId="58323"/>
    <cellStyle name="好_改进_副本40期預実（商品部） (3)_副本新メニュー観察(上海) 201204 花島添削 (5) 4" xfId="58324"/>
    <cellStyle name="好_改进_副本40期預実（商品部） (3)_副本新メニュー観察(上海) 201204 花島添削 (5) 5" xfId="58325"/>
    <cellStyle name="好_改进_副本40期預実（商品部） (3)_新メニュー観察(上海) 201204 花島添削 (2) (5)" xfId="4565"/>
    <cellStyle name="好_改进_副本40期預実（商品部） (3)_新メニュー観察(上海) 201204 花島添削 (2) (5) 2" xfId="58326"/>
    <cellStyle name="好_改进_副本40期預実（商品部） (3)_新メニュー観察(上海) 201204 花島添削 (2) (5) 3" xfId="58327"/>
    <cellStyle name="好_改进_副本40期預実（商品部） (3)_新メニュー観察(上海) 201204 花島添削 (2) (5) 4" xfId="58328"/>
    <cellStyle name="好_改进_副本40期預実（商品部） (3)_新メニュー観察(上海) 201204 花島添削 (2) (5) 5" xfId="58329"/>
    <cellStyle name="好_改进_副本40期預実（商品部） (3)_週新品観察." xfId="4566"/>
    <cellStyle name="好_改进_副本40期預実（商品部） (3)_週新品観察. 2" xfId="58330"/>
    <cellStyle name="好_改进_副本40期預実（商品部） (3)_週新品観察. 3" xfId="58331"/>
    <cellStyle name="好_改进_副本40期預実（商品部） (3)_週新品観察. 4" xfId="58332"/>
    <cellStyle name="好_改进_副本40期預実（商品部） (3)_週新品観察. 5" xfId="58333"/>
    <cellStyle name="好_改进_副本41期事業計画商品部（備品） (2) (2)" xfId="4567"/>
    <cellStyle name="好_改进_副本41期事業計画商品部（備品） (2) (2) 2" xfId="4568"/>
    <cellStyle name="好_改进_副本41期事業計画商品部（備品） (2) (2) 2 2" xfId="58334"/>
    <cellStyle name="好_改进_副本41期事業計画商品部（備品） (2) (2) 2 3" xfId="58335"/>
    <cellStyle name="好_改进_副本41期事業計画商品部（備品） (2) (2) 2 4" xfId="58336"/>
    <cellStyle name="好_改进_副本41期事業計画商品部（備品） (2) (2) 2 5" xfId="58337"/>
    <cellStyle name="好_改进_副本41期事業計画商品部（備品） (2) (2) 3" xfId="4569"/>
    <cellStyle name="好_改进_副本41期事業計画商品部（備品） (2) (2) 3 2" xfId="58338"/>
    <cellStyle name="好_改进_副本41期事業計画商品部（備品） (2) (2) 3 3" xfId="58339"/>
    <cellStyle name="好_改进_副本41期事業計画商品部（備品） (2) (2) 3 4" xfId="58340"/>
    <cellStyle name="好_改进_副本41期事業計画商品部（備品） (2) (2) 3 5" xfId="58341"/>
    <cellStyle name="好_改进_副本41期事業計画商品部（備品） (2) (2) 4" xfId="58342"/>
    <cellStyle name="好_改进_副本41期事業計画商品部（備品） (2) (2) 5" xfId="58343"/>
    <cellStyle name="好_改进_副本41期事業計画商品部（備品） (2) (2) 6" xfId="58344"/>
    <cellStyle name="好_改进_副本41期事業計画商品部（備品） (2) (2) 7" xfId="58345"/>
    <cellStyle name="好_改进_副本新メニュー観察(上海) 201204 花島添削 (5)" xfId="4570"/>
    <cellStyle name="好_改进_副本新メニュー観察(上海) 201204 花島添削 (5) 2" xfId="58346"/>
    <cellStyle name="好_改进_副本新メニュー観察(上海) 201204 花島添削 (5) 3" xfId="58347"/>
    <cellStyle name="好_改进_副本新メニュー観察(上海) 201204 花島添削 (5) 4" xfId="58348"/>
    <cellStyle name="好_改进_副本新メニュー観察(上海) 201204 花島添削 (5) 5" xfId="58349"/>
    <cellStyle name="好_改进_新メニュー観察(上海) 201204 花島添削 (2) (5)" xfId="4571"/>
    <cellStyle name="好_改进_新メニュー観察(上海) 201204 花島添削 (2) (5) 2" xfId="58350"/>
    <cellStyle name="好_改进_新メニュー観察(上海) 201204 花島添削 (2) (5) 3" xfId="58351"/>
    <cellStyle name="好_改进_新メニュー観察(上海) 201204 花島添削 (2) (5) 4" xfId="58352"/>
    <cellStyle name="好_改进_新メニュー観察(上海) 201204 花島添削 (2) (5) 5" xfId="58353"/>
    <cellStyle name="好_改进_週新品観察." xfId="4572"/>
    <cellStyle name="好_改进_週新品観察. 2" xfId="58354"/>
    <cellStyle name="好_改进_週新品観察. 3" xfId="58355"/>
    <cellStyle name="好_改进_週新品観察. 4" xfId="58356"/>
    <cellStyle name="好_改进_週新品観察. 5" xfId="58357"/>
    <cellStyle name="好_工場生産時間表（最新版）1" xfId="8789"/>
    <cellStyle name="好_工場生産時間表（最新版）1_虎皮蛋糕新格式" xfId="8790"/>
    <cellStyle name="好_工場生産時間表（最新版）1_虎皮蛋糕新格式_几分甜" xfId="8791"/>
    <cellStyle name="好_工場生産時間表（最新版）1_虎皮蛋糕新格式_几分甜20121108报价" xfId="8792"/>
    <cellStyle name="好_工場生産時間表（最新版）1_几分甜" xfId="8793"/>
    <cellStyle name="好_工場生産時間表（最新版）1_几分甜20121108报价" xfId="8794"/>
    <cellStyle name="好_海外店舗マスター" xfId="8795"/>
    <cellStyle name="好_海外事業部仕入れ商品201005xls" xfId="150"/>
    <cellStyle name="好_海外事業部仕入れ商品201005xls 2" xfId="4573"/>
    <cellStyle name="好_海外事業部仕入れ商品201005xls 2 2" xfId="4574"/>
    <cellStyle name="好_海外事業部仕入れ商品201005xls 2 3" xfId="58358"/>
    <cellStyle name="好_海外事業部仕入れ商品201005xls 2 4" xfId="58359"/>
    <cellStyle name="好_海外事業部仕入れ商品201005xls 2 5" xfId="58360"/>
    <cellStyle name="好_海外事業部仕入れ商品201005xls 3" xfId="4575"/>
    <cellStyle name="好_海外事業部仕入れ商品201005xls 3 2" xfId="4576"/>
    <cellStyle name="好_海外事業部仕入れ商品201005xls 3 3" xfId="58361"/>
    <cellStyle name="好_海外事業部仕入れ商品201005xls 3 4" xfId="58362"/>
    <cellStyle name="好_海外事業部仕入れ商品201005xls 3 5" xfId="58363"/>
    <cellStyle name="好_海外事業部仕入れ商品201005xls 4" xfId="58364"/>
    <cellStyle name="好_海外事業部仕入れ商品201005xls 5" xfId="58365"/>
    <cellStyle name="好_海外事業部仕入れ商品201005xls 6" xfId="58366"/>
    <cellStyle name="好_海外事業部仕入れ商品201005xls 7" xfId="58367"/>
    <cellStyle name="好_海外事業部仕入れ商品201005xls 8" xfId="61012"/>
    <cellStyle name="好_海外事業部仕入れ商品201005xls_Sheet1" xfId="4577"/>
    <cellStyle name="好_海外事業部仕入れ商品201005xls_Sheet1 2" xfId="4578"/>
    <cellStyle name="好_海外事業部仕入れ商品201005xls_Sheet1 3" xfId="58368"/>
    <cellStyle name="好_海外事業部仕入れ商品201005xls_Sheet1 4" xfId="58369"/>
    <cellStyle name="好_海外事業部仕入れ商品201005xls_Sheet1 5" xfId="58370"/>
    <cellStyle name="好_海外事業部仕入れ商品201005xls_儊僯儏乕娤嶡(2-1)" xfId="4579"/>
    <cellStyle name="好_海外事業部仕入れ商品201005xls_儊僯儏乕娤嶡(2-1) 2" xfId="4580"/>
    <cellStyle name="好_海外事業部仕入れ商品201005xls_儊僯儏乕娤嶡(2-1) 3" xfId="58371"/>
    <cellStyle name="好_海外事業部仕入れ商品201005xls_儊僯儏乕娤嶡(2-1) 4" xfId="58372"/>
    <cellStyle name="好_海外事業部仕入れ商品201005xls_儊僯儏乕娤嶡(2-1) 5" xfId="58373"/>
    <cellStyle name="好_海外事業部仕入れ商品201005xls_儊僯儏乕娤嶡(2-1)." xfId="4581"/>
    <cellStyle name="好_海外事業部仕入れ商品201005xls_儊僯儏乕娤嶡(2-1). 2" xfId="4582"/>
    <cellStyle name="好_海外事業部仕入れ商品201005xls_儊僯儏乕娤嶡(2-1). 3" xfId="58374"/>
    <cellStyle name="好_海外事業部仕入れ商品201005xls_儊僯儏乕娤嶡(2-1). 4" xfId="58375"/>
    <cellStyle name="好_海外事業部仕入れ商品201005xls_儊僯儏乕娤嶡(2-1). 5" xfId="58376"/>
    <cellStyle name="好_海外事業部仕入れ商品201005xls_儊僯儏乕娤嶡(2-1)._副本新メニュー観察(上海) 201204 花島添削 (5)" xfId="4583"/>
    <cellStyle name="好_海外事業部仕入れ商品201005xls_儊僯儏乕娤嶡(2-1)._副本新メニュー観察(上海) 201204 花島添削 (5) 2" xfId="4584"/>
    <cellStyle name="好_海外事業部仕入れ商品201005xls_儊僯儏乕娤嶡(2-1)._副本新メニュー観察(上海) 201204 花島添削 (5) 3" xfId="58377"/>
    <cellStyle name="好_海外事業部仕入れ商品201005xls_儊僯儏乕娤嶡(2-1)._副本新メニュー観察(上海) 201204 花島添削 (5) 4" xfId="58378"/>
    <cellStyle name="好_海外事業部仕入れ商品201005xls_儊僯儏乕娤嶡(2-1)._副本新メニュー観察(上海) 201204 花島添削 (5) 5" xfId="58379"/>
    <cellStyle name="好_海外事業部仕入れ商品201005xls_儊僯儏乕娤嶡(2-1)._新メニュー観察(上海) 201204 花島添削 (2) (5)" xfId="4585"/>
    <cellStyle name="好_海外事業部仕入れ商品201005xls_儊僯儏乕娤嶡(2-1)._新メニュー観察(上海) 201204 花島添削 (2) (5) 2" xfId="4586"/>
    <cellStyle name="好_海外事業部仕入れ商品201005xls_儊僯儏乕娤嶡(2-1)._新メニュー観察(上海) 201204 花島添削 (2) (5) 3" xfId="58380"/>
    <cellStyle name="好_海外事業部仕入れ商品201005xls_儊僯儏乕娤嶡(2-1)._新メニュー観察(上海) 201204 花島添削 (2) (5) 4" xfId="58381"/>
    <cellStyle name="好_海外事業部仕入れ商品201005xls_儊僯儏乕娤嶡(2-1)._新メニュー観察(上海) 201204 花島添削 (2) (5) 5" xfId="58382"/>
    <cellStyle name="好_海外事業部仕入れ商品201005xls_儊僯儏乕娤嶡(2-1)_副本新メニュー観察(上海) 201204 花島添削 (5)" xfId="4587"/>
    <cellStyle name="好_海外事業部仕入れ商品201005xls_儊僯儏乕娤嶡(2-1)_副本新メニュー観察(上海) 201204 花島添削 (5) 2" xfId="4588"/>
    <cellStyle name="好_海外事業部仕入れ商品201005xls_儊僯儏乕娤嶡(2-1)_副本新メニュー観察(上海) 201204 花島添削 (5) 3" xfId="58383"/>
    <cellStyle name="好_海外事業部仕入れ商品201005xls_儊僯儏乕娤嶡(2-1)_副本新メニュー観察(上海) 201204 花島添削 (5) 4" xfId="58384"/>
    <cellStyle name="好_海外事業部仕入れ商品201005xls_儊僯儏乕娤嶡(2-1)_副本新メニュー観察(上海) 201204 花島添削 (5) 5" xfId="58385"/>
    <cellStyle name="好_海外事業部仕入れ商品201005xls_儊僯儏乕娤嶡(2-1)_新メニュー観察(上海) 201204 花島添削 (2) (5)" xfId="4589"/>
    <cellStyle name="好_海外事業部仕入れ商品201005xls_儊僯儏乕娤嶡(2-1)_新メニュー観察(上海) 201204 花島添削 (2) (5) 2" xfId="4590"/>
    <cellStyle name="好_海外事業部仕入れ商品201005xls_儊僯儏乕娤嶡(2-1)_新メニュー観察(上海) 201204 花島添削 (2) (5) 3" xfId="58386"/>
    <cellStyle name="好_海外事業部仕入れ商品201005xls_儊僯儏乕娤嶡(2-1)_新メニュー観察(上海) 201204 花島添削 (2) (5) 4" xfId="58387"/>
    <cellStyle name="好_海外事業部仕入れ商品201005xls_儊僯儏乕娤嶡(2-1)_新メニュー観察(上海) 201204 花島添削 (2) (5) 5" xfId="58388"/>
    <cellStyle name="好_海外事業部仕入れ商品201005xls_儊僯儏乕娤嶡(2-2乯" xfId="4591"/>
    <cellStyle name="好_海外事業部仕入れ商品201005xls_儊僯儏乕娤嶡(2-2乯 2" xfId="4592"/>
    <cellStyle name="好_海外事業部仕入れ商品201005xls_儊僯儏乕娤嶡(2-2乯 3" xfId="58389"/>
    <cellStyle name="好_海外事業部仕入れ商品201005xls_儊僯儏乕娤嶡(2-2乯 4" xfId="58390"/>
    <cellStyle name="好_海外事業部仕入れ商品201005xls_儊僯儏乕娤嶡(2-2乯 5" xfId="58391"/>
    <cellStyle name="好_海外事業部仕入れ商品201005xls_物流" xfId="4593"/>
    <cellStyle name="好_海外事業部仕入れ商品201005xls_物流 2" xfId="4594"/>
    <cellStyle name="好_海外事業部仕入れ商品201005xls_物流 2 2" xfId="4595"/>
    <cellStyle name="好_海外事業部仕入れ商品201005xls_物流 2 3" xfId="58392"/>
    <cellStyle name="好_海外事業部仕入れ商品201005xls_物流 2 4" xfId="58393"/>
    <cellStyle name="好_海外事業部仕入れ商品201005xls_物流 2 5" xfId="58394"/>
    <cellStyle name="好_海外事業部仕入れ商品201005xls_物流 3" xfId="4596"/>
    <cellStyle name="好_海外事業部仕入れ商品201005xls_物流 3 2" xfId="4597"/>
    <cellStyle name="好_海外事業部仕入れ商品201005xls_物流 3 3" xfId="58395"/>
    <cellStyle name="好_海外事業部仕入れ商品201005xls_物流 3 4" xfId="58396"/>
    <cellStyle name="好_海外事業部仕入れ商品201005xls_物流 3 5" xfId="58397"/>
    <cellStyle name="好_海外事業部仕入れ商品201005xls_物流 4" xfId="4598"/>
    <cellStyle name="好_海外事業部仕入れ商品201005xls_物流 5" xfId="58398"/>
    <cellStyle name="好_海外事業部仕入れ商品201005xls_物流 6" xfId="58399"/>
    <cellStyle name="好_海外事業部仕入れ商品201005xls_物流 7" xfId="58400"/>
    <cellStyle name="好_海外事業部仕入れ商品201005xls_物流_開発商品(chen)" xfId="4599"/>
    <cellStyle name="好_海外事業部仕入れ商品201005xls_物流_開発商品(chen) 2" xfId="4600"/>
    <cellStyle name="好_海外事業部仕入れ商品201005xls_物流_開発商品(chen) 2 2" xfId="4601"/>
    <cellStyle name="好_海外事業部仕入れ商品201005xls_物流_開発商品(chen) 2 3" xfId="58401"/>
    <cellStyle name="好_海外事業部仕入れ商品201005xls_物流_開発商品(chen) 2 4" xfId="58402"/>
    <cellStyle name="好_海外事業部仕入れ商品201005xls_物流_開発商品(chen) 2 5" xfId="58403"/>
    <cellStyle name="好_海外事業部仕入れ商品201005xls_物流_開発商品(chen) 3" xfId="4602"/>
    <cellStyle name="好_海外事業部仕入れ商品201005xls_物流_開発商品(chen) 3 2" xfId="4603"/>
    <cellStyle name="好_海外事業部仕入れ商品201005xls_物流_開発商品(chen) 3 3" xfId="58404"/>
    <cellStyle name="好_海外事業部仕入れ商品201005xls_物流_開発商品(chen) 3 4" xfId="58405"/>
    <cellStyle name="好_海外事業部仕入れ商品201005xls_物流_開発商品(chen) 3 5" xfId="58406"/>
    <cellStyle name="好_海外事業部仕入れ商品201005xls_物流_開発商品(chen) 4" xfId="4604"/>
    <cellStyle name="好_海外事業部仕入れ商品201005xls_物流_開発商品(chen) 5" xfId="58407"/>
    <cellStyle name="好_海外事業部仕入れ商品201005xls_物流_開発商品(chen) 6" xfId="58408"/>
    <cellStyle name="好_海外事業部仕入れ商品201005xls_物流_開発商品(chen) 7" xfId="58409"/>
    <cellStyle name="好_海外事業部仕入れ商品201005xls_物流_開発商品(chen)_40期事業計画（商品部）  (3)" xfId="4605"/>
    <cellStyle name="好_海外事業部仕入れ商品201005xls_物流_開発商品(chen)_40期事業計画（商品部）  (3) 2" xfId="4606"/>
    <cellStyle name="好_海外事業部仕入れ商品201005xls_物流_開発商品(chen)_40期事業計画（商品部）  (3) 3" xfId="58410"/>
    <cellStyle name="好_海外事業部仕入れ商品201005xls_物流_開発商品(chen)_40期事業計画（商品部）  (3) 4" xfId="58411"/>
    <cellStyle name="好_海外事業部仕入れ商品201005xls_物流_開発商品(chen)_40期事業計画（商品部）  (3) 5" xfId="58412"/>
    <cellStyle name="好_海外事業部仕入れ商品201005xls_物流_開発商品(chen)_40期事業計画（商品部1）" xfId="4607"/>
    <cellStyle name="好_海外事業部仕入れ商品201005xls_物流_開発商品(chen)_40期事業計画（商品部1） 2" xfId="4608"/>
    <cellStyle name="好_海外事業部仕入れ商品201005xls_物流_開発商品(chen)_40期事業計画（商品部1） 2 2" xfId="4609"/>
    <cellStyle name="好_海外事業部仕入れ商品201005xls_物流_開発商品(chen)_40期事業計画（商品部1） 2 3" xfId="58413"/>
    <cellStyle name="好_海外事業部仕入れ商品201005xls_物流_開発商品(chen)_40期事業計画（商品部1） 2 4" xfId="58414"/>
    <cellStyle name="好_海外事業部仕入れ商品201005xls_物流_開発商品(chen)_40期事業計画（商品部1） 2 5" xfId="58415"/>
    <cellStyle name="好_海外事業部仕入れ商品201005xls_物流_開発商品(chen)_40期事業計画（商品部1） 3" xfId="4610"/>
    <cellStyle name="好_海外事業部仕入れ商品201005xls_物流_開発商品(chen)_40期事業計画（商品部1） 3 2" xfId="4611"/>
    <cellStyle name="好_海外事業部仕入れ商品201005xls_物流_開発商品(chen)_40期事業計画（商品部1） 3 3" xfId="58416"/>
    <cellStyle name="好_海外事業部仕入れ商品201005xls_物流_開発商品(chen)_40期事業計画（商品部1） 3 4" xfId="58417"/>
    <cellStyle name="好_海外事業部仕入れ商品201005xls_物流_開発商品(chen)_40期事業計画（商品部1） 3 5" xfId="58418"/>
    <cellStyle name="好_海外事業部仕入れ商品201005xls_物流_開発商品(chen)_40期事業計画（商品部1） 4" xfId="4612"/>
    <cellStyle name="好_海外事業部仕入れ商品201005xls_物流_開発商品(chen)_40期事業計画（商品部1） 5" xfId="58419"/>
    <cellStyle name="好_海外事業部仕入れ商品201005xls_物流_開発商品(chen)_40期事業計画（商品部1） 6" xfId="58420"/>
    <cellStyle name="好_海外事業部仕入れ商品201005xls_物流_開発商品(chen)_40期事業計画（商品部1） 7" xfId="58421"/>
    <cellStyle name="好_海外事業部仕入れ商品201005xls_物流_開発商品(chen)_40期預実（商品部） (3)" xfId="4613"/>
    <cellStyle name="好_海外事業部仕入れ商品201005xls_物流_開発商品(chen)_40期預実（商品部） (3) 2" xfId="4614"/>
    <cellStyle name="好_海外事業部仕入れ商品201005xls_物流_開発商品(chen)_40期預実（商品部） (3) 2 2" xfId="4615"/>
    <cellStyle name="好_海外事業部仕入れ商品201005xls_物流_開発商品(chen)_40期預実（商品部） (3) 2 3" xfId="58422"/>
    <cellStyle name="好_海外事業部仕入れ商品201005xls_物流_開発商品(chen)_40期預実（商品部） (3) 2 4" xfId="58423"/>
    <cellStyle name="好_海外事業部仕入れ商品201005xls_物流_開発商品(chen)_40期預実（商品部） (3) 2 5" xfId="58424"/>
    <cellStyle name="好_海外事業部仕入れ商品201005xls_物流_開発商品(chen)_40期預実（商品部） (3) 3" xfId="4616"/>
    <cellStyle name="好_海外事業部仕入れ商品201005xls_物流_開発商品(chen)_40期預実（商品部） (3) 3 2" xfId="4617"/>
    <cellStyle name="好_海外事業部仕入れ商品201005xls_物流_開発商品(chen)_40期預実（商品部） (3) 3 3" xfId="58425"/>
    <cellStyle name="好_海外事業部仕入れ商品201005xls_物流_開発商品(chen)_40期預実（商品部） (3) 3 4" xfId="58426"/>
    <cellStyle name="好_海外事業部仕入れ商品201005xls_物流_開発商品(chen)_40期預実（商品部） (3) 3 5" xfId="58427"/>
    <cellStyle name="好_海外事業部仕入れ商品201005xls_物流_開発商品(chen)_40期預実（商品部） (3) 4" xfId="4618"/>
    <cellStyle name="好_海外事業部仕入れ商品201005xls_物流_開発商品(chen)_40期預実（商品部） (3) 5" xfId="58428"/>
    <cellStyle name="好_海外事業部仕入れ商品201005xls_物流_開発商品(chen)_40期預実（商品部） (3) 6" xfId="58429"/>
    <cellStyle name="好_海外事業部仕入れ商品201005xls_物流_開発商品(chen)_40期預実（商品部） (3) 7" xfId="58430"/>
    <cellStyle name="好_海外事業部仕入れ商品201005xls_物流_開発商品(chen)_41期事業計画(商品部)" xfId="4619"/>
    <cellStyle name="好_海外事業部仕入れ商品201005xls_物流_開発商品(chen)_41期事業計画(商品部) 2" xfId="4620"/>
    <cellStyle name="好_海外事業部仕入れ商品201005xls_物流_開発商品(chen)_41期事業計画(商品部) 2 2" xfId="4621"/>
    <cellStyle name="好_海外事業部仕入れ商品201005xls_物流_開発商品(chen)_41期事業計画(商品部) 2 3" xfId="58431"/>
    <cellStyle name="好_海外事業部仕入れ商品201005xls_物流_開発商品(chen)_41期事業計画(商品部) 2 4" xfId="58432"/>
    <cellStyle name="好_海外事業部仕入れ商品201005xls_物流_開発商品(chen)_41期事業計画(商品部) 2 5" xfId="58433"/>
    <cellStyle name="好_海外事業部仕入れ商品201005xls_物流_開発商品(chen)_41期事業計画(商品部) 3" xfId="4622"/>
    <cellStyle name="好_海外事業部仕入れ商品201005xls_物流_開発商品(chen)_41期事業計画(商品部) 3 2" xfId="4623"/>
    <cellStyle name="好_海外事業部仕入れ商品201005xls_物流_開発商品(chen)_41期事業計画(商品部) 3 3" xfId="58434"/>
    <cellStyle name="好_海外事業部仕入れ商品201005xls_物流_開発商品(chen)_41期事業計画(商品部) 3 4" xfId="58435"/>
    <cellStyle name="好_海外事業部仕入れ商品201005xls_物流_開発商品(chen)_41期事業計画(商品部) 3 5" xfId="58436"/>
    <cellStyle name="好_海外事業部仕入れ商品201005xls_物流_開発商品(chen)_41期事業計画(商品部) 4" xfId="4624"/>
    <cellStyle name="好_海外事業部仕入れ商品201005xls_物流_開発商品(chen)_41期事業計画(商品部) 5" xfId="58437"/>
    <cellStyle name="好_海外事業部仕入れ商品201005xls_物流_開発商品(chen)_41期事業計画(商品部) 6" xfId="58438"/>
    <cellStyle name="好_海外事業部仕入れ商品201005xls_物流_開発商品(chen)_41期事業計画(商品部) 7" xfId="58439"/>
    <cellStyle name="好_海外事業部仕入れ商品201005xls_物流_開発商品(chen)_CPI" xfId="4625"/>
    <cellStyle name="好_海外事業部仕入れ商品201005xls_物流_開発商品(chen)_CPI 2" xfId="4626"/>
    <cellStyle name="好_海外事業部仕入れ商品201005xls_物流_開発商品(chen)_CPI 2 2" xfId="4627"/>
    <cellStyle name="好_海外事業部仕入れ商品201005xls_物流_開発商品(chen)_CPI 2 3" xfId="58440"/>
    <cellStyle name="好_海外事業部仕入れ商品201005xls_物流_開発商品(chen)_CPI 2 4" xfId="58441"/>
    <cellStyle name="好_海外事業部仕入れ商品201005xls_物流_開発商品(chen)_CPI 2 5" xfId="58442"/>
    <cellStyle name="好_海外事業部仕入れ商品201005xls_物流_開発商品(chen)_CPI 3" xfId="4628"/>
    <cellStyle name="好_海外事業部仕入れ商品201005xls_物流_開発商品(chen)_CPI 3 2" xfId="4629"/>
    <cellStyle name="好_海外事業部仕入れ商品201005xls_物流_開発商品(chen)_CPI 3 3" xfId="58443"/>
    <cellStyle name="好_海外事業部仕入れ商品201005xls_物流_開発商品(chen)_CPI 3 4" xfId="58444"/>
    <cellStyle name="好_海外事業部仕入れ商品201005xls_物流_開発商品(chen)_CPI 3 5" xfId="58445"/>
    <cellStyle name="好_海外事業部仕入れ商品201005xls_物流_開発商品(chen)_CPI 4" xfId="4630"/>
    <cellStyle name="好_海外事業部仕入れ商品201005xls_物流_開発商品(chen)_CPI 5" xfId="58446"/>
    <cellStyle name="好_海外事業部仕入れ商品201005xls_物流_開発商品(chen)_CPI 6" xfId="58447"/>
    <cellStyle name="好_海外事業部仕入れ商品201005xls_物流_開発商品(chen)_CPI 7" xfId="58448"/>
    <cellStyle name="好_海外事業部仕入れ商品201005xls_物流_開発商品(chen)_CPI(1)" xfId="4631"/>
    <cellStyle name="好_海外事業部仕入れ商品201005xls_物流_開発商品(chen)_CPI(1) 2" xfId="4632"/>
    <cellStyle name="好_海外事業部仕入れ商品201005xls_物流_開発商品(chen)_CPI(1) 3" xfId="58449"/>
    <cellStyle name="好_海外事業部仕入れ商品201005xls_物流_開発商品(chen)_CPI(1) 4" xfId="58450"/>
    <cellStyle name="好_海外事業部仕入れ商品201005xls_物流_開発商品(chen)_CPI(1) 5" xfId="58451"/>
    <cellStyle name="好_海外事業部仕入れ商品201005xls_物流_開発商品(chen)_副本40期預実（商品部） (3)" xfId="4633"/>
    <cellStyle name="好_海外事業部仕入れ商品201005xls_物流_開発商品(chen)_副本40期預実（商品部） (3) 2" xfId="4634"/>
    <cellStyle name="好_海外事業部仕入れ商品201005xls_物流_開発商品(chen)_副本40期預実（商品部） (3) 2 2" xfId="4635"/>
    <cellStyle name="好_海外事業部仕入れ商品201005xls_物流_開発商品(chen)_副本40期預実（商品部） (3) 2 3" xfId="58452"/>
    <cellStyle name="好_海外事業部仕入れ商品201005xls_物流_開発商品(chen)_副本40期預実（商品部） (3) 2 4" xfId="58453"/>
    <cellStyle name="好_海外事業部仕入れ商品201005xls_物流_開発商品(chen)_副本40期預実（商品部） (3) 2 5" xfId="58454"/>
    <cellStyle name="好_海外事業部仕入れ商品201005xls_物流_開発商品(chen)_副本40期預実（商品部） (3) 3" xfId="4636"/>
    <cellStyle name="好_海外事業部仕入れ商品201005xls_物流_開発商品(chen)_副本40期預実（商品部） (3) 3 2" xfId="4637"/>
    <cellStyle name="好_海外事業部仕入れ商品201005xls_物流_開発商品(chen)_副本40期預実（商品部） (3) 3 3" xfId="58455"/>
    <cellStyle name="好_海外事業部仕入れ商品201005xls_物流_開発商品(chen)_副本40期預実（商品部） (3) 3 4" xfId="58456"/>
    <cellStyle name="好_海外事業部仕入れ商品201005xls_物流_開発商品(chen)_副本40期預実（商品部） (3) 3 5" xfId="58457"/>
    <cellStyle name="好_海外事業部仕入れ商品201005xls_物流_開発商品(chen)_副本40期預実（商品部） (3) 4" xfId="4638"/>
    <cellStyle name="好_海外事業部仕入れ商品201005xls_物流_開発商品(chen)_副本40期預実（商品部） (3) 5" xfId="58458"/>
    <cellStyle name="好_海外事業部仕入れ商品201005xls_物流_開発商品(chen)_副本40期預実（商品部） (3) 6" xfId="58459"/>
    <cellStyle name="好_海外事業部仕入れ商品201005xls_物流_開発商品(chen)_副本40期預実（商品部） (3) 7" xfId="58460"/>
    <cellStyle name="好_海外事業部仕入れ商品201005xls_物流_開発商品(chen)_副本41期事業計画商品部（備品） (2) (2)" xfId="4639"/>
    <cellStyle name="好_海外事業部仕入れ商品201005xls_物流_開発商品(chen)_副本41期事業計画商品部（備品） (2) (2) 2" xfId="4640"/>
    <cellStyle name="好_海外事業部仕入れ商品201005xls_物流_開発商品(chen)_副本41期事業計画商品部（備品） (2) (2) 2 2" xfId="4641"/>
    <cellStyle name="好_海外事業部仕入れ商品201005xls_物流_開発商品(chen)_副本41期事業計画商品部（備品） (2) (2) 2 3" xfId="58461"/>
    <cellStyle name="好_海外事業部仕入れ商品201005xls_物流_開発商品(chen)_副本41期事業計画商品部（備品） (2) (2) 2 4" xfId="58462"/>
    <cellStyle name="好_海外事業部仕入れ商品201005xls_物流_開発商品(chen)_副本41期事業計画商品部（備品） (2) (2) 2 5" xfId="58463"/>
    <cellStyle name="好_海外事業部仕入れ商品201005xls_物流_開発商品(chen)_副本41期事業計画商品部（備品） (2) (2) 3" xfId="4642"/>
    <cellStyle name="好_海外事業部仕入れ商品201005xls_物流_開発商品(chen)_副本41期事業計画商品部（備品） (2) (2) 3 2" xfId="4643"/>
    <cellStyle name="好_海外事業部仕入れ商品201005xls_物流_開発商品(chen)_副本41期事業計画商品部（備品） (2) (2) 3 3" xfId="58464"/>
    <cellStyle name="好_海外事業部仕入れ商品201005xls_物流_開発商品(chen)_副本41期事業計画商品部（備品） (2) (2) 3 4" xfId="58465"/>
    <cellStyle name="好_海外事業部仕入れ商品201005xls_物流_開発商品(chen)_副本41期事業計画商品部（備品） (2) (2) 3 5" xfId="58466"/>
    <cellStyle name="好_海外事業部仕入れ商品201005xls_物流_開発商品(chen)_副本41期事業計画商品部（備品） (2) (2) 4" xfId="4644"/>
    <cellStyle name="好_海外事業部仕入れ商品201005xls_物流_開発商品(chen)_副本41期事業計画商品部（備品） (2) (2) 5" xfId="58467"/>
    <cellStyle name="好_海外事業部仕入れ商品201005xls_物流_開発商品(chen)_副本41期事業計画商品部（備品） (2) (2) 6" xfId="58468"/>
    <cellStyle name="好_海外事業部仕入れ商品201005xls_物流_開発商品(chen)_副本41期事業計画商品部（備品） (2) (2) 7" xfId="58469"/>
    <cellStyle name="好_海外事業部仕入れ商品201005xls_新メニュー実績" xfId="4645"/>
    <cellStyle name="好_海外事業部仕入れ商品201005xls_新メニュー実績 2" xfId="4646"/>
    <cellStyle name="好_海外事業部仕入れ商品201005xls_新メニュー実績 3" xfId="58470"/>
    <cellStyle name="好_海外事業部仕入れ商品201005xls_新メニュー実績 4" xfId="58471"/>
    <cellStyle name="好_海外事業部仕入れ商品201005xls_新メニュー実績 5" xfId="58472"/>
    <cellStyle name="好_花都建设南路" xfId="60"/>
    <cellStyle name="好_几分甜" xfId="8834"/>
    <cellStyle name="好_几分甜20121108报价" xfId="8835"/>
    <cellStyle name="好_見積書)南山吉之岛破损沙发维修" xfId="58473"/>
    <cellStyle name="好_見積書)南山吉之岛破损沙发维修 2" xfId="58474"/>
    <cellStyle name="好_見積書)南山吉之岛破损沙发维修 3" xfId="58475"/>
    <cellStyle name="好_見積書)南山吉之岛破损沙发维修 4" xfId="58476"/>
    <cellStyle name="好_見積書)南山吉之岛破损沙发维修 5" xfId="58477"/>
    <cellStyle name="好_見積書)南山吉之岛破损沙发维修_5月メンテナンス請求" xfId="58478"/>
    <cellStyle name="好_見積書)南山吉之岛破损沙发维修_5月メンテナンス請求 2" xfId="58479"/>
    <cellStyle name="好_見積書)南山吉之岛破损沙发维修_5月メンテナンス請求 3" xfId="58480"/>
    <cellStyle name="好_見積書)南山吉之岛破损沙发维修_5月メンテナンス請求 4" xfId="58481"/>
    <cellStyle name="好_見積書)南山吉之岛破损沙发维修_5月メンテナンス請求 5" xfId="58482"/>
    <cellStyle name="好_見積書)上下九店烤箱维修" xfId="58483"/>
    <cellStyle name="好_見積書)上下九店烤箱维修 2" xfId="58484"/>
    <cellStyle name="好_見積書)上下九店烤箱维修 3" xfId="58485"/>
    <cellStyle name="好_見積書)上下九店烤箱维修 4" xfId="58486"/>
    <cellStyle name="好_見積書)上下九店烤箱维修 5" xfId="58487"/>
    <cellStyle name="好_見積書)上下九店烤箱维修_5月メンテナンス請求" xfId="58488"/>
    <cellStyle name="好_見積書)上下九店烤箱维修_5月メンテナンス請求 2" xfId="58489"/>
    <cellStyle name="好_見積書)上下九店烤箱维修_5月メンテナンス請求 3" xfId="58490"/>
    <cellStyle name="好_見積書)上下九店烤箱维修_5月メンテナンス請求 4" xfId="58491"/>
    <cellStyle name="好_見積書)上下九店烤箱维修_5月メンテナンス請求 5" xfId="58492"/>
    <cellStyle name="好_見積書5月" xfId="58493"/>
    <cellStyle name="好_見積書5月 2" xfId="58494"/>
    <cellStyle name="好_見積書5月 3" xfId="58495"/>
    <cellStyle name="好_見積書5月 4" xfId="58496"/>
    <cellStyle name="好_見積書5月 5" xfId="58497"/>
    <cellStyle name="好_見積書雛形" xfId="58498"/>
    <cellStyle name="好_見積書雛形 2" xfId="58499"/>
    <cellStyle name="好_見積書雛形 3" xfId="58500"/>
    <cellStyle name="好_見積書雛形 4" xfId="58501"/>
    <cellStyle name="好_見積書雛形 5" xfId="58502"/>
    <cellStyle name="好_見積書雛形_1" xfId="58503"/>
    <cellStyle name="好_見積書雛形_1 2" xfId="58504"/>
    <cellStyle name="好_見積書雛形_1 3" xfId="58505"/>
    <cellStyle name="好_見積書雛形_1 4" xfId="58506"/>
    <cellStyle name="好_見積書雛形_1 5" xfId="58507"/>
    <cellStyle name="好_進捗管理40期（営業部）" xfId="8836"/>
    <cellStyle name="好_進捗管理40期（営業部） 2" xfId="8837"/>
    <cellStyle name="好_進捗管理40期（営業部） 2 2" xfId="58508"/>
    <cellStyle name="好_進捗管理40期（営業部） 3" xfId="58509"/>
    <cellStyle name="好_開発商品(chen)" xfId="4647"/>
    <cellStyle name="好_開発商品(chen) 2" xfId="58510"/>
    <cellStyle name="好_開発商品(chen) 3" xfId="58511"/>
    <cellStyle name="好_開発商品(chen) 4" xfId="58512"/>
    <cellStyle name="好_考试名单通知" xfId="8839"/>
    <cellStyle name="好_考试名单通知_1" xfId="8840"/>
    <cellStyle name="好_考试名单通知_1 2" xfId="11556"/>
    <cellStyle name="好_考试名单通知_1_培训名单通知" xfId="8841"/>
    <cellStyle name="好_库存测试" xfId="61"/>
    <cellStyle name="好_离职表" xfId="8842"/>
    <cellStyle name="好_立美-招牌广告产品报价表合资料" xfId="58513"/>
    <cellStyle name="好_立美-招牌广告产品报价表合资料 2" xfId="58514"/>
    <cellStyle name="好_立美-招牌广告产品报价表合资料 3" xfId="58515"/>
    <cellStyle name="好_立美-招牌广告产品报价表合资料 4" xfId="58516"/>
    <cellStyle name="好_立美-招牌广告产品报价表合资料 5" xfId="58517"/>
    <cellStyle name="好_立美-招牌广告产品报价表合资料 6" xfId="58518"/>
    <cellStyle name="好_立美-招牌广告产品报价表合资料 7" xfId="58519"/>
    <cellStyle name="好_立美-招牌广告产品报价表合资料 8" xfId="58520"/>
    <cellStyle name="好_立美-招牌广告产品报价表进口料" xfId="58521"/>
    <cellStyle name="好_立美-招牌广告产品报价表进口料 2" xfId="58522"/>
    <cellStyle name="好_立美-招牌广告产品报价表进口料 3" xfId="58523"/>
    <cellStyle name="好_立美-招牌广告产品报价表进口料 4" xfId="58524"/>
    <cellStyle name="好_立美-招牌广告产品报价表进口料 5" xfId="58525"/>
    <cellStyle name="好_立美-招牌广告产品报价表进口料 6" xfId="58526"/>
    <cellStyle name="好_立美-招牌广告产品报价表进口料 7" xfId="58527"/>
    <cellStyle name="好_立美-招牌广告产品报价表进口料 8" xfId="58528"/>
    <cellStyle name="好_龙口东店广告制品报价-追加20130131" xfId="58529"/>
    <cellStyle name="好_龙口东店广告制品报价-追加20130131 2" xfId="58530"/>
    <cellStyle name="好_龙口东店广告制品报价-追加20130131 3" xfId="58531"/>
    <cellStyle name="好_龙口东店广告制品报价-追加20130131 4" xfId="58532"/>
    <cellStyle name="好_龙口东店广告制品报价-追加20130131 5" xfId="58533"/>
    <cellStyle name="好_培训名单通知" xfId="8843"/>
    <cellStyle name="好_棚卸表2008.08.08" xfId="4648"/>
    <cellStyle name="好_棚卸表2008.08.08 2" xfId="4649"/>
    <cellStyle name="好_棚卸表2008.08.08 2 2" xfId="58534"/>
    <cellStyle name="好_棚卸表2008.08.08 2 3" xfId="58535"/>
    <cellStyle name="好_棚卸表2008.08.08 2 4" xfId="58536"/>
    <cellStyle name="好_棚卸表2008.08.08 2 5" xfId="58537"/>
    <cellStyle name="好_棚卸表2008.08.08 3" xfId="4650"/>
    <cellStyle name="好_棚卸表2008.08.08 3 2" xfId="58538"/>
    <cellStyle name="好_棚卸表2008.08.08 3 3" xfId="58539"/>
    <cellStyle name="好_棚卸表2008.08.08 3 4" xfId="58540"/>
    <cellStyle name="好_棚卸表2008.08.08 3 5" xfId="58541"/>
    <cellStyle name="好_棚卸表2008.08.08 4" xfId="58542"/>
    <cellStyle name="好_棚卸表2008.08.08 5" xfId="58543"/>
    <cellStyle name="好_棚卸表2008.08.08 6" xfId="58544"/>
    <cellStyle name="好_棚卸表2008.08.08 7" xfId="58545"/>
    <cellStyle name="好_棚卸表2008.08.08 8" xfId="61013"/>
    <cellStyle name="好_棚卸表2008.08.08_40期事業計画（商品部）  (3)" xfId="4651"/>
    <cellStyle name="好_棚卸表2008.08.08_40期事業計画（商品部）  (3) 2" xfId="58546"/>
    <cellStyle name="好_棚卸表2008.08.08_40期事業計画（商品部）  (3) 3" xfId="58547"/>
    <cellStyle name="好_棚卸表2008.08.08_40期事業計画（商品部）  (3) 4" xfId="58548"/>
    <cellStyle name="好_棚卸表2008.08.08_40期事業計画（商品部）  (3) 5" xfId="58549"/>
    <cellStyle name="好_棚卸表2008.08.08_40期事業計画（商品部1）" xfId="4652"/>
    <cellStyle name="好_棚卸表2008.08.08_40期事業計画（商品部1） 2" xfId="4653"/>
    <cellStyle name="好_棚卸表2008.08.08_40期事業計画（商品部1） 2 2" xfId="58550"/>
    <cellStyle name="好_棚卸表2008.08.08_40期事業計画（商品部1） 2 3" xfId="58551"/>
    <cellStyle name="好_棚卸表2008.08.08_40期事業計画（商品部1） 2 4" xfId="58552"/>
    <cellStyle name="好_棚卸表2008.08.08_40期事業計画（商品部1） 2 5" xfId="58553"/>
    <cellStyle name="好_棚卸表2008.08.08_40期事業計画（商品部1） 3" xfId="4654"/>
    <cellStyle name="好_棚卸表2008.08.08_40期事業計画（商品部1） 3 2" xfId="58554"/>
    <cellStyle name="好_棚卸表2008.08.08_40期事業計画（商品部1） 3 3" xfId="58555"/>
    <cellStyle name="好_棚卸表2008.08.08_40期事業計画（商品部1） 3 4" xfId="58556"/>
    <cellStyle name="好_棚卸表2008.08.08_40期事業計画（商品部1） 3 5" xfId="58557"/>
    <cellStyle name="好_棚卸表2008.08.08_40期事業計画（商品部1） 4" xfId="58558"/>
    <cellStyle name="好_棚卸表2008.08.08_40期事業計画（商品部1） 5" xfId="58559"/>
    <cellStyle name="好_棚卸表2008.08.08_40期事業計画（商品部1） 6" xfId="58560"/>
    <cellStyle name="好_棚卸表2008.08.08_40期事業計画（商品部1） 7" xfId="58561"/>
    <cellStyle name="好_棚卸表2008.08.08_41期事業計画(商品部)" xfId="4655"/>
    <cellStyle name="好_棚卸表2008.08.08_41期事業計画(商品部) 2" xfId="4656"/>
    <cellStyle name="好_棚卸表2008.08.08_41期事業計画(商品部) 2 2" xfId="58562"/>
    <cellStyle name="好_棚卸表2008.08.08_41期事業計画(商品部) 2 3" xfId="58563"/>
    <cellStyle name="好_棚卸表2008.08.08_41期事業計画(商品部) 2 4" xfId="58564"/>
    <cellStyle name="好_棚卸表2008.08.08_41期事業計画(商品部) 2 5" xfId="58565"/>
    <cellStyle name="好_棚卸表2008.08.08_41期事業計画(商品部) 3" xfId="4657"/>
    <cellStyle name="好_棚卸表2008.08.08_41期事業計画(商品部) 3 2" xfId="58566"/>
    <cellStyle name="好_棚卸表2008.08.08_41期事業計画(商品部) 3 3" xfId="58567"/>
    <cellStyle name="好_棚卸表2008.08.08_41期事業計画(商品部) 3 4" xfId="58568"/>
    <cellStyle name="好_棚卸表2008.08.08_41期事業計画(商品部) 3 5" xfId="58569"/>
    <cellStyle name="好_棚卸表2008.08.08_41期事業計画(商品部) 4" xfId="58570"/>
    <cellStyle name="好_棚卸表2008.08.08_41期事業計画(商品部) 5" xfId="58571"/>
    <cellStyle name="好_棚卸表2008.08.08_41期事業計画(商品部) 6" xfId="58572"/>
    <cellStyle name="好_棚卸表2008.08.08_41期事業計画(商品部) 7" xfId="58573"/>
    <cellStyle name="好_棚卸表2008.08.08_CPI" xfId="4658"/>
    <cellStyle name="好_棚卸表2008.08.08_CPI 2" xfId="4659"/>
    <cellStyle name="好_棚卸表2008.08.08_CPI 2 2" xfId="58574"/>
    <cellStyle name="好_棚卸表2008.08.08_CPI 2 3" xfId="58575"/>
    <cellStyle name="好_棚卸表2008.08.08_CPI 2 4" xfId="58576"/>
    <cellStyle name="好_棚卸表2008.08.08_CPI 2 5" xfId="58577"/>
    <cellStyle name="好_棚卸表2008.08.08_CPI 3" xfId="4660"/>
    <cellStyle name="好_棚卸表2008.08.08_CPI 3 2" xfId="58578"/>
    <cellStyle name="好_棚卸表2008.08.08_CPI 3 3" xfId="58579"/>
    <cellStyle name="好_棚卸表2008.08.08_CPI 3 4" xfId="58580"/>
    <cellStyle name="好_棚卸表2008.08.08_CPI 3 5" xfId="58581"/>
    <cellStyle name="好_棚卸表2008.08.08_CPI 4" xfId="58582"/>
    <cellStyle name="好_棚卸表2008.08.08_CPI 5" xfId="58583"/>
    <cellStyle name="好_棚卸表2008.08.08_CPI 6" xfId="58584"/>
    <cellStyle name="好_棚卸表2008.08.08_CPI 7" xfId="58585"/>
    <cellStyle name="好_棚卸表2008.08.08_CPI(1)" xfId="4661"/>
    <cellStyle name="好_棚卸表2008.08.08_CPI(1) 2" xfId="58586"/>
    <cellStyle name="好_棚卸表2008.08.08_CPI(1) 3" xfId="58587"/>
    <cellStyle name="好_棚卸表2008.08.08_CPI(1) 4" xfId="58588"/>
    <cellStyle name="好_棚卸表2008.08.08_CPI(1) 5" xfId="58589"/>
    <cellStyle name="好_棚卸表2008.08.08_店舗マスター(20110921) 李 総経理.xls" xfId="8858"/>
    <cellStyle name="好_棚卸表2008.08.08_店舗マスター(20110921) 李 総経理.xls 2" xfId="58590"/>
    <cellStyle name="好_棚卸表2008.08.08_店舗マスター20091104" xfId="8859"/>
    <cellStyle name="好_棚卸表2008.08.08_店舗マスター20091104 2" xfId="58591"/>
    <cellStyle name="好_棚卸表2008.08.08_副本41期事業計画商品部（備品） (2) (2)" xfId="4662"/>
    <cellStyle name="好_棚卸表2008.08.08_副本41期事業計画商品部（備品） (2) (2) 2" xfId="4663"/>
    <cellStyle name="好_棚卸表2008.08.08_副本41期事業計画商品部（備品） (2) (2) 2 2" xfId="58592"/>
    <cellStyle name="好_棚卸表2008.08.08_副本41期事業計画商品部（備品） (2) (2) 2 3" xfId="58593"/>
    <cellStyle name="好_棚卸表2008.08.08_副本41期事業計画商品部（備品） (2) (2) 2 4" xfId="58594"/>
    <cellStyle name="好_棚卸表2008.08.08_副本41期事業計画商品部（備品） (2) (2) 2 5" xfId="58595"/>
    <cellStyle name="好_棚卸表2008.08.08_副本41期事業計画商品部（備品） (2) (2) 3" xfId="4664"/>
    <cellStyle name="好_棚卸表2008.08.08_副本41期事業計画商品部（備品） (2) (2) 3 2" xfId="58596"/>
    <cellStyle name="好_棚卸表2008.08.08_副本41期事業計画商品部（備品） (2) (2) 3 3" xfId="58597"/>
    <cellStyle name="好_棚卸表2008.08.08_副本41期事業計画商品部（備品） (2) (2) 3 4" xfId="58598"/>
    <cellStyle name="好_棚卸表2008.08.08_副本41期事業計画商品部（備品） (2) (2) 3 5" xfId="58599"/>
    <cellStyle name="好_棚卸表2008.08.08_副本41期事業計画商品部（備品） (2) (2) 4" xfId="58600"/>
    <cellStyle name="好_棚卸表2008.08.08_副本41期事業計画商品部（備品） (2) (2) 5" xfId="58601"/>
    <cellStyle name="好_棚卸表2008.08.08_副本41期事業計画商品部（備品） (2) (2) 6" xfId="58602"/>
    <cellStyle name="好_棚卸表2008.08.08_副本41期事業計画商品部（備品） (2) (2) 7" xfId="58603"/>
    <cellStyle name="好_棚卸表2008.08.08_進捗管理40期（営業部）" xfId="8863"/>
    <cellStyle name="好_棚卸表2008.08.08_進捗管理40期（営業部） 2" xfId="8864"/>
    <cellStyle name="好_棚卸表2008.08.08_進捗管理40期（営業部） 2 2" xfId="58604"/>
    <cellStyle name="好_棚卸表2008.08.08_進捗管理40期（営業部） 3" xfId="58605"/>
    <cellStyle name="好_品目出数顺（万元）" xfId="4665"/>
    <cellStyle name="好_品目出数顺（万元） 2" xfId="58606"/>
    <cellStyle name="好_品目出数顺（万元） 3" xfId="58607"/>
    <cellStyle name="好_品目出数顺（万元） 4" xfId="58608"/>
    <cellStyle name="好_品目出数顺（万元） 5" xfId="58609"/>
    <cellStyle name="好_品目出数順（100人）" xfId="4666"/>
    <cellStyle name="好_品目出数順（100人） 2" xfId="58610"/>
    <cellStyle name="好_品目出数順（100人） 3" xfId="58611"/>
    <cellStyle name="好_品目出数順（100人） 4" xfId="58612"/>
    <cellStyle name="好_品目出数順（100人） 5" xfId="58613"/>
    <cellStyle name="好_品種出数順(万元）" xfId="4667"/>
    <cellStyle name="好_品種出数順(万元） 2" xfId="58614"/>
    <cellStyle name="好_品種出数順(万元） 3" xfId="58615"/>
    <cellStyle name="好_品種出数順(万元） 4" xfId="58616"/>
    <cellStyle name="好_品種出数順(万元） 5" xfId="58617"/>
    <cellStyle name="好_入" xfId="62"/>
    <cellStyle name="好_萨莉亚 G-5吉之島店空调报价（新2）" xfId="58618"/>
    <cellStyle name="好_萨莉亚 G-5吉之島店空调报价（新2） 2" xfId="58619"/>
    <cellStyle name="好_萨莉亚 G-5吉之島店空调报价（新2） 3" xfId="58620"/>
    <cellStyle name="好_萨莉亚 G-5吉之島店空调报价（新2） 4" xfId="58621"/>
    <cellStyle name="好_萨莉亚 G-5吉之島店空调报价（新2） 5" xfId="58622"/>
    <cellStyle name="好_萨莉亚 G-5吉之島店空调报价（新2） 6" xfId="58623"/>
    <cellStyle name="好_萨莉亚 G-5吉之島店空调报价（新2） 7" xfId="58624"/>
    <cellStyle name="好_萨莉亚 G-5吉之島店空调报价（新2） 8" xfId="58625"/>
    <cellStyle name="好_萨莉亚花都新中路维修工程报价2012-1-13" xfId="58626"/>
    <cellStyle name="好_萨莉亚花都新中路维修工程报价2012-1-13 2" xfId="58627"/>
    <cellStyle name="好_萨莉亚花都新中路维修工程报价2012-1-13 3" xfId="58628"/>
    <cellStyle name="好_萨莉亚花都新中路维修工程报价2012-1-13 4" xfId="58629"/>
    <cellStyle name="好_萨莉亚花都新中路维修工程报价2012-1-13 5" xfId="58630"/>
    <cellStyle name="好_商品部年間計画" xfId="4668"/>
    <cellStyle name="好_商品部年間計画 2" xfId="4669"/>
    <cellStyle name="好_商品部年間計画 2 2" xfId="58631"/>
    <cellStyle name="好_商品部年間計画 2 3" xfId="58632"/>
    <cellStyle name="好_商品部年間計画 2 4" xfId="58633"/>
    <cellStyle name="好_商品部年間計画 2 5" xfId="58634"/>
    <cellStyle name="好_商品部年間計画 3" xfId="4670"/>
    <cellStyle name="好_商品部年間計画 3 2" xfId="58635"/>
    <cellStyle name="好_商品部年間計画 3 3" xfId="58636"/>
    <cellStyle name="好_商品部年間計画 3 4" xfId="58637"/>
    <cellStyle name="好_商品部年間計画 3 5" xfId="58638"/>
    <cellStyle name="好_商品部年間計画 4" xfId="58639"/>
    <cellStyle name="好_商品部年間計画 5" xfId="58640"/>
    <cellStyle name="好_商品部年間計画 6" xfId="58641"/>
    <cellStyle name="好_商品部年間計画 7" xfId="58642"/>
    <cellStyle name="好_商品部年間計画_201205同業他社比較（商品構成G）" xfId="4671"/>
    <cellStyle name="好_商品部年間計画_201205同業他社比較（商品構成G） 2" xfId="58643"/>
    <cellStyle name="好_商品部年間計画_201205同業他社比較（商品構成G） 3" xfId="58644"/>
    <cellStyle name="好_商品部年間計画_201205同業他社比較（商品構成G） 4" xfId="58645"/>
    <cellStyle name="好_商品部年間計画_201205同業他社比較（商品構成G） 5" xfId="58646"/>
    <cellStyle name="好_商品部年間計画_201205同業他社比較（商品構成G）_副本新メニュー観察(上海) 201204 花島添削 (5)" xfId="4672"/>
    <cellStyle name="好_商品部年間計画_201205同業他社比較（商品構成G）_副本新メニュー観察(上海) 201204 花島添削 (5) 2" xfId="58647"/>
    <cellStyle name="好_商品部年間計画_201205同業他社比較（商品構成G）_副本新メニュー観察(上海) 201204 花島添削 (5) 3" xfId="58648"/>
    <cellStyle name="好_商品部年間計画_201205同業他社比較（商品構成G）_副本新メニュー観察(上海) 201204 花島添削 (5) 4" xfId="58649"/>
    <cellStyle name="好_商品部年間計画_201205同業他社比較（商品構成G）_副本新メニュー観察(上海) 201204 花島添削 (5) 5" xfId="58650"/>
    <cellStyle name="好_商品部年間計画_201205同業他社比較（商品構成G）_新メニュー観察(上海) 201204 花島添削 (2) (5)" xfId="4673"/>
    <cellStyle name="好_商品部年間計画_201205同業他社比較（商品構成G）_新メニュー観察(上海) 201204 花島添削 (2) (5) 2" xfId="58651"/>
    <cellStyle name="好_商品部年間計画_201205同業他社比較（商品構成G）_新メニュー観察(上海) 201204 花島添削 (2) (5) 3" xfId="58652"/>
    <cellStyle name="好_商品部年間計画_201205同業他社比較（商品構成G）_新メニュー観察(上海) 201204 花島添削 (2) (5) 4" xfId="58653"/>
    <cellStyle name="好_商品部年間計画_201205同業他社比較（商品構成G）_新メニュー観察(上海) 201204 花島添削 (2) (5) 5" xfId="58654"/>
    <cellStyle name="好_商品部年間計画_40期事業計画（商品部）  (3)" xfId="4674"/>
    <cellStyle name="好_商品部年間計画_40期事業計画（商品部）  (3) 2" xfId="58655"/>
    <cellStyle name="好_商品部年間計画_40期事業計画（商品部）  (3) 3" xfId="58656"/>
    <cellStyle name="好_商品部年間計画_40期事業計画（商品部）  (3) 4" xfId="58657"/>
    <cellStyle name="好_商品部年間計画_40期事業計画（商品部）  (3) 5" xfId="58658"/>
    <cellStyle name="好_商品部年間計画_40期事業計画（商品部1）" xfId="4675"/>
    <cellStyle name="好_商品部年間計画_40期事業計画（商品部1） 2" xfId="4676"/>
    <cellStyle name="好_商品部年間計画_40期事業計画（商品部1） 2 2" xfId="58659"/>
    <cellStyle name="好_商品部年間計画_40期事業計画（商品部1） 2 3" xfId="58660"/>
    <cellStyle name="好_商品部年間計画_40期事業計画（商品部1） 2 4" xfId="58661"/>
    <cellStyle name="好_商品部年間計画_40期事業計画（商品部1） 2 5" xfId="58662"/>
    <cellStyle name="好_商品部年間計画_40期事業計画（商品部1） 3" xfId="4677"/>
    <cellStyle name="好_商品部年間計画_40期事業計画（商品部1） 3 2" xfId="58663"/>
    <cellStyle name="好_商品部年間計画_40期事業計画（商品部1） 3 3" xfId="58664"/>
    <cellStyle name="好_商品部年間計画_40期事業計画（商品部1） 3 4" xfId="58665"/>
    <cellStyle name="好_商品部年間計画_40期事業計画（商品部1） 3 5" xfId="58666"/>
    <cellStyle name="好_商品部年間計画_40期事業計画（商品部1） 4" xfId="58667"/>
    <cellStyle name="好_商品部年間計画_40期事業計画（商品部1） 5" xfId="58668"/>
    <cellStyle name="好_商品部年間計画_40期事業計画（商品部1） 6" xfId="58669"/>
    <cellStyle name="好_商品部年間計画_40期事業計画（商品部1） 7" xfId="58670"/>
    <cellStyle name="好_商品部年間計画_40期預実（商品部） (3)" xfId="4678"/>
    <cellStyle name="好_商品部年間計画_40期預実（商品部） (3) 2" xfId="4679"/>
    <cellStyle name="好_商品部年間計画_40期預実（商品部） (3) 2 2" xfId="58671"/>
    <cellStyle name="好_商品部年間計画_40期預実（商品部） (3) 2 3" xfId="58672"/>
    <cellStyle name="好_商品部年間計画_40期預実（商品部） (3) 2 4" xfId="58673"/>
    <cellStyle name="好_商品部年間計画_40期預実（商品部） (3) 2 5" xfId="58674"/>
    <cellStyle name="好_商品部年間計画_40期預実（商品部） (3) 3" xfId="4680"/>
    <cellStyle name="好_商品部年間計画_40期預実（商品部） (3) 3 2" xfId="58675"/>
    <cellStyle name="好_商品部年間計画_40期預実（商品部） (3) 3 3" xfId="58676"/>
    <cellStyle name="好_商品部年間計画_40期預実（商品部） (3) 3 4" xfId="58677"/>
    <cellStyle name="好_商品部年間計画_40期預実（商品部） (3) 3 5" xfId="58678"/>
    <cellStyle name="好_商品部年間計画_40期預実（商品部） (3) 4" xfId="58679"/>
    <cellStyle name="好_商品部年間計画_40期預実（商品部） (3) 5" xfId="58680"/>
    <cellStyle name="好_商品部年間計画_40期預実（商品部） (3) 6" xfId="58681"/>
    <cellStyle name="好_商品部年間計画_40期預実（商品部） (3) 7" xfId="58682"/>
    <cellStyle name="好_商品部年間計画_40期預実（商品部） (3)_201205同業他社比較（商品構成G）" xfId="4681"/>
    <cellStyle name="好_商品部年間計画_40期預実（商品部） (3)_201205同業他社比較（商品構成G） 2" xfId="58683"/>
    <cellStyle name="好_商品部年間計画_40期預実（商品部） (3)_201205同業他社比較（商品構成G） 3" xfId="58684"/>
    <cellStyle name="好_商品部年間計画_40期預実（商品部） (3)_201205同業他社比較（商品構成G） 4" xfId="58685"/>
    <cellStyle name="好_商品部年間計画_40期預実（商品部） (3)_副本新メニュー観察(上海) 201204 花島添削 (5)" xfId="4682"/>
    <cellStyle name="好_商品部年間計画_40期預実（商品部） (3)_副本新メニュー観察(上海) 201204 花島添削 (5) 2" xfId="58686"/>
    <cellStyle name="好_商品部年間計画_40期預実（商品部） (3)_副本新メニュー観察(上海) 201204 花島添削 (5) 3" xfId="58687"/>
    <cellStyle name="好_商品部年間計画_40期預実（商品部） (3)_副本新メニュー観察(上海) 201204 花島添削 (5) 4" xfId="58688"/>
    <cellStyle name="好_商品部年間計画_40期預実（商品部） (3)_副本新メニュー観察(上海) 201204 花島添削 (5) 5" xfId="58689"/>
    <cellStyle name="好_商品部年間計画_40期預実（商品部） (3)_新メニュー観察(上海) 201204 花島添削 (2) (5)" xfId="4683"/>
    <cellStyle name="好_商品部年間計画_40期預実（商品部） (3)_新メニュー観察(上海) 201204 花島添削 (2) (5) 2" xfId="58690"/>
    <cellStyle name="好_商品部年間計画_40期預実（商品部） (3)_新メニュー観察(上海) 201204 花島添削 (2) (5) 3" xfId="58691"/>
    <cellStyle name="好_商品部年間計画_40期預実（商品部） (3)_新メニュー観察(上海) 201204 花島添削 (2) (5) 4" xfId="58692"/>
    <cellStyle name="好_商品部年間計画_40期預実（商品部） (3)_新メニュー観察(上海) 201204 花島添削 (2) (5) 5" xfId="58693"/>
    <cellStyle name="好_商品部年間計画_40期預実（商品部） (3)_週新品観察." xfId="4684"/>
    <cellStyle name="好_商品部年間計画_40期預実（商品部） (3)_週新品観察. 2" xfId="58694"/>
    <cellStyle name="好_商品部年間計画_40期預実（商品部） (3)_週新品観察. 3" xfId="58695"/>
    <cellStyle name="好_商品部年間計画_40期預実（商品部） (3)_週新品観察. 4" xfId="58696"/>
    <cellStyle name="好_商品部年間計画_40期預実（商品部） (3)_週新品観察. 5" xfId="58697"/>
    <cellStyle name="好_商品部年間計画_41期事業計画(商品部)" xfId="4685"/>
    <cellStyle name="好_商品部年間計画_41期事業計画(商品部) 2" xfId="4686"/>
    <cellStyle name="好_商品部年間計画_41期事業計画(商品部) 2 2" xfId="58698"/>
    <cellStyle name="好_商品部年間計画_41期事業計画(商品部) 2 3" xfId="58699"/>
    <cellStyle name="好_商品部年間計画_41期事業計画(商品部) 2 4" xfId="58700"/>
    <cellStyle name="好_商品部年間計画_41期事業計画(商品部) 2 5" xfId="58701"/>
    <cellStyle name="好_商品部年間計画_41期事業計画(商品部) 3" xfId="4687"/>
    <cellStyle name="好_商品部年間計画_41期事業計画(商品部) 3 2" xfId="58702"/>
    <cellStyle name="好_商品部年間計画_41期事業計画(商品部) 3 3" xfId="58703"/>
    <cellStyle name="好_商品部年間計画_41期事業計画(商品部) 3 4" xfId="58704"/>
    <cellStyle name="好_商品部年間計画_41期事業計画(商品部) 3 5" xfId="58705"/>
    <cellStyle name="好_商品部年間計画_41期事業計画(商品部) 4" xfId="58706"/>
    <cellStyle name="好_商品部年間計画_41期事業計画(商品部) 5" xfId="58707"/>
    <cellStyle name="好_商品部年間計画_41期事業計画(商品部) 6" xfId="58708"/>
    <cellStyle name="好_商品部年間計画_41期事業計画(商品部) 7" xfId="58709"/>
    <cellStyle name="好_商品部年間計画_CPI" xfId="4688"/>
    <cellStyle name="好_商品部年間計画_CPI 2" xfId="4689"/>
    <cellStyle name="好_商品部年間計画_CPI 2 2" xfId="58710"/>
    <cellStyle name="好_商品部年間計画_CPI 2 3" xfId="58711"/>
    <cellStyle name="好_商品部年間計画_CPI 2 4" xfId="58712"/>
    <cellStyle name="好_商品部年間計画_CPI 2 5" xfId="58713"/>
    <cellStyle name="好_商品部年間計画_CPI 3" xfId="4690"/>
    <cellStyle name="好_商品部年間計画_CPI 3 2" xfId="58714"/>
    <cellStyle name="好_商品部年間計画_CPI 3 3" xfId="58715"/>
    <cellStyle name="好_商品部年間計画_CPI 3 4" xfId="58716"/>
    <cellStyle name="好_商品部年間計画_CPI 3 5" xfId="58717"/>
    <cellStyle name="好_商品部年間計画_CPI 4" xfId="58718"/>
    <cellStyle name="好_商品部年間計画_CPI 5" xfId="58719"/>
    <cellStyle name="好_商品部年間計画_CPI 6" xfId="58720"/>
    <cellStyle name="好_商品部年間計画_CPI 7" xfId="58721"/>
    <cellStyle name="好_商品部年間計画_CPI(1)" xfId="4691"/>
    <cellStyle name="好_商品部年間計画_CPI(1) 2" xfId="58722"/>
    <cellStyle name="好_商品部年間計画_CPI(1) 3" xfId="58723"/>
    <cellStyle name="好_商品部年間計画_CPI(1) 4" xfId="58724"/>
    <cellStyle name="好_商品部年間計画_CPI(1) 5" xfId="58725"/>
    <cellStyle name="好_商品部年間計画_Sheet1" xfId="4692"/>
    <cellStyle name="好_商品部年間計画_Sheet1 2" xfId="58726"/>
    <cellStyle name="好_商品部年間計画_Sheet1 3" xfId="58727"/>
    <cellStyle name="好_商品部年間計画_Sheet1 4" xfId="58728"/>
    <cellStyle name="好_商品部年間計画_Sheet1 5" xfId="58729"/>
    <cellStyle name="好_商品部年間計画_Sheet1_副本新メニュー観察(上海) 201204 花島添削 (5)" xfId="4693"/>
    <cellStyle name="好_商品部年間計画_Sheet1_副本新メニュー観察(上海) 201204 花島添削 (5) 2" xfId="58730"/>
    <cellStyle name="好_商品部年間計画_Sheet1_副本新メニュー観察(上海) 201204 花島添削 (5) 3" xfId="58731"/>
    <cellStyle name="好_商品部年間計画_Sheet1_副本新メニュー観察(上海) 201204 花島添削 (5) 4" xfId="58732"/>
    <cellStyle name="好_商品部年間計画_Sheet1_副本新メニュー観察(上海) 201204 花島添削 (5) 5" xfId="58733"/>
    <cellStyle name="好_商品部年間計画_Sheet1_新メニュー観察(上海) 201204 花島添削 (2) (5)" xfId="4694"/>
    <cellStyle name="好_商品部年間計画_Sheet1_新メニュー観察(上海) 201204 花島添削 (2) (5) 2" xfId="58734"/>
    <cellStyle name="好_商品部年間計画_Sheet1_新メニュー観察(上海) 201204 花島添削 (2) (5) 3" xfId="58735"/>
    <cellStyle name="好_商品部年間計画_Sheet1_新メニュー観察(上海) 201204 花島添削 (2) (5) 4" xfId="58736"/>
    <cellStyle name="好_商品部年間計画_Sheet1_新メニュー観察(上海) 201204 花島添削 (2) (5) 5" xfId="58737"/>
    <cellStyle name="好_商品部年間計画_Xl0000173" xfId="4695"/>
    <cellStyle name="好_商品部年間計画_Xl0000173 2" xfId="58738"/>
    <cellStyle name="好_商品部年間計画_Xl0000173 3" xfId="58739"/>
    <cellStyle name="好_商品部年間計画_Xl0000173 4" xfId="58740"/>
    <cellStyle name="好_商品部年間計画_Xl0000173 5" xfId="58741"/>
    <cellStyle name="好_商品部年間計画_Xl0000173_副本新メニュー観察(上海) 201204 花島添削 (5)" xfId="4696"/>
    <cellStyle name="好_商品部年間計画_Xl0000173_副本新メニュー観察(上海) 201204 花島添削 (5) 2" xfId="58742"/>
    <cellStyle name="好_商品部年間計画_Xl0000173_副本新メニュー観察(上海) 201204 花島添削 (5) 3" xfId="58743"/>
    <cellStyle name="好_商品部年間計画_Xl0000173_副本新メニュー観察(上海) 201204 花島添削 (5) 4" xfId="58744"/>
    <cellStyle name="好_商品部年間計画_Xl0000173_副本新メニュー観察(上海) 201204 花島添削 (5) 5" xfId="58745"/>
    <cellStyle name="好_商品部年間計画_Xl0000173_新メニュー観察(上海) 201204 花島添削 (2) (5)" xfId="4697"/>
    <cellStyle name="好_商品部年間計画_Xl0000173_新メニュー観察(上海) 201204 花島添削 (2) (5) 2" xfId="58746"/>
    <cellStyle name="好_商品部年間計画_Xl0000173_新メニュー観察(上海) 201204 花島添削 (2) (5) 3" xfId="58747"/>
    <cellStyle name="好_商品部年間計画_Xl0000173_新メニュー観察(上海) 201204 花島添削 (2) (5) 4" xfId="58748"/>
    <cellStyle name="好_商品部年間計画_Xl0000173_新メニュー観察(上海) 201204 花島添削 (2) (5) 5" xfId="58749"/>
    <cellStyle name="好_商品部年間計画_儊僯儏乕娤嶡(2-1)" xfId="4698"/>
    <cellStyle name="好_商品部年間計画_儊僯儏乕娤嶡(2-1) 2" xfId="58750"/>
    <cellStyle name="好_商品部年間計画_儊僯儏乕娤嶡(2-1) 3" xfId="58751"/>
    <cellStyle name="好_商品部年間計画_儊僯儏乕娤嶡(2-1) 4" xfId="58752"/>
    <cellStyle name="好_商品部年間計画_儊僯儏乕娤嶡(2-1) 5" xfId="58753"/>
    <cellStyle name="好_商品部年間計画_儊僯儏乕娤嶡(2-2乯" xfId="4699"/>
    <cellStyle name="好_商品部年間計画_儊僯儏乕娤嶡(2-2乯 2" xfId="58754"/>
    <cellStyle name="好_商品部年間計画_儊僯儏乕娤嶡(2-2乯 3" xfId="58755"/>
    <cellStyle name="好_商品部年間計画_儊僯儏乕娤嶡(2-2乯 4" xfId="58756"/>
    <cellStyle name="好_商品部年間計画_儊僯儏乕娤嶡(2-2乯 5" xfId="58757"/>
    <cellStyle name="好_商品部年間計画_儊僯儏乕娤嶡(2-2乯_副本新メニュー観察(上海) 201204 花島添削 (5)" xfId="4700"/>
    <cellStyle name="好_商品部年間計画_儊僯儏乕娤嶡(2-2乯_副本新メニュー観察(上海) 201204 花島添削 (5) 2" xfId="58758"/>
    <cellStyle name="好_商品部年間計画_儊僯儏乕娤嶡(2-2乯_副本新メニュー観察(上海) 201204 花島添削 (5) 3" xfId="58759"/>
    <cellStyle name="好_商品部年間計画_儊僯儏乕娤嶡(2-2乯_副本新メニュー観察(上海) 201204 花島添削 (5) 4" xfId="58760"/>
    <cellStyle name="好_商品部年間計画_儊僯儏乕娤嶡(2-2乯_副本新メニュー観察(上海) 201204 花島添削 (5) 5" xfId="58761"/>
    <cellStyle name="好_商品部年間計画_儊僯儏乕娤嶡(2-2乯_新メニュー観察(上海) 201204 花島添削 (2) (5)" xfId="4701"/>
    <cellStyle name="好_商品部年間計画_儊僯儏乕娤嶡(2-2乯_新メニュー観察(上海) 201204 花島添削 (2) (5) 2" xfId="58762"/>
    <cellStyle name="好_商品部年間計画_儊僯儏乕娤嶡(2-2乯_新メニュー観察(上海) 201204 花島添削 (2) (5) 3" xfId="58763"/>
    <cellStyle name="好_商品部年間計画_儊僯儏乕娤嶡(2-2乯_新メニュー観察(上海) 201204 花島添削 (2) (5) 4" xfId="58764"/>
    <cellStyle name="好_商品部年間計画_儊僯儏乕娤嶡(2-2乯_新メニュー観察(上海) 201204 花島添削 (2) (5) 5" xfId="58765"/>
    <cellStyle name="好_商品部年間計画_副本40期預実（商品部） (3)" xfId="4702"/>
    <cellStyle name="好_商品部年間計画_副本40期預実（商品部） (3) 2" xfId="4703"/>
    <cellStyle name="好_商品部年間計画_副本40期預実（商品部） (3) 2 2" xfId="58766"/>
    <cellStyle name="好_商品部年間計画_副本40期預実（商品部） (3) 2 3" xfId="58767"/>
    <cellStyle name="好_商品部年間計画_副本40期預実（商品部） (3) 2 4" xfId="58768"/>
    <cellStyle name="好_商品部年間計画_副本40期預実（商品部） (3) 2 5" xfId="58769"/>
    <cellStyle name="好_商品部年間計画_副本40期預実（商品部） (3) 3" xfId="4704"/>
    <cellStyle name="好_商品部年間計画_副本40期預実（商品部） (3) 3 2" xfId="58770"/>
    <cellStyle name="好_商品部年間計画_副本40期預実（商品部） (3) 3 3" xfId="58771"/>
    <cellStyle name="好_商品部年間計画_副本40期預実（商品部） (3) 3 4" xfId="58772"/>
    <cellStyle name="好_商品部年間計画_副本40期預実（商品部） (3) 3 5" xfId="58773"/>
    <cellStyle name="好_商品部年間計画_副本40期預実（商品部） (3) 4" xfId="58774"/>
    <cellStyle name="好_商品部年間計画_副本40期預実（商品部） (3) 5" xfId="58775"/>
    <cellStyle name="好_商品部年間計画_副本40期預実（商品部） (3) 6" xfId="58776"/>
    <cellStyle name="好_商品部年間計画_副本40期預実（商品部） (3) 7" xfId="58777"/>
    <cellStyle name="好_商品部年間計画_副本40期預実（商品部） (3)_201205同業他社比較（商品構成G）" xfId="4705"/>
    <cellStyle name="好_商品部年間計画_副本40期預実（商品部） (3)_201205同業他社比較（商品構成G） 2" xfId="58778"/>
    <cellStyle name="好_商品部年間計画_副本40期預実（商品部） (3)_201205同業他社比較（商品構成G） 3" xfId="58779"/>
    <cellStyle name="好_商品部年間計画_副本40期預実（商品部） (3)_201205同業他社比較（商品構成G） 4" xfId="58780"/>
    <cellStyle name="好_商品部年間計画_副本40期預実（商品部） (3)_副本新メニュー観察(上海) 201204 花島添削 (5)" xfId="4706"/>
    <cellStyle name="好_商品部年間計画_副本40期預実（商品部） (3)_副本新メニュー観察(上海) 201204 花島添削 (5) 2" xfId="58781"/>
    <cellStyle name="好_商品部年間計画_副本40期預実（商品部） (3)_副本新メニュー観察(上海) 201204 花島添削 (5) 3" xfId="58782"/>
    <cellStyle name="好_商品部年間計画_副本40期預実（商品部） (3)_副本新メニュー観察(上海) 201204 花島添削 (5) 4" xfId="58783"/>
    <cellStyle name="好_商品部年間計画_副本40期預実（商品部） (3)_副本新メニュー観察(上海) 201204 花島添削 (5) 5" xfId="58784"/>
    <cellStyle name="好_商品部年間計画_副本40期預実（商品部） (3)_新メニュー観察(上海) 201204 花島添削 (2) (5)" xfId="4707"/>
    <cellStyle name="好_商品部年間計画_副本40期預実（商品部） (3)_新メニュー観察(上海) 201204 花島添削 (2) (5) 2" xfId="58785"/>
    <cellStyle name="好_商品部年間計画_副本40期預実（商品部） (3)_新メニュー観察(上海) 201204 花島添削 (2) (5) 3" xfId="58786"/>
    <cellStyle name="好_商品部年間計画_副本40期預実（商品部） (3)_新メニュー観察(上海) 201204 花島添削 (2) (5) 4" xfId="58787"/>
    <cellStyle name="好_商品部年間計画_副本40期預実（商品部） (3)_新メニュー観察(上海) 201204 花島添削 (2) (5) 5" xfId="58788"/>
    <cellStyle name="好_商品部年間計画_副本40期預実（商品部） (3)_週新品観察." xfId="4708"/>
    <cellStyle name="好_商品部年間計画_副本40期預実（商品部） (3)_週新品観察. 2" xfId="58789"/>
    <cellStyle name="好_商品部年間計画_副本40期預実（商品部） (3)_週新品観察. 3" xfId="58790"/>
    <cellStyle name="好_商品部年間計画_副本40期預実（商品部） (3)_週新品観察. 4" xfId="58791"/>
    <cellStyle name="好_商品部年間計画_副本40期預実（商品部） (3)_週新品観察. 5" xfId="58792"/>
    <cellStyle name="好_商品部年間計画_副本41期事業計画商品部（備品） (2) (2)" xfId="4709"/>
    <cellStyle name="好_商品部年間計画_副本41期事業計画商品部（備品） (2) (2) 2" xfId="4710"/>
    <cellStyle name="好_商品部年間計画_副本41期事業計画商品部（備品） (2) (2) 2 2" xfId="58793"/>
    <cellStyle name="好_商品部年間計画_副本41期事業計画商品部（備品） (2) (2) 2 3" xfId="58794"/>
    <cellStyle name="好_商品部年間計画_副本41期事業計画商品部（備品） (2) (2) 2 4" xfId="58795"/>
    <cellStyle name="好_商品部年間計画_副本41期事業計画商品部（備品） (2) (2) 2 5" xfId="58796"/>
    <cellStyle name="好_商品部年間計画_副本41期事業計画商品部（備品） (2) (2) 3" xfId="4711"/>
    <cellStyle name="好_商品部年間計画_副本41期事業計画商品部（備品） (2) (2) 3 2" xfId="58797"/>
    <cellStyle name="好_商品部年間計画_副本41期事業計画商品部（備品） (2) (2) 3 3" xfId="58798"/>
    <cellStyle name="好_商品部年間計画_副本41期事業計画商品部（備品） (2) (2) 3 4" xfId="58799"/>
    <cellStyle name="好_商品部年間計画_副本41期事業計画商品部（備品） (2) (2) 3 5" xfId="58800"/>
    <cellStyle name="好_商品部年間計画_副本41期事業計画商品部（備品） (2) (2) 4" xfId="58801"/>
    <cellStyle name="好_商品部年間計画_副本41期事業計画商品部（備品） (2) (2) 5" xfId="58802"/>
    <cellStyle name="好_商品部年間計画_副本41期事業計画商品部（備品） (2) (2) 6" xfId="58803"/>
    <cellStyle name="好_商品部年間計画_副本41期事業計画商品部（備品） (2) (2) 7" xfId="58804"/>
    <cellStyle name="好_商品部年間計画_開発商品(chen)" xfId="4712"/>
    <cellStyle name="好_商品部年間計画_開発商品(chen) 2" xfId="4713"/>
    <cellStyle name="好_商品部年間計画_開発商品(chen) 2 2" xfId="58805"/>
    <cellStyle name="好_商品部年間計画_開発商品(chen) 2 3" xfId="58806"/>
    <cellStyle name="好_商品部年間計画_開発商品(chen) 2 4" xfId="58807"/>
    <cellStyle name="好_商品部年間計画_開発商品(chen) 2 5" xfId="58808"/>
    <cellStyle name="好_商品部年間計画_開発商品(chen) 3" xfId="4714"/>
    <cellStyle name="好_商品部年間計画_開発商品(chen) 3 2" xfId="58809"/>
    <cellStyle name="好_商品部年間計画_開発商品(chen) 3 3" xfId="58810"/>
    <cellStyle name="好_商品部年間計画_開発商品(chen) 3 4" xfId="58811"/>
    <cellStyle name="好_商品部年間計画_開発商品(chen) 3 5" xfId="58812"/>
    <cellStyle name="好_商品部年間計画_開発商品(chen) 4" xfId="58813"/>
    <cellStyle name="好_商品部年間計画_開発商品(chen) 5" xfId="58814"/>
    <cellStyle name="好_商品部年間計画_開発商品(chen) 6" xfId="58815"/>
    <cellStyle name="好_商品部年間計画_開発商品(chen) 7" xfId="58816"/>
    <cellStyle name="好_商品部年間計画_開発商品(chen)_201205同業他社比較（商品構成G）" xfId="4715"/>
    <cellStyle name="好_商品部年間計画_開発商品(chen)_201205同業他社比較（商品構成G） 2" xfId="58817"/>
    <cellStyle name="好_商品部年間計画_開発商品(chen)_201205同業他社比較（商品構成G） 3" xfId="58818"/>
    <cellStyle name="好_商品部年間計画_開発商品(chen)_201205同業他社比較（商品構成G） 4" xfId="58819"/>
    <cellStyle name="好_商品部年間計画_開発商品(chen)_副本新メニュー観察(上海) 201204 花島添削 (5)" xfId="4716"/>
    <cellStyle name="好_商品部年間計画_開発商品(chen)_副本新メニュー観察(上海) 201204 花島添削 (5) 2" xfId="58820"/>
    <cellStyle name="好_商品部年間計画_開発商品(chen)_副本新メニュー観察(上海) 201204 花島添削 (5) 3" xfId="58821"/>
    <cellStyle name="好_商品部年間計画_開発商品(chen)_副本新メニュー観察(上海) 201204 花島添削 (5) 4" xfId="58822"/>
    <cellStyle name="好_商品部年間計画_開発商品(chen)_副本新メニュー観察(上海) 201204 花島添削 (5) 5" xfId="58823"/>
    <cellStyle name="好_商品部年間計画_開発商品(chen)_新メニュー観察(上海) 201204 花島添削 (2) (5)" xfId="4717"/>
    <cellStyle name="好_商品部年間計画_開発商品(chen)_新メニュー観察(上海) 201204 花島添削 (2) (5) 2" xfId="58824"/>
    <cellStyle name="好_商品部年間計画_開発商品(chen)_新メニュー観察(上海) 201204 花島添削 (2) (5) 3" xfId="58825"/>
    <cellStyle name="好_商品部年間計画_開発商品(chen)_新メニュー観察(上海) 201204 花島添削 (2) (5) 4" xfId="58826"/>
    <cellStyle name="好_商品部年間計画_開発商品(chen)_新メニュー観察(上海) 201204 花島添削 (2) (5) 5" xfId="58827"/>
    <cellStyle name="好_商品部年間計画_開発商品(chen)_週新品観察." xfId="4718"/>
    <cellStyle name="好_商品部年間計画_開発商品(chen)_週新品観察. 2" xfId="58828"/>
    <cellStyle name="好_商品部年間計画_開発商品(chen)_週新品観察. 3" xfId="58829"/>
    <cellStyle name="好_商品部年間計画_開発商品(chen)_週新品観察. 4" xfId="58830"/>
    <cellStyle name="好_商品部年間計画_開発商品(chen)_週新品観察. 5" xfId="58831"/>
    <cellStyle name="好_商品部年間計画_物流" xfId="4719"/>
    <cellStyle name="好_商品部年間計画_物流 2" xfId="4720"/>
    <cellStyle name="好_商品部年間計画_物流 2 2" xfId="58832"/>
    <cellStyle name="好_商品部年間計画_物流 2 3" xfId="58833"/>
    <cellStyle name="好_商品部年間計画_物流 2 4" xfId="58834"/>
    <cellStyle name="好_商品部年間計画_物流 2 5" xfId="58835"/>
    <cellStyle name="好_商品部年間計画_物流 3" xfId="4721"/>
    <cellStyle name="好_商品部年間計画_物流 3 2" xfId="58836"/>
    <cellStyle name="好_商品部年間計画_物流 3 3" xfId="58837"/>
    <cellStyle name="好_商品部年間計画_物流 3 4" xfId="58838"/>
    <cellStyle name="好_商品部年間計画_物流 3 5" xfId="58839"/>
    <cellStyle name="好_商品部年間計画_物流 4" xfId="58840"/>
    <cellStyle name="好_商品部年間計画_物流 5" xfId="58841"/>
    <cellStyle name="好_商品部年間計画_物流 6" xfId="58842"/>
    <cellStyle name="好_商品部年間計画_物流 7" xfId="58843"/>
    <cellStyle name="好_商品部年間計画_物流_201205同業他社比較（商品構成G）" xfId="4722"/>
    <cellStyle name="好_商品部年間計画_物流_201205同業他社比較（商品構成G） 2" xfId="58844"/>
    <cellStyle name="好_商品部年間計画_物流_201205同業他社比較（商品構成G） 3" xfId="58845"/>
    <cellStyle name="好_商品部年間計画_物流_201205同業他社比較（商品構成G） 4" xfId="58846"/>
    <cellStyle name="好_商品部年間計画_物流_40期事業計画（商品部）  (3)" xfId="4723"/>
    <cellStyle name="好_商品部年間計画_物流_40期事業計画（商品部）  (3) 2" xfId="58847"/>
    <cellStyle name="好_商品部年間計画_物流_40期事業計画（商品部）  (3) 3" xfId="58848"/>
    <cellStyle name="好_商品部年間計画_物流_40期事業計画（商品部）  (3) 4" xfId="58849"/>
    <cellStyle name="好_商品部年間計画_物流_40期事業計画（商品部）  (3) 5" xfId="58850"/>
    <cellStyle name="好_商品部年間計画_物流_40期事業計画（商品部1）" xfId="4724"/>
    <cellStyle name="好_商品部年間計画_物流_40期事業計画（商品部1） 2" xfId="4725"/>
    <cellStyle name="好_商品部年間計画_物流_40期事業計画（商品部1） 2 2" xfId="58851"/>
    <cellStyle name="好_商品部年間計画_物流_40期事業計画（商品部1） 2 3" xfId="58852"/>
    <cellStyle name="好_商品部年間計画_物流_40期事業計画（商品部1） 2 4" xfId="58853"/>
    <cellStyle name="好_商品部年間計画_物流_40期事業計画（商品部1） 2 5" xfId="58854"/>
    <cellStyle name="好_商品部年間計画_物流_40期事業計画（商品部1） 3" xfId="4726"/>
    <cellStyle name="好_商品部年間計画_物流_40期事業計画（商品部1） 3 2" xfId="58855"/>
    <cellStyle name="好_商品部年間計画_物流_40期事業計画（商品部1） 3 3" xfId="58856"/>
    <cellStyle name="好_商品部年間計画_物流_40期事業計画（商品部1） 3 4" xfId="58857"/>
    <cellStyle name="好_商品部年間計画_物流_40期事業計画（商品部1） 3 5" xfId="58858"/>
    <cellStyle name="好_商品部年間計画_物流_40期事業計画（商品部1） 4" xfId="58859"/>
    <cellStyle name="好_商品部年間計画_物流_40期事業計画（商品部1） 5" xfId="58860"/>
    <cellStyle name="好_商品部年間計画_物流_40期事業計画（商品部1） 6" xfId="58861"/>
    <cellStyle name="好_商品部年間計画_物流_40期事業計画（商品部1） 7" xfId="58862"/>
    <cellStyle name="好_商品部年間計画_物流_40期預実（商品部） (3)" xfId="4727"/>
    <cellStyle name="好_商品部年間計画_物流_40期預実（商品部） (3) 2" xfId="4728"/>
    <cellStyle name="好_商品部年間計画_物流_40期預実（商品部） (3) 2 2" xfId="58863"/>
    <cellStyle name="好_商品部年間計画_物流_40期預実（商品部） (3) 2 3" xfId="58864"/>
    <cellStyle name="好_商品部年間計画_物流_40期預実（商品部） (3) 2 4" xfId="58865"/>
    <cellStyle name="好_商品部年間計画_物流_40期預実（商品部） (3) 2 5" xfId="58866"/>
    <cellStyle name="好_商品部年間計画_物流_40期預実（商品部） (3) 3" xfId="4729"/>
    <cellStyle name="好_商品部年間計画_物流_40期預実（商品部） (3) 3 2" xfId="58867"/>
    <cellStyle name="好_商品部年間計画_物流_40期預実（商品部） (3) 3 3" xfId="58868"/>
    <cellStyle name="好_商品部年間計画_物流_40期預実（商品部） (3) 3 4" xfId="58869"/>
    <cellStyle name="好_商品部年間計画_物流_40期預実（商品部） (3) 3 5" xfId="58870"/>
    <cellStyle name="好_商品部年間計画_物流_40期預実（商品部） (3) 4" xfId="58871"/>
    <cellStyle name="好_商品部年間計画_物流_40期預実（商品部） (3) 5" xfId="58872"/>
    <cellStyle name="好_商品部年間計画_物流_40期預実（商品部） (3) 6" xfId="58873"/>
    <cellStyle name="好_商品部年間計画_物流_40期預実（商品部） (3) 7" xfId="58874"/>
    <cellStyle name="好_商品部年間計画_物流_40期預実（商品部） (3)_201205同業他社比較（商品構成G）" xfId="4730"/>
    <cellStyle name="好_商品部年間計画_物流_40期預実（商品部） (3)_201205同業他社比較（商品構成G） 2" xfId="58875"/>
    <cellStyle name="好_商品部年間計画_物流_40期預実（商品部） (3)_201205同業他社比較（商品構成G） 3" xfId="58876"/>
    <cellStyle name="好_商品部年間計画_物流_40期預実（商品部） (3)_201205同業他社比較（商品構成G） 4" xfId="58877"/>
    <cellStyle name="好_商品部年間計画_物流_40期預実（商品部） (3)_副本新メニュー観察(上海) 201204 花島添削 (5)" xfId="4731"/>
    <cellStyle name="好_商品部年間計画_物流_40期預実（商品部） (3)_副本新メニュー観察(上海) 201204 花島添削 (5) 2" xfId="58878"/>
    <cellStyle name="好_商品部年間計画_物流_40期預実（商品部） (3)_副本新メニュー観察(上海) 201204 花島添削 (5) 3" xfId="58879"/>
    <cellStyle name="好_商品部年間計画_物流_40期預実（商品部） (3)_副本新メニュー観察(上海) 201204 花島添削 (5) 4" xfId="58880"/>
    <cellStyle name="好_商品部年間計画_物流_40期預実（商品部） (3)_副本新メニュー観察(上海) 201204 花島添削 (5) 5" xfId="58881"/>
    <cellStyle name="好_商品部年間計画_物流_40期預実（商品部） (3)_新メニュー観察(上海) 201204 花島添削 (2) (5)" xfId="4732"/>
    <cellStyle name="好_商品部年間計画_物流_40期預実（商品部） (3)_新メニュー観察(上海) 201204 花島添削 (2) (5) 2" xfId="58882"/>
    <cellStyle name="好_商品部年間計画_物流_40期預実（商品部） (3)_新メニュー観察(上海) 201204 花島添削 (2) (5) 3" xfId="58883"/>
    <cellStyle name="好_商品部年間計画_物流_40期預実（商品部） (3)_新メニュー観察(上海) 201204 花島添削 (2) (5) 4" xfId="58884"/>
    <cellStyle name="好_商品部年間計画_物流_40期預実（商品部） (3)_新メニュー観察(上海) 201204 花島添削 (2) (5) 5" xfId="58885"/>
    <cellStyle name="好_商品部年間計画_物流_40期預実（商品部） (3)_週新品観察." xfId="4733"/>
    <cellStyle name="好_商品部年間計画_物流_40期預実（商品部） (3)_週新品観察. 2" xfId="58886"/>
    <cellStyle name="好_商品部年間計画_物流_40期預実（商品部） (3)_週新品観察. 3" xfId="58887"/>
    <cellStyle name="好_商品部年間計画_物流_40期預実（商品部） (3)_週新品観察. 4" xfId="58888"/>
    <cellStyle name="好_商品部年間計画_物流_40期預実（商品部） (3)_週新品観察. 5" xfId="58889"/>
    <cellStyle name="好_商品部年間計画_物流_41期事業計画(商品部)" xfId="4734"/>
    <cellStyle name="好_商品部年間計画_物流_41期事業計画(商品部) 2" xfId="4735"/>
    <cellStyle name="好_商品部年間計画_物流_41期事業計画(商品部) 2 2" xfId="58890"/>
    <cellStyle name="好_商品部年間計画_物流_41期事業計画(商品部) 2 3" xfId="58891"/>
    <cellStyle name="好_商品部年間計画_物流_41期事業計画(商品部) 2 4" xfId="58892"/>
    <cellStyle name="好_商品部年間計画_物流_41期事業計画(商品部) 2 5" xfId="58893"/>
    <cellStyle name="好_商品部年間計画_物流_41期事業計画(商品部) 3" xfId="4736"/>
    <cellStyle name="好_商品部年間計画_物流_41期事業計画(商品部) 3 2" xfId="58894"/>
    <cellStyle name="好_商品部年間計画_物流_41期事業計画(商品部) 3 3" xfId="58895"/>
    <cellStyle name="好_商品部年間計画_物流_41期事業計画(商品部) 3 4" xfId="58896"/>
    <cellStyle name="好_商品部年間計画_物流_41期事業計画(商品部) 3 5" xfId="58897"/>
    <cellStyle name="好_商品部年間計画_物流_41期事業計画(商品部) 4" xfId="58898"/>
    <cellStyle name="好_商品部年間計画_物流_41期事業計画(商品部) 5" xfId="58899"/>
    <cellStyle name="好_商品部年間計画_物流_41期事業計画(商品部) 6" xfId="58900"/>
    <cellStyle name="好_商品部年間計画_物流_41期事業計画(商品部) 7" xfId="58901"/>
    <cellStyle name="好_商品部年間計画_物流_CPI" xfId="4737"/>
    <cellStyle name="好_商品部年間計画_物流_CPI 2" xfId="4738"/>
    <cellStyle name="好_商品部年間計画_物流_CPI 2 2" xfId="58902"/>
    <cellStyle name="好_商品部年間計画_物流_CPI 2 3" xfId="58903"/>
    <cellStyle name="好_商品部年間計画_物流_CPI 2 4" xfId="58904"/>
    <cellStyle name="好_商品部年間計画_物流_CPI 2 5" xfId="58905"/>
    <cellStyle name="好_商品部年間計画_物流_CPI 3" xfId="4739"/>
    <cellStyle name="好_商品部年間計画_物流_CPI 3 2" xfId="58906"/>
    <cellStyle name="好_商品部年間計画_物流_CPI 3 3" xfId="58907"/>
    <cellStyle name="好_商品部年間計画_物流_CPI 3 4" xfId="58908"/>
    <cellStyle name="好_商品部年間計画_物流_CPI 3 5" xfId="58909"/>
    <cellStyle name="好_商品部年間計画_物流_CPI 4" xfId="58910"/>
    <cellStyle name="好_商品部年間計画_物流_CPI 5" xfId="58911"/>
    <cellStyle name="好_商品部年間計画_物流_CPI 6" xfId="58912"/>
    <cellStyle name="好_商品部年間計画_物流_CPI 7" xfId="58913"/>
    <cellStyle name="好_商品部年間計画_物流_CPI(1)" xfId="4740"/>
    <cellStyle name="好_商品部年間計画_物流_CPI(1) 2" xfId="58914"/>
    <cellStyle name="好_商品部年間計画_物流_CPI(1) 3" xfId="58915"/>
    <cellStyle name="好_商品部年間計画_物流_CPI(1) 4" xfId="58916"/>
    <cellStyle name="好_商品部年間計画_物流_CPI(1) 5" xfId="58917"/>
    <cellStyle name="好_商品部年間計画_物流_副本40期預実（商品部） (3)" xfId="4741"/>
    <cellStyle name="好_商品部年間計画_物流_副本40期預実（商品部） (3) 2" xfId="4742"/>
    <cellStyle name="好_商品部年間計画_物流_副本40期預実（商品部） (3) 2 2" xfId="58918"/>
    <cellStyle name="好_商品部年間計画_物流_副本40期預実（商品部） (3) 2 3" xfId="58919"/>
    <cellStyle name="好_商品部年間計画_物流_副本40期預実（商品部） (3) 2 4" xfId="58920"/>
    <cellStyle name="好_商品部年間計画_物流_副本40期預実（商品部） (3) 2 5" xfId="58921"/>
    <cellStyle name="好_商品部年間計画_物流_副本40期預実（商品部） (3) 3" xfId="4743"/>
    <cellStyle name="好_商品部年間計画_物流_副本40期預実（商品部） (3) 3 2" xfId="58922"/>
    <cellStyle name="好_商品部年間計画_物流_副本40期預実（商品部） (3) 3 3" xfId="58923"/>
    <cellStyle name="好_商品部年間計画_物流_副本40期預実（商品部） (3) 3 4" xfId="58924"/>
    <cellStyle name="好_商品部年間計画_物流_副本40期預実（商品部） (3) 3 5" xfId="58925"/>
    <cellStyle name="好_商品部年間計画_物流_副本40期預実（商品部） (3) 4" xfId="58926"/>
    <cellStyle name="好_商品部年間計画_物流_副本40期預実（商品部） (3) 5" xfId="58927"/>
    <cellStyle name="好_商品部年間計画_物流_副本40期預実（商品部） (3) 6" xfId="58928"/>
    <cellStyle name="好_商品部年間計画_物流_副本40期預実（商品部） (3) 7" xfId="58929"/>
    <cellStyle name="好_商品部年間計画_物流_副本40期預実（商品部） (3)_201205同業他社比較（商品構成G）" xfId="4744"/>
    <cellStyle name="好_商品部年間計画_物流_副本40期預実（商品部） (3)_201205同業他社比較（商品構成G） 2" xfId="58930"/>
    <cellStyle name="好_商品部年間計画_物流_副本40期預実（商品部） (3)_201205同業他社比較（商品構成G） 3" xfId="58931"/>
    <cellStyle name="好_商品部年間計画_物流_副本40期預実（商品部） (3)_201205同業他社比較（商品構成G） 4" xfId="58932"/>
    <cellStyle name="好_商品部年間計画_物流_副本40期預実（商品部） (3)_副本新メニュー観察(上海) 201204 花島添削 (5)" xfId="4745"/>
    <cellStyle name="好_商品部年間計画_物流_副本40期預実（商品部） (3)_副本新メニュー観察(上海) 201204 花島添削 (5) 2" xfId="58933"/>
    <cellStyle name="好_商品部年間計画_物流_副本40期預実（商品部） (3)_副本新メニュー観察(上海) 201204 花島添削 (5) 3" xfId="58934"/>
    <cellStyle name="好_商品部年間計画_物流_副本40期預実（商品部） (3)_副本新メニュー観察(上海) 201204 花島添削 (5) 4" xfId="58935"/>
    <cellStyle name="好_商品部年間計画_物流_副本40期預実（商品部） (3)_副本新メニュー観察(上海) 201204 花島添削 (5) 5" xfId="58936"/>
    <cellStyle name="好_商品部年間計画_物流_副本40期預実（商品部） (3)_新メニュー観察(上海) 201204 花島添削 (2) (5)" xfId="4746"/>
    <cellStyle name="好_商品部年間計画_物流_副本40期預実（商品部） (3)_新メニュー観察(上海) 201204 花島添削 (2) (5) 2" xfId="58937"/>
    <cellStyle name="好_商品部年間計画_物流_副本40期預実（商品部） (3)_新メニュー観察(上海) 201204 花島添削 (2) (5) 3" xfId="58938"/>
    <cellStyle name="好_商品部年間計画_物流_副本40期預実（商品部） (3)_新メニュー観察(上海) 201204 花島添削 (2) (5) 4" xfId="58939"/>
    <cellStyle name="好_商品部年間計画_物流_副本40期預実（商品部） (3)_新メニュー観察(上海) 201204 花島添削 (2) (5) 5" xfId="58940"/>
    <cellStyle name="好_商品部年間計画_物流_副本40期預実（商品部） (3)_週新品観察." xfId="4747"/>
    <cellStyle name="好_商品部年間計画_物流_副本40期預実（商品部） (3)_週新品観察. 2" xfId="58941"/>
    <cellStyle name="好_商品部年間計画_物流_副本40期預実（商品部） (3)_週新品観察. 3" xfId="58942"/>
    <cellStyle name="好_商品部年間計画_物流_副本40期預実（商品部） (3)_週新品観察. 4" xfId="58943"/>
    <cellStyle name="好_商品部年間計画_物流_副本40期預実（商品部） (3)_週新品観察. 5" xfId="58944"/>
    <cellStyle name="好_商品部年間計画_物流_副本41期事業計画商品部（備品） (2) (2)" xfId="4748"/>
    <cellStyle name="好_商品部年間計画_物流_副本41期事業計画商品部（備品） (2) (2) 2" xfId="4749"/>
    <cellStyle name="好_商品部年間計画_物流_副本41期事業計画商品部（備品） (2) (2) 2 2" xfId="58945"/>
    <cellStyle name="好_商品部年間計画_物流_副本41期事業計画商品部（備品） (2) (2) 2 3" xfId="58946"/>
    <cellStyle name="好_商品部年間計画_物流_副本41期事業計画商品部（備品） (2) (2) 2 4" xfId="58947"/>
    <cellStyle name="好_商品部年間計画_物流_副本41期事業計画商品部（備品） (2) (2) 2 5" xfId="58948"/>
    <cellStyle name="好_商品部年間計画_物流_副本41期事業計画商品部（備品） (2) (2) 3" xfId="4750"/>
    <cellStyle name="好_商品部年間計画_物流_副本41期事業計画商品部（備品） (2) (2) 3 2" xfId="58949"/>
    <cellStyle name="好_商品部年間計画_物流_副本41期事業計画商品部（備品） (2) (2) 3 3" xfId="58950"/>
    <cellStyle name="好_商品部年間計画_物流_副本41期事業計画商品部（備品） (2) (2) 3 4" xfId="58951"/>
    <cellStyle name="好_商品部年間計画_物流_副本41期事業計画商品部（備品） (2) (2) 3 5" xfId="58952"/>
    <cellStyle name="好_商品部年間計画_物流_副本41期事業計画商品部（備品） (2) (2) 4" xfId="58953"/>
    <cellStyle name="好_商品部年間計画_物流_副本41期事業計画商品部（備品） (2) (2) 5" xfId="58954"/>
    <cellStyle name="好_商品部年間計画_物流_副本41期事業計画商品部（備品） (2) (2) 6" xfId="58955"/>
    <cellStyle name="好_商品部年間計画_物流_副本41期事業計画商品部（備品） (2) (2) 7" xfId="58956"/>
    <cellStyle name="好_商品部年間計画_物流_副本新メニュー観察(上海) 201204 花島添削 (5)" xfId="4751"/>
    <cellStyle name="好_商品部年間計画_物流_副本新メニュー観察(上海) 201204 花島添削 (5) 2" xfId="58957"/>
    <cellStyle name="好_商品部年間計画_物流_副本新メニュー観察(上海) 201204 花島添削 (5) 3" xfId="58958"/>
    <cellStyle name="好_商品部年間計画_物流_副本新メニュー観察(上海) 201204 花島添削 (5) 4" xfId="58959"/>
    <cellStyle name="好_商品部年間計画_物流_副本新メニュー観察(上海) 201204 花島添削 (5) 5" xfId="58960"/>
    <cellStyle name="好_商品部年間計画_物流_開発商品(chen)" xfId="4752"/>
    <cellStyle name="好_商品部年間計画_物流_開発商品(chen) 2" xfId="4753"/>
    <cellStyle name="好_商品部年間計画_物流_開発商品(chen) 2 2" xfId="58961"/>
    <cellStyle name="好_商品部年間計画_物流_開発商品(chen) 2 3" xfId="58962"/>
    <cellStyle name="好_商品部年間計画_物流_開発商品(chen) 2 4" xfId="58963"/>
    <cellStyle name="好_商品部年間計画_物流_開発商品(chen) 2 5" xfId="58964"/>
    <cellStyle name="好_商品部年間計画_物流_開発商品(chen) 3" xfId="4754"/>
    <cellStyle name="好_商品部年間計画_物流_開発商品(chen) 3 2" xfId="58965"/>
    <cellStyle name="好_商品部年間計画_物流_開発商品(chen) 3 3" xfId="58966"/>
    <cellStyle name="好_商品部年間計画_物流_開発商品(chen) 3 4" xfId="58967"/>
    <cellStyle name="好_商品部年間計画_物流_開発商品(chen) 3 5" xfId="58968"/>
    <cellStyle name="好_商品部年間計画_物流_開発商品(chen) 4" xfId="58969"/>
    <cellStyle name="好_商品部年間計画_物流_開発商品(chen) 5" xfId="58970"/>
    <cellStyle name="好_商品部年間計画_物流_開発商品(chen) 6" xfId="58971"/>
    <cellStyle name="好_商品部年間計画_物流_開発商品(chen) 7" xfId="58972"/>
    <cellStyle name="好_商品部年間計画_物流_開発商品(chen)_201205同業他社比較（商品構成G）" xfId="4755"/>
    <cellStyle name="好_商品部年間計画_物流_開発商品(chen)_201205同業他社比較（商品構成G） 2" xfId="58973"/>
    <cellStyle name="好_商品部年間計画_物流_開発商品(chen)_201205同業他社比較（商品構成G） 3" xfId="58974"/>
    <cellStyle name="好_商品部年間計画_物流_開発商品(chen)_201205同業他社比較（商品構成G） 4" xfId="58975"/>
    <cellStyle name="好_商品部年間計画_物流_開発商品(chen)_40期事業計画（商品部）  (3)" xfId="4756"/>
    <cellStyle name="好_商品部年間計画_物流_開発商品(chen)_40期事業計画（商品部）  (3) 2" xfId="58976"/>
    <cellStyle name="好_商品部年間計画_物流_開発商品(chen)_40期事業計画（商品部）  (3) 3" xfId="58977"/>
    <cellStyle name="好_商品部年間計画_物流_開発商品(chen)_40期事業計画（商品部）  (3) 4" xfId="58978"/>
    <cellStyle name="好_商品部年間計画_物流_開発商品(chen)_40期事業計画（商品部）  (3) 5" xfId="58979"/>
    <cellStyle name="好_商品部年間計画_物流_開発商品(chen)_40期事業計画（商品部1）" xfId="4757"/>
    <cellStyle name="好_商品部年間計画_物流_開発商品(chen)_40期事業計画（商品部1） 2" xfId="4758"/>
    <cellStyle name="好_商品部年間計画_物流_開発商品(chen)_40期事業計画（商品部1） 2 2" xfId="58980"/>
    <cellStyle name="好_商品部年間計画_物流_開発商品(chen)_40期事業計画（商品部1） 2 3" xfId="58981"/>
    <cellStyle name="好_商品部年間計画_物流_開発商品(chen)_40期事業計画（商品部1） 2 4" xfId="58982"/>
    <cellStyle name="好_商品部年間計画_物流_開発商品(chen)_40期事業計画（商品部1） 2 5" xfId="58983"/>
    <cellStyle name="好_商品部年間計画_物流_開発商品(chen)_40期事業計画（商品部1） 3" xfId="4759"/>
    <cellStyle name="好_商品部年間計画_物流_開発商品(chen)_40期事業計画（商品部1） 3 2" xfId="58984"/>
    <cellStyle name="好_商品部年間計画_物流_開発商品(chen)_40期事業計画（商品部1） 3 3" xfId="58985"/>
    <cellStyle name="好_商品部年間計画_物流_開発商品(chen)_40期事業計画（商品部1） 3 4" xfId="58986"/>
    <cellStyle name="好_商品部年間計画_物流_開発商品(chen)_40期事業計画（商品部1） 3 5" xfId="58987"/>
    <cellStyle name="好_商品部年間計画_物流_開発商品(chen)_40期事業計画（商品部1） 4" xfId="58988"/>
    <cellStyle name="好_商品部年間計画_物流_開発商品(chen)_40期事業計画（商品部1） 5" xfId="58989"/>
    <cellStyle name="好_商品部年間計画_物流_開発商品(chen)_40期事業計画（商品部1） 6" xfId="58990"/>
    <cellStyle name="好_商品部年間計画_物流_開発商品(chen)_40期事業計画（商品部1） 7" xfId="58991"/>
    <cellStyle name="好_商品部年間計画_物流_開発商品(chen)_40期預実（商品部） (3)" xfId="4760"/>
    <cellStyle name="好_商品部年間計画_物流_開発商品(chen)_40期預実（商品部） (3) 2" xfId="4761"/>
    <cellStyle name="好_商品部年間計画_物流_開発商品(chen)_40期預実（商品部） (3) 2 2" xfId="58992"/>
    <cellStyle name="好_商品部年間計画_物流_開発商品(chen)_40期預実（商品部） (3) 2 3" xfId="58993"/>
    <cellStyle name="好_商品部年間計画_物流_開発商品(chen)_40期預実（商品部） (3) 2 4" xfId="58994"/>
    <cellStyle name="好_商品部年間計画_物流_開発商品(chen)_40期預実（商品部） (3) 2 5" xfId="58995"/>
    <cellStyle name="好_商品部年間計画_物流_開発商品(chen)_40期預実（商品部） (3) 3" xfId="4762"/>
    <cellStyle name="好_商品部年間計画_物流_開発商品(chen)_40期預実（商品部） (3) 3 2" xfId="58996"/>
    <cellStyle name="好_商品部年間計画_物流_開発商品(chen)_40期預実（商品部） (3) 3 3" xfId="58997"/>
    <cellStyle name="好_商品部年間計画_物流_開発商品(chen)_40期預実（商品部） (3) 3 4" xfId="58998"/>
    <cellStyle name="好_商品部年間計画_物流_開発商品(chen)_40期預実（商品部） (3) 3 5" xfId="58999"/>
    <cellStyle name="好_商品部年間計画_物流_開発商品(chen)_40期預実（商品部） (3) 4" xfId="59000"/>
    <cellStyle name="好_商品部年間計画_物流_開発商品(chen)_40期預実（商品部） (3) 5" xfId="59001"/>
    <cellStyle name="好_商品部年間計画_物流_開発商品(chen)_40期預実（商品部） (3) 6" xfId="59002"/>
    <cellStyle name="好_商品部年間計画_物流_開発商品(chen)_40期預実（商品部） (3) 7" xfId="59003"/>
    <cellStyle name="好_商品部年間計画_物流_開発商品(chen)_40期預実（商品部） (3)_201205同業他社比較（商品構成G）" xfId="4763"/>
    <cellStyle name="好_商品部年間計画_物流_開発商品(chen)_40期預実（商品部） (3)_201205同業他社比較（商品構成G） 2" xfId="59004"/>
    <cellStyle name="好_商品部年間計画_物流_開発商品(chen)_40期預実（商品部） (3)_201205同業他社比較（商品構成G） 3" xfId="59005"/>
    <cellStyle name="好_商品部年間計画_物流_開発商品(chen)_40期預実（商品部） (3)_201205同業他社比較（商品構成G） 4" xfId="59006"/>
    <cellStyle name="好_商品部年間計画_物流_開発商品(chen)_40期預実（商品部） (3)_副本新メニュー観察(上海) 201204 花島添削 (5)" xfId="4764"/>
    <cellStyle name="好_商品部年間計画_物流_開発商品(chen)_40期預実（商品部） (3)_副本新メニュー観察(上海) 201204 花島添削 (5) 2" xfId="59007"/>
    <cellStyle name="好_商品部年間計画_物流_開発商品(chen)_40期預実（商品部） (3)_副本新メニュー観察(上海) 201204 花島添削 (5) 3" xfId="59008"/>
    <cellStyle name="好_商品部年間計画_物流_開発商品(chen)_40期預実（商品部） (3)_副本新メニュー観察(上海) 201204 花島添削 (5) 4" xfId="59009"/>
    <cellStyle name="好_商品部年間計画_物流_開発商品(chen)_40期預実（商品部） (3)_副本新メニュー観察(上海) 201204 花島添削 (5) 5" xfId="59010"/>
    <cellStyle name="好_商品部年間計画_物流_開発商品(chen)_40期預実（商品部） (3)_新メニュー観察(上海) 201204 花島添削 (2) (5)" xfId="4765"/>
    <cellStyle name="好_商品部年間計画_物流_開発商品(chen)_40期預実（商品部） (3)_新メニュー観察(上海) 201204 花島添削 (2) (5) 2" xfId="59011"/>
    <cellStyle name="好_商品部年間計画_物流_開発商品(chen)_40期預実（商品部） (3)_新メニュー観察(上海) 201204 花島添削 (2) (5) 3" xfId="59012"/>
    <cellStyle name="好_商品部年間計画_物流_開発商品(chen)_40期預実（商品部） (3)_新メニュー観察(上海) 201204 花島添削 (2) (5) 4" xfId="59013"/>
    <cellStyle name="好_商品部年間計画_物流_開発商品(chen)_40期預実（商品部） (3)_新メニュー観察(上海) 201204 花島添削 (2) (5) 5" xfId="59014"/>
    <cellStyle name="好_商品部年間計画_物流_開発商品(chen)_40期預実（商品部） (3)_週新品観察." xfId="4766"/>
    <cellStyle name="好_商品部年間計画_物流_開発商品(chen)_40期預実（商品部） (3)_週新品観察. 2" xfId="59015"/>
    <cellStyle name="好_商品部年間計画_物流_開発商品(chen)_40期預実（商品部） (3)_週新品観察. 3" xfId="59016"/>
    <cellStyle name="好_商品部年間計画_物流_開発商品(chen)_40期預実（商品部） (3)_週新品観察. 4" xfId="59017"/>
    <cellStyle name="好_商品部年間計画_物流_開発商品(chen)_40期預実（商品部） (3)_週新品観察. 5" xfId="59018"/>
    <cellStyle name="好_商品部年間計画_物流_開発商品(chen)_41期事業計画(商品部)" xfId="4767"/>
    <cellStyle name="好_商品部年間計画_物流_開発商品(chen)_41期事業計画(商品部) 2" xfId="4768"/>
    <cellStyle name="好_商品部年間計画_物流_開発商品(chen)_41期事業計画(商品部) 2 2" xfId="59019"/>
    <cellStyle name="好_商品部年間計画_物流_開発商品(chen)_41期事業計画(商品部) 2 3" xfId="59020"/>
    <cellStyle name="好_商品部年間計画_物流_開発商品(chen)_41期事業計画(商品部) 2 4" xfId="59021"/>
    <cellStyle name="好_商品部年間計画_物流_開発商品(chen)_41期事業計画(商品部) 2 5" xfId="59022"/>
    <cellStyle name="好_商品部年間計画_物流_開発商品(chen)_41期事業計画(商品部) 3" xfId="4769"/>
    <cellStyle name="好_商品部年間計画_物流_開発商品(chen)_41期事業計画(商品部) 3 2" xfId="59023"/>
    <cellStyle name="好_商品部年間計画_物流_開発商品(chen)_41期事業計画(商品部) 3 3" xfId="59024"/>
    <cellStyle name="好_商品部年間計画_物流_開発商品(chen)_41期事業計画(商品部) 3 4" xfId="59025"/>
    <cellStyle name="好_商品部年間計画_物流_開発商品(chen)_41期事業計画(商品部) 3 5" xfId="59026"/>
    <cellStyle name="好_商品部年間計画_物流_開発商品(chen)_41期事業計画(商品部) 4" xfId="59027"/>
    <cellStyle name="好_商品部年間計画_物流_開発商品(chen)_41期事業計画(商品部) 5" xfId="59028"/>
    <cellStyle name="好_商品部年間計画_物流_開発商品(chen)_41期事業計画(商品部) 6" xfId="59029"/>
    <cellStyle name="好_商品部年間計画_物流_開発商品(chen)_41期事業計画(商品部) 7" xfId="59030"/>
    <cellStyle name="好_商品部年間計画_物流_開発商品(chen)_CPI" xfId="4770"/>
    <cellStyle name="好_商品部年間計画_物流_開発商品(chen)_CPI 2" xfId="4771"/>
    <cellStyle name="好_商品部年間計画_物流_開発商品(chen)_CPI 2 2" xfId="59031"/>
    <cellStyle name="好_商品部年間計画_物流_開発商品(chen)_CPI 2 3" xfId="59032"/>
    <cellStyle name="好_商品部年間計画_物流_開発商品(chen)_CPI 2 4" xfId="59033"/>
    <cellStyle name="好_商品部年間計画_物流_開発商品(chen)_CPI 2 5" xfId="59034"/>
    <cellStyle name="好_商品部年間計画_物流_開発商品(chen)_CPI 3" xfId="4772"/>
    <cellStyle name="好_商品部年間計画_物流_開発商品(chen)_CPI 3 2" xfId="59035"/>
    <cellStyle name="好_商品部年間計画_物流_開発商品(chen)_CPI 3 3" xfId="59036"/>
    <cellStyle name="好_商品部年間計画_物流_開発商品(chen)_CPI 3 4" xfId="59037"/>
    <cellStyle name="好_商品部年間計画_物流_開発商品(chen)_CPI 3 5" xfId="59038"/>
    <cellStyle name="好_商品部年間計画_物流_開発商品(chen)_CPI 4" xfId="59039"/>
    <cellStyle name="好_商品部年間計画_物流_開発商品(chen)_CPI 5" xfId="59040"/>
    <cellStyle name="好_商品部年間計画_物流_開発商品(chen)_CPI 6" xfId="59041"/>
    <cellStyle name="好_商品部年間計画_物流_開発商品(chen)_CPI 7" xfId="59042"/>
    <cellStyle name="好_商品部年間計画_物流_開発商品(chen)_CPI(1)" xfId="4773"/>
    <cellStyle name="好_商品部年間計画_物流_開発商品(chen)_CPI(1) 2" xfId="59043"/>
    <cellStyle name="好_商品部年間計画_物流_開発商品(chen)_CPI(1) 3" xfId="59044"/>
    <cellStyle name="好_商品部年間計画_物流_開発商品(chen)_CPI(1) 4" xfId="59045"/>
    <cellStyle name="好_商品部年間計画_物流_開発商品(chen)_CPI(1) 5" xfId="59046"/>
    <cellStyle name="好_商品部年間計画_物流_開発商品(chen)_副本40期預実（商品部） (3)" xfId="4774"/>
    <cellStyle name="好_商品部年間計画_物流_開発商品(chen)_副本40期預実（商品部） (3) 2" xfId="4775"/>
    <cellStyle name="好_商品部年間計画_物流_開発商品(chen)_副本40期預実（商品部） (3) 2 2" xfId="59047"/>
    <cellStyle name="好_商品部年間計画_物流_開発商品(chen)_副本40期預実（商品部） (3) 2 3" xfId="59048"/>
    <cellStyle name="好_商品部年間計画_物流_開発商品(chen)_副本40期預実（商品部） (3) 2 4" xfId="59049"/>
    <cellStyle name="好_商品部年間計画_物流_開発商品(chen)_副本40期預実（商品部） (3) 2 5" xfId="59050"/>
    <cellStyle name="好_商品部年間計画_物流_開発商品(chen)_副本40期預実（商品部） (3) 3" xfId="4776"/>
    <cellStyle name="好_商品部年間計画_物流_開発商品(chen)_副本40期預実（商品部） (3) 3 2" xfId="59051"/>
    <cellStyle name="好_商品部年間計画_物流_開発商品(chen)_副本40期預実（商品部） (3) 3 3" xfId="59052"/>
    <cellStyle name="好_商品部年間計画_物流_開発商品(chen)_副本40期預実（商品部） (3) 3 4" xfId="59053"/>
    <cellStyle name="好_商品部年間計画_物流_開発商品(chen)_副本40期預実（商品部） (3) 3 5" xfId="59054"/>
    <cellStyle name="好_商品部年間計画_物流_開発商品(chen)_副本40期預実（商品部） (3) 4" xfId="59055"/>
    <cellStyle name="好_商品部年間計画_物流_開発商品(chen)_副本40期預実（商品部） (3) 5" xfId="59056"/>
    <cellStyle name="好_商品部年間計画_物流_開発商品(chen)_副本40期預実（商品部） (3) 6" xfId="59057"/>
    <cellStyle name="好_商品部年間計画_物流_開発商品(chen)_副本40期預実（商品部） (3) 7" xfId="59058"/>
    <cellStyle name="好_商品部年間計画_物流_開発商品(chen)_副本40期預実（商品部） (3)_201205同業他社比較（商品構成G）" xfId="4777"/>
    <cellStyle name="好_商品部年間計画_物流_開発商品(chen)_副本40期預実（商品部） (3)_201205同業他社比較（商品構成G） 2" xfId="59059"/>
    <cellStyle name="好_商品部年間計画_物流_開発商品(chen)_副本40期預実（商品部） (3)_201205同業他社比較（商品構成G） 3" xfId="59060"/>
    <cellStyle name="好_商品部年間計画_物流_開発商品(chen)_副本40期預実（商品部） (3)_201205同業他社比較（商品構成G） 4" xfId="59061"/>
    <cellStyle name="好_商品部年間計画_物流_開発商品(chen)_副本40期預実（商品部） (3)_副本新メニュー観察(上海) 201204 花島添削 (5)" xfId="4778"/>
    <cellStyle name="好_商品部年間計画_物流_開発商品(chen)_副本40期預実（商品部） (3)_副本新メニュー観察(上海) 201204 花島添削 (5) 2" xfId="59062"/>
    <cellStyle name="好_商品部年間計画_物流_開発商品(chen)_副本40期預実（商品部） (3)_副本新メニュー観察(上海) 201204 花島添削 (5) 3" xfId="59063"/>
    <cellStyle name="好_商品部年間計画_物流_開発商品(chen)_副本40期預実（商品部） (3)_副本新メニュー観察(上海) 201204 花島添削 (5) 4" xfId="59064"/>
    <cellStyle name="好_商品部年間計画_物流_開発商品(chen)_副本40期預実（商品部） (3)_副本新メニュー観察(上海) 201204 花島添削 (5) 5" xfId="59065"/>
    <cellStyle name="好_商品部年間計画_物流_開発商品(chen)_副本40期預実（商品部） (3)_新メニュー観察(上海) 201204 花島添削 (2) (5)" xfId="4779"/>
    <cellStyle name="好_商品部年間計画_物流_開発商品(chen)_副本40期預実（商品部） (3)_新メニュー観察(上海) 201204 花島添削 (2) (5) 2" xfId="59066"/>
    <cellStyle name="好_商品部年間計画_物流_開発商品(chen)_副本40期預実（商品部） (3)_新メニュー観察(上海) 201204 花島添削 (2) (5) 3" xfId="59067"/>
    <cellStyle name="好_商品部年間計画_物流_開発商品(chen)_副本40期預実（商品部） (3)_新メニュー観察(上海) 201204 花島添削 (2) (5) 4" xfId="59068"/>
    <cellStyle name="好_商品部年間計画_物流_開発商品(chen)_副本40期預実（商品部） (3)_新メニュー観察(上海) 201204 花島添削 (2) (5) 5" xfId="59069"/>
    <cellStyle name="好_商品部年間計画_物流_開発商品(chen)_副本40期預実（商品部） (3)_週新品観察." xfId="4780"/>
    <cellStyle name="好_商品部年間計画_物流_開発商品(chen)_副本40期預実（商品部） (3)_週新品観察. 2" xfId="59070"/>
    <cellStyle name="好_商品部年間計画_物流_開発商品(chen)_副本40期預実（商品部） (3)_週新品観察. 3" xfId="59071"/>
    <cellStyle name="好_商品部年間計画_物流_開発商品(chen)_副本40期預実（商品部） (3)_週新品観察. 4" xfId="59072"/>
    <cellStyle name="好_商品部年間計画_物流_開発商品(chen)_副本40期預実（商品部） (3)_週新品観察. 5" xfId="59073"/>
    <cellStyle name="好_商品部年間計画_物流_開発商品(chen)_副本41期事業計画商品部（備品） (2) (2)" xfId="4781"/>
    <cellStyle name="好_商品部年間計画_物流_開発商品(chen)_副本41期事業計画商品部（備品） (2) (2) 2" xfId="4782"/>
    <cellStyle name="好_商品部年間計画_物流_開発商品(chen)_副本41期事業計画商品部（備品） (2) (2) 2 2" xfId="59074"/>
    <cellStyle name="好_商品部年間計画_物流_開発商品(chen)_副本41期事業計画商品部（備品） (2) (2) 2 3" xfId="59075"/>
    <cellStyle name="好_商品部年間計画_物流_開発商品(chen)_副本41期事業計画商品部（備品） (2) (2) 2 4" xfId="59076"/>
    <cellStyle name="好_商品部年間計画_物流_開発商品(chen)_副本41期事業計画商品部（備品） (2) (2) 2 5" xfId="59077"/>
    <cellStyle name="好_商品部年間計画_物流_開発商品(chen)_副本41期事業計画商品部（備品） (2) (2) 3" xfId="4783"/>
    <cellStyle name="好_商品部年間計画_物流_開発商品(chen)_副本41期事業計画商品部（備品） (2) (2) 3 2" xfId="59078"/>
    <cellStyle name="好_商品部年間計画_物流_開発商品(chen)_副本41期事業計画商品部（備品） (2) (2) 3 3" xfId="59079"/>
    <cellStyle name="好_商品部年間計画_物流_開発商品(chen)_副本41期事業計画商品部（備品） (2) (2) 3 4" xfId="59080"/>
    <cellStyle name="好_商品部年間計画_物流_開発商品(chen)_副本41期事業計画商品部（備品） (2) (2) 3 5" xfId="59081"/>
    <cellStyle name="好_商品部年間計画_物流_開発商品(chen)_副本41期事業計画商品部（備品） (2) (2) 4" xfId="59082"/>
    <cellStyle name="好_商品部年間計画_物流_開発商品(chen)_副本41期事業計画商品部（備品） (2) (2) 5" xfId="59083"/>
    <cellStyle name="好_商品部年間計画_物流_開発商品(chen)_副本41期事業計画商品部（備品） (2) (2) 6" xfId="59084"/>
    <cellStyle name="好_商品部年間計画_物流_開発商品(chen)_副本41期事業計画商品部（備品） (2) (2) 7" xfId="59085"/>
    <cellStyle name="好_商品部年間計画_物流_開発商品(chen)_副本新メニュー観察(上海) 201204 花島添削 (5)" xfId="4784"/>
    <cellStyle name="好_商品部年間計画_物流_開発商品(chen)_副本新メニュー観察(上海) 201204 花島添削 (5) 2" xfId="59086"/>
    <cellStyle name="好_商品部年間計画_物流_開発商品(chen)_副本新メニュー観察(上海) 201204 花島添削 (5) 3" xfId="59087"/>
    <cellStyle name="好_商品部年間計画_物流_開発商品(chen)_副本新メニュー観察(上海) 201204 花島添削 (5) 4" xfId="59088"/>
    <cellStyle name="好_商品部年間計画_物流_開発商品(chen)_副本新メニュー観察(上海) 201204 花島添削 (5) 5" xfId="59089"/>
    <cellStyle name="好_商品部年間計画_物流_開発商品(chen)_新メニュー観察(上海) 201204 花島添削 (2) (5)" xfId="4785"/>
    <cellStyle name="好_商品部年間計画_物流_開発商品(chen)_新メニュー観察(上海) 201204 花島添削 (2) (5) 2" xfId="59090"/>
    <cellStyle name="好_商品部年間計画_物流_開発商品(chen)_新メニュー観察(上海) 201204 花島添削 (2) (5) 3" xfId="59091"/>
    <cellStyle name="好_商品部年間計画_物流_開発商品(chen)_新メニュー観察(上海) 201204 花島添削 (2) (5) 4" xfId="59092"/>
    <cellStyle name="好_商品部年間計画_物流_開発商品(chen)_新メニュー観察(上海) 201204 花島添削 (2) (5) 5" xfId="59093"/>
    <cellStyle name="好_商品部年間計画_物流_開発商品(chen)_週新品観察." xfId="4786"/>
    <cellStyle name="好_商品部年間計画_物流_開発商品(chen)_週新品観察. 2" xfId="59094"/>
    <cellStyle name="好_商品部年間計画_物流_開発商品(chen)_週新品観察. 3" xfId="59095"/>
    <cellStyle name="好_商品部年間計画_物流_開発商品(chen)_週新品観察. 4" xfId="59096"/>
    <cellStyle name="好_商品部年間計画_物流_開発商品(chen)_週新品観察. 5" xfId="59097"/>
    <cellStyle name="好_商品部年間計画_物流_新メニュー観察(上海) 201204 花島添削 (2) (5)" xfId="4787"/>
    <cellStyle name="好_商品部年間計画_物流_新メニュー観察(上海) 201204 花島添削 (2) (5) 2" xfId="59098"/>
    <cellStyle name="好_商品部年間計画_物流_新メニュー観察(上海) 201204 花島添削 (2) (5) 3" xfId="59099"/>
    <cellStyle name="好_商品部年間計画_物流_新メニュー観察(上海) 201204 花島添削 (2) (5) 4" xfId="59100"/>
    <cellStyle name="好_商品部年間計画_物流_新メニュー観察(上海) 201204 花島添削 (2) (5) 5" xfId="59101"/>
    <cellStyle name="好_商品部年間計画_物流_週新品観察." xfId="4788"/>
    <cellStyle name="好_商品部年間計画_物流_週新品観察. 2" xfId="59102"/>
    <cellStyle name="好_商品部年間計画_物流_週新品観察. 3" xfId="59103"/>
    <cellStyle name="好_商品部年間計画_物流_週新品観察. 4" xfId="59104"/>
    <cellStyle name="好_商品部年間計画_物流_週新品観察. 5" xfId="59105"/>
    <cellStyle name="好_商品部年間計画_新メニュー実績" xfId="4789"/>
    <cellStyle name="好_商品部年間計画_新メニュー実績 2" xfId="59106"/>
    <cellStyle name="好_商品部年間計画_新メニュー実績 3" xfId="59107"/>
    <cellStyle name="好_商品部年間計画_新メニュー実績 4" xfId="59108"/>
    <cellStyle name="好_商品部年間計画_新メニュー実績 5" xfId="59109"/>
    <cellStyle name="好_商品部年間計画_新メニュー実績_副本新メニュー観察(上海) 201204 花島添削 (5)" xfId="4790"/>
    <cellStyle name="好_商品部年間計画_新メニュー実績_副本新メニュー観察(上海) 201204 花島添削 (5) 2" xfId="59110"/>
    <cellStyle name="好_商品部年間計画_新メニュー実績_副本新メニュー観察(上海) 201204 花島添削 (5) 3" xfId="59111"/>
    <cellStyle name="好_商品部年間計画_新メニュー実績_副本新メニュー観察(上海) 201204 花島添削 (5) 4" xfId="59112"/>
    <cellStyle name="好_商品部年間計画_新メニュー実績_副本新メニュー観察(上海) 201204 花島添削 (5) 5" xfId="59113"/>
    <cellStyle name="好_商品部年間計画_新メニュー実績_新メニュー観察(上海) 201204 花島添削 (2) (5)" xfId="4791"/>
    <cellStyle name="好_商品部年間計画_新メニュー実績_新メニュー観察(上海) 201204 花島添削 (2) (5) 2" xfId="59114"/>
    <cellStyle name="好_商品部年間計画_新メニュー実績_新メニュー観察(上海) 201204 花島添削 (2) (5) 3" xfId="59115"/>
    <cellStyle name="好_商品部年間計画_新メニュー実績_新メニュー観察(上海) 201204 花島添削 (2) (5) 4" xfId="59116"/>
    <cellStyle name="好_商品部年間計画_新メニュー実績_新メニュー観察(上海) 201204 花島添削 (2) (5) 5" xfId="59117"/>
    <cellStyle name="好_商品計画2011年 (2)" xfId="4792"/>
    <cellStyle name="好_商品計画2011年 (2) 2" xfId="4793"/>
    <cellStyle name="好_商品計画2011年 (2) 2 2" xfId="4794"/>
    <cellStyle name="好_商品計画2011年 (2) 2 3" xfId="59118"/>
    <cellStyle name="好_商品計画2011年 (2) 2 4" xfId="59119"/>
    <cellStyle name="好_商品計画2011年 (2) 2 5" xfId="59120"/>
    <cellStyle name="好_商品計画2011年 (2) 3" xfId="4795"/>
    <cellStyle name="好_商品計画2011年 (2) 3 2" xfId="4796"/>
    <cellStyle name="好_商品計画2011年 (2) 3 3" xfId="59121"/>
    <cellStyle name="好_商品計画2011年 (2) 3 4" xfId="59122"/>
    <cellStyle name="好_商品計画2011年 (2) 3 5" xfId="59123"/>
    <cellStyle name="好_商品計画2011年 (2) 4" xfId="4797"/>
    <cellStyle name="好_商品計画2011年 (2) 5" xfId="59124"/>
    <cellStyle name="好_商品計画2011年 (2) 6" xfId="59125"/>
    <cellStyle name="好_商品計画2011年 (2) 7" xfId="59126"/>
    <cellStyle name="好_商品計画2011年 (2)_201205同業他社比較（商品構成G）" xfId="4798"/>
    <cellStyle name="好_商品計画2011年 (2)_201205同業他社比較（商品構成G） 2" xfId="4799"/>
    <cellStyle name="好_商品計画2011年 (2)_201205同業他社比較（商品構成G） 3" xfId="59127"/>
    <cellStyle name="好_商品計画2011年 (2)_201205同業他社比較（商品構成G） 4" xfId="59128"/>
    <cellStyle name="好_商品計画2011年 (2)_201205同業他社比較（商品構成G） 5" xfId="59129"/>
    <cellStyle name="好_商品計画2011年 (2)_Sheet1" xfId="4800"/>
    <cellStyle name="好_商品計画2011年 (2)_Sheet1 2" xfId="4801"/>
    <cellStyle name="好_商品計画2011年 (2)_Sheet1 3" xfId="59130"/>
    <cellStyle name="好_商品計画2011年 (2)_Sheet1 4" xfId="59131"/>
    <cellStyle name="好_商品計画2011年 (2)_Sheet1 5" xfId="59132"/>
    <cellStyle name="好_商品計画2011年 (2)_Xl0000173" xfId="4802"/>
    <cellStyle name="好_商品計画2011年 (2)_Xl0000173 2" xfId="4803"/>
    <cellStyle name="好_商品計画2011年 (2)_Xl0000173 3" xfId="59133"/>
    <cellStyle name="好_商品計画2011年 (2)_Xl0000173 4" xfId="59134"/>
    <cellStyle name="好_商品計画2011年 (2)_Xl0000173 5" xfId="59135"/>
    <cellStyle name="好_商品計画2011年 (2)_儊僯儏乕娤嶡(2-1)" xfId="4804"/>
    <cellStyle name="好_商品計画2011年 (2)_儊僯儏乕娤嶡(2-1) 2" xfId="4805"/>
    <cellStyle name="好_商品計画2011年 (2)_儊僯儏乕娤嶡(2-1) 3" xfId="59136"/>
    <cellStyle name="好_商品計画2011年 (2)_儊僯儏乕娤嶡(2-1) 4" xfId="59137"/>
    <cellStyle name="好_商品計画2011年 (2)_儊僯儏乕娤嶡(2-1) 5" xfId="59138"/>
    <cellStyle name="好_商品計画2011年 (2)_儊僯儏乕娤嶡(2-1)_副本新メニュー観察(上海) 201204 花島添削 (5)" xfId="4806"/>
    <cellStyle name="好_商品計画2011年 (2)_儊僯儏乕娤嶡(2-1)_副本新メニュー観察(上海) 201204 花島添削 (5) 2" xfId="4807"/>
    <cellStyle name="好_商品計画2011年 (2)_儊僯儏乕娤嶡(2-1)_副本新メニュー観察(上海) 201204 花島添削 (5) 3" xfId="59139"/>
    <cellStyle name="好_商品計画2011年 (2)_儊僯儏乕娤嶡(2-1)_副本新メニュー観察(上海) 201204 花島添削 (5) 4" xfId="59140"/>
    <cellStyle name="好_商品計画2011年 (2)_儊僯儏乕娤嶡(2-1)_副本新メニュー観察(上海) 201204 花島添削 (5) 5" xfId="59141"/>
    <cellStyle name="好_商品計画2011年 (2)_儊僯儏乕娤嶡(2-1)_新メニュー観察(上海) 201204 花島添削 (2) (5)" xfId="4808"/>
    <cellStyle name="好_商品計画2011年 (2)_儊僯儏乕娤嶡(2-1)_新メニュー観察(上海) 201204 花島添削 (2) (5) 2" xfId="4809"/>
    <cellStyle name="好_商品計画2011年 (2)_儊僯儏乕娤嶡(2-1)_新メニュー観察(上海) 201204 花島添削 (2) (5) 3" xfId="59142"/>
    <cellStyle name="好_商品計画2011年 (2)_儊僯儏乕娤嶡(2-1)_新メニュー観察(上海) 201204 花島添削 (2) (5) 4" xfId="59143"/>
    <cellStyle name="好_商品計画2011年 (2)_儊僯儏乕娤嶡(2-1)_新メニュー観察(上海) 201204 花島添削 (2) (5) 5" xfId="59144"/>
    <cellStyle name="好_商品計画2011年 (2)_儊僯儏乕娤嶡(2-2乯" xfId="4810"/>
    <cellStyle name="好_商品計画2011年 (2)_儊僯儏乕娤嶡(2-2乯 2" xfId="4811"/>
    <cellStyle name="好_商品計画2011年 (2)_儊僯儏乕娤嶡(2-2乯 3" xfId="59145"/>
    <cellStyle name="好_商品計画2011年 (2)_儊僯儏乕娤嶡(2-2乯 4" xfId="59146"/>
    <cellStyle name="好_商品計画2011年 (2)_儊僯儏乕娤嶡(2-2乯 5" xfId="59147"/>
    <cellStyle name="好_商品計画2011年 (2)_副本新メニュー観察(上海) 201204 花島添削 (5)" xfId="4812"/>
    <cellStyle name="好_商品計画2011年 (2)_副本新メニュー観察(上海) 201204 花島添削 (5) 2" xfId="4813"/>
    <cellStyle name="好_商品計画2011年 (2)_副本新メニュー観察(上海) 201204 花島添削 (5) 3" xfId="59148"/>
    <cellStyle name="好_商品計画2011年 (2)_副本新メニュー観察(上海) 201204 花島添削 (5) 4" xfId="59149"/>
    <cellStyle name="好_商品計画2011年 (2)_副本新メニュー観察(上海) 201204 花島添削 (5) 5" xfId="59150"/>
    <cellStyle name="好_商品計画2011年 (2)_物流" xfId="4814"/>
    <cellStyle name="好_商品計画2011年 (2)_物流 2" xfId="4815"/>
    <cellStyle name="好_商品計画2011年 (2)_物流 2 2" xfId="4816"/>
    <cellStyle name="好_商品計画2011年 (2)_物流 2 3" xfId="59151"/>
    <cellStyle name="好_商品計画2011年 (2)_物流 2 4" xfId="59152"/>
    <cellStyle name="好_商品計画2011年 (2)_物流 2 5" xfId="59153"/>
    <cellStyle name="好_商品計画2011年 (2)_物流 3" xfId="4817"/>
    <cellStyle name="好_商品計画2011年 (2)_物流 3 2" xfId="4818"/>
    <cellStyle name="好_商品計画2011年 (2)_物流 3 3" xfId="59154"/>
    <cellStyle name="好_商品計画2011年 (2)_物流 3 4" xfId="59155"/>
    <cellStyle name="好_商品計画2011年 (2)_物流 3 5" xfId="59156"/>
    <cellStyle name="好_商品計画2011年 (2)_物流 4" xfId="4819"/>
    <cellStyle name="好_商品計画2011年 (2)_物流 5" xfId="59157"/>
    <cellStyle name="好_商品計画2011年 (2)_物流 6" xfId="59158"/>
    <cellStyle name="好_商品計画2011年 (2)_物流 7" xfId="59159"/>
    <cellStyle name="好_商品計画2011年 (2)_物流_開発商品(chen)" xfId="4820"/>
    <cellStyle name="好_商品計画2011年 (2)_物流_開発商品(chen) 2" xfId="4821"/>
    <cellStyle name="好_商品計画2011年 (2)_物流_開発商品(chen) 2 2" xfId="4822"/>
    <cellStyle name="好_商品計画2011年 (2)_物流_開発商品(chen) 2 3" xfId="59160"/>
    <cellStyle name="好_商品計画2011年 (2)_物流_開発商品(chen) 2 4" xfId="59161"/>
    <cellStyle name="好_商品計画2011年 (2)_物流_開発商品(chen) 2 5" xfId="59162"/>
    <cellStyle name="好_商品計画2011年 (2)_物流_開発商品(chen) 3" xfId="4823"/>
    <cellStyle name="好_商品計画2011年 (2)_物流_開発商品(chen) 3 2" xfId="4824"/>
    <cellStyle name="好_商品計画2011年 (2)_物流_開発商品(chen) 3 3" xfId="59163"/>
    <cellStyle name="好_商品計画2011年 (2)_物流_開発商品(chen) 3 4" xfId="59164"/>
    <cellStyle name="好_商品計画2011年 (2)_物流_開発商品(chen) 3 5" xfId="59165"/>
    <cellStyle name="好_商品計画2011年 (2)_物流_開発商品(chen) 4" xfId="4825"/>
    <cellStyle name="好_商品計画2011年 (2)_物流_開発商品(chen) 5" xfId="59166"/>
    <cellStyle name="好_商品計画2011年 (2)_物流_開発商品(chen) 6" xfId="59167"/>
    <cellStyle name="好_商品計画2011年 (2)_物流_開発商品(chen) 7" xfId="59168"/>
    <cellStyle name="好_商品計画2011年 (2)_物流_開発商品(chen)_40期事業計画（商品部）  (3)" xfId="4826"/>
    <cellStyle name="好_商品計画2011年 (2)_物流_開発商品(chen)_40期事業計画（商品部）  (3) 2" xfId="4827"/>
    <cellStyle name="好_商品計画2011年 (2)_物流_開発商品(chen)_40期事業計画（商品部）  (3) 3" xfId="59169"/>
    <cellStyle name="好_商品計画2011年 (2)_物流_開発商品(chen)_40期事業計画（商品部）  (3) 4" xfId="59170"/>
    <cellStyle name="好_商品計画2011年 (2)_物流_開発商品(chen)_40期事業計画（商品部）  (3) 5" xfId="59171"/>
    <cellStyle name="好_商品計画2011年 (2)_物流_開発商品(chen)_40期事業計画（商品部1）" xfId="4828"/>
    <cellStyle name="好_商品計画2011年 (2)_物流_開発商品(chen)_40期事業計画（商品部1） 2" xfId="4829"/>
    <cellStyle name="好_商品計画2011年 (2)_物流_開発商品(chen)_40期事業計画（商品部1） 2 2" xfId="4830"/>
    <cellStyle name="好_商品計画2011年 (2)_物流_開発商品(chen)_40期事業計画（商品部1） 2 3" xfId="59172"/>
    <cellStyle name="好_商品計画2011年 (2)_物流_開発商品(chen)_40期事業計画（商品部1） 2 4" xfId="59173"/>
    <cellStyle name="好_商品計画2011年 (2)_物流_開発商品(chen)_40期事業計画（商品部1） 2 5" xfId="59174"/>
    <cellStyle name="好_商品計画2011年 (2)_物流_開発商品(chen)_40期事業計画（商品部1） 3" xfId="4831"/>
    <cellStyle name="好_商品計画2011年 (2)_物流_開発商品(chen)_40期事業計画（商品部1） 3 2" xfId="4832"/>
    <cellStyle name="好_商品計画2011年 (2)_物流_開発商品(chen)_40期事業計画（商品部1） 3 3" xfId="59175"/>
    <cellStyle name="好_商品計画2011年 (2)_物流_開発商品(chen)_40期事業計画（商品部1） 3 4" xfId="59176"/>
    <cellStyle name="好_商品計画2011年 (2)_物流_開発商品(chen)_40期事業計画（商品部1） 3 5" xfId="59177"/>
    <cellStyle name="好_商品計画2011年 (2)_物流_開発商品(chen)_40期事業計画（商品部1） 4" xfId="4833"/>
    <cellStyle name="好_商品計画2011年 (2)_物流_開発商品(chen)_40期事業計画（商品部1） 5" xfId="59178"/>
    <cellStyle name="好_商品計画2011年 (2)_物流_開発商品(chen)_40期事業計画（商品部1） 6" xfId="59179"/>
    <cellStyle name="好_商品計画2011年 (2)_物流_開発商品(chen)_40期事業計画（商品部1） 7" xfId="59180"/>
    <cellStyle name="好_商品計画2011年 (2)_物流_開発商品(chen)_40期預実（商品部） (3)" xfId="4834"/>
    <cellStyle name="好_商品計画2011年 (2)_物流_開発商品(chen)_40期預実（商品部） (3) 2" xfId="4835"/>
    <cellStyle name="好_商品計画2011年 (2)_物流_開発商品(chen)_40期預実（商品部） (3) 2 2" xfId="4836"/>
    <cellStyle name="好_商品計画2011年 (2)_物流_開発商品(chen)_40期預実（商品部） (3) 2 3" xfId="59181"/>
    <cellStyle name="好_商品計画2011年 (2)_物流_開発商品(chen)_40期預実（商品部） (3) 2 4" xfId="59182"/>
    <cellStyle name="好_商品計画2011年 (2)_物流_開発商品(chen)_40期預実（商品部） (3) 2 5" xfId="59183"/>
    <cellStyle name="好_商品計画2011年 (2)_物流_開発商品(chen)_40期預実（商品部） (3) 3" xfId="4837"/>
    <cellStyle name="好_商品計画2011年 (2)_物流_開発商品(chen)_40期預実（商品部） (3) 3 2" xfId="4838"/>
    <cellStyle name="好_商品計画2011年 (2)_物流_開発商品(chen)_40期預実（商品部） (3) 3 3" xfId="59184"/>
    <cellStyle name="好_商品計画2011年 (2)_物流_開発商品(chen)_40期預実（商品部） (3) 3 4" xfId="59185"/>
    <cellStyle name="好_商品計画2011年 (2)_物流_開発商品(chen)_40期預実（商品部） (3) 3 5" xfId="59186"/>
    <cellStyle name="好_商品計画2011年 (2)_物流_開発商品(chen)_40期預実（商品部） (3) 4" xfId="4839"/>
    <cellStyle name="好_商品計画2011年 (2)_物流_開発商品(chen)_40期預実（商品部） (3) 5" xfId="59187"/>
    <cellStyle name="好_商品計画2011年 (2)_物流_開発商品(chen)_40期預実（商品部） (3) 6" xfId="59188"/>
    <cellStyle name="好_商品計画2011年 (2)_物流_開発商品(chen)_40期預実（商品部） (3) 7" xfId="59189"/>
    <cellStyle name="好_商品計画2011年 (2)_物流_開発商品(chen)_41期事業計画(商品部)" xfId="4840"/>
    <cellStyle name="好_商品計画2011年 (2)_物流_開発商品(chen)_41期事業計画(商品部) 2" xfId="4841"/>
    <cellStyle name="好_商品計画2011年 (2)_物流_開発商品(chen)_41期事業計画(商品部) 2 2" xfId="4842"/>
    <cellStyle name="好_商品計画2011年 (2)_物流_開発商品(chen)_41期事業計画(商品部) 2 3" xfId="59190"/>
    <cellStyle name="好_商品計画2011年 (2)_物流_開発商品(chen)_41期事業計画(商品部) 2 4" xfId="59191"/>
    <cellStyle name="好_商品計画2011年 (2)_物流_開発商品(chen)_41期事業計画(商品部) 2 5" xfId="59192"/>
    <cellStyle name="好_商品計画2011年 (2)_物流_開発商品(chen)_41期事業計画(商品部) 3" xfId="4843"/>
    <cellStyle name="好_商品計画2011年 (2)_物流_開発商品(chen)_41期事業計画(商品部) 3 2" xfId="4844"/>
    <cellStyle name="好_商品計画2011年 (2)_物流_開発商品(chen)_41期事業計画(商品部) 3 3" xfId="59193"/>
    <cellStyle name="好_商品計画2011年 (2)_物流_開発商品(chen)_41期事業計画(商品部) 3 4" xfId="59194"/>
    <cellStyle name="好_商品計画2011年 (2)_物流_開発商品(chen)_41期事業計画(商品部) 3 5" xfId="59195"/>
    <cellStyle name="好_商品計画2011年 (2)_物流_開発商品(chen)_41期事業計画(商品部) 4" xfId="4845"/>
    <cellStyle name="好_商品計画2011年 (2)_物流_開発商品(chen)_41期事業計画(商品部) 5" xfId="59196"/>
    <cellStyle name="好_商品計画2011年 (2)_物流_開発商品(chen)_41期事業計画(商品部) 6" xfId="59197"/>
    <cellStyle name="好_商品計画2011年 (2)_物流_開発商品(chen)_41期事業計画(商品部) 7" xfId="59198"/>
    <cellStyle name="好_商品計画2011年 (2)_物流_開発商品(chen)_CPI" xfId="4846"/>
    <cellStyle name="好_商品計画2011年 (2)_物流_開発商品(chen)_CPI 2" xfId="4847"/>
    <cellStyle name="好_商品計画2011年 (2)_物流_開発商品(chen)_CPI 2 2" xfId="4848"/>
    <cellStyle name="好_商品計画2011年 (2)_物流_開発商品(chen)_CPI 2 3" xfId="59199"/>
    <cellStyle name="好_商品計画2011年 (2)_物流_開発商品(chen)_CPI 2 4" xfId="59200"/>
    <cellStyle name="好_商品計画2011年 (2)_物流_開発商品(chen)_CPI 2 5" xfId="59201"/>
    <cellStyle name="好_商品計画2011年 (2)_物流_開発商品(chen)_CPI 3" xfId="4849"/>
    <cellStyle name="好_商品計画2011年 (2)_物流_開発商品(chen)_CPI 3 2" xfId="4850"/>
    <cellStyle name="好_商品計画2011年 (2)_物流_開発商品(chen)_CPI 3 3" xfId="59202"/>
    <cellStyle name="好_商品計画2011年 (2)_物流_開発商品(chen)_CPI 3 4" xfId="59203"/>
    <cellStyle name="好_商品計画2011年 (2)_物流_開発商品(chen)_CPI 3 5" xfId="59204"/>
    <cellStyle name="好_商品計画2011年 (2)_物流_開発商品(chen)_CPI 4" xfId="4851"/>
    <cellStyle name="好_商品計画2011年 (2)_物流_開発商品(chen)_CPI 5" xfId="59205"/>
    <cellStyle name="好_商品計画2011年 (2)_物流_開発商品(chen)_CPI 6" xfId="59206"/>
    <cellStyle name="好_商品計画2011年 (2)_物流_開発商品(chen)_CPI 7" xfId="59207"/>
    <cellStyle name="好_商品計画2011年 (2)_物流_開発商品(chen)_CPI(1)" xfId="4852"/>
    <cellStyle name="好_商品計画2011年 (2)_物流_開発商品(chen)_CPI(1) 2" xfId="4853"/>
    <cellStyle name="好_商品計画2011年 (2)_物流_開発商品(chen)_CPI(1) 3" xfId="59208"/>
    <cellStyle name="好_商品計画2011年 (2)_物流_開発商品(chen)_CPI(1) 4" xfId="59209"/>
    <cellStyle name="好_商品計画2011年 (2)_物流_開発商品(chen)_CPI(1) 5" xfId="59210"/>
    <cellStyle name="好_商品計画2011年 (2)_物流_開発商品(chen)_副本40期預実（商品部） (3)" xfId="4854"/>
    <cellStyle name="好_商品計画2011年 (2)_物流_開発商品(chen)_副本40期預実（商品部） (3) 2" xfId="4855"/>
    <cellStyle name="好_商品計画2011年 (2)_物流_開発商品(chen)_副本40期預実（商品部） (3) 2 2" xfId="4856"/>
    <cellStyle name="好_商品計画2011年 (2)_物流_開発商品(chen)_副本40期預実（商品部） (3) 2 3" xfId="59211"/>
    <cellStyle name="好_商品計画2011年 (2)_物流_開発商品(chen)_副本40期預実（商品部） (3) 2 4" xfId="59212"/>
    <cellStyle name="好_商品計画2011年 (2)_物流_開発商品(chen)_副本40期預実（商品部） (3) 2 5" xfId="59213"/>
    <cellStyle name="好_商品計画2011年 (2)_物流_開発商品(chen)_副本40期預実（商品部） (3) 3" xfId="4857"/>
    <cellStyle name="好_商品計画2011年 (2)_物流_開発商品(chen)_副本40期預実（商品部） (3) 3 2" xfId="4858"/>
    <cellStyle name="好_商品計画2011年 (2)_物流_開発商品(chen)_副本40期預実（商品部） (3) 3 3" xfId="59214"/>
    <cellStyle name="好_商品計画2011年 (2)_物流_開発商品(chen)_副本40期預実（商品部） (3) 3 4" xfId="59215"/>
    <cellStyle name="好_商品計画2011年 (2)_物流_開発商品(chen)_副本40期預実（商品部） (3) 3 5" xfId="59216"/>
    <cellStyle name="好_商品計画2011年 (2)_物流_開発商品(chen)_副本40期預実（商品部） (3) 4" xfId="4859"/>
    <cellStyle name="好_商品計画2011年 (2)_物流_開発商品(chen)_副本40期預実（商品部） (3) 5" xfId="59217"/>
    <cellStyle name="好_商品計画2011年 (2)_物流_開発商品(chen)_副本40期預実（商品部） (3) 6" xfId="59218"/>
    <cellStyle name="好_商品計画2011年 (2)_物流_開発商品(chen)_副本40期預実（商品部） (3) 7" xfId="59219"/>
    <cellStyle name="好_商品計画2011年 (2)_物流_開発商品(chen)_副本41期事業計画商品部（備品） (2) (2)" xfId="4860"/>
    <cellStyle name="好_商品計画2011年 (2)_物流_開発商品(chen)_副本41期事業計画商品部（備品） (2) (2) 2" xfId="4861"/>
    <cellStyle name="好_商品計画2011年 (2)_物流_開発商品(chen)_副本41期事業計画商品部（備品） (2) (2) 2 2" xfId="4862"/>
    <cellStyle name="好_商品計画2011年 (2)_物流_開発商品(chen)_副本41期事業計画商品部（備品） (2) (2) 2 3" xfId="59220"/>
    <cellStyle name="好_商品計画2011年 (2)_物流_開発商品(chen)_副本41期事業計画商品部（備品） (2) (2) 2 4" xfId="59221"/>
    <cellStyle name="好_商品計画2011年 (2)_物流_開発商品(chen)_副本41期事業計画商品部（備品） (2) (2) 2 5" xfId="59222"/>
    <cellStyle name="好_商品計画2011年 (2)_物流_開発商品(chen)_副本41期事業計画商品部（備品） (2) (2) 3" xfId="4863"/>
    <cellStyle name="好_商品計画2011年 (2)_物流_開発商品(chen)_副本41期事業計画商品部（備品） (2) (2) 3 2" xfId="4864"/>
    <cellStyle name="好_商品計画2011年 (2)_物流_開発商品(chen)_副本41期事業計画商品部（備品） (2) (2) 3 3" xfId="59223"/>
    <cellStyle name="好_商品計画2011年 (2)_物流_開発商品(chen)_副本41期事業計画商品部（備品） (2) (2) 3 4" xfId="59224"/>
    <cellStyle name="好_商品計画2011年 (2)_物流_開発商品(chen)_副本41期事業計画商品部（備品） (2) (2) 3 5" xfId="59225"/>
    <cellStyle name="好_商品計画2011年 (2)_物流_開発商品(chen)_副本41期事業計画商品部（備品） (2) (2) 4" xfId="4865"/>
    <cellStyle name="好_商品計画2011年 (2)_物流_開発商品(chen)_副本41期事業計画商品部（備品） (2) (2) 5" xfId="59226"/>
    <cellStyle name="好_商品計画2011年 (2)_物流_開発商品(chen)_副本41期事業計画商品部（備品） (2) (2) 6" xfId="59227"/>
    <cellStyle name="好_商品計画2011年 (2)_物流_開発商品(chen)_副本41期事業計画商品部（備品） (2) (2) 7" xfId="59228"/>
    <cellStyle name="好_商品計画2011年 (2)_新メニュー観察(上海) 201204 花島添削 (2) (5)" xfId="4866"/>
    <cellStyle name="好_商品計画2011年 (2)_新メニュー観察(上海) 201204 花島添削 (2) (5) 2" xfId="4867"/>
    <cellStyle name="好_商品計画2011年 (2)_新メニュー観察(上海) 201204 花島添削 (2) (5) 3" xfId="59229"/>
    <cellStyle name="好_商品計画2011年 (2)_新メニュー観察(上海) 201204 花島添削 (2) (5) 4" xfId="59230"/>
    <cellStyle name="好_商品計画2011年 (2)_新メニュー観察(上海) 201204 花島添削 (2) (5) 5" xfId="59231"/>
    <cellStyle name="好_商品計画2011年 (2)_新メニュー実績" xfId="4868"/>
    <cellStyle name="好_商品計画2011年 (2)_新メニュー実績 2" xfId="4869"/>
    <cellStyle name="好_商品計画2011年 (2)_新メニュー実績 3" xfId="59232"/>
    <cellStyle name="好_商品計画2011年 (2)_新メニュー実績 4" xfId="59233"/>
    <cellStyle name="好_商品計画2011年 (2)_新メニュー実績 5" xfId="59234"/>
    <cellStyle name="好_商品計画2011年 (2)_週新品観察." xfId="4870"/>
    <cellStyle name="好_商品計画2011年 (2)_週新品観察. 2" xfId="4871"/>
    <cellStyle name="好_商品計画2011年 (2)_週新品観察. 3" xfId="59235"/>
    <cellStyle name="好_商品計画2011年 (2)_週新品観察. 4" xfId="59236"/>
    <cellStyle name="好_商品計画2011年 (2)_週新品観察. 5" xfId="59237"/>
    <cellStyle name="好_试食评价表" xfId="4872"/>
    <cellStyle name="好_试食评价表 2" xfId="4873"/>
    <cellStyle name="好_试食评价表 2 2" xfId="59238"/>
    <cellStyle name="好_试食评价表 2 3" xfId="59239"/>
    <cellStyle name="好_试食评价表 2 4" xfId="59240"/>
    <cellStyle name="好_试食评价表 2 5" xfId="59241"/>
    <cellStyle name="好_试食评价表 3" xfId="4874"/>
    <cellStyle name="好_试食评价表 3 2" xfId="59242"/>
    <cellStyle name="好_试食评价表 3 3" xfId="59243"/>
    <cellStyle name="好_试食评价表 3 4" xfId="59244"/>
    <cellStyle name="好_试食评价表 3 5" xfId="59245"/>
    <cellStyle name="好_试食评价表 4" xfId="59246"/>
    <cellStyle name="好_试食评价表 5" xfId="59247"/>
    <cellStyle name="好_试食评价表 6" xfId="59248"/>
    <cellStyle name="好_试食评价表 7" xfId="59249"/>
    <cellStyle name="好_试食评价表_201205同業他社比較（商品構成G）" xfId="4875"/>
    <cellStyle name="好_试食评价表_201205同業他社比較（商品構成G） 2" xfId="59250"/>
    <cellStyle name="好_试食评价表_201205同業他社比較（商品構成G） 3" xfId="59251"/>
    <cellStyle name="好_试食评价表_201205同業他社比較（商品構成G） 4" xfId="59252"/>
    <cellStyle name="好_试食评价表_201205同業他社比較（商品構成G） 5" xfId="59253"/>
    <cellStyle name="好_试食评价表_201205同業他社比較（商品構成G）_副本新メニュー観察(上海) 201204 花島添削 (5)" xfId="4876"/>
    <cellStyle name="好_试食评价表_201205同業他社比較（商品構成G）_副本新メニュー観察(上海) 201204 花島添削 (5) 2" xfId="59254"/>
    <cellStyle name="好_试食评价表_201205同業他社比較（商品構成G）_副本新メニュー観察(上海) 201204 花島添削 (5) 3" xfId="59255"/>
    <cellStyle name="好_试食评价表_201205同業他社比較（商品構成G）_副本新メニュー観察(上海) 201204 花島添削 (5) 4" xfId="59256"/>
    <cellStyle name="好_试食评价表_201205同業他社比較（商品構成G）_副本新メニュー観察(上海) 201204 花島添削 (5) 5" xfId="59257"/>
    <cellStyle name="好_试食评价表_201205同業他社比較（商品構成G）_新メニュー観察(上海) 201204 花島添削 (2) (5)" xfId="4877"/>
    <cellStyle name="好_试食评价表_201205同業他社比較（商品構成G）_新メニュー観察(上海) 201204 花島添削 (2) (5) 2" xfId="59258"/>
    <cellStyle name="好_试食评价表_201205同業他社比較（商品構成G）_新メニュー観察(上海) 201204 花島添削 (2) (5) 3" xfId="59259"/>
    <cellStyle name="好_试食评价表_201205同業他社比較（商品構成G）_新メニュー観察(上海) 201204 花島添削 (2) (5) 4" xfId="59260"/>
    <cellStyle name="好_试食评价表_201205同業他社比較（商品構成G）_新メニュー観察(上海) 201204 花島添削 (2) (5) 5" xfId="59261"/>
    <cellStyle name="好_试食评价表_40期事業計画（商品部）  (3)" xfId="4878"/>
    <cellStyle name="好_试食评价表_40期事業計画（商品部）  (3) 2" xfId="59262"/>
    <cellStyle name="好_试食评价表_40期事業計画（商品部）  (3) 3" xfId="59263"/>
    <cellStyle name="好_试食评价表_40期事業計画（商品部）  (3) 4" xfId="59264"/>
    <cellStyle name="好_试食评价表_40期事業計画（商品部）  (3) 5" xfId="59265"/>
    <cellStyle name="好_试食评价表_40期事業計画（商品部1）" xfId="4879"/>
    <cellStyle name="好_试食评价表_40期事業計画（商品部1） 2" xfId="4880"/>
    <cellStyle name="好_试食评价表_40期事業計画（商品部1） 2 2" xfId="59266"/>
    <cellStyle name="好_试食评价表_40期事業計画（商品部1） 2 3" xfId="59267"/>
    <cellStyle name="好_试食评价表_40期事業計画（商品部1） 2 4" xfId="59268"/>
    <cellStyle name="好_试食评价表_40期事業計画（商品部1） 2 5" xfId="59269"/>
    <cellStyle name="好_试食评价表_40期事業計画（商品部1） 3" xfId="4881"/>
    <cellStyle name="好_试食评价表_40期事業計画（商品部1） 3 2" xfId="59270"/>
    <cellStyle name="好_试食评价表_40期事業計画（商品部1） 3 3" xfId="59271"/>
    <cellStyle name="好_试食评价表_40期事業計画（商品部1） 3 4" xfId="59272"/>
    <cellStyle name="好_试食评价表_40期事業計画（商品部1） 3 5" xfId="59273"/>
    <cellStyle name="好_试食评价表_40期事業計画（商品部1） 4" xfId="59274"/>
    <cellStyle name="好_试食评价表_40期事業計画（商品部1） 5" xfId="59275"/>
    <cellStyle name="好_试食评价表_40期事業計画（商品部1） 6" xfId="59276"/>
    <cellStyle name="好_试食评价表_40期事業計画（商品部1） 7" xfId="59277"/>
    <cellStyle name="好_试食评价表_40期預実（商品部） (3)" xfId="4882"/>
    <cellStyle name="好_试食评价表_40期預実（商品部） (3) 2" xfId="4883"/>
    <cellStyle name="好_试食评价表_40期預実（商品部） (3) 2 2" xfId="59278"/>
    <cellStyle name="好_试食评价表_40期預実（商品部） (3) 2 3" xfId="59279"/>
    <cellStyle name="好_试食评价表_40期預実（商品部） (3) 2 4" xfId="59280"/>
    <cellStyle name="好_试食评价表_40期預実（商品部） (3) 2 5" xfId="59281"/>
    <cellStyle name="好_试食评价表_40期預実（商品部） (3) 3" xfId="4884"/>
    <cellStyle name="好_试食评价表_40期預実（商品部） (3) 3 2" xfId="59282"/>
    <cellStyle name="好_试食评价表_40期預実（商品部） (3) 3 3" xfId="59283"/>
    <cellStyle name="好_试食评价表_40期預実（商品部） (3) 3 4" xfId="59284"/>
    <cellStyle name="好_试食评价表_40期預実（商品部） (3) 3 5" xfId="59285"/>
    <cellStyle name="好_试食评价表_40期預実（商品部） (3) 4" xfId="59286"/>
    <cellStyle name="好_试食评价表_40期預実（商品部） (3) 5" xfId="59287"/>
    <cellStyle name="好_试食评价表_40期預実（商品部） (3) 6" xfId="59288"/>
    <cellStyle name="好_试食评价表_40期預実（商品部） (3) 7" xfId="59289"/>
    <cellStyle name="好_试食评价表_40期預実（商品部） (3)_201205同業他社比較（商品構成G）" xfId="4885"/>
    <cellStyle name="好_试食评价表_40期預実（商品部） (3)_201205同業他社比較（商品構成G） 2" xfId="59290"/>
    <cellStyle name="好_试食评价表_40期預実（商品部） (3)_201205同業他社比較（商品構成G） 3" xfId="59291"/>
    <cellStyle name="好_试食评价表_40期預実（商品部） (3)_201205同業他社比較（商品構成G） 4" xfId="59292"/>
    <cellStyle name="好_试食评价表_40期預実（商品部） (3)_副本新メニュー観察(上海) 201204 花島添削 (5)" xfId="4886"/>
    <cellStyle name="好_试食评价表_40期預実（商品部） (3)_副本新メニュー観察(上海) 201204 花島添削 (5) 2" xfId="59293"/>
    <cellStyle name="好_试食评价表_40期預実（商品部） (3)_副本新メニュー観察(上海) 201204 花島添削 (5) 3" xfId="59294"/>
    <cellStyle name="好_试食评价表_40期預実（商品部） (3)_副本新メニュー観察(上海) 201204 花島添削 (5) 4" xfId="59295"/>
    <cellStyle name="好_试食评价表_40期預実（商品部） (3)_副本新メニュー観察(上海) 201204 花島添削 (5) 5" xfId="59296"/>
    <cellStyle name="好_试食评价表_40期預実（商品部） (3)_新メニュー観察(上海) 201204 花島添削 (2) (5)" xfId="4887"/>
    <cellStyle name="好_试食评价表_40期預実（商品部） (3)_新メニュー観察(上海) 201204 花島添削 (2) (5) 2" xfId="59297"/>
    <cellStyle name="好_试食评价表_40期預実（商品部） (3)_新メニュー観察(上海) 201204 花島添削 (2) (5) 3" xfId="59298"/>
    <cellStyle name="好_试食评价表_40期預実（商品部） (3)_新メニュー観察(上海) 201204 花島添削 (2) (5) 4" xfId="59299"/>
    <cellStyle name="好_试食评价表_40期預実（商品部） (3)_新メニュー観察(上海) 201204 花島添削 (2) (5) 5" xfId="59300"/>
    <cellStyle name="好_试食评价表_40期預実（商品部） (3)_週新品観察." xfId="4888"/>
    <cellStyle name="好_试食评价表_40期預実（商品部） (3)_週新品観察. 2" xfId="59301"/>
    <cellStyle name="好_试食评价表_40期預実（商品部） (3)_週新品観察. 3" xfId="59302"/>
    <cellStyle name="好_试食评价表_40期預実（商品部） (3)_週新品観察. 4" xfId="59303"/>
    <cellStyle name="好_试食评价表_40期預実（商品部） (3)_週新品観察. 5" xfId="59304"/>
    <cellStyle name="好_试食评价表_41期事業計画(商品部)" xfId="4889"/>
    <cellStyle name="好_试食评价表_41期事業計画(商品部) 2" xfId="4890"/>
    <cellStyle name="好_试食评价表_41期事業計画(商品部) 2 2" xfId="59305"/>
    <cellStyle name="好_试食评价表_41期事業計画(商品部) 2 3" xfId="59306"/>
    <cellStyle name="好_试食评价表_41期事業計画(商品部) 2 4" xfId="59307"/>
    <cellStyle name="好_试食评价表_41期事業計画(商品部) 2 5" xfId="59308"/>
    <cellStyle name="好_试食评价表_41期事業計画(商品部) 3" xfId="4891"/>
    <cellStyle name="好_试食评价表_41期事業計画(商品部) 3 2" xfId="59309"/>
    <cellStyle name="好_试食评价表_41期事業計画(商品部) 3 3" xfId="59310"/>
    <cellStyle name="好_试食评价表_41期事業計画(商品部) 3 4" xfId="59311"/>
    <cellStyle name="好_试食评价表_41期事業計画(商品部) 3 5" xfId="59312"/>
    <cellStyle name="好_试食评价表_41期事業計画(商品部) 4" xfId="59313"/>
    <cellStyle name="好_试食评价表_41期事業計画(商品部) 5" xfId="59314"/>
    <cellStyle name="好_试食评价表_41期事業計画(商品部) 6" xfId="59315"/>
    <cellStyle name="好_试食评价表_41期事業計画(商品部) 7" xfId="59316"/>
    <cellStyle name="好_试食评价表_CPI" xfId="4892"/>
    <cellStyle name="好_试食评价表_CPI 2" xfId="4893"/>
    <cellStyle name="好_试食评价表_CPI 2 2" xfId="59317"/>
    <cellStyle name="好_试食评价表_CPI 2 3" xfId="59318"/>
    <cellStyle name="好_试食评价表_CPI 2 4" xfId="59319"/>
    <cellStyle name="好_试食评价表_CPI 2 5" xfId="59320"/>
    <cellStyle name="好_试食评价表_CPI 3" xfId="4894"/>
    <cellStyle name="好_试食评价表_CPI 3 2" xfId="59321"/>
    <cellStyle name="好_试食评价表_CPI 3 3" xfId="59322"/>
    <cellStyle name="好_试食评价表_CPI 3 4" xfId="59323"/>
    <cellStyle name="好_试食评价表_CPI 3 5" xfId="59324"/>
    <cellStyle name="好_试食评价表_CPI 4" xfId="59325"/>
    <cellStyle name="好_试食评价表_CPI 5" xfId="59326"/>
    <cellStyle name="好_试食评价表_CPI 6" xfId="59327"/>
    <cellStyle name="好_试食评价表_CPI 7" xfId="59328"/>
    <cellStyle name="好_试食评价表_CPI(1)" xfId="4895"/>
    <cellStyle name="好_试食评价表_CPI(1) 2" xfId="59329"/>
    <cellStyle name="好_试食评价表_CPI(1) 3" xfId="59330"/>
    <cellStyle name="好_试食评价表_CPI(1) 4" xfId="59331"/>
    <cellStyle name="好_试食评价表_CPI(1) 5" xfId="59332"/>
    <cellStyle name="好_试食评价表_Sheet1" xfId="4896"/>
    <cellStyle name="好_试食评价表_Sheet1 2" xfId="59333"/>
    <cellStyle name="好_试食评价表_Sheet1 3" xfId="59334"/>
    <cellStyle name="好_试食评价表_Sheet1 4" xfId="59335"/>
    <cellStyle name="好_试食评价表_Sheet1 5" xfId="59336"/>
    <cellStyle name="好_试食评价表_Sheet1_副本新メニュー観察(上海) 201204 花島添削 (5)" xfId="4897"/>
    <cellStyle name="好_试食评价表_Sheet1_副本新メニュー観察(上海) 201204 花島添削 (5) 2" xfId="59337"/>
    <cellStyle name="好_试食评价表_Sheet1_副本新メニュー観察(上海) 201204 花島添削 (5) 3" xfId="59338"/>
    <cellStyle name="好_试食评价表_Sheet1_副本新メニュー観察(上海) 201204 花島添削 (5) 4" xfId="59339"/>
    <cellStyle name="好_试食评价表_Sheet1_副本新メニュー観察(上海) 201204 花島添削 (5) 5" xfId="59340"/>
    <cellStyle name="好_试食评价表_Sheet1_新メニュー観察(上海) 201204 花島添削 (2) (5)" xfId="4898"/>
    <cellStyle name="好_试食评价表_Sheet1_新メニュー観察(上海) 201204 花島添削 (2) (5) 2" xfId="59341"/>
    <cellStyle name="好_试食评价表_Sheet1_新メニュー観察(上海) 201204 花島添削 (2) (5) 3" xfId="59342"/>
    <cellStyle name="好_试食评价表_Sheet1_新メニュー観察(上海) 201204 花島添削 (2) (5) 4" xfId="59343"/>
    <cellStyle name="好_试食评价表_Sheet1_新メニュー観察(上海) 201204 花島添削 (2) (5) 5" xfId="59344"/>
    <cellStyle name="好_试食评价表_Xl0000173" xfId="4899"/>
    <cellStyle name="好_试食评价表_Xl0000173 2" xfId="59345"/>
    <cellStyle name="好_试食评价表_Xl0000173 3" xfId="59346"/>
    <cellStyle name="好_试食评价表_Xl0000173 4" xfId="59347"/>
    <cellStyle name="好_试食评价表_Xl0000173 5" xfId="59348"/>
    <cellStyle name="好_试食评价表_Xl0000173_副本新メニュー観察(上海) 201204 花島添削 (5)" xfId="4900"/>
    <cellStyle name="好_试食评价表_Xl0000173_副本新メニュー観察(上海) 201204 花島添削 (5) 2" xfId="59349"/>
    <cellStyle name="好_试食评价表_Xl0000173_副本新メニュー観察(上海) 201204 花島添削 (5) 3" xfId="59350"/>
    <cellStyle name="好_试食评价表_Xl0000173_副本新メニュー観察(上海) 201204 花島添削 (5) 4" xfId="59351"/>
    <cellStyle name="好_试食评价表_Xl0000173_副本新メニュー観察(上海) 201204 花島添削 (5) 5" xfId="59352"/>
    <cellStyle name="好_试食评价表_Xl0000173_新メニュー観察(上海) 201204 花島添削 (2) (5)" xfId="4901"/>
    <cellStyle name="好_试食评价表_Xl0000173_新メニュー観察(上海) 201204 花島添削 (2) (5) 2" xfId="59353"/>
    <cellStyle name="好_试食评价表_Xl0000173_新メニュー観察(上海) 201204 花島添削 (2) (5) 3" xfId="59354"/>
    <cellStyle name="好_试食评价表_Xl0000173_新メニュー観察(上海) 201204 花島添削 (2) (5) 4" xfId="59355"/>
    <cellStyle name="好_试食评价表_Xl0000173_新メニュー観察(上海) 201204 花島添削 (2) (5) 5" xfId="59356"/>
    <cellStyle name="好_试食评价表_儊僯儏乕娤嶡(2-1)" xfId="4902"/>
    <cellStyle name="好_试食评价表_儊僯儏乕娤嶡(2-1) 2" xfId="59357"/>
    <cellStyle name="好_试食评价表_儊僯儏乕娤嶡(2-1) 3" xfId="59358"/>
    <cellStyle name="好_试食评价表_儊僯儏乕娤嶡(2-1) 4" xfId="59359"/>
    <cellStyle name="好_试食评价表_儊僯儏乕娤嶡(2-1) 5" xfId="59360"/>
    <cellStyle name="好_试食评价表_儊僯儏乕娤嶡(2-2乯" xfId="4903"/>
    <cellStyle name="好_试食评价表_儊僯儏乕娤嶡(2-2乯 2" xfId="59361"/>
    <cellStyle name="好_试食评价表_儊僯儏乕娤嶡(2-2乯 3" xfId="59362"/>
    <cellStyle name="好_试食评价表_儊僯儏乕娤嶡(2-2乯 4" xfId="59363"/>
    <cellStyle name="好_试食评价表_儊僯儏乕娤嶡(2-2乯 5" xfId="59364"/>
    <cellStyle name="好_试食评价表_儊僯儏乕娤嶡(2-2乯_副本新メニュー観察(上海) 201204 花島添削 (5)" xfId="4904"/>
    <cellStyle name="好_试食评价表_儊僯儏乕娤嶡(2-2乯_副本新メニュー観察(上海) 201204 花島添削 (5) 2" xfId="59365"/>
    <cellStyle name="好_试食评价表_儊僯儏乕娤嶡(2-2乯_副本新メニュー観察(上海) 201204 花島添削 (5) 3" xfId="59366"/>
    <cellStyle name="好_试食评价表_儊僯儏乕娤嶡(2-2乯_副本新メニュー観察(上海) 201204 花島添削 (5) 4" xfId="59367"/>
    <cellStyle name="好_试食评价表_儊僯儏乕娤嶡(2-2乯_副本新メニュー観察(上海) 201204 花島添削 (5) 5" xfId="59368"/>
    <cellStyle name="好_试食评价表_儊僯儏乕娤嶡(2-2乯_新メニュー観察(上海) 201204 花島添削 (2) (5)" xfId="4905"/>
    <cellStyle name="好_试食评价表_儊僯儏乕娤嶡(2-2乯_新メニュー観察(上海) 201204 花島添削 (2) (5) 2" xfId="59369"/>
    <cellStyle name="好_试食评价表_儊僯儏乕娤嶡(2-2乯_新メニュー観察(上海) 201204 花島添削 (2) (5) 3" xfId="59370"/>
    <cellStyle name="好_试食评价表_儊僯儏乕娤嶡(2-2乯_新メニュー観察(上海) 201204 花島添削 (2) (5) 4" xfId="59371"/>
    <cellStyle name="好_试食评价表_儊僯儏乕娤嶡(2-2乯_新メニュー観察(上海) 201204 花島添削 (2) (5) 5" xfId="59372"/>
    <cellStyle name="好_试食评价表_副本40期預実（商品部） (3)" xfId="4906"/>
    <cellStyle name="好_试食评价表_副本40期預実（商品部） (3) 2" xfId="4907"/>
    <cellStyle name="好_试食评价表_副本40期預実（商品部） (3) 2 2" xfId="59373"/>
    <cellStyle name="好_试食评价表_副本40期預実（商品部） (3) 2 3" xfId="59374"/>
    <cellStyle name="好_试食评价表_副本40期預実（商品部） (3) 2 4" xfId="59375"/>
    <cellStyle name="好_试食评价表_副本40期預実（商品部） (3) 2 5" xfId="59376"/>
    <cellStyle name="好_试食评价表_副本40期預実（商品部） (3) 3" xfId="4908"/>
    <cellStyle name="好_试食评价表_副本40期預実（商品部） (3) 3 2" xfId="59377"/>
    <cellStyle name="好_试食评价表_副本40期預実（商品部） (3) 3 3" xfId="59378"/>
    <cellStyle name="好_试食评价表_副本40期預実（商品部） (3) 3 4" xfId="59379"/>
    <cellStyle name="好_试食评价表_副本40期預実（商品部） (3) 3 5" xfId="59380"/>
    <cellStyle name="好_试食评价表_副本40期預実（商品部） (3) 4" xfId="59381"/>
    <cellStyle name="好_试食评价表_副本40期預実（商品部） (3) 5" xfId="59382"/>
    <cellStyle name="好_试食评价表_副本40期預実（商品部） (3) 6" xfId="59383"/>
    <cellStyle name="好_试食评价表_副本40期預実（商品部） (3) 7" xfId="59384"/>
    <cellStyle name="好_试食评价表_副本40期預実（商品部） (3)_201205同業他社比較（商品構成G）" xfId="4909"/>
    <cellStyle name="好_试食评价表_副本40期預実（商品部） (3)_201205同業他社比較（商品構成G） 2" xfId="59385"/>
    <cellStyle name="好_试食评价表_副本40期預実（商品部） (3)_201205同業他社比較（商品構成G） 3" xfId="59386"/>
    <cellStyle name="好_试食评价表_副本40期預実（商品部） (3)_201205同業他社比較（商品構成G） 4" xfId="59387"/>
    <cellStyle name="好_试食评价表_副本40期預実（商品部） (3)_副本新メニュー観察(上海) 201204 花島添削 (5)" xfId="4910"/>
    <cellStyle name="好_试食评价表_副本40期預実（商品部） (3)_副本新メニュー観察(上海) 201204 花島添削 (5) 2" xfId="59388"/>
    <cellStyle name="好_试食评价表_副本40期預実（商品部） (3)_副本新メニュー観察(上海) 201204 花島添削 (5) 3" xfId="59389"/>
    <cellStyle name="好_试食评价表_副本40期預実（商品部） (3)_副本新メニュー観察(上海) 201204 花島添削 (5) 4" xfId="59390"/>
    <cellStyle name="好_试食评价表_副本40期預実（商品部） (3)_副本新メニュー観察(上海) 201204 花島添削 (5) 5" xfId="59391"/>
    <cellStyle name="好_试食评价表_副本40期預実（商品部） (3)_新メニュー観察(上海) 201204 花島添削 (2) (5)" xfId="4911"/>
    <cellStyle name="好_试食评价表_副本40期預実（商品部） (3)_新メニュー観察(上海) 201204 花島添削 (2) (5) 2" xfId="59392"/>
    <cellStyle name="好_试食评价表_副本40期預実（商品部） (3)_新メニュー観察(上海) 201204 花島添削 (2) (5) 3" xfId="59393"/>
    <cellStyle name="好_试食评价表_副本40期預実（商品部） (3)_新メニュー観察(上海) 201204 花島添削 (2) (5) 4" xfId="59394"/>
    <cellStyle name="好_试食评价表_副本40期預実（商品部） (3)_新メニュー観察(上海) 201204 花島添削 (2) (5) 5" xfId="59395"/>
    <cellStyle name="好_试食评价表_副本40期預実（商品部） (3)_週新品観察." xfId="4912"/>
    <cellStyle name="好_试食评价表_副本40期預実（商品部） (3)_週新品観察. 2" xfId="59396"/>
    <cellStyle name="好_试食评价表_副本40期預実（商品部） (3)_週新品観察. 3" xfId="59397"/>
    <cellStyle name="好_试食评价表_副本40期預実（商品部） (3)_週新品観察. 4" xfId="59398"/>
    <cellStyle name="好_试食评价表_副本40期預実（商品部） (3)_週新品観察. 5" xfId="59399"/>
    <cellStyle name="好_试食评价表_副本41期事業計画商品部（備品） (2) (2)" xfId="4913"/>
    <cellStyle name="好_试食评价表_副本41期事業計画商品部（備品） (2) (2) 2" xfId="4914"/>
    <cellStyle name="好_试食评价表_副本41期事業計画商品部（備品） (2) (2) 2 2" xfId="59400"/>
    <cellStyle name="好_试食评价表_副本41期事業計画商品部（備品） (2) (2) 2 3" xfId="59401"/>
    <cellStyle name="好_试食评价表_副本41期事業計画商品部（備品） (2) (2) 2 4" xfId="59402"/>
    <cellStyle name="好_试食评价表_副本41期事業計画商品部（備品） (2) (2) 2 5" xfId="59403"/>
    <cellStyle name="好_试食评价表_副本41期事業計画商品部（備品） (2) (2) 3" xfId="4915"/>
    <cellStyle name="好_试食评价表_副本41期事業計画商品部（備品） (2) (2) 3 2" xfId="59404"/>
    <cellStyle name="好_试食评价表_副本41期事業計画商品部（備品） (2) (2) 3 3" xfId="59405"/>
    <cellStyle name="好_试食评价表_副本41期事業計画商品部（備品） (2) (2) 3 4" xfId="59406"/>
    <cellStyle name="好_试食评价表_副本41期事業計画商品部（備品） (2) (2) 3 5" xfId="59407"/>
    <cellStyle name="好_试食评价表_副本41期事業計画商品部（備品） (2) (2) 4" xfId="59408"/>
    <cellStyle name="好_试食评价表_副本41期事業計画商品部（備品） (2) (2) 5" xfId="59409"/>
    <cellStyle name="好_试食评价表_副本41期事業計画商品部（備品） (2) (2) 6" xfId="59410"/>
    <cellStyle name="好_试食评价表_副本41期事業計画商品部（備品） (2) (2) 7" xfId="59411"/>
    <cellStyle name="好_试食评价表_開発商品(chen)" xfId="4916"/>
    <cellStyle name="好_试食评价表_開発商品(chen) 2" xfId="4917"/>
    <cellStyle name="好_试食评价表_開発商品(chen) 2 2" xfId="59412"/>
    <cellStyle name="好_试食评价表_開発商品(chen) 2 3" xfId="59413"/>
    <cellStyle name="好_试食评价表_開発商品(chen) 2 4" xfId="59414"/>
    <cellStyle name="好_试食评价表_開発商品(chen) 2 5" xfId="59415"/>
    <cellStyle name="好_试食评价表_開発商品(chen) 3" xfId="4918"/>
    <cellStyle name="好_试食评价表_開発商品(chen) 3 2" xfId="59416"/>
    <cellStyle name="好_试食评价表_開発商品(chen) 3 3" xfId="59417"/>
    <cellStyle name="好_试食评价表_開発商品(chen) 3 4" xfId="59418"/>
    <cellStyle name="好_试食评价表_開発商品(chen) 3 5" xfId="59419"/>
    <cellStyle name="好_试食评价表_開発商品(chen) 4" xfId="59420"/>
    <cellStyle name="好_试食评价表_開発商品(chen) 5" xfId="59421"/>
    <cellStyle name="好_试食评价表_開発商品(chen) 6" xfId="59422"/>
    <cellStyle name="好_试食评价表_開発商品(chen) 7" xfId="59423"/>
    <cellStyle name="好_试食评价表_開発商品(chen)_201205同業他社比較（商品構成G）" xfId="4919"/>
    <cellStyle name="好_试食评价表_開発商品(chen)_201205同業他社比較（商品構成G） 2" xfId="59424"/>
    <cellStyle name="好_试食评价表_開発商品(chen)_201205同業他社比較（商品構成G） 3" xfId="59425"/>
    <cellStyle name="好_试食评价表_開発商品(chen)_201205同業他社比較（商品構成G） 4" xfId="59426"/>
    <cellStyle name="好_试食评价表_開発商品(chen)_副本新メニュー観察(上海) 201204 花島添削 (5)" xfId="4920"/>
    <cellStyle name="好_试食评价表_開発商品(chen)_副本新メニュー観察(上海) 201204 花島添削 (5) 2" xfId="59427"/>
    <cellStyle name="好_试食评价表_開発商品(chen)_副本新メニュー観察(上海) 201204 花島添削 (5) 3" xfId="59428"/>
    <cellStyle name="好_试食评价表_開発商品(chen)_副本新メニュー観察(上海) 201204 花島添削 (5) 4" xfId="59429"/>
    <cellStyle name="好_试食评价表_開発商品(chen)_副本新メニュー観察(上海) 201204 花島添削 (5) 5" xfId="59430"/>
    <cellStyle name="好_试食评价表_開発商品(chen)_新メニュー観察(上海) 201204 花島添削 (2) (5)" xfId="4921"/>
    <cellStyle name="好_试食评价表_開発商品(chen)_新メニュー観察(上海) 201204 花島添削 (2) (5) 2" xfId="59431"/>
    <cellStyle name="好_试食评价表_開発商品(chen)_新メニュー観察(上海) 201204 花島添削 (2) (5) 3" xfId="59432"/>
    <cellStyle name="好_试食评价表_開発商品(chen)_新メニュー観察(上海) 201204 花島添削 (2) (5) 4" xfId="59433"/>
    <cellStyle name="好_试食评价表_開発商品(chen)_新メニュー観察(上海) 201204 花島添削 (2) (5) 5" xfId="59434"/>
    <cellStyle name="好_试食评价表_開発商品(chen)_週新品観察." xfId="4922"/>
    <cellStyle name="好_试食评价表_開発商品(chen)_週新品観察. 2" xfId="59435"/>
    <cellStyle name="好_试食评价表_開発商品(chen)_週新品観察. 3" xfId="59436"/>
    <cellStyle name="好_试食评价表_開発商品(chen)_週新品観察. 4" xfId="59437"/>
    <cellStyle name="好_试食评价表_開発商品(chen)_週新品観察. 5" xfId="59438"/>
    <cellStyle name="好_试食评价表_物流" xfId="4923"/>
    <cellStyle name="好_试食评价表_物流 2" xfId="4924"/>
    <cellStyle name="好_试食评价表_物流 2 2" xfId="59439"/>
    <cellStyle name="好_试食评价表_物流 2 3" xfId="59440"/>
    <cellStyle name="好_试食评价表_物流 2 4" xfId="59441"/>
    <cellStyle name="好_试食评价表_物流 2 5" xfId="59442"/>
    <cellStyle name="好_试食评价表_物流 3" xfId="4925"/>
    <cellStyle name="好_试食评价表_物流 3 2" xfId="59443"/>
    <cellStyle name="好_试食评价表_物流 3 3" xfId="59444"/>
    <cellStyle name="好_试食评价表_物流 3 4" xfId="59445"/>
    <cellStyle name="好_试食评价表_物流 3 5" xfId="59446"/>
    <cellStyle name="好_试食评价表_物流 4" xfId="59447"/>
    <cellStyle name="好_试食评价表_物流 5" xfId="59448"/>
    <cellStyle name="好_试食评价表_物流 6" xfId="59449"/>
    <cellStyle name="好_试食评价表_物流 7" xfId="59450"/>
    <cellStyle name="好_试食评价表_物流_201205同業他社比較（商品構成G）" xfId="4926"/>
    <cellStyle name="好_试食评价表_物流_201205同業他社比較（商品構成G） 2" xfId="59451"/>
    <cellStyle name="好_试食评价表_物流_201205同業他社比較（商品構成G） 3" xfId="59452"/>
    <cellStyle name="好_试食评价表_物流_201205同業他社比較（商品構成G） 4" xfId="59453"/>
    <cellStyle name="好_试食评价表_物流_40期事業計画（商品部）  (3)" xfId="4927"/>
    <cellStyle name="好_试食评价表_物流_40期事業計画（商品部）  (3) 2" xfId="59454"/>
    <cellStyle name="好_试食评价表_物流_40期事業計画（商品部）  (3) 3" xfId="59455"/>
    <cellStyle name="好_试食评价表_物流_40期事業計画（商品部）  (3) 4" xfId="59456"/>
    <cellStyle name="好_试食评价表_物流_40期事業計画（商品部）  (3) 5" xfId="59457"/>
    <cellStyle name="好_试食评价表_物流_40期事業計画（商品部1）" xfId="4928"/>
    <cellStyle name="好_试食评价表_物流_40期事業計画（商品部1） 2" xfId="4929"/>
    <cellStyle name="好_试食评价表_物流_40期事業計画（商品部1） 2 2" xfId="59458"/>
    <cellStyle name="好_试食评价表_物流_40期事業計画（商品部1） 2 3" xfId="59459"/>
    <cellStyle name="好_试食评价表_物流_40期事業計画（商品部1） 2 4" xfId="59460"/>
    <cellStyle name="好_试食评价表_物流_40期事業計画（商品部1） 2 5" xfId="59461"/>
    <cellStyle name="好_试食评价表_物流_40期事業計画（商品部1） 3" xfId="4930"/>
    <cellStyle name="好_试食评价表_物流_40期事業計画（商品部1） 3 2" xfId="59462"/>
    <cellStyle name="好_试食评价表_物流_40期事業計画（商品部1） 3 3" xfId="59463"/>
    <cellStyle name="好_试食评价表_物流_40期事業計画（商品部1） 3 4" xfId="59464"/>
    <cellStyle name="好_试食评价表_物流_40期事業計画（商品部1） 3 5" xfId="59465"/>
    <cellStyle name="好_试食评价表_物流_40期事業計画（商品部1） 4" xfId="59466"/>
    <cellStyle name="好_试食评价表_物流_40期事業計画（商品部1） 5" xfId="59467"/>
    <cellStyle name="好_试食评价表_物流_40期事業計画（商品部1） 6" xfId="59468"/>
    <cellStyle name="好_试食评价表_物流_40期事業計画（商品部1） 7" xfId="59469"/>
    <cellStyle name="好_试食评价表_物流_40期預実（商品部） (3)" xfId="4931"/>
    <cellStyle name="好_试食评价表_物流_40期預実（商品部） (3) 2" xfId="4932"/>
    <cellStyle name="好_试食评价表_物流_40期預実（商品部） (3) 2 2" xfId="59470"/>
    <cellStyle name="好_试食评价表_物流_40期預実（商品部） (3) 2 3" xfId="59471"/>
    <cellStyle name="好_试食评价表_物流_40期預実（商品部） (3) 2 4" xfId="59472"/>
    <cellStyle name="好_试食评价表_物流_40期預実（商品部） (3) 2 5" xfId="59473"/>
    <cellStyle name="好_试食评价表_物流_40期預実（商品部） (3) 3" xfId="4933"/>
    <cellStyle name="好_试食评价表_物流_40期預実（商品部） (3) 3 2" xfId="59474"/>
    <cellStyle name="好_试食评价表_物流_40期預実（商品部） (3) 3 3" xfId="59475"/>
    <cellStyle name="好_试食评价表_物流_40期預実（商品部） (3) 3 4" xfId="59476"/>
    <cellStyle name="好_试食评价表_物流_40期預実（商品部） (3) 3 5" xfId="59477"/>
    <cellStyle name="好_试食评价表_物流_40期預実（商品部） (3) 4" xfId="59478"/>
    <cellStyle name="好_试食评价表_物流_40期預実（商品部） (3) 5" xfId="59479"/>
    <cellStyle name="好_试食评价表_物流_40期預実（商品部） (3) 6" xfId="59480"/>
    <cellStyle name="好_试食评价表_物流_40期預実（商品部） (3) 7" xfId="59481"/>
    <cellStyle name="好_试食评价表_物流_40期預実（商品部） (3)_201205同業他社比較（商品構成G）" xfId="4934"/>
    <cellStyle name="好_试食评价表_物流_40期預実（商品部） (3)_201205同業他社比較（商品構成G） 2" xfId="59482"/>
    <cellStyle name="好_试食评价表_物流_40期預実（商品部） (3)_201205同業他社比較（商品構成G） 3" xfId="59483"/>
    <cellStyle name="好_试食评价表_物流_40期預実（商品部） (3)_201205同業他社比較（商品構成G） 4" xfId="59484"/>
    <cellStyle name="好_试食评价表_物流_40期預実（商品部） (3)_副本新メニュー観察(上海) 201204 花島添削 (5)" xfId="4935"/>
    <cellStyle name="好_试食评价表_物流_40期預実（商品部） (3)_副本新メニュー観察(上海) 201204 花島添削 (5) 2" xfId="59485"/>
    <cellStyle name="好_试食评价表_物流_40期預実（商品部） (3)_副本新メニュー観察(上海) 201204 花島添削 (5) 3" xfId="59486"/>
    <cellStyle name="好_试食评价表_物流_40期預実（商品部） (3)_副本新メニュー観察(上海) 201204 花島添削 (5) 4" xfId="59487"/>
    <cellStyle name="好_试食评价表_物流_40期預実（商品部） (3)_副本新メニュー観察(上海) 201204 花島添削 (5) 5" xfId="59488"/>
    <cellStyle name="好_试食评价表_物流_40期預実（商品部） (3)_新メニュー観察(上海) 201204 花島添削 (2) (5)" xfId="4936"/>
    <cellStyle name="好_试食评价表_物流_40期預実（商品部） (3)_新メニュー観察(上海) 201204 花島添削 (2) (5) 2" xfId="59489"/>
    <cellStyle name="好_试食评价表_物流_40期預実（商品部） (3)_新メニュー観察(上海) 201204 花島添削 (2) (5) 3" xfId="59490"/>
    <cellStyle name="好_试食评价表_物流_40期預実（商品部） (3)_新メニュー観察(上海) 201204 花島添削 (2) (5) 4" xfId="59491"/>
    <cellStyle name="好_试食评价表_物流_40期預実（商品部） (3)_新メニュー観察(上海) 201204 花島添削 (2) (5) 5" xfId="59492"/>
    <cellStyle name="好_试食评价表_物流_40期預実（商品部） (3)_週新品観察." xfId="4937"/>
    <cellStyle name="好_试食评价表_物流_40期預実（商品部） (3)_週新品観察. 2" xfId="59493"/>
    <cellStyle name="好_试食评价表_物流_40期預実（商品部） (3)_週新品観察. 3" xfId="59494"/>
    <cellStyle name="好_试食评价表_物流_40期預実（商品部） (3)_週新品観察. 4" xfId="59495"/>
    <cellStyle name="好_试食评价表_物流_40期預実（商品部） (3)_週新品観察. 5" xfId="59496"/>
    <cellStyle name="好_试食评价表_物流_41期事業計画(商品部)" xfId="4938"/>
    <cellStyle name="好_试食评价表_物流_41期事業計画(商品部) 2" xfId="4939"/>
    <cellStyle name="好_试食评价表_物流_41期事業計画(商品部) 2 2" xfId="59497"/>
    <cellStyle name="好_试食评价表_物流_41期事業計画(商品部) 2 3" xfId="59498"/>
    <cellStyle name="好_试食评价表_物流_41期事業計画(商品部) 2 4" xfId="59499"/>
    <cellStyle name="好_试食评价表_物流_41期事業計画(商品部) 2 5" xfId="59500"/>
    <cellStyle name="好_试食评价表_物流_41期事業計画(商品部) 3" xfId="4940"/>
    <cellStyle name="好_试食评价表_物流_41期事業計画(商品部) 3 2" xfId="59501"/>
    <cellStyle name="好_试食评价表_物流_41期事業計画(商品部) 3 3" xfId="59502"/>
    <cellStyle name="好_试食评价表_物流_41期事業計画(商品部) 3 4" xfId="59503"/>
    <cellStyle name="好_试食评价表_物流_41期事業計画(商品部) 3 5" xfId="59504"/>
    <cellStyle name="好_试食评价表_物流_41期事業計画(商品部) 4" xfId="59505"/>
    <cellStyle name="好_试食评价表_物流_41期事業計画(商品部) 5" xfId="59506"/>
    <cellStyle name="好_试食评价表_物流_41期事業計画(商品部) 6" xfId="59507"/>
    <cellStyle name="好_试食评价表_物流_41期事業計画(商品部) 7" xfId="59508"/>
    <cellStyle name="好_试食评价表_物流_CPI" xfId="4941"/>
    <cellStyle name="好_试食评价表_物流_CPI 2" xfId="4942"/>
    <cellStyle name="好_试食评价表_物流_CPI 2 2" xfId="59509"/>
    <cellStyle name="好_试食评价表_物流_CPI 2 3" xfId="59510"/>
    <cellStyle name="好_试食评价表_物流_CPI 2 4" xfId="59511"/>
    <cellStyle name="好_试食评价表_物流_CPI 2 5" xfId="59512"/>
    <cellStyle name="好_试食评价表_物流_CPI 3" xfId="4943"/>
    <cellStyle name="好_试食评价表_物流_CPI 3 2" xfId="59513"/>
    <cellStyle name="好_试食评价表_物流_CPI 3 3" xfId="59514"/>
    <cellStyle name="好_试食评价表_物流_CPI 3 4" xfId="59515"/>
    <cellStyle name="好_试食评价表_物流_CPI 3 5" xfId="59516"/>
    <cellStyle name="好_试食评价表_物流_CPI 4" xfId="59517"/>
    <cellStyle name="好_试食评价表_物流_CPI 5" xfId="59518"/>
    <cellStyle name="好_试食评价表_物流_CPI 6" xfId="59519"/>
    <cellStyle name="好_试食评价表_物流_CPI 7" xfId="59520"/>
    <cellStyle name="好_试食评价表_物流_CPI(1)" xfId="4944"/>
    <cellStyle name="好_试食评价表_物流_CPI(1) 2" xfId="59521"/>
    <cellStyle name="好_试食评价表_物流_CPI(1) 3" xfId="59522"/>
    <cellStyle name="好_试食评价表_物流_CPI(1) 4" xfId="59523"/>
    <cellStyle name="好_试食评价表_物流_CPI(1) 5" xfId="59524"/>
    <cellStyle name="好_试食评价表_物流_副本40期預実（商品部） (3)" xfId="4945"/>
    <cellStyle name="好_试食评价表_物流_副本40期預実（商品部） (3) 2" xfId="4946"/>
    <cellStyle name="好_试食评价表_物流_副本40期預実（商品部） (3) 2 2" xfId="59525"/>
    <cellStyle name="好_试食评价表_物流_副本40期預実（商品部） (3) 2 3" xfId="59526"/>
    <cellStyle name="好_试食评价表_物流_副本40期預実（商品部） (3) 2 4" xfId="59527"/>
    <cellStyle name="好_试食评价表_物流_副本40期預実（商品部） (3) 2 5" xfId="59528"/>
    <cellStyle name="好_试食评价表_物流_副本40期預実（商品部） (3) 3" xfId="4947"/>
    <cellStyle name="好_试食评价表_物流_副本40期預実（商品部） (3) 3 2" xfId="59529"/>
    <cellStyle name="好_试食评价表_物流_副本40期預実（商品部） (3) 3 3" xfId="59530"/>
    <cellStyle name="好_试食评价表_物流_副本40期預実（商品部） (3) 3 4" xfId="59531"/>
    <cellStyle name="好_试食评价表_物流_副本40期預実（商品部） (3) 3 5" xfId="59532"/>
    <cellStyle name="好_试食评价表_物流_副本40期預実（商品部） (3) 4" xfId="59533"/>
    <cellStyle name="好_试食评价表_物流_副本40期預実（商品部） (3) 5" xfId="59534"/>
    <cellStyle name="好_试食评价表_物流_副本40期預実（商品部） (3) 6" xfId="59535"/>
    <cellStyle name="好_试食评价表_物流_副本40期預実（商品部） (3) 7" xfId="59536"/>
    <cellStyle name="好_试食评价表_物流_副本40期預実（商品部） (3)_201205同業他社比較（商品構成G）" xfId="4948"/>
    <cellStyle name="好_试食评价表_物流_副本40期預実（商品部） (3)_201205同業他社比較（商品構成G） 2" xfId="59537"/>
    <cellStyle name="好_试食评价表_物流_副本40期預実（商品部） (3)_201205同業他社比較（商品構成G） 3" xfId="59538"/>
    <cellStyle name="好_试食评价表_物流_副本40期預実（商品部） (3)_201205同業他社比較（商品構成G） 4" xfId="59539"/>
    <cellStyle name="好_试食评价表_物流_副本40期預実（商品部） (3)_副本新メニュー観察(上海) 201204 花島添削 (5)" xfId="4949"/>
    <cellStyle name="好_试食评价表_物流_副本40期預実（商品部） (3)_副本新メニュー観察(上海) 201204 花島添削 (5) 2" xfId="59540"/>
    <cellStyle name="好_试食评价表_物流_副本40期預実（商品部） (3)_副本新メニュー観察(上海) 201204 花島添削 (5) 3" xfId="59541"/>
    <cellStyle name="好_试食评价表_物流_副本40期預実（商品部） (3)_副本新メニュー観察(上海) 201204 花島添削 (5) 4" xfId="59542"/>
    <cellStyle name="好_试食评价表_物流_副本40期預実（商品部） (3)_副本新メニュー観察(上海) 201204 花島添削 (5) 5" xfId="59543"/>
    <cellStyle name="好_试食评价表_物流_副本40期預実（商品部） (3)_新メニュー観察(上海) 201204 花島添削 (2) (5)" xfId="4950"/>
    <cellStyle name="好_试食评价表_物流_副本40期預実（商品部） (3)_新メニュー観察(上海) 201204 花島添削 (2) (5) 2" xfId="59544"/>
    <cellStyle name="好_试食评价表_物流_副本40期預実（商品部） (3)_新メニュー観察(上海) 201204 花島添削 (2) (5) 3" xfId="59545"/>
    <cellStyle name="好_试食评价表_物流_副本40期預実（商品部） (3)_新メニュー観察(上海) 201204 花島添削 (2) (5) 4" xfId="59546"/>
    <cellStyle name="好_试食评价表_物流_副本40期預実（商品部） (3)_新メニュー観察(上海) 201204 花島添削 (2) (5) 5" xfId="59547"/>
    <cellStyle name="好_试食评价表_物流_副本40期預実（商品部） (3)_週新品観察." xfId="4951"/>
    <cellStyle name="好_试食评价表_物流_副本40期預実（商品部） (3)_週新品観察. 2" xfId="59548"/>
    <cellStyle name="好_试食评价表_物流_副本40期預実（商品部） (3)_週新品観察. 3" xfId="59549"/>
    <cellStyle name="好_试食评价表_物流_副本40期預実（商品部） (3)_週新品観察. 4" xfId="59550"/>
    <cellStyle name="好_试食评价表_物流_副本40期預実（商品部） (3)_週新品観察. 5" xfId="59551"/>
    <cellStyle name="好_试食评价表_物流_副本41期事業計画商品部（備品） (2) (2)" xfId="4952"/>
    <cellStyle name="好_试食评价表_物流_副本41期事業計画商品部（備品） (2) (2) 2" xfId="4953"/>
    <cellStyle name="好_试食评价表_物流_副本41期事業計画商品部（備品） (2) (2) 2 2" xfId="59552"/>
    <cellStyle name="好_试食评价表_物流_副本41期事業計画商品部（備品） (2) (2) 2 3" xfId="59553"/>
    <cellStyle name="好_试食评价表_物流_副本41期事業計画商品部（備品） (2) (2) 2 4" xfId="59554"/>
    <cellStyle name="好_试食评价表_物流_副本41期事業計画商品部（備品） (2) (2) 2 5" xfId="59555"/>
    <cellStyle name="好_试食评价表_物流_副本41期事業計画商品部（備品） (2) (2) 3" xfId="4954"/>
    <cellStyle name="好_试食评价表_物流_副本41期事業計画商品部（備品） (2) (2) 3 2" xfId="59556"/>
    <cellStyle name="好_试食评价表_物流_副本41期事業計画商品部（備品） (2) (2) 3 3" xfId="59557"/>
    <cellStyle name="好_试食评价表_物流_副本41期事業計画商品部（備品） (2) (2) 3 4" xfId="59558"/>
    <cellStyle name="好_试食评价表_物流_副本41期事業計画商品部（備品） (2) (2) 3 5" xfId="59559"/>
    <cellStyle name="好_试食评价表_物流_副本41期事業計画商品部（備品） (2) (2) 4" xfId="59560"/>
    <cellStyle name="好_试食评价表_物流_副本41期事業計画商品部（備品） (2) (2) 5" xfId="59561"/>
    <cellStyle name="好_试食评价表_物流_副本41期事業計画商品部（備品） (2) (2) 6" xfId="59562"/>
    <cellStyle name="好_试食评价表_物流_副本41期事業計画商品部（備品） (2) (2) 7" xfId="59563"/>
    <cellStyle name="好_试食评价表_物流_副本新メニュー観察(上海) 201204 花島添削 (5)" xfId="4955"/>
    <cellStyle name="好_试食评价表_物流_副本新メニュー観察(上海) 201204 花島添削 (5) 2" xfId="59564"/>
    <cellStyle name="好_试食评价表_物流_副本新メニュー観察(上海) 201204 花島添削 (5) 3" xfId="59565"/>
    <cellStyle name="好_试食评价表_物流_副本新メニュー観察(上海) 201204 花島添削 (5) 4" xfId="59566"/>
    <cellStyle name="好_试食评价表_物流_副本新メニュー観察(上海) 201204 花島添削 (5) 5" xfId="59567"/>
    <cellStyle name="好_试食评价表_物流_開発商品(chen)" xfId="4956"/>
    <cellStyle name="好_试食评价表_物流_開発商品(chen) 2" xfId="4957"/>
    <cellStyle name="好_试食评价表_物流_開発商品(chen) 2 2" xfId="59568"/>
    <cellStyle name="好_试食评价表_物流_開発商品(chen) 2 3" xfId="59569"/>
    <cellStyle name="好_试食评价表_物流_開発商品(chen) 2 4" xfId="59570"/>
    <cellStyle name="好_试食评价表_物流_開発商品(chen) 2 5" xfId="59571"/>
    <cellStyle name="好_试食评价表_物流_開発商品(chen) 3" xfId="4958"/>
    <cellStyle name="好_试食评价表_物流_開発商品(chen) 3 2" xfId="59572"/>
    <cellStyle name="好_试食评价表_物流_開発商品(chen) 3 3" xfId="59573"/>
    <cellStyle name="好_试食评价表_物流_開発商品(chen) 3 4" xfId="59574"/>
    <cellStyle name="好_试食评价表_物流_開発商品(chen) 3 5" xfId="59575"/>
    <cellStyle name="好_试食评价表_物流_開発商品(chen) 4" xfId="59576"/>
    <cellStyle name="好_试食评价表_物流_開発商品(chen) 5" xfId="59577"/>
    <cellStyle name="好_试食评价表_物流_開発商品(chen) 6" xfId="59578"/>
    <cellStyle name="好_试食评价表_物流_開発商品(chen) 7" xfId="59579"/>
    <cellStyle name="好_试食评价表_物流_開発商品(chen)_201205同業他社比較（商品構成G）" xfId="4959"/>
    <cellStyle name="好_试食评价表_物流_開発商品(chen)_201205同業他社比較（商品構成G） 2" xfId="59580"/>
    <cellStyle name="好_试食评价表_物流_開発商品(chen)_201205同業他社比較（商品構成G） 3" xfId="59581"/>
    <cellStyle name="好_试食评价表_物流_開発商品(chen)_201205同業他社比較（商品構成G） 4" xfId="59582"/>
    <cellStyle name="好_试食评价表_物流_開発商品(chen)_40期事業計画（商品部）  (3)" xfId="4960"/>
    <cellStyle name="好_试食评价表_物流_開発商品(chen)_40期事業計画（商品部）  (3) 2" xfId="59583"/>
    <cellStyle name="好_试食评价表_物流_開発商品(chen)_40期事業計画（商品部）  (3) 3" xfId="59584"/>
    <cellStyle name="好_试食评价表_物流_開発商品(chen)_40期事業計画（商品部）  (3) 4" xfId="59585"/>
    <cellStyle name="好_试食评价表_物流_開発商品(chen)_40期事業計画（商品部）  (3) 5" xfId="59586"/>
    <cellStyle name="好_试食评价表_物流_開発商品(chen)_40期事業計画（商品部1）" xfId="4961"/>
    <cellStyle name="好_试食评价表_物流_開発商品(chen)_40期事業計画（商品部1） 2" xfId="4962"/>
    <cellStyle name="好_试食评价表_物流_開発商品(chen)_40期事業計画（商品部1） 2 2" xfId="59587"/>
    <cellStyle name="好_试食评价表_物流_開発商品(chen)_40期事業計画（商品部1） 2 3" xfId="59588"/>
    <cellStyle name="好_试食评价表_物流_開発商品(chen)_40期事業計画（商品部1） 2 4" xfId="59589"/>
    <cellStyle name="好_试食评价表_物流_開発商品(chen)_40期事業計画（商品部1） 2 5" xfId="59590"/>
    <cellStyle name="好_试食评价表_物流_開発商品(chen)_40期事業計画（商品部1） 3" xfId="4963"/>
    <cellStyle name="好_试食评价表_物流_開発商品(chen)_40期事業計画（商品部1） 3 2" xfId="59591"/>
    <cellStyle name="好_试食评价表_物流_開発商品(chen)_40期事業計画（商品部1） 3 3" xfId="59592"/>
    <cellStyle name="好_试食评价表_物流_開発商品(chen)_40期事業計画（商品部1） 3 4" xfId="59593"/>
    <cellStyle name="好_试食评价表_物流_開発商品(chen)_40期事業計画（商品部1） 3 5" xfId="59594"/>
    <cellStyle name="好_试食评价表_物流_開発商品(chen)_40期事業計画（商品部1） 4" xfId="59595"/>
    <cellStyle name="好_试食评价表_物流_開発商品(chen)_40期事業計画（商品部1） 5" xfId="59596"/>
    <cellStyle name="好_试食评价表_物流_開発商品(chen)_40期事業計画（商品部1） 6" xfId="59597"/>
    <cellStyle name="好_试食评价表_物流_開発商品(chen)_40期事業計画（商品部1） 7" xfId="59598"/>
    <cellStyle name="好_试食评价表_物流_開発商品(chen)_40期預実（商品部） (3)" xfId="4964"/>
    <cellStyle name="好_试食评价表_物流_開発商品(chen)_40期預実（商品部） (3) 2" xfId="4965"/>
    <cellStyle name="好_试食评价表_物流_開発商品(chen)_40期預実（商品部） (3) 2 2" xfId="59599"/>
    <cellStyle name="好_试食评价表_物流_開発商品(chen)_40期預実（商品部） (3) 2 3" xfId="59600"/>
    <cellStyle name="好_试食评价表_物流_開発商品(chen)_40期預実（商品部） (3) 2 4" xfId="59601"/>
    <cellStyle name="好_试食评价表_物流_開発商品(chen)_40期預実（商品部） (3) 2 5" xfId="59602"/>
    <cellStyle name="好_试食评价表_物流_開発商品(chen)_40期預実（商品部） (3) 3" xfId="4966"/>
    <cellStyle name="好_试食评价表_物流_開発商品(chen)_40期預実（商品部） (3) 3 2" xfId="59603"/>
    <cellStyle name="好_试食评价表_物流_開発商品(chen)_40期預実（商品部） (3) 3 3" xfId="59604"/>
    <cellStyle name="好_试食评价表_物流_開発商品(chen)_40期預実（商品部） (3) 3 4" xfId="59605"/>
    <cellStyle name="好_试食评价表_物流_開発商品(chen)_40期預実（商品部） (3) 3 5" xfId="59606"/>
    <cellStyle name="好_试食评价表_物流_開発商品(chen)_40期預実（商品部） (3) 4" xfId="59607"/>
    <cellStyle name="好_试食评价表_物流_開発商品(chen)_40期預実（商品部） (3) 5" xfId="59608"/>
    <cellStyle name="好_试食评价表_物流_開発商品(chen)_40期預実（商品部） (3) 6" xfId="59609"/>
    <cellStyle name="好_试食评价表_物流_開発商品(chen)_40期預実（商品部） (3) 7" xfId="59610"/>
    <cellStyle name="好_试食评价表_物流_開発商品(chen)_40期預実（商品部） (3)_201205同業他社比較（商品構成G）" xfId="4967"/>
    <cellStyle name="好_试食评价表_物流_開発商品(chen)_40期預実（商品部） (3)_201205同業他社比較（商品構成G） 2" xfId="59611"/>
    <cellStyle name="好_试食评价表_物流_開発商品(chen)_40期預実（商品部） (3)_201205同業他社比較（商品構成G） 3" xfId="59612"/>
    <cellStyle name="好_试食评价表_物流_開発商品(chen)_40期預実（商品部） (3)_201205同業他社比較（商品構成G） 4" xfId="59613"/>
    <cellStyle name="好_试食评价表_物流_開発商品(chen)_40期預実（商品部） (3)_副本新メニュー観察(上海) 201204 花島添削 (5)" xfId="4968"/>
    <cellStyle name="好_试食评价表_物流_開発商品(chen)_40期預実（商品部） (3)_副本新メニュー観察(上海) 201204 花島添削 (5) 2" xfId="59614"/>
    <cellStyle name="好_试食评价表_物流_開発商品(chen)_40期預実（商品部） (3)_副本新メニュー観察(上海) 201204 花島添削 (5) 3" xfId="59615"/>
    <cellStyle name="好_试食评价表_物流_開発商品(chen)_40期預実（商品部） (3)_副本新メニュー観察(上海) 201204 花島添削 (5) 4" xfId="59616"/>
    <cellStyle name="好_试食评价表_物流_開発商品(chen)_40期預実（商品部） (3)_副本新メニュー観察(上海) 201204 花島添削 (5) 5" xfId="59617"/>
    <cellStyle name="好_试食评价表_物流_開発商品(chen)_40期預実（商品部） (3)_新メニュー観察(上海) 201204 花島添削 (2) (5)" xfId="4969"/>
    <cellStyle name="好_试食评价表_物流_開発商品(chen)_40期預実（商品部） (3)_新メニュー観察(上海) 201204 花島添削 (2) (5) 2" xfId="59618"/>
    <cellStyle name="好_试食评价表_物流_開発商品(chen)_40期預実（商品部） (3)_新メニュー観察(上海) 201204 花島添削 (2) (5) 3" xfId="59619"/>
    <cellStyle name="好_试食评价表_物流_開発商品(chen)_40期預実（商品部） (3)_新メニュー観察(上海) 201204 花島添削 (2) (5) 4" xfId="59620"/>
    <cellStyle name="好_试食评价表_物流_開発商品(chen)_40期預実（商品部） (3)_新メニュー観察(上海) 201204 花島添削 (2) (5) 5" xfId="59621"/>
    <cellStyle name="好_试食评价表_物流_開発商品(chen)_40期預実（商品部） (3)_週新品観察." xfId="4970"/>
    <cellStyle name="好_试食评价表_物流_開発商品(chen)_40期預実（商品部） (3)_週新品観察. 2" xfId="59622"/>
    <cellStyle name="好_试食评价表_物流_開発商品(chen)_40期預実（商品部） (3)_週新品観察. 3" xfId="59623"/>
    <cellStyle name="好_试食评价表_物流_開発商品(chen)_40期預実（商品部） (3)_週新品観察. 4" xfId="59624"/>
    <cellStyle name="好_试食评价表_物流_開発商品(chen)_40期預実（商品部） (3)_週新品観察. 5" xfId="59625"/>
    <cellStyle name="好_试食评价表_物流_開発商品(chen)_41期事業計画(商品部)" xfId="4971"/>
    <cellStyle name="好_试食评价表_物流_開発商品(chen)_41期事業計画(商品部) 2" xfId="4972"/>
    <cellStyle name="好_试食评价表_物流_開発商品(chen)_41期事業計画(商品部) 2 2" xfId="59626"/>
    <cellStyle name="好_试食评价表_物流_開発商品(chen)_41期事業計画(商品部) 2 3" xfId="59627"/>
    <cellStyle name="好_试食评价表_物流_開発商品(chen)_41期事業計画(商品部) 2 4" xfId="59628"/>
    <cellStyle name="好_试食评价表_物流_開発商品(chen)_41期事業計画(商品部) 2 5" xfId="59629"/>
    <cellStyle name="好_试食评价表_物流_開発商品(chen)_41期事業計画(商品部) 3" xfId="4973"/>
    <cellStyle name="好_试食评价表_物流_開発商品(chen)_41期事業計画(商品部) 3 2" xfId="59630"/>
    <cellStyle name="好_试食评价表_物流_開発商品(chen)_41期事業計画(商品部) 3 3" xfId="59631"/>
    <cellStyle name="好_试食评价表_物流_開発商品(chen)_41期事業計画(商品部) 3 4" xfId="59632"/>
    <cellStyle name="好_试食评价表_物流_開発商品(chen)_41期事業計画(商品部) 3 5" xfId="59633"/>
    <cellStyle name="好_试食评价表_物流_開発商品(chen)_41期事業計画(商品部) 4" xfId="59634"/>
    <cellStyle name="好_试食评价表_物流_開発商品(chen)_41期事業計画(商品部) 5" xfId="59635"/>
    <cellStyle name="好_试食评价表_物流_開発商品(chen)_41期事業計画(商品部) 6" xfId="59636"/>
    <cellStyle name="好_试食评价表_物流_開発商品(chen)_41期事業計画(商品部) 7" xfId="59637"/>
    <cellStyle name="好_试食评价表_物流_開発商品(chen)_CPI" xfId="4974"/>
    <cellStyle name="好_试食评价表_物流_開発商品(chen)_CPI 2" xfId="4975"/>
    <cellStyle name="好_试食评价表_物流_開発商品(chen)_CPI 2 2" xfId="59638"/>
    <cellStyle name="好_试食评价表_物流_開発商品(chen)_CPI 2 3" xfId="59639"/>
    <cellStyle name="好_试食评价表_物流_開発商品(chen)_CPI 2 4" xfId="59640"/>
    <cellStyle name="好_试食评价表_物流_開発商品(chen)_CPI 2 5" xfId="59641"/>
    <cellStyle name="好_试食评价表_物流_開発商品(chen)_CPI 3" xfId="4976"/>
    <cellStyle name="好_试食评价表_物流_開発商品(chen)_CPI 3 2" xfId="59642"/>
    <cellStyle name="好_试食评价表_物流_開発商品(chen)_CPI 3 3" xfId="59643"/>
    <cellStyle name="好_试食评价表_物流_開発商品(chen)_CPI 3 4" xfId="59644"/>
    <cellStyle name="好_试食评价表_物流_開発商品(chen)_CPI 3 5" xfId="59645"/>
    <cellStyle name="好_试食评价表_物流_開発商品(chen)_CPI 4" xfId="59646"/>
    <cellStyle name="好_试食评价表_物流_開発商品(chen)_CPI 5" xfId="59647"/>
    <cellStyle name="好_试食评价表_物流_開発商品(chen)_CPI 6" xfId="59648"/>
    <cellStyle name="好_试食评价表_物流_開発商品(chen)_CPI 7" xfId="59649"/>
    <cellStyle name="好_试食评价表_物流_開発商品(chen)_CPI(1)" xfId="4977"/>
    <cellStyle name="好_试食评价表_物流_開発商品(chen)_CPI(1) 2" xfId="59650"/>
    <cellStyle name="好_试食评价表_物流_開発商品(chen)_CPI(1) 3" xfId="59651"/>
    <cellStyle name="好_试食评价表_物流_開発商品(chen)_CPI(1) 4" xfId="59652"/>
    <cellStyle name="好_试食评价表_物流_開発商品(chen)_CPI(1) 5" xfId="59653"/>
    <cellStyle name="好_试食评价表_物流_開発商品(chen)_副本40期預実（商品部） (3)" xfId="4978"/>
    <cellStyle name="好_试食评价表_物流_開発商品(chen)_副本40期預実（商品部） (3) 2" xfId="4979"/>
    <cellStyle name="好_试食评价表_物流_開発商品(chen)_副本40期預実（商品部） (3) 2 2" xfId="59654"/>
    <cellStyle name="好_试食评价表_物流_開発商品(chen)_副本40期預実（商品部） (3) 2 3" xfId="59655"/>
    <cellStyle name="好_试食评价表_物流_開発商品(chen)_副本40期預実（商品部） (3) 2 4" xfId="59656"/>
    <cellStyle name="好_试食评价表_物流_開発商品(chen)_副本40期預実（商品部） (3) 2 5" xfId="59657"/>
    <cellStyle name="好_试食评价表_物流_開発商品(chen)_副本40期預実（商品部） (3) 3" xfId="4980"/>
    <cellStyle name="好_试食评价表_物流_開発商品(chen)_副本40期預実（商品部） (3) 3 2" xfId="59658"/>
    <cellStyle name="好_试食评价表_物流_開発商品(chen)_副本40期預実（商品部） (3) 3 3" xfId="59659"/>
    <cellStyle name="好_试食评价表_物流_開発商品(chen)_副本40期預実（商品部） (3) 3 4" xfId="59660"/>
    <cellStyle name="好_试食评价表_物流_開発商品(chen)_副本40期預実（商品部） (3) 3 5" xfId="59661"/>
    <cellStyle name="好_试食评价表_物流_開発商品(chen)_副本40期預実（商品部） (3) 4" xfId="59662"/>
    <cellStyle name="好_试食评价表_物流_開発商品(chen)_副本40期預実（商品部） (3) 5" xfId="59663"/>
    <cellStyle name="好_试食评价表_物流_開発商品(chen)_副本40期預実（商品部） (3) 6" xfId="59664"/>
    <cellStyle name="好_试食评价表_物流_開発商品(chen)_副本40期預実（商品部） (3) 7" xfId="59665"/>
    <cellStyle name="好_试食评价表_物流_開発商品(chen)_副本40期預実（商品部） (3)_201205同業他社比較（商品構成G）" xfId="4981"/>
    <cellStyle name="好_试食评价表_物流_開発商品(chen)_副本40期預実（商品部） (3)_201205同業他社比較（商品構成G） 2" xfId="59666"/>
    <cellStyle name="好_试食评价表_物流_開発商品(chen)_副本40期預実（商品部） (3)_201205同業他社比較（商品構成G） 3" xfId="59667"/>
    <cellStyle name="好_试食评价表_物流_開発商品(chen)_副本40期預実（商品部） (3)_201205同業他社比較（商品構成G） 4" xfId="59668"/>
    <cellStyle name="好_试食评价表_物流_開発商品(chen)_副本40期預実（商品部） (3)_副本新メニュー観察(上海) 201204 花島添削 (5)" xfId="4982"/>
    <cellStyle name="好_试食评价表_物流_開発商品(chen)_副本40期預実（商品部） (3)_副本新メニュー観察(上海) 201204 花島添削 (5) 2" xfId="59669"/>
    <cellStyle name="好_试食评价表_物流_開発商品(chen)_副本40期預実（商品部） (3)_副本新メニュー観察(上海) 201204 花島添削 (5) 3" xfId="59670"/>
    <cellStyle name="好_试食评价表_物流_開発商品(chen)_副本40期預実（商品部） (3)_副本新メニュー観察(上海) 201204 花島添削 (5) 4" xfId="59671"/>
    <cellStyle name="好_试食评价表_物流_開発商品(chen)_副本40期預実（商品部） (3)_副本新メニュー観察(上海) 201204 花島添削 (5) 5" xfId="59672"/>
    <cellStyle name="好_试食评价表_物流_開発商品(chen)_副本40期預実（商品部） (3)_新メニュー観察(上海) 201204 花島添削 (2) (5)" xfId="4983"/>
    <cellStyle name="好_试食评价表_物流_開発商品(chen)_副本40期預実（商品部） (3)_新メニュー観察(上海) 201204 花島添削 (2) (5) 2" xfId="59673"/>
    <cellStyle name="好_试食评价表_物流_開発商品(chen)_副本40期預実（商品部） (3)_新メニュー観察(上海) 201204 花島添削 (2) (5) 3" xfId="59674"/>
    <cellStyle name="好_试食评价表_物流_開発商品(chen)_副本40期預実（商品部） (3)_新メニュー観察(上海) 201204 花島添削 (2) (5) 4" xfId="59675"/>
    <cellStyle name="好_试食评价表_物流_開発商品(chen)_副本40期預実（商品部） (3)_新メニュー観察(上海) 201204 花島添削 (2) (5) 5" xfId="59676"/>
    <cellStyle name="好_试食评价表_物流_開発商品(chen)_副本40期預実（商品部） (3)_週新品観察." xfId="4984"/>
    <cellStyle name="好_试食评价表_物流_開発商品(chen)_副本40期預実（商品部） (3)_週新品観察. 2" xfId="59677"/>
    <cellStyle name="好_试食评价表_物流_開発商品(chen)_副本40期預実（商品部） (3)_週新品観察. 3" xfId="59678"/>
    <cellStyle name="好_试食评价表_物流_開発商品(chen)_副本40期預実（商品部） (3)_週新品観察. 4" xfId="59679"/>
    <cellStyle name="好_试食评价表_物流_開発商品(chen)_副本40期預実（商品部） (3)_週新品観察. 5" xfId="59680"/>
    <cellStyle name="好_试食评价表_物流_開発商品(chen)_副本41期事業計画商品部（備品） (2) (2)" xfId="4985"/>
    <cellStyle name="好_试食评价表_物流_開発商品(chen)_副本41期事業計画商品部（備品） (2) (2) 2" xfId="4986"/>
    <cellStyle name="好_试食评价表_物流_開発商品(chen)_副本41期事業計画商品部（備品） (2) (2) 2 2" xfId="59681"/>
    <cellStyle name="好_试食评价表_物流_開発商品(chen)_副本41期事業計画商品部（備品） (2) (2) 2 3" xfId="59682"/>
    <cellStyle name="好_试食评价表_物流_開発商品(chen)_副本41期事業計画商品部（備品） (2) (2) 2 4" xfId="59683"/>
    <cellStyle name="好_试食评价表_物流_開発商品(chen)_副本41期事業計画商品部（備品） (2) (2) 2 5" xfId="59684"/>
    <cellStyle name="好_试食评价表_物流_開発商品(chen)_副本41期事業計画商品部（備品） (2) (2) 3" xfId="4987"/>
    <cellStyle name="好_试食评价表_物流_開発商品(chen)_副本41期事業計画商品部（備品） (2) (2) 3 2" xfId="59685"/>
    <cellStyle name="好_试食评价表_物流_開発商品(chen)_副本41期事業計画商品部（備品） (2) (2) 3 3" xfId="59686"/>
    <cellStyle name="好_试食评价表_物流_開発商品(chen)_副本41期事業計画商品部（備品） (2) (2) 3 4" xfId="59687"/>
    <cellStyle name="好_试食评价表_物流_開発商品(chen)_副本41期事業計画商品部（備品） (2) (2) 3 5" xfId="59688"/>
    <cellStyle name="好_试食评价表_物流_開発商品(chen)_副本41期事業計画商品部（備品） (2) (2) 4" xfId="59689"/>
    <cellStyle name="好_试食评价表_物流_開発商品(chen)_副本41期事業計画商品部（備品） (2) (2) 5" xfId="59690"/>
    <cellStyle name="好_试食评价表_物流_開発商品(chen)_副本41期事業計画商品部（備品） (2) (2) 6" xfId="59691"/>
    <cellStyle name="好_试食评价表_物流_開発商品(chen)_副本41期事業計画商品部（備品） (2) (2) 7" xfId="59692"/>
    <cellStyle name="好_试食评价表_物流_開発商品(chen)_副本新メニュー観察(上海) 201204 花島添削 (5)" xfId="4988"/>
    <cellStyle name="好_试食评价表_物流_開発商品(chen)_副本新メニュー観察(上海) 201204 花島添削 (5) 2" xfId="59693"/>
    <cellStyle name="好_试食评价表_物流_開発商品(chen)_副本新メニュー観察(上海) 201204 花島添削 (5) 3" xfId="59694"/>
    <cellStyle name="好_试食评价表_物流_開発商品(chen)_副本新メニュー観察(上海) 201204 花島添削 (5) 4" xfId="59695"/>
    <cellStyle name="好_试食评价表_物流_開発商品(chen)_副本新メニュー観察(上海) 201204 花島添削 (5) 5" xfId="59696"/>
    <cellStyle name="好_试食评价表_物流_開発商品(chen)_新メニュー観察(上海) 201204 花島添削 (2) (5)" xfId="4989"/>
    <cellStyle name="好_试食评价表_物流_開発商品(chen)_新メニュー観察(上海) 201204 花島添削 (2) (5) 2" xfId="59697"/>
    <cellStyle name="好_试食评价表_物流_開発商品(chen)_新メニュー観察(上海) 201204 花島添削 (2) (5) 3" xfId="59698"/>
    <cellStyle name="好_试食评价表_物流_開発商品(chen)_新メニュー観察(上海) 201204 花島添削 (2) (5) 4" xfId="59699"/>
    <cellStyle name="好_试食评价表_物流_開発商品(chen)_新メニュー観察(上海) 201204 花島添削 (2) (5) 5" xfId="59700"/>
    <cellStyle name="好_试食评价表_物流_開発商品(chen)_週新品観察." xfId="4990"/>
    <cellStyle name="好_试食评价表_物流_開発商品(chen)_週新品観察. 2" xfId="59701"/>
    <cellStyle name="好_试食评价表_物流_開発商品(chen)_週新品観察. 3" xfId="59702"/>
    <cellStyle name="好_试食评价表_物流_開発商品(chen)_週新品観察. 4" xfId="59703"/>
    <cellStyle name="好_试食评价表_物流_開発商品(chen)_週新品観察. 5" xfId="59704"/>
    <cellStyle name="好_试食评价表_物流_新メニュー観察(上海) 201204 花島添削 (2) (5)" xfId="4991"/>
    <cellStyle name="好_试食评价表_物流_新メニュー観察(上海) 201204 花島添削 (2) (5) 2" xfId="59705"/>
    <cellStyle name="好_试食评价表_物流_新メニュー観察(上海) 201204 花島添削 (2) (5) 3" xfId="59706"/>
    <cellStyle name="好_试食评价表_物流_新メニュー観察(上海) 201204 花島添削 (2) (5) 4" xfId="59707"/>
    <cellStyle name="好_试食评价表_物流_新メニュー観察(上海) 201204 花島添削 (2) (5) 5" xfId="59708"/>
    <cellStyle name="好_试食评价表_物流_週新品観察." xfId="4992"/>
    <cellStyle name="好_试食评价表_物流_週新品観察. 2" xfId="59709"/>
    <cellStyle name="好_试食评价表_物流_週新品観察. 3" xfId="59710"/>
    <cellStyle name="好_试食评价表_物流_週新品観察. 4" xfId="59711"/>
    <cellStyle name="好_试食评价表_物流_週新品観察. 5" xfId="59712"/>
    <cellStyle name="好_试食评价表_新メニュー実績" xfId="4993"/>
    <cellStyle name="好_试食评价表_新メニュー実績 2" xfId="59713"/>
    <cellStyle name="好_试食评价表_新メニュー実績 3" xfId="59714"/>
    <cellStyle name="好_试食评价表_新メニュー実績 4" xfId="59715"/>
    <cellStyle name="好_试食评价表_新メニュー実績 5" xfId="59716"/>
    <cellStyle name="好_试食评价表_新メニュー実績_副本新メニュー観察(上海) 201204 花島添削 (5)" xfId="4994"/>
    <cellStyle name="好_试食评价表_新メニュー実績_副本新メニュー観察(上海) 201204 花島添削 (5) 2" xfId="59717"/>
    <cellStyle name="好_试食评价表_新メニュー実績_副本新メニュー観察(上海) 201204 花島添削 (5) 3" xfId="59718"/>
    <cellStyle name="好_试食评价表_新メニュー実績_副本新メニュー観察(上海) 201204 花島添削 (5) 4" xfId="59719"/>
    <cellStyle name="好_试食评价表_新メニュー実績_副本新メニュー観察(上海) 201204 花島添削 (5) 5" xfId="59720"/>
    <cellStyle name="好_试食评价表_新メニュー実績_新メニュー観察(上海) 201204 花島添削 (2) (5)" xfId="4995"/>
    <cellStyle name="好_试食评价表_新メニュー実績_新メニュー観察(上海) 201204 花島添削 (2) (5) 2" xfId="59721"/>
    <cellStyle name="好_试食评价表_新メニュー実績_新メニュー観察(上海) 201204 花島添削 (2) (5) 3" xfId="59722"/>
    <cellStyle name="好_试食评价表_新メニュー実績_新メニュー観察(上海) 201204 花島添削 (2) (5) 4" xfId="59723"/>
    <cellStyle name="好_试食评价表_新メニュー実績_新メニュー観察(上海) 201204 花島添削 (2) (5) 5" xfId="59724"/>
    <cellStyle name="好_試験・研修" xfId="9138"/>
    <cellStyle name="好_試験・研修_1" xfId="9139"/>
    <cellStyle name="好_試験・研修_2" xfId="9140"/>
    <cellStyle name="好_試験・研修_2 2" xfId="11557"/>
    <cellStyle name="好_試験・研修_2_培训名单通知" xfId="9141"/>
    <cellStyle name="好_試験・研修_3" xfId="9142"/>
    <cellStyle name="好_試験・研修_3 2" xfId="11558"/>
    <cellStyle name="好_試験・研修_3_培训名单通知" xfId="9143"/>
    <cellStyle name="好_試験・研修_4" xfId="9144"/>
    <cellStyle name="好_試験・研修_4 2" xfId="11559"/>
    <cellStyle name="好_試験・研修_4_培训名单通知" xfId="9145"/>
    <cellStyle name="好_価格変動表 2011" xfId="4996"/>
    <cellStyle name="好_価格変動表 2011 2" xfId="59725"/>
    <cellStyle name="好_価格変動表 2011 3" xfId="59726"/>
    <cellStyle name="好_価格変動表 2011 4" xfId="59727"/>
    <cellStyle name="好_调动表" xfId="9147"/>
    <cellStyle name="好_伊藤家广告制品报价2013" xfId="59728"/>
    <cellStyle name="好_伊藤家广告制品报价2013 2" xfId="59729"/>
    <cellStyle name="好_伊藤家广告制品报价2013 3" xfId="59730"/>
    <cellStyle name="好_伊藤家广告制品报价2013 4" xfId="59731"/>
    <cellStyle name="好_伊藤家广告制品报价2013 5" xfId="59732"/>
    <cellStyle name="好_月間購入（全体）" xfId="4997"/>
    <cellStyle name="好_月間購入（全体） 2" xfId="9148"/>
    <cellStyle name="好_月間購入（全体） 3" xfId="59733"/>
    <cellStyle name="好_月間購入（全体） 4" xfId="59734"/>
    <cellStyle name="好_月間購入（全体） 5" xfId="59735"/>
    <cellStyle name="好_月間購入（全体）_201205同業他社比較（商品構成G）" xfId="4998"/>
    <cellStyle name="好_月間購入（全体）_201205同業他社比較（商品構成G） 2" xfId="59736"/>
    <cellStyle name="好_月間購入（全体）_201205同業他社比較（商品構成G） 3" xfId="59737"/>
    <cellStyle name="好_月間購入（全体）_201205同業他社比較（商品構成G） 4" xfId="59738"/>
    <cellStyle name="好_月間購入（全体）_201205同業他社比較（商品構成G） 5" xfId="59739"/>
    <cellStyle name="好_月間購入（全体）_週新品観察." xfId="4999"/>
    <cellStyle name="好_月間購入（全体）_週新品観察. 2" xfId="59740"/>
    <cellStyle name="好_月間購入（全体）_週新品観察. 3" xfId="59741"/>
    <cellStyle name="好_月間購入（全体）_週新品観察. 4" xfId="59742"/>
    <cellStyle name="好_月間購入（全体）_週新品観察. 5" xfId="59743"/>
    <cellStyle name="好_招聘汇总表 " xfId="9151"/>
    <cellStyle name="好_週新品観察." xfId="5000"/>
    <cellStyle name="好_週新品観察. 2" xfId="59744"/>
    <cellStyle name="好_週新品観察. 3" xfId="59745"/>
    <cellStyle name="好_週新品観察. 4" xfId="59746"/>
    <cellStyle name="好_週新品観察. 5" xfId="59747"/>
    <cellStyle name="好_組織図" xfId="9153"/>
    <cellStyle name="合計" xfId="9154"/>
    <cellStyle name="合計 2" xfId="9155"/>
    <cellStyle name="合計 2 2" xfId="11560"/>
    <cellStyle name="合計 2 2 2" xfId="11561"/>
    <cellStyle name="合計 2 2 2 2" xfId="20369"/>
    <cellStyle name="合計 2 2 2 2 2" xfId="25660"/>
    <cellStyle name="合計 2 2 2 3" xfId="25659"/>
    <cellStyle name="合計 2 2 3" xfId="11562"/>
    <cellStyle name="合計 2 2 3 2" xfId="20368"/>
    <cellStyle name="合計 2 2 3 2 2" xfId="25662"/>
    <cellStyle name="合計 2 2 3 3" xfId="25661"/>
    <cellStyle name="合計 2 2 4" xfId="18478"/>
    <cellStyle name="合計 2 2 4 2" xfId="25663"/>
    <cellStyle name="合計 2 2 5" xfId="25658"/>
    <cellStyle name="合計 2 3" xfId="11563"/>
    <cellStyle name="合計 2 3 2" xfId="20367"/>
    <cellStyle name="合計 2 3 2 2" xfId="25665"/>
    <cellStyle name="合計 2 3 3" xfId="25664"/>
    <cellStyle name="合計 2 4" xfId="25666"/>
    <cellStyle name="合計 2 5" xfId="25657"/>
    <cellStyle name="合計 3" xfId="9156"/>
    <cellStyle name="合計 3 2" xfId="11564"/>
    <cellStyle name="合計 3 2 2" xfId="11565"/>
    <cellStyle name="合計 3 2 2 2" xfId="21115"/>
    <cellStyle name="合計 3 2 2 2 2" xfId="25670"/>
    <cellStyle name="合計 3 2 2 3" xfId="25669"/>
    <cellStyle name="合計 3 2 3" xfId="11566"/>
    <cellStyle name="合計 3 2 3 2" xfId="21395"/>
    <cellStyle name="合計 3 2 3 2 2" xfId="25672"/>
    <cellStyle name="合計 3 2 3 3" xfId="25671"/>
    <cellStyle name="合計 3 2 4" xfId="17809"/>
    <cellStyle name="合計 3 2 4 2" xfId="25673"/>
    <cellStyle name="合計 3 2 5" xfId="25668"/>
    <cellStyle name="合計 3 3" xfId="11567"/>
    <cellStyle name="合計 3 3 2" xfId="20366"/>
    <cellStyle name="合計 3 3 2 2" xfId="25675"/>
    <cellStyle name="合計 3 3 3" xfId="25674"/>
    <cellStyle name="合計 3 4" xfId="25676"/>
    <cellStyle name="合計 3 5" xfId="25667"/>
    <cellStyle name="合計 4" xfId="9157"/>
    <cellStyle name="合計 4 2" xfId="11568"/>
    <cellStyle name="合計 4 2 2" xfId="11569"/>
    <cellStyle name="合計 4 2 2 2" xfId="20365"/>
    <cellStyle name="合計 4 2 2 2 2" xfId="25680"/>
    <cellStyle name="合計 4 2 2 3" xfId="25679"/>
    <cellStyle name="合計 4 2 3" xfId="11570"/>
    <cellStyle name="合計 4 2 3 2" xfId="20364"/>
    <cellStyle name="合計 4 2 3 2 2" xfId="25682"/>
    <cellStyle name="合計 4 2 3 3" xfId="25681"/>
    <cellStyle name="合計 4 2 4" xfId="18477"/>
    <cellStyle name="合計 4 2 4 2" xfId="25683"/>
    <cellStyle name="合計 4 2 5" xfId="25678"/>
    <cellStyle name="合計 4 3" xfId="11571"/>
    <cellStyle name="合計 4 3 2" xfId="21394"/>
    <cellStyle name="合計 4 3 2 2" xfId="25685"/>
    <cellStyle name="合計 4 3 3" xfId="25684"/>
    <cellStyle name="合計 4 4" xfId="25686"/>
    <cellStyle name="合計 4 5" xfId="25677"/>
    <cellStyle name="合計 5" xfId="9158"/>
    <cellStyle name="合計 5 2" xfId="11572"/>
    <cellStyle name="合計 5 2 2" xfId="11573"/>
    <cellStyle name="合計 5 2 2 2" xfId="21114"/>
    <cellStyle name="合計 5 2 2 2 2" xfId="25690"/>
    <cellStyle name="合計 5 2 2 3" xfId="25689"/>
    <cellStyle name="合計 5 2 3" xfId="11574"/>
    <cellStyle name="合計 5 2 3 2" xfId="20362"/>
    <cellStyle name="合計 5 2 3 2 2" xfId="25692"/>
    <cellStyle name="合計 5 2 3 3" xfId="25691"/>
    <cellStyle name="合計 5 2 4" xfId="20363"/>
    <cellStyle name="合計 5 2 4 2" xfId="25693"/>
    <cellStyle name="合計 5 2 5" xfId="25688"/>
    <cellStyle name="合計 5 3" xfId="11575"/>
    <cellStyle name="合計 5 3 2" xfId="18476"/>
    <cellStyle name="合計 5 3 2 2" xfId="25695"/>
    <cellStyle name="合計 5 3 3" xfId="25694"/>
    <cellStyle name="合計 5 4" xfId="25696"/>
    <cellStyle name="合計 5 5" xfId="25687"/>
    <cellStyle name="合計 6" xfId="11576"/>
    <cellStyle name="合計 6 2" xfId="11577"/>
    <cellStyle name="合計 6 2 2" xfId="18741"/>
    <cellStyle name="合計 6 2 2 2" xfId="25699"/>
    <cellStyle name="合計 6 2 3" xfId="25698"/>
    <cellStyle name="合計 6 3" xfId="11578"/>
    <cellStyle name="合計 6 3 2" xfId="21113"/>
    <cellStyle name="合計 6 3 2 2" xfId="25701"/>
    <cellStyle name="合計 6 3 3" xfId="25700"/>
    <cellStyle name="合計 6 4" xfId="20361"/>
    <cellStyle name="合計 6 4 2" xfId="25702"/>
    <cellStyle name="合計 6 5" xfId="25697"/>
    <cellStyle name="合計 7" xfId="11579"/>
    <cellStyle name="合計 7 2" xfId="20360"/>
    <cellStyle name="合計 7 2 2" xfId="25704"/>
    <cellStyle name="合計 7 3" xfId="25703"/>
    <cellStyle name="合計 8" xfId="25705"/>
    <cellStyle name="合計 9" xfId="25656"/>
    <cellStyle name="桁区切り [0.00] 2" xfId="128"/>
    <cellStyle name="桁区切り [0.00] 2 10" xfId="61014"/>
    <cellStyle name="桁区切り [0.00] 2 2" xfId="700"/>
    <cellStyle name="桁区切り [0.00] 2 2 2" xfId="5003"/>
    <cellStyle name="桁区切り [0.00] 2 2 2 2" xfId="5004"/>
    <cellStyle name="桁区切り [0.00] 2 2 2 3" xfId="59748"/>
    <cellStyle name="桁区切り [0.00] 2 2 2 4" xfId="59749"/>
    <cellStyle name="桁区切り [0.00] 2 2 2 5" xfId="59750"/>
    <cellStyle name="桁区切り [0.00] 2 2 3" xfId="5005"/>
    <cellStyle name="桁区切り [0.00] 2 2 3 2" xfId="5006"/>
    <cellStyle name="桁区切り [0.00] 2 2 3 3" xfId="59751"/>
    <cellStyle name="桁区切り [0.00] 2 2 3 4" xfId="59752"/>
    <cellStyle name="桁区切り [0.00] 2 2 3 5" xfId="59753"/>
    <cellStyle name="桁区切り [0.00] 2 2 4" xfId="5007"/>
    <cellStyle name="桁区切り [0.00] 2 2 5" xfId="59754"/>
    <cellStyle name="桁区切り [0.00] 2 2 6" xfId="59755"/>
    <cellStyle name="桁区切り [0.00] 2 2 7" xfId="59756"/>
    <cellStyle name="桁区切り [0.00] 2 2 8" xfId="5002"/>
    <cellStyle name="桁区切り [0.00] 2 3" xfId="5008"/>
    <cellStyle name="桁区切り [0.00] 2 3 2" xfId="5009"/>
    <cellStyle name="桁区切り [0.00] 2 3 3" xfId="59757"/>
    <cellStyle name="桁区切り [0.00] 2 3 4" xfId="59758"/>
    <cellStyle name="桁区切り [0.00] 2 3 5" xfId="59759"/>
    <cellStyle name="桁区切り [0.00] 2 4" xfId="5010"/>
    <cellStyle name="桁区切り [0.00] 2 4 2" xfId="5011"/>
    <cellStyle name="桁区切り [0.00] 2 4 3" xfId="59760"/>
    <cellStyle name="桁区切り [0.00] 2 4 4" xfId="59761"/>
    <cellStyle name="桁区切り [0.00] 2 4 5" xfId="59762"/>
    <cellStyle name="桁区切り [0.00] 2 5" xfId="5012"/>
    <cellStyle name="桁区切り [0.00] 2 5 2" xfId="9165"/>
    <cellStyle name="桁区切り [0.00] 2 5 3" xfId="59763"/>
    <cellStyle name="桁区切り [0.00] 2 6" xfId="59764"/>
    <cellStyle name="桁区切り [0.00] 2 7" xfId="59765"/>
    <cellStyle name="桁区切り [0.00] 2 8" xfId="59766"/>
    <cellStyle name="桁区切り [0.00] 2 8 2" xfId="59767"/>
    <cellStyle name="桁区切り [0.00] 2 9" xfId="5001"/>
    <cellStyle name="桁区切り [0.00] 3" xfId="5013"/>
    <cellStyle name="桁区切り [0.00] 3 2" xfId="5014"/>
    <cellStyle name="桁区切り [0.00] 3 2 2" xfId="5015"/>
    <cellStyle name="桁区切り [0.00] 3 3" xfId="59768"/>
    <cellStyle name="桁区切り [0.00] 3 4" xfId="59769"/>
    <cellStyle name="桁区切り [0.00] 3 5" xfId="59770"/>
    <cellStyle name="桁区切り [0.00] 3 6" xfId="59771"/>
    <cellStyle name="桁区切り [0.00] 3 7" xfId="61015"/>
    <cellStyle name="桁区切り [0.00] 4" xfId="9167"/>
    <cellStyle name="桁区切り [0.00] 5" xfId="9168"/>
    <cellStyle name="桁区切り [0.00] 6" xfId="59772"/>
    <cellStyle name="桁区切り [0.00] 7" xfId="59773"/>
    <cellStyle name="桁区切り 10" xfId="73"/>
    <cellStyle name="桁区切り 10 2" xfId="698"/>
    <cellStyle name="桁区切り 10 2 2" xfId="5018"/>
    <cellStyle name="桁区切り 10 2 3" xfId="59774"/>
    <cellStyle name="桁区切り 10 2 4" xfId="59775"/>
    <cellStyle name="桁区切り 10 2 5" xfId="59776"/>
    <cellStyle name="桁区切り 10 2 6" xfId="5017"/>
    <cellStyle name="桁区切り 10 2 7" xfId="61017"/>
    <cellStyle name="桁区切り 10 3" xfId="5019"/>
    <cellStyle name="桁区切り 10 3 2" xfId="5020"/>
    <cellStyle name="桁区切り 10 3 3" xfId="59777"/>
    <cellStyle name="桁区切り 10 3 4" xfId="59778"/>
    <cellStyle name="桁区切り 10 3 5" xfId="59779"/>
    <cellStyle name="桁区切り 10 4" xfId="5021"/>
    <cellStyle name="桁区切り 10 4 2" xfId="5022"/>
    <cellStyle name="桁区切り 10 5" xfId="59780"/>
    <cellStyle name="桁区切り 10 6" xfId="59781"/>
    <cellStyle name="桁区切り 10 7" xfId="59782"/>
    <cellStyle name="桁区切り 10 8" xfId="5016"/>
    <cellStyle name="桁区切り 10 9" xfId="61016"/>
    <cellStyle name="桁区切り 11" xfId="5023"/>
    <cellStyle name="桁区切り 11 2" xfId="5024"/>
    <cellStyle name="桁区切り 11 2 2" xfId="5025"/>
    <cellStyle name="桁区切り 11 2 2 2" xfId="5026"/>
    <cellStyle name="桁区切り 11 2 3" xfId="59783"/>
    <cellStyle name="桁区切り 11 2 4" xfId="59784"/>
    <cellStyle name="桁区切り 11 3" xfId="5027"/>
    <cellStyle name="桁区切り 11 3 2" xfId="5028"/>
    <cellStyle name="桁区切り 11 3 2 2" xfId="5029"/>
    <cellStyle name="桁区切り 11 3 3" xfId="59785"/>
    <cellStyle name="桁区切り 11 3 4" xfId="59786"/>
    <cellStyle name="桁区切り 11 4" xfId="5030"/>
    <cellStyle name="桁区切り 11 4 2" xfId="5031"/>
    <cellStyle name="桁区切り 11 4 3" xfId="5032"/>
    <cellStyle name="桁区切り 11 5" xfId="9172"/>
    <cellStyle name="桁区切り 11 6" xfId="59787"/>
    <cellStyle name="桁区切り 11 7" xfId="59788"/>
    <cellStyle name="桁区切り 12" xfId="5033"/>
    <cellStyle name="桁区切り 12 2" xfId="5034"/>
    <cellStyle name="桁区切り 12 2 2" xfId="59789"/>
    <cellStyle name="桁区切り 12 3" xfId="9175"/>
    <cellStyle name="桁区切り 12 4" xfId="59790"/>
    <cellStyle name="桁区切り 12 5" xfId="59791"/>
    <cellStyle name="桁区切り 12 6" xfId="59792"/>
    <cellStyle name="桁区切り 13" xfId="5035"/>
    <cellStyle name="桁区切り 13 2" xfId="9176"/>
    <cellStyle name="桁区切り 13 3" xfId="59793"/>
    <cellStyle name="桁区切り 14" xfId="5036"/>
    <cellStyle name="桁区切り 14 2" xfId="5037"/>
    <cellStyle name="桁区切り 14 3" xfId="9177"/>
    <cellStyle name="桁区切り 14 3 2" xfId="59794"/>
    <cellStyle name="桁区切り 14 3 2 2" xfId="59795"/>
    <cellStyle name="桁区切り 14 3 2 2 2" xfId="59796"/>
    <cellStyle name="桁区切り 14 3 2 3" xfId="59797"/>
    <cellStyle name="桁区切り 14 3 3" xfId="59798"/>
    <cellStyle name="桁区切り 14 3 3 2" xfId="59799"/>
    <cellStyle name="桁区切り 14 3 3 2 2" xfId="59800"/>
    <cellStyle name="桁区切り 14 3 3 3" xfId="59801"/>
    <cellStyle name="桁区切り 14 3 4" xfId="59802"/>
    <cellStyle name="桁区切り 14 3 4 2" xfId="59803"/>
    <cellStyle name="桁区切り 14 3 4 2 2" xfId="59804"/>
    <cellStyle name="桁区切り 14 3 4 3" xfId="59805"/>
    <cellStyle name="桁区切り 14 3 5" xfId="59806"/>
    <cellStyle name="桁区切り 14 3 5 2" xfId="59807"/>
    <cellStyle name="桁区切り 14 3 6" xfId="59808"/>
    <cellStyle name="桁区切り 14 4" xfId="59809"/>
    <cellStyle name="桁区切り 14 4 2" xfId="59810"/>
    <cellStyle name="桁区切り 14 4 2 2" xfId="59811"/>
    <cellStyle name="桁区切り 14 4 2 2 2" xfId="59812"/>
    <cellStyle name="桁区切り 14 4 2 3" xfId="59813"/>
    <cellStyle name="桁区切り 14 4 3" xfId="59814"/>
    <cellStyle name="桁区切り 14 4 3 2" xfId="59815"/>
    <cellStyle name="桁区切り 14 4 4" xfId="59816"/>
    <cellStyle name="桁区切り 14 5" xfId="59817"/>
    <cellStyle name="桁区切り 14 5 2" xfId="59818"/>
    <cellStyle name="桁区切り 14 6" xfId="59819"/>
    <cellStyle name="桁区切り 14 6 2" xfId="59820"/>
    <cellStyle name="桁区切り 14 6 2 2" xfId="59821"/>
    <cellStyle name="桁区切り 14 6 3" xfId="59822"/>
    <cellStyle name="桁区切り 14 7" xfId="59823"/>
    <cellStyle name="桁区切り 14 7 2" xfId="59824"/>
    <cellStyle name="桁区切り 14 7 2 2" xfId="59825"/>
    <cellStyle name="桁区切り 14 7 3" xfId="59826"/>
    <cellStyle name="桁区切り 14 8" xfId="59827"/>
    <cellStyle name="桁区切り 14 8 2" xfId="59828"/>
    <cellStyle name="桁区切り 14 8 2 2" xfId="59829"/>
    <cellStyle name="桁区切り 14 8 3" xfId="59830"/>
    <cellStyle name="桁区切り 15" xfId="5038"/>
    <cellStyle name="桁区切り 15 2" xfId="59831"/>
    <cellStyle name="桁区切り 16" xfId="59832"/>
    <cellStyle name="桁区切り 16 2" xfId="59833"/>
    <cellStyle name="桁区切り 17" xfId="59834"/>
    <cellStyle name="桁区切り 17 2" xfId="59835"/>
    <cellStyle name="桁区切り 18" xfId="59836"/>
    <cellStyle name="桁区切り 18 2" xfId="59837"/>
    <cellStyle name="桁区切り 18 2 2" xfId="59838"/>
    <cellStyle name="桁区切り 19" xfId="59839"/>
    <cellStyle name="桁区切り 19 2" xfId="59840"/>
    <cellStyle name="桁区切り 2" xfId="129"/>
    <cellStyle name="桁区切り 2 10" xfId="25706"/>
    <cellStyle name="桁区切り 2 11" xfId="59841"/>
    <cellStyle name="桁区切り 2 12" xfId="59842"/>
    <cellStyle name="桁区切り 2 13" xfId="5039"/>
    <cellStyle name="桁区切り 2 14" xfId="61018"/>
    <cellStyle name="桁区切り 2 2" xfId="701"/>
    <cellStyle name="桁区切り 2 2 10" xfId="61019"/>
    <cellStyle name="桁区切り 2 2 2" xfId="5041"/>
    <cellStyle name="桁区切り 2 2 2 2" xfId="5042"/>
    <cellStyle name="桁区切り 2 2 2 2 2" xfId="25707"/>
    <cellStyle name="桁区切り 2 2 2 3" xfId="9181"/>
    <cellStyle name="桁区切り 2 2 2 3 2" xfId="25708"/>
    <cellStyle name="桁区切り 2 2 2 3 2 2" xfId="59843"/>
    <cellStyle name="桁区切り 2 2 2 3 3" xfId="59844"/>
    <cellStyle name="桁区切り 2 2 2 4" xfId="25709"/>
    <cellStyle name="桁区切り 2 2 2 5" xfId="59845"/>
    <cellStyle name="桁区切り 2 2 2 6" xfId="61020"/>
    <cellStyle name="桁区切り 2 2 3" xfId="5043"/>
    <cellStyle name="桁区切り 2 2 3 2" xfId="5044"/>
    <cellStyle name="桁区切り 2 2 3 2 2" xfId="9183"/>
    <cellStyle name="桁区切り 2 2 3 2 3" xfId="59846"/>
    <cellStyle name="桁区切り 2 2 3 3" xfId="9182"/>
    <cellStyle name="桁区切り 2 2 3 4" xfId="59847"/>
    <cellStyle name="桁区切り 2 2 3 5" xfId="59848"/>
    <cellStyle name="桁区切り 2 2 3 6" xfId="61021"/>
    <cellStyle name="桁区切り 2 2 4" xfId="5045"/>
    <cellStyle name="桁区切り 2 2 4 2" xfId="5046"/>
    <cellStyle name="桁区切り 2 2 4 2 2" xfId="59849"/>
    <cellStyle name="桁区切り 2 2 4 3" xfId="5047"/>
    <cellStyle name="桁区切り 2 2 4 4" xfId="9184"/>
    <cellStyle name="桁区切り 2 2 4 5" xfId="59850"/>
    <cellStyle name="桁区切り 2 2 5" xfId="5048"/>
    <cellStyle name="桁区切り 2 2 6" xfId="9180"/>
    <cellStyle name="桁区切り 2 2 6 2" xfId="25710"/>
    <cellStyle name="桁区切り 2 2 7" xfId="59851"/>
    <cellStyle name="桁区切り 2 2 8" xfId="59852"/>
    <cellStyle name="桁区切り 2 2 9" xfId="5040"/>
    <cellStyle name="桁区切り 2 3" xfId="5049"/>
    <cellStyle name="桁区切り 2 3 2" xfId="5050"/>
    <cellStyle name="桁区切り 2 3 2 2" xfId="5051"/>
    <cellStyle name="桁区切り 2 3 2 2 2" xfId="25711"/>
    <cellStyle name="桁区切り 2 3 2 3" xfId="9187"/>
    <cellStyle name="桁区切り 2 3 2 4" xfId="59853"/>
    <cellStyle name="桁区切り 2 3 3" xfId="9186"/>
    <cellStyle name="桁区切り 2 3 3 2" xfId="25712"/>
    <cellStyle name="桁区切り 2 3 4" xfId="25713"/>
    <cellStyle name="桁区切り 2 3 5" xfId="59854"/>
    <cellStyle name="桁区切り 2 4" xfId="5052"/>
    <cellStyle name="桁区切り 2 4 2" xfId="5053"/>
    <cellStyle name="桁区切り 2 4 2 2" xfId="9189"/>
    <cellStyle name="桁区切り 2 4 2 3" xfId="59855"/>
    <cellStyle name="桁区切り 2 4 3" xfId="9188"/>
    <cellStyle name="桁区切り 2 4 4" xfId="59856"/>
    <cellStyle name="桁区切り 2 4 5" xfId="59857"/>
    <cellStyle name="桁区切り 2 5" xfId="5054"/>
    <cellStyle name="桁区切り 2 5 2" xfId="9191"/>
    <cellStyle name="桁区切り 2 5 2 2" xfId="59858"/>
    <cellStyle name="桁区切り 2 5 3" xfId="9190"/>
    <cellStyle name="桁区切り 2 5 4" xfId="59859"/>
    <cellStyle name="桁区切り 2 6" xfId="5055"/>
    <cellStyle name="桁区切り 2 6 2" xfId="9193"/>
    <cellStyle name="桁区切り 2 6 3" xfId="9192"/>
    <cellStyle name="桁区切り 2 6 4" xfId="59860"/>
    <cellStyle name="桁区切り 2 7" xfId="9194"/>
    <cellStyle name="桁区切り 2 7 2" xfId="59861"/>
    <cellStyle name="桁区切り 2 8" xfId="9195"/>
    <cellStyle name="桁区切り 2 9" xfId="9196"/>
    <cellStyle name="桁区切り 2_試験・研修" xfId="9197"/>
    <cellStyle name="桁区切り 20" xfId="59862"/>
    <cellStyle name="桁区切り 21" xfId="59863"/>
    <cellStyle name="桁区切り 22" xfId="9198"/>
    <cellStyle name="桁区切り 23" xfId="59864"/>
    <cellStyle name="桁区切り 24" xfId="59865"/>
    <cellStyle name="桁区切り 25" xfId="59866"/>
    <cellStyle name="桁区切り 26" xfId="59867"/>
    <cellStyle name="桁区切り 27" xfId="59868"/>
    <cellStyle name="桁区切り 3" xfId="130"/>
    <cellStyle name="桁区切り 3 10" xfId="9200"/>
    <cellStyle name="桁区切り 3 11" xfId="9201"/>
    <cellStyle name="桁区切り 3 11 2" xfId="9202"/>
    <cellStyle name="桁区切り 3 12" xfId="25714"/>
    <cellStyle name="桁区切り 3 13" xfId="59869"/>
    <cellStyle name="桁区切り 3 14" xfId="5056"/>
    <cellStyle name="桁区切り 3 15" xfId="61022"/>
    <cellStyle name="桁区切り 3 18" xfId="9203"/>
    <cellStyle name="桁区切り 3 18 2" xfId="9204"/>
    <cellStyle name="桁区切り 3 19" xfId="9205"/>
    <cellStyle name="桁区切り 3 19 2" xfId="9206"/>
    <cellStyle name="桁区切り 3 2" xfId="702"/>
    <cellStyle name="桁区切り 3 2 10" xfId="9207"/>
    <cellStyle name="桁区切り 3 2 10 2" xfId="25715"/>
    <cellStyle name="桁区切り 3 2 11" xfId="59870"/>
    <cellStyle name="桁区切り 3 2 12" xfId="5057"/>
    <cellStyle name="桁区切り 3 2 13" xfId="61023"/>
    <cellStyle name="桁区切り 3 2 2" xfId="5058"/>
    <cellStyle name="桁区切り 3 2 2 2" xfId="5059"/>
    <cellStyle name="桁区切り 3 2 2 2 2" xfId="5060"/>
    <cellStyle name="桁区切り 3 2 2 2 2 2" xfId="5061"/>
    <cellStyle name="桁区切り 3 2 2 2 2 2 2" xfId="9212"/>
    <cellStyle name="桁区切り 3 2 2 2 2 2 3" xfId="9211"/>
    <cellStyle name="桁区切り 3 2 2 2 2 2 4" xfId="59871"/>
    <cellStyle name="桁区切り 3 2 2 2 2 3" xfId="9213"/>
    <cellStyle name="桁区切り 3 2 2 2 2 3 2" xfId="59872"/>
    <cellStyle name="桁区切り 3 2 2 2 2 4" xfId="9214"/>
    <cellStyle name="桁区切り 3 2 2 2 2 5" xfId="9210"/>
    <cellStyle name="桁区切り 3 2 2 2 3" xfId="9215"/>
    <cellStyle name="桁区切り 3 2 2 2 3 2" xfId="59873"/>
    <cellStyle name="桁区切り 3 2 2 2 4" xfId="9216"/>
    <cellStyle name="桁区切り 3 2 2 3" xfId="9217"/>
    <cellStyle name="桁区切り 3 2 2 4" xfId="25716"/>
    <cellStyle name="桁区切り 3 2 2 5" xfId="59874"/>
    <cellStyle name="桁区切り 3 2 3" xfId="5062"/>
    <cellStyle name="桁区切り 3 2 3 2" xfId="5063"/>
    <cellStyle name="桁区切り 3 2 3 2 2" xfId="5064"/>
    <cellStyle name="桁区切り 3 2 3 2 3" xfId="59875"/>
    <cellStyle name="桁区切り 3 2 3 2 4" xfId="59876"/>
    <cellStyle name="桁区切り 3 2 3 3" xfId="9218"/>
    <cellStyle name="桁区切り 3 2 3 4" xfId="59877"/>
    <cellStyle name="桁区切り 3 2 3 5" xfId="59878"/>
    <cellStyle name="桁区切り 3 2 4" xfId="5065"/>
    <cellStyle name="桁区切り 3 2 4 2" xfId="5066"/>
    <cellStyle name="桁区切り 3 2 4 2 2" xfId="5067"/>
    <cellStyle name="桁区切り 3 2 4 2 3" xfId="9220"/>
    <cellStyle name="桁区切り 3 2 4 2 4" xfId="59879"/>
    <cellStyle name="桁区切り 3 2 4 3" xfId="9219"/>
    <cellStyle name="桁区切り 3 2 4 4" xfId="59880"/>
    <cellStyle name="桁区切り 3 2 4 5" xfId="59881"/>
    <cellStyle name="桁区切り 3 2 5" xfId="5068"/>
    <cellStyle name="桁区切り 3 2 5 2" xfId="5069"/>
    <cellStyle name="桁区切り 3 2 5 2 2" xfId="9222"/>
    <cellStyle name="桁区切り 3 2 5 2 3" xfId="59882"/>
    <cellStyle name="桁区切り 3 2 5 3" xfId="9221"/>
    <cellStyle name="桁区切り 3 2 5 4" xfId="59883"/>
    <cellStyle name="桁区切り 3 2 5 5" xfId="59884"/>
    <cellStyle name="桁区切り 3 2 6" xfId="5070"/>
    <cellStyle name="桁区切り 3 2 6 2" xfId="9224"/>
    <cellStyle name="桁区切り 3 2 6 3" xfId="9223"/>
    <cellStyle name="桁区切り 3 2 6 4" xfId="59885"/>
    <cellStyle name="桁区切り 3 2 6 5" xfId="59886"/>
    <cellStyle name="桁区切り 3 2 7" xfId="5071"/>
    <cellStyle name="桁区切り 3 2 7 10" xfId="9225"/>
    <cellStyle name="桁区切り 3 2 7 11" xfId="59887"/>
    <cellStyle name="桁区切り 3 2 7 2" xfId="5072"/>
    <cellStyle name="桁区切り 3 2 7 2 2" xfId="9226"/>
    <cellStyle name="桁区切り 3 2 7 2 3" xfId="59888"/>
    <cellStyle name="桁区切り 3 2 7 3" xfId="5073"/>
    <cellStyle name="桁区切り 3 2 7 3 2" xfId="9227"/>
    <cellStyle name="桁区切り 3 2 7 3 3" xfId="59889"/>
    <cellStyle name="桁区切り 3 2 7 4" xfId="5074"/>
    <cellStyle name="桁区切り 3 2 7 4 2" xfId="9228"/>
    <cellStyle name="桁区切り 3 2 7 4 3" xfId="59890"/>
    <cellStyle name="桁区切り 3 2 7 5" xfId="5075"/>
    <cellStyle name="桁区切り 3 2 7 5 2" xfId="9229"/>
    <cellStyle name="桁区切り 3 2 7 5 3" xfId="59891"/>
    <cellStyle name="桁区切り 3 2 7 6" xfId="5076"/>
    <cellStyle name="桁区切り 3 2 7 6 2" xfId="9230"/>
    <cellStyle name="桁区切り 3 2 7 6 3" xfId="59892"/>
    <cellStyle name="桁区切り 3 2 7 7" xfId="5077"/>
    <cellStyle name="桁区切り 3 2 7 7 2" xfId="9231"/>
    <cellStyle name="桁区切り 3 2 7 7 3" xfId="59893"/>
    <cellStyle name="桁区切り 3 2 7 8" xfId="5078"/>
    <cellStyle name="桁区切り 3 2 7 8 2" xfId="9232"/>
    <cellStyle name="桁区切り 3 2 7 8 3" xfId="59894"/>
    <cellStyle name="桁区切り 3 2 7 9" xfId="9233"/>
    <cellStyle name="桁区切り 3 2 8" xfId="9234"/>
    <cellStyle name="桁区切り 3 2 9" xfId="9235"/>
    <cellStyle name="桁区切り 3 3" xfId="5079"/>
    <cellStyle name="桁区切り 3 3 2" xfId="5080"/>
    <cellStyle name="桁区切り 3 3 2 2" xfId="5081"/>
    <cellStyle name="桁区切り 3 3 2 3" xfId="25717"/>
    <cellStyle name="桁区切り 3 3 2 4" xfId="59895"/>
    <cellStyle name="桁区切り 3 3 3" xfId="59896"/>
    <cellStyle name="桁区切り 3 3 4" xfId="59897"/>
    <cellStyle name="桁区切り 3 3 5" xfId="59898"/>
    <cellStyle name="桁区切り 3 3 6" xfId="61024"/>
    <cellStyle name="桁区切り 3 4" xfId="5082"/>
    <cellStyle name="桁区切り 3 4 2" xfId="5083"/>
    <cellStyle name="桁区切り 3 4 3" xfId="59899"/>
    <cellStyle name="桁区切り 3 4 4" xfId="59900"/>
    <cellStyle name="桁区切り 3 4 5" xfId="59901"/>
    <cellStyle name="桁区切り 3 5" xfId="5084"/>
    <cellStyle name="桁区切り 3 5 2" xfId="5085"/>
    <cellStyle name="桁区切り 3 5 2 2" xfId="9239"/>
    <cellStyle name="桁区切り 3 5 2 3" xfId="59902"/>
    <cellStyle name="桁区切り 3 5 3" xfId="9238"/>
    <cellStyle name="桁区切り 3 5 4" xfId="59903"/>
    <cellStyle name="桁区切り 3 6" xfId="5086"/>
    <cellStyle name="桁区切り 3 6 2" xfId="5087"/>
    <cellStyle name="桁区切り 3 6 2 2" xfId="9241"/>
    <cellStyle name="桁区切り 3 6 2 3" xfId="59904"/>
    <cellStyle name="桁区切り 3 6 3" xfId="9240"/>
    <cellStyle name="桁区切り 3 6 4" xfId="59905"/>
    <cellStyle name="桁区切り 3 7" xfId="9242"/>
    <cellStyle name="桁区切り 3 7 2" xfId="9243"/>
    <cellStyle name="桁区切り 3 8" xfId="9244"/>
    <cellStyle name="桁区切り 3 8 2" xfId="9245"/>
    <cellStyle name="桁区切り 3 9" xfId="9246"/>
    <cellStyle name="桁区切り 3_201205同業他社比較（商品構成G）" xfId="5088"/>
    <cellStyle name="桁区切り 4" xfId="131"/>
    <cellStyle name="桁区切り 4 10" xfId="5089"/>
    <cellStyle name="桁区切り 4 11" xfId="61025"/>
    <cellStyle name="桁区切り 4 2" xfId="703"/>
    <cellStyle name="桁区切り 4 2 2" xfId="5091"/>
    <cellStyle name="桁区切り 4 2 2 2" xfId="5092"/>
    <cellStyle name="桁区切り 4 2 2 3" xfId="59906"/>
    <cellStyle name="桁区切り 4 2 2 4" xfId="59907"/>
    <cellStyle name="桁区切り 4 2 2 5" xfId="59908"/>
    <cellStyle name="桁区切り 4 2 2 6" xfId="61027"/>
    <cellStyle name="桁区切り 4 2 3" xfId="5093"/>
    <cellStyle name="桁区切り 4 2 3 2" xfId="5094"/>
    <cellStyle name="桁区切り 4 2 3 3" xfId="59909"/>
    <cellStyle name="桁区切り 4 2 3 4" xfId="59910"/>
    <cellStyle name="桁区切り 4 2 3 5" xfId="59911"/>
    <cellStyle name="桁区切り 4 2 4" xfId="5095"/>
    <cellStyle name="桁区切り 4 2 4 2" xfId="5096"/>
    <cellStyle name="桁区切り 4 2 5" xfId="59912"/>
    <cellStyle name="桁区切り 4 2 6" xfId="59913"/>
    <cellStyle name="桁区切り 4 2 7" xfId="5090"/>
    <cellStyle name="桁区切り 4 2 8" xfId="61026"/>
    <cellStyle name="桁区切り 4 3" xfId="5097"/>
    <cellStyle name="桁区切り 4 3 2" xfId="5098"/>
    <cellStyle name="桁区切り 4 3 2 2" xfId="5099"/>
    <cellStyle name="桁区切り 4 3 2 3" xfId="59914"/>
    <cellStyle name="桁区切り 4 3 3" xfId="59915"/>
    <cellStyle name="桁区切り 4 3 4" xfId="59916"/>
    <cellStyle name="桁区切り 4 3 5" xfId="59917"/>
    <cellStyle name="桁区切り 4 3 6" xfId="61028"/>
    <cellStyle name="桁区切り 4 4" xfId="5100"/>
    <cellStyle name="桁区切り 4 4 2" xfId="5101"/>
    <cellStyle name="桁区切り 4 4 2 2" xfId="5102"/>
    <cellStyle name="桁区切り 4 4 2 3" xfId="59918"/>
    <cellStyle name="桁区切り 4 4 3" xfId="59919"/>
    <cellStyle name="桁区切り 4 4 4" xfId="59920"/>
    <cellStyle name="桁区切り 4 4 5" xfId="59921"/>
    <cellStyle name="桁区切り 4 4 6" xfId="61029"/>
    <cellStyle name="桁区切り 4 5" xfId="5103"/>
    <cellStyle name="桁区切り 4 5 2" xfId="5104"/>
    <cellStyle name="桁区切り 4 5 3" xfId="9256"/>
    <cellStyle name="桁区切り 4 5 4" xfId="59922"/>
    <cellStyle name="桁区切り 4 6" xfId="5105"/>
    <cellStyle name="桁区切り 4 6 2" xfId="9257"/>
    <cellStyle name="桁区切り 4 6 3" xfId="59923"/>
    <cellStyle name="桁区切り 4 6 4" xfId="59924"/>
    <cellStyle name="桁区切り 4 7" xfId="9248"/>
    <cellStyle name="桁区切り 4 8" xfId="59925"/>
    <cellStyle name="桁区切り 4 9" xfId="59926"/>
    <cellStyle name="桁区切り 4_組織図" xfId="9258"/>
    <cellStyle name="桁区切り 5" xfId="132"/>
    <cellStyle name="桁区切り 5 10" xfId="61030"/>
    <cellStyle name="桁区切り 5 2" xfId="704"/>
    <cellStyle name="桁区切り 5 2 2" xfId="5108"/>
    <cellStyle name="桁区切り 5 2 2 2" xfId="5109"/>
    <cellStyle name="桁区切り 5 2 2 3" xfId="59927"/>
    <cellStyle name="桁区切り 5 2 2 4" xfId="59928"/>
    <cellStyle name="桁区切り 5 2 2 5" xfId="59929"/>
    <cellStyle name="桁区切り 5 2 3" xfId="5110"/>
    <cellStyle name="桁区切り 5 2 3 2" xfId="5111"/>
    <cellStyle name="桁区切り 5 2 3 3" xfId="59930"/>
    <cellStyle name="桁区切り 5 2 3 4" xfId="59931"/>
    <cellStyle name="桁区切り 5 2 3 5" xfId="59932"/>
    <cellStyle name="桁区切り 5 2 4" xfId="5112"/>
    <cellStyle name="桁区切り 5 2 5" xfId="59933"/>
    <cellStyle name="桁区切り 5 2 6" xfId="59934"/>
    <cellStyle name="桁区切り 5 2 7" xfId="59935"/>
    <cellStyle name="桁区切り 5 2 8" xfId="5107"/>
    <cellStyle name="桁区切り 5 2 9" xfId="61031"/>
    <cellStyle name="桁区切り 5 3" xfId="5113"/>
    <cellStyle name="桁区切り 5 3 2" xfId="5114"/>
    <cellStyle name="桁区切り 5 3 3" xfId="59936"/>
    <cellStyle name="桁区切り 5 3 4" xfId="59937"/>
    <cellStyle name="桁区切り 5 3 5" xfId="59938"/>
    <cellStyle name="桁区切り 5 3 6" xfId="61032"/>
    <cellStyle name="桁区切り 5 4" xfId="5115"/>
    <cellStyle name="桁区切り 5 4 2" xfId="5116"/>
    <cellStyle name="桁区切り 5 4 3" xfId="59939"/>
    <cellStyle name="桁区切り 5 4 4" xfId="59940"/>
    <cellStyle name="桁区切り 5 4 5" xfId="59941"/>
    <cellStyle name="桁区切り 5 5" xfId="5117"/>
    <cellStyle name="桁区切り 5 6" xfId="9259"/>
    <cellStyle name="桁区切り 5 7" xfId="59942"/>
    <cellStyle name="桁区切り 5 8" xfId="59943"/>
    <cellStyle name="桁区切り 5 9" xfId="5106"/>
    <cellStyle name="桁区切り 6" xfId="133"/>
    <cellStyle name="桁区切り 6 2" xfId="705"/>
    <cellStyle name="桁区切り 6 2 2" xfId="5120"/>
    <cellStyle name="桁区切り 6 2 3" xfId="59944"/>
    <cellStyle name="桁区切り 6 2 4" xfId="59945"/>
    <cellStyle name="桁区切り 6 2 5" xfId="59946"/>
    <cellStyle name="桁区切り 6 2 6" xfId="5119"/>
    <cellStyle name="桁区切り 6 2 7" xfId="61034"/>
    <cellStyle name="桁区切り 6 3" xfId="5121"/>
    <cellStyle name="桁区切り 6 3 2" xfId="5122"/>
    <cellStyle name="桁区切り 6 3 3" xfId="59947"/>
    <cellStyle name="桁区切り 6 3 4" xfId="59948"/>
    <cellStyle name="桁区切り 6 3 5" xfId="59949"/>
    <cellStyle name="桁区切り 6 4" xfId="5123"/>
    <cellStyle name="桁区切り 6 4 2" xfId="59950"/>
    <cellStyle name="桁区切り 6 4 3" xfId="59951"/>
    <cellStyle name="桁区切り 6 5" xfId="59952"/>
    <cellStyle name="桁区切り 6 6" xfId="59953"/>
    <cellStyle name="桁区切り 6 7" xfId="59954"/>
    <cellStyle name="桁区切り 6 8" xfId="5118"/>
    <cellStyle name="桁区切り 6 9" xfId="61033"/>
    <cellStyle name="桁区切り 7" xfId="134"/>
    <cellStyle name="桁区切り 7 10" xfId="61035"/>
    <cellStyle name="桁区切り 7 2" xfId="706"/>
    <cellStyle name="桁区切り 7 2 2" xfId="5126"/>
    <cellStyle name="桁区切り 7 2 3" xfId="59955"/>
    <cellStyle name="桁区切り 7 2 4" xfId="59956"/>
    <cellStyle name="桁区切り 7 2 5" xfId="59957"/>
    <cellStyle name="桁区切り 7 2 6" xfId="5125"/>
    <cellStyle name="桁区切り 7 2 7" xfId="61036"/>
    <cellStyle name="桁区切り 7 3" xfId="5127"/>
    <cellStyle name="桁区切り 7 3 2" xfId="5128"/>
    <cellStyle name="桁区切り 7 3 3" xfId="59958"/>
    <cellStyle name="桁区切り 7 3 4" xfId="59959"/>
    <cellStyle name="桁区切り 7 3 5" xfId="59960"/>
    <cellStyle name="桁区切り 7 4" xfId="5129"/>
    <cellStyle name="桁区切り 7 5" xfId="59961"/>
    <cellStyle name="桁区切り 7 6" xfId="59962"/>
    <cellStyle name="桁区切り 7 7" xfId="59963"/>
    <cellStyle name="桁区切り 7 8" xfId="59964"/>
    <cellStyle name="桁区切り 7 9" xfId="5124"/>
    <cellStyle name="桁区切り 8" xfId="135"/>
    <cellStyle name="桁区切り 8 10" xfId="61037"/>
    <cellStyle name="桁区切り 8 2" xfId="707"/>
    <cellStyle name="桁区切り 8 2 2" xfId="5132"/>
    <cellStyle name="桁区切り 8 2 3" xfId="59965"/>
    <cellStyle name="桁区切り 8 2 4" xfId="59966"/>
    <cellStyle name="桁区切り 8 2 5" xfId="59967"/>
    <cellStyle name="桁区切り 8 2 6" xfId="5131"/>
    <cellStyle name="桁区切り 8 2 7" xfId="61038"/>
    <cellStyle name="桁区切り 8 3" xfId="5133"/>
    <cellStyle name="桁区切り 8 3 2" xfId="5134"/>
    <cellStyle name="桁区切り 8 3 3" xfId="59968"/>
    <cellStyle name="桁区切り 8 3 4" xfId="59969"/>
    <cellStyle name="桁区切り 8 3 5" xfId="59970"/>
    <cellStyle name="桁区切り 8 4" xfId="5135"/>
    <cellStyle name="桁区切り 8 4 2" xfId="5136"/>
    <cellStyle name="桁区切り 8 5" xfId="59971"/>
    <cellStyle name="桁区切り 8 6" xfId="59972"/>
    <cellStyle name="桁区切り 8 7" xfId="59973"/>
    <cellStyle name="桁区切り 8 8" xfId="59974"/>
    <cellStyle name="桁区切り 8 9" xfId="5130"/>
    <cellStyle name="桁区切り 9" xfId="136"/>
    <cellStyle name="桁区切り 9 2" xfId="708"/>
    <cellStyle name="桁区切り 9 2 2" xfId="5139"/>
    <cellStyle name="桁区切り 9 2 3" xfId="59975"/>
    <cellStyle name="桁区切り 9 2 4" xfId="59976"/>
    <cellStyle name="桁区切り 9 2 5" xfId="59977"/>
    <cellStyle name="桁区切り 9 2 6" xfId="5138"/>
    <cellStyle name="桁区切り 9 2 7" xfId="61040"/>
    <cellStyle name="桁区切り 9 3" xfId="5140"/>
    <cellStyle name="桁区切り 9 3 2" xfId="5141"/>
    <cellStyle name="桁区切り 9 3 3" xfId="59978"/>
    <cellStyle name="桁区切り 9 3 4" xfId="59979"/>
    <cellStyle name="桁区切り 9 3 5" xfId="59980"/>
    <cellStyle name="桁区切り 9 4" xfId="5142"/>
    <cellStyle name="桁区切り 9 4 2" xfId="5143"/>
    <cellStyle name="桁区切り 9 5" xfId="59981"/>
    <cellStyle name="桁区切り 9 6" xfId="59982"/>
    <cellStyle name="桁区切り 9 7" xfId="59983"/>
    <cellStyle name="桁区切り 9 8" xfId="5137"/>
    <cellStyle name="桁区切り 9 9" xfId="61039"/>
    <cellStyle name="横倍角(602R)" xfId="9278"/>
    <cellStyle name="后继超级链接_AM3明细表入库数" xfId="59984"/>
    <cellStyle name="壞" xfId="9279"/>
    <cellStyle name="壞_2011投資コスト-verHK110427" xfId="9280"/>
    <cellStyle name="汇总 10" xfId="9281"/>
    <cellStyle name="汇总 10 2" xfId="9282"/>
    <cellStyle name="汇总 10 2 2" xfId="11580"/>
    <cellStyle name="汇总 10 2 2 2" xfId="11581"/>
    <cellStyle name="汇总 10 2 2 2 2" xfId="20358"/>
    <cellStyle name="汇总 10 2 2 2 2 2" xfId="25722"/>
    <cellStyle name="汇总 10 2 2 2 3" xfId="25721"/>
    <cellStyle name="汇总 10 2 2 3" xfId="11582"/>
    <cellStyle name="汇总 10 2 2 3 2" xfId="18475"/>
    <cellStyle name="汇总 10 2 2 3 2 2" xfId="25724"/>
    <cellStyle name="汇总 10 2 2 3 3" xfId="25723"/>
    <cellStyle name="汇总 10 2 2 4" xfId="20359"/>
    <cellStyle name="汇总 10 2 2 4 2" xfId="25725"/>
    <cellStyle name="汇总 10 2 2 5" xfId="25720"/>
    <cellStyle name="汇总 10 2 3" xfId="11583"/>
    <cellStyle name="汇总 10 2 3 2" xfId="21112"/>
    <cellStyle name="汇总 10 2 3 2 2" xfId="25727"/>
    <cellStyle name="汇总 10 2 3 3" xfId="25726"/>
    <cellStyle name="汇总 10 2 4" xfId="25728"/>
    <cellStyle name="汇总 10 2 5" xfId="25719"/>
    <cellStyle name="汇总 10 3" xfId="9283"/>
    <cellStyle name="汇总 10 3 2" xfId="11584"/>
    <cellStyle name="汇总 10 3 2 2" xfId="11585"/>
    <cellStyle name="汇总 10 3 2 2 2" xfId="20356"/>
    <cellStyle name="汇总 10 3 2 2 2 2" xfId="25732"/>
    <cellStyle name="汇总 10 3 2 2 3" xfId="25731"/>
    <cellStyle name="汇总 10 3 2 3" xfId="11586"/>
    <cellStyle name="汇总 10 3 2 3 2" xfId="20355"/>
    <cellStyle name="汇总 10 3 2 3 2 2" xfId="25734"/>
    <cellStyle name="汇总 10 3 2 3 3" xfId="25733"/>
    <cellStyle name="汇总 10 3 2 4" xfId="20357"/>
    <cellStyle name="汇总 10 3 2 4 2" xfId="25735"/>
    <cellStyle name="汇总 10 3 2 5" xfId="25730"/>
    <cellStyle name="汇总 10 3 3" xfId="11587"/>
    <cellStyle name="汇总 10 3 3 2" xfId="20354"/>
    <cellStyle name="汇总 10 3 3 2 2" xfId="25737"/>
    <cellStyle name="汇总 10 3 3 3" xfId="25736"/>
    <cellStyle name="汇总 10 3 4" xfId="25738"/>
    <cellStyle name="汇总 10 3 5" xfId="25729"/>
    <cellStyle name="汇总 10 4" xfId="9284"/>
    <cellStyle name="汇总 10 4 2" xfId="11588"/>
    <cellStyle name="汇总 10 4 2 2" xfId="11589"/>
    <cellStyle name="汇总 10 4 2 2 2" xfId="21393"/>
    <cellStyle name="汇总 10 4 2 2 2 2" xfId="25742"/>
    <cellStyle name="汇总 10 4 2 2 3" xfId="25741"/>
    <cellStyle name="汇总 10 4 2 3" xfId="11590"/>
    <cellStyle name="汇总 10 4 2 3 2" xfId="18474"/>
    <cellStyle name="汇总 10 4 2 3 2 2" xfId="25744"/>
    <cellStyle name="汇总 10 4 2 3 3" xfId="25743"/>
    <cellStyle name="汇总 10 4 2 4" xfId="18646"/>
    <cellStyle name="汇总 10 4 2 4 2" xfId="25745"/>
    <cellStyle name="汇总 10 4 2 5" xfId="25740"/>
    <cellStyle name="汇总 10 4 3" xfId="11591"/>
    <cellStyle name="汇总 10 4 3 2" xfId="18473"/>
    <cellStyle name="汇总 10 4 3 2 2" xfId="25747"/>
    <cellStyle name="汇总 10 4 3 3" xfId="25746"/>
    <cellStyle name="汇总 10 4 4" xfId="25748"/>
    <cellStyle name="汇总 10 4 5" xfId="25739"/>
    <cellStyle name="汇总 10 5" xfId="9285"/>
    <cellStyle name="汇总 10 5 2" xfId="11592"/>
    <cellStyle name="汇总 10 5 2 2" xfId="11593"/>
    <cellStyle name="汇总 10 5 2 2 2" xfId="21111"/>
    <cellStyle name="汇总 10 5 2 2 2 2" xfId="25752"/>
    <cellStyle name="汇总 10 5 2 2 3" xfId="25751"/>
    <cellStyle name="汇总 10 5 2 3" xfId="11594"/>
    <cellStyle name="汇总 10 5 2 3 2" xfId="21110"/>
    <cellStyle name="汇总 10 5 2 3 2 2" xfId="25754"/>
    <cellStyle name="汇总 10 5 2 3 3" xfId="25753"/>
    <cellStyle name="汇总 10 5 2 4" xfId="20353"/>
    <cellStyle name="汇总 10 5 2 4 2" xfId="25755"/>
    <cellStyle name="汇总 10 5 2 5" xfId="25750"/>
    <cellStyle name="汇总 10 5 3" xfId="11595"/>
    <cellStyle name="汇总 10 5 3 2" xfId="20352"/>
    <cellStyle name="汇总 10 5 3 2 2" xfId="25757"/>
    <cellStyle name="汇总 10 5 3 3" xfId="25756"/>
    <cellStyle name="汇总 10 5 4" xfId="25758"/>
    <cellStyle name="汇总 10 5 5" xfId="25749"/>
    <cellStyle name="汇总 10 6" xfId="11596"/>
    <cellStyle name="汇总 10 6 2" xfId="11597"/>
    <cellStyle name="汇总 10 6 2 2" xfId="21391"/>
    <cellStyle name="汇总 10 6 2 2 2" xfId="25761"/>
    <cellStyle name="汇总 10 6 2 3" xfId="25760"/>
    <cellStyle name="汇总 10 6 3" xfId="11598"/>
    <cellStyle name="汇总 10 6 3 2" xfId="21390"/>
    <cellStyle name="汇总 10 6 3 2 2" xfId="25763"/>
    <cellStyle name="汇总 10 6 3 3" xfId="25762"/>
    <cellStyle name="汇总 10 6 4" xfId="21392"/>
    <cellStyle name="汇总 10 6 4 2" xfId="25764"/>
    <cellStyle name="汇总 10 6 5" xfId="25759"/>
    <cellStyle name="汇总 10 7" xfId="11599"/>
    <cellStyle name="汇总 10 7 2" xfId="20351"/>
    <cellStyle name="汇总 10 7 2 2" xfId="25766"/>
    <cellStyle name="汇总 10 7 3" xfId="25765"/>
    <cellStyle name="汇总 10 8" xfId="25767"/>
    <cellStyle name="汇总 10 9" xfId="25718"/>
    <cellStyle name="汇总 11" xfId="25768"/>
    <cellStyle name="汇总 2" xfId="682"/>
    <cellStyle name="汇总 2 10" xfId="9287"/>
    <cellStyle name="汇总 2 10 2" xfId="9288"/>
    <cellStyle name="汇总 2 10 2 2" xfId="11600"/>
    <cellStyle name="汇总 2 10 2 2 2" xfId="11601"/>
    <cellStyle name="汇总 2 10 2 2 2 2" xfId="18472"/>
    <cellStyle name="汇总 2 10 2 2 2 2 2" xfId="25773"/>
    <cellStyle name="汇总 2 10 2 2 2 3" xfId="25772"/>
    <cellStyle name="汇总 2 10 2 2 3" xfId="11602"/>
    <cellStyle name="汇总 2 10 2 2 3 2" xfId="21109"/>
    <cellStyle name="汇总 2 10 2 2 3 2 2" xfId="25775"/>
    <cellStyle name="汇总 2 10 2 2 3 3" xfId="25774"/>
    <cellStyle name="汇总 2 10 2 2 4" xfId="20350"/>
    <cellStyle name="汇总 2 10 2 2 4 2" xfId="25776"/>
    <cellStyle name="汇总 2 10 2 2 5" xfId="25771"/>
    <cellStyle name="汇总 2 10 2 3" xfId="11603"/>
    <cellStyle name="汇总 2 10 2 3 2" xfId="20349"/>
    <cellStyle name="汇总 2 10 2 3 2 2" xfId="25778"/>
    <cellStyle name="汇总 2 10 2 3 3" xfId="25777"/>
    <cellStyle name="汇总 2 10 2 4" xfId="25779"/>
    <cellStyle name="汇总 2 10 2 5" xfId="25770"/>
    <cellStyle name="汇总 2 10 3" xfId="9289"/>
    <cellStyle name="汇总 2 10 3 2" xfId="11604"/>
    <cellStyle name="汇总 2 10 3 2 2" xfId="11605"/>
    <cellStyle name="汇总 2 10 3 2 2 2" xfId="20348"/>
    <cellStyle name="汇总 2 10 3 2 2 2 2" xfId="25783"/>
    <cellStyle name="汇总 2 10 3 2 2 3" xfId="25782"/>
    <cellStyle name="汇总 2 10 3 2 3" xfId="11606"/>
    <cellStyle name="汇总 2 10 3 2 3 2" xfId="20347"/>
    <cellStyle name="汇总 2 10 3 2 3 2 2" xfId="25785"/>
    <cellStyle name="汇总 2 10 3 2 3 3" xfId="25784"/>
    <cellStyle name="汇总 2 10 3 2 4" xfId="18740"/>
    <cellStyle name="汇总 2 10 3 2 4 2" xfId="25786"/>
    <cellStyle name="汇总 2 10 3 2 5" xfId="25781"/>
    <cellStyle name="汇总 2 10 3 3" xfId="11607"/>
    <cellStyle name="汇总 2 10 3 3 2" xfId="21108"/>
    <cellStyle name="汇总 2 10 3 3 2 2" xfId="25788"/>
    <cellStyle name="汇总 2 10 3 3 3" xfId="25787"/>
    <cellStyle name="汇总 2 10 3 4" xfId="25789"/>
    <cellStyle name="汇总 2 10 3 5" xfId="25780"/>
    <cellStyle name="汇总 2 10 4" xfId="9290"/>
    <cellStyle name="汇总 2 10 4 2" xfId="11608"/>
    <cellStyle name="汇总 2 10 4 2 2" xfId="11609"/>
    <cellStyle name="汇总 2 10 4 2 2 2" xfId="18471"/>
    <cellStyle name="汇总 2 10 4 2 2 2 2" xfId="25793"/>
    <cellStyle name="汇总 2 10 4 2 2 3" xfId="25792"/>
    <cellStyle name="汇总 2 10 4 2 3" xfId="11610"/>
    <cellStyle name="汇总 2 10 4 2 3 2" xfId="21389"/>
    <cellStyle name="汇总 2 10 4 2 3 2 2" xfId="25795"/>
    <cellStyle name="汇总 2 10 4 2 3 3" xfId="25794"/>
    <cellStyle name="汇总 2 10 4 2 4" xfId="20346"/>
    <cellStyle name="汇总 2 10 4 2 4 2" xfId="25796"/>
    <cellStyle name="汇总 2 10 4 2 5" xfId="25791"/>
    <cellStyle name="汇总 2 10 4 3" xfId="11611"/>
    <cellStyle name="汇总 2 10 4 3 2" xfId="20345"/>
    <cellStyle name="汇总 2 10 4 3 2 2" xfId="25798"/>
    <cellStyle name="汇总 2 10 4 3 3" xfId="25797"/>
    <cellStyle name="汇总 2 10 4 4" xfId="25799"/>
    <cellStyle name="汇总 2 10 4 5" xfId="25790"/>
    <cellStyle name="汇总 2 10 5" xfId="9291"/>
    <cellStyle name="汇总 2 10 5 2" xfId="11612"/>
    <cellStyle name="汇总 2 10 5 2 2" xfId="11613"/>
    <cellStyle name="汇总 2 10 5 2 2 2" xfId="20344"/>
    <cellStyle name="汇总 2 10 5 2 2 2 2" xfId="25803"/>
    <cellStyle name="汇总 2 10 5 2 2 3" xfId="25802"/>
    <cellStyle name="汇总 2 10 5 2 3" xfId="11614"/>
    <cellStyle name="汇总 2 10 5 2 3 2" xfId="20343"/>
    <cellStyle name="汇总 2 10 5 2 3 2 2" xfId="25805"/>
    <cellStyle name="汇总 2 10 5 2 3 3" xfId="25804"/>
    <cellStyle name="汇总 2 10 5 2 4" xfId="21107"/>
    <cellStyle name="汇总 2 10 5 2 4 2" xfId="25806"/>
    <cellStyle name="汇总 2 10 5 2 5" xfId="25801"/>
    <cellStyle name="汇总 2 10 5 3" xfId="11615"/>
    <cellStyle name="汇总 2 10 5 3 2" xfId="20342"/>
    <cellStyle name="汇总 2 10 5 3 2 2" xfId="25808"/>
    <cellStyle name="汇总 2 10 5 3 3" xfId="25807"/>
    <cellStyle name="汇总 2 10 5 4" xfId="25809"/>
    <cellStyle name="汇总 2 10 5 5" xfId="25800"/>
    <cellStyle name="汇总 2 10 6" xfId="11616"/>
    <cellStyle name="汇总 2 10 6 2" xfId="11617"/>
    <cellStyle name="汇总 2 10 6 2 2" xfId="18645"/>
    <cellStyle name="汇总 2 10 6 2 2 2" xfId="25812"/>
    <cellStyle name="汇总 2 10 6 2 3" xfId="25811"/>
    <cellStyle name="汇总 2 10 6 3" xfId="11618"/>
    <cellStyle name="汇总 2 10 6 3 2" xfId="18470"/>
    <cellStyle name="汇总 2 10 6 3 2 2" xfId="25814"/>
    <cellStyle name="汇总 2 10 6 3 3" xfId="25813"/>
    <cellStyle name="汇总 2 10 6 4" xfId="21388"/>
    <cellStyle name="汇总 2 10 6 4 2" xfId="25815"/>
    <cellStyle name="汇总 2 10 6 5" xfId="25810"/>
    <cellStyle name="汇总 2 10 7" xfId="11619"/>
    <cellStyle name="汇总 2 10 7 2" xfId="20341"/>
    <cellStyle name="汇总 2 10 7 2 2" xfId="25817"/>
    <cellStyle name="汇总 2 10 7 3" xfId="25816"/>
    <cellStyle name="汇总 2 10 8" xfId="25818"/>
    <cellStyle name="汇总 2 10 9" xfId="25769"/>
    <cellStyle name="汇总 2 11" xfId="9292"/>
    <cellStyle name="汇总 2 11 2" xfId="9293"/>
    <cellStyle name="汇总 2 11 2 2" xfId="11620"/>
    <cellStyle name="汇总 2 11 2 2 2" xfId="11621"/>
    <cellStyle name="汇总 2 11 2 2 2 2" xfId="20339"/>
    <cellStyle name="汇总 2 11 2 2 2 2 2" xfId="25823"/>
    <cellStyle name="汇总 2 11 2 2 2 3" xfId="25822"/>
    <cellStyle name="汇总 2 11 2 2 3" xfId="11622"/>
    <cellStyle name="汇总 2 11 2 2 3 2" xfId="20338"/>
    <cellStyle name="汇总 2 11 2 2 3 2 2" xfId="25825"/>
    <cellStyle name="汇总 2 11 2 2 3 3" xfId="25824"/>
    <cellStyle name="汇总 2 11 2 2 4" xfId="20340"/>
    <cellStyle name="汇总 2 11 2 2 4 2" xfId="25826"/>
    <cellStyle name="汇总 2 11 2 2 5" xfId="25821"/>
    <cellStyle name="汇总 2 11 2 3" xfId="11623"/>
    <cellStyle name="汇总 2 11 2 3 2" xfId="18469"/>
    <cellStyle name="汇总 2 11 2 3 2 2" xfId="25828"/>
    <cellStyle name="汇总 2 11 2 3 3" xfId="25827"/>
    <cellStyle name="汇总 2 11 2 4" xfId="25829"/>
    <cellStyle name="汇总 2 11 2 5" xfId="25820"/>
    <cellStyle name="汇总 2 11 3" xfId="9294"/>
    <cellStyle name="汇总 2 11 3 2" xfId="11624"/>
    <cellStyle name="汇总 2 11 3 2 2" xfId="11625"/>
    <cellStyle name="汇总 2 11 3 2 2 2" xfId="17808"/>
    <cellStyle name="汇总 2 11 3 2 2 2 2" xfId="25833"/>
    <cellStyle name="汇总 2 11 3 2 2 3" xfId="25832"/>
    <cellStyle name="汇总 2 11 3 2 3" xfId="11626"/>
    <cellStyle name="汇总 2 11 3 2 3 2" xfId="17807"/>
    <cellStyle name="汇总 2 11 3 2 3 2 2" xfId="25835"/>
    <cellStyle name="汇总 2 11 3 2 3 3" xfId="25834"/>
    <cellStyle name="汇总 2 11 3 2 4" xfId="20337"/>
    <cellStyle name="汇总 2 11 3 2 4 2" xfId="25836"/>
    <cellStyle name="汇总 2 11 3 2 5" xfId="25831"/>
    <cellStyle name="汇总 2 11 3 3" xfId="11627"/>
    <cellStyle name="汇总 2 11 3 3 2" xfId="17806"/>
    <cellStyle name="汇总 2 11 3 3 2 2" xfId="25838"/>
    <cellStyle name="汇总 2 11 3 3 3" xfId="25837"/>
    <cellStyle name="汇总 2 11 3 4" xfId="25839"/>
    <cellStyle name="汇总 2 11 3 5" xfId="25830"/>
    <cellStyle name="汇总 2 11 4" xfId="9295"/>
    <cellStyle name="汇总 2 11 4 2" xfId="11628"/>
    <cellStyle name="汇总 2 11 4 2 2" xfId="11629"/>
    <cellStyle name="汇总 2 11 4 2 2 2" xfId="21106"/>
    <cellStyle name="汇总 2 11 4 2 2 2 2" xfId="25843"/>
    <cellStyle name="汇总 2 11 4 2 2 3" xfId="25842"/>
    <cellStyle name="汇总 2 11 4 2 3" xfId="11630"/>
    <cellStyle name="汇总 2 11 4 2 3 2" xfId="17804"/>
    <cellStyle name="汇总 2 11 4 2 3 2 2" xfId="25845"/>
    <cellStyle name="汇总 2 11 4 2 3 3" xfId="25844"/>
    <cellStyle name="汇总 2 11 4 2 4" xfId="17805"/>
    <cellStyle name="汇总 2 11 4 2 4 2" xfId="25846"/>
    <cellStyle name="汇总 2 11 4 2 5" xfId="25841"/>
    <cellStyle name="汇总 2 11 4 3" xfId="11631"/>
    <cellStyle name="汇总 2 11 4 3 2" xfId="20336"/>
    <cellStyle name="汇总 2 11 4 3 2 2" xfId="25848"/>
    <cellStyle name="汇总 2 11 4 3 3" xfId="25847"/>
    <cellStyle name="汇总 2 11 4 4" xfId="25849"/>
    <cellStyle name="汇总 2 11 4 5" xfId="25840"/>
    <cellStyle name="汇总 2 11 5" xfId="9296"/>
    <cellStyle name="汇总 2 11 5 2" xfId="11632"/>
    <cellStyle name="汇总 2 11 5 2 2" xfId="11633"/>
    <cellStyle name="汇总 2 11 5 2 2 2" xfId="21386"/>
    <cellStyle name="汇总 2 11 5 2 2 2 2" xfId="25853"/>
    <cellStyle name="汇总 2 11 5 2 2 3" xfId="25852"/>
    <cellStyle name="汇总 2 11 5 2 3" xfId="11634"/>
    <cellStyle name="汇总 2 11 5 2 3 2" xfId="20335"/>
    <cellStyle name="汇总 2 11 5 2 3 2 2" xfId="25855"/>
    <cellStyle name="汇总 2 11 5 2 3 3" xfId="25854"/>
    <cellStyle name="汇总 2 11 5 2 4" xfId="21387"/>
    <cellStyle name="汇总 2 11 5 2 4 2" xfId="25856"/>
    <cellStyle name="汇总 2 11 5 2 5" xfId="25851"/>
    <cellStyle name="汇总 2 11 5 3" xfId="11635"/>
    <cellStyle name="汇总 2 11 5 3 2" xfId="20334"/>
    <cellStyle name="汇总 2 11 5 3 2 2" xfId="25858"/>
    <cellStyle name="汇总 2 11 5 3 3" xfId="25857"/>
    <cellStyle name="汇总 2 11 5 4" xfId="25859"/>
    <cellStyle name="汇总 2 11 5 5" xfId="25850"/>
    <cellStyle name="汇总 2 11 6" xfId="11636"/>
    <cellStyle name="汇总 2 11 6 2" xfId="11637"/>
    <cellStyle name="汇总 2 11 6 2 2" xfId="18467"/>
    <cellStyle name="汇总 2 11 6 2 2 2" xfId="25862"/>
    <cellStyle name="汇总 2 11 6 2 3" xfId="25861"/>
    <cellStyle name="汇总 2 11 6 3" xfId="11638"/>
    <cellStyle name="汇总 2 11 6 3 2" xfId="18739"/>
    <cellStyle name="汇总 2 11 6 3 2 2" xfId="25864"/>
    <cellStyle name="汇总 2 11 6 3 3" xfId="25863"/>
    <cellStyle name="汇总 2 11 6 4" xfId="18468"/>
    <cellStyle name="汇总 2 11 6 4 2" xfId="25865"/>
    <cellStyle name="汇总 2 11 6 5" xfId="25860"/>
    <cellStyle name="汇总 2 11 7" xfId="11639"/>
    <cellStyle name="汇总 2 11 7 2" xfId="17803"/>
    <cellStyle name="汇总 2 11 7 2 2" xfId="25867"/>
    <cellStyle name="汇总 2 11 7 3" xfId="25866"/>
    <cellStyle name="汇总 2 11 8" xfId="25868"/>
    <cellStyle name="汇总 2 11 9" xfId="25819"/>
    <cellStyle name="汇总 2 12" xfId="9297"/>
    <cellStyle name="汇总 2 12 2" xfId="9298"/>
    <cellStyle name="汇总 2 12 2 2" xfId="11640"/>
    <cellStyle name="汇总 2 12 2 2 2" xfId="11641"/>
    <cellStyle name="汇总 2 12 2 2 2 2" xfId="20333"/>
    <cellStyle name="汇总 2 12 2 2 2 2 2" xfId="25873"/>
    <cellStyle name="汇总 2 12 2 2 2 3" xfId="25872"/>
    <cellStyle name="汇总 2 12 2 2 3" xfId="11642"/>
    <cellStyle name="汇总 2 12 2 2 3 2" xfId="20332"/>
    <cellStyle name="汇总 2 12 2 2 3 2 2" xfId="25875"/>
    <cellStyle name="汇总 2 12 2 2 3 3" xfId="25874"/>
    <cellStyle name="汇总 2 12 2 2 4" xfId="18466"/>
    <cellStyle name="汇总 2 12 2 2 4 2" xfId="25876"/>
    <cellStyle name="汇总 2 12 2 2 5" xfId="25871"/>
    <cellStyle name="汇总 2 12 2 3" xfId="11643"/>
    <cellStyle name="汇总 2 12 2 3 2" xfId="20331"/>
    <cellStyle name="汇总 2 12 2 3 2 2" xfId="25878"/>
    <cellStyle name="汇总 2 12 2 3 3" xfId="25877"/>
    <cellStyle name="汇总 2 12 2 4" xfId="25879"/>
    <cellStyle name="汇总 2 12 2 5" xfId="25870"/>
    <cellStyle name="汇总 2 12 3" xfId="9299"/>
    <cellStyle name="汇总 2 12 3 2" xfId="11644"/>
    <cellStyle name="汇总 2 12 3 2 2" xfId="11645"/>
    <cellStyle name="汇总 2 12 3 2 2 2" xfId="18738"/>
    <cellStyle name="汇总 2 12 3 2 2 2 2" xfId="25883"/>
    <cellStyle name="汇总 2 12 3 2 2 3" xfId="25882"/>
    <cellStyle name="汇总 2 12 3 2 3" xfId="11646"/>
    <cellStyle name="汇总 2 12 3 2 3 2" xfId="20330"/>
    <cellStyle name="汇总 2 12 3 2 3 2 2" xfId="25885"/>
    <cellStyle name="汇总 2 12 3 2 3 3" xfId="25884"/>
    <cellStyle name="汇总 2 12 3 2 4" xfId="17802"/>
    <cellStyle name="汇总 2 12 3 2 4 2" xfId="25886"/>
    <cellStyle name="汇总 2 12 3 2 5" xfId="25881"/>
    <cellStyle name="汇总 2 12 3 3" xfId="11647"/>
    <cellStyle name="汇总 2 12 3 3 2" xfId="20329"/>
    <cellStyle name="汇总 2 12 3 3 2 2" xfId="25888"/>
    <cellStyle name="汇总 2 12 3 3 3" xfId="25887"/>
    <cellStyle name="汇总 2 12 3 4" xfId="25889"/>
    <cellStyle name="汇总 2 12 3 5" xfId="25880"/>
    <cellStyle name="汇总 2 12 4" xfId="9300"/>
    <cellStyle name="汇总 2 12 4 2" xfId="11648"/>
    <cellStyle name="汇总 2 12 4 2 2" xfId="11649"/>
    <cellStyle name="汇总 2 12 4 2 2 2" xfId="17801"/>
    <cellStyle name="汇总 2 12 4 2 2 2 2" xfId="25893"/>
    <cellStyle name="汇总 2 12 4 2 2 3" xfId="25892"/>
    <cellStyle name="汇总 2 12 4 2 3" xfId="11650"/>
    <cellStyle name="汇总 2 12 4 2 3 2" xfId="20327"/>
    <cellStyle name="汇总 2 12 4 2 3 2 2" xfId="25895"/>
    <cellStyle name="汇总 2 12 4 2 3 3" xfId="25894"/>
    <cellStyle name="汇总 2 12 4 2 4" xfId="20328"/>
    <cellStyle name="汇总 2 12 4 2 4 2" xfId="25896"/>
    <cellStyle name="汇总 2 12 4 2 5" xfId="25891"/>
    <cellStyle name="汇总 2 12 4 3" xfId="11651"/>
    <cellStyle name="汇总 2 12 4 3 2" xfId="21385"/>
    <cellStyle name="汇总 2 12 4 3 2 2" xfId="25898"/>
    <cellStyle name="汇总 2 12 4 3 3" xfId="25897"/>
    <cellStyle name="汇总 2 12 4 4" xfId="25899"/>
    <cellStyle name="汇总 2 12 4 5" xfId="25890"/>
    <cellStyle name="汇总 2 12 5" xfId="9301"/>
    <cellStyle name="汇总 2 12 5 2" xfId="11652"/>
    <cellStyle name="汇总 2 12 5 2 2" xfId="11653"/>
    <cellStyle name="汇总 2 12 5 2 2 2" xfId="18465"/>
    <cellStyle name="汇总 2 12 5 2 2 2 2" xfId="25903"/>
    <cellStyle name="汇总 2 12 5 2 2 3" xfId="25902"/>
    <cellStyle name="汇总 2 12 5 2 3" xfId="11654"/>
    <cellStyle name="汇总 2 12 5 2 3 2" xfId="21105"/>
    <cellStyle name="汇总 2 12 5 2 3 2 2" xfId="25905"/>
    <cellStyle name="汇总 2 12 5 2 3 3" xfId="25904"/>
    <cellStyle name="汇总 2 12 5 2 4" xfId="20326"/>
    <cellStyle name="汇总 2 12 5 2 4 2" xfId="25906"/>
    <cellStyle name="汇总 2 12 5 2 5" xfId="25901"/>
    <cellStyle name="汇总 2 12 5 3" xfId="11655"/>
    <cellStyle name="汇总 2 12 5 3 2" xfId="17800"/>
    <cellStyle name="汇总 2 12 5 3 2 2" xfId="25908"/>
    <cellStyle name="汇总 2 12 5 3 3" xfId="25907"/>
    <cellStyle name="汇总 2 12 5 4" xfId="25909"/>
    <cellStyle name="汇总 2 12 5 5" xfId="25900"/>
    <cellStyle name="汇总 2 12 6" xfId="11656"/>
    <cellStyle name="汇总 2 12 6 2" xfId="11657"/>
    <cellStyle name="汇总 2 12 6 2 2" xfId="20324"/>
    <cellStyle name="汇总 2 12 6 2 2 2" xfId="25912"/>
    <cellStyle name="汇总 2 12 6 2 3" xfId="25911"/>
    <cellStyle name="汇总 2 12 6 3" xfId="11658"/>
    <cellStyle name="汇总 2 12 6 3 2" xfId="20323"/>
    <cellStyle name="汇总 2 12 6 3 2 2" xfId="25914"/>
    <cellStyle name="汇总 2 12 6 3 3" xfId="25913"/>
    <cellStyle name="汇总 2 12 6 4" xfId="20325"/>
    <cellStyle name="汇总 2 12 6 4 2" xfId="25915"/>
    <cellStyle name="汇总 2 12 6 5" xfId="25910"/>
    <cellStyle name="汇总 2 12 7" xfId="11659"/>
    <cellStyle name="汇总 2 12 7 2" xfId="20322"/>
    <cellStyle name="汇总 2 12 7 2 2" xfId="25917"/>
    <cellStyle name="汇总 2 12 7 3" xfId="25916"/>
    <cellStyle name="汇总 2 12 8" xfId="25918"/>
    <cellStyle name="汇总 2 12 9" xfId="25869"/>
    <cellStyle name="汇总 2 13" xfId="9302"/>
    <cellStyle name="汇总 2 13 2" xfId="9303"/>
    <cellStyle name="汇总 2 13 2 2" xfId="11660"/>
    <cellStyle name="汇总 2 13 2 2 2" xfId="11661"/>
    <cellStyle name="汇总 2 13 2 2 2 2" xfId="20321"/>
    <cellStyle name="汇总 2 13 2 2 2 2 2" xfId="25923"/>
    <cellStyle name="汇总 2 13 2 2 2 3" xfId="25922"/>
    <cellStyle name="汇总 2 13 2 2 3" xfId="11662"/>
    <cellStyle name="汇总 2 13 2 2 3 2" xfId="21384"/>
    <cellStyle name="汇总 2 13 2 2 3 2 2" xfId="25925"/>
    <cellStyle name="汇总 2 13 2 2 3 3" xfId="25924"/>
    <cellStyle name="汇总 2 13 2 2 4" xfId="18464"/>
    <cellStyle name="汇总 2 13 2 2 4 2" xfId="25926"/>
    <cellStyle name="汇总 2 13 2 2 5" xfId="25921"/>
    <cellStyle name="汇总 2 13 2 3" xfId="11663"/>
    <cellStyle name="汇总 2 13 2 3 2" xfId="20320"/>
    <cellStyle name="汇总 2 13 2 3 2 2" xfId="25928"/>
    <cellStyle name="汇总 2 13 2 3 3" xfId="25927"/>
    <cellStyle name="汇总 2 13 2 4" xfId="25929"/>
    <cellStyle name="汇总 2 13 2 5" xfId="25920"/>
    <cellStyle name="汇总 2 13 3" xfId="9304"/>
    <cellStyle name="汇总 2 13 3 2" xfId="11664"/>
    <cellStyle name="汇总 2 13 3 2 2" xfId="11665"/>
    <cellStyle name="汇总 2 13 3 2 2 2" xfId="20319"/>
    <cellStyle name="汇总 2 13 3 2 2 2 2" xfId="25933"/>
    <cellStyle name="汇总 2 13 3 2 2 3" xfId="25932"/>
    <cellStyle name="汇总 2 13 3 2 3" xfId="11666"/>
    <cellStyle name="汇总 2 13 3 2 3 2" xfId="20318"/>
    <cellStyle name="汇总 2 13 3 2 3 2 2" xfId="25935"/>
    <cellStyle name="汇总 2 13 3 2 3 3" xfId="25934"/>
    <cellStyle name="汇总 2 13 3 2 4" xfId="17799"/>
    <cellStyle name="汇总 2 13 3 2 4 2" xfId="25936"/>
    <cellStyle name="汇总 2 13 3 2 5" xfId="25931"/>
    <cellStyle name="汇总 2 13 3 3" xfId="11667"/>
    <cellStyle name="汇总 2 13 3 3 2" xfId="18463"/>
    <cellStyle name="汇总 2 13 3 3 2 2" xfId="25938"/>
    <cellStyle name="汇总 2 13 3 3 3" xfId="25937"/>
    <cellStyle name="汇总 2 13 3 4" xfId="25939"/>
    <cellStyle name="汇总 2 13 3 5" xfId="25930"/>
    <cellStyle name="汇总 2 13 4" xfId="9305"/>
    <cellStyle name="汇总 2 13 4 2" xfId="11668"/>
    <cellStyle name="汇总 2 13 4 2 2" xfId="11669"/>
    <cellStyle name="汇总 2 13 4 2 2 2" xfId="17798"/>
    <cellStyle name="汇总 2 13 4 2 2 2 2" xfId="25943"/>
    <cellStyle name="汇总 2 13 4 2 2 3" xfId="25942"/>
    <cellStyle name="汇总 2 13 4 2 3" xfId="11670"/>
    <cellStyle name="汇总 2 13 4 2 3 2" xfId="20317"/>
    <cellStyle name="汇总 2 13 4 2 3 2 2" xfId="25945"/>
    <cellStyle name="汇总 2 13 4 2 3 3" xfId="25944"/>
    <cellStyle name="汇总 2 13 4 2 4" xfId="21383"/>
    <cellStyle name="汇总 2 13 4 2 4 2" xfId="25946"/>
    <cellStyle name="汇总 2 13 4 2 5" xfId="25941"/>
    <cellStyle name="汇总 2 13 4 3" xfId="11671"/>
    <cellStyle name="汇总 2 13 4 3 2" xfId="20316"/>
    <cellStyle name="汇总 2 13 4 3 2 2" xfId="25948"/>
    <cellStyle name="汇总 2 13 4 3 3" xfId="25947"/>
    <cellStyle name="汇总 2 13 4 4" xfId="25949"/>
    <cellStyle name="汇总 2 13 4 5" xfId="25940"/>
    <cellStyle name="汇总 2 13 5" xfId="9306"/>
    <cellStyle name="汇总 2 13 5 2" xfId="11672"/>
    <cellStyle name="汇总 2 13 5 2 2" xfId="11673"/>
    <cellStyle name="汇总 2 13 5 2 2 2" xfId="20314"/>
    <cellStyle name="汇总 2 13 5 2 2 2 2" xfId="25953"/>
    <cellStyle name="汇总 2 13 5 2 2 3" xfId="25952"/>
    <cellStyle name="汇总 2 13 5 2 3" xfId="11674"/>
    <cellStyle name="汇总 2 13 5 2 3 2" xfId="17797"/>
    <cellStyle name="汇总 2 13 5 2 3 2 2" xfId="25955"/>
    <cellStyle name="汇总 2 13 5 2 3 3" xfId="25954"/>
    <cellStyle name="汇总 2 13 5 2 4" xfId="20315"/>
    <cellStyle name="汇总 2 13 5 2 4 2" xfId="25956"/>
    <cellStyle name="汇总 2 13 5 2 5" xfId="25951"/>
    <cellStyle name="汇总 2 13 5 3" xfId="11675"/>
    <cellStyle name="汇总 2 13 5 3 2" xfId="21382"/>
    <cellStyle name="汇总 2 13 5 3 2 2" xfId="25958"/>
    <cellStyle name="汇总 2 13 5 3 3" xfId="25957"/>
    <cellStyle name="汇总 2 13 5 4" xfId="25959"/>
    <cellStyle name="汇总 2 13 5 5" xfId="25950"/>
    <cellStyle name="汇总 2 13 6" xfId="11676"/>
    <cellStyle name="汇总 2 13 6 2" xfId="11677"/>
    <cellStyle name="汇总 2 13 6 2 2" xfId="18461"/>
    <cellStyle name="汇总 2 13 6 2 2 2" xfId="25962"/>
    <cellStyle name="汇总 2 13 6 2 3" xfId="25961"/>
    <cellStyle name="汇总 2 13 6 3" xfId="11678"/>
    <cellStyle name="汇总 2 13 6 3 2" xfId="20313"/>
    <cellStyle name="汇总 2 13 6 3 2 2" xfId="25964"/>
    <cellStyle name="汇总 2 13 6 3 3" xfId="25963"/>
    <cellStyle name="汇总 2 13 6 4" xfId="18462"/>
    <cellStyle name="汇总 2 13 6 4 2" xfId="25965"/>
    <cellStyle name="汇总 2 13 6 5" xfId="25960"/>
    <cellStyle name="汇总 2 13 7" xfId="11679"/>
    <cellStyle name="汇总 2 13 7 2" xfId="21104"/>
    <cellStyle name="汇总 2 13 7 2 2" xfId="25967"/>
    <cellStyle name="汇总 2 13 7 3" xfId="25966"/>
    <cellStyle name="汇总 2 13 8" xfId="25968"/>
    <cellStyle name="汇总 2 13 9" xfId="25919"/>
    <cellStyle name="汇总 2 14" xfId="9307"/>
    <cellStyle name="汇总 2 14 2" xfId="9308"/>
    <cellStyle name="汇总 2 14 2 2" xfId="11680"/>
    <cellStyle name="汇总 2 14 2 2 2" xfId="11681"/>
    <cellStyle name="汇总 2 14 2 2 2 2" xfId="20312"/>
    <cellStyle name="汇总 2 14 2 2 2 2 2" xfId="25973"/>
    <cellStyle name="汇总 2 14 2 2 2 3" xfId="25972"/>
    <cellStyle name="汇总 2 14 2 2 3" xfId="11682"/>
    <cellStyle name="汇总 2 14 2 2 3 2" xfId="21381"/>
    <cellStyle name="汇总 2 14 2 2 3 2 2" xfId="25975"/>
    <cellStyle name="汇总 2 14 2 2 3 3" xfId="25974"/>
    <cellStyle name="汇总 2 14 2 2 4" xfId="17796"/>
    <cellStyle name="汇总 2 14 2 2 4 2" xfId="25976"/>
    <cellStyle name="汇总 2 14 2 2 5" xfId="25971"/>
    <cellStyle name="汇总 2 14 2 3" xfId="11683"/>
    <cellStyle name="汇总 2 14 2 3 2" xfId="20311"/>
    <cellStyle name="汇总 2 14 2 3 2 2" xfId="25978"/>
    <cellStyle name="汇总 2 14 2 3 3" xfId="25977"/>
    <cellStyle name="汇总 2 14 2 4" xfId="25979"/>
    <cellStyle name="汇总 2 14 2 5" xfId="25970"/>
    <cellStyle name="汇总 2 14 3" xfId="9309"/>
    <cellStyle name="汇总 2 14 3 2" xfId="11684"/>
    <cellStyle name="汇总 2 14 3 2 2" xfId="11685"/>
    <cellStyle name="汇总 2 14 3 2 2 2" xfId="20309"/>
    <cellStyle name="汇总 2 14 3 2 2 2 2" xfId="25983"/>
    <cellStyle name="汇总 2 14 3 2 2 3" xfId="25982"/>
    <cellStyle name="汇总 2 14 3 2 3" xfId="11686"/>
    <cellStyle name="汇总 2 14 3 2 3 2" xfId="20308"/>
    <cellStyle name="汇总 2 14 3 2 3 2 2" xfId="25985"/>
    <cellStyle name="汇总 2 14 3 2 3 3" xfId="25984"/>
    <cellStyle name="汇总 2 14 3 2 4" xfId="20310"/>
    <cellStyle name="汇总 2 14 3 2 4 2" xfId="25986"/>
    <cellStyle name="汇总 2 14 3 2 5" xfId="25981"/>
    <cellStyle name="汇总 2 14 3 3" xfId="11687"/>
    <cellStyle name="汇总 2 14 3 3 2" xfId="21380"/>
    <cellStyle name="汇总 2 14 3 3 2 2" xfId="25988"/>
    <cellStyle name="汇总 2 14 3 3 3" xfId="25987"/>
    <cellStyle name="汇总 2 14 3 4" xfId="25989"/>
    <cellStyle name="汇总 2 14 3 5" xfId="25980"/>
    <cellStyle name="汇总 2 14 4" xfId="9310"/>
    <cellStyle name="汇总 2 14 4 2" xfId="11688"/>
    <cellStyle name="汇总 2 14 4 2 2" xfId="11689"/>
    <cellStyle name="汇总 2 14 4 2 2 2" xfId="17795"/>
    <cellStyle name="汇总 2 14 4 2 2 2 2" xfId="25993"/>
    <cellStyle name="汇总 2 14 4 2 2 3" xfId="25992"/>
    <cellStyle name="汇总 2 14 4 2 3" xfId="11690"/>
    <cellStyle name="汇总 2 14 4 2 3 2" xfId="20306"/>
    <cellStyle name="汇总 2 14 4 2 3 2 2" xfId="25995"/>
    <cellStyle name="汇总 2 14 4 2 3 3" xfId="25994"/>
    <cellStyle name="汇总 2 14 4 2 4" xfId="20307"/>
    <cellStyle name="汇总 2 14 4 2 4 2" xfId="25996"/>
    <cellStyle name="汇总 2 14 4 2 5" xfId="25991"/>
    <cellStyle name="汇总 2 14 4 3" xfId="11691"/>
    <cellStyle name="汇总 2 14 4 3 2" xfId="18460"/>
    <cellStyle name="汇总 2 14 4 3 2 2" xfId="25998"/>
    <cellStyle name="汇总 2 14 4 3 3" xfId="25997"/>
    <cellStyle name="汇总 2 14 4 4" xfId="25999"/>
    <cellStyle name="汇总 2 14 4 5" xfId="25990"/>
    <cellStyle name="汇总 2 14 5" xfId="9311"/>
    <cellStyle name="汇总 2 14 5 2" xfId="11692"/>
    <cellStyle name="汇总 2 14 5 2 2" xfId="11693"/>
    <cellStyle name="汇总 2 14 5 2 2 2" xfId="20304"/>
    <cellStyle name="汇总 2 14 5 2 2 2 2" xfId="26003"/>
    <cellStyle name="汇总 2 14 5 2 2 3" xfId="26002"/>
    <cellStyle name="汇总 2 14 5 2 3" xfId="11694"/>
    <cellStyle name="汇总 2 14 5 2 3 2" xfId="17794"/>
    <cellStyle name="汇总 2 14 5 2 3 2 2" xfId="26005"/>
    <cellStyle name="汇总 2 14 5 2 3 3" xfId="26004"/>
    <cellStyle name="汇总 2 14 5 2 4" xfId="20305"/>
    <cellStyle name="汇总 2 14 5 2 4 2" xfId="26006"/>
    <cellStyle name="汇总 2 14 5 2 5" xfId="26001"/>
    <cellStyle name="汇总 2 14 5 3" xfId="11695"/>
    <cellStyle name="汇总 2 14 5 3 2" xfId="20303"/>
    <cellStyle name="汇总 2 14 5 3 2 2" xfId="26008"/>
    <cellStyle name="汇总 2 14 5 3 3" xfId="26007"/>
    <cellStyle name="汇总 2 14 5 4" xfId="26009"/>
    <cellStyle name="汇总 2 14 5 5" xfId="26000"/>
    <cellStyle name="汇总 2 14 6" xfId="11696"/>
    <cellStyle name="汇总 2 14 6 2" xfId="11697"/>
    <cellStyle name="汇总 2 14 6 2 2" xfId="21379"/>
    <cellStyle name="汇总 2 14 6 2 2 2" xfId="26012"/>
    <cellStyle name="汇总 2 14 6 2 3" xfId="26011"/>
    <cellStyle name="汇总 2 14 6 3" xfId="11698"/>
    <cellStyle name="汇总 2 14 6 3 2" xfId="21378"/>
    <cellStyle name="汇总 2 14 6 3 2 2" xfId="26014"/>
    <cellStyle name="汇总 2 14 6 3 3" xfId="26013"/>
    <cellStyle name="汇总 2 14 6 4" xfId="20302"/>
    <cellStyle name="汇总 2 14 6 4 2" xfId="26015"/>
    <cellStyle name="汇总 2 14 6 5" xfId="26010"/>
    <cellStyle name="汇总 2 14 7" xfId="11699"/>
    <cellStyle name="汇总 2 14 7 2" xfId="17793"/>
    <cellStyle name="汇总 2 14 7 2 2" xfId="26017"/>
    <cellStyle name="汇总 2 14 7 3" xfId="26016"/>
    <cellStyle name="汇总 2 14 8" xfId="26018"/>
    <cellStyle name="汇总 2 14 9" xfId="25969"/>
    <cellStyle name="汇总 2 15" xfId="9312"/>
    <cellStyle name="汇总 2 15 2" xfId="9313"/>
    <cellStyle name="汇总 2 15 2 2" xfId="11700"/>
    <cellStyle name="汇总 2 15 2 2 2" xfId="11701"/>
    <cellStyle name="汇总 2 15 2 2 2 2" xfId="18459"/>
    <cellStyle name="汇总 2 15 2 2 2 2 2" xfId="26023"/>
    <cellStyle name="汇总 2 15 2 2 2 3" xfId="26022"/>
    <cellStyle name="汇总 2 15 2 2 3" xfId="11702"/>
    <cellStyle name="汇总 2 15 2 2 3 2" xfId="20301"/>
    <cellStyle name="汇总 2 15 2 2 3 2 2" xfId="26025"/>
    <cellStyle name="汇总 2 15 2 2 3 3" xfId="26024"/>
    <cellStyle name="汇总 2 15 2 2 4" xfId="18737"/>
    <cellStyle name="汇总 2 15 2 2 4 2" xfId="26026"/>
    <cellStyle name="汇总 2 15 2 2 5" xfId="26021"/>
    <cellStyle name="汇总 2 15 2 3" xfId="11703"/>
    <cellStyle name="汇总 2 15 2 3 2" xfId="20300"/>
    <cellStyle name="汇总 2 15 2 3 2 2" xfId="26028"/>
    <cellStyle name="汇总 2 15 2 3 3" xfId="26027"/>
    <cellStyle name="汇总 2 15 2 4" xfId="26029"/>
    <cellStyle name="汇总 2 15 2 5" xfId="26020"/>
    <cellStyle name="汇总 2 15 3" xfId="9314"/>
    <cellStyle name="汇总 2 15 3 2" xfId="11704"/>
    <cellStyle name="汇总 2 15 3 2 2" xfId="11705"/>
    <cellStyle name="汇总 2 15 3 2 2 2" xfId="17791"/>
    <cellStyle name="汇总 2 15 3 2 2 2 2" xfId="26033"/>
    <cellStyle name="汇总 2 15 3 2 2 3" xfId="26032"/>
    <cellStyle name="汇总 2 15 3 2 3" xfId="11706"/>
    <cellStyle name="汇总 2 15 3 2 3 2" xfId="20299"/>
    <cellStyle name="汇总 2 15 3 2 3 2 2" xfId="26035"/>
    <cellStyle name="汇总 2 15 3 2 3 3" xfId="26034"/>
    <cellStyle name="汇总 2 15 3 2 4" xfId="17792"/>
    <cellStyle name="汇总 2 15 3 2 4 2" xfId="26036"/>
    <cellStyle name="汇总 2 15 3 2 5" xfId="26031"/>
    <cellStyle name="汇总 2 15 3 3" xfId="11707"/>
    <cellStyle name="汇总 2 15 3 3 2" xfId="21377"/>
    <cellStyle name="汇总 2 15 3 3 2 2" xfId="26038"/>
    <cellStyle name="汇总 2 15 3 3 3" xfId="26037"/>
    <cellStyle name="汇总 2 15 3 4" xfId="26039"/>
    <cellStyle name="汇总 2 15 3 5" xfId="26030"/>
    <cellStyle name="汇总 2 15 4" xfId="9315"/>
    <cellStyle name="汇总 2 15 4 2" xfId="11708"/>
    <cellStyle name="汇总 2 15 4 2 2" xfId="11709"/>
    <cellStyle name="汇总 2 15 4 2 2 2" xfId="18458"/>
    <cellStyle name="汇总 2 15 4 2 2 2 2" xfId="26043"/>
    <cellStyle name="汇总 2 15 4 2 2 3" xfId="26042"/>
    <cellStyle name="汇总 2 15 4 2 3" xfId="11710"/>
    <cellStyle name="汇总 2 15 4 2 3 2" xfId="20297"/>
    <cellStyle name="汇总 2 15 4 2 3 2 2" xfId="26045"/>
    <cellStyle name="汇总 2 15 4 2 3 3" xfId="26044"/>
    <cellStyle name="汇总 2 15 4 2 4" xfId="20298"/>
    <cellStyle name="汇总 2 15 4 2 4 2" xfId="26046"/>
    <cellStyle name="汇总 2 15 4 2 5" xfId="26041"/>
    <cellStyle name="汇总 2 15 4 3" xfId="11711"/>
    <cellStyle name="汇总 2 15 4 3 2" xfId="20296"/>
    <cellStyle name="汇总 2 15 4 3 2 2" xfId="26048"/>
    <cellStyle name="汇总 2 15 4 3 3" xfId="26047"/>
    <cellStyle name="汇总 2 15 4 4" xfId="26049"/>
    <cellStyle name="汇总 2 15 4 5" xfId="26040"/>
    <cellStyle name="汇总 2 15 5" xfId="9316"/>
    <cellStyle name="汇总 2 15 5 2" xfId="11712"/>
    <cellStyle name="汇总 2 15 5 2 2" xfId="11713"/>
    <cellStyle name="汇总 2 15 5 2 2 2" xfId="20295"/>
    <cellStyle name="汇总 2 15 5 2 2 2 2" xfId="26053"/>
    <cellStyle name="汇总 2 15 5 2 2 3" xfId="26052"/>
    <cellStyle name="汇总 2 15 5 2 3" xfId="11714"/>
    <cellStyle name="汇总 2 15 5 2 3 2" xfId="17790"/>
    <cellStyle name="汇总 2 15 5 2 3 2 2" xfId="26055"/>
    <cellStyle name="汇总 2 15 5 2 3 3" xfId="26054"/>
    <cellStyle name="汇总 2 15 5 2 4" xfId="21376"/>
    <cellStyle name="汇总 2 15 5 2 4 2" xfId="26056"/>
    <cellStyle name="汇总 2 15 5 2 5" xfId="26051"/>
    <cellStyle name="汇总 2 15 5 3" xfId="11715"/>
    <cellStyle name="汇总 2 15 5 3 2" xfId="20294"/>
    <cellStyle name="汇总 2 15 5 3 2 2" xfId="26058"/>
    <cellStyle name="汇总 2 15 5 3 3" xfId="26057"/>
    <cellStyle name="汇总 2 15 5 4" xfId="26059"/>
    <cellStyle name="汇总 2 15 5 5" xfId="26050"/>
    <cellStyle name="汇总 2 15 6" xfId="11716"/>
    <cellStyle name="汇总 2 15 6 2" xfId="11717"/>
    <cellStyle name="汇总 2 15 6 2 2" xfId="18456"/>
    <cellStyle name="汇总 2 15 6 2 2 2" xfId="26062"/>
    <cellStyle name="汇总 2 15 6 2 3" xfId="26061"/>
    <cellStyle name="汇总 2 15 6 3" xfId="11718"/>
    <cellStyle name="汇总 2 15 6 3 2" xfId="21375"/>
    <cellStyle name="汇总 2 15 6 3 2 2" xfId="26064"/>
    <cellStyle name="汇总 2 15 6 3 3" xfId="26063"/>
    <cellStyle name="汇总 2 15 6 4" xfId="18457"/>
    <cellStyle name="汇总 2 15 6 4 2" xfId="26065"/>
    <cellStyle name="汇总 2 15 6 5" xfId="26060"/>
    <cellStyle name="汇总 2 15 7" xfId="11719"/>
    <cellStyle name="汇总 2 15 7 2" xfId="17789"/>
    <cellStyle name="汇总 2 15 7 2 2" xfId="26067"/>
    <cellStyle name="汇总 2 15 7 3" xfId="26066"/>
    <cellStyle name="汇总 2 15 8" xfId="26068"/>
    <cellStyle name="汇总 2 15 9" xfId="26019"/>
    <cellStyle name="汇总 2 16" xfId="9317"/>
    <cellStyle name="汇总 2 16 2" xfId="9318"/>
    <cellStyle name="汇总 2 16 2 2" xfId="11720"/>
    <cellStyle name="汇总 2 16 2 2 2" xfId="11721"/>
    <cellStyle name="汇总 2 16 2 2 2 2" xfId="20292"/>
    <cellStyle name="汇总 2 16 2 2 2 2 2" xfId="26073"/>
    <cellStyle name="汇总 2 16 2 2 2 3" xfId="26072"/>
    <cellStyle name="汇总 2 16 2 2 3" xfId="11722"/>
    <cellStyle name="汇总 2 16 2 2 3 2" xfId="20291"/>
    <cellStyle name="汇总 2 16 2 2 3 2 2" xfId="26075"/>
    <cellStyle name="汇总 2 16 2 2 3 3" xfId="26074"/>
    <cellStyle name="汇总 2 16 2 2 4" xfId="20293"/>
    <cellStyle name="汇总 2 16 2 2 4 2" xfId="26076"/>
    <cellStyle name="汇总 2 16 2 2 5" xfId="26071"/>
    <cellStyle name="汇总 2 16 2 3" xfId="11723"/>
    <cellStyle name="汇总 2 16 2 3 2" xfId="20290"/>
    <cellStyle name="汇总 2 16 2 3 2 2" xfId="26078"/>
    <cellStyle name="汇总 2 16 2 3 3" xfId="26077"/>
    <cellStyle name="汇总 2 16 2 4" xfId="26079"/>
    <cellStyle name="汇总 2 16 2 5" xfId="26070"/>
    <cellStyle name="汇总 2 16 3" xfId="9319"/>
    <cellStyle name="汇总 2 16 3 2" xfId="11724"/>
    <cellStyle name="汇总 2 16 3 2 2" xfId="11725"/>
    <cellStyle name="汇总 2 16 3 2 2 2" xfId="20289"/>
    <cellStyle name="汇总 2 16 3 2 2 2 2" xfId="26083"/>
    <cellStyle name="汇总 2 16 3 2 2 3" xfId="26082"/>
    <cellStyle name="汇总 2 16 3 2 3" xfId="11726"/>
    <cellStyle name="汇总 2 16 3 2 3 2" xfId="20288"/>
    <cellStyle name="汇总 2 16 3 2 3 2 2" xfId="26085"/>
    <cellStyle name="汇总 2 16 3 2 3 3" xfId="26084"/>
    <cellStyle name="汇总 2 16 3 2 4" xfId="21103"/>
    <cellStyle name="汇总 2 16 3 2 4 2" xfId="26086"/>
    <cellStyle name="汇总 2 16 3 2 5" xfId="26081"/>
    <cellStyle name="汇总 2 16 3 3" xfId="11727"/>
    <cellStyle name="汇总 2 16 3 3 2" xfId="20287"/>
    <cellStyle name="汇总 2 16 3 3 2 2" xfId="26088"/>
    <cellStyle name="汇总 2 16 3 3 3" xfId="26087"/>
    <cellStyle name="汇总 2 16 3 4" xfId="26089"/>
    <cellStyle name="汇总 2 16 3 5" xfId="26080"/>
    <cellStyle name="汇总 2 16 4" xfId="9320"/>
    <cellStyle name="汇总 2 16 4 2" xfId="11728"/>
    <cellStyle name="汇总 2 16 4 2 2" xfId="11729"/>
    <cellStyle name="汇总 2 16 4 2 2 2" xfId="21102"/>
    <cellStyle name="汇总 2 16 4 2 2 2 2" xfId="26093"/>
    <cellStyle name="汇总 2 16 4 2 2 3" xfId="26092"/>
    <cellStyle name="汇总 2 16 4 2 3" xfId="11730"/>
    <cellStyle name="汇总 2 16 4 2 3 2" xfId="18644"/>
    <cellStyle name="汇总 2 16 4 2 3 2 2" xfId="26095"/>
    <cellStyle name="汇总 2 16 4 2 3 3" xfId="26094"/>
    <cellStyle name="汇总 2 16 4 2 4" xfId="20286"/>
    <cellStyle name="汇总 2 16 4 2 4 2" xfId="26096"/>
    <cellStyle name="汇总 2 16 4 2 5" xfId="26091"/>
    <cellStyle name="汇总 2 16 4 3" xfId="11731"/>
    <cellStyle name="汇总 2 16 4 3 2" xfId="21374"/>
    <cellStyle name="汇总 2 16 4 3 2 2" xfId="26098"/>
    <cellStyle name="汇总 2 16 4 3 3" xfId="26097"/>
    <cellStyle name="汇总 2 16 4 4" xfId="26099"/>
    <cellStyle name="汇总 2 16 4 5" xfId="26090"/>
    <cellStyle name="汇总 2 16 5" xfId="9321"/>
    <cellStyle name="汇总 2 16 5 2" xfId="11732"/>
    <cellStyle name="汇总 2 16 5 2 2" xfId="11733"/>
    <cellStyle name="汇总 2 16 5 2 2 2" xfId="20285"/>
    <cellStyle name="汇总 2 16 5 2 2 2 2" xfId="26103"/>
    <cellStyle name="汇总 2 16 5 2 2 3" xfId="26102"/>
    <cellStyle name="汇总 2 16 5 2 3" xfId="11734"/>
    <cellStyle name="汇总 2 16 5 2 3 2" xfId="20284"/>
    <cellStyle name="汇总 2 16 5 2 3 2 2" xfId="26105"/>
    <cellStyle name="汇总 2 16 5 2 3 3" xfId="26104"/>
    <cellStyle name="汇总 2 16 5 2 4" xfId="18455"/>
    <cellStyle name="汇总 2 16 5 2 4 2" xfId="26106"/>
    <cellStyle name="汇总 2 16 5 2 5" xfId="26101"/>
    <cellStyle name="汇总 2 16 5 3" xfId="11735"/>
    <cellStyle name="汇总 2 16 5 3 2" xfId="20283"/>
    <cellStyle name="汇总 2 16 5 3 2 2" xfId="26108"/>
    <cellStyle name="汇总 2 16 5 3 3" xfId="26107"/>
    <cellStyle name="汇总 2 16 5 4" xfId="26109"/>
    <cellStyle name="汇总 2 16 5 5" xfId="26100"/>
    <cellStyle name="汇总 2 16 6" xfId="11736"/>
    <cellStyle name="汇总 2 16 6 2" xfId="11737"/>
    <cellStyle name="汇总 2 16 6 2 2" xfId="20282"/>
    <cellStyle name="汇总 2 16 6 2 2 2" xfId="26112"/>
    <cellStyle name="汇总 2 16 6 2 3" xfId="26111"/>
    <cellStyle name="汇总 2 16 6 3" xfId="11738"/>
    <cellStyle name="汇总 2 16 6 3 2" xfId="18454"/>
    <cellStyle name="汇总 2 16 6 3 2 2" xfId="26114"/>
    <cellStyle name="汇总 2 16 6 3 3" xfId="26113"/>
    <cellStyle name="汇总 2 16 6 4" xfId="18736"/>
    <cellStyle name="汇总 2 16 6 4 2" xfId="26115"/>
    <cellStyle name="汇总 2 16 6 5" xfId="26110"/>
    <cellStyle name="汇总 2 16 7" xfId="11739"/>
    <cellStyle name="汇总 2 16 7 2" xfId="17788"/>
    <cellStyle name="汇总 2 16 7 2 2" xfId="26117"/>
    <cellStyle name="汇总 2 16 7 3" xfId="26116"/>
    <cellStyle name="汇总 2 16 8" xfId="26118"/>
    <cellStyle name="汇总 2 16 9" xfId="26069"/>
    <cellStyle name="汇总 2 17" xfId="9322"/>
    <cellStyle name="汇总 2 17 2" xfId="9323"/>
    <cellStyle name="汇总 2 17 2 2" xfId="11740"/>
    <cellStyle name="汇总 2 17 2 2 2" xfId="11741"/>
    <cellStyle name="汇总 2 17 2 2 2 2" xfId="20280"/>
    <cellStyle name="汇总 2 17 2 2 2 2 2" xfId="26123"/>
    <cellStyle name="汇总 2 17 2 2 2 3" xfId="26122"/>
    <cellStyle name="汇总 2 17 2 2 3" xfId="11742"/>
    <cellStyle name="汇总 2 17 2 2 3 2" xfId="21373"/>
    <cellStyle name="汇总 2 17 2 2 3 2 2" xfId="26125"/>
    <cellStyle name="汇总 2 17 2 2 3 3" xfId="26124"/>
    <cellStyle name="汇总 2 17 2 2 4" xfId="20281"/>
    <cellStyle name="汇总 2 17 2 2 4 2" xfId="26126"/>
    <cellStyle name="汇总 2 17 2 2 5" xfId="26121"/>
    <cellStyle name="汇总 2 17 2 3" xfId="11743"/>
    <cellStyle name="汇总 2 17 2 3 2" xfId="20279"/>
    <cellStyle name="汇总 2 17 2 3 2 2" xfId="26128"/>
    <cellStyle name="汇总 2 17 2 3 3" xfId="26127"/>
    <cellStyle name="汇总 2 17 2 4" xfId="26129"/>
    <cellStyle name="汇总 2 17 2 5" xfId="26120"/>
    <cellStyle name="汇总 2 17 3" xfId="9324"/>
    <cellStyle name="汇总 2 17 3 2" xfId="11744"/>
    <cellStyle name="汇总 2 17 3 2 2" xfId="11745"/>
    <cellStyle name="汇总 2 17 3 2 2 2" xfId="20278"/>
    <cellStyle name="汇总 2 17 3 2 2 2 2" xfId="26133"/>
    <cellStyle name="汇总 2 17 3 2 2 3" xfId="26132"/>
    <cellStyle name="汇总 2 17 3 2 3" xfId="11746"/>
    <cellStyle name="汇总 2 17 3 2 3 2" xfId="18453"/>
    <cellStyle name="汇总 2 17 3 2 3 2 2" xfId="26135"/>
    <cellStyle name="汇总 2 17 3 2 3 3" xfId="26134"/>
    <cellStyle name="汇总 2 17 3 2 4" xfId="17787"/>
    <cellStyle name="汇总 2 17 3 2 4 2" xfId="26136"/>
    <cellStyle name="汇总 2 17 3 2 5" xfId="26131"/>
    <cellStyle name="汇总 2 17 3 3" xfId="11747"/>
    <cellStyle name="汇总 2 17 3 3 2" xfId="20277"/>
    <cellStyle name="汇总 2 17 3 3 2 2" xfId="26138"/>
    <cellStyle name="汇总 2 17 3 3 3" xfId="26137"/>
    <cellStyle name="汇总 2 17 3 4" xfId="26139"/>
    <cellStyle name="汇总 2 17 3 5" xfId="26130"/>
    <cellStyle name="汇总 2 17 4" xfId="9325"/>
    <cellStyle name="汇总 2 17 4 2" xfId="11748"/>
    <cellStyle name="汇总 2 17 4 2 2" xfId="11749"/>
    <cellStyle name="汇总 2 17 4 2 2 2" xfId="17786"/>
    <cellStyle name="汇总 2 17 4 2 2 2 2" xfId="26143"/>
    <cellStyle name="汇总 2 17 4 2 2 3" xfId="26142"/>
    <cellStyle name="汇总 2 17 4 2 3" xfId="11750"/>
    <cellStyle name="汇总 2 17 4 2 3 2" xfId="20276"/>
    <cellStyle name="汇总 2 17 4 2 3 2 2" xfId="26145"/>
    <cellStyle name="汇总 2 17 4 2 3 3" xfId="26144"/>
    <cellStyle name="汇总 2 17 4 2 4" xfId="21372"/>
    <cellStyle name="汇总 2 17 4 2 4 2" xfId="26146"/>
    <cellStyle name="汇总 2 17 4 2 5" xfId="26141"/>
    <cellStyle name="汇总 2 17 4 3" xfId="11751"/>
    <cellStyle name="汇总 2 17 4 3 2" xfId="20275"/>
    <cellStyle name="汇总 2 17 4 3 2 2" xfId="26148"/>
    <cellStyle name="汇总 2 17 4 3 3" xfId="26147"/>
    <cellStyle name="汇总 2 17 4 4" xfId="26149"/>
    <cellStyle name="汇总 2 17 4 5" xfId="26140"/>
    <cellStyle name="汇总 2 17 5" xfId="9326"/>
    <cellStyle name="汇总 2 17 5 2" xfId="11752"/>
    <cellStyle name="汇总 2 17 5 2 2" xfId="11753"/>
    <cellStyle name="汇总 2 17 5 2 2 2" xfId="18452"/>
    <cellStyle name="汇总 2 17 5 2 2 2 2" xfId="26153"/>
    <cellStyle name="汇总 2 17 5 2 2 3" xfId="26152"/>
    <cellStyle name="汇总 2 17 5 2 3" xfId="11754"/>
    <cellStyle name="汇总 2 17 5 2 3 2" xfId="17785"/>
    <cellStyle name="汇总 2 17 5 2 3 2 2" xfId="26155"/>
    <cellStyle name="汇总 2 17 5 2 3 3" xfId="26154"/>
    <cellStyle name="汇总 2 17 5 2 4" xfId="20274"/>
    <cellStyle name="汇总 2 17 5 2 4 2" xfId="26156"/>
    <cellStyle name="汇总 2 17 5 2 5" xfId="26151"/>
    <cellStyle name="汇总 2 17 5 3" xfId="11755"/>
    <cellStyle name="汇总 2 17 5 3 2" xfId="18643"/>
    <cellStyle name="汇总 2 17 5 3 2 2" xfId="26158"/>
    <cellStyle name="汇总 2 17 5 3 3" xfId="26157"/>
    <cellStyle name="汇总 2 17 5 4" xfId="26159"/>
    <cellStyle name="汇总 2 17 5 5" xfId="26150"/>
    <cellStyle name="汇总 2 17 6" xfId="11756"/>
    <cellStyle name="汇总 2 17 6 2" xfId="11757"/>
    <cellStyle name="汇总 2 17 6 2 2" xfId="20273"/>
    <cellStyle name="汇总 2 17 6 2 2 2" xfId="26162"/>
    <cellStyle name="汇总 2 17 6 2 3" xfId="26161"/>
    <cellStyle name="汇总 2 17 6 3" xfId="11758"/>
    <cellStyle name="汇总 2 17 6 3 2" xfId="20272"/>
    <cellStyle name="汇总 2 17 6 3 2 2" xfId="26164"/>
    <cellStyle name="汇总 2 17 6 3 3" xfId="26163"/>
    <cellStyle name="汇总 2 17 6 4" xfId="18451"/>
    <cellStyle name="汇总 2 17 6 4 2" xfId="26165"/>
    <cellStyle name="汇总 2 17 6 5" xfId="26160"/>
    <cellStyle name="汇总 2 17 7" xfId="11759"/>
    <cellStyle name="汇总 2 17 7 2" xfId="20271"/>
    <cellStyle name="汇总 2 17 7 2 2" xfId="26167"/>
    <cellStyle name="汇总 2 17 7 3" xfId="26166"/>
    <cellStyle name="汇总 2 17 8" xfId="26168"/>
    <cellStyle name="汇总 2 17 9" xfId="26119"/>
    <cellStyle name="汇总 2 18" xfId="9327"/>
    <cellStyle name="汇总 2 18 2" xfId="9328"/>
    <cellStyle name="汇总 2 18 2 2" xfId="11760"/>
    <cellStyle name="汇总 2 18 2 2 2" xfId="11761"/>
    <cellStyle name="汇总 2 18 2 2 2 2" xfId="21371"/>
    <cellStyle name="汇总 2 18 2 2 2 2 2" xfId="26173"/>
    <cellStyle name="汇总 2 18 2 2 2 3" xfId="26172"/>
    <cellStyle name="汇总 2 18 2 2 3" xfId="11762"/>
    <cellStyle name="汇总 2 18 2 2 3 2" xfId="21370"/>
    <cellStyle name="汇总 2 18 2 2 3 2 2" xfId="26175"/>
    <cellStyle name="汇总 2 18 2 2 3 3" xfId="26174"/>
    <cellStyle name="汇总 2 18 2 2 4" xfId="17784"/>
    <cellStyle name="汇总 2 18 2 2 4 2" xfId="26176"/>
    <cellStyle name="汇总 2 18 2 2 5" xfId="26171"/>
    <cellStyle name="汇总 2 18 2 3" xfId="11763"/>
    <cellStyle name="汇总 2 18 2 3 2" xfId="20270"/>
    <cellStyle name="汇总 2 18 2 3 2 2" xfId="26178"/>
    <cellStyle name="汇总 2 18 2 3 3" xfId="26177"/>
    <cellStyle name="汇总 2 18 2 4" xfId="26179"/>
    <cellStyle name="汇总 2 18 2 5" xfId="26170"/>
    <cellStyle name="汇总 2 18 3" xfId="9329"/>
    <cellStyle name="汇总 2 18 3 2" xfId="11764"/>
    <cellStyle name="汇总 2 18 3 2 2" xfId="11765"/>
    <cellStyle name="汇总 2 18 3 2 2 2" xfId="17783"/>
    <cellStyle name="汇总 2 18 3 2 2 2 2" xfId="26183"/>
    <cellStyle name="汇总 2 18 3 2 2 3" xfId="26182"/>
    <cellStyle name="汇总 2 18 3 2 3" xfId="11766"/>
    <cellStyle name="汇总 2 18 3 2 3 2" xfId="20268"/>
    <cellStyle name="汇总 2 18 3 2 3 2 2" xfId="26185"/>
    <cellStyle name="汇总 2 18 3 2 3 3" xfId="26184"/>
    <cellStyle name="汇总 2 18 3 2 4" xfId="20269"/>
    <cellStyle name="汇总 2 18 3 2 4 2" xfId="26186"/>
    <cellStyle name="汇总 2 18 3 2 5" xfId="26181"/>
    <cellStyle name="汇总 2 18 3 3" xfId="11767"/>
    <cellStyle name="汇总 2 18 3 3 2" xfId="20267"/>
    <cellStyle name="汇总 2 18 3 3 2 2" xfId="26188"/>
    <cellStyle name="汇总 2 18 3 3 3" xfId="26187"/>
    <cellStyle name="汇总 2 18 3 4" xfId="26189"/>
    <cellStyle name="汇总 2 18 3 5" xfId="26180"/>
    <cellStyle name="汇总 2 18 4" xfId="9330"/>
    <cellStyle name="汇总 2 18 4 2" xfId="11768"/>
    <cellStyle name="汇总 2 18 4 2 2" xfId="11769"/>
    <cellStyle name="汇总 2 18 4 2 2 2" xfId="20266"/>
    <cellStyle name="汇总 2 18 4 2 2 2 2" xfId="26193"/>
    <cellStyle name="汇总 2 18 4 2 2 3" xfId="26192"/>
    <cellStyle name="汇总 2 18 4 2 3" xfId="11770"/>
    <cellStyle name="汇总 2 18 4 2 3 2" xfId="17782"/>
    <cellStyle name="汇总 2 18 4 2 3 2 2" xfId="26195"/>
    <cellStyle name="汇总 2 18 4 2 3 3" xfId="26194"/>
    <cellStyle name="汇总 2 18 4 2 4" xfId="18735"/>
    <cellStyle name="汇总 2 18 4 2 4 2" xfId="26196"/>
    <cellStyle name="汇总 2 18 4 2 5" xfId="26191"/>
    <cellStyle name="汇总 2 18 4 3" xfId="11771"/>
    <cellStyle name="汇总 2 18 4 3 2" xfId="18450"/>
    <cellStyle name="汇总 2 18 4 3 2 2" xfId="26198"/>
    <cellStyle name="汇总 2 18 4 3 3" xfId="26197"/>
    <cellStyle name="汇总 2 18 4 4" xfId="26199"/>
    <cellStyle name="汇总 2 18 4 5" xfId="26190"/>
    <cellStyle name="汇总 2 18 5" xfId="9331"/>
    <cellStyle name="汇总 2 18 5 2" xfId="11772"/>
    <cellStyle name="汇总 2 18 5 2 2" xfId="11773"/>
    <cellStyle name="汇总 2 18 5 2 2 2" xfId="20264"/>
    <cellStyle name="汇总 2 18 5 2 2 2 2" xfId="26203"/>
    <cellStyle name="汇总 2 18 5 2 2 3" xfId="26202"/>
    <cellStyle name="汇总 2 18 5 2 3" xfId="11774"/>
    <cellStyle name="汇总 2 18 5 2 3 2" xfId="21369"/>
    <cellStyle name="汇总 2 18 5 2 3 2 2" xfId="26205"/>
    <cellStyle name="汇总 2 18 5 2 3 3" xfId="26204"/>
    <cellStyle name="汇总 2 18 5 2 4" xfId="20265"/>
    <cellStyle name="汇总 2 18 5 2 4 2" xfId="26206"/>
    <cellStyle name="汇总 2 18 5 2 5" xfId="26201"/>
    <cellStyle name="汇总 2 18 5 3" xfId="11775"/>
    <cellStyle name="汇总 2 18 5 3 2" xfId="17781"/>
    <cellStyle name="汇总 2 18 5 3 2 2" xfId="26208"/>
    <cellStyle name="汇总 2 18 5 3 3" xfId="26207"/>
    <cellStyle name="汇总 2 18 5 4" xfId="26209"/>
    <cellStyle name="汇总 2 18 5 5" xfId="26200"/>
    <cellStyle name="汇总 2 18 6" xfId="11776"/>
    <cellStyle name="汇总 2 18 6 2" xfId="11777"/>
    <cellStyle name="汇总 2 18 6 2 2" xfId="20262"/>
    <cellStyle name="汇总 2 18 6 2 2 2" xfId="26212"/>
    <cellStyle name="汇总 2 18 6 2 3" xfId="26211"/>
    <cellStyle name="汇总 2 18 6 3" xfId="11778"/>
    <cellStyle name="汇总 2 18 6 3 2" xfId="18449"/>
    <cellStyle name="汇总 2 18 6 3 2 2" xfId="26214"/>
    <cellStyle name="汇总 2 18 6 3 3" xfId="26213"/>
    <cellStyle name="汇总 2 18 6 4" xfId="20263"/>
    <cellStyle name="汇总 2 18 6 4 2" xfId="26215"/>
    <cellStyle name="汇总 2 18 6 5" xfId="26210"/>
    <cellStyle name="汇总 2 18 7" xfId="11779"/>
    <cellStyle name="汇总 2 18 7 2" xfId="20261"/>
    <cellStyle name="汇总 2 18 7 2 2" xfId="26217"/>
    <cellStyle name="汇总 2 18 7 3" xfId="26216"/>
    <cellStyle name="汇总 2 18 8" xfId="26218"/>
    <cellStyle name="汇总 2 18 9" xfId="26169"/>
    <cellStyle name="汇总 2 19" xfId="9332"/>
    <cellStyle name="汇总 2 19 2" xfId="11780"/>
    <cellStyle name="汇总 2 19 2 2" xfId="11781"/>
    <cellStyle name="汇总 2 19 2 2 2" xfId="17780"/>
    <cellStyle name="汇总 2 19 2 2 2 2" xfId="26222"/>
    <cellStyle name="汇总 2 19 2 2 3" xfId="26221"/>
    <cellStyle name="汇总 2 19 2 3" xfId="11782"/>
    <cellStyle name="汇总 2 19 2 3 2" xfId="21368"/>
    <cellStyle name="汇总 2 19 2 3 2 2" xfId="26224"/>
    <cellStyle name="汇总 2 19 2 3 3" xfId="26223"/>
    <cellStyle name="汇总 2 19 2 4" xfId="18642"/>
    <cellStyle name="汇总 2 19 2 4 2" xfId="26225"/>
    <cellStyle name="汇总 2 19 2 5" xfId="26220"/>
    <cellStyle name="汇总 2 19 3" xfId="11783"/>
    <cellStyle name="汇总 2 19 3 2" xfId="20260"/>
    <cellStyle name="汇总 2 19 3 2 2" xfId="26227"/>
    <cellStyle name="汇总 2 19 3 3" xfId="26226"/>
    <cellStyle name="汇总 2 19 4" xfId="26228"/>
    <cellStyle name="汇总 2 19 5" xfId="26219"/>
    <cellStyle name="汇总 2 2" xfId="5144"/>
    <cellStyle name="汇总 2 2 10" xfId="9334"/>
    <cellStyle name="汇总 2 2 10 2" xfId="9335"/>
    <cellStyle name="汇总 2 2 10 2 2" xfId="11784"/>
    <cellStyle name="汇总 2 2 10 2 2 2" xfId="11785"/>
    <cellStyle name="汇总 2 2 10 2 2 2 2" xfId="20258"/>
    <cellStyle name="汇总 2 2 10 2 2 2 2 2" xfId="26234"/>
    <cellStyle name="汇总 2 2 10 2 2 2 3" xfId="26233"/>
    <cellStyle name="汇总 2 2 10 2 2 3" xfId="11786"/>
    <cellStyle name="汇总 2 2 10 2 2 3 2" xfId="17779"/>
    <cellStyle name="汇总 2 2 10 2 2 3 2 2" xfId="26236"/>
    <cellStyle name="汇总 2 2 10 2 2 3 3" xfId="26235"/>
    <cellStyle name="汇总 2 2 10 2 2 4" xfId="20259"/>
    <cellStyle name="汇总 2 2 10 2 2 4 2" xfId="26237"/>
    <cellStyle name="汇总 2 2 10 2 2 5" xfId="26232"/>
    <cellStyle name="汇总 2 2 10 2 3" xfId="11787"/>
    <cellStyle name="汇总 2 2 10 2 3 2" xfId="18448"/>
    <cellStyle name="汇总 2 2 10 2 3 2 2" xfId="26239"/>
    <cellStyle name="汇总 2 2 10 2 3 3" xfId="26238"/>
    <cellStyle name="汇总 2 2 10 2 4" xfId="26240"/>
    <cellStyle name="汇总 2 2 10 2 5" xfId="26231"/>
    <cellStyle name="汇总 2 2 10 3" xfId="9336"/>
    <cellStyle name="汇总 2 2 10 3 2" xfId="11788"/>
    <cellStyle name="汇总 2 2 10 3 2 2" xfId="11789"/>
    <cellStyle name="汇总 2 2 10 3 2 2 2" xfId="20256"/>
    <cellStyle name="汇总 2 2 10 3 2 2 2 2" xfId="26244"/>
    <cellStyle name="汇总 2 2 10 3 2 2 3" xfId="26243"/>
    <cellStyle name="汇总 2 2 10 3 2 3" xfId="11790"/>
    <cellStyle name="汇总 2 2 10 3 2 3 2" xfId="20255"/>
    <cellStyle name="汇总 2 2 10 3 2 3 2 2" xfId="26246"/>
    <cellStyle name="汇总 2 2 10 3 2 3 3" xfId="26245"/>
    <cellStyle name="汇总 2 2 10 3 2 4" xfId="20257"/>
    <cellStyle name="汇总 2 2 10 3 2 4 2" xfId="26247"/>
    <cellStyle name="汇总 2 2 10 3 2 5" xfId="26242"/>
    <cellStyle name="汇总 2 2 10 3 3" xfId="11791"/>
    <cellStyle name="汇总 2 2 10 3 3 2" xfId="17778"/>
    <cellStyle name="汇总 2 2 10 3 3 2 2" xfId="26249"/>
    <cellStyle name="汇总 2 2 10 3 3 3" xfId="26248"/>
    <cellStyle name="汇总 2 2 10 3 4" xfId="26250"/>
    <cellStyle name="汇总 2 2 10 3 5" xfId="26241"/>
    <cellStyle name="汇总 2 2 10 4" xfId="9337"/>
    <cellStyle name="汇总 2 2 10 4 2" xfId="11792"/>
    <cellStyle name="汇总 2 2 10 4 2 2" xfId="11793"/>
    <cellStyle name="汇总 2 2 10 4 2 2 2" xfId="21367"/>
    <cellStyle name="汇总 2 2 10 4 2 2 2 2" xfId="26254"/>
    <cellStyle name="汇总 2 2 10 4 2 2 3" xfId="26253"/>
    <cellStyle name="汇总 2 2 10 4 2 3" xfId="11794"/>
    <cellStyle name="汇总 2 2 10 4 2 3 2" xfId="21366"/>
    <cellStyle name="汇总 2 2 10 4 2 3 2 2" xfId="26256"/>
    <cellStyle name="汇总 2 2 10 4 2 3 3" xfId="26255"/>
    <cellStyle name="汇总 2 2 10 4 2 4" xfId="20254"/>
    <cellStyle name="汇总 2 2 10 4 2 4 2" xfId="26257"/>
    <cellStyle name="汇总 2 2 10 4 2 5" xfId="26252"/>
    <cellStyle name="汇总 2 2 10 4 3" xfId="11795"/>
    <cellStyle name="汇总 2 2 10 4 3 2" xfId="18447"/>
    <cellStyle name="汇总 2 2 10 4 3 2 2" xfId="26259"/>
    <cellStyle name="汇总 2 2 10 4 3 3" xfId="26258"/>
    <cellStyle name="汇总 2 2 10 4 4" xfId="26260"/>
    <cellStyle name="汇总 2 2 10 4 5" xfId="26251"/>
    <cellStyle name="汇总 2 2 10 5" xfId="9338"/>
    <cellStyle name="汇总 2 2 10 5 2" xfId="11796"/>
    <cellStyle name="汇总 2 2 10 5 2 2" xfId="11797"/>
    <cellStyle name="汇总 2 2 10 5 2 2 2" xfId="18446"/>
    <cellStyle name="汇总 2 2 10 5 2 2 2 2" xfId="26264"/>
    <cellStyle name="汇总 2 2 10 5 2 2 3" xfId="26263"/>
    <cellStyle name="汇总 2 2 10 5 2 3" xfId="11798"/>
    <cellStyle name="汇总 2 2 10 5 2 3 2" xfId="20253"/>
    <cellStyle name="汇总 2 2 10 5 2 3 2 2" xfId="26266"/>
    <cellStyle name="汇总 2 2 10 5 2 3 3" xfId="26265"/>
    <cellStyle name="汇总 2 2 10 5 2 4" xfId="17777"/>
    <cellStyle name="汇总 2 2 10 5 2 4 2" xfId="26267"/>
    <cellStyle name="汇总 2 2 10 5 2 5" xfId="26262"/>
    <cellStyle name="汇总 2 2 10 5 3" xfId="11799"/>
    <cellStyle name="汇总 2 2 10 5 3 2" xfId="20252"/>
    <cellStyle name="汇总 2 2 10 5 3 2 2" xfId="26269"/>
    <cellStyle name="汇总 2 2 10 5 3 3" xfId="26268"/>
    <cellStyle name="汇总 2 2 10 5 4" xfId="26270"/>
    <cellStyle name="汇总 2 2 10 5 5" xfId="26261"/>
    <cellStyle name="汇总 2 2 10 6" xfId="11800"/>
    <cellStyle name="汇总 2 2 10 6 2" xfId="11801"/>
    <cellStyle name="汇总 2 2 10 6 2 2" xfId="21101"/>
    <cellStyle name="汇总 2 2 10 6 2 2 2" xfId="26273"/>
    <cellStyle name="汇总 2 2 10 6 2 3" xfId="26272"/>
    <cellStyle name="汇总 2 2 10 6 3" xfId="11802"/>
    <cellStyle name="汇总 2 2 10 6 3 2" xfId="20251"/>
    <cellStyle name="汇总 2 2 10 6 3 2 2" xfId="26275"/>
    <cellStyle name="汇总 2 2 10 6 3 3" xfId="26274"/>
    <cellStyle name="汇总 2 2 10 6 4" xfId="18734"/>
    <cellStyle name="汇总 2 2 10 6 4 2" xfId="26276"/>
    <cellStyle name="汇总 2 2 10 6 5" xfId="26271"/>
    <cellStyle name="汇总 2 2 10 7" xfId="11803"/>
    <cellStyle name="汇总 2 2 10 7 2" xfId="20250"/>
    <cellStyle name="汇总 2 2 10 7 2 2" xfId="26278"/>
    <cellStyle name="汇总 2 2 10 7 3" xfId="26277"/>
    <cellStyle name="汇总 2 2 10 8" xfId="26279"/>
    <cellStyle name="汇总 2 2 10 9" xfId="26230"/>
    <cellStyle name="汇总 2 2 11" xfId="9339"/>
    <cellStyle name="汇总 2 2 11 2" xfId="9340"/>
    <cellStyle name="汇总 2 2 11 2 2" xfId="11804"/>
    <cellStyle name="汇总 2 2 11 2 2 2" xfId="11805"/>
    <cellStyle name="汇总 2 2 11 2 2 2 2" xfId="20248"/>
    <cellStyle name="汇总 2 2 11 2 2 2 2 2" xfId="26284"/>
    <cellStyle name="汇总 2 2 11 2 2 2 3" xfId="26283"/>
    <cellStyle name="汇总 2 2 11 2 2 3" xfId="11806"/>
    <cellStyle name="汇总 2 2 11 2 2 3 2" xfId="17776"/>
    <cellStyle name="汇总 2 2 11 2 2 3 2 2" xfId="26286"/>
    <cellStyle name="汇总 2 2 11 2 2 3 3" xfId="26285"/>
    <cellStyle name="汇总 2 2 11 2 2 4" xfId="20249"/>
    <cellStyle name="汇总 2 2 11 2 2 4 2" xfId="26287"/>
    <cellStyle name="汇总 2 2 11 2 2 5" xfId="26282"/>
    <cellStyle name="汇总 2 2 11 2 3" xfId="11807"/>
    <cellStyle name="汇总 2 2 11 2 3 2" xfId="17775"/>
    <cellStyle name="汇总 2 2 11 2 3 2 2" xfId="26289"/>
    <cellStyle name="汇总 2 2 11 2 3 3" xfId="26288"/>
    <cellStyle name="汇总 2 2 11 2 4" xfId="26290"/>
    <cellStyle name="汇总 2 2 11 2 5" xfId="26281"/>
    <cellStyle name="汇总 2 2 11 3" xfId="9341"/>
    <cellStyle name="汇总 2 2 11 3 2" xfId="11808"/>
    <cellStyle name="汇总 2 2 11 3 2 2" xfId="11809"/>
    <cellStyle name="汇总 2 2 11 3 2 2 2" xfId="18733"/>
    <cellStyle name="汇总 2 2 11 3 2 2 2 2" xfId="26294"/>
    <cellStyle name="汇总 2 2 11 3 2 2 3" xfId="26293"/>
    <cellStyle name="汇总 2 2 11 3 2 3" xfId="11810"/>
    <cellStyle name="汇总 2 2 11 3 2 3 2" xfId="20247"/>
    <cellStyle name="汇总 2 2 11 3 2 3 2 2" xfId="26296"/>
    <cellStyle name="汇总 2 2 11 3 2 3 3" xfId="26295"/>
    <cellStyle name="汇总 2 2 11 3 2 4" xfId="17774"/>
    <cellStyle name="汇总 2 2 11 3 2 4 2" xfId="26297"/>
    <cellStyle name="汇总 2 2 11 3 2 5" xfId="26292"/>
    <cellStyle name="汇总 2 2 11 3 3" xfId="11811"/>
    <cellStyle name="汇总 2 2 11 3 3 2" xfId="20246"/>
    <cellStyle name="汇总 2 2 11 3 3 2 2" xfId="26299"/>
    <cellStyle name="汇总 2 2 11 3 3 3" xfId="26298"/>
    <cellStyle name="汇总 2 2 11 3 4" xfId="26300"/>
    <cellStyle name="汇总 2 2 11 3 5" xfId="26291"/>
    <cellStyle name="汇总 2 2 11 4" xfId="9342"/>
    <cellStyle name="汇总 2 2 11 4 2" xfId="11812"/>
    <cellStyle name="汇总 2 2 11 4 2 2" xfId="11813"/>
    <cellStyle name="汇总 2 2 11 4 2 2 2" xfId="20245"/>
    <cellStyle name="汇总 2 2 11 4 2 2 2 2" xfId="26304"/>
    <cellStyle name="汇总 2 2 11 4 2 2 3" xfId="26303"/>
    <cellStyle name="汇总 2 2 11 4 2 3" xfId="11814"/>
    <cellStyle name="汇总 2 2 11 4 2 3 2" xfId="21365"/>
    <cellStyle name="汇总 2 2 11 4 2 3 2 2" xfId="26306"/>
    <cellStyle name="汇总 2 2 11 4 2 3 3" xfId="26305"/>
    <cellStyle name="汇总 2 2 11 4 2 4" xfId="18445"/>
    <cellStyle name="汇总 2 2 11 4 2 4 2" xfId="26307"/>
    <cellStyle name="汇总 2 2 11 4 2 5" xfId="26302"/>
    <cellStyle name="汇总 2 2 11 4 3" xfId="11815"/>
    <cellStyle name="汇总 2 2 11 4 3 2" xfId="20244"/>
    <cellStyle name="汇总 2 2 11 4 3 2 2" xfId="26309"/>
    <cellStyle name="汇总 2 2 11 4 3 3" xfId="26308"/>
    <cellStyle name="汇总 2 2 11 4 4" xfId="26310"/>
    <cellStyle name="汇总 2 2 11 4 5" xfId="26301"/>
    <cellStyle name="汇总 2 2 11 5" xfId="9343"/>
    <cellStyle name="汇总 2 2 11 5 2" xfId="11816"/>
    <cellStyle name="汇总 2 2 11 5 2 2" xfId="11817"/>
    <cellStyle name="汇总 2 2 11 5 2 2 2" xfId="17773"/>
    <cellStyle name="汇总 2 2 11 5 2 2 2 2" xfId="26314"/>
    <cellStyle name="汇总 2 2 11 5 2 2 3" xfId="26313"/>
    <cellStyle name="汇总 2 2 11 5 2 3" xfId="11818"/>
    <cellStyle name="汇总 2 2 11 5 2 3 2" xfId="20242"/>
    <cellStyle name="汇总 2 2 11 5 2 3 2 2" xfId="26316"/>
    <cellStyle name="汇总 2 2 11 5 2 3 3" xfId="26315"/>
    <cellStyle name="汇总 2 2 11 5 2 4" xfId="20243"/>
    <cellStyle name="汇总 2 2 11 5 2 4 2" xfId="26317"/>
    <cellStyle name="汇总 2 2 11 5 2 5" xfId="26312"/>
    <cellStyle name="汇总 2 2 11 5 3" xfId="11819"/>
    <cellStyle name="汇总 2 2 11 5 3 2" xfId="18444"/>
    <cellStyle name="汇总 2 2 11 5 3 2 2" xfId="26319"/>
    <cellStyle name="汇总 2 2 11 5 3 3" xfId="26318"/>
    <cellStyle name="汇总 2 2 11 5 4" xfId="26320"/>
    <cellStyle name="汇总 2 2 11 5 5" xfId="26311"/>
    <cellStyle name="汇总 2 2 11 6" xfId="11820"/>
    <cellStyle name="汇总 2 2 11 6 2" xfId="11821"/>
    <cellStyle name="汇总 2 2 11 6 2 2" xfId="20240"/>
    <cellStyle name="汇总 2 2 11 6 2 2 2" xfId="26323"/>
    <cellStyle name="汇总 2 2 11 6 2 3" xfId="26322"/>
    <cellStyle name="汇总 2 2 11 6 3" xfId="11822"/>
    <cellStyle name="汇总 2 2 11 6 3 2" xfId="17772"/>
    <cellStyle name="汇总 2 2 11 6 3 2 2" xfId="26325"/>
    <cellStyle name="汇总 2 2 11 6 3 3" xfId="26324"/>
    <cellStyle name="汇总 2 2 11 6 4" xfId="20241"/>
    <cellStyle name="汇总 2 2 11 6 4 2" xfId="26326"/>
    <cellStyle name="汇总 2 2 11 6 5" xfId="26321"/>
    <cellStyle name="汇总 2 2 11 7" xfId="11823"/>
    <cellStyle name="汇总 2 2 11 7 2" xfId="20239"/>
    <cellStyle name="汇总 2 2 11 7 2 2" xfId="26328"/>
    <cellStyle name="汇总 2 2 11 7 3" xfId="26327"/>
    <cellStyle name="汇总 2 2 11 8" xfId="26329"/>
    <cellStyle name="汇总 2 2 11 9" xfId="26280"/>
    <cellStyle name="汇总 2 2 12" xfId="9344"/>
    <cellStyle name="汇总 2 2 12 2" xfId="11824"/>
    <cellStyle name="汇总 2 2 12 2 2" xfId="11825"/>
    <cellStyle name="汇总 2 2 12 2 2 2" xfId="21364"/>
    <cellStyle name="汇总 2 2 12 2 2 2 2" xfId="26333"/>
    <cellStyle name="汇总 2 2 12 2 2 3" xfId="26332"/>
    <cellStyle name="汇总 2 2 12 2 3" xfId="11826"/>
    <cellStyle name="汇总 2 2 12 2 3 2" xfId="21363"/>
    <cellStyle name="汇总 2 2 12 2 3 2 2" xfId="26335"/>
    <cellStyle name="汇总 2 2 12 2 3 3" xfId="26334"/>
    <cellStyle name="汇总 2 2 12 2 4" xfId="20238"/>
    <cellStyle name="汇总 2 2 12 2 4 2" xfId="26336"/>
    <cellStyle name="汇总 2 2 12 2 5" xfId="26331"/>
    <cellStyle name="汇总 2 2 12 3" xfId="11827"/>
    <cellStyle name="汇总 2 2 12 3 2" xfId="17771"/>
    <cellStyle name="汇总 2 2 12 3 2 2" xfId="26338"/>
    <cellStyle name="汇总 2 2 12 3 3" xfId="26337"/>
    <cellStyle name="汇总 2 2 12 4" xfId="26339"/>
    <cellStyle name="汇总 2 2 12 5" xfId="26330"/>
    <cellStyle name="汇总 2 2 13" xfId="9345"/>
    <cellStyle name="汇总 2 2 13 2" xfId="11828"/>
    <cellStyle name="汇总 2 2 13 2 2" xfId="11829"/>
    <cellStyle name="汇总 2 2 13 2 2 2" xfId="20237"/>
    <cellStyle name="汇总 2 2 13 2 2 2 2" xfId="26343"/>
    <cellStyle name="汇总 2 2 13 2 2 3" xfId="26342"/>
    <cellStyle name="汇总 2 2 13 2 3" xfId="11830"/>
    <cellStyle name="汇总 2 2 13 2 3 2" xfId="20236"/>
    <cellStyle name="汇总 2 2 13 2 3 2 2" xfId="26345"/>
    <cellStyle name="汇总 2 2 13 2 3 3" xfId="26344"/>
    <cellStyle name="汇总 2 2 13 2 4" xfId="18443"/>
    <cellStyle name="汇总 2 2 13 2 4 2" xfId="26346"/>
    <cellStyle name="汇总 2 2 13 2 5" xfId="26341"/>
    <cellStyle name="汇总 2 2 13 3" xfId="11831"/>
    <cellStyle name="汇总 2 2 13 3 2" xfId="20235"/>
    <cellStyle name="汇总 2 2 13 3 2 2" xfId="26348"/>
    <cellStyle name="汇总 2 2 13 3 3" xfId="26347"/>
    <cellStyle name="汇总 2 2 13 4" xfId="26349"/>
    <cellStyle name="汇总 2 2 13 5" xfId="26340"/>
    <cellStyle name="汇总 2 2 14" xfId="9346"/>
    <cellStyle name="汇总 2 2 14 2" xfId="11832"/>
    <cellStyle name="汇总 2 2 14 2 2" xfId="11833"/>
    <cellStyle name="汇总 2 2 14 2 2 2" xfId="17769"/>
    <cellStyle name="汇总 2 2 14 2 2 2 2" xfId="26353"/>
    <cellStyle name="汇总 2 2 14 2 2 3" xfId="26352"/>
    <cellStyle name="汇总 2 2 14 2 3" xfId="11834"/>
    <cellStyle name="汇总 2 2 14 2 3 2" xfId="21362"/>
    <cellStyle name="汇总 2 2 14 2 3 2 2" xfId="26355"/>
    <cellStyle name="汇总 2 2 14 2 3 3" xfId="26354"/>
    <cellStyle name="汇总 2 2 14 2 4" xfId="17770"/>
    <cellStyle name="汇总 2 2 14 2 4 2" xfId="26356"/>
    <cellStyle name="汇总 2 2 14 2 5" xfId="26351"/>
    <cellStyle name="汇总 2 2 14 3" xfId="11835"/>
    <cellStyle name="汇总 2 2 14 3 2" xfId="20234"/>
    <cellStyle name="汇总 2 2 14 3 2 2" xfId="26358"/>
    <cellStyle name="汇总 2 2 14 3 3" xfId="26357"/>
    <cellStyle name="汇总 2 2 14 4" xfId="26359"/>
    <cellStyle name="汇总 2 2 14 5" xfId="26350"/>
    <cellStyle name="汇总 2 2 15" xfId="9347"/>
    <cellStyle name="汇总 2 2 15 2" xfId="11836"/>
    <cellStyle name="汇总 2 2 15 2 2" xfId="11837"/>
    <cellStyle name="汇总 2 2 15 2 2 2" xfId="18441"/>
    <cellStyle name="汇总 2 2 15 2 2 2 2" xfId="26363"/>
    <cellStyle name="汇总 2 2 15 2 2 3" xfId="26362"/>
    <cellStyle name="汇总 2 2 15 2 3" xfId="11838"/>
    <cellStyle name="汇总 2 2 15 2 3 2" xfId="20233"/>
    <cellStyle name="汇总 2 2 15 2 3 2 2" xfId="26365"/>
    <cellStyle name="汇总 2 2 15 2 3 3" xfId="26364"/>
    <cellStyle name="汇总 2 2 15 2 4" xfId="18442"/>
    <cellStyle name="汇总 2 2 15 2 4 2" xfId="26366"/>
    <cellStyle name="汇总 2 2 15 2 5" xfId="26361"/>
    <cellStyle name="汇总 2 2 15 3" xfId="11839"/>
    <cellStyle name="汇总 2 2 15 3 2" xfId="21361"/>
    <cellStyle name="汇总 2 2 15 3 2 2" xfId="26368"/>
    <cellStyle name="汇总 2 2 15 3 3" xfId="26367"/>
    <cellStyle name="汇总 2 2 15 4" xfId="26369"/>
    <cellStyle name="汇总 2 2 15 5" xfId="26360"/>
    <cellStyle name="汇总 2 2 16" xfId="9348"/>
    <cellStyle name="汇总 2 2 16 2" xfId="11840"/>
    <cellStyle name="汇总 2 2 16 2 2" xfId="11841"/>
    <cellStyle name="汇总 2 2 16 2 2 2" xfId="20231"/>
    <cellStyle name="汇总 2 2 16 2 2 2 2" xfId="26373"/>
    <cellStyle name="汇总 2 2 16 2 2 3" xfId="26372"/>
    <cellStyle name="汇总 2 2 16 2 3" xfId="20232"/>
    <cellStyle name="汇总 2 2 16 2 3 2" xfId="26374"/>
    <cellStyle name="汇总 2 2 16 2 4" xfId="26371"/>
    <cellStyle name="汇总 2 2 16 3" xfId="11842"/>
    <cellStyle name="汇总 2 2 16 3 2" xfId="21100"/>
    <cellStyle name="汇总 2 2 16 3 2 2" xfId="26376"/>
    <cellStyle name="汇总 2 2 16 3 3" xfId="26375"/>
    <cellStyle name="汇总 2 2 16 4" xfId="26377"/>
    <cellStyle name="汇总 2 2 16 5" xfId="26370"/>
    <cellStyle name="汇总 2 2 17" xfId="11843"/>
    <cellStyle name="汇总 2 2 17 2" xfId="11844"/>
    <cellStyle name="汇总 2 2 17 2 2" xfId="20229"/>
    <cellStyle name="汇总 2 2 17 2 2 2" xfId="26380"/>
    <cellStyle name="汇总 2 2 17 2 3" xfId="26379"/>
    <cellStyle name="汇总 2 2 17 3" xfId="11845"/>
    <cellStyle name="汇总 2 2 17 3 2" xfId="21360"/>
    <cellStyle name="汇总 2 2 17 3 2 2" xfId="26382"/>
    <cellStyle name="汇总 2 2 17 3 3" xfId="26381"/>
    <cellStyle name="汇总 2 2 17 4" xfId="20230"/>
    <cellStyle name="汇总 2 2 17 4 2" xfId="26383"/>
    <cellStyle name="汇总 2 2 17 5" xfId="26378"/>
    <cellStyle name="汇总 2 2 18" xfId="11846"/>
    <cellStyle name="汇总 2 2 18 2" xfId="20228"/>
    <cellStyle name="汇总 2 2 18 2 2" xfId="26385"/>
    <cellStyle name="汇总 2 2 18 3" xfId="26384"/>
    <cellStyle name="汇总 2 2 19" xfId="9333"/>
    <cellStyle name="汇总 2 2 19 2" xfId="26387"/>
    <cellStyle name="汇总 2 2 19 3" xfId="26386"/>
    <cellStyle name="汇总 2 2 2" xfId="5145"/>
    <cellStyle name="汇总 2 2 2 10" xfId="9350"/>
    <cellStyle name="汇总 2 2 2 10 2" xfId="9351"/>
    <cellStyle name="汇总 2 2 2 10 2 2" xfId="11847"/>
    <cellStyle name="汇总 2 2 2 10 2 2 2" xfId="11848"/>
    <cellStyle name="汇总 2 2 2 10 2 2 2 2" xfId="20227"/>
    <cellStyle name="汇总 2 2 2 10 2 2 2 2 2" xfId="26393"/>
    <cellStyle name="汇总 2 2 2 10 2 2 2 3" xfId="26392"/>
    <cellStyle name="汇总 2 2 2 10 2 2 3" xfId="11849"/>
    <cellStyle name="汇总 2 2 2 10 2 2 3 2" xfId="20226"/>
    <cellStyle name="汇总 2 2 2 10 2 2 3 2 2" xfId="26395"/>
    <cellStyle name="汇总 2 2 2 10 2 2 3 3" xfId="26394"/>
    <cellStyle name="汇总 2 2 2 10 2 2 4" xfId="21099"/>
    <cellStyle name="汇总 2 2 2 10 2 2 4 2" xfId="26396"/>
    <cellStyle name="汇总 2 2 2 10 2 2 5" xfId="26391"/>
    <cellStyle name="汇总 2 2 2 10 2 3" xfId="11850"/>
    <cellStyle name="汇总 2 2 2 10 2 3 2" xfId="18440"/>
    <cellStyle name="汇总 2 2 2 10 2 3 2 2" xfId="26398"/>
    <cellStyle name="汇总 2 2 2 10 2 3 3" xfId="26397"/>
    <cellStyle name="汇总 2 2 2 10 2 4" xfId="26399"/>
    <cellStyle name="汇总 2 2 2 10 2 5" xfId="26390"/>
    <cellStyle name="汇总 2 2 2 10 3" xfId="9352"/>
    <cellStyle name="汇总 2 2 2 10 3 2" xfId="11851"/>
    <cellStyle name="汇总 2 2 2 10 3 2 2" xfId="11852"/>
    <cellStyle name="汇总 2 2 2 10 3 2 2 2" xfId="17768"/>
    <cellStyle name="汇总 2 2 2 10 3 2 2 2 2" xfId="26403"/>
    <cellStyle name="汇总 2 2 2 10 3 2 2 3" xfId="26402"/>
    <cellStyle name="汇总 2 2 2 10 3 2 3" xfId="11853"/>
    <cellStyle name="汇总 2 2 2 10 3 2 3 2" xfId="20224"/>
    <cellStyle name="汇总 2 2 2 10 3 2 3 2 2" xfId="26405"/>
    <cellStyle name="汇总 2 2 2 10 3 2 3 3" xfId="26404"/>
    <cellStyle name="汇总 2 2 2 10 3 2 4" xfId="20225"/>
    <cellStyle name="汇总 2 2 2 10 3 2 4 2" xfId="26406"/>
    <cellStyle name="汇总 2 2 2 10 3 2 5" xfId="26401"/>
    <cellStyle name="汇总 2 2 2 10 3 3" xfId="11854"/>
    <cellStyle name="汇总 2 2 2 10 3 3 2" xfId="20223"/>
    <cellStyle name="汇总 2 2 2 10 3 3 2 2" xfId="26408"/>
    <cellStyle name="汇总 2 2 2 10 3 3 3" xfId="26407"/>
    <cellStyle name="汇总 2 2 2 10 3 4" xfId="26409"/>
    <cellStyle name="汇总 2 2 2 10 3 5" xfId="26400"/>
    <cellStyle name="汇总 2 2 2 10 4" xfId="9353"/>
    <cellStyle name="汇总 2 2 2 10 4 2" xfId="11855"/>
    <cellStyle name="汇总 2 2 2 10 4 2 2" xfId="11856"/>
    <cellStyle name="汇总 2 2 2 10 4 2 2 2" xfId="21359"/>
    <cellStyle name="汇总 2 2 2 10 4 2 2 2 2" xfId="26413"/>
    <cellStyle name="汇总 2 2 2 10 4 2 2 3" xfId="26412"/>
    <cellStyle name="汇总 2 2 2 10 4 2 3" xfId="11857"/>
    <cellStyle name="汇总 2 2 2 10 4 2 3 2" xfId="17766"/>
    <cellStyle name="汇总 2 2 2 10 4 2 3 2 2" xfId="26415"/>
    <cellStyle name="汇总 2 2 2 10 4 2 3 3" xfId="26414"/>
    <cellStyle name="汇总 2 2 2 10 4 2 4" xfId="20222"/>
    <cellStyle name="汇总 2 2 2 10 4 2 4 2" xfId="26416"/>
    <cellStyle name="汇总 2 2 2 10 4 2 5" xfId="26411"/>
    <cellStyle name="汇总 2 2 2 10 4 3" xfId="11858"/>
    <cellStyle name="汇总 2 2 2 10 4 3 2" xfId="17765"/>
    <cellStyle name="汇总 2 2 2 10 4 3 2 2" xfId="26418"/>
    <cellStyle name="汇总 2 2 2 10 4 3 3" xfId="26417"/>
    <cellStyle name="汇总 2 2 2 10 4 4" xfId="26419"/>
    <cellStyle name="汇总 2 2 2 10 4 5" xfId="26410"/>
    <cellStyle name="汇总 2 2 2 10 5" xfId="9354"/>
    <cellStyle name="汇总 2 2 2 10 5 2" xfId="11859"/>
    <cellStyle name="汇总 2 2 2 10 5 2 2" xfId="11860"/>
    <cellStyle name="汇总 2 2 2 10 5 2 2 2" xfId="18439"/>
    <cellStyle name="汇总 2 2 2 10 5 2 2 2 2" xfId="26423"/>
    <cellStyle name="汇总 2 2 2 10 5 2 2 3" xfId="26422"/>
    <cellStyle name="汇总 2 2 2 10 5 2 3" xfId="11861"/>
    <cellStyle name="汇总 2 2 2 10 5 2 3 2" xfId="20221"/>
    <cellStyle name="汇总 2 2 2 10 5 2 3 2 2" xfId="26425"/>
    <cellStyle name="汇总 2 2 2 10 5 2 3 3" xfId="26424"/>
    <cellStyle name="汇总 2 2 2 10 5 2 4" xfId="21358"/>
    <cellStyle name="汇总 2 2 2 10 5 2 4 2" xfId="26426"/>
    <cellStyle name="汇总 2 2 2 10 5 2 5" xfId="26421"/>
    <cellStyle name="汇总 2 2 2 10 5 3" xfId="11862"/>
    <cellStyle name="汇总 2 2 2 10 5 3 2" xfId="20220"/>
    <cellStyle name="汇总 2 2 2 10 5 3 2 2" xfId="26428"/>
    <cellStyle name="汇总 2 2 2 10 5 3 3" xfId="26427"/>
    <cellStyle name="汇总 2 2 2 10 5 4" xfId="26429"/>
    <cellStyle name="汇总 2 2 2 10 5 5" xfId="26420"/>
    <cellStyle name="汇总 2 2 2 10 6" xfId="11863"/>
    <cellStyle name="汇总 2 2 2 10 6 2" xfId="11864"/>
    <cellStyle name="汇总 2 2 2 10 6 2 2" xfId="18732"/>
    <cellStyle name="汇总 2 2 2 10 6 2 2 2" xfId="26432"/>
    <cellStyle name="汇总 2 2 2 10 6 2 3" xfId="26431"/>
    <cellStyle name="汇总 2 2 2 10 6 3" xfId="11865"/>
    <cellStyle name="汇总 2 2 2 10 6 3 2" xfId="20218"/>
    <cellStyle name="汇总 2 2 2 10 6 3 2 2" xfId="26434"/>
    <cellStyle name="汇总 2 2 2 10 6 3 3" xfId="26433"/>
    <cellStyle name="汇总 2 2 2 10 6 4" xfId="20219"/>
    <cellStyle name="汇总 2 2 2 10 6 4 2" xfId="26435"/>
    <cellStyle name="汇总 2 2 2 10 6 5" xfId="26430"/>
    <cellStyle name="汇总 2 2 2 10 7" xfId="11866"/>
    <cellStyle name="汇总 2 2 2 10 7 2" xfId="18438"/>
    <cellStyle name="汇总 2 2 2 10 7 2 2" xfId="26437"/>
    <cellStyle name="汇总 2 2 2 10 7 3" xfId="26436"/>
    <cellStyle name="汇总 2 2 2 10 8" xfId="26438"/>
    <cellStyle name="汇总 2 2 2 10 9" xfId="26389"/>
    <cellStyle name="汇总 2 2 2 11" xfId="9355"/>
    <cellStyle name="汇总 2 2 2 11 2" xfId="11867"/>
    <cellStyle name="汇总 2 2 2 11 2 2" xfId="11868"/>
    <cellStyle name="汇总 2 2 2 11 2 2 2" xfId="20217"/>
    <cellStyle name="汇总 2 2 2 11 2 2 2 2" xfId="26442"/>
    <cellStyle name="汇总 2 2 2 11 2 2 3" xfId="26441"/>
    <cellStyle name="汇总 2 2 2 11 2 3" xfId="11869"/>
    <cellStyle name="汇总 2 2 2 11 2 3 2" xfId="20216"/>
    <cellStyle name="汇总 2 2 2 11 2 3 2 2" xfId="26444"/>
    <cellStyle name="汇总 2 2 2 11 2 3 3" xfId="26443"/>
    <cellStyle name="汇总 2 2 2 11 2 4" xfId="17764"/>
    <cellStyle name="汇总 2 2 2 11 2 4 2" xfId="26445"/>
    <cellStyle name="汇总 2 2 2 11 2 5" xfId="26440"/>
    <cellStyle name="汇总 2 2 2 11 3" xfId="11870"/>
    <cellStyle name="汇总 2 2 2 11 3 2" xfId="21357"/>
    <cellStyle name="汇总 2 2 2 11 3 2 2" xfId="26447"/>
    <cellStyle name="汇总 2 2 2 11 3 3" xfId="26446"/>
    <cellStyle name="汇总 2 2 2 11 4" xfId="26448"/>
    <cellStyle name="汇总 2 2 2 11 5" xfId="26439"/>
    <cellStyle name="汇总 2 2 2 12" xfId="9356"/>
    <cellStyle name="汇总 2 2 2 12 2" xfId="11871"/>
    <cellStyle name="汇总 2 2 2 12 2 2" xfId="11872"/>
    <cellStyle name="汇总 2 2 2 12 2 2 2" xfId="21098"/>
    <cellStyle name="汇总 2 2 2 12 2 2 2 2" xfId="26452"/>
    <cellStyle name="汇总 2 2 2 12 2 2 3" xfId="26451"/>
    <cellStyle name="汇总 2 2 2 12 2 3" xfId="11873"/>
    <cellStyle name="汇总 2 2 2 12 2 3 2" xfId="20214"/>
    <cellStyle name="汇总 2 2 2 12 2 3 2 2" xfId="26454"/>
    <cellStyle name="汇总 2 2 2 12 2 3 3" xfId="26453"/>
    <cellStyle name="汇总 2 2 2 12 2 4" xfId="20215"/>
    <cellStyle name="汇总 2 2 2 12 2 4 2" xfId="26455"/>
    <cellStyle name="汇总 2 2 2 12 2 5" xfId="26450"/>
    <cellStyle name="汇总 2 2 2 12 3" xfId="11874"/>
    <cellStyle name="汇总 2 2 2 12 3 2" xfId="18437"/>
    <cellStyle name="汇总 2 2 2 12 3 2 2" xfId="26457"/>
    <cellStyle name="汇总 2 2 2 12 3 3" xfId="26456"/>
    <cellStyle name="汇总 2 2 2 12 4" xfId="26458"/>
    <cellStyle name="汇总 2 2 2 12 5" xfId="26449"/>
    <cellStyle name="汇总 2 2 2 13" xfId="9357"/>
    <cellStyle name="汇总 2 2 2 13 2" xfId="11875"/>
    <cellStyle name="汇总 2 2 2 13 2 2" xfId="11876"/>
    <cellStyle name="汇总 2 2 2 13 2 2 2" xfId="21356"/>
    <cellStyle name="汇总 2 2 2 13 2 2 2 2" xfId="26462"/>
    <cellStyle name="汇总 2 2 2 13 2 2 3" xfId="26461"/>
    <cellStyle name="汇总 2 2 2 13 2 3" xfId="11877"/>
    <cellStyle name="汇总 2 2 2 13 2 3 2" xfId="17763"/>
    <cellStyle name="汇总 2 2 2 13 2 3 2 2" xfId="26464"/>
    <cellStyle name="汇总 2 2 2 13 2 3 3" xfId="26463"/>
    <cellStyle name="汇总 2 2 2 13 2 4" xfId="18436"/>
    <cellStyle name="汇总 2 2 2 13 2 4 2" xfId="26465"/>
    <cellStyle name="汇总 2 2 2 13 2 5" xfId="26460"/>
    <cellStyle name="汇总 2 2 2 13 3" xfId="11878"/>
    <cellStyle name="汇总 2 2 2 13 3 2" xfId="20213"/>
    <cellStyle name="汇总 2 2 2 13 3 2 2" xfId="26467"/>
    <cellStyle name="汇总 2 2 2 13 3 3" xfId="26466"/>
    <cellStyle name="汇总 2 2 2 13 4" xfId="26468"/>
    <cellStyle name="汇总 2 2 2 13 5" xfId="26459"/>
    <cellStyle name="汇总 2 2 2 14" xfId="9358"/>
    <cellStyle name="汇总 2 2 2 14 2" xfId="11879"/>
    <cellStyle name="汇总 2 2 2 14 2 2" xfId="11880"/>
    <cellStyle name="汇总 2 2 2 14 2 2 2" xfId="20211"/>
    <cellStyle name="汇总 2 2 2 14 2 2 2 2" xfId="26472"/>
    <cellStyle name="汇总 2 2 2 14 2 2 3" xfId="26471"/>
    <cellStyle name="汇总 2 2 2 14 2 3" xfId="11881"/>
    <cellStyle name="汇总 2 2 2 14 2 3 2" xfId="20210"/>
    <cellStyle name="汇总 2 2 2 14 2 3 2 2" xfId="26474"/>
    <cellStyle name="汇总 2 2 2 14 2 3 3" xfId="26473"/>
    <cellStyle name="汇总 2 2 2 14 2 4" xfId="20212"/>
    <cellStyle name="汇总 2 2 2 14 2 4 2" xfId="26475"/>
    <cellStyle name="汇总 2 2 2 14 2 5" xfId="26470"/>
    <cellStyle name="汇总 2 2 2 14 3" xfId="11882"/>
    <cellStyle name="汇总 2 2 2 14 3 2" xfId="17762"/>
    <cellStyle name="汇总 2 2 2 14 3 2 2" xfId="26477"/>
    <cellStyle name="汇总 2 2 2 14 3 3" xfId="26476"/>
    <cellStyle name="汇总 2 2 2 14 4" xfId="26478"/>
    <cellStyle name="汇总 2 2 2 14 5" xfId="26469"/>
    <cellStyle name="汇总 2 2 2 15" xfId="11883"/>
    <cellStyle name="汇总 2 2 2 15 2" xfId="11884"/>
    <cellStyle name="汇总 2 2 2 15 2 2" xfId="20209"/>
    <cellStyle name="汇总 2 2 2 15 2 2 2" xfId="26481"/>
    <cellStyle name="汇总 2 2 2 15 2 3" xfId="26480"/>
    <cellStyle name="汇总 2 2 2 15 3" xfId="11885"/>
    <cellStyle name="汇总 2 2 2 15 3 2" xfId="20208"/>
    <cellStyle name="汇总 2 2 2 15 3 2 2" xfId="26483"/>
    <cellStyle name="汇总 2 2 2 15 3 3" xfId="26482"/>
    <cellStyle name="汇总 2 2 2 15 4" xfId="17761"/>
    <cellStyle name="汇总 2 2 2 15 4 2" xfId="26484"/>
    <cellStyle name="汇总 2 2 2 15 5" xfId="26479"/>
    <cellStyle name="汇总 2 2 2 16" xfId="11886"/>
    <cellStyle name="汇总 2 2 2 16 2" xfId="20207"/>
    <cellStyle name="汇总 2 2 2 16 2 2" xfId="26486"/>
    <cellStyle name="汇总 2 2 2 16 3" xfId="26485"/>
    <cellStyle name="汇总 2 2 2 17" xfId="9349"/>
    <cellStyle name="汇总 2 2 2 17 2" xfId="26487"/>
    <cellStyle name="汇总 2 2 2 18" xfId="26388"/>
    <cellStyle name="汇总 2 2 2 2" xfId="5146"/>
    <cellStyle name="汇总 2 2 2 2 2" xfId="9360"/>
    <cellStyle name="汇总 2 2 2 2 2 2" xfId="11887"/>
    <cellStyle name="汇总 2 2 2 2 2 2 2" xfId="11888"/>
    <cellStyle name="汇总 2 2 2 2 2 2 2 2" xfId="21355"/>
    <cellStyle name="汇总 2 2 2 2 2 2 2 2 2" xfId="26492"/>
    <cellStyle name="汇总 2 2 2 2 2 2 2 3" xfId="26491"/>
    <cellStyle name="汇总 2 2 2 2 2 2 3" xfId="11889"/>
    <cellStyle name="汇总 2 2 2 2 2 2 3 2" xfId="21354"/>
    <cellStyle name="汇总 2 2 2 2 2 2 3 2 2" xfId="26494"/>
    <cellStyle name="汇总 2 2 2 2 2 2 3 3" xfId="26493"/>
    <cellStyle name="汇总 2 2 2 2 2 2 4" xfId="20206"/>
    <cellStyle name="汇总 2 2 2 2 2 2 4 2" xfId="26495"/>
    <cellStyle name="汇总 2 2 2 2 2 2 5" xfId="26490"/>
    <cellStyle name="汇总 2 2 2 2 2 3" xfId="11890"/>
    <cellStyle name="汇总 2 2 2 2 2 3 2" xfId="18435"/>
    <cellStyle name="汇总 2 2 2 2 2 3 2 2" xfId="26497"/>
    <cellStyle name="汇总 2 2 2 2 2 3 3" xfId="26496"/>
    <cellStyle name="汇总 2 2 2 2 2 4" xfId="26498"/>
    <cellStyle name="汇总 2 2 2 2 2 5" xfId="26489"/>
    <cellStyle name="汇总 2 2 2 2 3" xfId="9361"/>
    <cellStyle name="汇总 2 2 2 2 3 2" xfId="11891"/>
    <cellStyle name="汇总 2 2 2 2 3 2 2" xfId="11892"/>
    <cellStyle name="汇总 2 2 2 2 3 2 2 2" xfId="17760"/>
    <cellStyle name="汇总 2 2 2 2 3 2 2 2 2" xfId="26502"/>
    <cellStyle name="汇总 2 2 2 2 3 2 2 3" xfId="26501"/>
    <cellStyle name="汇总 2 2 2 2 3 2 3" xfId="11893"/>
    <cellStyle name="汇总 2 2 2 2 3 2 3 2" xfId="20204"/>
    <cellStyle name="汇总 2 2 2 2 3 2 3 2 2" xfId="26504"/>
    <cellStyle name="汇总 2 2 2 2 3 2 3 3" xfId="26503"/>
    <cellStyle name="汇总 2 2 2 2 3 2 4" xfId="20205"/>
    <cellStyle name="汇总 2 2 2 2 3 2 4 2" xfId="26505"/>
    <cellStyle name="汇总 2 2 2 2 3 2 5" xfId="26500"/>
    <cellStyle name="汇总 2 2 2 2 3 3" xfId="11894"/>
    <cellStyle name="汇总 2 2 2 2 3 3 2" xfId="20203"/>
    <cellStyle name="汇总 2 2 2 2 3 3 2 2" xfId="26507"/>
    <cellStyle name="汇总 2 2 2 2 3 3 3" xfId="26506"/>
    <cellStyle name="汇总 2 2 2 2 3 4" xfId="26508"/>
    <cellStyle name="汇总 2 2 2 2 3 5" xfId="26499"/>
    <cellStyle name="汇总 2 2 2 2 4" xfId="9362"/>
    <cellStyle name="汇总 2 2 2 2 4 2" xfId="11895"/>
    <cellStyle name="汇总 2 2 2 2 4 2 2" xfId="11896"/>
    <cellStyle name="汇总 2 2 2 2 4 2 2 2" xfId="20202"/>
    <cellStyle name="汇总 2 2 2 2 4 2 2 2 2" xfId="26512"/>
    <cellStyle name="汇总 2 2 2 2 4 2 2 3" xfId="26511"/>
    <cellStyle name="汇总 2 2 2 2 4 2 3" xfId="11897"/>
    <cellStyle name="汇总 2 2 2 2 4 2 3 2" xfId="18641"/>
    <cellStyle name="汇总 2 2 2 2 4 2 3 2 2" xfId="26514"/>
    <cellStyle name="汇总 2 2 2 2 4 2 3 3" xfId="26513"/>
    <cellStyle name="汇总 2 2 2 2 4 2 4" xfId="18731"/>
    <cellStyle name="汇总 2 2 2 2 4 2 4 2" xfId="26515"/>
    <cellStyle name="汇总 2 2 2 2 4 2 5" xfId="26510"/>
    <cellStyle name="汇总 2 2 2 2 4 3" xfId="11898"/>
    <cellStyle name="汇总 2 2 2 2 4 3 2" xfId="18434"/>
    <cellStyle name="汇总 2 2 2 2 4 3 2 2" xfId="26517"/>
    <cellStyle name="汇总 2 2 2 2 4 3 3" xfId="26516"/>
    <cellStyle name="汇总 2 2 2 2 4 4" xfId="26518"/>
    <cellStyle name="汇总 2 2 2 2 4 5" xfId="26509"/>
    <cellStyle name="汇总 2 2 2 2 5" xfId="9363"/>
    <cellStyle name="汇总 2 2 2 2 5 2" xfId="11899"/>
    <cellStyle name="汇总 2 2 2 2 5 2 2" xfId="11900"/>
    <cellStyle name="汇总 2 2 2 2 5 2 2 2" xfId="20200"/>
    <cellStyle name="汇总 2 2 2 2 5 2 2 2 2" xfId="26522"/>
    <cellStyle name="汇总 2 2 2 2 5 2 2 3" xfId="26521"/>
    <cellStyle name="汇总 2 2 2 2 5 2 3" xfId="11901"/>
    <cellStyle name="汇总 2 2 2 2 5 2 3 2" xfId="21353"/>
    <cellStyle name="汇总 2 2 2 2 5 2 3 2 2" xfId="26524"/>
    <cellStyle name="汇总 2 2 2 2 5 2 3 3" xfId="26523"/>
    <cellStyle name="汇总 2 2 2 2 5 2 4" xfId="20201"/>
    <cellStyle name="汇总 2 2 2 2 5 2 4 2" xfId="26525"/>
    <cellStyle name="汇总 2 2 2 2 5 2 5" xfId="26520"/>
    <cellStyle name="汇总 2 2 2 2 5 3" xfId="11902"/>
    <cellStyle name="汇总 2 2 2 2 5 3 2" xfId="17759"/>
    <cellStyle name="汇总 2 2 2 2 5 3 2 2" xfId="26527"/>
    <cellStyle name="汇总 2 2 2 2 5 3 3" xfId="26526"/>
    <cellStyle name="汇总 2 2 2 2 5 4" xfId="26528"/>
    <cellStyle name="汇总 2 2 2 2 5 5" xfId="26519"/>
    <cellStyle name="汇总 2 2 2 2 6" xfId="11903"/>
    <cellStyle name="汇总 2 2 2 2 6 2" xfId="11904"/>
    <cellStyle name="汇总 2 2 2 2 6 2 2" xfId="20198"/>
    <cellStyle name="汇总 2 2 2 2 6 2 2 2" xfId="26531"/>
    <cellStyle name="汇总 2 2 2 2 6 2 3" xfId="26530"/>
    <cellStyle name="汇总 2 2 2 2 6 3" xfId="11905"/>
    <cellStyle name="汇总 2 2 2 2 6 3 2" xfId="18433"/>
    <cellStyle name="汇总 2 2 2 2 6 3 2 2" xfId="26533"/>
    <cellStyle name="汇总 2 2 2 2 6 3 3" xfId="26532"/>
    <cellStyle name="汇总 2 2 2 2 6 4" xfId="20199"/>
    <cellStyle name="汇总 2 2 2 2 6 4 2" xfId="26534"/>
    <cellStyle name="汇总 2 2 2 2 6 5" xfId="26529"/>
    <cellStyle name="汇总 2 2 2 2 7" xfId="11906"/>
    <cellStyle name="汇总 2 2 2 2 7 2" xfId="20197"/>
    <cellStyle name="汇总 2 2 2 2 7 2 2" xfId="26536"/>
    <cellStyle name="汇总 2 2 2 2 7 3" xfId="26535"/>
    <cellStyle name="汇总 2 2 2 2 8" xfId="9359"/>
    <cellStyle name="汇总 2 2 2 2 8 2" xfId="26537"/>
    <cellStyle name="汇总 2 2 2 2 9" xfId="26488"/>
    <cellStyle name="汇总 2 2 2 3" xfId="9364"/>
    <cellStyle name="汇总 2 2 2 3 2" xfId="9365"/>
    <cellStyle name="汇总 2 2 2 3 2 2" xfId="11907"/>
    <cellStyle name="汇总 2 2 2 3 2 2 2" xfId="11908"/>
    <cellStyle name="汇总 2 2 2 3 2 2 2 2" xfId="17757"/>
    <cellStyle name="汇总 2 2 2 3 2 2 2 2 2" xfId="26542"/>
    <cellStyle name="汇总 2 2 2 3 2 2 2 3" xfId="26541"/>
    <cellStyle name="汇总 2 2 2 3 2 2 3" xfId="11909"/>
    <cellStyle name="汇总 2 2 2 3 2 2 3 2" xfId="21352"/>
    <cellStyle name="汇总 2 2 2 3 2 2 3 2 2" xfId="26544"/>
    <cellStyle name="汇总 2 2 2 3 2 2 3 3" xfId="26543"/>
    <cellStyle name="汇总 2 2 2 3 2 2 4" xfId="17758"/>
    <cellStyle name="汇总 2 2 2 3 2 2 4 2" xfId="26545"/>
    <cellStyle name="汇总 2 2 2 3 2 2 5" xfId="26540"/>
    <cellStyle name="汇总 2 2 2 3 2 3" xfId="11910"/>
    <cellStyle name="汇总 2 2 2 3 2 3 2" xfId="20196"/>
    <cellStyle name="汇总 2 2 2 3 2 3 2 2" xfId="26547"/>
    <cellStyle name="汇总 2 2 2 3 2 3 3" xfId="26546"/>
    <cellStyle name="汇总 2 2 2 3 2 4" xfId="26548"/>
    <cellStyle name="汇总 2 2 2 3 2 5" xfId="26539"/>
    <cellStyle name="汇总 2 2 2 3 3" xfId="9366"/>
    <cellStyle name="汇总 2 2 2 3 3 2" xfId="11911"/>
    <cellStyle name="汇总 2 2 2 3 3 2 2" xfId="11912"/>
    <cellStyle name="汇总 2 2 2 3 3 2 2 2" xfId="20194"/>
    <cellStyle name="汇总 2 2 2 3 3 2 2 2 2" xfId="26552"/>
    <cellStyle name="汇总 2 2 2 3 3 2 2 3" xfId="26551"/>
    <cellStyle name="汇总 2 2 2 3 3 2 3" xfId="11913"/>
    <cellStyle name="汇总 2 2 2 3 3 2 3 2" xfId="18432"/>
    <cellStyle name="汇总 2 2 2 3 3 2 3 2 2" xfId="26554"/>
    <cellStyle name="汇总 2 2 2 3 3 2 3 3" xfId="26553"/>
    <cellStyle name="汇总 2 2 2 3 3 2 4" xfId="20195"/>
    <cellStyle name="汇总 2 2 2 3 3 2 4 2" xfId="26555"/>
    <cellStyle name="汇总 2 2 2 3 3 2 5" xfId="26550"/>
    <cellStyle name="汇总 2 2 2 3 3 3" xfId="11914"/>
    <cellStyle name="汇总 2 2 2 3 3 3 2" xfId="18431"/>
    <cellStyle name="汇总 2 2 2 3 3 3 2 2" xfId="26557"/>
    <cellStyle name="汇总 2 2 2 3 3 3 3" xfId="26556"/>
    <cellStyle name="汇总 2 2 2 3 3 4" xfId="26558"/>
    <cellStyle name="汇总 2 2 2 3 3 5" xfId="26549"/>
    <cellStyle name="汇总 2 2 2 3 4" xfId="9367"/>
    <cellStyle name="汇总 2 2 2 3 4 2" xfId="11915"/>
    <cellStyle name="汇总 2 2 2 3 4 2 2" xfId="11916"/>
    <cellStyle name="汇总 2 2 2 3 4 2 2 2" xfId="20192"/>
    <cellStyle name="汇总 2 2 2 3 4 2 2 2 2" xfId="26562"/>
    <cellStyle name="汇总 2 2 2 3 4 2 2 3" xfId="26561"/>
    <cellStyle name="汇总 2 2 2 3 4 2 3" xfId="11917"/>
    <cellStyle name="汇总 2 2 2 3 4 2 3 2" xfId="17756"/>
    <cellStyle name="汇总 2 2 2 3 4 2 3 2 2" xfId="26564"/>
    <cellStyle name="汇总 2 2 2 3 4 2 3 3" xfId="26563"/>
    <cellStyle name="汇总 2 2 2 3 4 2 4" xfId="20193"/>
    <cellStyle name="汇总 2 2 2 3 4 2 4 2" xfId="26565"/>
    <cellStyle name="汇总 2 2 2 3 4 2 5" xfId="26560"/>
    <cellStyle name="汇总 2 2 2 3 4 3" xfId="11918"/>
    <cellStyle name="汇总 2 2 2 3 4 3 2" xfId="20191"/>
    <cellStyle name="汇总 2 2 2 3 4 3 2 2" xfId="26567"/>
    <cellStyle name="汇总 2 2 2 3 4 3 3" xfId="26566"/>
    <cellStyle name="汇总 2 2 2 3 4 4" xfId="26568"/>
    <cellStyle name="汇总 2 2 2 3 4 5" xfId="26559"/>
    <cellStyle name="汇总 2 2 2 3 5" xfId="9368"/>
    <cellStyle name="汇总 2 2 2 3 5 2" xfId="11919"/>
    <cellStyle name="汇总 2 2 2 3 5 2 2" xfId="11920"/>
    <cellStyle name="汇总 2 2 2 3 5 2 2 2" xfId="21350"/>
    <cellStyle name="汇总 2 2 2 3 5 2 2 2 2" xfId="26572"/>
    <cellStyle name="汇总 2 2 2 3 5 2 2 3" xfId="26571"/>
    <cellStyle name="汇总 2 2 2 3 5 2 3" xfId="11921"/>
    <cellStyle name="汇总 2 2 2 3 5 2 3 2" xfId="20190"/>
    <cellStyle name="汇总 2 2 2 3 5 2 3 2 2" xfId="26574"/>
    <cellStyle name="汇总 2 2 2 3 5 2 3 3" xfId="26573"/>
    <cellStyle name="汇总 2 2 2 3 5 2 4" xfId="21351"/>
    <cellStyle name="汇总 2 2 2 3 5 2 4 2" xfId="26575"/>
    <cellStyle name="汇总 2 2 2 3 5 2 5" xfId="26570"/>
    <cellStyle name="汇总 2 2 2 3 5 3" xfId="11922"/>
    <cellStyle name="汇总 2 2 2 3 5 3 2" xfId="21097"/>
    <cellStyle name="汇总 2 2 2 3 5 3 2 2" xfId="26577"/>
    <cellStyle name="汇总 2 2 2 3 5 3 3" xfId="26576"/>
    <cellStyle name="汇总 2 2 2 3 5 4" xfId="26578"/>
    <cellStyle name="汇总 2 2 2 3 5 5" xfId="26569"/>
    <cellStyle name="汇总 2 2 2 3 6" xfId="11923"/>
    <cellStyle name="汇总 2 2 2 3 6 2" xfId="11924"/>
    <cellStyle name="汇总 2 2 2 3 6 2 2" xfId="20189"/>
    <cellStyle name="汇总 2 2 2 3 6 2 2 2" xfId="26581"/>
    <cellStyle name="汇总 2 2 2 3 6 2 3" xfId="26580"/>
    <cellStyle name="汇总 2 2 2 3 6 3" xfId="11925"/>
    <cellStyle name="汇总 2 2 2 3 6 3 2" xfId="20188"/>
    <cellStyle name="汇总 2 2 2 3 6 3 2 2" xfId="26583"/>
    <cellStyle name="汇总 2 2 2 3 6 3 3" xfId="26582"/>
    <cellStyle name="汇总 2 2 2 3 6 4" xfId="18430"/>
    <cellStyle name="汇总 2 2 2 3 6 4 2" xfId="26584"/>
    <cellStyle name="汇总 2 2 2 3 6 5" xfId="26579"/>
    <cellStyle name="汇总 2 2 2 3 7" xfId="11926"/>
    <cellStyle name="汇总 2 2 2 3 7 2" xfId="18730"/>
    <cellStyle name="汇总 2 2 2 3 7 2 2" xfId="26586"/>
    <cellStyle name="汇总 2 2 2 3 7 3" xfId="26585"/>
    <cellStyle name="汇总 2 2 2 3 8" xfId="26587"/>
    <cellStyle name="汇总 2 2 2 3 9" xfId="26538"/>
    <cellStyle name="汇总 2 2 2 4" xfId="9369"/>
    <cellStyle name="汇总 2 2 2 4 2" xfId="9370"/>
    <cellStyle name="汇总 2 2 2 4 2 2" xfId="11927"/>
    <cellStyle name="汇总 2 2 2 4 2 2 2" xfId="11928"/>
    <cellStyle name="汇总 2 2 2 4 2 2 2 2" xfId="20187"/>
    <cellStyle name="汇总 2 2 2 4 2 2 2 2 2" xfId="26592"/>
    <cellStyle name="汇总 2 2 2 4 2 2 2 3" xfId="26591"/>
    <cellStyle name="汇总 2 2 2 4 2 2 3" xfId="11929"/>
    <cellStyle name="汇总 2 2 2 4 2 2 3 2" xfId="20186"/>
    <cellStyle name="汇总 2 2 2 4 2 2 3 2 2" xfId="26594"/>
    <cellStyle name="汇总 2 2 2 4 2 2 3 3" xfId="26593"/>
    <cellStyle name="汇总 2 2 2 4 2 2 4" xfId="17755"/>
    <cellStyle name="汇总 2 2 2 4 2 2 4 2" xfId="26595"/>
    <cellStyle name="汇总 2 2 2 4 2 2 5" xfId="26590"/>
    <cellStyle name="汇总 2 2 2 4 2 3" xfId="11930"/>
    <cellStyle name="汇总 2 2 2 4 2 3 2" xfId="18429"/>
    <cellStyle name="汇总 2 2 2 4 2 3 2 2" xfId="26597"/>
    <cellStyle name="汇总 2 2 2 4 2 3 3" xfId="26596"/>
    <cellStyle name="汇总 2 2 2 4 2 4" xfId="26598"/>
    <cellStyle name="汇总 2 2 2 4 2 5" xfId="26589"/>
    <cellStyle name="汇总 2 2 2 4 3" xfId="9371"/>
    <cellStyle name="汇总 2 2 2 4 3 2" xfId="11931"/>
    <cellStyle name="汇总 2 2 2 4 3 2 2" xfId="11932"/>
    <cellStyle name="汇总 2 2 2 4 3 2 2 2" xfId="17754"/>
    <cellStyle name="汇总 2 2 2 4 3 2 2 2 2" xfId="26602"/>
    <cellStyle name="汇总 2 2 2 4 3 2 2 3" xfId="26601"/>
    <cellStyle name="汇总 2 2 2 4 3 2 3" xfId="11933"/>
    <cellStyle name="汇总 2 2 2 4 3 2 3 2" xfId="17753"/>
    <cellStyle name="汇总 2 2 2 4 3 2 3 2 2" xfId="26604"/>
    <cellStyle name="汇总 2 2 2 4 3 2 3 3" xfId="26603"/>
    <cellStyle name="汇总 2 2 2 4 3 2 4" xfId="20185"/>
    <cellStyle name="汇总 2 2 2 4 3 2 4 2" xfId="26605"/>
    <cellStyle name="汇总 2 2 2 4 3 2 5" xfId="26600"/>
    <cellStyle name="汇总 2 2 2 4 3 3" xfId="11934"/>
    <cellStyle name="汇总 2 2 2 4 3 3 2" xfId="21349"/>
    <cellStyle name="汇总 2 2 2 4 3 3 2 2" xfId="26607"/>
    <cellStyle name="汇总 2 2 2 4 3 3 3" xfId="26606"/>
    <cellStyle name="汇总 2 2 2 4 3 4" xfId="26608"/>
    <cellStyle name="汇总 2 2 2 4 3 5" xfId="26599"/>
    <cellStyle name="汇总 2 2 2 4 4" xfId="9372"/>
    <cellStyle name="汇总 2 2 2 4 4 2" xfId="11935"/>
    <cellStyle name="汇总 2 2 2 4 4 2 2" xfId="11936"/>
    <cellStyle name="汇总 2 2 2 4 4 2 2 2" xfId="20183"/>
    <cellStyle name="汇总 2 2 2 4 4 2 2 2 2" xfId="26612"/>
    <cellStyle name="汇总 2 2 2 4 4 2 2 3" xfId="26611"/>
    <cellStyle name="汇总 2 2 2 4 4 2 3" xfId="11937"/>
    <cellStyle name="汇总 2 2 2 4 4 2 3 2" xfId="20182"/>
    <cellStyle name="汇总 2 2 2 4 4 2 3 2 2" xfId="26614"/>
    <cellStyle name="汇总 2 2 2 4 4 2 3 3" xfId="26613"/>
    <cellStyle name="汇总 2 2 2 4 4 2 4" xfId="20184"/>
    <cellStyle name="汇总 2 2 2 4 4 2 4 2" xfId="26615"/>
    <cellStyle name="汇总 2 2 2 4 4 2 5" xfId="26610"/>
    <cellStyle name="汇总 2 2 2 4 4 3" xfId="11938"/>
    <cellStyle name="汇总 2 2 2 4 4 3 2" xfId="18428"/>
    <cellStyle name="汇总 2 2 2 4 4 3 2 2" xfId="26617"/>
    <cellStyle name="汇总 2 2 2 4 4 3 3" xfId="26616"/>
    <cellStyle name="汇总 2 2 2 4 4 4" xfId="26618"/>
    <cellStyle name="汇总 2 2 2 4 4 5" xfId="26609"/>
    <cellStyle name="汇总 2 2 2 4 5" xfId="9373"/>
    <cellStyle name="汇总 2 2 2 4 5 2" xfId="11939"/>
    <cellStyle name="汇总 2 2 2 4 5 2 2" xfId="11940"/>
    <cellStyle name="汇总 2 2 2 4 5 2 2 2" xfId="20181"/>
    <cellStyle name="汇总 2 2 2 4 5 2 2 2 2" xfId="26622"/>
    <cellStyle name="汇总 2 2 2 4 5 2 2 3" xfId="26621"/>
    <cellStyle name="汇总 2 2 2 4 5 2 3" xfId="11941"/>
    <cellStyle name="汇总 2 2 2 4 5 2 3 2" xfId="20180"/>
    <cellStyle name="汇总 2 2 2 4 5 2 3 2 2" xfId="26624"/>
    <cellStyle name="汇总 2 2 2 4 5 2 3 3" xfId="26623"/>
    <cellStyle name="汇总 2 2 2 4 5 2 4" xfId="21348"/>
    <cellStyle name="汇总 2 2 2 4 5 2 4 2" xfId="26625"/>
    <cellStyle name="汇总 2 2 2 4 5 2 5" xfId="26620"/>
    <cellStyle name="汇总 2 2 2 4 5 3" xfId="11942"/>
    <cellStyle name="汇总 2 2 2 4 5 3 2" xfId="17752"/>
    <cellStyle name="汇总 2 2 2 4 5 3 2 2" xfId="26627"/>
    <cellStyle name="汇总 2 2 2 4 5 3 3" xfId="26626"/>
    <cellStyle name="汇总 2 2 2 4 5 4" xfId="26628"/>
    <cellStyle name="汇总 2 2 2 4 5 5" xfId="26619"/>
    <cellStyle name="汇总 2 2 2 4 6" xfId="11943"/>
    <cellStyle name="汇总 2 2 2 4 6 2" xfId="11944"/>
    <cellStyle name="汇总 2 2 2 4 6 2 2" xfId="20178"/>
    <cellStyle name="汇总 2 2 2 4 6 2 2 2" xfId="26631"/>
    <cellStyle name="汇总 2 2 2 4 6 2 3" xfId="26630"/>
    <cellStyle name="汇总 2 2 2 4 6 3" xfId="11945"/>
    <cellStyle name="汇总 2 2 2 4 6 3 2" xfId="18427"/>
    <cellStyle name="汇总 2 2 2 4 6 3 2 2" xfId="26633"/>
    <cellStyle name="汇总 2 2 2 4 6 3 3" xfId="26632"/>
    <cellStyle name="汇总 2 2 2 4 6 4" xfId="20179"/>
    <cellStyle name="汇总 2 2 2 4 6 4 2" xfId="26634"/>
    <cellStyle name="汇总 2 2 2 4 6 5" xfId="26629"/>
    <cellStyle name="汇总 2 2 2 4 7" xfId="11946"/>
    <cellStyle name="汇总 2 2 2 4 7 2" xfId="20177"/>
    <cellStyle name="汇总 2 2 2 4 7 2 2" xfId="26636"/>
    <cellStyle name="汇总 2 2 2 4 7 3" xfId="26635"/>
    <cellStyle name="汇总 2 2 2 4 8" xfId="26637"/>
    <cellStyle name="汇总 2 2 2 4 9" xfId="26588"/>
    <cellStyle name="汇总 2 2 2 5" xfId="9374"/>
    <cellStyle name="汇总 2 2 2 5 2" xfId="9375"/>
    <cellStyle name="汇总 2 2 2 5 2 2" xfId="11947"/>
    <cellStyle name="汇总 2 2 2 5 2 2 2" xfId="11948"/>
    <cellStyle name="汇总 2 2 2 5 2 2 2 2" xfId="20176"/>
    <cellStyle name="汇总 2 2 2 5 2 2 2 2 2" xfId="26642"/>
    <cellStyle name="汇总 2 2 2 5 2 2 2 3" xfId="26641"/>
    <cellStyle name="汇总 2 2 2 5 2 2 3" xfId="11949"/>
    <cellStyle name="汇总 2 2 2 5 2 2 3 2" xfId="20175"/>
    <cellStyle name="汇总 2 2 2 5 2 2 3 2 2" xfId="26644"/>
    <cellStyle name="汇总 2 2 2 5 2 2 3 3" xfId="26643"/>
    <cellStyle name="汇总 2 2 2 5 2 2 4" xfId="17751"/>
    <cellStyle name="汇总 2 2 2 5 2 2 4 2" xfId="26645"/>
    <cellStyle name="汇总 2 2 2 5 2 2 5" xfId="26640"/>
    <cellStyle name="汇总 2 2 2 5 2 3" xfId="11950"/>
    <cellStyle name="汇总 2 2 2 5 2 3 2" xfId="21347"/>
    <cellStyle name="汇总 2 2 2 5 2 3 2 2" xfId="26647"/>
    <cellStyle name="汇总 2 2 2 5 2 3 3" xfId="26646"/>
    <cellStyle name="汇总 2 2 2 5 2 4" xfId="26648"/>
    <cellStyle name="汇总 2 2 2 5 2 5" xfId="26639"/>
    <cellStyle name="汇总 2 2 2 5 3" xfId="9376"/>
    <cellStyle name="汇总 2 2 2 5 3 2" xfId="11951"/>
    <cellStyle name="汇总 2 2 2 5 3 2 2" xfId="11952"/>
    <cellStyle name="汇总 2 2 2 5 3 2 2 2" xfId="17750"/>
    <cellStyle name="汇总 2 2 2 5 3 2 2 2 2" xfId="26652"/>
    <cellStyle name="汇总 2 2 2 5 3 2 2 3" xfId="26651"/>
    <cellStyle name="汇总 2 2 2 5 3 2 3" xfId="11953"/>
    <cellStyle name="汇总 2 2 2 5 3 2 3 2" xfId="20174"/>
    <cellStyle name="汇总 2 2 2 5 3 2 3 2 2" xfId="26654"/>
    <cellStyle name="汇总 2 2 2 5 3 2 3 3" xfId="26653"/>
    <cellStyle name="汇总 2 2 2 5 3 2 4" xfId="21346"/>
    <cellStyle name="汇总 2 2 2 5 3 2 4 2" xfId="26655"/>
    <cellStyle name="汇总 2 2 2 5 3 2 5" xfId="26650"/>
    <cellStyle name="汇总 2 2 2 5 3 3" xfId="11954"/>
    <cellStyle name="汇总 2 2 2 5 3 3 2" xfId="20173"/>
    <cellStyle name="汇总 2 2 2 5 3 3 2 2" xfId="26657"/>
    <cellStyle name="汇总 2 2 2 5 3 3 3" xfId="26656"/>
    <cellStyle name="汇总 2 2 2 5 3 4" xfId="26658"/>
    <cellStyle name="汇总 2 2 2 5 3 5" xfId="26649"/>
    <cellStyle name="汇总 2 2 2 5 4" xfId="9377"/>
    <cellStyle name="汇总 2 2 2 5 4 2" xfId="11955"/>
    <cellStyle name="汇总 2 2 2 5 4 2 2" xfId="11956"/>
    <cellStyle name="汇总 2 2 2 5 4 2 2 2" xfId="20171"/>
    <cellStyle name="汇总 2 2 2 5 4 2 2 2 2" xfId="26662"/>
    <cellStyle name="汇总 2 2 2 5 4 2 2 3" xfId="26661"/>
    <cellStyle name="汇总 2 2 2 5 4 2 3" xfId="11957"/>
    <cellStyle name="汇总 2 2 2 5 4 2 3 2" xfId="17749"/>
    <cellStyle name="汇总 2 2 2 5 4 2 3 2 2" xfId="26664"/>
    <cellStyle name="汇总 2 2 2 5 4 2 3 3" xfId="26663"/>
    <cellStyle name="汇总 2 2 2 5 4 2 4" xfId="20172"/>
    <cellStyle name="汇总 2 2 2 5 4 2 4 2" xfId="26665"/>
    <cellStyle name="汇总 2 2 2 5 4 2 5" xfId="26660"/>
    <cellStyle name="汇总 2 2 2 5 4 3" xfId="11958"/>
    <cellStyle name="汇总 2 2 2 5 4 3 2" xfId="17748"/>
    <cellStyle name="汇总 2 2 2 5 4 3 2 2" xfId="26667"/>
    <cellStyle name="汇总 2 2 2 5 4 3 3" xfId="26666"/>
    <cellStyle name="汇总 2 2 2 5 4 4" xfId="26668"/>
    <cellStyle name="汇总 2 2 2 5 4 5" xfId="26659"/>
    <cellStyle name="汇总 2 2 2 5 5" xfId="9378"/>
    <cellStyle name="汇总 2 2 2 5 5 2" xfId="11959"/>
    <cellStyle name="汇总 2 2 2 5 5 2 2" xfId="11960"/>
    <cellStyle name="汇总 2 2 2 5 5 2 2 2" xfId="20170"/>
    <cellStyle name="汇总 2 2 2 5 5 2 2 2 2" xfId="26672"/>
    <cellStyle name="汇总 2 2 2 5 5 2 2 3" xfId="26671"/>
    <cellStyle name="汇总 2 2 2 5 5 2 3" xfId="11961"/>
    <cellStyle name="汇总 2 2 2 5 5 2 3 2" xfId="18426"/>
    <cellStyle name="汇总 2 2 2 5 5 2 3 2 2" xfId="26674"/>
    <cellStyle name="汇总 2 2 2 5 5 2 3 3" xfId="26673"/>
    <cellStyle name="汇总 2 2 2 5 5 2 4" xfId="18729"/>
    <cellStyle name="汇总 2 2 2 5 5 2 4 2" xfId="26675"/>
    <cellStyle name="汇总 2 2 2 5 5 2 5" xfId="26670"/>
    <cellStyle name="汇总 2 2 2 5 5 3" xfId="11962"/>
    <cellStyle name="汇总 2 2 2 5 5 3 2" xfId="20169"/>
    <cellStyle name="汇总 2 2 2 5 5 3 2 2" xfId="26677"/>
    <cellStyle name="汇总 2 2 2 5 5 3 3" xfId="26676"/>
    <cellStyle name="汇总 2 2 2 5 5 4" xfId="26678"/>
    <cellStyle name="汇总 2 2 2 5 5 5" xfId="26669"/>
    <cellStyle name="汇总 2 2 2 5 6" xfId="11963"/>
    <cellStyle name="汇总 2 2 2 5 6 2" xfId="11964"/>
    <cellStyle name="汇总 2 2 2 5 6 2 2" xfId="18728"/>
    <cellStyle name="汇总 2 2 2 5 6 2 2 2" xfId="26681"/>
    <cellStyle name="汇总 2 2 2 5 6 2 3" xfId="26680"/>
    <cellStyle name="汇总 2 2 2 5 6 3" xfId="11965"/>
    <cellStyle name="汇总 2 2 2 5 6 3 2" xfId="20167"/>
    <cellStyle name="汇总 2 2 2 5 6 3 2 2" xfId="26683"/>
    <cellStyle name="汇总 2 2 2 5 6 3 3" xfId="26682"/>
    <cellStyle name="汇总 2 2 2 5 6 4" xfId="20168"/>
    <cellStyle name="汇总 2 2 2 5 6 4 2" xfId="26684"/>
    <cellStyle name="汇总 2 2 2 5 6 5" xfId="26679"/>
    <cellStyle name="汇总 2 2 2 5 7" xfId="11966"/>
    <cellStyle name="汇总 2 2 2 5 7 2" xfId="20166"/>
    <cellStyle name="汇总 2 2 2 5 7 2 2" xfId="26686"/>
    <cellStyle name="汇总 2 2 2 5 7 3" xfId="26685"/>
    <cellStyle name="汇总 2 2 2 5 8" xfId="26687"/>
    <cellStyle name="汇总 2 2 2 5 9" xfId="26638"/>
    <cellStyle name="汇总 2 2 2 6" xfId="9379"/>
    <cellStyle name="汇总 2 2 2 6 2" xfId="9380"/>
    <cellStyle name="汇总 2 2 2 6 2 2" xfId="11967"/>
    <cellStyle name="汇总 2 2 2 6 2 2 2" xfId="11968"/>
    <cellStyle name="汇总 2 2 2 6 2 2 2 2" xfId="18425"/>
    <cellStyle name="汇总 2 2 2 6 2 2 2 2 2" xfId="26692"/>
    <cellStyle name="汇总 2 2 2 6 2 2 2 3" xfId="26691"/>
    <cellStyle name="汇总 2 2 2 6 2 2 3" xfId="11969"/>
    <cellStyle name="汇总 2 2 2 6 2 2 3 2" xfId="20165"/>
    <cellStyle name="汇总 2 2 2 6 2 2 3 2 2" xfId="26694"/>
    <cellStyle name="汇总 2 2 2 6 2 2 3 3" xfId="26693"/>
    <cellStyle name="汇总 2 2 2 6 2 2 4" xfId="21096"/>
    <cellStyle name="汇总 2 2 2 6 2 2 4 2" xfId="26695"/>
    <cellStyle name="汇总 2 2 2 6 2 2 5" xfId="26690"/>
    <cellStyle name="汇总 2 2 2 6 2 3" xfId="11970"/>
    <cellStyle name="汇总 2 2 2 6 2 3 2" xfId="21345"/>
    <cellStyle name="汇总 2 2 2 6 2 3 2 2" xfId="26697"/>
    <cellStyle name="汇总 2 2 2 6 2 3 3" xfId="26696"/>
    <cellStyle name="汇总 2 2 2 6 2 4" xfId="26698"/>
    <cellStyle name="汇总 2 2 2 6 2 5" xfId="26689"/>
    <cellStyle name="汇总 2 2 2 6 3" xfId="9381"/>
    <cellStyle name="汇总 2 2 2 6 3 2" xfId="11971"/>
    <cellStyle name="汇总 2 2 2 6 3 2 2" xfId="11972"/>
    <cellStyle name="汇总 2 2 2 6 3 2 2 2" xfId="21095"/>
    <cellStyle name="汇总 2 2 2 6 3 2 2 2 2" xfId="26702"/>
    <cellStyle name="汇总 2 2 2 6 3 2 2 3" xfId="26701"/>
    <cellStyle name="汇总 2 2 2 6 3 2 3" xfId="11973"/>
    <cellStyle name="汇总 2 2 2 6 3 2 3 2" xfId="20163"/>
    <cellStyle name="汇总 2 2 2 6 3 2 3 2 2" xfId="26704"/>
    <cellStyle name="汇总 2 2 2 6 3 2 3 3" xfId="26703"/>
    <cellStyle name="汇总 2 2 2 6 3 2 4" xfId="20164"/>
    <cellStyle name="汇总 2 2 2 6 3 2 4 2" xfId="26705"/>
    <cellStyle name="汇总 2 2 2 6 3 2 5" xfId="26700"/>
    <cellStyle name="汇总 2 2 2 6 3 3" xfId="11974"/>
    <cellStyle name="汇总 2 2 2 6 3 3 2" xfId="20162"/>
    <cellStyle name="汇总 2 2 2 6 3 3 2 2" xfId="26707"/>
    <cellStyle name="汇总 2 2 2 6 3 3 3" xfId="26706"/>
    <cellStyle name="汇总 2 2 2 6 3 4" xfId="26708"/>
    <cellStyle name="汇总 2 2 2 6 3 5" xfId="26699"/>
    <cellStyle name="汇总 2 2 2 6 4" xfId="9382"/>
    <cellStyle name="汇总 2 2 2 6 4 2" xfId="11975"/>
    <cellStyle name="汇总 2 2 2 6 4 2 2" xfId="11976"/>
    <cellStyle name="汇总 2 2 2 6 4 2 2 2" xfId="20161"/>
    <cellStyle name="汇总 2 2 2 6 4 2 2 2 2" xfId="26712"/>
    <cellStyle name="汇总 2 2 2 6 4 2 2 3" xfId="26711"/>
    <cellStyle name="汇总 2 2 2 6 4 2 3" xfId="11977"/>
    <cellStyle name="汇总 2 2 2 6 4 2 3 2" xfId="17747"/>
    <cellStyle name="汇总 2 2 2 6 4 2 3 2 2" xfId="26714"/>
    <cellStyle name="汇总 2 2 2 6 4 2 3 3" xfId="26713"/>
    <cellStyle name="汇总 2 2 2 6 4 2 4" xfId="18424"/>
    <cellStyle name="汇总 2 2 2 6 4 2 4 2" xfId="26715"/>
    <cellStyle name="汇总 2 2 2 6 4 2 5" xfId="26710"/>
    <cellStyle name="汇总 2 2 2 6 4 3" xfId="11978"/>
    <cellStyle name="汇总 2 2 2 6 4 3 2" xfId="20160"/>
    <cellStyle name="汇总 2 2 2 6 4 3 2 2" xfId="26717"/>
    <cellStyle name="汇总 2 2 2 6 4 3 3" xfId="26716"/>
    <cellStyle name="汇总 2 2 2 6 4 4" xfId="26718"/>
    <cellStyle name="汇总 2 2 2 6 4 5" xfId="26709"/>
    <cellStyle name="汇总 2 2 2 6 5" xfId="9383"/>
    <cellStyle name="汇总 2 2 2 6 5 2" xfId="11979"/>
    <cellStyle name="汇总 2 2 2 6 5 2 2" xfId="11980"/>
    <cellStyle name="汇总 2 2 2 6 5 2 2 2" xfId="20158"/>
    <cellStyle name="汇总 2 2 2 6 5 2 2 2 2" xfId="26722"/>
    <cellStyle name="汇总 2 2 2 6 5 2 2 3" xfId="26721"/>
    <cellStyle name="汇总 2 2 2 6 5 2 3" xfId="11981"/>
    <cellStyle name="汇总 2 2 2 6 5 2 3 2" xfId="21344"/>
    <cellStyle name="汇总 2 2 2 6 5 2 3 2 2" xfId="26724"/>
    <cellStyle name="汇总 2 2 2 6 5 2 3 3" xfId="26723"/>
    <cellStyle name="汇总 2 2 2 6 5 2 4" xfId="20159"/>
    <cellStyle name="汇总 2 2 2 6 5 2 4 2" xfId="26725"/>
    <cellStyle name="汇总 2 2 2 6 5 2 5" xfId="26720"/>
    <cellStyle name="汇总 2 2 2 6 5 3" xfId="11982"/>
    <cellStyle name="汇总 2 2 2 6 5 3 2" xfId="17746"/>
    <cellStyle name="汇总 2 2 2 6 5 3 2 2" xfId="26727"/>
    <cellStyle name="汇总 2 2 2 6 5 3 3" xfId="26726"/>
    <cellStyle name="汇总 2 2 2 6 5 4" xfId="26728"/>
    <cellStyle name="汇总 2 2 2 6 5 5" xfId="26719"/>
    <cellStyle name="汇总 2 2 2 6 6" xfId="11983"/>
    <cellStyle name="汇总 2 2 2 6 6 2" xfId="11984"/>
    <cellStyle name="汇总 2 2 2 6 6 2 2" xfId="21343"/>
    <cellStyle name="汇总 2 2 2 6 6 2 2 2" xfId="26731"/>
    <cellStyle name="汇总 2 2 2 6 6 2 3" xfId="26730"/>
    <cellStyle name="汇总 2 2 2 6 6 3" xfId="11985"/>
    <cellStyle name="汇总 2 2 2 6 6 3 2" xfId="18423"/>
    <cellStyle name="汇总 2 2 2 6 6 3 2 2" xfId="26733"/>
    <cellStyle name="汇总 2 2 2 6 6 3 3" xfId="26732"/>
    <cellStyle name="汇总 2 2 2 6 6 4" xfId="17745"/>
    <cellStyle name="汇总 2 2 2 6 6 4 2" xfId="26734"/>
    <cellStyle name="汇总 2 2 2 6 6 5" xfId="26729"/>
    <cellStyle name="汇总 2 2 2 6 7" xfId="11986"/>
    <cellStyle name="汇总 2 2 2 6 7 2" xfId="18422"/>
    <cellStyle name="汇总 2 2 2 6 7 2 2" xfId="26736"/>
    <cellStyle name="汇总 2 2 2 6 7 3" xfId="26735"/>
    <cellStyle name="汇总 2 2 2 6 8" xfId="26737"/>
    <cellStyle name="汇总 2 2 2 6 9" xfId="26688"/>
    <cellStyle name="汇总 2 2 2 7" xfId="9384"/>
    <cellStyle name="汇总 2 2 2 7 2" xfId="9385"/>
    <cellStyle name="汇总 2 2 2 7 2 2" xfId="11987"/>
    <cellStyle name="汇总 2 2 2 7 2 2 2" xfId="11988"/>
    <cellStyle name="汇总 2 2 2 7 2 2 2 2" xfId="17744"/>
    <cellStyle name="汇总 2 2 2 7 2 2 2 2 2" xfId="26742"/>
    <cellStyle name="汇总 2 2 2 7 2 2 2 3" xfId="26741"/>
    <cellStyle name="汇总 2 2 2 7 2 2 3" xfId="11989"/>
    <cellStyle name="汇总 2 2 2 7 2 2 3 2" xfId="20156"/>
    <cellStyle name="汇总 2 2 2 7 2 2 3 2 2" xfId="26744"/>
    <cellStyle name="汇总 2 2 2 7 2 2 3 3" xfId="26743"/>
    <cellStyle name="汇总 2 2 2 7 2 2 4" xfId="20157"/>
    <cellStyle name="汇总 2 2 2 7 2 2 4 2" xfId="26745"/>
    <cellStyle name="汇总 2 2 2 7 2 2 5" xfId="26740"/>
    <cellStyle name="汇总 2 2 2 7 2 3" xfId="11990"/>
    <cellStyle name="汇总 2 2 2 7 2 3 2" xfId="21342"/>
    <cellStyle name="汇总 2 2 2 7 2 3 2 2" xfId="26747"/>
    <cellStyle name="汇总 2 2 2 7 2 3 3" xfId="26746"/>
    <cellStyle name="汇总 2 2 2 7 2 4" xfId="26748"/>
    <cellStyle name="汇总 2 2 2 7 2 5" xfId="26739"/>
    <cellStyle name="汇总 2 2 2 7 3" xfId="9386"/>
    <cellStyle name="汇总 2 2 2 7 3 2" xfId="11991"/>
    <cellStyle name="汇总 2 2 2 7 3 2 2" xfId="11992"/>
    <cellStyle name="汇总 2 2 2 7 3 2 2 2" xfId="20154"/>
    <cellStyle name="汇总 2 2 2 7 3 2 2 2 2" xfId="26752"/>
    <cellStyle name="汇总 2 2 2 7 3 2 2 3" xfId="26751"/>
    <cellStyle name="汇总 2 2 2 7 3 2 3" xfId="11993"/>
    <cellStyle name="汇总 2 2 2 7 3 2 3 2" xfId="21094"/>
    <cellStyle name="汇总 2 2 2 7 3 2 3 2 2" xfId="26754"/>
    <cellStyle name="汇总 2 2 2 7 3 2 3 3" xfId="26753"/>
    <cellStyle name="汇总 2 2 2 7 3 2 4" xfId="20155"/>
    <cellStyle name="汇总 2 2 2 7 3 2 4 2" xfId="26755"/>
    <cellStyle name="汇总 2 2 2 7 3 2 5" xfId="26750"/>
    <cellStyle name="汇总 2 2 2 7 3 3" xfId="11994"/>
    <cellStyle name="汇总 2 2 2 7 3 3 2" xfId="20153"/>
    <cellStyle name="汇总 2 2 2 7 3 3 2 2" xfId="26757"/>
    <cellStyle name="汇总 2 2 2 7 3 3 3" xfId="26756"/>
    <cellStyle name="汇总 2 2 2 7 3 4" xfId="26758"/>
    <cellStyle name="汇总 2 2 2 7 3 5" xfId="26749"/>
    <cellStyle name="汇总 2 2 2 7 4" xfId="9387"/>
    <cellStyle name="汇总 2 2 2 7 4 2" xfId="11995"/>
    <cellStyle name="汇总 2 2 2 7 4 2 2" xfId="11996"/>
    <cellStyle name="汇总 2 2 2 7 4 2 2 2" xfId="21341"/>
    <cellStyle name="汇总 2 2 2 7 4 2 2 2 2" xfId="26762"/>
    <cellStyle name="汇总 2 2 2 7 4 2 2 3" xfId="26761"/>
    <cellStyle name="汇总 2 2 2 7 4 2 3" xfId="11997"/>
    <cellStyle name="汇总 2 2 2 7 4 2 3 2" xfId="20151"/>
    <cellStyle name="汇总 2 2 2 7 4 2 3 2 2" xfId="26764"/>
    <cellStyle name="汇总 2 2 2 7 4 2 3 3" xfId="26763"/>
    <cellStyle name="汇总 2 2 2 7 4 2 4" xfId="20152"/>
    <cellStyle name="汇总 2 2 2 7 4 2 4 2" xfId="26765"/>
    <cellStyle name="汇总 2 2 2 7 4 2 5" xfId="26760"/>
    <cellStyle name="汇总 2 2 2 7 4 3" xfId="11998"/>
    <cellStyle name="汇总 2 2 2 7 4 3 2" xfId="17743"/>
    <cellStyle name="汇总 2 2 2 7 4 3 2 2" xfId="26767"/>
    <cellStyle name="汇总 2 2 2 7 4 3 3" xfId="26766"/>
    <cellStyle name="汇总 2 2 2 7 4 4" xfId="26768"/>
    <cellStyle name="汇总 2 2 2 7 4 5" xfId="26759"/>
    <cellStyle name="汇总 2 2 2 7 5" xfId="9388"/>
    <cellStyle name="汇总 2 2 2 7 5 2" xfId="11999"/>
    <cellStyle name="汇总 2 2 2 7 5 2 2" xfId="12000"/>
    <cellStyle name="汇总 2 2 2 7 5 2 2 2" xfId="18421"/>
    <cellStyle name="汇总 2 2 2 7 5 2 2 2 2" xfId="26772"/>
    <cellStyle name="汇总 2 2 2 7 5 2 2 3" xfId="26771"/>
    <cellStyle name="汇总 2 2 2 7 5 2 3" xfId="12001"/>
    <cellStyle name="汇总 2 2 2 7 5 2 3 2" xfId="20149"/>
    <cellStyle name="汇总 2 2 2 7 5 2 3 2 2" xfId="26774"/>
    <cellStyle name="汇总 2 2 2 7 5 2 3 3" xfId="26773"/>
    <cellStyle name="汇总 2 2 2 7 5 2 4" xfId="20150"/>
    <cellStyle name="汇总 2 2 2 7 5 2 4 2" xfId="26775"/>
    <cellStyle name="汇总 2 2 2 7 5 2 5" xfId="26770"/>
    <cellStyle name="汇总 2 2 2 7 5 3" xfId="12002"/>
    <cellStyle name="汇总 2 2 2 7 5 3 2" xfId="21340"/>
    <cellStyle name="汇总 2 2 2 7 5 3 2 2" xfId="26777"/>
    <cellStyle name="汇总 2 2 2 7 5 3 3" xfId="26776"/>
    <cellStyle name="汇总 2 2 2 7 5 4" xfId="26778"/>
    <cellStyle name="汇总 2 2 2 7 5 5" xfId="26769"/>
    <cellStyle name="汇总 2 2 2 7 6" xfId="12003"/>
    <cellStyle name="汇总 2 2 2 7 6 2" xfId="12004"/>
    <cellStyle name="汇总 2 2 2 7 6 2 2" xfId="20148"/>
    <cellStyle name="汇总 2 2 2 7 6 2 2 2" xfId="26781"/>
    <cellStyle name="汇总 2 2 2 7 6 2 3" xfId="26780"/>
    <cellStyle name="汇总 2 2 2 7 6 3" xfId="12005"/>
    <cellStyle name="汇总 2 2 2 7 6 3 2" xfId="20147"/>
    <cellStyle name="汇总 2 2 2 7 6 3 2 2" xfId="26783"/>
    <cellStyle name="汇总 2 2 2 7 6 3 3" xfId="26782"/>
    <cellStyle name="汇总 2 2 2 7 6 4" xfId="17742"/>
    <cellStyle name="汇总 2 2 2 7 6 4 2" xfId="26784"/>
    <cellStyle name="汇总 2 2 2 7 6 5" xfId="26779"/>
    <cellStyle name="汇总 2 2 2 7 7" xfId="12006"/>
    <cellStyle name="汇总 2 2 2 7 7 2" xfId="20146"/>
    <cellStyle name="汇总 2 2 2 7 7 2 2" xfId="26786"/>
    <cellStyle name="汇总 2 2 2 7 7 3" xfId="26785"/>
    <cellStyle name="汇总 2 2 2 7 8" xfId="26787"/>
    <cellStyle name="汇总 2 2 2 7 9" xfId="26738"/>
    <cellStyle name="汇总 2 2 2 8" xfId="9389"/>
    <cellStyle name="汇总 2 2 2 8 2" xfId="9390"/>
    <cellStyle name="汇总 2 2 2 8 2 2" xfId="12007"/>
    <cellStyle name="汇总 2 2 2 8 2 2 2" xfId="12008"/>
    <cellStyle name="汇总 2 2 2 8 2 2 2 2" xfId="20145"/>
    <cellStyle name="汇总 2 2 2 8 2 2 2 2 2" xfId="26792"/>
    <cellStyle name="汇总 2 2 2 8 2 2 2 3" xfId="26791"/>
    <cellStyle name="汇总 2 2 2 8 2 2 3" xfId="12009"/>
    <cellStyle name="汇总 2 2 2 8 2 2 3 2" xfId="20144"/>
    <cellStyle name="汇总 2 2 2 8 2 2 3 2 2" xfId="26794"/>
    <cellStyle name="汇总 2 2 2 8 2 2 3 3" xfId="26793"/>
    <cellStyle name="汇总 2 2 2 8 2 2 4" xfId="18420"/>
    <cellStyle name="汇总 2 2 2 8 2 2 4 2" xfId="26795"/>
    <cellStyle name="汇总 2 2 2 8 2 2 5" xfId="26790"/>
    <cellStyle name="汇总 2 2 2 8 2 3" xfId="12010"/>
    <cellStyle name="汇总 2 2 2 8 2 3 2" xfId="20143"/>
    <cellStyle name="汇总 2 2 2 8 2 3 2 2" xfId="26797"/>
    <cellStyle name="汇总 2 2 2 8 2 3 3" xfId="26796"/>
    <cellStyle name="汇总 2 2 2 8 2 4" xfId="26798"/>
    <cellStyle name="汇总 2 2 2 8 2 5" xfId="26789"/>
    <cellStyle name="汇总 2 2 2 8 3" xfId="9391"/>
    <cellStyle name="汇总 2 2 2 8 3 2" xfId="12011"/>
    <cellStyle name="汇总 2 2 2 8 3 2 2" xfId="12012"/>
    <cellStyle name="汇总 2 2 2 8 3 2 2 2" xfId="17741"/>
    <cellStyle name="汇总 2 2 2 8 3 2 2 2 2" xfId="26802"/>
    <cellStyle name="汇总 2 2 2 8 3 2 2 3" xfId="26801"/>
    <cellStyle name="汇总 2 2 2 8 3 2 3" xfId="12013"/>
    <cellStyle name="汇总 2 2 2 8 3 2 3 2" xfId="21339"/>
    <cellStyle name="汇总 2 2 2 8 3 2 3 2 2" xfId="26804"/>
    <cellStyle name="汇总 2 2 2 8 3 2 3 3" xfId="26803"/>
    <cellStyle name="汇总 2 2 2 8 3 2 4" xfId="20142"/>
    <cellStyle name="汇总 2 2 2 8 3 2 4 2" xfId="26805"/>
    <cellStyle name="汇总 2 2 2 8 3 2 5" xfId="26800"/>
    <cellStyle name="汇总 2 2 2 8 3 3" xfId="12014"/>
    <cellStyle name="汇总 2 2 2 8 3 3 2" xfId="21338"/>
    <cellStyle name="汇总 2 2 2 8 3 3 2 2" xfId="26807"/>
    <cellStyle name="汇总 2 2 2 8 3 3 3" xfId="26806"/>
    <cellStyle name="汇总 2 2 2 8 3 4" xfId="26808"/>
    <cellStyle name="汇总 2 2 2 8 3 5" xfId="26799"/>
    <cellStyle name="汇总 2 2 2 8 4" xfId="9392"/>
    <cellStyle name="汇总 2 2 2 8 4 2" xfId="12015"/>
    <cellStyle name="汇总 2 2 2 8 4 2 2" xfId="12016"/>
    <cellStyle name="汇总 2 2 2 8 4 2 2 2" xfId="20141"/>
    <cellStyle name="汇总 2 2 2 8 4 2 2 2 2" xfId="26812"/>
    <cellStyle name="汇总 2 2 2 8 4 2 2 3" xfId="26811"/>
    <cellStyle name="汇总 2 2 2 8 4 2 3" xfId="12017"/>
    <cellStyle name="汇总 2 2 2 8 4 2 3 2" xfId="17740"/>
    <cellStyle name="汇总 2 2 2 8 4 2 3 2 2" xfId="26814"/>
    <cellStyle name="汇总 2 2 2 8 4 2 3 3" xfId="26813"/>
    <cellStyle name="汇总 2 2 2 8 4 2 4" xfId="18419"/>
    <cellStyle name="汇总 2 2 2 8 4 2 4 2" xfId="26815"/>
    <cellStyle name="汇总 2 2 2 8 4 2 5" xfId="26810"/>
    <cellStyle name="汇总 2 2 2 8 4 3" xfId="12018"/>
    <cellStyle name="汇总 2 2 2 8 4 3 2" xfId="20140"/>
    <cellStyle name="汇总 2 2 2 8 4 3 2 2" xfId="26817"/>
    <cellStyle name="汇总 2 2 2 8 4 3 3" xfId="26816"/>
    <cellStyle name="汇总 2 2 2 8 4 4" xfId="26818"/>
    <cellStyle name="汇总 2 2 2 8 4 5" xfId="26809"/>
    <cellStyle name="汇总 2 2 2 8 5" xfId="9393"/>
    <cellStyle name="汇总 2 2 2 8 5 2" xfId="12019"/>
    <cellStyle name="汇总 2 2 2 8 5 2 2" xfId="12020"/>
    <cellStyle name="汇总 2 2 2 8 5 2 2 2" xfId="18727"/>
    <cellStyle name="汇总 2 2 2 8 5 2 2 2 2" xfId="26822"/>
    <cellStyle name="汇总 2 2 2 8 5 2 2 3" xfId="26821"/>
    <cellStyle name="汇总 2 2 2 8 5 2 3" xfId="12021"/>
    <cellStyle name="汇总 2 2 2 8 5 2 3 2" xfId="20138"/>
    <cellStyle name="汇总 2 2 2 8 5 2 3 2 2" xfId="26824"/>
    <cellStyle name="汇总 2 2 2 8 5 2 3 3" xfId="26823"/>
    <cellStyle name="汇总 2 2 2 8 5 2 4" xfId="20139"/>
    <cellStyle name="汇总 2 2 2 8 5 2 4 2" xfId="26825"/>
    <cellStyle name="汇总 2 2 2 8 5 2 5" xfId="26820"/>
    <cellStyle name="汇总 2 2 2 8 5 3" xfId="12022"/>
    <cellStyle name="汇总 2 2 2 8 5 3 2" xfId="21093"/>
    <cellStyle name="汇总 2 2 2 8 5 3 2 2" xfId="26827"/>
    <cellStyle name="汇总 2 2 2 8 5 3 3" xfId="26826"/>
    <cellStyle name="汇总 2 2 2 8 5 4" xfId="26828"/>
    <cellStyle name="汇总 2 2 2 8 5 5" xfId="26819"/>
    <cellStyle name="汇总 2 2 2 8 6" xfId="12023"/>
    <cellStyle name="汇总 2 2 2 8 6 2" xfId="12024"/>
    <cellStyle name="汇总 2 2 2 8 6 2 2" xfId="18417"/>
    <cellStyle name="汇总 2 2 2 8 6 2 2 2" xfId="26831"/>
    <cellStyle name="汇总 2 2 2 8 6 2 3" xfId="26830"/>
    <cellStyle name="汇总 2 2 2 8 6 3" xfId="12025"/>
    <cellStyle name="汇总 2 2 2 8 6 3 2" xfId="20137"/>
    <cellStyle name="汇总 2 2 2 8 6 3 2 2" xfId="26833"/>
    <cellStyle name="汇总 2 2 2 8 6 3 3" xfId="26832"/>
    <cellStyle name="汇总 2 2 2 8 6 4" xfId="18418"/>
    <cellStyle name="汇总 2 2 2 8 6 4 2" xfId="26834"/>
    <cellStyle name="汇总 2 2 2 8 6 5" xfId="26829"/>
    <cellStyle name="汇总 2 2 2 8 7" xfId="12026"/>
    <cellStyle name="汇总 2 2 2 8 7 2" xfId="21337"/>
    <cellStyle name="汇总 2 2 2 8 7 2 2" xfId="26836"/>
    <cellStyle name="汇总 2 2 2 8 7 3" xfId="26835"/>
    <cellStyle name="汇总 2 2 2 8 8" xfId="26837"/>
    <cellStyle name="汇总 2 2 2 8 9" xfId="26788"/>
    <cellStyle name="汇总 2 2 2 9" xfId="9394"/>
    <cellStyle name="汇总 2 2 2 9 2" xfId="9395"/>
    <cellStyle name="汇总 2 2 2 9 2 2" xfId="12027"/>
    <cellStyle name="汇总 2 2 2 9 2 2 2" xfId="12028"/>
    <cellStyle name="汇总 2 2 2 9 2 2 2 2" xfId="17738"/>
    <cellStyle name="汇总 2 2 2 9 2 2 2 2 2" xfId="26842"/>
    <cellStyle name="汇总 2 2 2 9 2 2 2 3" xfId="26841"/>
    <cellStyle name="汇总 2 2 2 9 2 2 3" xfId="12029"/>
    <cellStyle name="汇总 2 2 2 9 2 2 3 2" xfId="20136"/>
    <cellStyle name="汇总 2 2 2 9 2 2 3 2 2" xfId="26844"/>
    <cellStyle name="汇总 2 2 2 9 2 2 3 3" xfId="26843"/>
    <cellStyle name="汇总 2 2 2 9 2 2 4" xfId="17739"/>
    <cellStyle name="汇总 2 2 2 9 2 2 4 2" xfId="26845"/>
    <cellStyle name="汇总 2 2 2 9 2 2 5" xfId="26840"/>
    <cellStyle name="汇总 2 2 2 9 2 3" xfId="12030"/>
    <cellStyle name="汇总 2 2 2 9 2 3 2" xfId="20135"/>
    <cellStyle name="汇总 2 2 2 9 2 3 2 2" xfId="26847"/>
    <cellStyle name="汇总 2 2 2 9 2 3 3" xfId="26846"/>
    <cellStyle name="汇总 2 2 2 9 2 4" xfId="26848"/>
    <cellStyle name="汇总 2 2 2 9 2 5" xfId="26839"/>
    <cellStyle name="汇总 2 2 2 9 3" xfId="9396"/>
    <cellStyle name="汇总 2 2 2 9 3 2" xfId="12031"/>
    <cellStyle name="汇总 2 2 2 9 3 2 2" xfId="12032"/>
    <cellStyle name="汇总 2 2 2 9 3 2 2 2" xfId="20133"/>
    <cellStyle name="汇总 2 2 2 9 3 2 2 2 2" xfId="26852"/>
    <cellStyle name="汇总 2 2 2 9 3 2 2 3" xfId="26851"/>
    <cellStyle name="汇总 2 2 2 9 3 2 3" xfId="12033"/>
    <cellStyle name="汇总 2 2 2 9 3 2 3 2" xfId="21336"/>
    <cellStyle name="汇总 2 2 2 9 3 2 3 2 2" xfId="26854"/>
    <cellStyle name="汇总 2 2 2 9 3 2 3 3" xfId="26853"/>
    <cellStyle name="汇总 2 2 2 9 3 2 4" xfId="20134"/>
    <cellStyle name="汇总 2 2 2 9 3 2 4 2" xfId="26855"/>
    <cellStyle name="汇总 2 2 2 9 3 2 5" xfId="26850"/>
    <cellStyle name="汇总 2 2 2 9 3 3" xfId="12034"/>
    <cellStyle name="汇总 2 2 2 9 3 3 2" xfId="20132"/>
    <cellStyle name="汇总 2 2 2 9 3 3 2 2" xfId="26857"/>
    <cellStyle name="汇总 2 2 2 9 3 3 3" xfId="26856"/>
    <cellStyle name="汇总 2 2 2 9 3 4" xfId="26858"/>
    <cellStyle name="汇总 2 2 2 9 3 5" xfId="26849"/>
    <cellStyle name="汇总 2 2 2 9 4" xfId="9397"/>
    <cellStyle name="汇总 2 2 2 9 4 2" xfId="12035"/>
    <cellStyle name="汇总 2 2 2 9 4 2 2" xfId="12036"/>
    <cellStyle name="汇总 2 2 2 9 4 2 2 2" xfId="20130"/>
    <cellStyle name="汇总 2 2 2 9 4 2 2 2 2" xfId="26862"/>
    <cellStyle name="汇总 2 2 2 9 4 2 2 3" xfId="26861"/>
    <cellStyle name="汇总 2 2 2 9 4 2 3" xfId="12037"/>
    <cellStyle name="汇总 2 2 2 9 4 2 3 2" xfId="17737"/>
    <cellStyle name="汇总 2 2 2 9 4 2 3 2 2" xfId="26864"/>
    <cellStyle name="汇总 2 2 2 9 4 2 3 3" xfId="26863"/>
    <cellStyle name="汇总 2 2 2 9 4 2 4" xfId="20131"/>
    <cellStyle name="汇总 2 2 2 9 4 2 4 2" xfId="26865"/>
    <cellStyle name="汇总 2 2 2 9 4 2 5" xfId="26860"/>
    <cellStyle name="汇总 2 2 2 9 4 3" xfId="12038"/>
    <cellStyle name="汇总 2 2 2 9 4 3 2" xfId="18416"/>
    <cellStyle name="汇总 2 2 2 9 4 3 2 2" xfId="26867"/>
    <cellStyle name="汇总 2 2 2 9 4 3 3" xfId="26866"/>
    <cellStyle name="汇总 2 2 2 9 4 4" xfId="26868"/>
    <cellStyle name="汇总 2 2 2 9 4 5" xfId="26859"/>
    <cellStyle name="汇总 2 2 2 9 5" xfId="9398"/>
    <cellStyle name="汇总 2 2 2 9 5 2" xfId="12039"/>
    <cellStyle name="汇总 2 2 2 9 5 2 2" xfId="12040"/>
    <cellStyle name="汇总 2 2 2 9 5 2 2 2" xfId="20128"/>
    <cellStyle name="汇总 2 2 2 9 5 2 2 2 2" xfId="26872"/>
    <cellStyle name="汇总 2 2 2 9 5 2 2 3" xfId="26871"/>
    <cellStyle name="汇总 2 2 2 9 5 2 3" xfId="12041"/>
    <cellStyle name="汇总 2 2 2 9 5 2 3 2" xfId="20127"/>
    <cellStyle name="汇总 2 2 2 9 5 2 3 2 2" xfId="26874"/>
    <cellStyle name="汇总 2 2 2 9 5 2 3 3" xfId="26873"/>
    <cellStyle name="汇总 2 2 2 9 5 2 4" xfId="20129"/>
    <cellStyle name="汇总 2 2 2 9 5 2 4 2" xfId="26875"/>
    <cellStyle name="汇总 2 2 2 9 5 2 5" xfId="26870"/>
    <cellStyle name="汇总 2 2 2 9 5 3" xfId="12042"/>
    <cellStyle name="汇总 2 2 2 9 5 3 2" xfId="17736"/>
    <cellStyle name="汇总 2 2 2 9 5 3 2 2" xfId="26877"/>
    <cellStyle name="汇总 2 2 2 9 5 3 3" xfId="26876"/>
    <cellStyle name="汇总 2 2 2 9 5 4" xfId="26878"/>
    <cellStyle name="汇总 2 2 2 9 5 5" xfId="26869"/>
    <cellStyle name="汇总 2 2 2 9 6" xfId="12043"/>
    <cellStyle name="汇总 2 2 2 9 6 2" xfId="12044"/>
    <cellStyle name="汇总 2 2 2 9 6 2 2" xfId="21335"/>
    <cellStyle name="汇总 2 2 2 9 6 2 2 2" xfId="26881"/>
    <cellStyle name="汇总 2 2 2 9 6 2 3" xfId="26880"/>
    <cellStyle name="汇总 2 2 2 9 6 3" xfId="12045"/>
    <cellStyle name="汇总 2 2 2 9 6 3 2" xfId="21334"/>
    <cellStyle name="汇总 2 2 2 9 6 3 2 2" xfId="26883"/>
    <cellStyle name="汇总 2 2 2 9 6 3 3" xfId="26882"/>
    <cellStyle name="汇总 2 2 2 9 6 4" xfId="20126"/>
    <cellStyle name="汇总 2 2 2 9 6 4 2" xfId="26884"/>
    <cellStyle name="汇总 2 2 2 9 6 5" xfId="26879"/>
    <cellStyle name="汇总 2 2 2 9 7" xfId="12046"/>
    <cellStyle name="汇总 2 2 2 9 7 2" xfId="18415"/>
    <cellStyle name="汇总 2 2 2 9 7 2 2" xfId="26886"/>
    <cellStyle name="汇总 2 2 2 9 7 3" xfId="26885"/>
    <cellStyle name="汇总 2 2 2 9 8" xfId="26887"/>
    <cellStyle name="汇总 2 2 2 9 9" xfId="26838"/>
    <cellStyle name="汇总 2 2 20" xfId="26888"/>
    <cellStyle name="汇总 2 2 21" xfId="26229"/>
    <cellStyle name="汇总 2 2 3" xfId="5147"/>
    <cellStyle name="汇总 2 2 3 2" xfId="9400"/>
    <cellStyle name="汇总 2 2 3 2 2" xfId="12047"/>
    <cellStyle name="汇总 2 2 3 2 2 2" xfId="12048"/>
    <cellStyle name="汇总 2 2 3 2 2 2 2" xfId="20125"/>
    <cellStyle name="汇总 2 2 3 2 2 2 2 2" xfId="26893"/>
    <cellStyle name="汇总 2 2 3 2 2 2 3" xfId="26892"/>
    <cellStyle name="汇总 2 2 3 2 2 3" xfId="12049"/>
    <cellStyle name="汇总 2 2 3 2 2 3 2" xfId="20124"/>
    <cellStyle name="汇总 2 2 3 2 2 3 2 2" xfId="26895"/>
    <cellStyle name="汇总 2 2 3 2 2 3 3" xfId="26894"/>
    <cellStyle name="汇总 2 2 3 2 2 4" xfId="21092"/>
    <cellStyle name="汇总 2 2 3 2 2 4 2" xfId="26896"/>
    <cellStyle name="汇总 2 2 3 2 2 5" xfId="26891"/>
    <cellStyle name="汇总 2 2 3 2 3" xfId="12050"/>
    <cellStyle name="汇总 2 2 3 2 3 2" xfId="20123"/>
    <cellStyle name="汇总 2 2 3 2 3 2 2" xfId="26898"/>
    <cellStyle name="汇总 2 2 3 2 3 3" xfId="26897"/>
    <cellStyle name="汇总 2 2 3 2 4" xfId="26899"/>
    <cellStyle name="汇总 2 2 3 2 5" xfId="26890"/>
    <cellStyle name="汇总 2 2 3 3" xfId="9401"/>
    <cellStyle name="汇总 2 2 3 3 2" xfId="12051"/>
    <cellStyle name="汇总 2 2 3 3 2 2" xfId="12052"/>
    <cellStyle name="汇总 2 2 3 3 2 2 2" xfId="17735"/>
    <cellStyle name="汇总 2 2 3 3 2 2 2 2" xfId="26903"/>
    <cellStyle name="汇总 2 2 3 3 2 2 3" xfId="26902"/>
    <cellStyle name="汇总 2 2 3 3 2 3" xfId="12053"/>
    <cellStyle name="汇总 2 2 3 3 2 3 2" xfId="17734"/>
    <cellStyle name="汇总 2 2 3 3 2 3 2 2" xfId="26905"/>
    <cellStyle name="汇总 2 2 3 3 2 3 3" xfId="26904"/>
    <cellStyle name="汇总 2 2 3 3 2 4" xfId="18726"/>
    <cellStyle name="汇总 2 2 3 3 2 4 2" xfId="26906"/>
    <cellStyle name="汇总 2 2 3 3 2 5" xfId="26901"/>
    <cellStyle name="汇总 2 2 3 3 3" xfId="12054"/>
    <cellStyle name="汇总 2 2 3 3 3 2" xfId="20122"/>
    <cellStyle name="汇总 2 2 3 3 3 2 2" xfId="26908"/>
    <cellStyle name="汇总 2 2 3 3 3 3" xfId="26907"/>
    <cellStyle name="汇总 2 2 3 3 4" xfId="26909"/>
    <cellStyle name="汇总 2 2 3 3 5" xfId="26900"/>
    <cellStyle name="汇总 2 2 3 4" xfId="9402"/>
    <cellStyle name="汇总 2 2 3 4 2" xfId="12055"/>
    <cellStyle name="汇总 2 2 3 4 2 2" xfId="12056"/>
    <cellStyle name="汇总 2 2 3 4 2 2 2" xfId="20121"/>
    <cellStyle name="汇总 2 2 3 4 2 2 2 2" xfId="26913"/>
    <cellStyle name="汇总 2 2 3 4 2 2 3" xfId="26912"/>
    <cellStyle name="汇总 2 2 3 4 2 3" xfId="12057"/>
    <cellStyle name="汇总 2 2 3 4 2 3 2" xfId="20120"/>
    <cellStyle name="汇总 2 2 3 4 2 3 2 2" xfId="26915"/>
    <cellStyle name="汇总 2 2 3 4 2 3 3" xfId="26914"/>
    <cellStyle name="汇总 2 2 3 4 2 4" xfId="18414"/>
    <cellStyle name="汇总 2 2 3 4 2 4 2" xfId="26916"/>
    <cellStyle name="汇总 2 2 3 4 2 5" xfId="26911"/>
    <cellStyle name="汇总 2 2 3 4 3" xfId="12058"/>
    <cellStyle name="汇总 2 2 3 4 3 2" xfId="21333"/>
    <cellStyle name="汇总 2 2 3 4 3 2 2" xfId="26918"/>
    <cellStyle name="汇总 2 2 3 4 3 3" xfId="26917"/>
    <cellStyle name="汇总 2 2 3 4 4" xfId="26919"/>
    <cellStyle name="汇总 2 2 3 4 5" xfId="26910"/>
    <cellStyle name="汇总 2 2 3 5" xfId="9403"/>
    <cellStyle name="汇总 2 2 3 5 2" xfId="12059"/>
    <cellStyle name="汇总 2 2 3 5 2 2" xfId="12060"/>
    <cellStyle name="汇总 2 2 3 5 2 2 2" xfId="20118"/>
    <cellStyle name="汇总 2 2 3 5 2 2 2 2" xfId="26923"/>
    <cellStyle name="汇总 2 2 3 5 2 2 3" xfId="26922"/>
    <cellStyle name="汇总 2 2 3 5 2 3" xfId="12061"/>
    <cellStyle name="汇总 2 2 3 5 2 3 2" xfId="18413"/>
    <cellStyle name="汇总 2 2 3 5 2 3 2 2" xfId="26925"/>
    <cellStyle name="汇总 2 2 3 5 2 3 3" xfId="26924"/>
    <cellStyle name="汇总 2 2 3 5 2 4" xfId="20119"/>
    <cellStyle name="汇总 2 2 3 5 2 4 2" xfId="26926"/>
    <cellStyle name="汇总 2 2 3 5 2 5" xfId="26921"/>
    <cellStyle name="汇总 2 2 3 5 3" xfId="12062"/>
    <cellStyle name="汇总 2 2 3 5 3 2" xfId="17733"/>
    <cellStyle name="汇总 2 2 3 5 3 2 2" xfId="26928"/>
    <cellStyle name="汇总 2 2 3 5 3 3" xfId="26927"/>
    <cellStyle name="汇总 2 2 3 5 4" xfId="26929"/>
    <cellStyle name="汇总 2 2 3 5 5" xfId="26920"/>
    <cellStyle name="汇总 2 2 3 6" xfId="12063"/>
    <cellStyle name="汇总 2 2 3 6 2" xfId="12064"/>
    <cellStyle name="汇总 2 2 3 6 2 2" xfId="21332"/>
    <cellStyle name="汇总 2 2 3 6 2 2 2" xfId="26932"/>
    <cellStyle name="汇总 2 2 3 6 2 3" xfId="26931"/>
    <cellStyle name="汇总 2 2 3 6 3" xfId="12065"/>
    <cellStyle name="汇总 2 2 3 6 3 2" xfId="20117"/>
    <cellStyle name="汇总 2 2 3 6 3 2 2" xfId="26934"/>
    <cellStyle name="汇总 2 2 3 6 3 3" xfId="26933"/>
    <cellStyle name="汇总 2 2 3 6 4" xfId="18412"/>
    <cellStyle name="汇总 2 2 3 6 4 2" xfId="26935"/>
    <cellStyle name="汇总 2 2 3 6 5" xfId="26930"/>
    <cellStyle name="汇总 2 2 3 7" xfId="12066"/>
    <cellStyle name="汇总 2 2 3 7 2" xfId="20116"/>
    <cellStyle name="汇总 2 2 3 7 2 2" xfId="26937"/>
    <cellStyle name="汇总 2 2 3 7 3" xfId="26936"/>
    <cellStyle name="汇总 2 2 3 8" xfId="9399"/>
    <cellStyle name="汇总 2 2 3 8 2" xfId="26938"/>
    <cellStyle name="汇总 2 2 3 9" xfId="26889"/>
    <cellStyle name="汇总 2 2 4" xfId="5148"/>
    <cellStyle name="汇总 2 2 4 2" xfId="9405"/>
    <cellStyle name="汇总 2 2 4 2 2" xfId="12067"/>
    <cellStyle name="汇总 2 2 4 2 2 2" xfId="12068"/>
    <cellStyle name="汇总 2 2 4 2 2 2 2" xfId="20115"/>
    <cellStyle name="汇总 2 2 4 2 2 2 2 2" xfId="26943"/>
    <cellStyle name="汇总 2 2 4 2 2 2 3" xfId="26942"/>
    <cellStyle name="汇总 2 2 4 2 2 3" xfId="12069"/>
    <cellStyle name="汇总 2 2 4 2 2 3 2" xfId="20114"/>
    <cellStyle name="汇总 2 2 4 2 2 3 2 2" xfId="26945"/>
    <cellStyle name="汇总 2 2 4 2 2 3 3" xfId="26944"/>
    <cellStyle name="汇总 2 2 4 2 2 4" xfId="17732"/>
    <cellStyle name="汇总 2 2 4 2 2 4 2" xfId="26946"/>
    <cellStyle name="汇总 2 2 4 2 2 5" xfId="26941"/>
    <cellStyle name="汇总 2 2 4 2 3" xfId="12070"/>
    <cellStyle name="汇总 2 2 4 2 3 2" xfId="20113"/>
    <cellStyle name="汇总 2 2 4 2 3 2 2" xfId="26948"/>
    <cellStyle name="汇总 2 2 4 2 3 3" xfId="26947"/>
    <cellStyle name="汇总 2 2 4 2 4" xfId="26949"/>
    <cellStyle name="汇总 2 2 4 2 5" xfId="26940"/>
    <cellStyle name="汇总 2 2 4 3" xfId="9406"/>
    <cellStyle name="汇总 2 2 4 3 2" xfId="12071"/>
    <cellStyle name="汇总 2 2 4 3 2 2" xfId="12072"/>
    <cellStyle name="汇总 2 2 4 3 2 2 2" xfId="17731"/>
    <cellStyle name="汇总 2 2 4 3 2 2 2 2" xfId="26953"/>
    <cellStyle name="汇总 2 2 4 3 2 2 3" xfId="26952"/>
    <cellStyle name="汇总 2 2 4 3 2 3" xfId="12073"/>
    <cellStyle name="汇总 2 2 4 3 2 3 2" xfId="20111"/>
    <cellStyle name="汇总 2 2 4 3 2 3 2 2" xfId="26955"/>
    <cellStyle name="汇总 2 2 4 3 2 3 3" xfId="26954"/>
    <cellStyle name="汇总 2 2 4 3 2 4" xfId="20112"/>
    <cellStyle name="汇总 2 2 4 3 2 4 2" xfId="26956"/>
    <cellStyle name="汇总 2 2 4 3 2 5" xfId="26951"/>
    <cellStyle name="汇总 2 2 4 3 3" xfId="12074"/>
    <cellStyle name="汇总 2 2 4 3 3 2" xfId="20110"/>
    <cellStyle name="汇总 2 2 4 3 3 2 2" xfId="26958"/>
    <cellStyle name="汇总 2 2 4 3 3 3" xfId="26957"/>
    <cellStyle name="汇总 2 2 4 3 4" xfId="26959"/>
    <cellStyle name="汇总 2 2 4 3 5" xfId="26950"/>
    <cellStyle name="汇总 2 2 4 4" xfId="9407"/>
    <cellStyle name="汇总 2 2 4 4 2" xfId="12075"/>
    <cellStyle name="汇总 2 2 4 4 2 2" xfId="12076"/>
    <cellStyle name="汇总 2 2 4 4 2 2 2" xfId="21330"/>
    <cellStyle name="汇总 2 2 4 4 2 2 2 2" xfId="26963"/>
    <cellStyle name="汇总 2 2 4 4 2 2 3" xfId="26962"/>
    <cellStyle name="汇总 2 2 4 4 2 3" xfId="12077"/>
    <cellStyle name="汇总 2 2 4 4 2 3 2" xfId="17730"/>
    <cellStyle name="汇总 2 2 4 4 2 3 2 2" xfId="26965"/>
    <cellStyle name="汇总 2 2 4 4 2 3 3" xfId="26964"/>
    <cellStyle name="汇总 2 2 4 4 2 4" xfId="21331"/>
    <cellStyle name="汇总 2 2 4 4 2 4 2" xfId="26966"/>
    <cellStyle name="汇总 2 2 4 4 2 5" xfId="26961"/>
    <cellStyle name="汇总 2 2 4 4 3" xfId="12078"/>
    <cellStyle name="汇总 2 2 4 4 3 2" xfId="17729"/>
    <cellStyle name="汇总 2 2 4 4 3 2 2" xfId="26968"/>
    <cellStyle name="汇总 2 2 4 4 3 3" xfId="26967"/>
    <cellStyle name="汇总 2 2 4 4 4" xfId="26969"/>
    <cellStyle name="汇总 2 2 4 4 5" xfId="26960"/>
    <cellStyle name="汇总 2 2 4 5" xfId="9408"/>
    <cellStyle name="汇总 2 2 4 5 2" xfId="12079"/>
    <cellStyle name="汇总 2 2 4 5 2 2" xfId="12080"/>
    <cellStyle name="汇总 2 2 4 5 2 2 2" xfId="20109"/>
    <cellStyle name="汇总 2 2 4 5 2 2 2 2" xfId="26973"/>
    <cellStyle name="汇总 2 2 4 5 2 2 3" xfId="26972"/>
    <cellStyle name="汇总 2 2 4 5 2 3" xfId="12081"/>
    <cellStyle name="汇总 2 2 4 5 2 3 2" xfId="20108"/>
    <cellStyle name="汇总 2 2 4 5 2 3 2 2" xfId="26975"/>
    <cellStyle name="汇总 2 2 4 5 2 3 3" xfId="26974"/>
    <cellStyle name="汇总 2 2 4 5 2 4" xfId="18411"/>
    <cellStyle name="汇总 2 2 4 5 2 4 2" xfId="26976"/>
    <cellStyle name="汇总 2 2 4 5 2 5" xfId="26971"/>
    <cellStyle name="汇总 2 2 4 5 3" xfId="12082"/>
    <cellStyle name="汇总 2 2 4 5 3 2" xfId="20107"/>
    <cellStyle name="汇总 2 2 4 5 3 2 2" xfId="26978"/>
    <cellStyle name="汇总 2 2 4 5 3 3" xfId="26977"/>
    <cellStyle name="汇总 2 2 4 5 4" xfId="26979"/>
    <cellStyle name="汇总 2 2 4 5 5" xfId="26970"/>
    <cellStyle name="汇总 2 2 4 6" xfId="12083"/>
    <cellStyle name="汇总 2 2 4 6 2" xfId="12084"/>
    <cellStyle name="汇总 2 2 4 6 2 2" xfId="20106"/>
    <cellStyle name="汇总 2 2 4 6 2 2 2" xfId="26982"/>
    <cellStyle name="汇总 2 2 4 6 2 3" xfId="26981"/>
    <cellStyle name="汇总 2 2 4 6 3" xfId="12085"/>
    <cellStyle name="汇总 2 2 4 6 3 2" xfId="18410"/>
    <cellStyle name="汇总 2 2 4 6 3 2 2" xfId="26984"/>
    <cellStyle name="汇总 2 2 4 6 3 3" xfId="26983"/>
    <cellStyle name="汇总 2 2 4 6 4" xfId="18725"/>
    <cellStyle name="汇总 2 2 4 6 4 2" xfId="26985"/>
    <cellStyle name="汇总 2 2 4 6 5" xfId="26980"/>
    <cellStyle name="汇总 2 2 4 7" xfId="12086"/>
    <cellStyle name="汇总 2 2 4 7 2" xfId="20105"/>
    <cellStyle name="汇总 2 2 4 7 2 2" xfId="26987"/>
    <cellStyle name="汇总 2 2 4 7 3" xfId="26986"/>
    <cellStyle name="汇总 2 2 4 8" xfId="9404"/>
    <cellStyle name="汇总 2 2 4 8 2" xfId="26988"/>
    <cellStyle name="汇总 2 2 4 9" xfId="26939"/>
    <cellStyle name="汇总 2 2 5" xfId="9409"/>
    <cellStyle name="汇总 2 2 5 2" xfId="9410"/>
    <cellStyle name="汇总 2 2 5 2 2" xfId="12087"/>
    <cellStyle name="汇总 2 2 5 2 2 2" xfId="12088"/>
    <cellStyle name="汇总 2 2 5 2 2 2 2" xfId="20104"/>
    <cellStyle name="汇总 2 2 5 2 2 2 2 2" xfId="26993"/>
    <cellStyle name="汇总 2 2 5 2 2 2 3" xfId="26992"/>
    <cellStyle name="汇总 2 2 5 2 2 3" xfId="12089"/>
    <cellStyle name="汇总 2 2 5 2 2 3 2" xfId="21329"/>
    <cellStyle name="汇总 2 2 5 2 2 3 2 2" xfId="26995"/>
    <cellStyle name="汇总 2 2 5 2 2 3 3" xfId="26994"/>
    <cellStyle name="汇总 2 2 5 2 2 4" xfId="17728"/>
    <cellStyle name="汇总 2 2 5 2 2 4 2" xfId="26996"/>
    <cellStyle name="汇总 2 2 5 2 2 5" xfId="26991"/>
    <cellStyle name="汇总 2 2 5 2 3" xfId="12090"/>
    <cellStyle name="汇总 2 2 5 2 3 2" xfId="20103"/>
    <cellStyle name="汇总 2 2 5 2 3 2 2" xfId="26998"/>
    <cellStyle name="汇总 2 2 5 2 3 3" xfId="26997"/>
    <cellStyle name="汇总 2 2 5 2 4" xfId="26999"/>
    <cellStyle name="汇总 2 2 5 2 5" xfId="26990"/>
    <cellStyle name="汇总 2 2 5 3" xfId="9411"/>
    <cellStyle name="汇总 2 2 5 3 2" xfId="12091"/>
    <cellStyle name="汇总 2 2 5 3 2 2" xfId="12092"/>
    <cellStyle name="汇总 2 2 5 3 2 2 2" xfId="21091"/>
    <cellStyle name="汇总 2 2 5 3 2 2 2 2" xfId="27003"/>
    <cellStyle name="汇总 2 2 5 3 2 2 3" xfId="27002"/>
    <cellStyle name="汇总 2 2 5 3 2 3" xfId="12093"/>
    <cellStyle name="汇总 2 2 5 3 2 3 2" xfId="18409"/>
    <cellStyle name="汇总 2 2 5 3 2 3 2 2" xfId="27005"/>
    <cellStyle name="汇总 2 2 5 3 2 3 3" xfId="27004"/>
    <cellStyle name="汇总 2 2 5 3 2 4" xfId="20102"/>
    <cellStyle name="汇总 2 2 5 3 2 4 2" xfId="27006"/>
    <cellStyle name="汇总 2 2 5 3 2 5" xfId="27001"/>
    <cellStyle name="汇总 2 2 5 3 3" xfId="12094"/>
    <cellStyle name="汇总 2 2 5 3 3 2" xfId="20101"/>
    <cellStyle name="汇总 2 2 5 3 3 2 2" xfId="27008"/>
    <cellStyle name="汇总 2 2 5 3 3 3" xfId="27007"/>
    <cellStyle name="汇总 2 2 5 3 4" xfId="27009"/>
    <cellStyle name="汇总 2 2 5 3 5" xfId="27000"/>
    <cellStyle name="汇总 2 2 5 4" xfId="9412"/>
    <cellStyle name="汇总 2 2 5 4 2" xfId="12095"/>
    <cellStyle name="汇总 2 2 5 4 2 2" xfId="12096"/>
    <cellStyle name="汇总 2 2 5 4 2 2 2" xfId="20100"/>
    <cellStyle name="汇总 2 2 5 4 2 2 2 2" xfId="27013"/>
    <cellStyle name="汇总 2 2 5 4 2 2 3" xfId="27012"/>
    <cellStyle name="汇总 2 2 5 4 2 3" xfId="12097"/>
    <cellStyle name="汇总 2 2 5 4 2 3 2" xfId="21090"/>
    <cellStyle name="汇总 2 2 5 4 2 3 2 2" xfId="27015"/>
    <cellStyle name="汇总 2 2 5 4 2 3 3" xfId="27014"/>
    <cellStyle name="汇总 2 2 5 4 2 4" xfId="21328"/>
    <cellStyle name="汇总 2 2 5 4 2 4 2" xfId="27016"/>
    <cellStyle name="汇总 2 2 5 4 2 5" xfId="27011"/>
    <cellStyle name="汇总 2 2 5 4 3" xfId="12098"/>
    <cellStyle name="汇总 2 2 5 4 3 2" xfId="20099"/>
    <cellStyle name="汇总 2 2 5 4 3 2 2" xfId="27018"/>
    <cellStyle name="汇总 2 2 5 4 3 3" xfId="27017"/>
    <cellStyle name="汇总 2 2 5 4 4" xfId="27019"/>
    <cellStyle name="汇总 2 2 5 4 5" xfId="27010"/>
    <cellStyle name="汇总 2 2 5 5" xfId="9413"/>
    <cellStyle name="汇总 2 2 5 5 2" xfId="12099"/>
    <cellStyle name="汇总 2 2 5 5 2 2" xfId="12100"/>
    <cellStyle name="汇总 2 2 5 5 2 2 2" xfId="18408"/>
    <cellStyle name="汇总 2 2 5 5 2 2 2 2" xfId="27023"/>
    <cellStyle name="汇总 2 2 5 5 2 2 3" xfId="27022"/>
    <cellStyle name="汇总 2 2 5 5 2 3" xfId="12101"/>
    <cellStyle name="汇总 2 2 5 5 2 3 2" xfId="18407"/>
    <cellStyle name="汇总 2 2 5 5 2 3 2 2" xfId="27025"/>
    <cellStyle name="汇总 2 2 5 5 2 3 3" xfId="27024"/>
    <cellStyle name="汇总 2 2 5 5 2 4" xfId="20098"/>
    <cellStyle name="汇总 2 2 5 5 2 4 2" xfId="27026"/>
    <cellStyle name="汇总 2 2 5 5 2 5" xfId="27021"/>
    <cellStyle name="汇总 2 2 5 5 3" xfId="12102"/>
    <cellStyle name="汇总 2 2 5 5 3 2" xfId="17727"/>
    <cellStyle name="汇总 2 2 5 5 3 2 2" xfId="27028"/>
    <cellStyle name="汇总 2 2 5 5 3 3" xfId="27027"/>
    <cellStyle name="汇总 2 2 5 5 4" xfId="27029"/>
    <cellStyle name="汇总 2 2 5 5 5" xfId="27020"/>
    <cellStyle name="汇总 2 2 5 6" xfId="12103"/>
    <cellStyle name="汇总 2 2 5 6 2" xfId="12104"/>
    <cellStyle name="汇总 2 2 5 6 2 2" xfId="20097"/>
    <cellStyle name="汇总 2 2 5 6 2 2 2" xfId="27032"/>
    <cellStyle name="汇总 2 2 5 6 2 3" xfId="27031"/>
    <cellStyle name="汇总 2 2 5 6 3" xfId="12105"/>
    <cellStyle name="汇总 2 2 5 6 3 2" xfId="20096"/>
    <cellStyle name="汇总 2 2 5 6 3 2 2" xfId="27034"/>
    <cellStyle name="汇总 2 2 5 6 3 3" xfId="27033"/>
    <cellStyle name="汇总 2 2 5 6 4" xfId="17726"/>
    <cellStyle name="汇总 2 2 5 6 4 2" xfId="27035"/>
    <cellStyle name="汇总 2 2 5 6 5" xfId="27030"/>
    <cellStyle name="汇总 2 2 5 7" xfId="12106"/>
    <cellStyle name="汇总 2 2 5 7 2" xfId="20095"/>
    <cellStyle name="汇总 2 2 5 7 2 2" xfId="27037"/>
    <cellStyle name="汇总 2 2 5 7 3" xfId="27036"/>
    <cellStyle name="汇总 2 2 5 8" xfId="27038"/>
    <cellStyle name="汇总 2 2 5 9" xfId="26989"/>
    <cellStyle name="汇总 2 2 6" xfId="9414"/>
    <cellStyle name="汇总 2 2 6 2" xfId="9415"/>
    <cellStyle name="汇总 2 2 6 2 2" xfId="12107"/>
    <cellStyle name="汇总 2 2 6 2 2 2" xfId="12108"/>
    <cellStyle name="汇总 2 2 6 2 2 2 2" xfId="21326"/>
    <cellStyle name="汇总 2 2 6 2 2 2 2 2" xfId="27043"/>
    <cellStyle name="汇总 2 2 6 2 2 2 3" xfId="27042"/>
    <cellStyle name="汇总 2 2 6 2 2 3" xfId="12109"/>
    <cellStyle name="汇总 2 2 6 2 2 3 2" xfId="20094"/>
    <cellStyle name="汇总 2 2 6 2 2 3 2 2" xfId="27045"/>
    <cellStyle name="汇总 2 2 6 2 2 3 3" xfId="27044"/>
    <cellStyle name="汇总 2 2 6 2 2 4" xfId="21327"/>
    <cellStyle name="汇总 2 2 6 2 2 4 2" xfId="27046"/>
    <cellStyle name="汇总 2 2 6 2 2 5" xfId="27041"/>
    <cellStyle name="汇总 2 2 6 2 3" xfId="12110"/>
    <cellStyle name="汇总 2 2 6 2 3 2" xfId="20093"/>
    <cellStyle name="汇总 2 2 6 2 3 2 2" xfId="27048"/>
    <cellStyle name="汇总 2 2 6 2 3 3" xfId="27047"/>
    <cellStyle name="汇总 2 2 6 2 4" xfId="27049"/>
    <cellStyle name="汇总 2 2 6 2 5" xfId="27040"/>
    <cellStyle name="汇总 2 2 6 3" xfId="9416"/>
    <cellStyle name="汇总 2 2 6 3 2" xfId="12111"/>
    <cellStyle name="汇总 2 2 6 3 2 2" xfId="12112"/>
    <cellStyle name="汇总 2 2 6 3 2 2 2" xfId="17725"/>
    <cellStyle name="汇总 2 2 6 3 2 2 2 2" xfId="27053"/>
    <cellStyle name="汇总 2 2 6 3 2 2 3" xfId="27052"/>
    <cellStyle name="汇总 2 2 6 3 2 3" xfId="12113"/>
    <cellStyle name="汇总 2 2 6 3 2 3 2" xfId="20091"/>
    <cellStyle name="汇总 2 2 6 3 2 3 2 2" xfId="27055"/>
    <cellStyle name="汇总 2 2 6 3 2 3 3" xfId="27054"/>
    <cellStyle name="汇总 2 2 6 3 2 4" xfId="20092"/>
    <cellStyle name="汇总 2 2 6 3 2 4 2" xfId="27056"/>
    <cellStyle name="汇总 2 2 6 3 2 5" xfId="27051"/>
    <cellStyle name="汇总 2 2 6 3 3" xfId="12114"/>
    <cellStyle name="汇总 2 2 6 3 3 2" xfId="18724"/>
    <cellStyle name="汇总 2 2 6 3 3 2 2" xfId="27058"/>
    <cellStyle name="汇总 2 2 6 3 3 3" xfId="27057"/>
    <cellStyle name="汇总 2 2 6 3 4" xfId="27059"/>
    <cellStyle name="汇总 2 2 6 3 5" xfId="27050"/>
    <cellStyle name="汇总 2 2 6 4" xfId="9417"/>
    <cellStyle name="汇总 2 2 6 4 2" xfId="12115"/>
    <cellStyle name="汇总 2 2 6 4 2 2" xfId="12116"/>
    <cellStyle name="汇总 2 2 6 4 2 2 2" xfId="18406"/>
    <cellStyle name="汇总 2 2 6 4 2 2 2 2" xfId="27063"/>
    <cellStyle name="汇总 2 2 6 4 2 2 3" xfId="27062"/>
    <cellStyle name="汇总 2 2 6 4 2 3" xfId="12117"/>
    <cellStyle name="汇总 2 2 6 4 2 3 2" xfId="17724"/>
    <cellStyle name="汇总 2 2 6 4 2 3 2 2" xfId="27065"/>
    <cellStyle name="汇总 2 2 6 4 2 3 3" xfId="27064"/>
    <cellStyle name="汇总 2 2 6 4 2 4" xfId="20090"/>
    <cellStyle name="汇总 2 2 6 4 2 4 2" xfId="27066"/>
    <cellStyle name="汇总 2 2 6 4 2 5" xfId="27061"/>
    <cellStyle name="汇总 2 2 6 4 3" xfId="12118"/>
    <cellStyle name="汇总 2 2 6 4 3 2" xfId="20089"/>
    <cellStyle name="汇总 2 2 6 4 3 2 2" xfId="27068"/>
    <cellStyle name="汇总 2 2 6 4 3 3" xfId="27067"/>
    <cellStyle name="汇总 2 2 6 4 4" xfId="27069"/>
    <cellStyle name="汇总 2 2 6 4 5" xfId="27060"/>
    <cellStyle name="汇总 2 2 6 5" xfId="9418"/>
    <cellStyle name="汇总 2 2 6 5 2" xfId="12119"/>
    <cellStyle name="汇总 2 2 6 5 2 2" xfId="12120"/>
    <cellStyle name="汇总 2 2 6 5 2 2 2" xfId="18723"/>
    <cellStyle name="汇总 2 2 6 5 2 2 2 2" xfId="27073"/>
    <cellStyle name="汇总 2 2 6 5 2 2 3" xfId="27072"/>
    <cellStyle name="汇总 2 2 6 5 2 3" xfId="12121"/>
    <cellStyle name="汇总 2 2 6 5 2 3 2" xfId="20087"/>
    <cellStyle name="汇总 2 2 6 5 2 3 2 2" xfId="27075"/>
    <cellStyle name="汇总 2 2 6 5 2 3 3" xfId="27074"/>
    <cellStyle name="汇总 2 2 6 5 2 4" xfId="20088"/>
    <cellStyle name="汇总 2 2 6 5 2 4 2" xfId="27076"/>
    <cellStyle name="汇总 2 2 6 5 2 5" xfId="27071"/>
    <cellStyle name="汇总 2 2 6 5 3" xfId="12122"/>
    <cellStyle name="汇总 2 2 6 5 3 2" xfId="18640"/>
    <cellStyle name="汇总 2 2 6 5 3 2 2" xfId="27078"/>
    <cellStyle name="汇总 2 2 6 5 3 3" xfId="27077"/>
    <cellStyle name="汇总 2 2 6 5 4" xfId="27079"/>
    <cellStyle name="汇总 2 2 6 5 5" xfId="27070"/>
    <cellStyle name="汇总 2 2 6 6" xfId="12123"/>
    <cellStyle name="汇总 2 2 6 6 2" xfId="12124"/>
    <cellStyle name="汇总 2 2 6 6 2 2" xfId="18405"/>
    <cellStyle name="汇总 2 2 6 6 2 2 2" xfId="27082"/>
    <cellStyle name="汇总 2 2 6 6 2 3" xfId="27081"/>
    <cellStyle name="汇总 2 2 6 6 3" xfId="12125"/>
    <cellStyle name="汇总 2 2 6 6 3 2" xfId="20085"/>
    <cellStyle name="汇总 2 2 6 6 3 2 2" xfId="27084"/>
    <cellStyle name="汇总 2 2 6 6 3 3" xfId="27083"/>
    <cellStyle name="汇总 2 2 6 6 4" xfId="20086"/>
    <cellStyle name="汇总 2 2 6 6 4 2" xfId="27085"/>
    <cellStyle name="汇总 2 2 6 6 5" xfId="27080"/>
    <cellStyle name="汇总 2 2 6 7" xfId="12126"/>
    <cellStyle name="汇总 2 2 6 7 2" xfId="21325"/>
    <cellStyle name="汇总 2 2 6 7 2 2" xfId="27087"/>
    <cellStyle name="汇总 2 2 6 7 3" xfId="27086"/>
    <cellStyle name="汇总 2 2 6 8" xfId="27088"/>
    <cellStyle name="汇总 2 2 6 9" xfId="27039"/>
    <cellStyle name="汇总 2 2 7" xfId="9419"/>
    <cellStyle name="汇总 2 2 7 2" xfId="9420"/>
    <cellStyle name="汇总 2 2 7 2 2" xfId="12127"/>
    <cellStyle name="汇总 2 2 7 2 2 2" xfId="12128"/>
    <cellStyle name="汇总 2 2 7 2 2 2 2" xfId="17722"/>
    <cellStyle name="汇总 2 2 7 2 2 2 2 2" xfId="27093"/>
    <cellStyle name="汇总 2 2 7 2 2 2 3" xfId="27092"/>
    <cellStyle name="汇总 2 2 7 2 2 3" xfId="12129"/>
    <cellStyle name="汇总 2 2 7 2 2 3 2" xfId="20084"/>
    <cellStyle name="汇总 2 2 7 2 2 3 2 2" xfId="27095"/>
    <cellStyle name="汇总 2 2 7 2 2 3 3" xfId="27094"/>
    <cellStyle name="汇总 2 2 7 2 2 4" xfId="17723"/>
    <cellStyle name="汇总 2 2 7 2 2 4 2" xfId="27096"/>
    <cellStyle name="汇总 2 2 7 2 2 5" xfId="27091"/>
    <cellStyle name="汇总 2 2 7 2 3" xfId="12130"/>
    <cellStyle name="汇总 2 2 7 2 3 2" xfId="20083"/>
    <cellStyle name="汇总 2 2 7 2 3 2 2" xfId="27098"/>
    <cellStyle name="汇总 2 2 7 2 3 3" xfId="27097"/>
    <cellStyle name="汇总 2 2 7 2 4" xfId="27099"/>
    <cellStyle name="汇总 2 2 7 2 5" xfId="27090"/>
    <cellStyle name="汇总 2 2 7 3" xfId="9421"/>
    <cellStyle name="汇总 2 2 7 3 2" xfId="12131"/>
    <cellStyle name="汇总 2 2 7 3 2 2" xfId="12132"/>
    <cellStyle name="汇总 2 2 7 3 2 2 2" xfId="18404"/>
    <cellStyle name="汇总 2 2 7 3 2 2 2 2" xfId="27103"/>
    <cellStyle name="汇总 2 2 7 3 2 2 3" xfId="27102"/>
    <cellStyle name="汇总 2 2 7 3 2 3" xfId="12133"/>
    <cellStyle name="汇总 2 2 7 3 2 3 2" xfId="20081"/>
    <cellStyle name="汇总 2 2 7 3 2 3 2 2" xfId="27105"/>
    <cellStyle name="汇总 2 2 7 3 2 3 3" xfId="27104"/>
    <cellStyle name="汇总 2 2 7 3 2 4" xfId="20082"/>
    <cellStyle name="汇总 2 2 7 3 2 4 2" xfId="27106"/>
    <cellStyle name="汇总 2 2 7 3 2 5" xfId="27101"/>
    <cellStyle name="汇总 2 2 7 3 3" xfId="12134"/>
    <cellStyle name="汇总 2 2 7 3 3 2" xfId="20080"/>
    <cellStyle name="汇总 2 2 7 3 3 2 2" xfId="27108"/>
    <cellStyle name="汇总 2 2 7 3 3 3" xfId="27107"/>
    <cellStyle name="汇总 2 2 7 3 4" xfId="27109"/>
    <cellStyle name="汇总 2 2 7 3 5" xfId="27100"/>
    <cellStyle name="汇总 2 2 7 4" xfId="9422"/>
    <cellStyle name="汇总 2 2 7 4 2" xfId="12135"/>
    <cellStyle name="汇总 2 2 7 4 2 2" xfId="12136"/>
    <cellStyle name="汇总 2 2 7 4 2 2 2" xfId="20078"/>
    <cellStyle name="汇总 2 2 7 4 2 2 2 2" xfId="27113"/>
    <cellStyle name="汇总 2 2 7 4 2 2 3" xfId="27112"/>
    <cellStyle name="汇总 2 2 7 4 2 3" xfId="12137"/>
    <cellStyle name="汇总 2 2 7 4 2 3 2" xfId="17721"/>
    <cellStyle name="汇总 2 2 7 4 2 3 2 2" xfId="27115"/>
    <cellStyle name="汇总 2 2 7 4 2 3 3" xfId="27114"/>
    <cellStyle name="汇总 2 2 7 4 2 4" xfId="20079"/>
    <cellStyle name="汇总 2 2 7 4 2 4 2" xfId="27116"/>
    <cellStyle name="汇总 2 2 7 4 2 5" xfId="27111"/>
    <cellStyle name="汇总 2 2 7 4 3" xfId="12138"/>
    <cellStyle name="汇总 2 2 7 4 3 2" xfId="21324"/>
    <cellStyle name="汇总 2 2 7 4 3 2 2" xfId="27118"/>
    <cellStyle name="汇总 2 2 7 4 3 3" xfId="27117"/>
    <cellStyle name="汇总 2 2 7 4 4" xfId="27119"/>
    <cellStyle name="汇总 2 2 7 4 5" xfId="27110"/>
    <cellStyle name="汇总 2 2 7 5" xfId="9423"/>
    <cellStyle name="汇总 2 2 7 5 2" xfId="12139"/>
    <cellStyle name="汇总 2 2 7 5 2 2" xfId="12140"/>
    <cellStyle name="汇总 2 2 7 5 2 2 2" xfId="18403"/>
    <cellStyle name="汇总 2 2 7 5 2 2 2 2" xfId="27123"/>
    <cellStyle name="汇总 2 2 7 5 2 2 3" xfId="27122"/>
    <cellStyle name="汇总 2 2 7 5 2 3" xfId="12141"/>
    <cellStyle name="汇总 2 2 7 5 2 3 2" xfId="18402"/>
    <cellStyle name="汇总 2 2 7 5 2 3 2 2" xfId="27125"/>
    <cellStyle name="汇总 2 2 7 5 2 3 3" xfId="27124"/>
    <cellStyle name="汇总 2 2 7 5 2 4" xfId="21323"/>
    <cellStyle name="汇总 2 2 7 5 2 4 2" xfId="27126"/>
    <cellStyle name="汇总 2 2 7 5 2 5" xfId="27121"/>
    <cellStyle name="汇总 2 2 7 5 3" xfId="12142"/>
    <cellStyle name="汇总 2 2 7 5 3 2" xfId="17720"/>
    <cellStyle name="汇总 2 2 7 5 3 2 2" xfId="27128"/>
    <cellStyle name="汇总 2 2 7 5 3 3" xfId="27127"/>
    <cellStyle name="汇总 2 2 7 5 4" xfId="27129"/>
    <cellStyle name="汇总 2 2 7 5 5" xfId="27120"/>
    <cellStyle name="汇总 2 2 7 6" xfId="12143"/>
    <cellStyle name="汇总 2 2 7 6 2" xfId="12144"/>
    <cellStyle name="汇总 2 2 7 6 2 2" xfId="20076"/>
    <cellStyle name="汇总 2 2 7 6 2 2 2" xfId="27132"/>
    <cellStyle name="汇总 2 2 7 6 2 3" xfId="27131"/>
    <cellStyle name="汇总 2 2 7 6 3" xfId="12145"/>
    <cellStyle name="汇总 2 2 7 6 3 2" xfId="21322"/>
    <cellStyle name="汇总 2 2 7 6 3 2 2" xfId="27134"/>
    <cellStyle name="汇总 2 2 7 6 3 3" xfId="27133"/>
    <cellStyle name="汇总 2 2 7 6 4" xfId="20077"/>
    <cellStyle name="汇总 2 2 7 6 4 2" xfId="27135"/>
    <cellStyle name="汇总 2 2 7 6 5" xfId="27130"/>
    <cellStyle name="汇总 2 2 7 7" xfId="12146"/>
    <cellStyle name="汇总 2 2 7 7 2" xfId="20075"/>
    <cellStyle name="汇总 2 2 7 7 2 2" xfId="27137"/>
    <cellStyle name="汇总 2 2 7 7 3" xfId="27136"/>
    <cellStyle name="汇总 2 2 7 8" xfId="27138"/>
    <cellStyle name="汇总 2 2 7 9" xfId="27089"/>
    <cellStyle name="汇总 2 2 8" xfId="9424"/>
    <cellStyle name="汇总 2 2 8 2" xfId="9425"/>
    <cellStyle name="汇总 2 2 8 2 2" xfId="12147"/>
    <cellStyle name="汇总 2 2 8 2 2 2" xfId="12148"/>
    <cellStyle name="汇总 2 2 8 2 2 2 2" xfId="20074"/>
    <cellStyle name="汇总 2 2 8 2 2 2 2 2" xfId="27143"/>
    <cellStyle name="汇总 2 2 8 2 2 2 3" xfId="27142"/>
    <cellStyle name="汇总 2 2 8 2 2 3" xfId="12149"/>
    <cellStyle name="汇总 2 2 8 2 2 3 2" xfId="20073"/>
    <cellStyle name="汇总 2 2 8 2 2 3 2 2" xfId="27145"/>
    <cellStyle name="汇总 2 2 8 2 2 3 3" xfId="27144"/>
    <cellStyle name="汇总 2 2 8 2 2 4" xfId="21089"/>
    <cellStyle name="汇总 2 2 8 2 2 4 2" xfId="27146"/>
    <cellStyle name="汇总 2 2 8 2 2 5" xfId="27141"/>
    <cellStyle name="汇总 2 2 8 2 3" xfId="12150"/>
    <cellStyle name="汇总 2 2 8 2 3 2" xfId="20072"/>
    <cellStyle name="汇总 2 2 8 2 3 2 2" xfId="27148"/>
    <cellStyle name="汇总 2 2 8 2 3 3" xfId="27147"/>
    <cellStyle name="汇总 2 2 8 2 4" xfId="27149"/>
    <cellStyle name="汇总 2 2 8 2 5" xfId="27140"/>
    <cellStyle name="汇总 2 2 8 3" xfId="9426"/>
    <cellStyle name="汇总 2 2 8 3 2" xfId="12151"/>
    <cellStyle name="汇总 2 2 8 3 2 2" xfId="12152"/>
    <cellStyle name="汇总 2 2 8 3 2 2 2" xfId="17719"/>
    <cellStyle name="汇总 2 2 8 3 2 2 2 2" xfId="27153"/>
    <cellStyle name="汇总 2 2 8 3 2 2 3" xfId="27152"/>
    <cellStyle name="汇总 2 2 8 3 2 3" xfId="12153"/>
    <cellStyle name="汇总 2 2 8 3 2 3 2" xfId="17718"/>
    <cellStyle name="汇总 2 2 8 3 2 3 2 2" xfId="27155"/>
    <cellStyle name="汇总 2 2 8 3 2 3 3" xfId="27154"/>
    <cellStyle name="汇总 2 2 8 3 2 4" xfId="21321"/>
    <cellStyle name="汇总 2 2 8 3 2 4 2" xfId="27156"/>
    <cellStyle name="汇总 2 2 8 3 2 5" xfId="27151"/>
    <cellStyle name="汇总 2 2 8 3 3" xfId="12154"/>
    <cellStyle name="汇总 2 2 8 3 3 2" xfId="20071"/>
    <cellStyle name="汇总 2 2 8 3 3 2 2" xfId="27158"/>
    <cellStyle name="汇总 2 2 8 3 3 3" xfId="27157"/>
    <cellStyle name="汇总 2 2 8 3 4" xfId="27159"/>
    <cellStyle name="汇总 2 2 8 3 5" xfId="27150"/>
    <cellStyle name="汇总 2 2 8 4" xfId="9427"/>
    <cellStyle name="汇总 2 2 8 4 2" xfId="12155"/>
    <cellStyle name="汇总 2 2 8 4 2 2" xfId="12156"/>
    <cellStyle name="汇总 2 2 8 4 2 2 2" xfId="18401"/>
    <cellStyle name="汇总 2 2 8 4 2 2 2 2" xfId="27163"/>
    <cellStyle name="汇总 2 2 8 4 2 2 3" xfId="27162"/>
    <cellStyle name="汇总 2 2 8 4 2 3" xfId="12157"/>
    <cellStyle name="汇总 2 2 8 4 2 3 2" xfId="20069"/>
    <cellStyle name="汇总 2 2 8 4 2 3 2 2" xfId="27165"/>
    <cellStyle name="汇总 2 2 8 4 2 3 3" xfId="27164"/>
    <cellStyle name="汇总 2 2 8 4 2 4" xfId="20070"/>
    <cellStyle name="汇总 2 2 8 4 2 4 2" xfId="27166"/>
    <cellStyle name="汇总 2 2 8 4 2 5" xfId="27161"/>
    <cellStyle name="汇总 2 2 8 4 3" xfId="12158"/>
    <cellStyle name="汇总 2 2 8 4 3 2" xfId="21320"/>
    <cellStyle name="汇总 2 2 8 4 3 2 2" xfId="27168"/>
    <cellStyle name="汇总 2 2 8 4 3 3" xfId="27167"/>
    <cellStyle name="汇总 2 2 8 4 4" xfId="27169"/>
    <cellStyle name="汇总 2 2 8 4 5" xfId="27160"/>
    <cellStyle name="汇总 2 2 8 5" xfId="9428"/>
    <cellStyle name="汇总 2 2 8 5 2" xfId="12159"/>
    <cellStyle name="汇总 2 2 8 5 2 2" xfId="12160"/>
    <cellStyle name="汇总 2 2 8 5 2 2 2" xfId="20067"/>
    <cellStyle name="汇总 2 2 8 5 2 2 2 2" xfId="27173"/>
    <cellStyle name="汇总 2 2 8 5 2 2 3" xfId="27172"/>
    <cellStyle name="汇总 2 2 8 5 2 3" xfId="12161"/>
    <cellStyle name="汇总 2 2 8 5 2 3 2" xfId="20066"/>
    <cellStyle name="汇总 2 2 8 5 2 3 2 2" xfId="27175"/>
    <cellStyle name="汇总 2 2 8 5 2 3 3" xfId="27174"/>
    <cellStyle name="汇总 2 2 8 5 2 4" xfId="20068"/>
    <cellStyle name="汇总 2 2 8 5 2 4 2" xfId="27176"/>
    <cellStyle name="汇总 2 2 8 5 2 5" xfId="27171"/>
    <cellStyle name="汇总 2 2 8 5 3" xfId="12162"/>
    <cellStyle name="汇总 2 2 8 5 3 2" xfId="19460"/>
    <cellStyle name="汇总 2 2 8 5 3 2 2" xfId="27178"/>
    <cellStyle name="汇总 2 2 8 5 3 3" xfId="27177"/>
    <cellStyle name="汇总 2 2 8 5 4" xfId="27179"/>
    <cellStyle name="汇总 2 2 8 5 5" xfId="27170"/>
    <cellStyle name="汇总 2 2 8 6" xfId="12163"/>
    <cellStyle name="汇总 2 2 8 6 2" xfId="12164"/>
    <cellStyle name="汇总 2 2 8 6 2 2" xfId="20065"/>
    <cellStyle name="汇总 2 2 8 6 2 2 2" xfId="27182"/>
    <cellStyle name="汇总 2 2 8 6 2 3" xfId="27181"/>
    <cellStyle name="汇总 2 2 8 6 3" xfId="12165"/>
    <cellStyle name="汇总 2 2 8 6 3 2" xfId="20064"/>
    <cellStyle name="汇总 2 2 8 6 3 2 2" xfId="27184"/>
    <cellStyle name="汇总 2 2 8 6 3 3" xfId="27183"/>
    <cellStyle name="汇总 2 2 8 6 4" xfId="18400"/>
    <cellStyle name="汇总 2 2 8 6 4 2" xfId="27185"/>
    <cellStyle name="汇总 2 2 8 6 5" xfId="27180"/>
    <cellStyle name="汇总 2 2 8 7" xfId="12166"/>
    <cellStyle name="汇总 2 2 8 7 2" xfId="20063"/>
    <cellStyle name="汇总 2 2 8 7 2 2" xfId="27187"/>
    <cellStyle name="汇总 2 2 8 7 3" xfId="27186"/>
    <cellStyle name="汇总 2 2 8 8" xfId="27188"/>
    <cellStyle name="汇总 2 2 8 9" xfId="27139"/>
    <cellStyle name="汇总 2 2 9" xfId="9429"/>
    <cellStyle name="汇总 2 2 9 2" xfId="9430"/>
    <cellStyle name="汇总 2 2 9 2 2" xfId="12167"/>
    <cellStyle name="汇总 2 2 9 2 2 2" xfId="12168"/>
    <cellStyle name="汇总 2 2 9 2 2 2 2" xfId="20062"/>
    <cellStyle name="汇总 2 2 9 2 2 2 2 2" xfId="27193"/>
    <cellStyle name="汇总 2 2 9 2 2 2 3" xfId="27192"/>
    <cellStyle name="汇总 2 2 9 2 2 3" xfId="12169"/>
    <cellStyle name="汇总 2 2 9 2 2 3 2" xfId="21319"/>
    <cellStyle name="汇总 2 2 9 2 2 3 2 2" xfId="27195"/>
    <cellStyle name="汇总 2 2 9 2 2 3 3" xfId="27194"/>
    <cellStyle name="汇总 2 2 9 2 2 4" xfId="19459"/>
    <cellStyle name="汇总 2 2 9 2 2 4 2" xfId="27196"/>
    <cellStyle name="汇总 2 2 9 2 2 5" xfId="27191"/>
    <cellStyle name="汇总 2 2 9 2 3" xfId="12170"/>
    <cellStyle name="汇总 2 2 9 2 3 2" xfId="21318"/>
    <cellStyle name="汇总 2 2 9 2 3 2 2" xfId="27198"/>
    <cellStyle name="汇总 2 2 9 2 3 3" xfId="27197"/>
    <cellStyle name="汇总 2 2 9 2 4" xfId="27199"/>
    <cellStyle name="汇总 2 2 9 2 5" xfId="27190"/>
    <cellStyle name="汇总 2 2 9 3" xfId="9431"/>
    <cellStyle name="汇总 2 2 9 3 2" xfId="12171"/>
    <cellStyle name="汇总 2 2 9 3 2 2" xfId="12172"/>
    <cellStyle name="汇总 2 2 9 3 2 2 2" xfId="21088"/>
    <cellStyle name="汇总 2 2 9 3 2 2 2 2" xfId="27203"/>
    <cellStyle name="汇总 2 2 9 3 2 2 3" xfId="27202"/>
    <cellStyle name="汇总 2 2 9 3 2 3" xfId="12173"/>
    <cellStyle name="汇总 2 2 9 3 2 3 2" xfId="20061"/>
    <cellStyle name="汇总 2 2 9 3 2 3 2 2" xfId="27205"/>
    <cellStyle name="汇总 2 2 9 3 2 3 3" xfId="27204"/>
    <cellStyle name="汇总 2 2 9 3 2 4" xfId="18399"/>
    <cellStyle name="汇总 2 2 9 3 2 4 2" xfId="27206"/>
    <cellStyle name="汇总 2 2 9 3 2 5" xfId="27201"/>
    <cellStyle name="汇总 2 2 9 3 3" xfId="12174"/>
    <cellStyle name="汇总 2 2 9 3 3 2" xfId="20060"/>
    <cellStyle name="汇总 2 2 9 3 3 2 2" xfId="27208"/>
    <cellStyle name="汇总 2 2 9 3 3 3" xfId="27207"/>
    <cellStyle name="汇总 2 2 9 3 4" xfId="27209"/>
    <cellStyle name="汇总 2 2 9 3 5" xfId="27200"/>
    <cellStyle name="汇总 2 2 9 4" xfId="9432"/>
    <cellStyle name="汇总 2 2 9 4 2" xfId="12175"/>
    <cellStyle name="汇总 2 2 9 4 2 2" xfId="12176"/>
    <cellStyle name="汇总 2 2 9 4 2 2 2" xfId="18722"/>
    <cellStyle name="汇总 2 2 9 4 2 2 2 2" xfId="27213"/>
    <cellStyle name="汇总 2 2 9 4 2 2 3" xfId="27212"/>
    <cellStyle name="汇总 2 2 9 4 2 3" xfId="12177"/>
    <cellStyle name="汇总 2 2 9 4 2 3 2" xfId="19458"/>
    <cellStyle name="汇总 2 2 9 4 2 3 2 2" xfId="27215"/>
    <cellStyle name="汇总 2 2 9 4 2 3 3" xfId="27214"/>
    <cellStyle name="汇总 2 2 9 4 2 4" xfId="20059"/>
    <cellStyle name="汇总 2 2 9 4 2 4 2" xfId="27216"/>
    <cellStyle name="汇总 2 2 9 4 2 5" xfId="27211"/>
    <cellStyle name="汇总 2 2 9 4 3" xfId="12178"/>
    <cellStyle name="汇总 2 2 9 4 3 2" xfId="17717"/>
    <cellStyle name="汇总 2 2 9 4 3 2 2" xfId="27218"/>
    <cellStyle name="汇总 2 2 9 4 3 3" xfId="27217"/>
    <cellStyle name="汇总 2 2 9 4 4" xfId="27219"/>
    <cellStyle name="汇总 2 2 9 4 5" xfId="27210"/>
    <cellStyle name="汇总 2 2 9 5" xfId="9433"/>
    <cellStyle name="汇总 2 2 9 5 2" xfId="12179"/>
    <cellStyle name="汇总 2 2 9 5 2 2" xfId="12180"/>
    <cellStyle name="汇总 2 2 9 5 2 2 2" xfId="18398"/>
    <cellStyle name="汇总 2 2 9 5 2 2 2 2" xfId="27223"/>
    <cellStyle name="汇总 2 2 9 5 2 2 3" xfId="27222"/>
    <cellStyle name="汇总 2 2 9 5 2 3" xfId="12181"/>
    <cellStyle name="汇总 2 2 9 5 2 3 2" xfId="18397"/>
    <cellStyle name="汇总 2 2 9 5 2 3 2 2" xfId="27225"/>
    <cellStyle name="汇总 2 2 9 5 2 3 3" xfId="27224"/>
    <cellStyle name="汇总 2 2 9 5 2 4" xfId="20058"/>
    <cellStyle name="汇总 2 2 9 5 2 4 2" xfId="27226"/>
    <cellStyle name="汇总 2 2 9 5 2 5" xfId="27221"/>
    <cellStyle name="汇总 2 2 9 5 3" xfId="12182"/>
    <cellStyle name="汇总 2 2 9 5 3 2" xfId="20057"/>
    <cellStyle name="汇总 2 2 9 5 3 2 2" xfId="27228"/>
    <cellStyle name="汇总 2 2 9 5 3 3" xfId="27227"/>
    <cellStyle name="汇总 2 2 9 5 4" xfId="27229"/>
    <cellStyle name="汇总 2 2 9 5 5" xfId="27220"/>
    <cellStyle name="汇总 2 2 9 6" xfId="12183"/>
    <cellStyle name="汇总 2 2 9 6 2" xfId="12184"/>
    <cellStyle name="汇总 2 2 9 6 2 2" xfId="20056"/>
    <cellStyle name="汇总 2 2 9 6 2 2 2" xfId="27232"/>
    <cellStyle name="汇总 2 2 9 6 2 3" xfId="27231"/>
    <cellStyle name="汇总 2 2 9 6 3" xfId="12185"/>
    <cellStyle name="汇总 2 2 9 6 3 2" xfId="20055"/>
    <cellStyle name="汇总 2 2 9 6 3 2 2" xfId="27234"/>
    <cellStyle name="汇总 2 2 9 6 3 3" xfId="27233"/>
    <cellStyle name="汇总 2 2 9 6 4" xfId="21317"/>
    <cellStyle name="汇总 2 2 9 6 4 2" xfId="27235"/>
    <cellStyle name="汇总 2 2 9 6 5" xfId="27230"/>
    <cellStyle name="汇总 2 2 9 7" xfId="12186"/>
    <cellStyle name="汇总 2 2 9 7 2" xfId="20054"/>
    <cellStyle name="汇总 2 2 9 7 2 2" xfId="27237"/>
    <cellStyle name="汇总 2 2 9 7 3" xfId="27236"/>
    <cellStyle name="汇总 2 2 9 8" xfId="27238"/>
    <cellStyle name="汇总 2 2 9 9" xfId="27189"/>
    <cellStyle name="汇总 2 20" xfId="9434"/>
    <cellStyle name="汇总 2 20 2" xfId="12187"/>
    <cellStyle name="汇总 2 20 2 2" xfId="12188"/>
    <cellStyle name="汇总 2 20 2 2 2" xfId="20053"/>
    <cellStyle name="汇总 2 20 2 2 2 2" xfId="27242"/>
    <cellStyle name="汇总 2 20 2 2 3" xfId="27241"/>
    <cellStyle name="汇总 2 20 2 3" xfId="12189"/>
    <cellStyle name="汇总 2 20 2 3 2" xfId="21316"/>
    <cellStyle name="汇总 2 20 2 3 2 2" xfId="27244"/>
    <cellStyle name="汇总 2 20 2 3 3" xfId="27243"/>
    <cellStyle name="汇总 2 20 2 4" xfId="17716"/>
    <cellStyle name="汇总 2 20 2 4 2" xfId="27245"/>
    <cellStyle name="汇总 2 20 2 5" xfId="27240"/>
    <cellStyle name="汇总 2 20 3" xfId="12190"/>
    <cellStyle name="汇总 2 20 3 2" xfId="20052"/>
    <cellStyle name="汇总 2 20 3 2 2" xfId="27247"/>
    <cellStyle name="汇总 2 20 3 3" xfId="27246"/>
    <cellStyle name="汇总 2 20 4" xfId="27248"/>
    <cellStyle name="汇总 2 20 5" xfId="27239"/>
    <cellStyle name="汇总 2 21" xfId="9435"/>
    <cellStyle name="汇总 2 21 2" xfId="12191"/>
    <cellStyle name="汇总 2 21 2 2" xfId="12192"/>
    <cellStyle name="汇总 2 21 2 2 2" xfId="17715"/>
    <cellStyle name="汇总 2 21 2 2 2 2" xfId="27252"/>
    <cellStyle name="汇总 2 21 2 2 3" xfId="27251"/>
    <cellStyle name="汇总 2 21 2 3" xfId="12193"/>
    <cellStyle name="汇总 2 21 2 3 2" xfId="20050"/>
    <cellStyle name="汇总 2 21 2 3 2 2" xfId="27254"/>
    <cellStyle name="汇总 2 21 2 3 3" xfId="27253"/>
    <cellStyle name="汇总 2 21 2 4" xfId="20051"/>
    <cellStyle name="汇总 2 21 2 4 2" xfId="27255"/>
    <cellStyle name="汇总 2 21 2 5" xfId="27250"/>
    <cellStyle name="汇总 2 21 3" xfId="12194"/>
    <cellStyle name="汇总 2 21 3 2" xfId="18396"/>
    <cellStyle name="汇总 2 21 3 2 2" xfId="27257"/>
    <cellStyle name="汇总 2 21 3 3" xfId="27256"/>
    <cellStyle name="汇总 2 21 4" xfId="27258"/>
    <cellStyle name="汇总 2 21 5" xfId="27249"/>
    <cellStyle name="汇总 2 22" xfId="9436"/>
    <cellStyle name="汇总 2 22 2" xfId="12195"/>
    <cellStyle name="汇总 2 22 2 2" xfId="12196"/>
    <cellStyle name="汇总 2 22 2 2 2" xfId="20048"/>
    <cellStyle name="汇总 2 22 2 2 2 2" xfId="27262"/>
    <cellStyle name="汇总 2 22 2 2 3" xfId="27261"/>
    <cellStyle name="汇总 2 22 2 3" xfId="12197"/>
    <cellStyle name="汇总 2 22 2 3 2" xfId="19457"/>
    <cellStyle name="汇总 2 22 2 3 2 2" xfId="27264"/>
    <cellStyle name="汇总 2 22 2 3 3" xfId="27263"/>
    <cellStyle name="汇总 2 22 2 4" xfId="20049"/>
    <cellStyle name="汇总 2 22 2 4 2" xfId="27265"/>
    <cellStyle name="汇总 2 22 2 5" xfId="27260"/>
    <cellStyle name="汇总 2 22 3" xfId="12198"/>
    <cellStyle name="汇总 2 22 3 2" xfId="20047"/>
    <cellStyle name="汇总 2 22 3 2 2" xfId="27267"/>
    <cellStyle name="汇总 2 22 3 3" xfId="27266"/>
    <cellStyle name="汇总 2 22 4" xfId="27268"/>
    <cellStyle name="汇总 2 22 5" xfId="27259"/>
    <cellStyle name="汇总 2 23" xfId="9437"/>
    <cellStyle name="汇总 2 23 2" xfId="12199"/>
    <cellStyle name="汇总 2 23 2 2" xfId="12200"/>
    <cellStyle name="汇总 2 23 2 2 2" xfId="21315"/>
    <cellStyle name="汇总 2 23 2 2 2 2" xfId="27272"/>
    <cellStyle name="汇总 2 23 2 2 3" xfId="27271"/>
    <cellStyle name="汇总 2 23 2 3" xfId="20046"/>
    <cellStyle name="汇总 2 23 2 3 2" xfId="27273"/>
    <cellStyle name="汇总 2 23 2 4" xfId="27270"/>
    <cellStyle name="汇总 2 23 3" xfId="12201"/>
    <cellStyle name="汇总 2 23 3 2" xfId="21314"/>
    <cellStyle name="汇总 2 23 3 2 2" xfId="27275"/>
    <cellStyle name="汇总 2 23 3 3" xfId="27274"/>
    <cellStyle name="汇总 2 23 4" xfId="27276"/>
    <cellStyle name="汇总 2 23 5" xfId="27269"/>
    <cellStyle name="汇总 2 24" xfId="12202"/>
    <cellStyle name="汇总 2 24 2" xfId="19456"/>
    <cellStyle name="汇总 2 24 2 2" xfId="27278"/>
    <cellStyle name="汇总 2 24 3" xfId="27277"/>
    <cellStyle name="汇总 2 25" xfId="9286"/>
    <cellStyle name="汇总 2 25 2" xfId="27280"/>
    <cellStyle name="汇总 2 25 3" xfId="27279"/>
    <cellStyle name="汇总 2 26" xfId="27281"/>
    <cellStyle name="汇总 2 27" xfId="27282"/>
    <cellStyle name="汇总 2 28" xfId="755"/>
    <cellStyle name="汇总 2 29" xfId="61041"/>
    <cellStyle name="汇总 2 3" xfId="5149"/>
    <cellStyle name="汇总 2 3 2" xfId="5150"/>
    <cellStyle name="汇总 2 3 2 2" xfId="12203"/>
    <cellStyle name="汇总 2 3 2 2 2" xfId="12204"/>
    <cellStyle name="汇总 2 3 2 2 2 2" xfId="18395"/>
    <cellStyle name="汇总 2 3 2 2 2 2 2" xfId="27286"/>
    <cellStyle name="汇总 2 3 2 2 2 3" xfId="27285"/>
    <cellStyle name="汇总 2 3 2 2 3" xfId="12205"/>
    <cellStyle name="汇总 2 3 2 2 3 2" xfId="20045"/>
    <cellStyle name="汇总 2 3 2 2 3 2 2" xfId="27288"/>
    <cellStyle name="汇总 2 3 2 2 3 3" xfId="27287"/>
    <cellStyle name="汇总 2 3 2 2 4" xfId="19455"/>
    <cellStyle name="汇总 2 3 2 2 4 2" xfId="27289"/>
    <cellStyle name="汇总 2 3 2 2 5" xfId="27284"/>
    <cellStyle name="汇总 2 3 2 3" xfId="12206"/>
    <cellStyle name="汇总 2 3 2 3 2" xfId="20044"/>
    <cellStyle name="汇总 2 3 2 3 2 2" xfId="27291"/>
    <cellStyle name="汇总 2 3 2 3 3" xfId="27290"/>
    <cellStyle name="汇总 2 3 2 4" xfId="9439"/>
    <cellStyle name="汇总 2 3 2 4 2" xfId="27292"/>
    <cellStyle name="汇总 2 3 2 5" xfId="27283"/>
    <cellStyle name="汇总 2 3 3" xfId="9440"/>
    <cellStyle name="汇总 2 3 3 2" xfId="12207"/>
    <cellStyle name="汇总 2 3 3 2 2" xfId="12208"/>
    <cellStyle name="汇总 2 3 3 2 2 2" xfId="18721"/>
    <cellStyle name="汇总 2 3 3 2 2 2 2" xfId="27296"/>
    <cellStyle name="汇总 2 3 3 2 2 3" xfId="27295"/>
    <cellStyle name="汇总 2 3 3 2 3" xfId="12209"/>
    <cellStyle name="汇总 2 3 3 2 3 2" xfId="20042"/>
    <cellStyle name="汇总 2 3 3 2 3 2 2" xfId="27298"/>
    <cellStyle name="汇总 2 3 3 2 3 3" xfId="27297"/>
    <cellStyle name="汇总 2 3 3 2 4" xfId="20043"/>
    <cellStyle name="汇总 2 3 3 2 4 2" xfId="27299"/>
    <cellStyle name="汇总 2 3 3 2 5" xfId="27294"/>
    <cellStyle name="汇总 2 3 3 3" xfId="12210"/>
    <cellStyle name="汇总 2 3 3 3 2" xfId="18394"/>
    <cellStyle name="汇总 2 3 3 3 2 2" xfId="27301"/>
    <cellStyle name="汇总 2 3 3 3 3" xfId="27300"/>
    <cellStyle name="汇总 2 3 3 4" xfId="27302"/>
    <cellStyle name="汇总 2 3 3 5" xfId="27293"/>
    <cellStyle name="汇总 2 3 4" xfId="9441"/>
    <cellStyle name="汇总 2 3 4 2" xfId="12211"/>
    <cellStyle name="汇总 2 3 4 2 2" xfId="12212"/>
    <cellStyle name="汇总 2 3 4 2 2 2" xfId="17714"/>
    <cellStyle name="汇总 2 3 4 2 2 2 2" xfId="27306"/>
    <cellStyle name="汇总 2 3 4 2 2 3" xfId="27305"/>
    <cellStyle name="汇总 2 3 4 2 3" xfId="12213"/>
    <cellStyle name="汇总 2 3 4 2 3 2" xfId="20040"/>
    <cellStyle name="汇总 2 3 4 2 3 2 2" xfId="27308"/>
    <cellStyle name="汇总 2 3 4 2 3 3" xfId="27307"/>
    <cellStyle name="汇总 2 3 4 2 4" xfId="20041"/>
    <cellStyle name="汇总 2 3 4 2 4 2" xfId="27309"/>
    <cellStyle name="汇总 2 3 4 2 5" xfId="27304"/>
    <cellStyle name="汇总 2 3 4 3" xfId="12214"/>
    <cellStyle name="汇总 2 3 4 3 2" xfId="21313"/>
    <cellStyle name="汇总 2 3 4 3 2 2" xfId="27311"/>
    <cellStyle name="汇总 2 3 4 3 3" xfId="27310"/>
    <cellStyle name="汇总 2 3 4 4" xfId="27312"/>
    <cellStyle name="汇总 2 3 4 5" xfId="27303"/>
    <cellStyle name="汇总 2 3 5" xfId="9442"/>
    <cellStyle name="汇总 2 3 5 2" xfId="12215"/>
    <cellStyle name="汇总 2 3 5 2 2" xfId="12216"/>
    <cellStyle name="汇总 2 3 5 2 2 2" xfId="20038"/>
    <cellStyle name="汇总 2 3 5 2 2 2 2" xfId="27316"/>
    <cellStyle name="汇总 2 3 5 2 2 3" xfId="27315"/>
    <cellStyle name="汇总 2 3 5 2 3" xfId="12217"/>
    <cellStyle name="汇总 2 3 5 2 3 2" xfId="21087"/>
    <cellStyle name="汇总 2 3 5 2 3 2 2" xfId="27318"/>
    <cellStyle name="汇总 2 3 5 2 3 3" xfId="27317"/>
    <cellStyle name="汇总 2 3 5 2 4" xfId="20039"/>
    <cellStyle name="汇总 2 3 5 2 4 2" xfId="27319"/>
    <cellStyle name="汇总 2 3 5 2 5" xfId="27314"/>
    <cellStyle name="汇总 2 3 5 3" xfId="12218"/>
    <cellStyle name="汇总 2 3 5 3 2" xfId="18393"/>
    <cellStyle name="汇总 2 3 5 3 2 2" xfId="27321"/>
    <cellStyle name="汇总 2 3 5 3 3" xfId="27320"/>
    <cellStyle name="汇总 2 3 5 4" xfId="27322"/>
    <cellStyle name="汇总 2 3 5 5" xfId="27313"/>
    <cellStyle name="汇总 2 3 6" xfId="12219"/>
    <cellStyle name="汇总 2 3 6 2" xfId="12220"/>
    <cellStyle name="汇总 2 3 6 2 2" xfId="21312"/>
    <cellStyle name="汇总 2 3 6 2 2 2" xfId="27325"/>
    <cellStyle name="汇总 2 3 6 2 3" xfId="27324"/>
    <cellStyle name="汇总 2 3 6 3" xfId="12221"/>
    <cellStyle name="汇总 2 3 6 3 2" xfId="20037"/>
    <cellStyle name="汇总 2 3 6 3 2 2" xfId="27327"/>
    <cellStyle name="汇总 2 3 6 3 3" xfId="27326"/>
    <cellStyle name="汇总 2 3 6 4" xfId="18392"/>
    <cellStyle name="汇总 2 3 6 4 2" xfId="27328"/>
    <cellStyle name="汇总 2 3 6 5" xfId="27323"/>
    <cellStyle name="汇总 2 3 7" xfId="12222"/>
    <cellStyle name="汇总 2 3 7 2" xfId="21086"/>
    <cellStyle name="汇总 2 3 7 2 2" xfId="27330"/>
    <cellStyle name="汇总 2 3 7 3" xfId="27329"/>
    <cellStyle name="汇总 2 3 8" xfId="9438"/>
    <cellStyle name="汇总 2 3 8 2" xfId="27331"/>
    <cellStyle name="汇总 2 3 9" xfId="59985"/>
    <cellStyle name="汇总 2 4" xfId="5151"/>
    <cellStyle name="汇总 2 4 2" xfId="9444"/>
    <cellStyle name="汇总 2 4 2 2" xfId="12223"/>
    <cellStyle name="汇总 2 4 2 2 2" xfId="12224"/>
    <cellStyle name="汇总 2 4 2 2 2 2" xfId="20035"/>
    <cellStyle name="汇总 2 4 2 2 2 2 2" xfId="27336"/>
    <cellStyle name="汇总 2 4 2 2 2 3" xfId="27335"/>
    <cellStyle name="汇总 2 4 2 2 3" xfId="12225"/>
    <cellStyle name="汇总 2 4 2 2 3 2" xfId="20034"/>
    <cellStyle name="汇总 2 4 2 2 3 2 2" xfId="27338"/>
    <cellStyle name="汇总 2 4 2 2 3 3" xfId="27337"/>
    <cellStyle name="汇总 2 4 2 2 4" xfId="20036"/>
    <cellStyle name="汇总 2 4 2 2 4 2" xfId="27339"/>
    <cellStyle name="汇总 2 4 2 2 5" xfId="27334"/>
    <cellStyle name="汇总 2 4 2 3" xfId="12226"/>
    <cellStyle name="汇总 2 4 2 3 2" xfId="20033"/>
    <cellStyle name="汇总 2 4 2 3 2 2" xfId="27341"/>
    <cellStyle name="汇总 2 4 2 3 3" xfId="27340"/>
    <cellStyle name="汇总 2 4 2 4" xfId="27342"/>
    <cellStyle name="汇总 2 4 2 5" xfId="27333"/>
    <cellStyle name="汇总 2 4 3" xfId="9445"/>
    <cellStyle name="汇总 2 4 3 2" xfId="12227"/>
    <cellStyle name="汇总 2 4 3 2 2" xfId="12228"/>
    <cellStyle name="汇总 2 4 3 2 2 2" xfId="17712"/>
    <cellStyle name="汇总 2 4 3 2 2 2 2" xfId="27346"/>
    <cellStyle name="汇总 2 4 3 2 2 3" xfId="27345"/>
    <cellStyle name="汇总 2 4 3 2 3" xfId="12229"/>
    <cellStyle name="汇总 2 4 3 2 3 2" xfId="20032"/>
    <cellStyle name="汇总 2 4 3 2 3 2 2" xfId="27348"/>
    <cellStyle name="汇总 2 4 3 2 3 3" xfId="27347"/>
    <cellStyle name="汇总 2 4 3 2 4" xfId="17713"/>
    <cellStyle name="汇总 2 4 3 2 4 2" xfId="27349"/>
    <cellStyle name="汇总 2 4 3 2 5" xfId="27344"/>
    <cellStyle name="汇总 2 4 3 3" xfId="12230"/>
    <cellStyle name="汇总 2 4 3 3 2" xfId="20031"/>
    <cellStyle name="汇总 2 4 3 3 2 2" xfId="27351"/>
    <cellStyle name="汇总 2 4 3 3 3" xfId="27350"/>
    <cellStyle name="汇总 2 4 3 4" xfId="27352"/>
    <cellStyle name="汇总 2 4 3 5" xfId="27343"/>
    <cellStyle name="汇总 2 4 4" xfId="9446"/>
    <cellStyle name="汇总 2 4 4 2" xfId="12231"/>
    <cellStyle name="汇总 2 4 4 2 2" xfId="12232"/>
    <cellStyle name="汇总 2 4 4 2 2 2" xfId="21311"/>
    <cellStyle name="汇总 2 4 4 2 2 2 2" xfId="27356"/>
    <cellStyle name="汇总 2 4 4 2 2 3" xfId="27355"/>
    <cellStyle name="汇总 2 4 4 2 3" xfId="12233"/>
    <cellStyle name="汇总 2 4 4 2 3 2" xfId="18391"/>
    <cellStyle name="汇总 2 4 4 2 3 2 2" xfId="27358"/>
    <cellStyle name="汇总 2 4 4 2 3 3" xfId="27357"/>
    <cellStyle name="汇总 2 4 4 2 4" xfId="20030"/>
    <cellStyle name="汇总 2 4 4 2 4 2" xfId="27359"/>
    <cellStyle name="汇总 2 4 4 2 5" xfId="27354"/>
    <cellStyle name="汇总 2 4 4 3" xfId="12234"/>
    <cellStyle name="汇总 2 4 4 3 2" xfId="20029"/>
    <cellStyle name="汇总 2 4 4 3 2 2" xfId="27361"/>
    <cellStyle name="汇总 2 4 4 3 3" xfId="27360"/>
    <cellStyle name="汇总 2 4 4 4" xfId="27362"/>
    <cellStyle name="汇总 2 4 4 5" xfId="27353"/>
    <cellStyle name="汇总 2 4 5" xfId="9447"/>
    <cellStyle name="汇总 2 4 5 2" xfId="12235"/>
    <cellStyle name="汇总 2 4 5 2 2" xfId="12236"/>
    <cellStyle name="汇总 2 4 5 2 2 2" xfId="20027"/>
    <cellStyle name="汇总 2 4 5 2 2 2 2" xfId="27366"/>
    <cellStyle name="汇总 2 4 5 2 2 3" xfId="27365"/>
    <cellStyle name="汇总 2 4 5 2 3" xfId="12237"/>
    <cellStyle name="汇总 2 4 5 2 3 2" xfId="17711"/>
    <cellStyle name="汇总 2 4 5 2 3 2 2" xfId="27368"/>
    <cellStyle name="汇总 2 4 5 2 3 3" xfId="27367"/>
    <cellStyle name="汇总 2 4 5 2 4" xfId="20028"/>
    <cellStyle name="汇总 2 4 5 2 4 2" xfId="27369"/>
    <cellStyle name="汇总 2 4 5 2 5" xfId="27364"/>
    <cellStyle name="汇总 2 4 5 3" xfId="12238"/>
    <cellStyle name="汇总 2 4 5 3 2" xfId="21310"/>
    <cellStyle name="汇总 2 4 5 3 2 2" xfId="27371"/>
    <cellStyle name="汇总 2 4 5 3 3" xfId="27370"/>
    <cellStyle name="汇总 2 4 5 4" xfId="27372"/>
    <cellStyle name="汇总 2 4 5 5" xfId="27363"/>
    <cellStyle name="汇总 2 4 6" xfId="12239"/>
    <cellStyle name="汇总 2 4 6 2" xfId="12240"/>
    <cellStyle name="汇总 2 4 6 2 2" xfId="18390"/>
    <cellStyle name="汇总 2 4 6 2 2 2" xfId="27375"/>
    <cellStyle name="汇总 2 4 6 2 3" xfId="27374"/>
    <cellStyle name="汇总 2 4 6 3" xfId="12241"/>
    <cellStyle name="汇总 2 4 6 3 2" xfId="20025"/>
    <cellStyle name="汇总 2 4 6 3 2 2" xfId="27377"/>
    <cellStyle name="汇总 2 4 6 3 3" xfId="27376"/>
    <cellStyle name="汇总 2 4 6 4" xfId="20026"/>
    <cellStyle name="汇总 2 4 6 4 2" xfId="27378"/>
    <cellStyle name="汇总 2 4 6 5" xfId="27373"/>
    <cellStyle name="汇总 2 4 7" xfId="12242"/>
    <cellStyle name="汇总 2 4 7 2" xfId="17710"/>
    <cellStyle name="汇总 2 4 7 2 2" xfId="27380"/>
    <cellStyle name="汇总 2 4 7 3" xfId="27379"/>
    <cellStyle name="汇总 2 4 8" xfId="9443"/>
    <cellStyle name="汇总 2 4 8 2" xfId="27381"/>
    <cellStyle name="汇总 2 4 9" xfId="27332"/>
    <cellStyle name="汇总 2 5" xfId="9448"/>
    <cellStyle name="汇总 2 5 2" xfId="9449"/>
    <cellStyle name="汇总 2 5 2 2" xfId="12243"/>
    <cellStyle name="汇总 2 5 2 2 2" xfId="12244"/>
    <cellStyle name="汇总 2 5 2 2 2 2" xfId="18720"/>
    <cellStyle name="汇总 2 5 2 2 2 2 2" xfId="27386"/>
    <cellStyle name="汇总 2 5 2 2 2 3" xfId="27385"/>
    <cellStyle name="汇总 2 5 2 2 3" xfId="12245"/>
    <cellStyle name="汇总 2 5 2 2 3 2" xfId="20023"/>
    <cellStyle name="汇总 2 5 2 2 3 2 2" xfId="27388"/>
    <cellStyle name="汇总 2 5 2 2 3 3" xfId="27387"/>
    <cellStyle name="汇总 2 5 2 2 4" xfId="20024"/>
    <cellStyle name="汇总 2 5 2 2 4 2" xfId="27389"/>
    <cellStyle name="汇总 2 5 2 2 5" xfId="27384"/>
    <cellStyle name="汇总 2 5 2 3" xfId="12246"/>
    <cellStyle name="汇总 2 5 2 3 2" xfId="20022"/>
    <cellStyle name="汇总 2 5 2 3 2 2" xfId="27391"/>
    <cellStyle name="汇总 2 5 2 3 3" xfId="27390"/>
    <cellStyle name="汇总 2 5 2 4" xfId="27392"/>
    <cellStyle name="汇总 2 5 2 5" xfId="27383"/>
    <cellStyle name="汇总 2 5 3" xfId="9450"/>
    <cellStyle name="汇总 2 5 3 2" xfId="12247"/>
    <cellStyle name="汇总 2 5 3 2 2" xfId="12248"/>
    <cellStyle name="汇总 2 5 3 2 2 2" xfId="18389"/>
    <cellStyle name="汇总 2 5 3 2 2 2 2" xfId="27396"/>
    <cellStyle name="汇总 2 5 3 2 2 3" xfId="27395"/>
    <cellStyle name="汇总 2 5 3 2 3" xfId="12249"/>
    <cellStyle name="汇总 2 5 3 2 3 2" xfId="20021"/>
    <cellStyle name="汇总 2 5 3 2 3 2 2" xfId="27398"/>
    <cellStyle name="汇总 2 5 3 2 3 3" xfId="27397"/>
    <cellStyle name="汇总 2 5 3 2 4" xfId="21085"/>
    <cellStyle name="汇总 2 5 3 2 4 2" xfId="27399"/>
    <cellStyle name="汇总 2 5 3 2 5" xfId="27394"/>
    <cellStyle name="汇总 2 5 3 3" xfId="12250"/>
    <cellStyle name="汇总 2 5 3 3 2" xfId="21309"/>
    <cellStyle name="汇总 2 5 3 3 2 2" xfId="27401"/>
    <cellStyle name="汇总 2 5 3 3 3" xfId="27400"/>
    <cellStyle name="汇总 2 5 3 4" xfId="27402"/>
    <cellStyle name="汇总 2 5 3 5" xfId="27393"/>
    <cellStyle name="汇总 2 5 4" xfId="9451"/>
    <cellStyle name="汇总 2 5 4 2" xfId="12251"/>
    <cellStyle name="汇总 2 5 4 2 2" xfId="12252"/>
    <cellStyle name="汇总 2 5 4 2 2 2" xfId="17709"/>
    <cellStyle name="汇总 2 5 4 2 2 2 2" xfId="27406"/>
    <cellStyle name="汇总 2 5 4 2 2 3" xfId="27405"/>
    <cellStyle name="汇总 2 5 4 2 3" xfId="12253"/>
    <cellStyle name="汇总 2 5 4 2 3 2" xfId="17708"/>
    <cellStyle name="汇总 2 5 4 2 3 2 2" xfId="27408"/>
    <cellStyle name="汇总 2 5 4 2 3 3" xfId="27407"/>
    <cellStyle name="汇总 2 5 4 2 4" xfId="20020"/>
    <cellStyle name="汇总 2 5 4 2 4 2" xfId="27409"/>
    <cellStyle name="汇总 2 5 4 2 5" xfId="27404"/>
    <cellStyle name="汇总 2 5 4 3" xfId="12254"/>
    <cellStyle name="汇总 2 5 4 3 2" xfId="20019"/>
    <cellStyle name="汇总 2 5 4 3 2 2" xfId="27411"/>
    <cellStyle name="汇总 2 5 4 3 3" xfId="27410"/>
    <cellStyle name="汇总 2 5 4 4" xfId="27412"/>
    <cellStyle name="汇总 2 5 4 5" xfId="27403"/>
    <cellStyle name="汇总 2 5 5" xfId="9452"/>
    <cellStyle name="汇总 2 5 5 2" xfId="12255"/>
    <cellStyle name="汇总 2 5 5 2 2" xfId="12256"/>
    <cellStyle name="汇总 2 5 5 2 2 2" xfId="18388"/>
    <cellStyle name="汇总 2 5 5 2 2 2 2" xfId="27416"/>
    <cellStyle name="汇总 2 5 5 2 2 3" xfId="27415"/>
    <cellStyle name="汇总 2 5 5 2 3" xfId="12257"/>
    <cellStyle name="汇总 2 5 5 2 3 2" xfId="21308"/>
    <cellStyle name="汇总 2 5 5 2 3 2 2" xfId="27418"/>
    <cellStyle name="汇总 2 5 5 2 3 3" xfId="27417"/>
    <cellStyle name="汇总 2 5 5 2 4" xfId="20018"/>
    <cellStyle name="汇总 2 5 5 2 4 2" xfId="27419"/>
    <cellStyle name="汇总 2 5 5 2 5" xfId="27414"/>
    <cellStyle name="汇总 2 5 5 3" xfId="12258"/>
    <cellStyle name="汇总 2 5 5 3 2" xfId="21307"/>
    <cellStyle name="汇总 2 5 5 3 2 2" xfId="27421"/>
    <cellStyle name="汇总 2 5 5 3 3" xfId="27420"/>
    <cellStyle name="汇总 2 5 5 4" xfId="27422"/>
    <cellStyle name="汇总 2 5 5 5" xfId="27413"/>
    <cellStyle name="汇总 2 5 6" xfId="12259"/>
    <cellStyle name="汇总 2 5 6 2" xfId="12260"/>
    <cellStyle name="汇总 2 5 6 2 2" xfId="20017"/>
    <cellStyle name="汇总 2 5 6 2 2 2" xfId="27425"/>
    <cellStyle name="汇总 2 5 6 2 3" xfId="27424"/>
    <cellStyle name="汇总 2 5 6 3" xfId="12261"/>
    <cellStyle name="汇总 2 5 6 3 2" xfId="20016"/>
    <cellStyle name="汇总 2 5 6 3 2 2" xfId="27427"/>
    <cellStyle name="汇总 2 5 6 3 3" xfId="27426"/>
    <cellStyle name="汇总 2 5 6 4" xfId="18387"/>
    <cellStyle name="汇总 2 5 6 4 2" xfId="27428"/>
    <cellStyle name="汇总 2 5 6 5" xfId="27423"/>
    <cellStyle name="汇总 2 5 7" xfId="12262"/>
    <cellStyle name="汇总 2 5 7 2" xfId="17707"/>
    <cellStyle name="汇总 2 5 7 2 2" xfId="27430"/>
    <cellStyle name="汇总 2 5 7 3" xfId="27429"/>
    <cellStyle name="汇总 2 5 8" xfId="27431"/>
    <cellStyle name="汇总 2 5 9" xfId="27382"/>
    <cellStyle name="汇总 2 6" xfId="9453"/>
    <cellStyle name="汇总 2 6 2" xfId="9454"/>
    <cellStyle name="汇总 2 6 2 2" xfId="12263"/>
    <cellStyle name="汇总 2 6 2 2 2" xfId="12264"/>
    <cellStyle name="汇总 2 6 2 2 2 2" xfId="21306"/>
    <cellStyle name="汇总 2 6 2 2 2 2 2" xfId="27436"/>
    <cellStyle name="汇总 2 6 2 2 2 3" xfId="27435"/>
    <cellStyle name="汇总 2 6 2 2 3" xfId="12265"/>
    <cellStyle name="汇总 2 6 2 2 3 2" xfId="20014"/>
    <cellStyle name="汇总 2 6 2 2 3 2 2" xfId="27438"/>
    <cellStyle name="汇总 2 6 2 2 3 3" xfId="27437"/>
    <cellStyle name="汇总 2 6 2 2 4" xfId="20015"/>
    <cellStyle name="汇总 2 6 2 2 4 2" xfId="27439"/>
    <cellStyle name="汇总 2 6 2 2 5" xfId="27434"/>
    <cellStyle name="汇总 2 6 2 3" xfId="12266"/>
    <cellStyle name="汇总 2 6 2 3 2" xfId="20013"/>
    <cellStyle name="汇总 2 6 2 3 2 2" xfId="27441"/>
    <cellStyle name="汇总 2 6 2 3 3" xfId="27440"/>
    <cellStyle name="汇总 2 6 2 4" xfId="27442"/>
    <cellStyle name="汇总 2 6 2 5" xfId="27433"/>
    <cellStyle name="汇总 2 6 3" xfId="9455"/>
    <cellStyle name="汇总 2 6 3 2" xfId="12267"/>
    <cellStyle name="汇总 2 6 3 2 2" xfId="12268"/>
    <cellStyle name="汇总 2 6 3 2 2 2" xfId="20012"/>
    <cellStyle name="汇总 2 6 3 2 2 2 2" xfId="27446"/>
    <cellStyle name="汇总 2 6 3 2 2 3" xfId="27445"/>
    <cellStyle name="汇总 2 6 3 2 3" xfId="12269"/>
    <cellStyle name="汇总 2 6 3 2 3 2" xfId="20011"/>
    <cellStyle name="汇总 2 6 3 2 3 2 2" xfId="27448"/>
    <cellStyle name="汇总 2 6 3 2 3 3" xfId="27447"/>
    <cellStyle name="汇总 2 6 3 2 4" xfId="17706"/>
    <cellStyle name="汇总 2 6 3 2 4 2" xfId="27449"/>
    <cellStyle name="汇总 2 6 3 2 5" xfId="27444"/>
    <cellStyle name="汇总 2 6 3 3" xfId="12270"/>
    <cellStyle name="汇总 2 6 3 3 2" xfId="18719"/>
    <cellStyle name="汇总 2 6 3 3 2 2" xfId="27451"/>
    <cellStyle name="汇总 2 6 3 3 3" xfId="27450"/>
    <cellStyle name="汇总 2 6 3 4" xfId="27452"/>
    <cellStyle name="汇总 2 6 3 5" xfId="27443"/>
    <cellStyle name="汇总 2 6 4" xfId="9456"/>
    <cellStyle name="汇总 2 6 4 2" xfId="12271"/>
    <cellStyle name="汇总 2 6 4 2 2" xfId="12272"/>
    <cellStyle name="汇总 2 6 4 2 2 2" xfId="18639"/>
    <cellStyle name="汇总 2 6 4 2 2 2 2" xfId="27456"/>
    <cellStyle name="汇总 2 6 4 2 2 3" xfId="27455"/>
    <cellStyle name="汇总 2 6 4 2 3" xfId="12273"/>
    <cellStyle name="汇总 2 6 4 2 3 2" xfId="18386"/>
    <cellStyle name="汇总 2 6 4 2 3 2 2" xfId="27458"/>
    <cellStyle name="汇总 2 6 4 2 3 3" xfId="27457"/>
    <cellStyle name="汇总 2 6 4 2 4" xfId="20010"/>
    <cellStyle name="汇总 2 6 4 2 4 2" xfId="27459"/>
    <cellStyle name="汇总 2 6 4 2 5" xfId="27454"/>
    <cellStyle name="汇总 2 6 4 3" xfId="12274"/>
    <cellStyle name="汇总 2 6 4 3 2" xfId="20009"/>
    <cellStyle name="汇总 2 6 4 3 2 2" xfId="27461"/>
    <cellStyle name="汇总 2 6 4 3 3" xfId="27460"/>
    <cellStyle name="汇总 2 6 4 4" xfId="27462"/>
    <cellStyle name="汇总 2 6 4 5" xfId="27453"/>
    <cellStyle name="汇总 2 6 5" xfId="9457"/>
    <cellStyle name="汇总 2 6 5 2" xfId="12275"/>
    <cellStyle name="汇总 2 6 5 2 2" xfId="12276"/>
    <cellStyle name="汇总 2 6 5 2 2 2" xfId="18718"/>
    <cellStyle name="汇总 2 6 5 2 2 2 2" xfId="27466"/>
    <cellStyle name="汇总 2 6 5 2 2 3" xfId="27465"/>
    <cellStyle name="汇总 2 6 5 2 3" xfId="12277"/>
    <cellStyle name="汇总 2 6 5 2 3 2" xfId="17705"/>
    <cellStyle name="汇总 2 6 5 2 3 2 2" xfId="27468"/>
    <cellStyle name="汇总 2 6 5 2 3 3" xfId="27467"/>
    <cellStyle name="汇总 2 6 5 2 4" xfId="20008"/>
    <cellStyle name="汇总 2 6 5 2 4 2" xfId="27469"/>
    <cellStyle name="汇总 2 6 5 2 5" xfId="27464"/>
    <cellStyle name="汇总 2 6 5 3" xfId="12278"/>
    <cellStyle name="汇总 2 6 5 3 2" xfId="17704"/>
    <cellStyle name="汇总 2 6 5 3 2 2" xfId="27471"/>
    <cellStyle name="汇总 2 6 5 3 3" xfId="27470"/>
    <cellStyle name="汇总 2 6 5 4" xfId="27472"/>
    <cellStyle name="汇总 2 6 5 5" xfId="27463"/>
    <cellStyle name="汇总 2 6 6" xfId="12279"/>
    <cellStyle name="汇总 2 6 6 2" xfId="12280"/>
    <cellStyle name="汇总 2 6 6 2 2" xfId="20006"/>
    <cellStyle name="汇总 2 6 6 2 2 2" xfId="27475"/>
    <cellStyle name="汇总 2 6 6 2 3" xfId="27474"/>
    <cellStyle name="汇总 2 6 6 3" xfId="12281"/>
    <cellStyle name="汇总 2 6 6 3 2" xfId="18385"/>
    <cellStyle name="汇总 2 6 6 3 2 2" xfId="27477"/>
    <cellStyle name="汇总 2 6 6 3 3" xfId="27476"/>
    <cellStyle name="汇总 2 6 6 4" xfId="20007"/>
    <cellStyle name="汇总 2 6 6 4 2" xfId="27478"/>
    <cellStyle name="汇总 2 6 6 5" xfId="27473"/>
    <cellStyle name="汇总 2 6 7" xfId="12282"/>
    <cellStyle name="汇总 2 6 7 2" xfId="20005"/>
    <cellStyle name="汇总 2 6 7 2 2" xfId="27480"/>
    <cellStyle name="汇总 2 6 7 3" xfId="27479"/>
    <cellStyle name="汇总 2 6 8" xfId="27481"/>
    <cellStyle name="汇总 2 6 9" xfId="27432"/>
    <cellStyle name="汇总 2 7" xfId="9458"/>
    <cellStyle name="汇总 2 7 2" xfId="9459"/>
    <cellStyle name="汇总 2 7 2 2" xfId="12283"/>
    <cellStyle name="汇总 2 7 2 2 2" xfId="12284"/>
    <cellStyle name="汇总 2 7 2 2 2 2" xfId="20003"/>
    <cellStyle name="汇总 2 7 2 2 2 2 2" xfId="27486"/>
    <cellStyle name="汇总 2 7 2 2 2 3" xfId="27485"/>
    <cellStyle name="汇总 2 7 2 2 3" xfId="12285"/>
    <cellStyle name="汇总 2 7 2 2 3 2" xfId="20002"/>
    <cellStyle name="汇总 2 7 2 2 3 2 2" xfId="27488"/>
    <cellStyle name="汇总 2 7 2 2 3 3" xfId="27487"/>
    <cellStyle name="汇总 2 7 2 2 4" xfId="20004"/>
    <cellStyle name="汇总 2 7 2 2 4 2" xfId="27489"/>
    <cellStyle name="汇总 2 7 2 2 5" xfId="27484"/>
    <cellStyle name="汇总 2 7 2 3" xfId="12286"/>
    <cellStyle name="汇总 2 7 2 3 2" xfId="18384"/>
    <cellStyle name="汇总 2 7 2 3 2 2" xfId="27491"/>
    <cellStyle name="汇总 2 7 2 3 3" xfId="27490"/>
    <cellStyle name="汇总 2 7 2 4" xfId="27492"/>
    <cellStyle name="汇总 2 7 2 5" xfId="27483"/>
    <cellStyle name="汇总 2 7 3" xfId="9460"/>
    <cellStyle name="汇总 2 7 3 2" xfId="12287"/>
    <cellStyle name="汇总 2 7 3 2 2" xfId="12288"/>
    <cellStyle name="汇总 2 7 3 2 2 2" xfId="21305"/>
    <cellStyle name="汇总 2 7 3 2 2 2 2" xfId="27496"/>
    <cellStyle name="汇总 2 7 3 2 2 3" xfId="27495"/>
    <cellStyle name="汇总 2 7 3 2 3" xfId="12289"/>
    <cellStyle name="汇总 2 7 3 2 3 2" xfId="21304"/>
    <cellStyle name="汇总 2 7 3 2 3 2 2" xfId="27498"/>
    <cellStyle name="汇总 2 7 3 2 3 3" xfId="27497"/>
    <cellStyle name="汇总 2 7 3 2 4" xfId="17703"/>
    <cellStyle name="汇总 2 7 3 2 4 2" xfId="27499"/>
    <cellStyle name="汇总 2 7 3 2 5" xfId="27494"/>
    <cellStyle name="汇总 2 7 3 3" xfId="12290"/>
    <cellStyle name="汇总 2 7 3 3 2" xfId="20001"/>
    <cellStyle name="汇总 2 7 3 3 2 2" xfId="27501"/>
    <cellStyle name="汇总 2 7 3 3 3" xfId="27500"/>
    <cellStyle name="汇总 2 7 3 4" xfId="27502"/>
    <cellStyle name="汇总 2 7 3 5" xfId="27493"/>
    <cellStyle name="汇总 2 7 4" xfId="9461"/>
    <cellStyle name="汇总 2 7 4 2" xfId="12291"/>
    <cellStyle name="汇总 2 7 4 2 2" xfId="12292"/>
    <cellStyle name="汇总 2 7 4 2 2 2" xfId="17702"/>
    <cellStyle name="汇总 2 7 4 2 2 2 2" xfId="27506"/>
    <cellStyle name="汇总 2 7 4 2 2 3" xfId="27505"/>
    <cellStyle name="汇总 2 7 4 2 3" xfId="12293"/>
    <cellStyle name="汇总 2 7 4 2 3 2" xfId="19999"/>
    <cellStyle name="汇总 2 7 4 2 3 2 2" xfId="27508"/>
    <cellStyle name="汇总 2 7 4 2 3 3" xfId="27507"/>
    <cellStyle name="汇总 2 7 4 2 4" xfId="20000"/>
    <cellStyle name="汇总 2 7 4 2 4 2" xfId="27509"/>
    <cellStyle name="汇总 2 7 4 2 5" xfId="27504"/>
    <cellStyle name="汇总 2 7 4 3" xfId="12294"/>
    <cellStyle name="汇总 2 7 4 3 2" xfId="19998"/>
    <cellStyle name="汇总 2 7 4 3 2 2" xfId="27511"/>
    <cellStyle name="汇总 2 7 4 3 3" xfId="27510"/>
    <cellStyle name="汇总 2 7 4 4" xfId="27512"/>
    <cellStyle name="汇总 2 7 4 5" xfId="27503"/>
    <cellStyle name="汇总 2 7 5" xfId="9462"/>
    <cellStyle name="汇总 2 7 5 2" xfId="12295"/>
    <cellStyle name="汇总 2 7 5 2 2" xfId="12296"/>
    <cellStyle name="汇总 2 7 5 2 2 2" xfId="18383"/>
    <cellStyle name="汇总 2 7 5 2 2 2 2" xfId="27516"/>
    <cellStyle name="汇总 2 7 5 2 2 3" xfId="27515"/>
    <cellStyle name="汇总 2 7 5 2 3" xfId="12297"/>
    <cellStyle name="汇总 2 7 5 2 3 2" xfId="21084"/>
    <cellStyle name="汇总 2 7 5 2 3 2 2" xfId="27518"/>
    <cellStyle name="汇总 2 7 5 2 3 3" xfId="27517"/>
    <cellStyle name="汇总 2 7 5 2 4" xfId="21303"/>
    <cellStyle name="汇总 2 7 5 2 4 2" xfId="27519"/>
    <cellStyle name="汇总 2 7 5 2 5" xfId="27514"/>
    <cellStyle name="汇总 2 7 5 3" xfId="12298"/>
    <cellStyle name="汇总 2 7 5 3 2" xfId="18382"/>
    <cellStyle name="汇总 2 7 5 3 2 2" xfId="27521"/>
    <cellStyle name="汇总 2 7 5 3 3" xfId="27520"/>
    <cellStyle name="汇总 2 7 5 4" xfId="27522"/>
    <cellStyle name="汇总 2 7 5 5" xfId="27513"/>
    <cellStyle name="汇总 2 7 6" xfId="12299"/>
    <cellStyle name="汇总 2 7 6 2" xfId="12300"/>
    <cellStyle name="汇总 2 7 6 2 2" xfId="19996"/>
    <cellStyle name="汇总 2 7 6 2 2 2" xfId="27525"/>
    <cellStyle name="汇总 2 7 6 2 3" xfId="27524"/>
    <cellStyle name="汇总 2 7 6 3" xfId="12301"/>
    <cellStyle name="汇总 2 7 6 3 2" xfId="21302"/>
    <cellStyle name="汇总 2 7 6 3 2 2" xfId="27527"/>
    <cellStyle name="汇总 2 7 6 3 3" xfId="27526"/>
    <cellStyle name="汇总 2 7 6 4" xfId="19997"/>
    <cellStyle name="汇总 2 7 6 4 2" xfId="27528"/>
    <cellStyle name="汇总 2 7 6 5" xfId="27523"/>
    <cellStyle name="汇总 2 7 7" xfId="12302"/>
    <cellStyle name="汇总 2 7 7 2" xfId="17701"/>
    <cellStyle name="汇总 2 7 7 2 2" xfId="27530"/>
    <cellStyle name="汇总 2 7 7 3" xfId="27529"/>
    <cellStyle name="汇总 2 7 8" xfId="27531"/>
    <cellStyle name="汇总 2 7 9" xfId="27482"/>
    <cellStyle name="汇总 2 8" xfId="9463"/>
    <cellStyle name="汇总 2 8 2" xfId="9464"/>
    <cellStyle name="汇总 2 8 2 2" xfId="12303"/>
    <cellStyle name="汇总 2 8 2 2 2" xfId="12304"/>
    <cellStyle name="汇总 2 8 2 2 2 2" xfId="19995"/>
    <cellStyle name="汇总 2 8 2 2 2 2 2" xfId="27536"/>
    <cellStyle name="汇总 2 8 2 2 2 3" xfId="27535"/>
    <cellStyle name="汇总 2 8 2 2 3" xfId="12305"/>
    <cellStyle name="汇总 2 8 2 2 3 2" xfId="19994"/>
    <cellStyle name="汇总 2 8 2 2 3 2 2" xfId="27538"/>
    <cellStyle name="汇总 2 8 2 2 3 3" xfId="27537"/>
    <cellStyle name="汇总 2 8 2 2 4" xfId="17700"/>
    <cellStyle name="汇总 2 8 2 2 4 2" xfId="27539"/>
    <cellStyle name="汇总 2 8 2 2 5" xfId="27534"/>
    <cellStyle name="汇总 2 8 2 3" xfId="12306"/>
    <cellStyle name="汇总 2 8 2 3 2" xfId="19993"/>
    <cellStyle name="汇总 2 8 2 3 2 2" xfId="27541"/>
    <cellStyle name="汇总 2 8 2 3 3" xfId="27540"/>
    <cellStyle name="汇总 2 8 2 4" xfId="27542"/>
    <cellStyle name="汇总 2 8 2 5" xfId="27533"/>
    <cellStyle name="汇总 2 8 3" xfId="9465"/>
    <cellStyle name="汇总 2 8 3 2" xfId="12307"/>
    <cellStyle name="汇总 2 8 3 2 2" xfId="12308"/>
    <cellStyle name="汇总 2 8 3 2 2 2" xfId="21301"/>
    <cellStyle name="汇总 2 8 3 2 2 2 2" xfId="27546"/>
    <cellStyle name="汇总 2 8 3 2 2 3" xfId="27545"/>
    <cellStyle name="汇总 2 8 3 2 3" xfId="12309"/>
    <cellStyle name="汇总 2 8 3 2 3 2" xfId="19991"/>
    <cellStyle name="汇总 2 8 3 2 3 2 2" xfId="27548"/>
    <cellStyle name="汇总 2 8 3 2 3 3" xfId="27547"/>
    <cellStyle name="汇总 2 8 3 2 4" xfId="19992"/>
    <cellStyle name="汇总 2 8 3 2 4 2" xfId="27549"/>
    <cellStyle name="汇总 2 8 3 2 5" xfId="27544"/>
    <cellStyle name="汇总 2 8 3 3" xfId="12310"/>
    <cellStyle name="汇总 2 8 3 3 2" xfId="19990"/>
    <cellStyle name="汇总 2 8 3 3 2 2" xfId="27551"/>
    <cellStyle name="汇总 2 8 3 3 3" xfId="27550"/>
    <cellStyle name="汇总 2 8 3 4" xfId="27552"/>
    <cellStyle name="汇总 2 8 3 5" xfId="27543"/>
    <cellStyle name="汇总 2 8 4" xfId="9466"/>
    <cellStyle name="汇总 2 8 4 2" xfId="12311"/>
    <cellStyle name="汇总 2 8 4 2 2" xfId="12312"/>
    <cellStyle name="汇总 2 8 4 2 2 2" xfId="17699"/>
    <cellStyle name="汇总 2 8 4 2 2 2 2" xfId="27556"/>
    <cellStyle name="汇总 2 8 4 2 2 3" xfId="27555"/>
    <cellStyle name="汇总 2 8 4 2 3" xfId="12313"/>
    <cellStyle name="汇总 2 8 4 2 3 2" xfId="19989"/>
    <cellStyle name="汇总 2 8 4 2 3 2 2" xfId="27558"/>
    <cellStyle name="汇总 2 8 4 2 3 3" xfId="27557"/>
    <cellStyle name="汇总 2 8 4 2 4" xfId="18381"/>
    <cellStyle name="汇总 2 8 4 2 4 2" xfId="27559"/>
    <cellStyle name="汇总 2 8 4 2 5" xfId="27554"/>
    <cellStyle name="汇总 2 8 4 3" xfId="12314"/>
    <cellStyle name="汇总 2 8 4 3 2" xfId="19988"/>
    <cellStyle name="汇总 2 8 4 3 2 2" xfId="27561"/>
    <cellStyle name="汇总 2 8 4 3 3" xfId="27560"/>
    <cellStyle name="汇总 2 8 4 4" xfId="27562"/>
    <cellStyle name="汇总 2 8 4 5" xfId="27553"/>
    <cellStyle name="汇总 2 8 5" xfId="9467"/>
    <cellStyle name="汇总 2 8 5 2" xfId="12315"/>
    <cellStyle name="汇总 2 8 5 2 2" xfId="12316"/>
    <cellStyle name="汇总 2 8 5 2 2 2" xfId="19986"/>
    <cellStyle name="汇总 2 8 5 2 2 2 2" xfId="27566"/>
    <cellStyle name="汇总 2 8 5 2 2 3" xfId="27565"/>
    <cellStyle name="汇总 2 8 5 2 3" xfId="12317"/>
    <cellStyle name="汇总 2 8 5 2 3 2" xfId="17698"/>
    <cellStyle name="汇总 2 8 5 2 3 2 2" xfId="27568"/>
    <cellStyle name="汇总 2 8 5 2 3 3" xfId="27567"/>
    <cellStyle name="汇总 2 8 5 2 4" xfId="19987"/>
    <cellStyle name="汇总 2 8 5 2 4 2" xfId="27569"/>
    <cellStyle name="汇总 2 8 5 2 5" xfId="27564"/>
    <cellStyle name="汇总 2 8 5 3" xfId="12318"/>
    <cellStyle name="汇总 2 8 5 3 2" xfId="18380"/>
    <cellStyle name="汇总 2 8 5 3 2 2" xfId="27571"/>
    <cellStyle name="汇总 2 8 5 3 3" xfId="27570"/>
    <cellStyle name="汇总 2 8 5 4" xfId="27572"/>
    <cellStyle name="汇总 2 8 5 5" xfId="27563"/>
    <cellStyle name="汇总 2 8 6" xfId="12319"/>
    <cellStyle name="汇总 2 8 6 2" xfId="12320"/>
    <cellStyle name="汇总 2 8 6 2 2" xfId="21299"/>
    <cellStyle name="汇总 2 8 6 2 2 2" xfId="27575"/>
    <cellStyle name="汇总 2 8 6 2 3" xfId="27574"/>
    <cellStyle name="汇总 2 8 6 3" xfId="12321"/>
    <cellStyle name="汇总 2 8 6 3 2" xfId="19985"/>
    <cellStyle name="汇总 2 8 6 3 2 2" xfId="27577"/>
    <cellStyle name="汇总 2 8 6 3 3" xfId="27576"/>
    <cellStyle name="汇总 2 8 6 4" xfId="21300"/>
    <cellStyle name="汇总 2 8 6 4 2" xfId="27578"/>
    <cellStyle name="汇总 2 8 6 5" xfId="27573"/>
    <cellStyle name="汇总 2 8 7" xfId="12322"/>
    <cellStyle name="汇总 2 8 7 2" xfId="17697"/>
    <cellStyle name="汇总 2 8 7 2 2" xfId="27580"/>
    <cellStyle name="汇总 2 8 7 3" xfId="27579"/>
    <cellStyle name="汇总 2 8 8" xfId="27581"/>
    <cellStyle name="汇总 2 8 9" xfId="27532"/>
    <cellStyle name="汇总 2 9" xfId="9468"/>
    <cellStyle name="汇总 2 9 2" xfId="9469"/>
    <cellStyle name="汇总 2 9 2 2" xfId="12323"/>
    <cellStyle name="汇总 2 9 2 2 2" xfId="12324"/>
    <cellStyle name="汇总 2 9 2 2 2 2" xfId="19983"/>
    <cellStyle name="汇总 2 9 2 2 2 2 2" xfId="27586"/>
    <cellStyle name="汇总 2 9 2 2 2 3" xfId="27585"/>
    <cellStyle name="汇总 2 9 2 2 3" xfId="12325"/>
    <cellStyle name="汇总 2 9 2 2 3 2" xfId="19982"/>
    <cellStyle name="汇总 2 9 2 2 3 2 2" xfId="27588"/>
    <cellStyle name="汇总 2 9 2 2 3 3" xfId="27587"/>
    <cellStyle name="汇总 2 9 2 2 4" xfId="19984"/>
    <cellStyle name="汇总 2 9 2 2 4 2" xfId="27589"/>
    <cellStyle name="汇总 2 9 2 2 5" xfId="27584"/>
    <cellStyle name="汇总 2 9 2 3" xfId="12326"/>
    <cellStyle name="汇总 2 9 2 3 2" xfId="21298"/>
    <cellStyle name="汇总 2 9 2 3 2 2" xfId="27591"/>
    <cellStyle name="汇总 2 9 2 3 3" xfId="27590"/>
    <cellStyle name="汇总 2 9 2 4" xfId="27592"/>
    <cellStyle name="汇总 2 9 2 5" xfId="27583"/>
    <cellStyle name="汇总 2 9 3" xfId="9470"/>
    <cellStyle name="汇总 2 9 3 2" xfId="12327"/>
    <cellStyle name="汇总 2 9 3 2 2" xfId="12328"/>
    <cellStyle name="汇总 2 9 3 2 2 2" xfId="17695"/>
    <cellStyle name="汇总 2 9 3 2 2 2 2" xfId="27596"/>
    <cellStyle name="汇总 2 9 3 2 2 3" xfId="27595"/>
    <cellStyle name="汇总 2 9 3 2 3" xfId="12329"/>
    <cellStyle name="汇总 2 9 3 2 3 2" xfId="18379"/>
    <cellStyle name="汇总 2 9 3 2 3 2 2" xfId="27598"/>
    <cellStyle name="汇总 2 9 3 2 3 3" xfId="27597"/>
    <cellStyle name="汇总 2 9 3 2 4" xfId="17696"/>
    <cellStyle name="汇总 2 9 3 2 4 2" xfId="27599"/>
    <cellStyle name="汇总 2 9 3 2 5" xfId="27594"/>
    <cellStyle name="汇总 2 9 3 3" xfId="12330"/>
    <cellStyle name="汇总 2 9 3 3 2" xfId="19981"/>
    <cellStyle name="汇总 2 9 3 3 2 2" xfId="27601"/>
    <cellStyle name="汇总 2 9 3 3 3" xfId="27600"/>
    <cellStyle name="汇总 2 9 3 4" xfId="27602"/>
    <cellStyle name="汇总 2 9 3 5" xfId="27593"/>
    <cellStyle name="汇总 2 9 4" xfId="9471"/>
    <cellStyle name="汇总 2 9 4 2" xfId="12331"/>
    <cellStyle name="汇总 2 9 4 2 2" xfId="12332"/>
    <cellStyle name="汇总 2 9 4 2 2 2" xfId="19979"/>
    <cellStyle name="汇总 2 9 4 2 2 2 2" xfId="27606"/>
    <cellStyle name="汇总 2 9 4 2 2 3" xfId="27605"/>
    <cellStyle name="汇总 2 9 4 2 3" xfId="12333"/>
    <cellStyle name="汇总 2 9 4 2 3 2" xfId="18717"/>
    <cellStyle name="汇总 2 9 4 2 3 2 2" xfId="27608"/>
    <cellStyle name="汇总 2 9 4 2 3 3" xfId="27607"/>
    <cellStyle name="汇总 2 9 4 2 4" xfId="19980"/>
    <cellStyle name="汇总 2 9 4 2 4 2" xfId="27609"/>
    <cellStyle name="汇总 2 9 4 2 5" xfId="27604"/>
    <cellStyle name="汇总 2 9 4 3" xfId="12334"/>
    <cellStyle name="汇总 2 9 4 3 2" xfId="19978"/>
    <cellStyle name="汇总 2 9 4 3 2 2" xfId="27611"/>
    <cellStyle name="汇总 2 9 4 3 3" xfId="27610"/>
    <cellStyle name="汇总 2 9 4 4" xfId="27612"/>
    <cellStyle name="汇总 2 9 4 5" xfId="27603"/>
    <cellStyle name="汇总 2 9 5" xfId="9472"/>
    <cellStyle name="汇总 2 9 5 2" xfId="12335"/>
    <cellStyle name="汇总 2 9 5 2 2" xfId="12336"/>
    <cellStyle name="汇总 2 9 5 2 2 2" xfId="18377"/>
    <cellStyle name="汇总 2 9 5 2 2 2 2" xfId="27616"/>
    <cellStyle name="汇总 2 9 5 2 2 3" xfId="27615"/>
    <cellStyle name="汇总 2 9 5 2 3" xfId="12337"/>
    <cellStyle name="汇总 2 9 5 2 3 2" xfId="17694"/>
    <cellStyle name="汇总 2 9 5 2 3 2 2" xfId="27618"/>
    <cellStyle name="汇总 2 9 5 2 3 3" xfId="27617"/>
    <cellStyle name="汇总 2 9 5 2 4" xfId="18378"/>
    <cellStyle name="汇总 2 9 5 2 4 2" xfId="27619"/>
    <cellStyle name="汇总 2 9 5 2 5" xfId="27614"/>
    <cellStyle name="汇总 2 9 5 3" xfId="12338"/>
    <cellStyle name="汇总 2 9 5 3 2" xfId="19977"/>
    <cellStyle name="汇总 2 9 5 3 2 2" xfId="27621"/>
    <cellStyle name="汇总 2 9 5 3 3" xfId="27620"/>
    <cellStyle name="汇总 2 9 5 4" xfId="27622"/>
    <cellStyle name="汇总 2 9 5 5" xfId="27613"/>
    <cellStyle name="汇总 2 9 6" xfId="12339"/>
    <cellStyle name="汇总 2 9 6 2" xfId="12340"/>
    <cellStyle name="汇总 2 9 6 2 2" xfId="19976"/>
    <cellStyle name="汇总 2 9 6 2 2 2" xfId="27625"/>
    <cellStyle name="汇总 2 9 6 2 3" xfId="27624"/>
    <cellStyle name="汇总 2 9 6 3" xfId="12341"/>
    <cellStyle name="汇总 2 9 6 3 2" xfId="19975"/>
    <cellStyle name="汇总 2 9 6 3 2 2" xfId="27627"/>
    <cellStyle name="汇总 2 9 6 3 3" xfId="27626"/>
    <cellStyle name="汇总 2 9 6 4" xfId="21297"/>
    <cellStyle name="汇总 2 9 6 4 2" xfId="27628"/>
    <cellStyle name="汇总 2 9 6 5" xfId="27623"/>
    <cellStyle name="汇总 2 9 7" xfId="12342"/>
    <cellStyle name="汇总 2 9 7 2" xfId="21083"/>
    <cellStyle name="汇总 2 9 7 2 2" xfId="27630"/>
    <cellStyle name="汇总 2 9 7 3" xfId="27629"/>
    <cellStyle name="汇总 2 9 8" xfId="27631"/>
    <cellStyle name="汇总 2 9 9" xfId="27582"/>
    <cellStyle name="汇总 3" xfId="5152"/>
    <cellStyle name="汇总 3 10" xfId="27632"/>
    <cellStyle name="汇总 3 11" xfId="59986"/>
    <cellStyle name="汇总 3 2" xfId="5153"/>
    <cellStyle name="汇总 3 2 2" xfId="9475"/>
    <cellStyle name="汇总 3 2 2 2" xfId="12343"/>
    <cellStyle name="汇总 3 2 2 2 2" xfId="12344"/>
    <cellStyle name="汇总 3 2 2 2 2 2" xfId="19973"/>
    <cellStyle name="汇总 3 2 2 2 2 2 2" xfId="27637"/>
    <cellStyle name="汇总 3 2 2 2 2 3" xfId="27636"/>
    <cellStyle name="汇总 3 2 2 2 3" xfId="19974"/>
    <cellStyle name="汇总 3 2 2 2 3 2" xfId="27638"/>
    <cellStyle name="汇总 3 2 2 2 4" xfId="27635"/>
    <cellStyle name="汇总 3 2 2 3" xfId="12345"/>
    <cellStyle name="汇总 3 2 2 3 2" xfId="19972"/>
    <cellStyle name="汇总 3 2 2 3 2 2" xfId="27640"/>
    <cellStyle name="汇总 3 2 2 3 3" xfId="27639"/>
    <cellStyle name="汇总 3 2 2 4" xfId="27641"/>
    <cellStyle name="汇总 3 2 2 5" xfId="27634"/>
    <cellStyle name="汇总 3 2 3" xfId="12346"/>
    <cellStyle name="汇总 3 2 3 2" xfId="19971"/>
    <cellStyle name="汇总 3 2 3 2 2" xfId="27643"/>
    <cellStyle name="汇总 3 2 3 3" xfId="27642"/>
    <cellStyle name="汇总 3 2 4" xfId="9474"/>
    <cellStyle name="汇总 3 2 4 2" xfId="27645"/>
    <cellStyle name="汇总 3 2 4 3" xfId="27644"/>
    <cellStyle name="汇总 3 2 5" xfId="27646"/>
    <cellStyle name="汇总 3 2 6" xfId="27633"/>
    <cellStyle name="汇总 3 3" xfId="9476"/>
    <cellStyle name="汇总 3 3 2" xfId="12347"/>
    <cellStyle name="汇总 3 3 2 2" xfId="12348"/>
    <cellStyle name="汇总 3 3 2 2 2" xfId="19970"/>
    <cellStyle name="汇总 3 3 2 2 2 2" xfId="27650"/>
    <cellStyle name="汇总 3 3 2 2 3" xfId="27649"/>
    <cellStyle name="汇总 3 3 2 3" xfId="12349"/>
    <cellStyle name="汇总 3 3 2 3 2" xfId="18376"/>
    <cellStyle name="汇总 3 3 2 3 2 2" xfId="27652"/>
    <cellStyle name="汇总 3 3 2 3 3" xfId="27651"/>
    <cellStyle name="汇总 3 3 2 4" xfId="21082"/>
    <cellStyle name="汇总 3 3 2 4 2" xfId="27653"/>
    <cellStyle name="汇总 3 3 2 5" xfId="27648"/>
    <cellStyle name="汇总 3 3 3" xfId="12350"/>
    <cellStyle name="汇总 3 3 3 2" xfId="21296"/>
    <cellStyle name="汇总 3 3 3 2 2" xfId="27655"/>
    <cellStyle name="汇总 3 3 3 3" xfId="27654"/>
    <cellStyle name="汇总 3 3 4" xfId="27656"/>
    <cellStyle name="汇总 3 3 5" xfId="27647"/>
    <cellStyle name="汇总 3 4" xfId="9477"/>
    <cellStyle name="汇总 3 4 2" xfId="12351"/>
    <cellStyle name="汇总 3 4 2 2" xfId="12352"/>
    <cellStyle name="汇总 3 4 2 2 2" xfId="17693"/>
    <cellStyle name="汇总 3 4 2 2 2 2" xfId="27660"/>
    <cellStyle name="汇总 3 4 2 2 3" xfId="27659"/>
    <cellStyle name="汇总 3 4 2 3" xfId="12353"/>
    <cellStyle name="汇总 3 4 2 3 2" xfId="17692"/>
    <cellStyle name="汇总 3 4 2 3 2 2" xfId="27662"/>
    <cellStyle name="汇总 3 4 2 3 3" xfId="27661"/>
    <cellStyle name="汇总 3 4 2 4" xfId="21295"/>
    <cellStyle name="汇总 3 4 2 4 2" xfId="27663"/>
    <cellStyle name="汇总 3 4 2 5" xfId="27658"/>
    <cellStyle name="汇总 3 4 3" xfId="12354"/>
    <cellStyle name="汇总 3 4 3 2" xfId="19969"/>
    <cellStyle name="汇总 3 4 3 2 2" xfId="27665"/>
    <cellStyle name="汇总 3 4 3 3" xfId="27664"/>
    <cellStyle name="汇总 3 4 4" xfId="27666"/>
    <cellStyle name="汇总 3 4 5" xfId="27657"/>
    <cellStyle name="汇总 3 5" xfId="9478"/>
    <cellStyle name="汇总 3 5 2" xfId="12355"/>
    <cellStyle name="汇总 3 5 2 2" xfId="12356"/>
    <cellStyle name="汇总 3 5 2 2 2" xfId="19967"/>
    <cellStyle name="汇总 3 5 2 2 2 2" xfId="27670"/>
    <cellStyle name="汇总 3 5 2 2 3" xfId="27669"/>
    <cellStyle name="汇总 3 5 2 3" xfId="12357"/>
    <cellStyle name="汇总 3 5 2 3 2" xfId="19966"/>
    <cellStyle name="汇总 3 5 2 3 2 2" xfId="27672"/>
    <cellStyle name="汇总 3 5 2 3 3" xfId="27671"/>
    <cellStyle name="汇总 3 5 2 4" xfId="19968"/>
    <cellStyle name="汇总 3 5 2 4 2" xfId="27673"/>
    <cellStyle name="汇总 3 5 2 5" xfId="27668"/>
    <cellStyle name="汇总 3 5 3" xfId="12358"/>
    <cellStyle name="汇总 3 5 3 2" xfId="21294"/>
    <cellStyle name="汇总 3 5 3 2 2" xfId="27675"/>
    <cellStyle name="汇总 3 5 3 3" xfId="27674"/>
    <cellStyle name="汇总 3 5 4" xfId="27676"/>
    <cellStyle name="汇总 3 5 5" xfId="27667"/>
    <cellStyle name="汇总 3 6" xfId="9479"/>
    <cellStyle name="汇总 3 6 2" xfId="12359"/>
    <cellStyle name="汇总 3 6 2 2" xfId="12360"/>
    <cellStyle name="汇总 3 6 2 2 2" xfId="19965"/>
    <cellStyle name="汇总 3 6 2 2 2 2" xfId="27680"/>
    <cellStyle name="汇总 3 6 2 2 3" xfId="27679"/>
    <cellStyle name="汇总 3 6 2 3" xfId="18375"/>
    <cellStyle name="汇总 3 6 2 3 2" xfId="27681"/>
    <cellStyle name="汇总 3 6 2 4" xfId="27678"/>
    <cellStyle name="汇总 3 6 3" xfId="12361"/>
    <cellStyle name="汇总 3 6 3 2" xfId="19964"/>
    <cellStyle name="汇总 3 6 3 2 2" xfId="27683"/>
    <cellStyle name="汇总 3 6 3 3" xfId="27682"/>
    <cellStyle name="汇总 3 6 4" xfId="27684"/>
    <cellStyle name="汇总 3 6 5" xfId="27677"/>
    <cellStyle name="汇总 3 7" xfId="12362"/>
    <cellStyle name="汇总 3 7 2" xfId="17691"/>
    <cellStyle name="汇总 3 7 2 2" xfId="27686"/>
    <cellStyle name="汇总 3 7 3" xfId="27685"/>
    <cellStyle name="汇总 3 8" xfId="9473"/>
    <cellStyle name="汇总 3 8 2" xfId="27688"/>
    <cellStyle name="汇总 3 8 3" xfId="27687"/>
    <cellStyle name="汇总 3 9" xfId="27689"/>
    <cellStyle name="汇总 3 9 2" xfId="59987"/>
    <cellStyle name="汇总 3 9 3" xfId="59988"/>
    <cellStyle name="汇总 4" xfId="9480"/>
    <cellStyle name="汇总 4 10" xfId="27690"/>
    <cellStyle name="汇总 4 2" xfId="9481"/>
    <cellStyle name="汇总 4 2 2" xfId="12363"/>
    <cellStyle name="汇总 4 2 2 2" xfId="12364"/>
    <cellStyle name="汇总 4 2 2 2 2" xfId="18716"/>
    <cellStyle name="汇总 4 2 2 2 2 2" xfId="27694"/>
    <cellStyle name="汇总 4 2 2 2 3" xfId="27693"/>
    <cellStyle name="汇总 4 2 2 3" xfId="12365"/>
    <cellStyle name="汇总 4 2 2 3 2" xfId="19962"/>
    <cellStyle name="汇总 4 2 2 3 2 2" xfId="27696"/>
    <cellStyle name="汇总 4 2 2 3 3" xfId="27695"/>
    <cellStyle name="汇总 4 2 2 4" xfId="19963"/>
    <cellStyle name="汇总 4 2 2 4 2" xfId="27697"/>
    <cellStyle name="汇总 4 2 2 5" xfId="27692"/>
    <cellStyle name="汇总 4 2 3" xfId="12366"/>
    <cellStyle name="汇总 4 2 3 2" xfId="18374"/>
    <cellStyle name="汇总 4 2 3 2 2" xfId="27699"/>
    <cellStyle name="汇总 4 2 3 3" xfId="27698"/>
    <cellStyle name="汇总 4 2 4" xfId="27700"/>
    <cellStyle name="汇总 4 2 5" xfId="27691"/>
    <cellStyle name="汇总 4 3" xfId="9482"/>
    <cellStyle name="汇总 4 3 2" xfId="12367"/>
    <cellStyle name="汇总 4 3 2 2" xfId="12368"/>
    <cellStyle name="汇总 4 3 2 2 2" xfId="19961"/>
    <cellStyle name="汇总 4 3 2 2 2 2" xfId="27704"/>
    <cellStyle name="汇总 4 3 2 2 3" xfId="27703"/>
    <cellStyle name="汇总 4 3 2 3" xfId="12369"/>
    <cellStyle name="汇总 4 3 2 3 2" xfId="19960"/>
    <cellStyle name="汇总 4 3 2 3 2 2" xfId="27706"/>
    <cellStyle name="汇总 4 3 2 3 3" xfId="27705"/>
    <cellStyle name="汇总 4 3 2 4" xfId="17690"/>
    <cellStyle name="汇总 4 3 2 4 2" xfId="27707"/>
    <cellStyle name="汇总 4 3 2 5" xfId="27702"/>
    <cellStyle name="汇总 4 3 3" xfId="12370"/>
    <cellStyle name="汇总 4 3 3 2" xfId="21293"/>
    <cellStyle name="汇总 4 3 3 2 2" xfId="27709"/>
    <cellStyle name="汇总 4 3 3 3" xfId="27708"/>
    <cellStyle name="汇总 4 3 4" xfId="27710"/>
    <cellStyle name="汇总 4 3 5" xfId="27701"/>
    <cellStyle name="汇总 4 4" xfId="9483"/>
    <cellStyle name="汇总 4 4 2" xfId="12371"/>
    <cellStyle name="汇总 4 4 2 2" xfId="12372"/>
    <cellStyle name="汇总 4 4 2 2 2" xfId="21081"/>
    <cellStyle name="汇总 4 4 2 2 2 2" xfId="27714"/>
    <cellStyle name="汇总 4 4 2 2 3" xfId="27713"/>
    <cellStyle name="汇总 4 4 2 3" xfId="12373"/>
    <cellStyle name="汇总 4 4 2 3 2" xfId="19958"/>
    <cellStyle name="汇总 4 4 2 3 2 2" xfId="27716"/>
    <cellStyle name="汇总 4 4 2 3 3" xfId="27715"/>
    <cellStyle name="汇总 4 4 2 4" xfId="19959"/>
    <cellStyle name="汇总 4 4 2 4 2" xfId="27717"/>
    <cellStyle name="汇总 4 4 2 5" xfId="27712"/>
    <cellStyle name="汇总 4 4 3" xfId="12374"/>
    <cellStyle name="汇总 4 4 3 2" xfId="18373"/>
    <cellStyle name="汇总 4 4 3 2 2" xfId="27719"/>
    <cellStyle name="汇总 4 4 3 3" xfId="27718"/>
    <cellStyle name="汇总 4 4 4" xfId="27720"/>
    <cellStyle name="汇总 4 4 5" xfId="27711"/>
    <cellStyle name="汇总 4 5" xfId="9484"/>
    <cellStyle name="汇总 4 5 2" xfId="12375"/>
    <cellStyle name="汇总 4 5 2 2" xfId="12376"/>
    <cellStyle name="汇总 4 5 2 2 2" xfId="19957"/>
    <cellStyle name="汇总 4 5 2 2 2 2" xfId="27724"/>
    <cellStyle name="汇总 4 5 2 2 3" xfId="27723"/>
    <cellStyle name="汇总 4 5 2 3" xfId="12377"/>
    <cellStyle name="汇总 4 5 2 3 2" xfId="17689"/>
    <cellStyle name="汇总 4 5 2 3 2 2" xfId="27726"/>
    <cellStyle name="汇总 4 5 2 3 3" xfId="27725"/>
    <cellStyle name="汇总 4 5 2 4" xfId="18372"/>
    <cellStyle name="汇总 4 5 2 4 2" xfId="27727"/>
    <cellStyle name="汇总 4 5 2 5" xfId="27722"/>
    <cellStyle name="汇总 4 5 3" xfId="12378"/>
    <cellStyle name="汇总 4 5 3 2" xfId="17688"/>
    <cellStyle name="汇总 4 5 3 2 2" xfId="27729"/>
    <cellStyle name="汇总 4 5 3 3" xfId="27728"/>
    <cellStyle name="汇总 4 5 4" xfId="27730"/>
    <cellStyle name="汇总 4 5 5" xfId="27721"/>
    <cellStyle name="汇总 4 6" xfId="9485"/>
    <cellStyle name="汇总 4 6 2" xfId="12379"/>
    <cellStyle name="汇总 4 6 2 2" xfId="12380"/>
    <cellStyle name="汇总 4 6 2 2 2" xfId="19955"/>
    <cellStyle name="汇总 4 6 2 2 2 2" xfId="27734"/>
    <cellStyle name="汇总 4 6 2 2 3" xfId="27733"/>
    <cellStyle name="汇总 4 6 2 3" xfId="19956"/>
    <cellStyle name="汇总 4 6 2 3 2" xfId="27735"/>
    <cellStyle name="汇总 4 6 2 4" xfId="27732"/>
    <cellStyle name="汇总 4 6 3" xfId="12381"/>
    <cellStyle name="汇总 4 6 3 2" xfId="19954"/>
    <cellStyle name="汇总 4 6 3 2 2" xfId="27737"/>
    <cellStyle name="汇总 4 6 3 3" xfId="27736"/>
    <cellStyle name="汇总 4 6 4" xfId="27738"/>
    <cellStyle name="汇总 4 6 5" xfId="27731"/>
    <cellStyle name="汇总 4 7" xfId="12382"/>
    <cellStyle name="汇总 4 7 2" xfId="21292"/>
    <cellStyle name="汇总 4 7 2 2" xfId="27740"/>
    <cellStyle name="汇总 4 7 3" xfId="27739"/>
    <cellStyle name="汇总 4 8" xfId="27741"/>
    <cellStyle name="汇总 4 8 2" xfId="27742"/>
    <cellStyle name="汇总 4 9" xfId="27743"/>
    <cellStyle name="汇总 5" xfId="9486"/>
    <cellStyle name="汇总 5 2" xfId="9487"/>
    <cellStyle name="汇总 5 2 2" xfId="12383"/>
    <cellStyle name="汇总 5 2 2 2" xfId="12384"/>
    <cellStyle name="汇总 5 2 2 2 2" xfId="19953"/>
    <cellStyle name="汇总 5 2 2 2 2 2" xfId="27748"/>
    <cellStyle name="汇总 5 2 2 2 3" xfId="27747"/>
    <cellStyle name="汇总 5 2 2 3" xfId="12385"/>
    <cellStyle name="汇总 5 2 2 3 2" xfId="19952"/>
    <cellStyle name="汇总 5 2 2 3 2 2" xfId="27750"/>
    <cellStyle name="汇总 5 2 2 3 3" xfId="27749"/>
    <cellStyle name="汇总 5 2 2 4" xfId="21291"/>
    <cellStyle name="汇总 5 2 2 4 2" xfId="27751"/>
    <cellStyle name="汇总 5 2 2 5" xfId="27746"/>
    <cellStyle name="汇总 5 2 3" xfId="12386"/>
    <cellStyle name="汇总 5 2 3 2" xfId="19951"/>
    <cellStyle name="汇总 5 2 3 2 2" xfId="27753"/>
    <cellStyle name="汇总 5 2 3 3" xfId="27752"/>
    <cellStyle name="汇总 5 2 4" xfId="27754"/>
    <cellStyle name="汇总 5 2 5" xfId="27745"/>
    <cellStyle name="汇总 5 3" xfId="9488"/>
    <cellStyle name="汇总 5 3 2" xfId="12387"/>
    <cellStyle name="汇总 5 3 2 2" xfId="12388"/>
    <cellStyle name="汇总 5 3 2 2 2" xfId="19950"/>
    <cellStyle name="汇总 5 3 2 2 2 2" xfId="27758"/>
    <cellStyle name="汇总 5 3 2 2 3" xfId="27757"/>
    <cellStyle name="汇总 5 3 2 3" xfId="12389"/>
    <cellStyle name="汇总 5 3 2 3 2" xfId="21290"/>
    <cellStyle name="汇总 5 3 2 3 2 2" xfId="27760"/>
    <cellStyle name="汇总 5 3 2 3 3" xfId="27759"/>
    <cellStyle name="汇总 5 3 2 4" xfId="17687"/>
    <cellStyle name="汇总 5 3 2 4 2" xfId="27761"/>
    <cellStyle name="汇总 5 3 2 5" xfId="27756"/>
    <cellStyle name="汇总 5 3 3" xfId="12390"/>
    <cellStyle name="汇总 5 3 3 2" xfId="18371"/>
    <cellStyle name="汇总 5 3 3 2 2" xfId="27763"/>
    <cellStyle name="汇总 5 3 3 3" xfId="27762"/>
    <cellStyle name="汇总 5 3 4" xfId="27764"/>
    <cellStyle name="汇总 5 3 5" xfId="27755"/>
    <cellStyle name="汇总 5 4" xfId="9489"/>
    <cellStyle name="汇总 5 4 2" xfId="12391"/>
    <cellStyle name="汇总 5 4 2 2" xfId="12392"/>
    <cellStyle name="汇总 5 4 2 2 2" xfId="17686"/>
    <cellStyle name="汇总 5 4 2 2 2 2" xfId="27768"/>
    <cellStyle name="汇总 5 4 2 2 3" xfId="27767"/>
    <cellStyle name="汇总 5 4 2 3" xfId="12393"/>
    <cellStyle name="汇总 5 4 2 3 2" xfId="19948"/>
    <cellStyle name="汇总 5 4 2 3 2 2" xfId="27770"/>
    <cellStyle name="汇总 5 4 2 3 3" xfId="27769"/>
    <cellStyle name="汇总 5 4 2 4" xfId="19949"/>
    <cellStyle name="汇总 5 4 2 4 2" xfId="27771"/>
    <cellStyle name="汇总 5 4 2 5" xfId="27766"/>
    <cellStyle name="汇总 5 4 3" xfId="12394"/>
    <cellStyle name="汇总 5 4 3 2" xfId="19947"/>
    <cellStyle name="汇总 5 4 3 2 2" xfId="27773"/>
    <cellStyle name="汇总 5 4 3 3" xfId="27772"/>
    <cellStyle name="汇总 5 4 4" xfId="27774"/>
    <cellStyle name="汇总 5 4 5" xfId="27765"/>
    <cellStyle name="汇总 5 5" xfId="9490"/>
    <cellStyle name="汇总 5 5 2" xfId="12395"/>
    <cellStyle name="汇总 5 5 2 2" xfId="12396"/>
    <cellStyle name="汇总 5 5 2 2 2" xfId="19946"/>
    <cellStyle name="汇总 5 5 2 2 2 2" xfId="27778"/>
    <cellStyle name="汇总 5 5 2 2 3" xfId="27777"/>
    <cellStyle name="汇总 5 5 2 3" xfId="12397"/>
    <cellStyle name="汇总 5 5 2 3 2" xfId="21080"/>
    <cellStyle name="汇总 5 5 2 3 2 2" xfId="27780"/>
    <cellStyle name="汇总 5 5 2 3 3" xfId="27779"/>
    <cellStyle name="汇总 5 5 2 4" xfId="18715"/>
    <cellStyle name="汇总 5 5 2 4 2" xfId="27781"/>
    <cellStyle name="汇总 5 5 2 5" xfId="27776"/>
    <cellStyle name="汇总 5 5 3" xfId="12398"/>
    <cellStyle name="汇总 5 5 3 2" xfId="18370"/>
    <cellStyle name="汇总 5 5 3 2 2" xfId="27783"/>
    <cellStyle name="汇总 5 5 3 3" xfId="27782"/>
    <cellStyle name="汇总 5 5 4" xfId="27784"/>
    <cellStyle name="汇总 5 5 5" xfId="27775"/>
    <cellStyle name="汇总 5 6" xfId="12399"/>
    <cellStyle name="汇总 5 6 2" xfId="12400"/>
    <cellStyle name="汇总 5 6 2 2" xfId="19944"/>
    <cellStyle name="汇总 5 6 2 2 2" xfId="27787"/>
    <cellStyle name="汇总 5 6 2 3" xfId="27786"/>
    <cellStyle name="汇总 5 6 3" xfId="12401"/>
    <cellStyle name="汇总 5 6 3 2" xfId="21289"/>
    <cellStyle name="汇总 5 6 3 2 2" xfId="27789"/>
    <cellStyle name="汇总 5 6 3 3" xfId="27788"/>
    <cellStyle name="汇总 5 6 4" xfId="19945"/>
    <cellStyle name="汇总 5 6 4 2" xfId="27790"/>
    <cellStyle name="汇总 5 6 5" xfId="27785"/>
    <cellStyle name="汇总 5 7" xfId="12402"/>
    <cellStyle name="汇总 5 7 2" xfId="17685"/>
    <cellStyle name="汇总 5 7 2 2" xfId="27792"/>
    <cellStyle name="汇总 5 7 3" xfId="27791"/>
    <cellStyle name="汇总 5 8" xfId="27793"/>
    <cellStyle name="汇总 5 9" xfId="27744"/>
    <cellStyle name="汇总 6" xfId="9491"/>
    <cellStyle name="汇总 6 2" xfId="9492"/>
    <cellStyle name="汇总 6 2 2" xfId="12403"/>
    <cellStyle name="汇总 6 2 2 2" xfId="12404"/>
    <cellStyle name="汇总 6 2 2 2 2" xfId="19942"/>
    <cellStyle name="汇总 6 2 2 2 2 2" xfId="27798"/>
    <cellStyle name="汇总 6 2 2 2 3" xfId="27797"/>
    <cellStyle name="汇总 6 2 2 3" xfId="12405"/>
    <cellStyle name="汇总 6 2 2 3 2" xfId="18369"/>
    <cellStyle name="汇总 6 2 2 3 2 2" xfId="27800"/>
    <cellStyle name="汇总 6 2 2 3 3" xfId="27799"/>
    <cellStyle name="汇总 6 2 2 4" xfId="19943"/>
    <cellStyle name="汇总 6 2 2 4 2" xfId="27801"/>
    <cellStyle name="汇总 6 2 2 5" xfId="27796"/>
    <cellStyle name="汇总 6 2 3" xfId="12406"/>
    <cellStyle name="汇总 6 2 3 2" xfId="19941"/>
    <cellStyle name="汇总 6 2 3 2 2" xfId="27803"/>
    <cellStyle name="汇总 6 2 3 3" xfId="27802"/>
    <cellStyle name="汇总 6 2 4" xfId="27804"/>
    <cellStyle name="汇总 6 2 5" xfId="27795"/>
    <cellStyle name="汇总 6 3" xfId="9493"/>
    <cellStyle name="汇总 6 3 2" xfId="12407"/>
    <cellStyle name="汇总 6 3 2 2" xfId="12408"/>
    <cellStyle name="汇总 6 3 2 2 2" xfId="19939"/>
    <cellStyle name="汇总 6 3 2 2 2 2" xfId="27808"/>
    <cellStyle name="汇总 6 3 2 2 3" xfId="27807"/>
    <cellStyle name="汇总 6 3 2 3" xfId="12409"/>
    <cellStyle name="汇总 6 3 2 3 2" xfId="19938"/>
    <cellStyle name="汇总 6 3 2 3 2 2" xfId="27810"/>
    <cellStyle name="汇总 6 3 2 3 3" xfId="27809"/>
    <cellStyle name="汇总 6 3 2 4" xfId="19940"/>
    <cellStyle name="汇总 6 3 2 4 2" xfId="27811"/>
    <cellStyle name="汇总 6 3 2 5" xfId="27806"/>
    <cellStyle name="汇总 6 3 3" xfId="12410"/>
    <cellStyle name="汇总 6 3 3 2" xfId="18368"/>
    <cellStyle name="汇总 6 3 3 2 2" xfId="27813"/>
    <cellStyle name="汇总 6 3 3 3" xfId="27812"/>
    <cellStyle name="汇总 6 3 4" xfId="27814"/>
    <cellStyle name="汇总 6 3 5" xfId="27805"/>
    <cellStyle name="汇总 6 4" xfId="9494"/>
    <cellStyle name="汇总 6 4 2" xfId="12411"/>
    <cellStyle name="汇总 6 4 2 2" xfId="12412"/>
    <cellStyle name="汇总 6 4 2 2 2" xfId="21288"/>
    <cellStyle name="汇总 6 4 2 2 2 2" xfId="27818"/>
    <cellStyle name="汇总 6 4 2 2 3" xfId="27817"/>
    <cellStyle name="汇总 6 4 2 3" xfId="12413"/>
    <cellStyle name="汇总 6 4 2 3 2" xfId="21287"/>
    <cellStyle name="汇总 6 4 2 3 2 2" xfId="27820"/>
    <cellStyle name="汇总 6 4 2 3 3" xfId="27819"/>
    <cellStyle name="汇总 6 4 2 4" xfId="17684"/>
    <cellStyle name="汇总 6 4 2 4 2" xfId="27821"/>
    <cellStyle name="汇总 6 4 2 5" xfId="27816"/>
    <cellStyle name="汇总 6 4 3" xfId="12414"/>
    <cellStyle name="汇总 6 4 3 2" xfId="18367"/>
    <cellStyle name="汇总 6 4 3 2 2" xfId="27823"/>
    <cellStyle name="汇总 6 4 3 3" xfId="27822"/>
    <cellStyle name="汇总 6 4 4" xfId="27824"/>
    <cellStyle name="汇总 6 4 5" xfId="27815"/>
    <cellStyle name="汇总 6 5" xfId="9495"/>
    <cellStyle name="汇总 6 5 2" xfId="12415"/>
    <cellStyle name="汇总 6 5 2 2" xfId="12416"/>
    <cellStyle name="汇总 6 5 2 2 2" xfId="17683"/>
    <cellStyle name="汇总 6 5 2 2 2 2" xfId="27828"/>
    <cellStyle name="汇总 6 5 2 2 3" xfId="27827"/>
    <cellStyle name="汇总 6 5 2 3" xfId="12417"/>
    <cellStyle name="汇总 6 5 2 3 2" xfId="19936"/>
    <cellStyle name="汇总 6 5 2 3 2 2" xfId="27830"/>
    <cellStyle name="汇总 6 5 2 3 3" xfId="27829"/>
    <cellStyle name="汇总 6 5 2 4" xfId="19937"/>
    <cellStyle name="汇总 6 5 2 4 2" xfId="27831"/>
    <cellStyle name="汇总 6 5 2 5" xfId="27826"/>
    <cellStyle name="汇总 6 5 3" xfId="12418"/>
    <cellStyle name="汇总 6 5 3 2" xfId="19935"/>
    <cellStyle name="汇总 6 5 3 2 2" xfId="27833"/>
    <cellStyle name="汇总 6 5 3 3" xfId="27832"/>
    <cellStyle name="汇总 6 5 4" xfId="27834"/>
    <cellStyle name="汇总 6 5 5" xfId="27825"/>
    <cellStyle name="汇总 6 6" xfId="12419"/>
    <cellStyle name="汇总 6 6 2" xfId="12420"/>
    <cellStyle name="汇总 6 6 2 2" xfId="19934"/>
    <cellStyle name="汇总 6 6 2 2 2" xfId="27837"/>
    <cellStyle name="汇总 6 6 2 3" xfId="27836"/>
    <cellStyle name="汇总 6 6 3" xfId="12421"/>
    <cellStyle name="汇总 6 6 3 2" xfId="17682"/>
    <cellStyle name="汇总 6 6 3 2 2" xfId="27839"/>
    <cellStyle name="汇总 6 6 3 3" xfId="27838"/>
    <cellStyle name="汇总 6 6 4" xfId="21286"/>
    <cellStyle name="汇总 6 6 4 2" xfId="27840"/>
    <cellStyle name="汇总 6 6 5" xfId="27835"/>
    <cellStyle name="汇总 6 7" xfId="12422"/>
    <cellStyle name="汇总 6 7 2" xfId="19933"/>
    <cellStyle name="汇总 6 7 2 2" xfId="27842"/>
    <cellStyle name="汇总 6 7 3" xfId="27841"/>
    <cellStyle name="汇总 6 8" xfId="27843"/>
    <cellStyle name="汇总 6 9" xfId="27794"/>
    <cellStyle name="汇总 7" xfId="9496"/>
    <cellStyle name="汇总 7 2" xfId="9497"/>
    <cellStyle name="汇总 7 2 2" xfId="12423"/>
    <cellStyle name="汇总 7 2 2 2" xfId="12424"/>
    <cellStyle name="汇总 7 2 2 2 2" xfId="19931"/>
    <cellStyle name="汇总 7 2 2 2 2 2" xfId="27848"/>
    <cellStyle name="汇总 7 2 2 2 3" xfId="27847"/>
    <cellStyle name="汇总 7 2 2 3" xfId="12425"/>
    <cellStyle name="汇总 7 2 2 3 2" xfId="18714"/>
    <cellStyle name="汇总 7 2 2 3 2 2" xfId="27850"/>
    <cellStyle name="汇总 7 2 2 3 3" xfId="27849"/>
    <cellStyle name="汇总 7 2 2 4" xfId="19932"/>
    <cellStyle name="汇总 7 2 2 4 2" xfId="27851"/>
    <cellStyle name="汇总 7 2 2 5" xfId="27846"/>
    <cellStyle name="汇总 7 2 3" xfId="12426"/>
    <cellStyle name="汇总 7 2 3 2" xfId="18638"/>
    <cellStyle name="汇总 7 2 3 2 2" xfId="27853"/>
    <cellStyle name="汇总 7 2 3 3" xfId="27852"/>
    <cellStyle name="汇总 7 2 4" xfId="27854"/>
    <cellStyle name="汇总 7 2 5" xfId="27845"/>
    <cellStyle name="汇总 7 3" xfId="9498"/>
    <cellStyle name="汇总 7 3 2" xfId="12427"/>
    <cellStyle name="汇总 7 3 2 2" xfId="12428"/>
    <cellStyle name="汇总 7 3 2 2 2" xfId="17680"/>
    <cellStyle name="汇总 7 3 2 2 2 2" xfId="27858"/>
    <cellStyle name="汇总 7 3 2 2 3" xfId="27857"/>
    <cellStyle name="汇总 7 3 2 3" xfId="12429"/>
    <cellStyle name="汇总 7 3 2 3 2" xfId="19930"/>
    <cellStyle name="汇总 7 3 2 3 2 2" xfId="27860"/>
    <cellStyle name="汇总 7 3 2 3 3" xfId="27859"/>
    <cellStyle name="汇总 7 3 2 4" xfId="17681"/>
    <cellStyle name="汇总 7 3 2 4 2" xfId="27861"/>
    <cellStyle name="汇总 7 3 2 5" xfId="27856"/>
    <cellStyle name="汇总 7 3 3" xfId="12430"/>
    <cellStyle name="汇总 7 3 3 2" xfId="18366"/>
    <cellStyle name="汇总 7 3 3 2 2" xfId="27863"/>
    <cellStyle name="汇总 7 3 3 3" xfId="27862"/>
    <cellStyle name="汇总 7 3 4" xfId="27864"/>
    <cellStyle name="汇总 7 3 5" xfId="27855"/>
    <cellStyle name="汇总 7 4" xfId="9499"/>
    <cellStyle name="汇总 7 4 2" xfId="12431"/>
    <cellStyle name="汇总 7 4 2 2" xfId="12432"/>
    <cellStyle name="汇总 7 4 2 2 2" xfId="19928"/>
    <cellStyle name="汇总 7 4 2 2 2 2" xfId="27868"/>
    <cellStyle name="汇总 7 4 2 2 3" xfId="27867"/>
    <cellStyle name="汇总 7 4 2 3" xfId="12433"/>
    <cellStyle name="汇总 7 4 2 3 2" xfId="18713"/>
    <cellStyle name="汇总 7 4 2 3 2 2" xfId="27870"/>
    <cellStyle name="汇总 7 4 2 3 3" xfId="27869"/>
    <cellStyle name="汇总 7 4 2 4" xfId="19929"/>
    <cellStyle name="汇总 7 4 2 4 2" xfId="27871"/>
    <cellStyle name="汇总 7 4 2 5" xfId="27866"/>
    <cellStyle name="汇总 7 4 3" xfId="12434"/>
    <cellStyle name="汇总 7 4 3 2" xfId="19927"/>
    <cellStyle name="汇总 7 4 3 2 2" xfId="27873"/>
    <cellStyle name="汇总 7 4 3 3" xfId="27872"/>
    <cellStyle name="汇总 7 4 4" xfId="27874"/>
    <cellStyle name="汇总 7 4 5" xfId="27865"/>
    <cellStyle name="汇总 7 5" xfId="9500"/>
    <cellStyle name="汇总 7 5 2" xfId="12435"/>
    <cellStyle name="汇总 7 5 2 2" xfId="12436"/>
    <cellStyle name="汇总 7 5 2 2 2" xfId="17679"/>
    <cellStyle name="汇总 7 5 2 2 2 2" xfId="27878"/>
    <cellStyle name="汇总 7 5 2 2 3" xfId="27877"/>
    <cellStyle name="汇总 7 5 2 3" xfId="12437"/>
    <cellStyle name="汇总 7 5 2 3 2" xfId="18365"/>
    <cellStyle name="汇总 7 5 2 3 2 2" xfId="27880"/>
    <cellStyle name="汇总 7 5 2 3 3" xfId="27879"/>
    <cellStyle name="汇总 7 5 2 4" xfId="19926"/>
    <cellStyle name="汇总 7 5 2 4 2" xfId="27881"/>
    <cellStyle name="汇总 7 5 2 5" xfId="27876"/>
    <cellStyle name="汇总 7 5 3" xfId="12438"/>
    <cellStyle name="汇总 7 5 3 2" xfId="19925"/>
    <cellStyle name="汇总 7 5 3 2 2" xfId="27883"/>
    <cellStyle name="汇总 7 5 3 3" xfId="27882"/>
    <cellStyle name="汇总 7 5 4" xfId="27884"/>
    <cellStyle name="汇总 7 5 5" xfId="27875"/>
    <cellStyle name="汇总 7 6" xfId="12439"/>
    <cellStyle name="汇总 7 6 2" xfId="12440"/>
    <cellStyle name="汇总 7 6 2 2" xfId="19923"/>
    <cellStyle name="汇总 7 6 2 2 2" xfId="27887"/>
    <cellStyle name="汇总 7 6 2 3" xfId="27886"/>
    <cellStyle name="汇总 7 6 3" xfId="12441"/>
    <cellStyle name="汇总 7 6 3 2" xfId="17678"/>
    <cellStyle name="汇总 7 6 3 2 2" xfId="27889"/>
    <cellStyle name="汇总 7 6 3 3" xfId="27888"/>
    <cellStyle name="汇总 7 6 4" xfId="19924"/>
    <cellStyle name="汇总 7 6 4 2" xfId="27890"/>
    <cellStyle name="汇总 7 6 5" xfId="27885"/>
    <cellStyle name="汇总 7 7" xfId="12442"/>
    <cellStyle name="汇总 7 7 2" xfId="19922"/>
    <cellStyle name="汇总 7 7 2 2" xfId="27892"/>
    <cellStyle name="汇总 7 7 3" xfId="27891"/>
    <cellStyle name="汇总 7 8" xfId="27893"/>
    <cellStyle name="汇总 7 9" xfId="27844"/>
    <cellStyle name="汇总 8" xfId="9501"/>
    <cellStyle name="汇总 8 2" xfId="9502"/>
    <cellStyle name="汇总 8 2 2" xfId="12443"/>
    <cellStyle name="汇总 8 2 2 2" xfId="12444"/>
    <cellStyle name="汇总 8 2 2 2 2" xfId="21285"/>
    <cellStyle name="汇总 8 2 2 2 2 2" xfId="27898"/>
    <cellStyle name="汇总 8 2 2 2 3" xfId="27897"/>
    <cellStyle name="汇总 8 2 2 3" xfId="12445"/>
    <cellStyle name="汇总 8 2 2 3 2" xfId="21284"/>
    <cellStyle name="汇总 8 2 2 3 2 2" xfId="27900"/>
    <cellStyle name="汇总 8 2 2 3 3" xfId="27899"/>
    <cellStyle name="汇总 8 2 2 4" xfId="18364"/>
    <cellStyle name="汇总 8 2 2 4 2" xfId="27901"/>
    <cellStyle name="汇总 8 2 2 5" xfId="27896"/>
    <cellStyle name="汇总 8 2 3" xfId="12446"/>
    <cellStyle name="汇总 8 2 3 2" xfId="17677"/>
    <cellStyle name="汇总 8 2 3 2 2" xfId="27903"/>
    <cellStyle name="汇总 8 2 3 3" xfId="27902"/>
    <cellStyle name="汇总 8 2 4" xfId="27904"/>
    <cellStyle name="汇总 8 2 5" xfId="27895"/>
    <cellStyle name="汇总 8 3" xfId="9503"/>
    <cellStyle name="汇总 8 3 2" xfId="12447"/>
    <cellStyle name="汇总 8 3 2 2" xfId="12448"/>
    <cellStyle name="汇总 8 3 2 2 2" xfId="19920"/>
    <cellStyle name="汇总 8 3 2 2 2 2" xfId="27908"/>
    <cellStyle name="汇总 8 3 2 2 3" xfId="27907"/>
    <cellStyle name="汇总 8 3 2 3" xfId="12449"/>
    <cellStyle name="汇总 8 3 2 3 2" xfId="19919"/>
    <cellStyle name="汇总 8 3 2 3 2 2" xfId="27910"/>
    <cellStyle name="汇总 8 3 2 3 3" xfId="27909"/>
    <cellStyle name="汇总 8 3 2 4" xfId="19921"/>
    <cellStyle name="汇总 8 3 2 4 2" xfId="27911"/>
    <cellStyle name="汇总 8 3 2 5" xfId="27906"/>
    <cellStyle name="汇总 8 3 3" xfId="12450"/>
    <cellStyle name="汇总 8 3 3 2" xfId="19918"/>
    <cellStyle name="汇总 8 3 3 2 2" xfId="27913"/>
    <cellStyle name="汇总 8 3 3 3" xfId="27912"/>
    <cellStyle name="汇总 8 3 4" xfId="27914"/>
    <cellStyle name="汇总 8 3 5" xfId="27905"/>
    <cellStyle name="汇总 8 4" xfId="9504"/>
    <cellStyle name="汇总 8 4 2" xfId="12451"/>
    <cellStyle name="汇总 8 4 2 2" xfId="12452"/>
    <cellStyle name="汇总 8 4 2 2 2" xfId="21283"/>
    <cellStyle name="汇总 8 4 2 2 2 2" xfId="27918"/>
    <cellStyle name="汇总 8 4 2 2 3" xfId="27917"/>
    <cellStyle name="汇总 8 4 2 3" xfId="12453"/>
    <cellStyle name="汇总 8 4 2 3 2" xfId="18363"/>
    <cellStyle name="汇总 8 4 2 3 2 2" xfId="27920"/>
    <cellStyle name="汇总 8 4 2 3 3" xfId="27919"/>
    <cellStyle name="汇总 8 4 2 4" xfId="19454"/>
    <cellStyle name="汇总 8 4 2 4 2" xfId="27921"/>
    <cellStyle name="汇总 8 4 2 5" xfId="27916"/>
    <cellStyle name="汇总 8 4 3" xfId="12454"/>
    <cellStyle name="汇总 8 4 3 2" xfId="18362"/>
    <cellStyle name="汇总 8 4 3 2 2" xfId="27923"/>
    <cellStyle name="汇总 8 4 3 3" xfId="27922"/>
    <cellStyle name="汇总 8 4 4" xfId="27924"/>
    <cellStyle name="汇总 8 4 5" xfId="27915"/>
    <cellStyle name="汇总 8 5" xfId="9505"/>
    <cellStyle name="汇总 8 5 2" xfId="12455"/>
    <cellStyle name="汇总 8 5 2 2" xfId="12456"/>
    <cellStyle name="汇总 8 5 2 2 2" xfId="19453"/>
    <cellStyle name="汇总 8 5 2 2 2 2" xfId="27928"/>
    <cellStyle name="汇总 8 5 2 2 3" xfId="27927"/>
    <cellStyle name="汇总 8 5 2 3" xfId="12457"/>
    <cellStyle name="汇总 8 5 2 3 2" xfId="19916"/>
    <cellStyle name="汇总 8 5 2 3 2 2" xfId="27930"/>
    <cellStyle name="汇总 8 5 2 3 3" xfId="27929"/>
    <cellStyle name="汇总 8 5 2 4" xfId="19917"/>
    <cellStyle name="汇总 8 5 2 4 2" xfId="27931"/>
    <cellStyle name="汇总 8 5 2 5" xfId="27926"/>
    <cellStyle name="汇总 8 5 3" xfId="12458"/>
    <cellStyle name="汇总 8 5 3 2" xfId="21282"/>
    <cellStyle name="汇总 8 5 3 2 2" xfId="27933"/>
    <cellStyle name="汇总 8 5 3 3" xfId="27932"/>
    <cellStyle name="汇总 8 5 4" xfId="27934"/>
    <cellStyle name="汇总 8 5 5" xfId="27925"/>
    <cellStyle name="汇总 8 6" xfId="12459"/>
    <cellStyle name="汇总 8 6 2" xfId="12460"/>
    <cellStyle name="汇总 8 6 2 2" xfId="19914"/>
    <cellStyle name="汇总 8 6 2 2 2" xfId="27937"/>
    <cellStyle name="汇总 8 6 2 3" xfId="27936"/>
    <cellStyle name="汇总 8 6 3" xfId="12461"/>
    <cellStyle name="汇总 8 6 3 2" xfId="19913"/>
    <cellStyle name="汇总 8 6 3 2 2" xfId="27939"/>
    <cellStyle name="汇总 8 6 3 3" xfId="27938"/>
    <cellStyle name="汇总 8 6 4" xfId="19915"/>
    <cellStyle name="汇总 8 6 4 2" xfId="27940"/>
    <cellStyle name="汇总 8 6 5" xfId="27935"/>
    <cellStyle name="汇总 8 7" xfId="12462"/>
    <cellStyle name="汇总 8 7 2" xfId="19912"/>
    <cellStyle name="汇总 8 7 2 2" xfId="27942"/>
    <cellStyle name="汇总 8 7 3" xfId="27941"/>
    <cellStyle name="汇总 8 8" xfId="27943"/>
    <cellStyle name="汇总 8 9" xfId="27894"/>
    <cellStyle name="汇总 9" xfId="9506"/>
    <cellStyle name="汇总 9 2" xfId="9507"/>
    <cellStyle name="汇总 9 2 2" xfId="12463"/>
    <cellStyle name="汇总 9 2 2 2" xfId="12464"/>
    <cellStyle name="汇总 9 2 2 2 2" xfId="19911"/>
    <cellStyle name="汇总 9 2 2 2 2 2" xfId="27948"/>
    <cellStyle name="汇总 9 2 2 2 3" xfId="27947"/>
    <cellStyle name="汇总 9 2 2 3" xfId="12465"/>
    <cellStyle name="汇总 9 2 2 3 2" xfId="19452"/>
    <cellStyle name="汇总 9 2 2 3 2 2" xfId="27950"/>
    <cellStyle name="汇总 9 2 2 3 3" xfId="27949"/>
    <cellStyle name="汇总 9 2 2 4" xfId="21281"/>
    <cellStyle name="汇总 9 2 2 4 2" xfId="27951"/>
    <cellStyle name="汇总 9 2 2 5" xfId="27946"/>
    <cellStyle name="汇总 9 2 3" xfId="12466"/>
    <cellStyle name="汇总 9 2 3 2" xfId="19910"/>
    <cellStyle name="汇总 9 2 3 2 2" xfId="27953"/>
    <cellStyle name="汇总 9 2 3 3" xfId="27952"/>
    <cellStyle name="汇总 9 2 4" xfId="27954"/>
    <cellStyle name="汇总 9 2 5" xfId="27945"/>
    <cellStyle name="汇总 9 3" xfId="9508"/>
    <cellStyle name="汇总 9 3 2" xfId="12467"/>
    <cellStyle name="汇总 9 3 2 2" xfId="12468"/>
    <cellStyle name="汇总 9 3 2 2 2" xfId="19909"/>
    <cellStyle name="汇总 9 3 2 2 2 2" xfId="27958"/>
    <cellStyle name="汇总 9 3 2 2 3" xfId="27957"/>
    <cellStyle name="汇总 9 3 2 3" xfId="12469"/>
    <cellStyle name="汇总 9 3 2 3 2" xfId="19908"/>
    <cellStyle name="汇总 9 3 2 3 2 2" xfId="27960"/>
    <cellStyle name="汇总 9 3 2 3 3" xfId="27959"/>
    <cellStyle name="汇总 9 3 2 4" xfId="18361"/>
    <cellStyle name="汇总 9 3 2 4 2" xfId="27961"/>
    <cellStyle name="汇总 9 3 2 5" xfId="27956"/>
    <cellStyle name="汇总 9 3 3" xfId="12470"/>
    <cellStyle name="汇总 9 3 3 2" xfId="21079"/>
    <cellStyle name="汇总 9 3 3 2 2" xfId="27963"/>
    <cellStyle name="汇总 9 3 3 3" xfId="27962"/>
    <cellStyle name="汇总 9 3 4" xfId="27964"/>
    <cellStyle name="汇总 9 3 5" xfId="27955"/>
    <cellStyle name="汇总 9 4" xfId="9509"/>
    <cellStyle name="汇总 9 4 2" xfId="12471"/>
    <cellStyle name="汇总 9 4 2 2" xfId="12472"/>
    <cellStyle name="汇总 9 4 2 2 2" xfId="19906"/>
    <cellStyle name="汇总 9 4 2 2 2 2" xfId="27968"/>
    <cellStyle name="汇总 9 4 2 2 3" xfId="27967"/>
    <cellStyle name="汇总 9 4 2 3" xfId="12473"/>
    <cellStyle name="汇总 9 4 2 3 2" xfId="18360"/>
    <cellStyle name="汇总 9 4 2 3 2 2" xfId="27970"/>
    <cellStyle name="汇总 9 4 2 3 3" xfId="27969"/>
    <cellStyle name="汇总 9 4 2 4" xfId="19907"/>
    <cellStyle name="汇总 9 4 2 4 2" xfId="27971"/>
    <cellStyle name="汇总 9 4 2 5" xfId="27966"/>
    <cellStyle name="汇总 9 4 3" xfId="12474"/>
    <cellStyle name="汇总 9 4 3 2" xfId="21280"/>
    <cellStyle name="汇总 9 4 3 2 2" xfId="27973"/>
    <cellStyle name="汇总 9 4 3 3" xfId="27972"/>
    <cellStyle name="汇总 9 4 4" xfId="27974"/>
    <cellStyle name="汇总 9 4 5" xfId="27965"/>
    <cellStyle name="汇总 9 5" xfId="9510"/>
    <cellStyle name="汇总 9 5 2" xfId="12475"/>
    <cellStyle name="汇总 9 5 2 2" xfId="12476"/>
    <cellStyle name="汇总 9 5 2 2 2" xfId="21279"/>
    <cellStyle name="汇总 9 5 2 2 2 2" xfId="27978"/>
    <cellStyle name="汇总 9 5 2 2 3" xfId="27977"/>
    <cellStyle name="汇总 9 5 2 3" xfId="12477"/>
    <cellStyle name="汇总 9 5 2 3 2" xfId="21278"/>
    <cellStyle name="汇总 9 5 2 3 2 2" xfId="27980"/>
    <cellStyle name="汇总 9 5 2 3 3" xfId="27979"/>
    <cellStyle name="汇总 9 5 2 4" xfId="21078"/>
    <cellStyle name="汇总 9 5 2 4 2" xfId="27981"/>
    <cellStyle name="汇总 9 5 2 5" xfId="27976"/>
    <cellStyle name="汇总 9 5 3" xfId="12478"/>
    <cellStyle name="汇总 9 5 3 2" xfId="19905"/>
    <cellStyle name="汇总 9 5 3 2 2" xfId="27983"/>
    <cellStyle name="汇总 9 5 3 3" xfId="27982"/>
    <cellStyle name="汇总 9 5 4" xfId="27984"/>
    <cellStyle name="汇总 9 5 5" xfId="27975"/>
    <cellStyle name="汇总 9 6" xfId="12479"/>
    <cellStyle name="汇总 9 6 2" xfId="12480"/>
    <cellStyle name="汇总 9 6 2 2" xfId="17676"/>
    <cellStyle name="汇总 9 6 2 2 2" xfId="27987"/>
    <cellStyle name="汇总 9 6 2 3" xfId="27986"/>
    <cellStyle name="汇总 9 6 3" xfId="12481"/>
    <cellStyle name="汇总 9 6 3 2" xfId="17675"/>
    <cellStyle name="汇总 9 6 3 2 2" xfId="27989"/>
    <cellStyle name="汇总 9 6 3 3" xfId="27988"/>
    <cellStyle name="汇总 9 6 4" xfId="19904"/>
    <cellStyle name="汇总 9 6 4 2" xfId="27990"/>
    <cellStyle name="汇总 9 6 5" xfId="27985"/>
    <cellStyle name="汇总 9 7" xfId="12482"/>
    <cellStyle name="汇总 9 7 2" xfId="19903"/>
    <cellStyle name="汇总 9 7 2 2" xfId="27992"/>
    <cellStyle name="汇总 9 7 3" xfId="27991"/>
    <cellStyle name="汇总 9 8" xfId="27993"/>
    <cellStyle name="汇总 9 9" xfId="27944"/>
    <cellStyle name="货币 2" xfId="59989"/>
    <cellStyle name="货币 2 10" xfId="59990"/>
    <cellStyle name="货币 2 11" xfId="59991"/>
    <cellStyle name="货币 2 12" xfId="59992"/>
    <cellStyle name="货币 2 13" xfId="59993"/>
    <cellStyle name="货币 2 2" xfId="59994"/>
    <cellStyle name="货币 2 2 10" xfId="59995"/>
    <cellStyle name="货币 2 2 11" xfId="59996"/>
    <cellStyle name="货币 2 2 2" xfId="59997"/>
    <cellStyle name="货币 2 2 3" xfId="59998"/>
    <cellStyle name="货币 2 2 4" xfId="59999"/>
    <cellStyle name="货币 2 2 5" xfId="60000"/>
    <cellStyle name="货币 2 2 6" xfId="60001"/>
    <cellStyle name="货币 2 2 7" xfId="60002"/>
    <cellStyle name="货币 2 2 8" xfId="60003"/>
    <cellStyle name="货币 2 2 9" xfId="60004"/>
    <cellStyle name="货币 2 3" xfId="60005"/>
    <cellStyle name="货币 2 3 2" xfId="60006"/>
    <cellStyle name="货币 2 3 3" xfId="60007"/>
    <cellStyle name="货币 2 3 4" xfId="60008"/>
    <cellStyle name="货币 2 3 5" xfId="60009"/>
    <cellStyle name="货币 2 3 6" xfId="60010"/>
    <cellStyle name="货币 2 4" xfId="60011"/>
    <cellStyle name="货币 2 5" xfId="60012"/>
    <cellStyle name="货币 2 6" xfId="60013"/>
    <cellStyle name="货币 2 7" xfId="60014"/>
    <cellStyle name="货币 2 8" xfId="60015"/>
    <cellStyle name="货币 2 9" xfId="60016"/>
    <cellStyle name="货币 3" xfId="60017"/>
    <cellStyle name="货币 3 10" xfId="60018"/>
    <cellStyle name="货币 3 11" xfId="60019"/>
    <cellStyle name="货币 3 2" xfId="60020"/>
    <cellStyle name="货币 3 3" xfId="60021"/>
    <cellStyle name="货币 3 4" xfId="60022"/>
    <cellStyle name="货币 3 5" xfId="60023"/>
    <cellStyle name="货币 3 6" xfId="60024"/>
    <cellStyle name="货币 3 7" xfId="60025"/>
    <cellStyle name="货币 3 8" xfId="60026"/>
    <cellStyle name="货币 3 9" xfId="60027"/>
    <cellStyle name="货币 4" xfId="60028"/>
    <cellStyle name="货币 4 10" xfId="60029"/>
    <cellStyle name="货币 4 11" xfId="60030"/>
    <cellStyle name="货币 4 2" xfId="60031"/>
    <cellStyle name="货币 4 3" xfId="60032"/>
    <cellStyle name="货币 4 4" xfId="60033"/>
    <cellStyle name="货币 4 5" xfId="60034"/>
    <cellStyle name="货币 4 6" xfId="60035"/>
    <cellStyle name="货币 4 7" xfId="60036"/>
    <cellStyle name="货币 4 8" xfId="60037"/>
    <cellStyle name="货币 4 9" xfId="60038"/>
    <cellStyle name="货币 5" xfId="60039"/>
    <cellStyle name="货币 5 10" xfId="60040"/>
    <cellStyle name="货币 5 11" xfId="60041"/>
    <cellStyle name="货币 5 2" xfId="60042"/>
    <cellStyle name="货币 5 3" xfId="60043"/>
    <cellStyle name="货币 5 4" xfId="60044"/>
    <cellStyle name="货币 5 5" xfId="60045"/>
    <cellStyle name="货币 5 6" xfId="60046"/>
    <cellStyle name="货币 5 7" xfId="60047"/>
    <cellStyle name="货币 5 8" xfId="60048"/>
    <cellStyle name="货币 5 9" xfId="60049"/>
    <cellStyle name="货币 6" xfId="60050"/>
    <cellStyle name="货币 6 10" xfId="60051"/>
    <cellStyle name="货币 6 11" xfId="60052"/>
    <cellStyle name="货币 6 12" xfId="60053"/>
    <cellStyle name="货币 6 2" xfId="60054"/>
    <cellStyle name="货币 6 2 10" xfId="60055"/>
    <cellStyle name="货币 6 2 11" xfId="60056"/>
    <cellStyle name="货币 6 2 2" xfId="60057"/>
    <cellStyle name="货币 6 2 3" xfId="60058"/>
    <cellStyle name="货币 6 2 4" xfId="60059"/>
    <cellStyle name="货币 6 2 5" xfId="60060"/>
    <cellStyle name="货币 6 2 6" xfId="60061"/>
    <cellStyle name="货币 6 2 7" xfId="60062"/>
    <cellStyle name="货币 6 2 8" xfId="60063"/>
    <cellStyle name="货币 6 2 9" xfId="60064"/>
    <cellStyle name="货币 6 3" xfId="60065"/>
    <cellStyle name="货币 6 4" xfId="60066"/>
    <cellStyle name="货币 6 5" xfId="60067"/>
    <cellStyle name="货币 6 6" xfId="60068"/>
    <cellStyle name="货币 6 7" xfId="60069"/>
    <cellStyle name="货币 6 8" xfId="60070"/>
    <cellStyle name="货币 6 9" xfId="60071"/>
    <cellStyle name="货币 7" xfId="60072"/>
    <cellStyle name="货币 7 10" xfId="60073"/>
    <cellStyle name="货币 7 11" xfId="60074"/>
    <cellStyle name="货币 7 12" xfId="60075"/>
    <cellStyle name="货币 7 2" xfId="60076"/>
    <cellStyle name="货币 7 3" xfId="60077"/>
    <cellStyle name="货币 7 4" xfId="60078"/>
    <cellStyle name="货币 7 5" xfId="60079"/>
    <cellStyle name="货币 7 6" xfId="60080"/>
    <cellStyle name="货币 7 7" xfId="60081"/>
    <cellStyle name="货币 7 8" xfId="60082"/>
    <cellStyle name="货币 7 9" xfId="60083"/>
    <cellStyle name="货币[0] 2" xfId="5154"/>
    <cellStyle name="货币[0] 2 2" xfId="9512"/>
    <cellStyle name="货币[0] 2 2 2" xfId="60084"/>
    <cellStyle name="货币[0] 2 3" xfId="9511"/>
    <cellStyle name="货币[0] 2 4" xfId="60085"/>
    <cellStyle name="货币[0] 3" xfId="60086"/>
    <cellStyle name="貨幣 2" xfId="61042"/>
    <cellStyle name="集計" xfId="5155"/>
    <cellStyle name="集計 10" xfId="27995"/>
    <cellStyle name="集計 11" xfId="27994"/>
    <cellStyle name="集計 2" xfId="161"/>
    <cellStyle name="集計 2 10" xfId="27997"/>
    <cellStyle name="集計 2 11" xfId="27998"/>
    <cellStyle name="集計 2 12" xfId="27996"/>
    <cellStyle name="集計 2 13" xfId="5156"/>
    <cellStyle name="集計 2 2" xfId="5157"/>
    <cellStyle name="集計 2 2 2" xfId="9516"/>
    <cellStyle name="集計 2 2 2 2" xfId="12483"/>
    <cellStyle name="集計 2 2 2 2 2" xfId="12484"/>
    <cellStyle name="集計 2 2 2 2 2 2" xfId="18712"/>
    <cellStyle name="集計 2 2 2 2 2 2 2" xfId="28003"/>
    <cellStyle name="集計 2 2 2 2 2 3" xfId="28002"/>
    <cellStyle name="集計 2 2 2 2 3" xfId="19902"/>
    <cellStyle name="集計 2 2 2 2 3 2" xfId="28004"/>
    <cellStyle name="集計 2 2 2 2 4" xfId="28001"/>
    <cellStyle name="集計 2 2 2 3" xfId="12485"/>
    <cellStyle name="集計 2 2 2 3 2" xfId="18359"/>
    <cellStyle name="集計 2 2 2 3 2 2" xfId="28006"/>
    <cellStyle name="集計 2 2 2 3 3" xfId="28005"/>
    <cellStyle name="集計 2 2 2 4" xfId="28007"/>
    <cellStyle name="集計 2 2 2 5" xfId="28000"/>
    <cellStyle name="集計 2 2 3" xfId="12486"/>
    <cellStyle name="集計 2 2 3 2" xfId="12487"/>
    <cellStyle name="集計 2 2 3 2 2" xfId="19900"/>
    <cellStyle name="集計 2 2 3 2 2 2" xfId="28010"/>
    <cellStyle name="集計 2 2 3 2 3" xfId="28009"/>
    <cellStyle name="集計 2 2 3 3" xfId="12488"/>
    <cellStyle name="集計 2 2 3 3 2" xfId="19899"/>
    <cellStyle name="集計 2 2 3 3 2 2" xfId="28012"/>
    <cellStyle name="集計 2 2 3 3 3" xfId="28011"/>
    <cellStyle name="集計 2 2 3 4" xfId="19901"/>
    <cellStyle name="集計 2 2 3 4 2" xfId="28013"/>
    <cellStyle name="集計 2 2 3 5" xfId="28008"/>
    <cellStyle name="集計 2 2 4" xfId="12489"/>
    <cellStyle name="集計 2 2 4 2" xfId="21277"/>
    <cellStyle name="集計 2 2 4 2 2" xfId="28015"/>
    <cellStyle name="集計 2 2 4 3" xfId="28014"/>
    <cellStyle name="集計 2 2 5" xfId="9515"/>
    <cellStyle name="集計 2 2 5 2" xfId="28017"/>
    <cellStyle name="集計 2 2 5 3" xfId="28016"/>
    <cellStyle name="集計 2 2 6" xfId="28018"/>
    <cellStyle name="集計 2 2 7" xfId="27999"/>
    <cellStyle name="集計 2 3" xfId="5158"/>
    <cellStyle name="集計 2 3 2" xfId="12490"/>
    <cellStyle name="集計 2 3 2 2" xfId="12491"/>
    <cellStyle name="集計 2 3 2 2 2" xfId="19898"/>
    <cellStyle name="集計 2 3 2 2 2 2" xfId="28022"/>
    <cellStyle name="集計 2 3 2 2 3" xfId="28021"/>
    <cellStyle name="集計 2 3 2 3" xfId="12492"/>
    <cellStyle name="集計 2 3 2 3 2" xfId="18358"/>
    <cellStyle name="集計 2 3 2 3 2 2" xfId="28024"/>
    <cellStyle name="集計 2 3 2 3 3" xfId="28023"/>
    <cellStyle name="集計 2 3 2 4" xfId="17674"/>
    <cellStyle name="集計 2 3 2 4 2" xfId="28025"/>
    <cellStyle name="集計 2 3 2 5" xfId="28020"/>
    <cellStyle name="集計 2 3 3" xfId="12493"/>
    <cellStyle name="集計 2 3 3 2" xfId="18357"/>
    <cellStyle name="集計 2 3 3 2 2" xfId="28027"/>
    <cellStyle name="集計 2 3 3 3" xfId="28026"/>
    <cellStyle name="集計 2 3 4" xfId="9517"/>
    <cellStyle name="集計 2 3 4 2" xfId="28028"/>
    <cellStyle name="集計 2 3 5" xfId="28019"/>
    <cellStyle name="集計 2 4" xfId="9518"/>
    <cellStyle name="集計 2 4 2" xfId="12494"/>
    <cellStyle name="集計 2 4 2 2" xfId="12495"/>
    <cellStyle name="集計 2 4 2 2 2" xfId="17673"/>
    <cellStyle name="集計 2 4 2 2 2 2" xfId="28032"/>
    <cellStyle name="集計 2 4 2 2 3" xfId="28031"/>
    <cellStyle name="集計 2 4 2 3" xfId="12496"/>
    <cellStyle name="集計 2 4 2 3 2" xfId="21276"/>
    <cellStyle name="集計 2 4 2 3 2 2" xfId="28034"/>
    <cellStyle name="集計 2 4 2 3 3" xfId="28033"/>
    <cellStyle name="集計 2 4 2 4" xfId="19897"/>
    <cellStyle name="集計 2 4 2 4 2" xfId="28035"/>
    <cellStyle name="集計 2 4 2 5" xfId="28030"/>
    <cellStyle name="集計 2 4 3" xfId="12497"/>
    <cellStyle name="集計 2 4 3 2" xfId="19896"/>
    <cellStyle name="集計 2 4 3 2 2" xfId="28037"/>
    <cellStyle name="集計 2 4 3 3" xfId="28036"/>
    <cellStyle name="集計 2 4 4" xfId="28038"/>
    <cellStyle name="集計 2 4 5" xfId="28029"/>
    <cellStyle name="集計 2 5" xfId="9519"/>
    <cellStyle name="集計 2 5 2" xfId="12498"/>
    <cellStyle name="集計 2 5 2 2" xfId="12499"/>
    <cellStyle name="集計 2 5 2 2 2" xfId="19894"/>
    <cellStyle name="集計 2 5 2 2 2 2" xfId="28042"/>
    <cellStyle name="集計 2 5 2 2 3" xfId="28041"/>
    <cellStyle name="集計 2 5 2 3" xfId="12500"/>
    <cellStyle name="集計 2 5 2 3 2" xfId="21077"/>
    <cellStyle name="集計 2 5 2 3 2 2" xfId="28044"/>
    <cellStyle name="集計 2 5 2 3 3" xfId="28043"/>
    <cellStyle name="集計 2 5 2 4" xfId="19895"/>
    <cellStyle name="集計 2 5 2 4 2" xfId="28045"/>
    <cellStyle name="集計 2 5 2 5" xfId="28040"/>
    <cellStyle name="集計 2 5 3" xfId="12501"/>
    <cellStyle name="集計 2 5 3 2" xfId="19893"/>
    <cellStyle name="集計 2 5 3 2 2" xfId="28047"/>
    <cellStyle name="集計 2 5 3 3" xfId="28046"/>
    <cellStyle name="集計 2 5 4" xfId="28048"/>
    <cellStyle name="集計 2 5 5" xfId="28039"/>
    <cellStyle name="集計 2 6" xfId="9520"/>
    <cellStyle name="集計 2 6 2" xfId="12502"/>
    <cellStyle name="集計 2 6 2 2" xfId="12503"/>
    <cellStyle name="集計 2 6 2 2 2" xfId="19892"/>
    <cellStyle name="集計 2 6 2 2 2 2" xfId="28052"/>
    <cellStyle name="集計 2 6 2 2 3" xfId="28051"/>
    <cellStyle name="集計 2 6 2 3" xfId="21275"/>
    <cellStyle name="集計 2 6 2 3 2" xfId="28053"/>
    <cellStyle name="集計 2 6 2 4" xfId="28050"/>
    <cellStyle name="集計 2 6 3" xfId="12504"/>
    <cellStyle name="集計 2 6 3 2" xfId="19891"/>
    <cellStyle name="集計 2 6 3 2 2" xfId="28055"/>
    <cellStyle name="集計 2 6 3 3" xfId="28054"/>
    <cellStyle name="集計 2 6 4" xfId="28056"/>
    <cellStyle name="集計 2 6 5" xfId="28049"/>
    <cellStyle name="集計 2 7" xfId="12505"/>
    <cellStyle name="集計 2 7 2" xfId="12506"/>
    <cellStyle name="集計 2 7 2 2" xfId="17671"/>
    <cellStyle name="集計 2 7 2 2 2" xfId="28059"/>
    <cellStyle name="集計 2 7 2 3" xfId="28058"/>
    <cellStyle name="集計 2 7 3" xfId="12507"/>
    <cellStyle name="集計 2 7 3 2" xfId="17670"/>
    <cellStyle name="集計 2 7 3 2 2" xfId="28061"/>
    <cellStyle name="集計 2 7 3 3" xfId="28060"/>
    <cellStyle name="集計 2 7 4" xfId="17672"/>
    <cellStyle name="集計 2 7 4 2" xfId="28062"/>
    <cellStyle name="集計 2 7 5" xfId="28057"/>
    <cellStyle name="集計 2 8" xfId="12508"/>
    <cellStyle name="集計 2 8 2" xfId="19890"/>
    <cellStyle name="集計 2 8 2 2" xfId="28064"/>
    <cellStyle name="集計 2 8 3" xfId="28063"/>
    <cellStyle name="集計 2 9" xfId="9514"/>
    <cellStyle name="集計 2 9 2" xfId="28066"/>
    <cellStyle name="集計 2 9 3" xfId="28065"/>
    <cellStyle name="集計 3" xfId="5159"/>
    <cellStyle name="集計 3 10" xfId="28067"/>
    <cellStyle name="集計 3 11" xfId="28068"/>
    <cellStyle name="集計 3 12" xfId="61043"/>
    <cellStyle name="集計 3 2" xfId="5160"/>
    <cellStyle name="集計 3 2 2" xfId="5161"/>
    <cellStyle name="集計 3 2 2 2" xfId="12510"/>
    <cellStyle name="集計 3 2 2 2 2" xfId="21274"/>
    <cellStyle name="集計 3 2 2 2 2 2" xfId="28070"/>
    <cellStyle name="集計 3 2 2 2 2 3" xfId="60087"/>
    <cellStyle name="集計 3 2 2 2 3" xfId="28069"/>
    <cellStyle name="集計 3 2 2 2 4" xfId="60088"/>
    <cellStyle name="集計 3 2 2 3" xfId="12511"/>
    <cellStyle name="集計 3 2 2 3 2" xfId="18711"/>
    <cellStyle name="集計 3 2 2 3 2 2" xfId="28072"/>
    <cellStyle name="集計 3 2 2 3 3" xfId="28071"/>
    <cellStyle name="集計 3 2 2 4" xfId="12509"/>
    <cellStyle name="集計 3 2 2 4 2" xfId="28073"/>
    <cellStyle name="集計 3 2 2 5" xfId="18356"/>
    <cellStyle name="集計 3 2 3" xfId="5162"/>
    <cellStyle name="集計 3 2 3 2" xfId="12512"/>
    <cellStyle name="集計 3 2 3 2 2" xfId="28074"/>
    <cellStyle name="集計 3 2 3 2 2 2" xfId="60089"/>
    <cellStyle name="集計 3 2 3 2 2 3" xfId="60090"/>
    <cellStyle name="集計 3 2 3 2 3" xfId="60091"/>
    <cellStyle name="集計 3 2 3 2 4" xfId="60092"/>
    <cellStyle name="集計 3 2 3 3" xfId="17669"/>
    <cellStyle name="集計 3 2 3 3 2" xfId="60093"/>
    <cellStyle name="集計 3 2 3 3 3" xfId="60094"/>
    <cellStyle name="集計 3 2 3 4" xfId="60095"/>
    <cellStyle name="集計 3 2 3 5" xfId="60096"/>
    <cellStyle name="集計 3 2 4" xfId="9522"/>
    <cellStyle name="集計 3 2 4 2" xfId="28075"/>
    <cellStyle name="集計 3 2 4 2 2" xfId="60097"/>
    <cellStyle name="集計 3 2 4 2 3" xfId="60098"/>
    <cellStyle name="集計 3 2 4 3" xfId="60099"/>
    <cellStyle name="集計 3 2 4 4" xfId="60100"/>
    <cellStyle name="集計 3 2 5" xfId="60101"/>
    <cellStyle name="集計 3 2 5 2" xfId="60102"/>
    <cellStyle name="集計 3 2 5 3" xfId="60103"/>
    <cellStyle name="集計 3 2 6" xfId="61044"/>
    <cellStyle name="集計 3 3" xfId="5163"/>
    <cellStyle name="集計 3 3 2" xfId="12513"/>
    <cellStyle name="集計 3 3 2 2" xfId="12514"/>
    <cellStyle name="集計 3 3 2 2 2" xfId="19888"/>
    <cellStyle name="集計 3 3 2 2 2 2" xfId="28078"/>
    <cellStyle name="集計 3 3 2 2 3" xfId="28077"/>
    <cellStyle name="集計 3 3 2 3" xfId="12515"/>
    <cellStyle name="集計 3 3 2 3 2" xfId="19887"/>
    <cellStyle name="集計 3 3 2 3 2 2" xfId="28080"/>
    <cellStyle name="集計 3 3 2 3 3" xfId="28079"/>
    <cellStyle name="集計 3 3 2 4" xfId="19889"/>
    <cellStyle name="集計 3 3 2 4 2" xfId="28081"/>
    <cellStyle name="集計 3 3 2 5" xfId="28076"/>
    <cellStyle name="集計 3 3 3" xfId="12516"/>
    <cellStyle name="集計 3 3 3 2" xfId="19886"/>
    <cellStyle name="集計 3 3 3 2 2" xfId="28083"/>
    <cellStyle name="集計 3 3 3 3" xfId="28082"/>
    <cellStyle name="集計 3 3 4" xfId="9523"/>
    <cellStyle name="集計 3 3 4 2" xfId="28084"/>
    <cellStyle name="集計 3 4" xfId="5164"/>
    <cellStyle name="集計 3 4 2" xfId="12517"/>
    <cellStyle name="集計 3 4 2 2" xfId="12518"/>
    <cellStyle name="集計 3 4 2 2 2" xfId="18355"/>
    <cellStyle name="集計 3 4 2 2 2 2" xfId="28087"/>
    <cellStyle name="集計 3 4 2 2 3" xfId="28086"/>
    <cellStyle name="集計 3 4 2 3" xfId="12519"/>
    <cellStyle name="集計 3 4 2 3 2" xfId="19885"/>
    <cellStyle name="集計 3 4 2 3 2 2" xfId="28089"/>
    <cellStyle name="集計 3 4 2 3 3" xfId="28088"/>
    <cellStyle name="集計 3 4 2 4" xfId="21273"/>
    <cellStyle name="集計 3 4 2 4 2" xfId="28090"/>
    <cellStyle name="集計 3 4 2 5" xfId="28085"/>
    <cellStyle name="集計 3 4 3" xfId="12520"/>
    <cellStyle name="集計 3 4 3 2" xfId="19884"/>
    <cellStyle name="集計 3 4 3 2 2" xfId="28092"/>
    <cellStyle name="集計 3 4 3 3" xfId="28091"/>
    <cellStyle name="集計 3 4 4" xfId="9524"/>
    <cellStyle name="集計 3 4 4 2" xfId="28093"/>
    <cellStyle name="集計 3 5" xfId="9525"/>
    <cellStyle name="集計 3 5 2" xfId="12521"/>
    <cellStyle name="集計 3 5 2 2" xfId="12522"/>
    <cellStyle name="集計 3 5 2 2 2" xfId="19883"/>
    <cellStyle name="集計 3 5 2 2 2 2" xfId="28097"/>
    <cellStyle name="集計 3 5 2 2 3" xfId="28096"/>
    <cellStyle name="集計 3 5 2 3" xfId="12523"/>
    <cellStyle name="集計 3 5 2 3 2" xfId="21272"/>
    <cellStyle name="集計 3 5 2 3 2 2" xfId="28099"/>
    <cellStyle name="集計 3 5 2 3 3" xfId="28098"/>
    <cellStyle name="集計 3 5 2 4" xfId="21076"/>
    <cellStyle name="集計 3 5 2 4 2" xfId="28100"/>
    <cellStyle name="集計 3 5 2 5" xfId="28095"/>
    <cellStyle name="集計 3 5 3" xfId="12524"/>
    <cellStyle name="集計 3 5 3 2" xfId="19882"/>
    <cellStyle name="集計 3 5 3 2 2" xfId="28102"/>
    <cellStyle name="集計 3 5 3 3" xfId="28101"/>
    <cellStyle name="集計 3 5 4" xfId="28103"/>
    <cellStyle name="集計 3 5 5" xfId="28094"/>
    <cellStyle name="集計 3 6" xfId="9526"/>
    <cellStyle name="集計 3 6 2" xfId="12525"/>
    <cellStyle name="集計 3 6 2 2" xfId="12526"/>
    <cellStyle name="集計 3 6 2 2 2" xfId="17668"/>
    <cellStyle name="集計 3 6 2 2 2 2" xfId="28107"/>
    <cellStyle name="集計 3 6 2 2 3" xfId="28106"/>
    <cellStyle name="集計 3 6 2 3" xfId="18354"/>
    <cellStyle name="集計 3 6 2 3 2" xfId="28108"/>
    <cellStyle name="集計 3 6 2 4" xfId="28105"/>
    <cellStyle name="集計 3 6 3" xfId="12527"/>
    <cellStyle name="集計 3 6 3 2" xfId="19881"/>
    <cellStyle name="集計 3 6 3 2 2" xfId="28110"/>
    <cellStyle name="集計 3 6 3 3" xfId="28109"/>
    <cellStyle name="集計 3 6 4" xfId="28111"/>
    <cellStyle name="集計 3 6 5" xfId="28104"/>
    <cellStyle name="集計 3 7" xfId="12528"/>
    <cellStyle name="集計 3 7 2" xfId="12529"/>
    <cellStyle name="集計 3 7 2 2" xfId="21271"/>
    <cellStyle name="集計 3 7 2 2 2" xfId="28114"/>
    <cellStyle name="集計 3 7 2 3" xfId="28113"/>
    <cellStyle name="集計 3 7 3" xfId="12530"/>
    <cellStyle name="集計 3 7 3 2" xfId="19879"/>
    <cellStyle name="集計 3 7 3 2 2" xfId="28116"/>
    <cellStyle name="集計 3 7 3 3" xfId="28115"/>
    <cellStyle name="集計 3 7 4" xfId="19880"/>
    <cellStyle name="集計 3 7 4 2" xfId="28117"/>
    <cellStyle name="集計 3 7 5" xfId="28112"/>
    <cellStyle name="集計 3 8" xfId="12531"/>
    <cellStyle name="集計 3 8 2" xfId="17667"/>
    <cellStyle name="集計 3 8 2 2" xfId="28119"/>
    <cellStyle name="集計 3 8 3" xfId="28118"/>
    <cellStyle name="集計 3 9" xfId="9521"/>
    <cellStyle name="集計 3 9 2" xfId="28121"/>
    <cellStyle name="集計 3 9 3" xfId="28120"/>
    <cellStyle name="集計 4" xfId="5165"/>
    <cellStyle name="集計 4 2" xfId="5166"/>
    <cellStyle name="集計 4 2 2" xfId="5167"/>
    <cellStyle name="集計 4 2 2 2" xfId="12533"/>
    <cellStyle name="集計 4 2 2 2 2" xfId="18353"/>
    <cellStyle name="集計 4 2 2 2 2 2" xfId="28123"/>
    <cellStyle name="集計 4 2 2 2 2 3" xfId="60104"/>
    <cellStyle name="集計 4 2 2 2 3" xfId="28122"/>
    <cellStyle name="集計 4 2 2 2 4" xfId="60105"/>
    <cellStyle name="集計 4 2 2 3" xfId="12534"/>
    <cellStyle name="集計 4 2 2 3 2" xfId="18352"/>
    <cellStyle name="集計 4 2 2 3 2 2" xfId="28125"/>
    <cellStyle name="集計 4 2 2 3 3" xfId="28124"/>
    <cellStyle name="集計 4 2 2 4" xfId="12532"/>
    <cellStyle name="集計 4 2 2 4 2" xfId="28126"/>
    <cellStyle name="集計 4 2 2 5" xfId="19878"/>
    <cellStyle name="集計 4 2 3" xfId="5168"/>
    <cellStyle name="集計 4 2 3 2" xfId="12535"/>
    <cellStyle name="集計 4 2 3 2 2" xfId="28127"/>
    <cellStyle name="集計 4 2 3 2 2 2" xfId="60106"/>
    <cellStyle name="集計 4 2 3 2 2 3" xfId="60107"/>
    <cellStyle name="集計 4 2 3 2 3" xfId="60108"/>
    <cellStyle name="集計 4 2 3 2 4" xfId="60109"/>
    <cellStyle name="集計 4 2 3 3" xfId="21270"/>
    <cellStyle name="集計 4 2 3 3 2" xfId="60110"/>
    <cellStyle name="集計 4 2 3 3 3" xfId="60111"/>
    <cellStyle name="集計 4 2 3 4" xfId="60112"/>
    <cellStyle name="集計 4 2 3 5" xfId="60113"/>
    <cellStyle name="集計 4 2 4" xfId="9528"/>
    <cellStyle name="集計 4 2 4 2" xfId="28128"/>
    <cellStyle name="集計 4 2 4 2 2" xfId="60114"/>
    <cellStyle name="集計 4 2 4 2 3" xfId="60115"/>
    <cellStyle name="集計 4 2 4 3" xfId="60116"/>
    <cellStyle name="集計 4 2 4 4" xfId="60117"/>
    <cellStyle name="集計 4 2 5" xfId="60118"/>
    <cellStyle name="集計 4 2 5 2" xfId="60119"/>
    <cellStyle name="集計 4 2 5 3" xfId="60120"/>
    <cellStyle name="集計 4 2 6" xfId="61046"/>
    <cellStyle name="集計 4 3" xfId="5169"/>
    <cellStyle name="集計 4 3 2" xfId="12536"/>
    <cellStyle name="集計 4 3 2 2" xfId="12537"/>
    <cellStyle name="集計 4 3 2 2 2" xfId="17665"/>
    <cellStyle name="集計 4 3 2 2 2 2" xfId="28131"/>
    <cellStyle name="集計 4 3 2 2 3" xfId="28130"/>
    <cellStyle name="集計 4 3 2 3" xfId="12538"/>
    <cellStyle name="集計 4 3 2 3 2" xfId="19877"/>
    <cellStyle name="集計 4 3 2 3 2 2" xfId="28133"/>
    <cellStyle name="集計 4 3 2 3 3" xfId="28132"/>
    <cellStyle name="集計 4 3 2 4" xfId="17666"/>
    <cellStyle name="集計 4 3 2 4 2" xfId="28134"/>
    <cellStyle name="集計 4 3 2 5" xfId="28129"/>
    <cellStyle name="集計 4 3 3" xfId="12539"/>
    <cellStyle name="集計 4 3 3 2" xfId="19876"/>
    <cellStyle name="集計 4 3 3 2 2" xfId="28136"/>
    <cellStyle name="集計 4 3 3 3" xfId="28135"/>
    <cellStyle name="集計 4 3 4" xfId="9529"/>
    <cellStyle name="集計 4 3 4 2" xfId="28137"/>
    <cellStyle name="集計 4 4" xfId="5170"/>
    <cellStyle name="集計 4 4 2" xfId="12540"/>
    <cellStyle name="集計 4 4 2 2" xfId="12541"/>
    <cellStyle name="集計 4 4 2 2 2" xfId="19874"/>
    <cellStyle name="集計 4 4 2 2 2 2" xfId="28140"/>
    <cellStyle name="集計 4 4 2 2 3" xfId="28139"/>
    <cellStyle name="集計 4 4 2 3" xfId="12542"/>
    <cellStyle name="集計 4 4 2 3 2" xfId="18710"/>
    <cellStyle name="集計 4 4 2 3 2 2" xfId="28142"/>
    <cellStyle name="集計 4 4 2 3 3" xfId="28141"/>
    <cellStyle name="集計 4 4 2 4" xfId="19875"/>
    <cellStyle name="集計 4 4 2 4 2" xfId="28143"/>
    <cellStyle name="集計 4 4 2 5" xfId="28138"/>
    <cellStyle name="集計 4 4 3" xfId="12543"/>
    <cellStyle name="集計 4 4 3 2" xfId="21269"/>
    <cellStyle name="集計 4 4 3 2 2" xfId="28145"/>
    <cellStyle name="集計 4 4 3 3" xfId="28144"/>
    <cellStyle name="集計 4 4 4" xfId="9530"/>
    <cellStyle name="集計 4 4 4 2" xfId="28146"/>
    <cellStyle name="集計 4 5" xfId="9531"/>
    <cellStyle name="集計 4 5 2" xfId="12544"/>
    <cellStyle name="集計 4 5 2 2" xfId="12545"/>
    <cellStyle name="集計 4 5 2 2 2" xfId="19872"/>
    <cellStyle name="集計 4 5 2 2 2 2" xfId="28150"/>
    <cellStyle name="集計 4 5 2 2 3" xfId="28149"/>
    <cellStyle name="集計 4 5 2 3" xfId="12546"/>
    <cellStyle name="集計 4 5 2 3 2" xfId="21075"/>
    <cellStyle name="集計 4 5 2 3 2 2" xfId="28152"/>
    <cellStyle name="集計 4 5 2 3 3" xfId="28151"/>
    <cellStyle name="集計 4 5 2 4" xfId="19873"/>
    <cellStyle name="集計 4 5 2 4 2" xfId="28153"/>
    <cellStyle name="集計 4 5 2 5" xfId="28148"/>
    <cellStyle name="集計 4 5 3" xfId="12547"/>
    <cellStyle name="集計 4 5 3 2" xfId="19871"/>
    <cellStyle name="集計 4 5 3 2 2" xfId="28155"/>
    <cellStyle name="集計 4 5 3 3" xfId="28154"/>
    <cellStyle name="集計 4 5 4" xfId="28156"/>
    <cellStyle name="集計 4 5 5" xfId="28147"/>
    <cellStyle name="集計 4 6" xfId="12548"/>
    <cellStyle name="集計 4 6 2" xfId="12549"/>
    <cellStyle name="集計 4 6 2 2" xfId="21268"/>
    <cellStyle name="集計 4 6 2 2 2" xfId="28159"/>
    <cellStyle name="集計 4 6 2 3" xfId="28158"/>
    <cellStyle name="集計 4 6 3" xfId="12550"/>
    <cellStyle name="集計 4 6 3 2" xfId="18351"/>
    <cellStyle name="集計 4 6 3 2 2" xfId="28161"/>
    <cellStyle name="集計 4 6 3 3" xfId="28160"/>
    <cellStyle name="集計 4 6 4" xfId="19870"/>
    <cellStyle name="集計 4 6 4 2" xfId="28162"/>
    <cellStyle name="集計 4 6 5" xfId="28157"/>
    <cellStyle name="集計 4 7" xfId="12551"/>
    <cellStyle name="集計 4 7 2" xfId="17664"/>
    <cellStyle name="集計 4 7 2 2" xfId="28164"/>
    <cellStyle name="集計 4 7 3" xfId="28163"/>
    <cellStyle name="集計 4 8" xfId="9527"/>
    <cellStyle name="集計 4 8 2" xfId="28165"/>
    <cellStyle name="集計 4 9" xfId="61045"/>
    <cellStyle name="集計 5" xfId="9532"/>
    <cellStyle name="集計 5 2" xfId="12552"/>
    <cellStyle name="集計 5 2 2" xfId="12553"/>
    <cellStyle name="集計 5 2 2 2" xfId="19868"/>
    <cellStyle name="集計 5 2 2 2 2" xfId="28169"/>
    <cellStyle name="集計 5 2 2 3" xfId="28168"/>
    <cellStyle name="集計 5 2 3" xfId="19869"/>
    <cellStyle name="集計 5 2 3 2" xfId="28170"/>
    <cellStyle name="集計 5 2 4" xfId="28167"/>
    <cellStyle name="集計 5 3" xfId="12554"/>
    <cellStyle name="集計 5 3 2" xfId="19867"/>
    <cellStyle name="集計 5 3 2 2" xfId="28172"/>
    <cellStyle name="集計 5 3 3" xfId="28171"/>
    <cellStyle name="集計 5 4" xfId="28173"/>
    <cellStyle name="集計 5 5" xfId="28166"/>
    <cellStyle name="集計 5 6" xfId="61047"/>
    <cellStyle name="集計 6" xfId="12555"/>
    <cellStyle name="集計 6 2" xfId="21267"/>
    <cellStyle name="集計 6 2 2" xfId="28175"/>
    <cellStyle name="集計 6 2 3" xfId="60121"/>
    <cellStyle name="集計 6 3" xfId="28174"/>
    <cellStyle name="集計 6 4" xfId="60122"/>
    <cellStyle name="集計 7" xfId="9513"/>
    <cellStyle name="集計 7 2" xfId="28177"/>
    <cellStyle name="集計 7 3" xfId="28176"/>
    <cellStyle name="集計 8" xfId="28178"/>
    <cellStyle name="集計 8 2" xfId="60123"/>
    <cellStyle name="集計 8 3" xfId="60124"/>
    <cellStyle name="集計 9" xfId="28179"/>
    <cellStyle name="集計 9 2" xfId="60125"/>
    <cellStyle name="集計 9 3" xfId="60126"/>
    <cellStyle name="集計_培训名单通知" xfId="9533"/>
    <cellStyle name="计算 10" xfId="9534"/>
    <cellStyle name="计算 10 10" xfId="28180"/>
    <cellStyle name="计算 10 11" xfId="39987"/>
    <cellStyle name="计算 10 2" xfId="9535"/>
    <cellStyle name="计算 10 2 2" xfId="12556"/>
    <cellStyle name="计算 10 2 2 2" xfId="12557"/>
    <cellStyle name="计算 10 2 2 2 2" xfId="19866"/>
    <cellStyle name="计算 10 2 2 2 2 2" xfId="28184"/>
    <cellStyle name="计算 10 2 2 2 2 3" xfId="39991"/>
    <cellStyle name="计算 10 2 2 2 3" xfId="28183"/>
    <cellStyle name="计算 10 2 2 2 4" xfId="39990"/>
    <cellStyle name="计算 10 2 2 3" xfId="12558"/>
    <cellStyle name="计算 10 2 2 3 2" xfId="18350"/>
    <cellStyle name="计算 10 2 2 3 2 2" xfId="28186"/>
    <cellStyle name="计算 10 2 2 3 2 3" xfId="39993"/>
    <cellStyle name="计算 10 2 2 3 3" xfId="28185"/>
    <cellStyle name="计算 10 2 2 3 4" xfId="39992"/>
    <cellStyle name="计算 10 2 2 4" xfId="17663"/>
    <cellStyle name="计算 10 2 2 4 2" xfId="28187"/>
    <cellStyle name="计算 10 2 2 4 3" xfId="39994"/>
    <cellStyle name="计算 10 2 2 5" xfId="28182"/>
    <cellStyle name="计算 10 2 2 6" xfId="39989"/>
    <cellStyle name="计算 10 2 3" xfId="12559"/>
    <cellStyle name="计算 10 2 3 2" xfId="19865"/>
    <cellStyle name="计算 10 2 3 2 2" xfId="28189"/>
    <cellStyle name="计算 10 2 3 2 3" xfId="39996"/>
    <cellStyle name="计算 10 2 3 3" xfId="28188"/>
    <cellStyle name="计算 10 2 3 4" xfId="39995"/>
    <cellStyle name="计算 10 2 4" xfId="12560"/>
    <cellStyle name="计算 10 2 4 2" xfId="19864"/>
    <cellStyle name="计算 10 2 4 2 2" xfId="28191"/>
    <cellStyle name="计算 10 2 4 2 3" xfId="39998"/>
    <cellStyle name="计算 10 2 4 3" xfId="28190"/>
    <cellStyle name="计算 10 2 4 4" xfId="39997"/>
    <cellStyle name="计算 10 2 5" xfId="28192"/>
    <cellStyle name="计算 10 2 5 2" xfId="39999"/>
    <cellStyle name="计算 10 2 6" xfId="28181"/>
    <cellStyle name="计算 10 2 7" xfId="39988"/>
    <cellStyle name="计算 10 3" xfId="9536"/>
    <cellStyle name="计算 10 3 2" xfId="12561"/>
    <cellStyle name="计算 10 3 2 2" xfId="12562"/>
    <cellStyle name="计算 10 3 2 2 2" xfId="17661"/>
    <cellStyle name="计算 10 3 2 2 2 2" xfId="28196"/>
    <cellStyle name="计算 10 3 2 2 2 3" xfId="40003"/>
    <cellStyle name="计算 10 3 2 2 3" xfId="28195"/>
    <cellStyle name="计算 10 3 2 2 4" xfId="40002"/>
    <cellStyle name="计算 10 3 2 3" xfId="12563"/>
    <cellStyle name="计算 10 3 2 3 2" xfId="21266"/>
    <cellStyle name="计算 10 3 2 3 2 2" xfId="28198"/>
    <cellStyle name="计算 10 3 2 3 2 3" xfId="40005"/>
    <cellStyle name="计算 10 3 2 3 3" xfId="28197"/>
    <cellStyle name="计算 10 3 2 3 4" xfId="40004"/>
    <cellStyle name="计算 10 3 2 4" xfId="17662"/>
    <cellStyle name="计算 10 3 2 4 2" xfId="28199"/>
    <cellStyle name="计算 10 3 2 4 3" xfId="40006"/>
    <cellStyle name="计算 10 3 2 5" xfId="28194"/>
    <cellStyle name="计算 10 3 2 6" xfId="40001"/>
    <cellStyle name="计算 10 3 3" xfId="12564"/>
    <cellStyle name="计算 10 3 3 2" xfId="19863"/>
    <cellStyle name="计算 10 3 3 2 2" xfId="28201"/>
    <cellStyle name="计算 10 3 3 2 3" xfId="40008"/>
    <cellStyle name="计算 10 3 3 3" xfId="28200"/>
    <cellStyle name="计算 10 3 3 4" xfId="40007"/>
    <cellStyle name="计算 10 3 4" xfId="12565"/>
    <cellStyle name="计算 10 3 4 2" xfId="19862"/>
    <cellStyle name="计算 10 3 4 2 2" xfId="28203"/>
    <cellStyle name="计算 10 3 4 2 3" xfId="40010"/>
    <cellStyle name="计算 10 3 4 3" xfId="28202"/>
    <cellStyle name="计算 10 3 4 4" xfId="40009"/>
    <cellStyle name="计算 10 3 5" xfId="28204"/>
    <cellStyle name="计算 10 3 5 2" xfId="40011"/>
    <cellStyle name="计算 10 3 6" xfId="28193"/>
    <cellStyle name="计算 10 3 7" xfId="40000"/>
    <cellStyle name="计算 10 4" xfId="9537"/>
    <cellStyle name="计算 10 4 2" xfId="12566"/>
    <cellStyle name="计算 10 4 2 2" xfId="12567"/>
    <cellStyle name="计算 10 4 2 2 2" xfId="19861"/>
    <cellStyle name="计算 10 4 2 2 2 2" xfId="28208"/>
    <cellStyle name="计算 10 4 2 2 2 3" xfId="40015"/>
    <cellStyle name="计算 10 4 2 2 3" xfId="28207"/>
    <cellStyle name="计算 10 4 2 2 4" xfId="40014"/>
    <cellStyle name="计算 10 4 2 3" xfId="12568"/>
    <cellStyle name="计算 10 4 2 3 2" xfId="19860"/>
    <cellStyle name="计算 10 4 2 3 2 2" xfId="28210"/>
    <cellStyle name="计算 10 4 2 3 2 3" xfId="40017"/>
    <cellStyle name="计算 10 4 2 3 3" xfId="28209"/>
    <cellStyle name="计算 10 4 2 3 4" xfId="40016"/>
    <cellStyle name="计算 10 4 2 4" xfId="18349"/>
    <cellStyle name="计算 10 4 2 4 2" xfId="28211"/>
    <cellStyle name="计算 10 4 2 4 3" xfId="40018"/>
    <cellStyle name="计算 10 4 2 5" xfId="28206"/>
    <cellStyle name="计算 10 4 2 6" xfId="40013"/>
    <cellStyle name="计算 10 4 3" xfId="12569"/>
    <cellStyle name="计算 10 4 3 2" xfId="19859"/>
    <cellStyle name="计算 10 4 3 2 2" xfId="28213"/>
    <cellStyle name="计算 10 4 3 2 3" xfId="40020"/>
    <cellStyle name="计算 10 4 3 3" xfId="28212"/>
    <cellStyle name="计算 10 4 3 4" xfId="40019"/>
    <cellStyle name="计算 10 4 4" xfId="12570"/>
    <cellStyle name="计算 10 4 4 2" xfId="19858"/>
    <cellStyle name="计算 10 4 4 2 2" xfId="28215"/>
    <cellStyle name="计算 10 4 4 2 3" xfId="40022"/>
    <cellStyle name="计算 10 4 4 3" xfId="28214"/>
    <cellStyle name="计算 10 4 4 4" xfId="40021"/>
    <cellStyle name="计算 10 4 5" xfId="28216"/>
    <cellStyle name="计算 10 4 5 2" xfId="40023"/>
    <cellStyle name="计算 10 4 6" xfId="28205"/>
    <cellStyle name="计算 10 4 7" xfId="40012"/>
    <cellStyle name="计算 10 5" xfId="9538"/>
    <cellStyle name="计算 10 5 2" xfId="12571"/>
    <cellStyle name="计算 10 5 2 2" xfId="12572"/>
    <cellStyle name="计算 10 5 2 2 2" xfId="18348"/>
    <cellStyle name="计算 10 5 2 2 2 2" xfId="28220"/>
    <cellStyle name="计算 10 5 2 2 2 3" xfId="40027"/>
    <cellStyle name="计算 10 5 2 2 3" xfId="28219"/>
    <cellStyle name="计算 10 5 2 2 4" xfId="40026"/>
    <cellStyle name="计算 10 5 2 3" xfId="12573"/>
    <cellStyle name="计算 10 5 2 3 2" xfId="18709"/>
    <cellStyle name="计算 10 5 2 3 2 2" xfId="28222"/>
    <cellStyle name="计算 10 5 2 3 2 3" xfId="40029"/>
    <cellStyle name="计算 10 5 2 3 3" xfId="28221"/>
    <cellStyle name="计算 10 5 2 3 4" xfId="40028"/>
    <cellStyle name="计算 10 5 2 4" xfId="17660"/>
    <cellStyle name="计算 10 5 2 4 2" xfId="28223"/>
    <cellStyle name="计算 10 5 2 4 3" xfId="40030"/>
    <cellStyle name="计算 10 5 2 5" xfId="28218"/>
    <cellStyle name="计算 10 5 2 6" xfId="40025"/>
    <cellStyle name="计算 10 5 3" xfId="12574"/>
    <cellStyle name="计算 10 5 3 2" xfId="18708"/>
    <cellStyle name="计算 10 5 3 2 2" xfId="28225"/>
    <cellStyle name="计算 10 5 3 2 3" xfId="40032"/>
    <cellStyle name="计算 10 5 3 3" xfId="28224"/>
    <cellStyle name="计算 10 5 3 4" xfId="40031"/>
    <cellStyle name="计算 10 5 4" xfId="12575"/>
    <cellStyle name="计算 10 5 4 2" xfId="19857"/>
    <cellStyle name="计算 10 5 4 2 2" xfId="28227"/>
    <cellStyle name="计算 10 5 4 2 3" xfId="40034"/>
    <cellStyle name="计算 10 5 4 3" xfId="28226"/>
    <cellStyle name="计算 10 5 4 4" xfId="40033"/>
    <cellStyle name="计算 10 5 5" xfId="28228"/>
    <cellStyle name="计算 10 5 5 2" xfId="40035"/>
    <cellStyle name="计算 10 5 6" xfId="28217"/>
    <cellStyle name="计算 10 5 7" xfId="40024"/>
    <cellStyle name="计算 10 6" xfId="12576"/>
    <cellStyle name="计算 10 6 2" xfId="12577"/>
    <cellStyle name="计算 10 6 2 2" xfId="19856"/>
    <cellStyle name="计算 10 6 2 2 2" xfId="28231"/>
    <cellStyle name="计算 10 6 2 2 3" xfId="40038"/>
    <cellStyle name="计算 10 6 2 3" xfId="28230"/>
    <cellStyle name="计算 10 6 2 4" xfId="40037"/>
    <cellStyle name="计算 10 6 3" xfId="12578"/>
    <cellStyle name="计算 10 6 3 2" xfId="19855"/>
    <cellStyle name="计算 10 6 3 2 2" xfId="28233"/>
    <cellStyle name="计算 10 6 3 2 3" xfId="40040"/>
    <cellStyle name="计算 10 6 3 3" xfId="28232"/>
    <cellStyle name="计算 10 6 3 4" xfId="40039"/>
    <cellStyle name="计算 10 6 4" xfId="17659"/>
    <cellStyle name="计算 10 6 4 2" xfId="28234"/>
    <cellStyle name="计算 10 6 4 3" xfId="40041"/>
    <cellStyle name="计算 10 6 5" xfId="28229"/>
    <cellStyle name="计算 10 6 6" xfId="40036"/>
    <cellStyle name="计算 10 7" xfId="12579"/>
    <cellStyle name="计算 10 7 2" xfId="19854"/>
    <cellStyle name="计算 10 7 2 2" xfId="28236"/>
    <cellStyle name="计算 10 7 2 3" xfId="40043"/>
    <cellStyle name="计算 10 7 3" xfId="28235"/>
    <cellStyle name="计算 10 7 4" xfId="40042"/>
    <cellStyle name="计算 10 8" xfId="12580"/>
    <cellStyle name="计算 10 8 2" xfId="18707"/>
    <cellStyle name="计算 10 8 2 2" xfId="28238"/>
    <cellStyle name="计算 10 8 2 3" xfId="40045"/>
    <cellStyle name="计算 10 8 3" xfId="28237"/>
    <cellStyle name="计算 10 8 4" xfId="40044"/>
    <cellStyle name="计算 10 9" xfId="28239"/>
    <cellStyle name="计算 10 9 2" xfId="40046"/>
    <cellStyle name="计算 11" xfId="9539"/>
    <cellStyle name="计算 11 10" xfId="28240"/>
    <cellStyle name="计算 11 11" xfId="40047"/>
    <cellStyle name="计算 11 2" xfId="9540"/>
    <cellStyle name="计算 11 2 2" xfId="12581"/>
    <cellStyle name="计算 11 2 2 2" xfId="12582"/>
    <cellStyle name="计算 11 2 2 2 2" xfId="19853"/>
    <cellStyle name="计算 11 2 2 2 2 2" xfId="28244"/>
    <cellStyle name="计算 11 2 2 2 2 3" xfId="40051"/>
    <cellStyle name="计算 11 2 2 2 3" xfId="28243"/>
    <cellStyle name="计算 11 2 2 2 4" xfId="40050"/>
    <cellStyle name="计算 11 2 2 3" xfId="12583"/>
    <cellStyle name="计算 11 2 2 3 2" xfId="19852"/>
    <cellStyle name="计算 11 2 2 3 2 2" xfId="28246"/>
    <cellStyle name="计算 11 2 2 3 2 3" xfId="40053"/>
    <cellStyle name="计算 11 2 2 3 3" xfId="28245"/>
    <cellStyle name="计算 11 2 2 3 4" xfId="40052"/>
    <cellStyle name="计算 11 2 2 4" xfId="17657"/>
    <cellStyle name="计算 11 2 2 4 2" xfId="28247"/>
    <cellStyle name="计算 11 2 2 4 3" xfId="40054"/>
    <cellStyle name="计算 11 2 2 5" xfId="28242"/>
    <cellStyle name="计算 11 2 2 6" xfId="40049"/>
    <cellStyle name="计算 11 2 3" xfId="12584"/>
    <cellStyle name="计算 11 2 3 2" xfId="19851"/>
    <cellStyle name="计算 11 2 3 2 2" xfId="28249"/>
    <cellStyle name="计算 11 2 3 2 3" xfId="40056"/>
    <cellStyle name="计算 11 2 3 3" xfId="28248"/>
    <cellStyle name="计算 11 2 3 4" xfId="40055"/>
    <cellStyle name="计算 11 2 4" xfId="12585"/>
    <cellStyle name="计算 11 2 4 2" xfId="19850"/>
    <cellStyle name="计算 11 2 4 2 2" xfId="28251"/>
    <cellStyle name="计算 11 2 4 2 3" xfId="40058"/>
    <cellStyle name="计算 11 2 4 3" xfId="28250"/>
    <cellStyle name="计算 11 2 4 4" xfId="40057"/>
    <cellStyle name="计算 11 2 5" xfId="28252"/>
    <cellStyle name="计算 11 2 5 2" xfId="40059"/>
    <cellStyle name="计算 11 2 6" xfId="28241"/>
    <cellStyle name="计算 11 2 7" xfId="40048"/>
    <cellStyle name="计算 11 3" xfId="9541"/>
    <cellStyle name="计算 11 3 2" xfId="12586"/>
    <cellStyle name="计算 11 3 2 2" xfId="12587"/>
    <cellStyle name="计算 11 3 2 2 2" xfId="18637"/>
    <cellStyle name="计算 11 3 2 2 2 2" xfId="28256"/>
    <cellStyle name="计算 11 3 2 2 2 3" xfId="40063"/>
    <cellStyle name="计算 11 3 2 2 3" xfId="28255"/>
    <cellStyle name="计算 11 3 2 2 4" xfId="40062"/>
    <cellStyle name="计算 11 3 2 3" xfId="12588"/>
    <cellStyle name="计算 11 3 2 3 2" xfId="21265"/>
    <cellStyle name="计算 11 3 2 3 2 2" xfId="28258"/>
    <cellStyle name="计算 11 3 2 3 2 3" xfId="40065"/>
    <cellStyle name="计算 11 3 2 3 3" xfId="28257"/>
    <cellStyle name="计算 11 3 2 3 4" xfId="40064"/>
    <cellStyle name="计算 11 3 2 4" xfId="17656"/>
    <cellStyle name="计算 11 3 2 4 2" xfId="28259"/>
    <cellStyle name="计算 11 3 2 4 3" xfId="40066"/>
    <cellStyle name="计算 11 3 2 5" xfId="28254"/>
    <cellStyle name="计算 11 3 2 6" xfId="40061"/>
    <cellStyle name="计算 11 3 3" xfId="12589"/>
    <cellStyle name="计算 11 3 3 2" xfId="18347"/>
    <cellStyle name="计算 11 3 3 2 2" xfId="28261"/>
    <cellStyle name="计算 11 3 3 2 3" xfId="40068"/>
    <cellStyle name="计算 11 3 3 3" xfId="28260"/>
    <cellStyle name="计算 11 3 3 4" xfId="40067"/>
    <cellStyle name="计算 11 3 4" xfId="12590"/>
    <cellStyle name="计算 11 3 4 2" xfId="19849"/>
    <cellStyle name="计算 11 3 4 2 2" xfId="28263"/>
    <cellStyle name="计算 11 3 4 2 3" xfId="40070"/>
    <cellStyle name="计算 11 3 4 3" xfId="28262"/>
    <cellStyle name="计算 11 3 4 4" xfId="40069"/>
    <cellStyle name="计算 11 3 5" xfId="28264"/>
    <cellStyle name="计算 11 3 5 2" xfId="40071"/>
    <cellStyle name="计算 11 3 6" xfId="28253"/>
    <cellStyle name="计算 11 3 7" xfId="40060"/>
    <cellStyle name="计算 11 4" xfId="9542"/>
    <cellStyle name="计算 11 4 2" xfId="12591"/>
    <cellStyle name="计算 11 4 2 2" xfId="12592"/>
    <cellStyle name="计算 11 4 2 2 2" xfId="19847"/>
    <cellStyle name="计算 11 4 2 2 2 2" xfId="28268"/>
    <cellStyle name="计算 11 4 2 2 2 3" xfId="40075"/>
    <cellStyle name="计算 11 4 2 2 3" xfId="28267"/>
    <cellStyle name="计算 11 4 2 2 4" xfId="40074"/>
    <cellStyle name="计算 11 4 2 3" xfId="12593"/>
    <cellStyle name="计算 11 4 2 3 2" xfId="21264"/>
    <cellStyle name="计算 11 4 2 3 2 2" xfId="28270"/>
    <cellStyle name="计算 11 4 2 3 2 3" xfId="40077"/>
    <cellStyle name="计算 11 4 2 3 3" xfId="28269"/>
    <cellStyle name="计算 11 4 2 3 4" xfId="40076"/>
    <cellStyle name="计算 11 4 2 4" xfId="19848"/>
    <cellStyle name="计算 11 4 2 4 2" xfId="28271"/>
    <cellStyle name="计算 11 4 2 4 3" xfId="40078"/>
    <cellStyle name="计算 11 4 2 5" xfId="28266"/>
    <cellStyle name="计算 11 4 2 6" xfId="40073"/>
    <cellStyle name="计算 11 4 3" xfId="12594"/>
    <cellStyle name="计算 11 4 3 2" xfId="19846"/>
    <cellStyle name="计算 11 4 3 2 2" xfId="28273"/>
    <cellStyle name="计算 11 4 3 2 3" xfId="40080"/>
    <cellStyle name="计算 11 4 3 3" xfId="28272"/>
    <cellStyle name="计算 11 4 3 4" xfId="40079"/>
    <cellStyle name="计算 11 4 4" xfId="12595"/>
    <cellStyle name="计算 11 4 4 2" xfId="18346"/>
    <cellStyle name="计算 11 4 4 2 2" xfId="28275"/>
    <cellStyle name="计算 11 4 4 2 3" xfId="40082"/>
    <cellStyle name="计算 11 4 4 3" xfId="28274"/>
    <cellStyle name="计算 11 4 4 4" xfId="40081"/>
    <cellStyle name="计算 11 4 5" xfId="28276"/>
    <cellStyle name="计算 11 4 5 2" xfId="40083"/>
    <cellStyle name="计算 11 4 6" xfId="28265"/>
    <cellStyle name="计算 11 4 7" xfId="40072"/>
    <cellStyle name="计算 11 5" xfId="9543"/>
    <cellStyle name="计算 11 5 2" xfId="12596"/>
    <cellStyle name="计算 11 5 2 2" xfId="12597"/>
    <cellStyle name="计算 11 5 2 2 2" xfId="19845"/>
    <cellStyle name="计算 11 5 2 2 2 2" xfId="28280"/>
    <cellStyle name="计算 11 5 2 2 2 3" xfId="40087"/>
    <cellStyle name="计算 11 5 2 2 3" xfId="28279"/>
    <cellStyle name="计算 11 5 2 2 4" xfId="40086"/>
    <cellStyle name="计算 11 5 2 3" xfId="12598"/>
    <cellStyle name="计算 11 5 2 3 2" xfId="19844"/>
    <cellStyle name="计算 11 5 2 3 2 2" xfId="28282"/>
    <cellStyle name="计算 11 5 2 3 2 3" xfId="40089"/>
    <cellStyle name="计算 11 5 2 3 3" xfId="28281"/>
    <cellStyle name="计算 11 5 2 3 4" xfId="40088"/>
    <cellStyle name="计算 11 5 2 4" xfId="21074"/>
    <cellStyle name="计算 11 5 2 4 2" xfId="28283"/>
    <cellStyle name="计算 11 5 2 4 3" xfId="40090"/>
    <cellStyle name="计算 11 5 2 5" xfId="28278"/>
    <cellStyle name="计算 11 5 2 6" xfId="40085"/>
    <cellStyle name="计算 11 5 3" xfId="12599"/>
    <cellStyle name="计算 11 5 3 2" xfId="19843"/>
    <cellStyle name="计算 11 5 3 2 2" xfId="28285"/>
    <cellStyle name="计算 11 5 3 2 3" xfId="40092"/>
    <cellStyle name="计算 11 5 3 3" xfId="28284"/>
    <cellStyle name="计算 11 5 3 4" xfId="40091"/>
    <cellStyle name="计算 11 5 4" xfId="12600"/>
    <cellStyle name="计算 11 5 4 2" xfId="19842"/>
    <cellStyle name="计算 11 5 4 2 2" xfId="28287"/>
    <cellStyle name="计算 11 5 4 2 3" xfId="40094"/>
    <cellStyle name="计算 11 5 4 3" xfId="28286"/>
    <cellStyle name="计算 11 5 4 4" xfId="40093"/>
    <cellStyle name="计算 11 5 5" xfId="28288"/>
    <cellStyle name="计算 11 5 5 2" xfId="40095"/>
    <cellStyle name="计算 11 5 6" xfId="28277"/>
    <cellStyle name="计算 11 5 7" xfId="40084"/>
    <cellStyle name="计算 11 6" xfId="12601"/>
    <cellStyle name="计算 11 6 2" xfId="12602"/>
    <cellStyle name="计算 11 6 2 2" xfId="18345"/>
    <cellStyle name="计算 11 6 2 2 2" xfId="28291"/>
    <cellStyle name="计算 11 6 2 2 3" xfId="40098"/>
    <cellStyle name="计算 11 6 2 3" xfId="28290"/>
    <cellStyle name="计算 11 6 2 4" xfId="40097"/>
    <cellStyle name="计算 11 6 3" xfId="12603"/>
    <cellStyle name="计算 11 6 3 2" xfId="19841"/>
    <cellStyle name="计算 11 6 3 2 2" xfId="28293"/>
    <cellStyle name="计算 11 6 3 2 3" xfId="40100"/>
    <cellStyle name="计算 11 6 3 3" xfId="28292"/>
    <cellStyle name="计算 11 6 3 4" xfId="40099"/>
    <cellStyle name="计算 11 6 4" xfId="17655"/>
    <cellStyle name="计算 11 6 4 2" xfId="28294"/>
    <cellStyle name="计算 11 6 4 3" xfId="40101"/>
    <cellStyle name="计算 11 6 5" xfId="28289"/>
    <cellStyle name="计算 11 6 6" xfId="40096"/>
    <cellStyle name="计算 11 7" xfId="12604"/>
    <cellStyle name="计算 11 7 2" xfId="21263"/>
    <cellStyle name="计算 11 7 2 2" xfId="28296"/>
    <cellStyle name="计算 11 7 2 3" xfId="40103"/>
    <cellStyle name="计算 11 7 3" xfId="28295"/>
    <cellStyle name="计算 11 7 4" xfId="40102"/>
    <cellStyle name="计算 11 8" xfId="12605"/>
    <cellStyle name="计算 11 8 2" xfId="21262"/>
    <cellStyle name="计算 11 8 2 2" xfId="28298"/>
    <cellStyle name="计算 11 8 2 3" xfId="40105"/>
    <cellStyle name="计算 11 8 3" xfId="28297"/>
    <cellStyle name="计算 11 8 4" xfId="40104"/>
    <cellStyle name="计算 11 9" xfId="28299"/>
    <cellStyle name="计算 11 9 2" xfId="40106"/>
    <cellStyle name="计算 12" xfId="28300"/>
    <cellStyle name="计算 12 2" xfId="40107"/>
    <cellStyle name="计算 2" xfId="683"/>
    <cellStyle name="计算 2 10" xfId="9545"/>
    <cellStyle name="计算 2 10 10" xfId="28302"/>
    <cellStyle name="计算 2 10 11" xfId="40108"/>
    <cellStyle name="计算 2 10 2" xfId="9546"/>
    <cellStyle name="计算 2 10 2 2" xfId="12606"/>
    <cellStyle name="计算 2 10 2 2 2" xfId="12607"/>
    <cellStyle name="计算 2 10 2 2 2 2" xfId="19840"/>
    <cellStyle name="计算 2 10 2 2 2 2 2" xfId="28306"/>
    <cellStyle name="计算 2 10 2 2 2 2 3" xfId="40112"/>
    <cellStyle name="计算 2 10 2 2 2 3" xfId="28305"/>
    <cellStyle name="计算 2 10 2 2 2 4" xfId="40111"/>
    <cellStyle name="计算 2 10 2 2 3" xfId="12608"/>
    <cellStyle name="计算 2 10 2 2 3 2" xfId="19839"/>
    <cellStyle name="计算 2 10 2 2 3 2 2" xfId="28308"/>
    <cellStyle name="计算 2 10 2 2 3 2 3" xfId="40114"/>
    <cellStyle name="计算 2 10 2 2 3 3" xfId="28307"/>
    <cellStyle name="计算 2 10 2 2 3 4" xfId="40113"/>
    <cellStyle name="计算 2 10 2 2 4" xfId="17654"/>
    <cellStyle name="计算 2 10 2 2 4 2" xfId="28309"/>
    <cellStyle name="计算 2 10 2 2 4 3" xfId="40115"/>
    <cellStyle name="计算 2 10 2 2 5" xfId="28304"/>
    <cellStyle name="计算 2 10 2 2 6" xfId="40110"/>
    <cellStyle name="计算 2 10 2 3" xfId="12609"/>
    <cellStyle name="计算 2 10 2 3 2" xfId="19838"/>
    <cellStyle name="计算 2 10 2 3 2 2" xfId="28311"/>
    <cellStyle name="计算 2 10 2 3 2 3" xfId="40117"/>
    <cellStyle name="计算 2 10 2 3 3" xfId="28310"/>
    <cellStyle name="计算 2 10 2 3 4" xfId="40116"/>
    <cellStyle name="计算 2 10 2 4" xfId="12610"/>
    <cellStyle name="计算 2 10 2 4 2" xfId="18344"/>
    <cellStyle name="计算 2 10 2 4 2 2" xfId="28313"/>
    <cellStyle name="计算 2 10 2 4 2 3" xfId="40119"/>
    <cellStyle name="计算 2 10 2 4 3" xfId="28312"/>
    <cellStyle name="计算 2 10 2 4 4" xfId="40118"/>
    <cellStyle name="计算 2 10 2 5" xfId="28314"/>
    <cellStyle name="计算 2 10 2 5 2" xfId="40120"/>
    <cellStyle name="计算 2 10 2 6" xfId="28303"/>
    <cellStyle name="计算 2 10 2 7" xfId="40109"/>
    <cellStyle name="计算 2 10 3" xfId="9547"/>
    <cellStyle name="计算 2 10 3 2" xfId="12611"/>
    <cellStyle name="计算 2 10 3 2 2" xfId="12612"/>
    <cellStyle name="计算 2 10 3 2 2 2" xfId="17652"/>
    <cellStyle name="计算 2 10 3 2 2 2 2" xfId="28318"/>
    <cellStyle name="计算 2 10 3 2 2 2 3" xfId="40124"/>
    <cellStyle name="计算 2 10 3 2 2 3" xfId="28317"/>
    <cellStyle name="计算 2 10 3 2 2 4" xfId="40123"/>
    <cellStyle name="计算 2 10 3 2 3" xfId="12613"/>
    <cellStyle name="计算 2 10 3 2 3 2" xfId="21261"/>
    <cellStyle name="计算 2 10 3 2 3 2 2" xfId="28320"/>
    <cellStyle name="计算 2 10 3 2 3 2 3" xfId="40126"/>
    <cellStyle name="计算 2 10 3 2 3 3" xfId="28319"/>
    <cellStyle name="计算 2 10 3 2 3 4" xfId="40125"/>
    <cellStyle name="计算 2 10 3 2 4" xfId="17653"/>
    <cellStyle name="计算 2 10 3 2 4 2" xfId="28321"/>
    <cellStyle name="计算 2 10 3 2 4 3" xfId="40127"/>
    <cellStyle name="计算 2 10 3 2 5" xfId="28316"/>
    <cellStyle name="计算 2 10 3 2 6" xfId="40122"/>
    <cellStyle name="计算 2 10 3 3" xfId="12614"/>
    <cellStyle name="计算 2 10 3 3 2" xfId="18343"/>
    <cellStyle name="计算 2 10 3 3 2 2" xfId="28323"/>
    <cellStyle name="计算 2 10 3 3 2 3" xfId="40129"/>
    <cellStyle name="计算 2 10 3 3 3" xfId="28322"/>
    <cellStyle name="计算 2 10 3 3 4" xfId="40128"/>
    <cellStyle name="计算 2 10 3 4" xfId="12615"/>
    <cellStyle name="计算 2 10 3 4 2" xfId="18342"/>
    <cellStyle name="计算 2 10 3 4 2 2" xfId="28325"/>
    <cellStyle name="计算 2 10 3 4 2 3" xfId="40131"/>
    <cellStyle name="计算 2 10 3 4 3" xfId="28324"/>
    <cellStyle name="计算 2 10 3 4 4" xfId="40130"/>
    <cellStyle name="计算 2 10 3 5" xfId="28326"/>
    <cellStyle name="计算 2 10 3 5 2" xfId="40132"/>
    <cellStyle name="计算 2 10 3 6" xfId="28315"/>
    <cellStyle name="计算 2 10 3 7" xfId="40121"/>
    <cellStyle name="计算 2 10 4" xfId="9548"/>
    <cellStyle name="计算 2 10 4 2" xfId="12616"/>
    <cellStyle name="计算 2 10 4 2 2" xfId="12617"/>
    <cellStyle name="计算 2 10 4 2 2 2" xfId="19836"/>
    <cellStyle name="计算 2 10 4 2 2 2 2" xfId="28330"/>
    <cellStyle name="计算 2 10 4 2 2 2 3" xfId="40136"/>
    <cellStyle name="计算 2 10 4 2 2 3" xfId="28329"/>
    <cellStyle name="计算 2 10 4 2 2 4" xfId="40135"/>
    <cellStyle name="计算 2 10 4 2 3" xfId="12618"/>
    <cellStyle name="计算 2 10 4 2 3 2" xfId="21260"/>
    <cellStyle name="计算 2 10 4 2 3 2 2" xfId="28332"/>
    <cellStyle name="计算 2 10 4 2 3 2 3" xfId="40138"/>
    <cellStyle name="计算 2 10 4 2 3 3" xfId="28331"/>
    <cellStyle name="计算 2 10 4 2 3 4" xfId="40137"/>
    <cellStyle name="计算 2 10 4 2 4" xfId="19837"/>
    <cellStyle name="计算 2 10 4 2 4 2" xfId="28333"/>
    <cellStyle name="计算 2 10 4 2 4 3" xfId="40139"/>
    <cellStyle name="计算 2 10 4 2 5" xfId="28328"/>
    <cellStyle name="计算 2 10 4 2 6" xfId="40134"/>
    <cellStyle name="计算 2 10 4 3" xfId="12619"/>
    <cellStyle name="计算 2 10 4 3 2" xfId="19835"/>
    <cellStyle name="计算 2 10 4 3 2 2" xfId="28335"/>
    <cellStyle name="计算 2 10 4 3 2 3" xfId="40141"/>
    <cellStyle name="计算 2 10 4 3 3" xfId="28334"/>
    <cellStyle name="计算 2 10 4 3 4" xfId="40140"/>
    <cellStyle name="计算 2 10 4 4" xfId="12620"/>
    <cellStyle name="计算 2 10 4 4 2" xfId="19834"/>
    <cellStyle name="计算 2 10 4 4 2 2" xfId="28337"/>
    <cellStyle name="计算 2 10 4 4 2 3" xfId="40143"/>
    <cellStyle name="计算 2 10 4 4 3" xfId="28336"/>
    <cellStyle name="计算 2 10 4 4 4" xfId="40142"/>
    <cellStyle name="计算 2 10 4 5" xfId="28338"/>
    <cellStyle name="计算 2 10 4 5 2" xfId="40144"/>
    <cellStyle name="计算 2 10 4 6" xfId="28327"/>
    <cellStyle name="计算 2 10 4 7" xfId="40133"/>
    <cellStyle name="计算 2 10 5" xfId="9549"/>
    <cellStyle name="计算 2 10 5 2" xfId="12621"/>
    <cellStyle name="计算 2 10 5 2 2" xfId="12622"/>
    <cellStyle name="计算 2 10 5 2 2 2" xfId="19833"/>
    <cellStyle name="计算 2 10 5 2 2 2 2" xfId="28342"/>
    <cellStyle name="计算 2 10 5 2 2 2 3" xfId="40148"/>
    <cellStyle name="计算 2 10 5 2 2 3" xfId="28341"/>
    <cellStyle name="计算 2 10 5 2 2 4" xfId="40147"/>
    <cellStyle name="计算 2 10 5 2 3" xfId="12623"/>
    <cellStyle name="计算 2 10 5 2 3 2" xfId="19832"/>
    <cellStyle name="计算 2 10 5 2 3 2 2" xfId="28344"/>
    <cellStyle name="计算 2 10 5 2 3 2 3" xfId="40150"/>
    <cellStyle name="计算 2 10 5 2 3 3" xfId="28343"/>
    <cellStyle name="计算 2 10 5 2 3 4" xfId="40149"/>
    <cellStyle name="计算 2 10 5 2 4" xfId="21073"/>
    <cellStyle name="计算 2 10 5 2 4 2" xfId="28345"/>
    <cellStyle name="计算 2 10 5 2 4 3" xfId="40151"/>
    <cellStyle name="计算 2 10 5 2 5" xfId="28340"/>
    <cellStyle name="计算 2 10 5 2 6" xfId="40146"/>
    <cellStyle name="计算 2 10 5 3" xfId="12624"/>
    <cellStyle name="计算 2 10 5 3 2" xfId="21259"/>
    <cellStyle name="计算 2 10 5 3 2 2" xfId="28347"/>
    <cellStyle name="计算 2 10 5 3 2 3" xfId="40153"/>
    <cellStyle name="计算 2 10 5 3 3" xfId="28346"/>
    <cellStyle name="计算 2 10 5 3 4" xfId="40152"/>
    <cellStyle name="计算 2 10 5 4" xfId="12625"/>
    <cellStyle name="计算 2 10 5 4 2" xfId="19831"/>
    <cellStyle name="计算 2 10 5 4 2 2" xfId="28349"/>
    <cellStyle name="计算 2 10 5 4 2 3" xfId="40155"/>
    <cellStyle name="计算 2 10 5 4 3" xfId="28348"/>
    <cellStyle name="计算 2 10 5 4 4" xfId="40154"/>
    <cellStyle name="计算 2 10 5 5" xfId="28350"/>
    <cellStyle name="计算 2 10 5 5 2" xfId="40156"/>
    <cellStyle name="计算 2 10 5 6" xfId="28339"/>
    <cellStyle name="计算 2 10 5 7" xfId="40145"/>
    <cellStyle name="计算 2 10 6" xfId="12626"/>
    <cellStyle name="计算 2 10 6 2" xfId="12627"/>
    <cellStyle name="计算 2 10 6 2 2" xfId="18341"/>
    <cellStyle name="计算 2 10 6 2 2 2" xfId="28353"/>
    <cellStyle name="计算 2 10 6 2 2 3" xfId="40159"/>
    <cellStyle name="计算 2 10 6 2 3" xfId="28352"/>
    <cellStyle name="计算 2 10 6 2 4" xfId="40158"/>
    <cellStyle name="计算 2 10 6 3" xfId="12628"/>
    <cellStyle name="计算 2 10 6 3 2" xfId="19830"/>
    <cellStyle name="计算 2 10 6 3 2 2" xfId="28355"/>
    <cellStyle name="计算 2 10 6 3 2 3" xfId="40161"/>
    <cellStyle name="计算 2 10 6 3 3" xfId="28354"/>
    <cellStyle name="计算 2 10 6 3 4" xfId="40160"/>
    <cellStyle name="计算 2 10 6 4" xfId="17651"/>
    <cellStyle name="计算 2 10 6 4 2" xfId="28356"/>
    <cellStyle name="计算 2 10 6 4 3" xfId="40162"/>
    <cellStyle name="计算 2 10 6 5" xfId="28351"/>
    <cellStyle name="计算 2 10 6 6" xfId="40157"/>
    <cellStyle name="计算 2 10 7" xfId="12629"/>
    <cellStyle name="计算 2 10 7 2" xfId="19829"/>
    <cellStyle name="计算 2 10 7 2 2" xfId="28358"/>
    <cellStyle name="计算 2 10 7 2 3" xfId="40164"/>
    <cellStyle name="计算 2 10 7 3" xfId="28357"/>
    <cellStyle name="计算 2 10 7 4" xfId="40163"/>
    <cellStyle name="计算 2 10 8" xfId="12630"/>
    <cellStyle name="计算 2 10 8 2" xfId="19828"/>
    <cellStyle name="计算 2 10 8 2 2" xfId="28360"/>
    <cellStyle name="计算 2 10 8 2 3" xfId="40166"/>
    <cellStyle name="计算 2 10 8 3" xfId="28359"/>
    <cellStyle name="计算 2 10 8 4" xfId="40165"/>
    <cellStyle name="计算 2 10 9" xfId="28361"/>
    <cellStyle name="计算 2 10 9 2" xfId="40167"/>
    <cellStyle name="计算 2 11" xfId="9550"/>
    <cellStyle name="计算 2 11 10" xfId="28362"/>
    <cellStyle name="计算 2 11 11" xfId="40168"/>
    <cellStyle name="计算 2 11 2" xfId="9551"/>
    <cellStyle name="计算 2 11 2 2" xfId="12631"/>
    <cellStyle name="计算 2 11 2 2 2" xfId="12632"/>
    <cellStyle name="计算 2 11 2 2 2 2" xfId="19827"/>
    <cellStyle name="计算 2 11 2 2 2 2 2" xfId="28366"/>
    <cellStyle name="计算 2 11 2 2 2 2 3" xfId="40172"/>
    <cellStyle name="计算 2 11 2 2 2 3" xfId="28365"/>
    <cellStyle name="计算 2 11 2 2 2 4" xfId="40171"/>
    <cellStyle name="计算 2 11 2 2 3" xfId="12633"/>
    <cellStyle name="计算 2 11 2 2 3 2" xfId="18340"/>
    <cellStyle name="计算 2 11 2 2 3 2 2" xfId="28368"/>
    <cellStyle name="计算 2 11 2 2 3 2 3" xfId="40174"/>
    <cellStyle name="计算 2 11 2 2 3 3" xfId="28367"/>
    <cellStyle name="计算 2 11 2 2 3 4" xfId="40173"/>
    <cellStyle name="计算 2 11 2 2 4" xfId="17650"/>
    <cellStyle name="计算 2 11 2 2 4 2" xfId="28369"/>
    <cellStyle name="计算 2 11 2 2 4 3" xfId="40175"/>
    <cellStyle name="计算 2 11 2 2 5" xfId="28364"/>
    <cellStyle name="计算 2 11 2 2 6" xfId="40170"/>
    <cellStyle name="计算 2 11 2 3" xfId="12634"/>
    <cellStyle name="计算 2 11 2 3 2" xfId="19826"/>
    <cellStyle name="计算 2 11 2 3 2 2" xfId="28371"/>
    <cellStyle name="计算 2 11 2 3 2 3" xfId="40177"/>
    <cellStyle name="计算 2 11 2 3 3" xfId="28370"/>
    <cellStyle name="计算 2 11 2 3 4" xfId="40176"/>
    <cellStyle name="计算 2 11 2 4" xfId="12635"/>
    <cellStyle name="计算 2 11 2 4 2" xfId="21258"/>
    <cellStyle name="计算 2 11 2 4 2 2" xfId="28373"/>
    <cellStyle name="计算 2 11 2 4 2 3" xfId="40179"/>
    <cellStyle name="计算 2 11 2 4 3" xfId="28372"/>
    <cellStyle name="计算 2 11 2 4 4" xfId="40178"/>
    <cellStyle name="计算 2 11 2 5" xfId="28374"/>
    <cellStyle name="计算 2 11 2 5 2" xfId="40180"/>
    <cellStyle name="计算 2 11 2 6" xfId="28363"/>
    <cellStyle name="计算 2 11 2 7" xfId="40169"/>
    <cellStyle name="计算 2 11 3" xfId="9552"/>
    <cellStyle name="计算 2 11 3 2" xfId="12636"/>
    <cellStyle name="计算 2 11 3 2 2" xfId="12637"/>
    <cellStyle name="计算 2 11 3 2 2 2" xfId="17648"/>
    <cellStyle name="计算 2 11 3 2 2 2 2" xfId="28378"/>
    <cellStyle name="计算 2 11 3 2 2 2 3" xfId="40184"/>
    <cellStyle name="计算 2 11 3 2 2 3" xfId="28377"/>
    <cellStyle name="计算 2 11 3 2 2 4" xfId="40183"/>
    <cellStyle name="计算 2 11 3 2 3" xfId="12638"/>
    <cellStyle name="计算 2 11 3 2 3 2" xfId="18706"/>
    <cellStyle name="计算 2 11 3 2 3 2 2" xfId="28380"/>
    <cellStyle name="计算 2 11 3 2 3 2 3" xfId="40186"/>
    <cellStyle name="计算 2 11 3 2 3 3" xfId="28379"/>
    <cellStyle name="计算 2 11 3 2 3 4" xfId="40185"/>
    <cellStyle name="计算 2 11 3 2 4" xfId="17649"/>
    <cellStyle name="计算 2 11 3 2 4 2" xfId="28381"/>
    <cellStyle name="计算 2 11 3 2 4 3" xfId="40187"/>
    <cellStyle name="计算 2 11 3 2 5" xfId="28376"/>
    <cellStyle name="计算 2 11 3 2 6" xfId="40182"/>
    <cellStyle name="计算 2 11 3 3" xfId="12639"/>
    <cellStyle name="计算 2 11 3 3 2" xfId="19825"/>
    <cellStyle name="计算 2 11 3 3 2 2" xfId="28383"/>
    <cellStyle name="计算 2 11 3 3 2 3" xfId="40189"/>
    <cellStyle name="计算 2 11 3 3 3" xfId="28382"/>
    <cellStyle name="计算 2 11 3 3 4" xfId="40188"/>
    <cellStyle name="计算 2 11 3 4" xfId="12640"/>
    <cellStyle name="计算 2 11 3 4 2" xfId="19824"/>
    <cellStyle name="计算 2 11 3 4 2 2" xfId="28385"/>
    <cellStyle name="计算 2 11 3 4 2 3" xfId="40191"/>
    <cellStyle name="计算 2 11 3 4 3" xfId="28384"/>
    <cellStyle name="计算 2 11 3 4 4" xfId="40190"/>
    <cellStyle name="计算 2 11 3 5" xfId="28386"/>
    <cellStyle name="计算 2 11 3 5 2" xfId="40192"/>
    <cellStyle name="计算 2 11 3 6" xfId="28375"/>
    <cellStyle name="计算 2 11 3 7" xfId="40181"/>
    <cellStyle name="计算 2 11 4" xfId="9553"/>
    <cellStyle name="计算 2 11 4 2" xfId="12641"/>
    <cellStyle name="计算 2 11 4 2 2" xfId="12642"/>
    <cellStyle name="计算 2 11 4 2 2 2" xfId="18339"/>
    <cellStyle name="计算 2 11 4 2 2 2 2" xfId="28390"/>
    <cellStyle name="计算 2 11 4 2 2 2 3" xfId="40196"/>
    <cellStyle name="计算 2 11 4 2 2 3" xfId="28389"/>
    <cellStyle name="计算 2 11 4 2 2 4" xfId="40195"/>
    <cellStyle name="计算 2 11 4 2 3" xfId="12643"/>
    <cellStyle name="计算 2 11 4 2 3 2" xfId="21257"/>
    <cellStyle name="计算 2 11 4 2 3 2 2" xfId="28392"/>
    <cellStyle name="计算 2 11 4 2 3 2 3" xfId="40198"/>
    <cellStyle name="计算 2 11 4 2 3 3" xfId="28391"/>
    <cellStyle name="计算 2 11 4 2 3 4" xfId="40197"/>
    <cellStyle name="计算 2 11 4 2 4" xfId="19823"/>
    <cellStyle name="计算 2 11 4 2 4 2" xfId="28393"/>
    <cellStyle name="计算 2 11 4 2 4 3" xfId="40199"/>
    <cellStyle name="计算 2 11 4 2 5" xfId="28388"/>
    <cellStyle name="计算 2 11 4 2 6" xfId="40194"/>
    <cellStyle name="计算 2 11 4 3" xfId="12644"/>
    <cellStyle name="计算 2 11 4 3 2" xfId="19822"/>
    <cellStyle name="计算 2 11 4 3 2 2" xfId="28395"/>
    <cellStyle name="计算 2 11 4 3 2 3" xfId="40201"/>
    <cellStyle name="计算 2 11 4 3 3" xfId="28394"/>
    <cellStyle name="计算 2 11 4 3 4" xfId="40200"/>
    <cellStyle name="计算 2 11 4 4" xfId="12645"/>
    <cellStyle name="计算 2 11 4 4 2" xfId="19821"/>
    <cellStyle name="计算 2 11 4 4 2 2" xfId="28397"/>
    <cellStyle name="计算 2 11 4 4 2 3" xfId="40203"/>
    <cellStyle name="计算 2 11 4 4 3" xfId="28396"/>
    <cellStyle name="计算 2 11 4 4 4" xfId="40202"/>
    <cellStyle name="计算 2 11 4 5" xfId="28398"/>
    <cellStyle name="计算 2 11 4 5 2" xfId="40204"/>
    <cellStyle name="计算 2 11 4 6" xfId="28387"/>
    <cellStyle name="计算 2 11 4 7" xfId="40193"/>
    <cellStyle name="计算 2 11 5" xfId="9554"/>
    <cellStyle name="计算 2 11 5 2" xfId="12646"/>
    <cellStyle name="计算 2 11 5 2 2" xfId="12647"/>
    <cellStyle name="计算 2 11 5 2 2 2" xfId="19820"/>
    <cellStyle name="计算 2 11 5 2 2 2 2" xfId="28402"/>
    <cellStyle name="计算 2 11 5 2 2 2 3" xfId="40208"/>
    <cellStyle name="计算 2 11 5 2 2 3" xfId="28401"/>
    <cellStyle name="计算 2 11 5 2 2 4" xfId="40207"/>
    <cellStyle name="计算 2 11 5 2 3" xfId="12648"/>
    <cellStyle name="计算 2 11 5 2 3 2" xfId="19819"/>
    <cellStyle name="计算 2 11 5 2 3 2 2" xfId="28404"/>
    <cellStyle name="计算 2 11 5 2 3 2 3" xfId="40210"/>
    <cellStyle name="计算 2 11 5 2 3 3" xfId="28403"/>
    <cellStyle name="计算 2 11 5 2 3 4" xfId="40209"/>
    <cellStyle name="计算 2 11 5 2 4" xfId="21072"/>
    <cellStyle name="计算 2 11 5 2 4 2" xfId="28405"/>
    <cellStyle name="计算 2 11 5 2 4 3" xfId="40211"/>
    <cellStyle name="计算 2 11 5 2 5" xfId="28400"/>
    <cellStyle name="计算 2 11 5 2 6" xfId="40206"/>
    <cellStyle name="计算 2 11 5 3" xfId="12649"/>
    <cellStyle name="计算 2 11 5 3 2" xfId="21256"/>
    <cellStyle name="计算 2 11 5 3 2 2" xfId="28407"/>
    <cellStyle name="计算 2 11 5 3 2 3" xfId="40213"/>
    <cellStyle name="计算 2 11 5 3 3" xfId="28406"/>
    <cellStyle name="计算 2 11 5 3 4" xfId="40212"/>
    <cellStyle name="计算 2 11 5 4" xfId="12650"/>
    <cellStyle name="计算 2 11 5 4 2" xfId="18338"/>
    <cellStyle name="计算 2 11 5 4 2 2" xfId="28409"/>
    <cellStyle name="计算 2 11 5 4 2 3" xfId="40215"/>
    <cellStyle name="计算 2 11 5 4 3" xfId="28408"/>
    <cellStyle name="计算 2 11 5 4 4" xfId="40214"/>
    <cellStyle name="计算 2 11 5 5" xfId="28410"/>
    <cellStyle name="计算 2 11 5 5 2" xfId="40216"/>
    <cellStyle name="计算 2 11 5 6" xfId="28399"/>
    <cellStyle name="计算 2 11 5 7" xfId="40205"/>
    <cellStyle name="计算 2 11 6" xfId="12651"/>
    <cellStyle name="计算 2 11 6 2" xfId="12652"/>
    <cellStyle name="计算 2 11 6 2 2" xfId="19818"/>
    <cellStyle name="计算 2 11 6 2 2 2" xfId="28413"/>
    <cellStyle name="计算 2 11 6 2 2 3" xfId="40219"/>
    <cellStyle name="计算 2 11 6 2 3" xfId="28412"/>
    <cellStyle name="计算 2 11 6 2 4" xfId="40218"/>
    <cellStyle name="计算 2 11 6 3" xfId="12653"/>
    <cellStyle name="计算 2 11 6 3 2" xfId="19817"/>
    <cellStyle name="计算 2 11 6 3 2 2" xfId="28415"/>
    <cellStyle name="计算 2 11 6 3 2 3" xfId="40221"/>
    <cellStyle name="计算 2 11 6 3 3" xfId="28414"/>
    <cellStyle name="计算 2 11 6 3 4" xfId="40220"/>
    <cellStyle name="计算 2 11 6 4" xfId="17647"/>
    <cellStyle name="计算 2 11 6 4 2" xfId="28416"/>
    <cellStyle name="计算 2 11 6 4 3" xfId="40222"/>
    <cellStyle name="计算 2 11 6 5" xfId="28411"/>
    <cellStyle name="计算 2 11 6 6" xfId="40217"/>
    <cellStyle name="计算 2 11 7" xfId="12654"/>
    <cellStyle name="计算 2 11 7 2" xfId="19816"/>
    <cellStyle name="计算 2 11 7 2 2" xfId="28418"/>
    <cellStyle name="计算 2 11 7 2 3" xfId="40224"/>
    <cellStyle name="计算 2 11 7 3" xfId="28417"/>
    <cellStyle name="计算 2 11 7 4" xfId="40223"/>
    <cellStyle name="计算 2 11 8" xfId="12655"/>
    <cellStyle name="计算 2 11 8 2" xfId="21255"/>
    <cellStyle name="计算 2 11 8 2 2" xfId="28420"/>
    <cellStyle name="计算 2 11 8 2 3" xfId="40226"/>
    <cellStyle name="计算 2 11 8 3" xfId="28419"/>
    <cellStyle name="计算 2 11 8 4" xfId="40225"/>
    <cellStyle name="计算 2 11 9" xfId="28421"/>
    <cellStyle name="计算 2 11 9 2" xfId="40227"/>
    <cellStyle name="计算 2 12" xfId="9555"/>
    <cellStyle name="计算 2 12 10" xfId="28422"/>
    <cellStyle name="计算 2 12 11" xfId="40228"/>
    <cellStyle name="计算 2 12 2" xfId="9556"/>
    <cellStyle name="计算 2 12 2 2" xfId="12656"/>
    <cellStyle name="计算 2 12 2 2 2" xfId="12657"/>
    <cellStyle name="计算 2 12 2 2 2 2" xfId="19815"/>
    <cellStyle name="计算 2 12 2 2 2 2 2" xfId="28426"/>
    <cellStyle name="计算 2 12 2 2 2 2 3" xfId="40232"/>
    <cellStyle name="计算 2 12 2 2 2 3" xfId="28425"/>
    <cellStyle name="计算 2 12 2 2 2 4" xfId="40231"/>
    <cellStyle name="计算 2 12 2 2 3" xfId="12658"/>
    <cellStyle name="计算 2 12 2 2 3 2" xfId="18337"/>
    <cellStyle name="计算 2 12 2 2 3 2 2" xfId="28428"/>
    <cellStyle name="计算 2 12 2 2 3 2 3" xfId="40234"/>
    <cellStyle name="计算 2 12 2 2 3 3" xfId="28427"/>
    <cellStyle name="计算 2 12 2 2 3 4" xfId="40233"/>
    <cellStyle name="计算 2 12 2 2 4" xfId="17646"/>
    <cellStyle name="计算 2 12 2 2 4 2" xfId="28429"/>
    <cellStyle name="计算 2 12 2 2 4 3" xfId="40235"/>
    <cellStyle name="计算 2 12 2 2 5" xfId="28424"/>
    <cellStyle name="计算 2 12 2 2 6" xfId="40230"/>
    <cellStyle name="计算 2 12 2 3" xfId="12659"/>
    <cellStyle name="计算 2 12 2 3 2" xfId="19814"/>
    <cellStyle name="计算 2 12 2 3 2 2" xfId="28431"/>
    <cellStyle name="计算 2 12 2 3 2 3" xfId="40237"/>
    <cellStyle name="计算 2 12 2 3 3" xfId="28430"/>
    <cellStyle name="计算 2 12 2 3 4" xfId="40236"/>
    <cellStyle name="计算 2 12 2 4" xfId="12660"/>
    <cellStyle name="计算 2 12 2 4 2" xfId="19813"/>
    <cellStyle name="计算 2 12 2 4 2 2" xfId="28433"/>
    <cellStyle name="计算 2 12 2 4 2 3" xfId="40239"/>
    <cellStyle name="计算 2 12 2 4 3" xfId="28432"/>
    <cellStyle name="计算 2 12 2 4 4" xfId="40238"/>
    <cellStyle name="计算 2 12 2 5" xfId="28434"/>
    <cellStyle name="计算 2 12 2 5 2" xfId="40240"/>
    <cellStyle name="计算 2 12 2 6" xfId="28423"/>
    <cellStyle name="计算 2 12 2 7" xfId="40229"/>
    <cellStyle name="计算 2 12 3" xfId="9557"/>
    <cellStyle name="计算 2 12 3 2" xfId="12661"/>
    <cellStyle name="计算 2 12 3 2 2" xfId="12662"/>
    <cellStyle name="计算 2 12 3 2 2 2" xfId="17644"/>
    <cellStyle name="计算 2 12 3 2 2 2 2" xfId="28438"/>
    <cellStyle name="计算 2 12 3 2 2 2 3" xfId="40244"/>
    <cellStyle name="计算 2 12 3 2 2 3" xfId="28437"/>
    <cellStyle name="计算 2 12 3 2 2 4" xfId="40243"/>
    <cellStyle name="计算 2 12 3 2 3" xfId="12663"/>
    <cellStyle name="计算 2 12 3 2 3 2" xfId="19812"/>
    <cellStyle name="计算 2 12 3 2 3 2 2" xfId="28440"/>
    <cellStyle name="计算 2 12 3 2 3 2 3" xfId="40246"/>
    <cellStyle name="计算 2 12 3 2 3 3" xfId="28439"/>
    <cellStyle name="计算 2 12 3 2 3 4" xfId="40245"/>
    <cellStyle name="计算 2 12 3 2 4" xfId="17645"/>
    <cellStyle name="计算 2 12 3 2 4 2" xfId="28441"/>
    <cellStyle name="计算 2 12 3 2 4 3" xfId="40247"/>
    <cellStyle name="计算 2 12 3 2 5" xfId="28436"/>
    <cellStyle name="计算 2 12 3 2 6" xfId="40242"/>
    <cellStyle name="计算 2 12 3 3" xfId="12664"/>
    <cellStyle name="计算 2 12 3 3 2" xfId="19811"/>
    <cellStyle name="计算 2 12 3 3 2 2" xfId="28443"/>
    <cellStyle name="计算 2 12 3 3 2 3" xfId="40249"/>
    <cellStyle name="计算 2 12 3 3 3" xfId="28442"/>
    <cellStyle name="计算 2 12 3 3 4" xfId="40248"/>
    <cellStyle name="计算 2 12 3 4" xfId="12665"/>
    <cellStyle name="计算 2 12 3 4 2" xfId="19810"/>
    <cellStyle name="计算 2 12 3 4 2 2" xfId="28445"/>
    <cellStyle name="计算 2 12 3 4 2 3" xfId="40251"/>
    <cellStyle name="计算 2 12 3 4 3" xfId="28444"/>
    <cellStyle name="计算 2 12 3 4 4" xfId="40250"/>
    <cellStyle name="计算 2 12 3 5" xfId="28446"/>
    <cellStyle name="计算 2 12 3 5 2" xfId="40252"/>
    <cellStyle name="计算 2 12 3 6" xfId="28435"/>
    <cellStyle name="计算 2 12 3 7" xfId="40241"/>
    <cellStyle name="计算 2 12 4" xfId="9558"/>
    <cellStyle name="计算 2 12 4 2" xfId="12666"/>
    <cellStyle name="计算 2 12 4 2 2" xfId="12667"/>
    <cellStyle name="计算 2 12 4 2 2 2" xfId="21254"/>
    <cellStyle name="计算 2 12 4 2 2 2 2" xfId="28450"/>
    <cellStyle name="计算 2 12 4 2 2 2 3" xfId="40256"/>
    <cellStyle name="计算 2 12 4 2 2 3" xfId="28449"/>
    <cellStyle name="计算 2 12 4 2 2 4" xfId="40255"/>
    <cellStyle name="计算 2 12 4 2 3" xfId="12668"/>
    <cellStyle name="计算 2 12 4 2 3 2" xfId="18705"/>
    <cellStyle name="计算 2 12 4 2 3 2 2" xfId="28452"/>
    <cellStyle name="计算 2 12 4 2 3 2 3" xfId="40258"/>
    <cellStyle name="计算 2 12 4 2 3 3" xfId="28451"/>
    <cellStyle name="计算 2 12 4 2 3 4" xfId="40257"/>
    <cellStyle name="计算 2 12 4 2 4" xfId="19809"/>
    <cellStyle name="计算 2 12 4 2 4 2" xfId="28453"/>
    <cellStyle name="计算 2 12 4 2 4 3" xfId="40259"/>
    <cellStyle name="计算 2 12 4 2 5" xfId="28448"/>
    <cellStyle name="计算 2 12 4 2 6" xfId="40254"/>
    <cellStyle name="计算 2 12 4 3" xfId="12669"/>
    <cellStyle name="计算 2 12 4 3 2" xfId="19808"/>
    <cellStyle name="计算 2 12 4 3 2 2" xfId="28455"/>
    <cellStyle name="计算 2 12 4 3 2 3" xfId="40261"/>
    <cellStyle name="计算 2 12 4 3 3" xfId="28454"/>
    <cellStyle name="计算 2 12 4 3 4" xfId="40260"/>
    <cellStyle name="计算 2 12 4 4" xfId="12670"/>
    <cellStyle name="计算 2 12 4 4 2" xfId="19807"/>
    <cellStyle name="计算 2 12 4 4 2 2" xfId="28457"/>
    <cellStyle name="计算 2 12 4 4 2 3" xfId="40263"/>
    <cellStyle name="计算 2 12 4 4 3" xfId="28456"/>
    <cellStyle name="计算 2 12 4 4 4" xfId="40262"/>
    <cellStyle name="计算 2 12 4 5" xfId="28458"/>
    <cellStyle name="计算 2 12 4 5 2" xfId="40264"/>
    <cellStyle name="计算 2 12 4 6" xfId="28447"/>
    <cellStyle name="计算 2 12 4 7" xfId="40253"/>
    <cellStyle name="计算 2 12 5" xfId="9559"/>
    <cellStyle name="计算 2 12 5 2" xfId="12671"/>
    <cellStyle name="计算 2 12 5 2 2" xfId="12672"/>
    <cellStyle name="计算 2 12 5 2 2 2" xfId="18336"/>
    <cellStyle name="计算 2 12 5 2 2 2 2" xfId="28462"/>
    <cellStyle name="计算 2 12 5 2 2 2 3" xfId="40268"/>
    <cellStyle name="计算 2 12 5 2 2 3" xfId="28461"/>
    <cellStyle name="计算 2 12 5 2 2 4" xfId="40267"/>
    <cellStyle name="计算 2 12 5 2 3" xfId="12673"/>
    <cellStyle name="计算 2 12 5 2 3 2" xfId="19806"/>
    <cellStyle name="计算 2 12 5 2 3 2 2" xfId="28464"/>
    <cellStyle name="计算 2 12 5 2 3 2 3" xfId="40270"/>
    <cellStyle name="计算 2 12 5 2 3 3" xfId="28463"/>
    <cellStyle name="计算 2 12 5 2 3 4" xfId="40269"/>
    <cellStyle name="计算 2 12 5 2 4" xfId="21071"/>
    <cellStyle name="计算 2 12 5 2 4 2" xfId="28465"/>
    <cellStyle name="计算 2 12 5 2 4 3" xfId="40271"/>
    <cellStyle name="计算 2 12 5 2 5" xfId="28460"/>
    <cellStyle name="计算 2 12 5 2 6" xfId="40266"/>
    <cellStyle name="计算 2 12 5 3" xfId="12674"/>
    <cellStyle name="计算 2 12 5 3 2" xfId="21253"/>
    <cellStyle name="计算 2 12 5 3 2 2" xfId="28467"/>
    <cellStyle name="计算 2 12 5 3 2 3" xfId="40273"/>
    <cellStyle name="计算 2 12 5 3 3" xfId="28466"/>
    <cellStyle name="计算 2 12 5 3 4" xfId="40272"/>
    <cellStyle name="计算 2 12 5 4" xfId="12675"/>
    <cellStyle name="计算 2 12 5 4 2" xfId="19805"/>
    <cellStyle name="计算 2 12 5 4 2 2" xfId="28469"/>
    <cellStyle name="计算 2 12 5 4 2 3" xfId="40275"/>
    <cellStyle name="计算 2 12 5 4 3" xfId="28468"/>
    <cellStyle name="计算 2 12 5 4 4" xfId="40274"/>
    <cellStyle name="计算 2 12 5 5" xfId="28470"/>
    <cellStyle name="计算 2 12 5 5 2" xfId="40276"/>
    <cellStyle name="计算 2 12 5 6" xfId="28459"/>
    <cellStyle name="计算 2 12 5 7" xfId="40265"/>
    <cellStyle name="计算 2 12 6" xfId="12676"/>
    <cellStyle name="计算 2 12 6 2" xfId="12677"/>
    <cellStyle name="计算 2 12 6 2 2" xfId="19804"/>
    <cellStyle name="计算 2 12 6 2 2 2" xfId="28473"/>
    <cellStyle name="计算 2 12 6 2 2 3" xfId="40279"/>
    <cellStyle name="计算 2 12 6 2 3" xfId="28472"/>
    <cellStyle name="计算 2 12 6 2 4" xfId="40278"/>
    <cellStyle name="计算 2 12 6 3" xfId="12678"/>
    <cellStyle name="计算 2 12 6 3 2" xfId="19803"/>
    <cellStyle name="计算 2 12 6 3 2 2" xfId="28475"/>
    <cellStyle name="计算 2 12 6 3 2 3" xfId="40281"/>
    <cellStyle name="计算 2 12 6 3 3" xfId="28474"/>
    <cellStyle name="计算 2 12 6 3 4" xfId="40280"/>
    <cellStyle name="计算 2 12 6 4" xfId="17643"/>
    <cellStyle name="计算 2 12 6 4 2" xfId="28476"/>
    <cellStyle name="计算 2 12 6 4 3" xfId="40282"/>
    <cellStyle name="计算 2 12 6 5" xfId="28471"/>
    <cellStyle name="计算 2 12 6 6" xfId="40277"/>
    <cellStyle name="计算 2 12 7" xfId="12679"/>
    <cellStyle name="计算 2 12 7 2" xfId="18335"/>
    <cellStyle name="计算 2 12 7 2 2" xfId="28478"/>
    <cellStyle name="计算 2 12 7 2 3" xfId="40284"/>
    <cellStyle name="计算 2 12 7 3" xfId="28477"/>
    <cellStyle name="计算 2 12 7 4" xfId="40283"/>
    <cellStyle name="计算 2 12 8" xfId="12680"/>
    <cellStyle name="计算 2 12 8 2" xfId="21252"/>
    <cellStyle name="计算 2 12 8 2 2" xfId="28480"/>
    <cellStyle name="计算 2 12 8 2 3" xfId="40286"/>
    <cellStyle name="计算 2 12 8 3" xfId="28479"/>
    <cellStyle name="计算 2 12 8 4" xfId="40285"/>
    <cellStyle name="计算 2 12 9" xfId="28481"/>
    <cellStyle name="计算 2 12 9 2" xfId="40287"/>
    <cellStyle name="计算 2 13" xfId="9560"/>
    <cellStyle name="计算 2 13 10" xfId="28482"/>
    <cellStyle name="计算 2 13 11" xfId="40288"/>
    <cellStyle name="计算 2 13 2" xfId="9561"/>
    <cellStyle name="计算 2 13 2 2" xfId="12681"/>
    <cellStyle name="计算 2 13 2 2 2" xfId="12682"/>
    <cellStyle name="计算 2 13 2 2 2 2" xfId="19802"/>
    <cellStyle name="计算 2 13 2 2 2 2 2" xfId="28486"/>
    <cellStyle name="计算 2 13 2 2 2 2 3" xfId="40292"/>
    <cellStyle name="计算 2 13 2 2 2 3" xfId="28485"/>
    <cellStyle name="计算 2 13 2 2 2 4" xfId="40291"/>
    <cellStyle name="计算 2 13 2 2 3" xfId="12683"/>
    <cellStyle name="计算 2 13 2 2 3 2" xfId="19801"/>
    <cellStyle name="计算 2 13 2 2 3 2 2" xfId="28488"/>
    <cellStyle name="计算 2 13 2 2 3 2 3" xfId="40294"/>
    <cellStyle name="计算 2 13 2 2 3 3" xfId="28487"/>
    <cellStyle name="计算 2 13 2 2 3 4" xfId="40293"/>
    <cellStyle name="计算 2 13 2 2 4" xfId="17642"/>
    <cellStyle name="计算 2 13 2 2 4 2" xfId="28489"/>
    <cellStyle name="计算 2 13 2 2 4 3" xfId="40295"/>
    <cellStyle name="计算 2 13 2 2 5" xfId="28484"/>
    <cellStyle name="计算 2 13 2 2 6" xfId="40290"/>
    <cellStyle name="计算 2 13 2 3" xfId="12684"/>
    <cellStyle name="计算 2 13 2 3 2" xfId="19800"/>
    <cellStyle name="计算 2 13 2 3 2 2" xfId="28491"/>
    <cellStyle name="计算 2 13 2 3 2 3" xfId="40297"/>
    <cellStyle name="计算 2 13 2 3 3" xfId="28490"/>
    <cellStyle name="计算 2 13 2 3 4" xfId="40296"/>
    <cellStyle name="计算 2 13 2 4" xfId="12685"/>
    <cellStyle name="计算 2 13 2 4 2" xfId="19799"/>
    <cellStyle name="计算 2 13 2 4 2 2" xfId="28493"/>
    <cellStyle name="计算 2 13 2 4 2 3" xfId="40299"/>
    <cellStyle name="计算 2 13 2 4 3" xfId="28492"/>
    <cellStyle name="计算 2 13 2 4 4" xfId="40298"/>
    <cellStyle name="计算 2 13 2 5" xfId="28494"/>
    <cellStyle name="计算 2 13 2 5 2" xfId="40300"/>
    <cellStyle name="计算 2 13 2 6" xfId="28483"/>
    <cellStyle name="计算 2 13 2 7" xfId="40289"/>
    <cellStyle name="计算 2 13 3" xfId="9562"/>
    <cellStyle name="计算 2 13 3 2" xfId="12686"/>
    <cellStyle name="计算 2 13 3 2 2" xfId="12687"/>
    <cellStyle name="计算 2 13 3 2 2 2" xfId="17640"/>
    <cellStyle name="计算 2 13 3 2 2 2 2" xfId="28498"/>
    <cellStyle name="计算 2 13 3 2 2 2 3" xfId="40304"/>
    <cellStyle name="计算 2 13 3 2 2 3" xfId="28497"/>
    <cellStyle name="计算 2 13 3 2 2 4" xfId="40303"/>
    <cellStyle name="计算 2 13 3 2 3" xfId="12688"/>
    <cellStyle name="计算 2 13 3 2 3 2" xfId="21251"/>
    <cellStyle name="计算 2 13 3 2 3 2 2" xfId="28500"/>
    <cellStyle name="计算 2 13 3 2 3 2 3" xfId="40306"/>
    <cellStyle name="计算 2 13 3 2 3 3" xfId="28499"/>
    <cellStyle name="计算 2 13 3 2 3 4" xfId="40305"/>
    <cellStyle name="计算 2 13 3 2 4" xfId="17641"/>
    <cellStyle name="计算 2 13 3 2 4 2" xfId="28501"/>
    <cellStyle name="计算 2 13 3 2 4 3" xfId="40307"/>
    <cellStyle name="计算 2 13 3 2 5" xfId="28496"/>
    <cellStyle name="计算 2 13 3 2 6" xfId="40302"/>
    <cellStyle name="计算 2 13 3 3" xfId="12689"/>
    <cellStyle name="计算 2 13 3 3 2" xfId="18334"/>
    <cellStyle name="计算 2 13 3 3 2 2" xfId="28503"/>
    <cellStyle name="计算 2 13 3 3 2 3" xfId="40309"/>
    <cellStyle name="计算 2 13 3 3 3" xfId="28502"/>
    <cellStyle name="计算 2 13 3 3 4" xfId="40308"/>
    <cellStyle name="计算 2 13 3 4" xfId="12690"/>
    <cellStyle name="计算 2 13 3 4 2" xfId="19798"/>
    <cellStyle name="计算 2 13 3 4 2 2" xfId="28505"/>
    <cellStyle name="计算 2 13 3 4 2 3" xfId="40311"/>
    <cellStyle name="计算 2 13 3 4 3" xfId="28504"/>
    <cellStyle name="计算 2 13 3 4 4" xfId="40310"/>
    <cellStyle name="计算 2 13 3 5" xfId="28506"/>
    <cellStyle name="计算 2 13 3 5 2" xfId="40312"/>
    <cellStyle name="计算 2 13 3 6" xfId="28495"/>
    <cellStyle name="计算 2 13 3 7" xfId="40301"/>
    <cellStyle name="计算 2 13 4" xfId="9563"/>
    <cellStyle name="计算 2 13 4 2" xfId="12691"/>
    <cellStyle name="计算 2 13 4 2 2" xfId="12692"/>
    <cellStyle name="计算 2 13 4 2 2 2" xfId="19796"/>
    <cellStyle name="计算 2 13 4 2 2 2 2" xfId="28510"/>
    <cellStyle name="计算 2 13 4 2 2 2 3" xfId="40316"/>
    <cellStyle name="计算 2 13 4 2 2 3" xfId="28509"/>
    <cellStyle name="计算 2 13 4 2 2 4" xfId="40315"/>
    <cellStyle name="计算 2 13 4 2 3" xfId="12693"/>
    <cellStyle name="计算 2 13 4 2 3 2" xfId="19795"/>
    <cellStyle name="计算 2 13 4 2 3 2 2" xfId="28512"/>
    <cellStyle name="计算 2 13 4 2 3 2 3" xfId="40318"/>
    <cellStyle name="计算 2 13 4 2 3 3" xfId="28511"/>
    <cellStyle name="计算 2 13 4 2 3 4" xfId="40317"/>
    <cellStyle name="计算 2 13 4 2 4" xfId="19797"/>
    <cellStyle name="计算 2 13 4 2 4 2" xfId="28513"/>
    <cellStyle name="计算 2 13 4 2 4 3" xfId="40319"/>
    <cellStyle name="计算 2 13 4 2 5" xfId="28508"/>
    <cellStyle name="计算 2 13 4 2 6" xfId="40314"/>
    <cellStyle name="计算 2 13 4 3" xfId="12694"/>
    <cellStyle name="计算 2 13 4 3 2" xfId="18333"/>
    <cellStyle name="计算 2 13 4 3 2 2" xfId="28515"/>
    <cellStyle name="计算 2 13 4 3 2 3" xfId="40321"/>
    <cellStyle name="计算 2 13 4 3 3" xfId="28514"/>
    <cellStyle name="计算 2 13 4 3 4" xfId="40320"/>
    <cellStyle name="计算 2 13 4 4" xfId="12695"/>
    <cellStyle name="计算 2 13 4 4 2" xfId="18332"/>
    <cellStyle name="计算 2 13 4 4 2 2" xfId="28517"/>
    <cellStyle name="计算 2 13 4 4 2 3" xfId="40323"/>
    <cellStyle name="计算 2 13 4 4 3" xfId="28516"/>
    <cellStyle name="计算 2 13 4 4 4" xfId="40322"/>
    <cellStyle name="计算 2 13 4 5" xfId="28518"/>
    <cellStyle name="计算 2 13 4 5 2" xfId="40324"/>
    <cellStyle name="计算 2 13 4 6" xfId="28507"/>
    <cellStyle name="计算 2 13 4 7" xfId="40313"/>
    <cellStyle name="计算 2 13 5" xfId="9564"/>
    <cellStyle name="计算 2 13 5 2" xfId="12696"/>
    <cellStyle name="计算 2 13 5 2 2" xfId="12697"/>
    <cellStyle name="计算 2 13 5 2 2 2" xfId="19794"/>
    <cellStyle name="计算 2 13 5 2 2 2 2" xfId="28522"/>
    <cellStyle name="计算 2 13 5 2 2 2 3" xfId="40328"/>
    <cellStyle name="计算 2 13 5 2 2 3" xfId="28521"/>
    <cellStyle name="计算 2 13 5 2 2 4" xfId="40327"/>
    <cellStyle name="计算 2 13 5 2 3" xfId="12698"/>
    <cellStyle name="计算 2 13 5 2 3 2" xfId="21250"/>
    <cellStyle name="计算 2 13 5 2 3 2 2" xfId="28524"/>
    <cellStyle name="计算 2 13 5 2 3 2 3" xfId="40330"/>
    <cellStyle name="计算 2 13 5 2 3 3" xfId="28523"/>
    <cellStyle name="计算 2 13 5 2 3 4" xfId="40329"/>
    <cellStyle name="计算 2 13 5 2 4" xfId="17639"/>
    <cellStyle name="计算 2 13 5 2 4 2" xfId="28525"/>
    <cellStyle name="计算 2 13 5 2 4 3" xfId="40331"/>
    <cellStyle name="计算 2 13 5 2 5" xfId="28520"/>
    <cellStyle name="计算 2 13 5 2 6" xfId="40326"/>
    <cellStyle name="计算 2 13 5 3" xfId="12699"/>
    <cellStyle name="计算 2 13 5 3 2" xfId="18704"/>
    <cellStyle name="计算 2 13 5 3 2 2" xfId="28527"/>
    <cellStyle name="计算 2 13 5 3 2 3" xfId="40333"/>
    <cellStyle name="计算 2 13 5 3 3" xfId="28526"/>
    <cellStyle name="计算 2 13 5 3 4" xfId="40332"/>
    <cellStyle name="计算 2 13 5 4" xfId="12700"/>
    <cellStyle name="计算 2 13 5 4 2" xfId="21249"/>
    <cellStyle name="计算 2 13 5 4 2 2" xfId="28529"/>
    <cellStyle name="计算 2 13 5 4 2 3" xfId="40335"/>
    <cellStyle name="计算 2 13 5 4 3" xfId="28528"/>
    <cellStyle name="计算 2 13 5 4 4" xfId="40334"/>
    <cellStyle name="计算 2 13 5 5" xfId="28530"/>
    <cellStyle name="计算 2 13 5 5 2" xfId="40336"/>
    <cellStyle name="计算 2 13 5 6" xfId="28519"/>
    <cellStyle name="计算 2 13 5 7" xfId="40325"/>
    <cellStyle name="计算 2 13 6" xfId="12701"/>
    <cellStyle name="计算 2 13 6 2" xfId="12702"/>
    <cellStyle name="计算 2 13 6 2 2" xfId="21248"/>
    <cellStyle name="计算 2 13 6 2 2 2" xfId="28533"/>
    <cellStyle name="计算 2 13 6 2 2 3" xfId="40339"/>
    <cellStyle name="计算 2 13 6 2 3" xfId="28532"/>
    <cellStyle name="计算 2 13 6 2 4" xfId="40338"/>
    <cellStyle name="计算 2 13 6 3" xfId="12703"/>
    <cellStyle name="计算 2 13 6 3 2" xfId="21247"/>
    <cellStyle name="计算 2 13 6 3 2 2" xfId="28535"/>
    <cellStyle name="计算 2 13 6 3 2 3" xfId="40341"/>
    <cellStyle name="计算 2 13 6 3 3" xfId="28534"/>
    <cellStyle name="计算 2 13 6 3 4" xfId="40340"/>
    <cellStyle name="计算 2 13 6 4" xfId="17638"/>
    <cellStyle name="计算 2 13 6 4 2" xfId="28536"/>
    <cellStyle name="计算 2 13 6 4 3" xfId="40342"/>
    <cellStyle name="计算 2 13 6 5" xfId="28531"/>
    <cellStyle name="计算 2 13 6 6" xfId="40337"/>
    <cellStyle name="计算 2 13 7" xfId="12704"/>
    <cellStyle name="计算 2 13 7 2" xfId="21246"/>
    <cellStyle name="计算 2 13 7 2 2" xfId="28538"/>
    <cellStyle name="计算 2 13 7 2 3" xfId="40344"/>
    <cellStyle name="计算 2 13 7 3" xfId="28537"/>
    <cellStyle name="计算 2 13 7 4" xfId="40343"/>
    <cellStyle name="计算 2 13 8" xfId="12705"/>
    <cellStyle name="计算 2 13 8 2" xfId="19793"/>
    <cellStyle name="计算 2 13 8 2 2" xfId="28540"/>
    <cellStyle name="计算 2 13 8 2 3" xfId="40346"/>
    <cellStyle name="计算 2 13 8 3" xfId="28539"/>
    <cellStyle name="计算 2 13 8 4" xfId="40345"/>
    <cellStyle name="计算 2 13 9" xfId="28541"/>
    <cellStyle name="计算 2 13 9 2" xfId="40347"/>
    <cellStyle name="计算 2 14" xfId="9565"/>
    <cellStyle name="计算 2 14 10" xfId="28542"/>
    <cellStyle name="计算 2 14 11" xfId="40348"/>
    <cellStyle name="计算 2 14 2" xfId="9566"/>
    <cellStyle name="计算 2 14 2 2" xfId="12706"/>
    <cellStyle name="计算 2 14 2 2 2" xfId="12707"/>
    <cellStyle name="计算 2 14 2 2 2 2" xfId="19792"/>
    <cellStyle name="计算 2 14 2 2 2 2 2" xfId="28546"/>
    <cellStyle name="计算 2 14 2 2 2 2 3" xfId="40352"/>
    <cellStyle name="计算 2 14 2 2 2 3" xfId="28545"/>
    <cellStyle name="计算 2 14 2 2 2 4" xfId="40351"/>
    <cellStyle name="计算 2 14 2 2 3" xfId="12708"/>
    <cellStyle name="计算 2 14 2 2 3 2" xfId="19791"/>
    <cellStyle name="计算 2 14 2 2 3 2 2" xfId="28548"/>
    <cellStyle name="计算 2 14 2 2 3 2 3" xfId="40354"/>
    <cellStyle name="计算 2 14 2 2 3 3" xfId="28547"/>
    <cellStyle name="计算 2 14 2 2 3 4" xfId="40353"/>
    <cellStyle name="计算 2 14 2 2 4" xfId="17637"/>
    <cellStyle name="计算 2 14 2 2 4 2" xfId="28549"/>
    <cellStyle name="计算 2 14 2 2 4 3" xfId="40355"/>
    <cellStyle name="计算 2 14 2 2 5" xfId="28544"/>
    <cellStyle name="计算 2 14 2 2 6" xfId="40350"/>
    <cellStyle name="计算 2 14 2 3" xfId="12709"/>
    <cellStyle name="计算 2 14 2 3 2" xfId="19790"/>
    <cellStyle name="计算 2 14 2 3 2 2" xfId="28551"/>
    <cellStyle name="计算 2 14 2 3 2 3" xfId="40357"/>
    <cellStyle name="计算 2 14 2 3 3" xfId="28550"/>
    <cellStyle name="计算 2 14 2 3 4" xfId="40356"/>
    <cellStyle name="计算 2 14 2 4" xfId="12710"/>
    <cellStyle name="计算 2 14 2 4 2" xfId="19789"/>
    <cellStyle name="计算 2 14 2 4 2 2" xfId="28553"/>
    <cellStyle name="计算 2 14 2 4 2 3" xfId="40359"/>
    <cellStyle name="计算 2 14 2 4 3" xfId="28552"/>
    <cellStyle name="计算 2 14 2 4 4" xfId="40358"/>
    <cellStyle name="计算 2 14 2 5" xfId="28554"/>
    <cellStyle name="计算 2 14 2 5 2" xfId="40360"/>
    <cellStyle name="计算 2 14 2 6" xfId="28543"/>
    <cellStyle name="计算 2 14 2 7" xfId="40349"/>
    <cellStyle name="计算 2 14 3" xfId="9567"/>
    <cellStyle name="计算 2 14 3 2" xfId="12711"/>
    <cellStyle name="计算 2 14 3 2 2" xfId="12712"/>
    <cellStyle name="计算 2 14 3 2 2 2" xfId="21070"/>
    <cellStyle name="计算 2 14 3 2 2 2 2" xfId="28558"/>
    <cellStyle name="计算 2 14 3 2 2 2 3" xfId="40364"/>
    <cellStyle name="计算 2 14 3 2 2 3" xfId="28557"/>
    <cellStyle name="计算 2 14 3 2 2 4" xfId="40363"/>
    <cellStyle name="计算 2 14 3 2 3" xfId="12713"/>
    <cellStyle name="计算 2 14 3 2 3 2" xfId="19788"/>
    <cellStyle name="计算 2 14 3 2 3 2 2" xfId="28560"/>
    <cellStyle name="计算 2 14 3 2 3 2 3" xfId="40366"/>
    <cellStyle name="计算 2 14 3 2 3 3" xfId="28559"/>
    <cellStyle name="计算 2 14 3 2 3 4" xfId="40365"/>
    <cellStyle name="计算 2 14 3 2 4" xfId="17636"/>
    <cellStyle name="计算 2 14 3 2 4 2" xfId="28561"/>
    <cellStyle name="计算 2 14 3 2 4 3" xfId="40367"/>
    <cellStyle name="计算 2 14 3 2 5" xfId="28556"/>
    <cellStyle name="计算 2 14 3 2 6" xfId="40362"/>
    <cellStyle name="计算 2 14 3 3" xfId="12714"/>
    <cellStyle name="计算 2 14 3 3 2" xfId="19787"/>
    <cellStyle name="计算 2 14 3 3 2 2" xfId="28563"/>
    <cellStyle name="计算 2 14 3 3 2 3" xfId="40369"/>
    <cellStyle name="计算 2 14 3 3 3" xfId="28562"/>
    <cellStyle name="计算 2 14 3 3 4" xfId="40368"/>
    <cellStyle name="计算 2 14 3 4" xfId="12715"/>
    <cellStyle name="计算 2 14 3 4 2" xfId="18703"/>
    <cellStyle name="计算 2 14 3 4 2 2" xfId="28565"/>
    <cellStyle name="计算 2 14 3 4 2 3" xfId="40371"/>
    <cellStyle name="计算 2 14 3 4 3" xfId="28564"/>
    <cellStyle name="计算 2 14 3 4 4" xfId="40370"/>
    <cellStyle name="计算 2 14 3 5" xfId="28566"/>
    <cellStyle name="计算 2 14 3 5 2" xfId="40372"/>
    <cellStyle name="计算 2 14 3 6" xfId="28555"/>
    <cellStyle name="计算 2 14 3 7" xfId="40361"/>
    <cellStyle name="计算 2 14 4" xfId="9568"/>
    <cellStyle name="计算 2 14 4 2" xfId="12716"/>
    <cellStyle name="计算 2 14 4 2 2" xfId="12717"/>
    <cellStyle name="计算 2 14 4 2 2 2" xfId="19786"/>
    <cellStyle name="计算 2 14 4 2 2 2 2" xfId="28570"/>
    <cellStyle name="计算 2 14 4 2 2 2 3" xfId="40376"/>
    <cellStyle name="计算 2 14 4 2 2 3" xfId="28569"/>
    <cellStyle name="计算 2 14 4 2 2 4" xfId="40375"/>
    <cellStyle name="计算 2 14 4 2 3" xfId="12718"/>
    <cellStyle name="计算 2 14 4 2 3 2" xfId="19785"/>
    <cellStyle name="计算 2 14 4 2 3 2 2" xfId="28572"/>
    <cellStyle name="计算 2 14 4 2 3 2 3" xfId="40378"/>
    <cellStyle name="计算 2 14 4 2 3 3" xfId="28571"/>
    <cellStyle name="计算 2 14 4 2 3 4" xfId="40377"/>
    <cellStyle name="计算 2 14 4 2 4" xfId="18331"/>
    <cellStyle name="计算 2 14 4 2 4 2" xfId="28573"/>
    <cellStyle name="计算 2 14 4 2 4 3" xfId="40379"/>
    <cellStyle name="计算 2 14 4 2 5" xfId="28568"/>
    <cellStyle name="计算 2 14 4 2 6" xfId="40374"/>
    <cellStyle name="计算 2 14 4 3" xfId="12719"/>
    <cellStyle name="计算 2 14 4 3 2" xfId="19784"/>
    <cellStyle name="计算 2 14 4 3 2 2" xfId="28575"/>
    <cellStyle name="计算 2 14 4 3 2 3" xfId="40381"/>
    <cellStyle name="计算 2 14 4 3 3" xfId="28574"/>
    <cellStyle name="计算 2 14 4 3 4" xfId="40380"/>
    <cellStyle name="计算 2 14 4 4" xfId="12720"/>
    <cellStyle name="计算 2 14 4 4 2" xfId="18702"/>
    <cellStyle name="计算 2 14 4 4 2 2" xfId="28577"/>
    <cellStyle name="计算 2 14 4 4 2 3" xfId="40383"/>
    <cellStyle name="计算 2 14 4 4 3" xfId="28576"/>
    <cellStyle name="计算 2 14 4 4 4" xfId="40382"/>
    <cellStyle name="计算 2 14 4 5" xfId="28578"/>
    <cellStyle name="计算 2 14 4 5 2" xfId="40384"/>
    <cellStyle name="计算 2 14 4 6" xfId="28567"/>
    <cellStyle name="计算 2 14 4 7" xfId="40373"/>
    <cellStyle name="计算 2 14 5" xfId="9569"/>
    <cellStyle name="计算 2 14 5 2" xfId="12721"/>
    <cellStyle name="计算 2 14 5 2 2" xfId="12722"/>
    <cellStyle name="计算 2 14 5 2 2 2" xfId="19783"/>
    <cellStyle name="计算 2 14 5 2 2 2 2" xfId="28582"/>
    <cellStyle name="计算 2 14 5 2 2 2 3" xfId="40388"/>
    <cellStyle name="计算 2 14 5 2 2 3" xfId="28581"/>
    <cellStyle name="计算 2 14 5 2 2 4" xfId="40387"/>
    <cellStyle name="计算 2 14 5 2 3" xfId="12723"/>
    <cellStyle name="计算 2 14 5 2 3 2" xfId="18330"/>
    <cellStyle name="计算 2 14 5 2 3 2 2" xfId="28584"/>
    <cellStyle name="计算 2 14 5 2 3 2 3" xfId="40390"/>
    <cellStyle name="计算 2 14 5 2 3 3" xfId="28583"/>
    <cellStyle name="计算 2 14 5 2 3 4" xfId="40389"/>
    <cellStyle name="计算 2 14 5 2 4" xfId="18636"/>
    <cellStyle name="计算 2 14 5 2 4 2" xfId="28585"/>
    <cellStyle name="计算 2 14 5 2 4 3" xfId="40391"/>
    <cellStyle name="计算 2 14 5 2 5" xfId="28580"/>
    <cellStyle name="计算 2 14 5 2 6" xfId="40386"/>
    <cellStyle name="计算 2 14 5 3" xfId="12724"/>
    <cellStyle name="计算 2 14 5 3 2" xfId="19782"/>
    <cellStyle name="计算 2 14 5 3 2 2" xfId="28587"/>
    <cellStyle name="计算 2 14 5 3 2 3" xfId="40393"/>
    <cellStyle name="计算 2 14 5 3 3" xfId="28586"/>
    <cellStyle name="计算 2 14 5 3 4" xfId="40392"/>
    <cellStyle name="计算 2 14 5 4" xfId="12725"/>
    <cellStyle name="计算 2 14 5 4 2" xfId="19781"/>
    <cellStyle name="计算 2 14 5 4 2 2" xfId="28589"/>
    <cellStyle name="计算 2 14 5 4 2 3" xfId="40395"/>
    <cellStyle name="计算 2 14 5 4 3" xfId="28588"/>
    <cellStyle name="计算 2 14 5 4 4" xfId="40394"/>
    <cellStyle name="计算 2 14 5 5" xfId="28590"/>
    <cellStyle name="计算 2 14 5 5 2" xfId="40396"/>
    <cellStyle name="计算 2 14 5 6" xfId="28579"/>
    <cellStyle name="计算 2 14 5 7" xfId="40385"/>
    <cellStyle name="计算 2 14 6" xfId="12726"/>
    <cellStyle name="计算 2 14 6 2" xfId="12727"/>
    <cellStyle name="计算 2 14 6 2 2" xfId="18701"/>
    <cellStyle name="计算 2 14 6 2 2 2" xfId="28593"/>
    <cellStyle name="计算 2 14 6 2 2 3" xfId="40399"/>
    <cellStyle name="计算 2 14 6 2 3" xfId="28592"/>
    <cellStyle name="计算 2 14 6 2 4" xfId="40398"/>
    <cellStyle name="计算 2 14 6 3" xfId="12728"/>
    <cellStyle name="计算 2 14 6 3 2" xfId="19780"/>
    <cellStyle name="计算 2 14 6 3 2 2" xfId="28595"/>
    <cellStyle name="计算 2 14 6 3 2 3" xfId="40401"/>
    <cellStyle name="计算 2 14 6 3 3" xfId="28594"/>
    <cellStyle name="计算 2 14 6 3 4" xfId="40400"/>
    <cellStyle name="计算 2 14 6 4" xfId="17635"/>
    <cellStyle name="计算 2 14 6 4 2" xfId="28596"/>
    <cellStyle name="计算 2 14 6 4 3" xfId="40402"/>
    <cellStyle name="计算 2 14 6 5" xfId="28591"/>
    <cellStyle name="计算 2 14 6 6" xfId="40397"/>
    <cellStyle name="计算 2 14 7" xfId="12729"/>
    <cellStyle name="计算 2 14 7 2" xfId="19779"/>
    <cellStyle name="计算 2 14 7 2 2" xfId="28598"/>
    <cellStyle name="计算 2 14 7 2 3" xfId="40404"/>
    <cellStyle name="计算 2 14 7 3" xfId="28597"/>
    <cellStyle name="计算 2 14 7 4" xfId="40403"/>
    <cellStyle name="计算 2 14 8" xfId="12730"/>
    <cellStyle name="计算 2 14 8 2" xfId="18329"/>
    <cellStyle name="计算 2 14 8 2 2" xfId="28600"/>
    <cellStyle name="计算 2 14 8 2 3" xfId="40406"/>
    <cellStyle name="计算 2 14 8 3" xfId="28599"/>
    <cellStyle name="计算 2 14 8 4" xfId="40405"/>
    <cellStyle name="计算 2 14 9" xfId="28601"/>
    <cellStyle name="计算 2 14 9 2" xfId="40407"/>
    <cellStyle name="计算 2 15" xfId="9570"/>
    <cellStyle name="计算 2 15 10" xfId="28602"/>
    <cellStyle name="计算 2 15 11" xfId="40408"/>
    <cellStyle name="计算 2 15 2" xfId="9571"/>
    <cellStyle name="计算 2 15 2 2" xfId="12731"/>
    <cellStyle name="计算 2 15 2 2 2" xfId="12732"/>
    <cellStyle name="计算 2 15 2 2 2 2" xfId="19778"/>
    <cellStyle name="计算 2 15 2 2 2 2 2" xfId="28606"/>
    <cellStyle name="计算 2 15 2 2 2 2 3" xfId="40412"/>
    <cellStyle name="计算 2 15 2 2 2 3" xfId="28605"/>
    <cellStyle name="计算 2 15 2 2 2 4" xfId="40411"/>
    <cellStyle name="计算 2 15 2 2 3" xfId="12733"/>
    <cellStyle name="计算 2 15 2 2 3 2" xfId="18700"/>
    <cellStyle name="计算 2 15 2 2 3 2 2" xfId="28608"/>
    <cellStyle name="计算 2 15 2 2 3 2 3" xfId="40414"/>
    <cellStyle name="计算 2 15 2 2 3 3" xfId="28607"/>
    <cellStyle name="计算 2 15 2 2 3 4" xfId="40413"/>
    <cellStyle name="计算 2 15 2 2 4" xfId="17634"/>
    <cellStyle name="计算 2 15 2 2 4 2" xfId="28609"/>
    <cellStyle name="计算 2 15 2 2 4 3" xfId="40415"/>
    <cellStyle name="计算 2 15 2 2 5" xfId="28604"/>
    <cellStyle name="计算 2 15 2 2 6" xfId="40410"/>
    <cellStyle name="计算 2 15 2 3" xfId="12734"/>
    <cellStyle name="计算 2 15 2 3 2" xfId="19777"/>
    <cellStyle name="计算 2 15 2 3 2 2" xfId="28611"/>
    <cellStyle name="计算 2 15 2 3 2 3" xfId="40417"/>
    <cellStyle name="计算 2 15 2 3 3" xfId="28610"/>
    <cellStyle name="计算 2 15 2 3 4" xfId="40416"/>
    <cellStyle name="计算 2 15 2 4" xfId="12735"/>
    <cellStyle name="计算 2 15 2 4 2" xfId="19776"/>
    <cellStyle name="计算 2 15 2 4 2 2" xfId="28613"/>
    <cellStyle name="计算 2 15 2 4 2 3" xfId="40419"/>
    <cellStyle name="计算 2 15 2 4 3" xfId="28612"/>
    <cellStyle name="计算 2 15 2 4 4" xfId="40418"/>
    <cellStyle name="计算 2 15 2 5" xfId="28614"/>
    <cellStyle name="计算 2 15 2 5 2" xfId="40420"/>
    <cellStyle name="计算 2 15 2 6" xfId="28603"/>
    <cellStyle name="计算 2 15 2 7" xfId="40409"/>
    <cellStyle name="计算 2 15 3" xfId="9572"/>
    <cellStyle name="计算 2 15 3 2" xfId="12736"/>
    <cellStyle name="计算 2 15 3 2 2" xfId="12737"/>
    <cellStyle name="计算 2 15 3 2 2 2" xfId="17632"/>
    <cellStyle name="计算 2 15 3 2 2 2 2" xfId="28618"/>
    <cellStyle name="计算 2 15 3 2 2 2 3" xfId="40424"/>
    <cellStyle name="计算 2 15 3 2 2 3" xfId="28617"/>
    <cellStyle name="计算 2 15 3 2 2 4" xfId="40423"/>
    <cellStyle name="计算 2 15 3 2 3" xfId="12738"/>
    <cellStyle name="计算 2 15 3 2 3 2" xfId="18635"/>
    <cellStyle name="计算 2 15 3 2 3 2 2" xfId="28620"/>
    <cellStyle name="计算 2 15 3 2 3 2 3" xfId="40426"/>
    <cellStyle name="计算 2 15 3 2 3 3" xfId="28619"/>
    <cellStyle name="计算 2 15 3 2 3 4" xfId="40425"/>
    <cellStyle name="计算 2 15 3 2 4" xfId="17633"/>
    <cellStyle name="计算 2 15 3 2 4 2" xfId="28621"/>
    <cellStyle name="计算 2 15 3 2 4 3" xfId="40427"/>
    <cellStyle name="计算 2 15 3 2 5" xfId="28616"/>
    <cellStyle name="计算 2 15 3 2 6" xfId="40422"/>
    <cellStyle name="计算 2 15 3 3" xfId="12739"/>
    <cellStyle name="计算 2 15 3 3 2" xfId="19775"/>
    <cellStyle name="计算 2 15 3 3 2 2" xfId="28623"/>
    <cellStyle name="计算 2 15 3 3 2 3" xfId="40429"/>
    <cellStyle name="计算 2 15 3 3 3" xfId="28622"/>
    <cellStyle name="计算 2 15 3 3 4" xfId="40428"/>
    <cellStyle name="计算 2 15 3 4" xfId="12740"/>
    <cellStyle name="计算 2 15 3 4 2" xfId="18328"/>
    <cellStyle name="计算 2 15 3 4 2 2" xfId="28625"/>
    <cellStyle name="计算 2 15 3 4 2 3" xfId="40431"/>
    <cellStyle name="计算 2 15 3 4 3" xfId="28624"/>
    <cellStyle name="计算 2 15 3 4 4" xfId="40430"/>
    <cellStyle name="计算 2 15 3 5" xfId="28626"/>
    <cellStyle name="计算 2 15 3 5 2" xfId="40432"/>
    <cellStyle name="计算 2 15 3 6" xfId="28615"/>
    <cellStyle name="计算 2 15 3 7" xfId="40421"/>
    <cellStyle name="计算 2 15 4" xfId="9573"/>
    <cellStyle name="计算 2 15 4 2" xfId="12741"/>
    <cellStyle name="计算 2 15 4 2 2" xfId="12742"/>
    <cellStyle name="计算 2 15 4 2 2 2" xfId="18326"/>
    <cellStyle name="计算 2 15 4 2 2 2 2" xfId="28630"/>
    <cellStyle name="计算 2 15 4 2 2 2 3" xfId="40436"/>
    <cellStyle name="计算 2 15 4 2 2 3" xfId="28629"/>
    <cellStyle name="计算 2 15 4 2 2 4" xfId="40435"/>
    <cellStyle name="计算 2 15 4 2 3" xfId="12743"/>
    <cellStyle name="计算 2 15 4 2 3 2" xfId="19774"/>
    <cellStyle name="计算 2 15 4 2 3 2 2" xfId="28632"/>
    <cellStyle name="计算 2 15 4 2 3 2 3" xfId="40438"/>
    <cellStyle name="计算 2 15 4 2 3 3" xfId="28631"/>
    <cellStyle name="计算 2 15 4 2 3 4" xfId="40437"/>
    <cellStyle name="计算 2 15 4 2 4" xfId="18327"/>
    <cellStyle name="计算 2 15 4 2 4 2" xfId="28633"/>
    <cellStyle name="计算 2 15 4 2 4 3" xfId="40439"/>
    <cellStyle name="计算 2 15 4 2 5" xfId="28628"/>
    <cellStyle name="计算 2 15 4 2 6" xfId="40434"/>
    <cellStyle name="计算 2 15 4 3" xfId="12744"/>
    <cellStyle name="计算 2 15 4 3 2" xfId="18699"/>
    <cellStyle name="计算 2 15 4 3 2 2" xfId="28635"/>
    <cellStyle name="计算 2 15 4 3 2 3" xfId="40441"/>
    <cellStyle name="计算 2 15 4 3 3" xfId="28634"/>
    <cellStyle name="计算 2 15 4 3 4" xfId="40440"/>
    <cellStyle name="计算 2 15 4 4" xfId="12745"/>
    <cellStyle name="计算 2 15 4 4 2" xfId="18698"/>
    <cellStyle name="计算 2 15 4 4 2 2" xfId="28637"/>
    <cellStyle name="计算 2 15 4 4 2 3" xfId="40443"/>
    <cellStyle name="计算 2 15 4 4 3" xfId="28636"/>
    <cellStyle name="计算 2 15 4 4 4" xfId="40442"/>
    <cellStyle name="计算 2 15 4 5" xfId="28638"/>
    <cellStyle name="计算 2 15 4 5 2" xfId="40444"/>
    <cellStyle name="计算 2 15 4 6" xfId="28627"/>
    <cellStyle name="计算 2 15 4 7" xfId="40433"/>
    <cellStyle name="计算 2 15 5" xfId="9574"/>
    <cellStyle name="计算 2 15 5 2" xfId="12746"/>
    <cellStyle name="计算 2 15 5 2 2" xfId="12747"/>
    <cellStyle name="计算 2 15 5 2 2 2" xfId="17631"/>
    <cellStyle name="计算 2 15 5 2 2 2 2" xfId="28642"/>
    <cellStyle name="计算 2 15 5 2 2 2 3" xfId="40448"/>
    <cellStyle name="计算 2 15 5 2 2 3" xfId="28641"/>
    <cellStyle name="计算 2 15 5 2 2 4" xfId="40447"/>
    <cellStyle name="计算 2 15 5 2 3" xfId="12748"/>
    <cellStyle name="计算 2 15 5 2 3 2" xfId="19772"/>
    <cellStyle name="计算 2 15 5 2 3 2 2" xfId="28644"/>
    <cellStyle name="计算 2 15 5 2 3 2 3" xfId="40450"/>
    <cellStyle name="计算 2 15 5 2 3 3" xfId="28643"/>
    <cellStyle name="计算 2 15 5 2 3 4" xfId="40449"/>
    <cellStyle name="计算 2 15 5 2 4" xfId="19773"/>
    <cellStyle name="计算 2 15 5 2 4 2" xfId="28645"/>
    <cellStyle name="计算 2 15 5 2 4 3" xfId="40451"/>
    <cellStyle name="计算 2 15 5 2 5" xfId="28640"/>
    <cellStyle name="计算 2 15 5 2 6" xfId="40446"/>
    <cellStyle name="计算 2 15 5 3" xfId="12749"/>
    <cellStyle name="计算 2 15 5 3 2" xfId="19771"/>
    <cellStyle name="计算 2 15 5 3 2 2" xfId="28647"/>
    <cellStyle name="计算 2 15 5 3 2 3" xfId="40453"/>
    <cellStyle name="计算 2 15 5 3 3" xfId="28646"/>
    <cellStyle name="计算 2 15 5 3 4" xfId="40452"/>
    <cellStyle name="计算 2 15 5 4" xfId="12750"/>
    <cellStyle name="计算 2 15 5 4 2" xfId="18325"/>
    <cellStyle name="计算 2 15 5 4 2 2" xfId="28649"/>
    <cellStyle name="计算 2 15 5 4 2 3" xfId="40455"/>
    <cellStyle name="计算 2 15 5 4 3" xfId="28648"/>
    <cellStyle name="计算 2 15 5 4 4" xfId="40454"/>
    <cellStyle name="计算 2 15 5 5" xfId="28650"/>
    <cellStyle name="计算 2 15 5 5 2" xfId="40456"/>
    <cellStyle name="计算 2 15 5 6" xfId="28639"/>
    <cellStyle name="计算 2 15 5 7" xfId="40445"/>
    <cellStyle name="计算 2 15 6" xfId="12751"/>
    <cellStyle name="计算 2 15 6 2" xfId="12752"/>
    <cellStyle name="计算 2 15 6 2 2" xfId="17630"/>
    <cellStyle name="计算 2 15 6 2 2 2" xfId="28653"/>
    <cellStyle name="计算 2 15 6 2 2 3" xfId="40459"/>
    <cellStyle name="计算 2 15 6 2 3" xfId="28652"/>
    <cellStyle name="计算 2 15 6 2 4" xfId="40458"/>
    <cellStyle name="计算 2 15 6 3" xfId="12753"/>
    <cellStyle name="计算 2 15 6 3 2" xfId="19770"/>
    <cellStyle name="计算 2 15 6 3 2 2" xfId="28655"/>
    <cellStyle name="计算 2 15 6 3 2 3" xfId="40461"/>
    <cellStyle name="计算 2 15 6 3 3" xfId="28654"/>
    <cellStyle name="计算 2 15 6 3 4" xfId="40460"/>
    <cellStyle name="计算 2 15 6 4" xfId="18697"/>
    <cellStyle name="计算 2 15 6 4 2" xfId="28656"/>
    <cellStyle name="计算 2 15 6 4 3" xfId="40462"/>
    <cellStyle name="计算 2 15 6 5" xfId="28651"/>
    <cellStyle name="计算 2 15 6 6" xfId="40457"/>
    <cellStyle name="计算 2 15 7" xfId="12754"/>
    <cellStyle name="计算 2 15 7 2" xfId="19769"/>
    <cellStyle name="计算 2 15 7 2 2" xfId="28658"/>
    <cellStyle name="计算 2 15 7 2 3" xfId="40464"/>
    <cellStyle name="计算 2 15 7 3" xfId="28657"/>
    <cellStyle name="计算 2 15 7 4" xfId="40463"/>
    <cellStyle name="计算 2 15 8" xfId="12755"/>
    <cellStyle name="计算 2 15 8 2" xfId="19768"/>
    <cellStyle name="计算 2 15 8 2 2" xfId="28660"/>
    <cellStyle name="计算 2 15 8 2 3" xfId="40466"/>
    <cellStyle name="计算 2 15 8 3" xfId="28659"/>
    <cellStyle name="计算 2 15 8 4" xfId="40465"/>
    <cellStyle name="计算 2 15 9" xfId="28661"/>
    <cellStyle name="计算 2 15 9 2" xfId="40467"/>
    <cellStyle name="计算 2 16" xfId="9575"/>
    <cellStyle name="计算 2 16 10" xfId="28662"/>
    <cellStyle name="计算 2 16 11" xfId="40468"/>
    <cellStyle name="计算 2 16 2" xfId="9576"/>
    <cellStyle name="计算 2 16 2 2" xfId="12756"/>
    <cellStyle name="计算 2 16 2 2 2" xfId="12757"/>
    <cellStyle name="计算 2 16 2 2 2 2" xfId="17629"/>
    <cellStyle name="计算 2 16 2 2 2 2 2" xfId="28666"/>
    <cellStyle name="计算 2 16 2 2 2 2 3" xfId="40472"/>
    <cellStyle name="计算 2 16 2 2 2 3" xfId="28665"/>
    <cellStyle name="计算 2 16 2 2 2 4" xfId="40471"/>
    <cellStyle name="计算 2 16 2 2 3" xfId="12758"/>
    <cellStyle name="计算 2 16 2 2 3 2" xfId="18696"/>
    <cellStyle name="计算 2 16 2 2 3 2 2" xfId="28668"/>
    <cellStyle name="计算 2 16 2 2 3 2 3" xfId="40474"/>
    <cellStyle name="计算 2 16 2 2 3 3" xfId="28667"/>
    <cellStyle name="计算 2 16 2 2 3 4" xfId="40473"/>
    <cellStyle name="计算 2 16 2 2 4" xfId="19767"/>
    <cellStyle name="计算 2 16 2 2 4 2" xfId="28669"/>
    <cellStyle name="计算 2 16 2 2 4 3" xfId="40475"/>
    <cellStyle name="计算 2 16 2 2 5" xfId="28664"/>
    <cellStyle name="计算 2 16 2 2 6" xfId="40470"/>
    <cellStyle name="计算 2 16 2 3" xfId="12759"/>
    <cellStyle name="计算 2 16 2 3 2" xfId="19766"/>
    <cellStyle name="计算 2 16 2 3 2 2" xfId="28671"/>
    <cellStyle name="计算 2 16 2 3 2 3" xfId="40477"/>
    <cellStyle name="计算 2 16 2 3 3" xfId="28670"/>
    <cellStyle name="计算 2 16 2 3 4" xfId="40476"/>
    <cellStyle name="计算 2 16 2 4" xfId="12760"/>
    <cellStyle name="计算 2 16 2 4 2" xfId="19765"/>
    <cellStyle name="计算 2 16 2 4 2 2" xfId="28673"/>
    <cellStyle name="计算 2 16 2 4 2 3" xfId="40479"/>
    <cellStyle name="计算 2 16 2 4 3" xfId="28672"/>
    <cellStyle name="计算 2 16 2 4 4" xfId="40478"/>
    <cellStyle name="计算 2 16 2 5" xfId="28674"/>
    <cellStyle name="计算 2 16 2 5 2" xfId="40480"/>
    <cellStyle name="计算 2 16 2 6" xfId="28663"/>
    <cellStyle name="计算 2 16 2 7" xfId="40469"/>
    <cellStyle name="计算 2 16 3" xfId="9577"/>
    <cellStyle name="计算 2 16 3 2" xfId="12761"/>
    <cellStyle name="计算 2 16 3 2 2" xfId="12762"/>
    <cellStyle name="计算 2 16 3 2 2 2" xfId="17628"/>
    <cellStyle name="计算 2 16 3 2 2 2 2" xfId="28678"/>
    <cellStyle name="计算 2 16 3 2 2 2 3" xfId="40484"/>
    <cellStyle name="计算 2 16 3 2 2 3" xfId="28677"/>
    <cellStyle name="计算 2 16 3 2 2 4" xfId="40483"/>
    <cellStyle name="计算 2 16 3 2 3" xfId="12763"/>
    <cellStyle name="计算 2 16 3 2 3 2" xfId="21069"/>
    <cellStyle name="计算 2 16 3 2 3 2 2" xfId="28680"/>
    <cellStyle name="计算 2 16 3 2 3 2 3" xfId="40486"/>
    <cellStyle name="计算 2 16 3 2 3 3" xfId="28679"/>
    <cellStyle name="计算 2 16 3 2 3 4" xfId="40485"/>
    <cellStyle name="计算 2 16 3 2 4" xfId="19764"/>
    <cellStyle name="计算 2 16 3 2 4 2" xfId="28681"/>
    <cellStyle name="计算 2 16 3 2 4 3" xfId="40487"/>
    <cellStyle name="计算 2 16 3 2 5" xfId="28676"/>
    <cellStyle name="计算 2 16 3 2 6" xfId="40482"/>
    <cellStyle name="计算 2 16 3 3" xfId="12764"/>
    <cellStyle name="计算 2 16 3 3 2" xfId="17627"/>
    <cellStyle name="计算 2 16 3 3 2 2" xfId="28683"/>
    <cellStyle name="计算 2 16 3 3 2 3" xfId="40489"/>
    <cellStyle name="计算 2 16 3 3 3" xfId="28682"/>
    <cellStyle name="计算 2 16 3 3 4" xfId="40488"/>
    <cellStyle name="计算 2 16 3 4" xfId="12765"/>
    <cellStyle name="计算 2 16 3 4 2" xfId="17626"/>
    <cellStyle name="计算 2 16 3 4 2 2" xfId="28685"/>
    <cellStyle name="计算 2 16 3 4 2 3" xfId="40491"/>
    <cellStyle name="计算 2 16 3 4 3" xfId="28684"/>
    <cellStyle name="计算 2 16 3 4 4" xfId="40490"/>
    <cellStyle name="计算 2 16 3 5" xfId="28686"/>
    <cellStyle name="计算 2 16 3 5 2" xfId="40492"/>
    <cellStyle name="计算 2 16 3 6" xfId="28675"/>
    <cellStyle name="计算 2 16 3 7" xfId="40481"/>
    <cellStyle name="计算 2 16 4" xfId="9578"/>
    <cellStyle name="计算 2 16 4 2" xfId="12766"/>
    <cellStyle name="计算 2 16 4 2 2" xfId="12767"/>
    <cellStyle name="计算 2 16 4 2 2 2" xfId="21132"/>
    <cellStyle name="计算 2 16 4 2 2 2 2" xfId="28690"/>
    <cellStyle name="计算 2 16 4 2 2 2 3" xfId="40496"/>
    <cellStyle name="计算 2 16 4 2 2 3" xfId="28689"/>
    <cellStyle name="计算 2 16 4 2 2 4" xfId="40495"/>
    <cellStyle name="计算 2 16 4 2 3" xfId="12768"/>
    <cellStyle name="计算 2 16 4 2 3 2" xfId="17624"/>
    <cellStyle name="计算 2 16 4 2 3 2 2" xfId="28692"/>
    <cellStyle name="计算 2 16 4 2 3 2 3" xfId="40498"/>
    <cellStyle name="计算 2 16 4 2 3 3" xfId="28691"/>
    <cellStyle name="计算 2 16 4 2 3 4" xfId="40497"/>
    <cellStyle name="计算 2 16 4 2 4" xfId="17625"/>
    <cellStyle name="计算 2 16 4 2 4 2" xfId="28693"/>
    <cellStyle name="计算 2 16 4 2 4 3" xfId="40499"/>
    <cellStyle name="计算 2 16 4 2 5" xfId="28688"/>
    <cellStyle name="计算 2 16 4 2 6" xfId="40494"/>
    <cellStyle name="计算 2 16 4 3" xfId="12769"/>
    <cellStyle name="计算 2 16 4 3 2" xfId="21068"/>
    <cellStyle name="计算 2 16 4 3 2 2" xfId="28695"/>
    <cellStyle name="计算 2 16 4 3 2 3" xfId="40501"/>
    <cellStyle name="计算 2 16 4 3 3" xfId="28694"/>
    <cellStyle name="计算 2 16 4 3 4" xfId="40500"/>
    <cellStyle name="计算 2 16 4 4" xfId="12770"/>
    <cellStyle name="计算 2 16 4 4 2" xfId="17623"/>
    <cellStyle name="计算 2 16 4 4 2 2" xfId="28697"/>
    <cellStyle name="计算 2 16 4 4 2 3" xfId="40503"/>
    <cellStyle name="计算 2 16 4 4 3" xfId="28696"/>
    <cellStyle name="计算 2 16 4 4 4" xfId="40502"/>
    <cellStyle name="计算 2 16 4 5" xfId="28698"/>
    <cellStyle name="计算 2 16 4 5 2" xfId="40504"/>
    <cellStyle name="计算 2 16 4 6" xfId="28687"/>
    <cellStyle name="计算 2 16 4 7" xfId="40493"/>
    <cellStyle name="计算 2 16 5" xfId="9579"/>
    <cellStyle name="计算 2 16 5 2" xfId="12771"/>
    <cellStyle name="计算 2 16 5 2 2" xfId="12772"/>
    <cellStyle name="计算 2 16 5 2 2 2" xfId="17621"/>
    <cellStyle name="计算 2 16 5 2 2 2 2" xfId="28702"/>
    <cellStyle name="计算 2 16 5 2 2 2 3" xfId="40508"/>
    <cellStyle name="计算 2 16 5 2 2 3" xfId="28701"/>
    <cellStyle name="计算 2 16 5 2 2 4" xfId="40507"/>
    <cellStyle name="计算 2 16 5 2 3" xfId="12773"/>
    <cellStyle name="计算 2 16 5 2 3 2" xfId="19451"/>
    <cellStyle name="计算 2 16 5 2 3 2 2" xfId="28704"/>
    <cellStyle name="计算 2 16 5 2 3 2 3" xfId="40510"/>
    <cellStyle name="计算 2 16 5 2 3 3" xfId="28703"/>
    <cellStyle name="计算 2 16 5 2 3 4" xfId="40509"/>
    <cellStyle name="计算 2 16 5 2 4" xfId="17622"/>
    <cellStyle name="计算 2 16 5 2 4 2" xfId="28705"/>
    <cellStyle name="计算 2 16 5 2 4 3" xfId="40511"/>
    <cellStyle name="计算 2 16 5 2 5" xfId="28700"/>
    <cellStyle name="计算 2 16 5 2 6" xfId="40506"/>
    <cellStyle name="计算 2 16 5 3" xfId="12774"/>
    <cellStyle name="计算 2 16 5 3 2" xfId="19450"/>
    <cellStyle name="计算 2 16 5 3 2 2" xfId="28707"/>
    <cellStyle name="计算 2 16 5 3 2 3" xfId="40513"/>
    <cellStyle name="计算 2 16 5 3 3" xfId="28706"/>
    <cellStyle name="计算 2 16 5 3 4" xfId="40512"/>
    <cellStyle name="计算 2 16 5 4" xfId="12775"/>
    <cellStyle name="计算 2 16 5 4 2" xfId="19449"/>
    <cellStyle name="计算 2 16 5 4 2 2" xfId="28709"/>
    <cellStyle name="计算 2 16 5 4 2 3" xfId="40515"/>
    <cellStyle name="计算 2 16 5 4 3" xfId="28708"/>
    <cellStyle name="计算 2 16 5 4 4" xfId="40514"/>
    <cellStyle name="计算 2 16 5 5" xfId="28710"/>
    <cellStyle name="计算 2 16 5 5 2" xfId="40516"/>
    <cellStyle name="计算 2 16 5 6" xfId="28699"/>
    <cellStyle name="计算 2 16 5 7" xfId="40505"/>
    <cellStyle name="计算 2 16 6" xfId="12776"/>
    <cellStyle name="计算 2 16 6 2" xfId="12777"/>
    <cellStyle name="计算 2 16 6 2 2" xfId="17618"/>
    <cellStyle name="计算 2 16 6 2 2 2" xfId="28713"/>
    <cellStyle name="计算 2 16 6 2 2 3" xfId="40519"/>
    <cellStyle name="计算 2 16 6 2 3" xfId="28712"/>
    <cellStyle name="计算 2 16 6 2 4" xfId="40518"/>
    <cellStyle name="计算 2 16 6 3" xfId="12778"/>
    <cellStyle name="计算 2 16 6 3 2" xfId="21067"/>
    <cellStyle name="计算 2 16 6 3 2 2" xfId="28715"/>
    <cellStyle name="计算 2 16 6 3 2 3" xfId="40521"/>
    <cellStyle name="计算 2 16 6 3 3" xfId="28714"/>
    <cellStyle name="计算 2 16 6 3 4" xfId="40520"/>
    <cellStyle name="计算 2 16 6 4" xfId="17619"/>
    <cellStyle name="计算 2 16 6 4 2" xfId="28716"/>
    <cellStyle name="计算 2 16 6 4 3" xfId="40522"/>
    <cellStyle name="计算 2 16 6 5" xfId="28711"/>
    <cellStyle name="计算 2 16 6 6" xfId="40517"/>
    <cellStyle name="计算 2 16 7" xfId="12779"/>
    <cellStyle name="计算 2 16 7 2" xfId="17617"/>
    <cellStyle name="计算 2 16 7 2 2" xfId="28718"/>
    <cellStyle name="计算 2 16 7 2 3" xfId="40524"/>
    <cellStyle name="计算 2 16 7 3" xfId="28717"/>
    <cellStyle name="计算 2 16 7 4" xfId="40523"/>
    <cellStyle name="计算 2 16 8" xfId="12780"/>
    <cellStyle name="计算 2 16 8 2" xfId="17616"/>
    <cellStyle name="计算 2 16 8 2 2" xfId="28720"/>
    <cellStyle name="计算 2 16 8 2 3" xfId="40526"/>
    <cellStyle name="计算 2 16 8 3" xfId="28719"/>
    <cellStyle name="计算 2 16 8 4" xfId="40525"/>
    <cellStyle name="计算 2 16 9" xfId="28721"/>
    <cellStyle name="计算 2 16 9 2" xfId="40527"/>
    <cellStyle name="计算 2 17" xfId="9580"/>
    <cellStyle name="计算 2 17 10" xfId="28722"/>
    <cellStyle name="计算 2 17 11" xfId="40528"/>
    <cellStyle name="计算 2 17 2" xfId="9581"/>
    <cellStyle name="计算 2 17 2 2" xfId="12781"/>
    <cellStyle name="计算 2 17 2 2 2" xfId="12782"/>
    <cellStyle name="计算 2 17 2 2 2 2" xfId="17614"/>
    <cellStyle name="计算 2 17 2 2 2 2 2" xfId="28726"/>
    <cellStyle name="计算 2 17 2 2 2 2 3" xfId="40532"/>
    <cellStyle name="计算 2 17 2 2 2 3" xfId="28725"/>
    <cellStyle name="计算 2 17 2 2 2 4" xfId="40531"/>
    <cellStyle name="计算 2 17 2 2 3" xfId="12783"/>
    <cellStyle name="计算 2 17 2 2 3 2" xfId="21066"/>
    <cellStyle name="计算 2 17 2 2 3 2 2" xfId="28728"/>
    <cellStyle name="计算 2 17 2 2 3 2 3" xfId="40534"/>
    <cellStyle name="计算 2 17 2 2 3 3" xfId="28727"/>
    <cellStyle name="计算 2 17 2 2 3 4" xfId="40533"/>
    <cellStyle name="计算 2 17 2 2 4" xfId="17615"/>
    <cellStyle name="计算 2 17 2 2 4 2" xfId="28729"/>
    <cellStyle name="计算 2 17 2 2 4 3" xfId="40535"/>
    <cellStyle name="计算 2 17 2 2 5" xfId="28724"/>
    <cellStyle name="计算 2 17 2 2 6" xfId="40530"/>
    <cellStyle name="计算 2 17 2 3" xfId="12784"/>
    <cellStyle name="计算 2 17 2 3 2" xfId="21065"/>
    <cellStyle name="计算 2 17 2 3 2 2" xfId="28731"/>
    <cellStyle name="计算 2 17 2 3 2 3" xfId="40537"/>
    <cellStyle name="计算 2 17 2 3 3" xfId="28730"/>
    <cellStyle name="计算 2 17 2 3 4" xfId="40536"/>
    <cellStyle name="计算 2 17 2 4" xfId="12785"/>
    <cellStyle name="计算 2 17 2 4 2" xfId="21064"/>
    <cellStyle name="计算 2 17 2 4 2 2" xfId="28733"/>
    <cellStyle name="计算 2 17 2 4 2 3" xfId="40539"/>
    <cellStyle name="计算 2 17 2 4 3" xfId="28732"/>
    <cellStyle name="计算 2 17 2 4 4" xfId="40538"/>
    <cellStyle name="计算 2 17 2 5" xfId="28734"/>
    <cellStyle name="计算 2 17 2 5 2" xfId="40540"/>
    <cellStyle name="计算 2 17 2 6" xfId="28723"/>
    <cellStyle name="计算 2 17 2 7" xfId="40529"/>
    <cellStyle name="计算 2 17 3" xfId="9582"/>
    <cellStyle name="计算 2 17 3 2" xfId="12786"/>
    <cellStyle name="计算 2 17 3 2 2" xfId="12787"/>
    <cellStyle name="计算 2 17 3 2 2 2" xfId="17612"/>
    <cellStyle name="计算 2 17 3 2 2 2 2" xfId="28738"/>
    <cellStyle name="计算 2 17 3 2 2 2 3" xfId="40544"/>
    <cellStyle name="计算 2 17 3 2 2 3" xfId="28737"/>
    <cellStyle name="计算 2 17 3 2 2 4" xfId="40543"/>
    <cellStyle name="计算 2 17 3 2 3" xfId="12788"/>
    <cellStyle name="计算 2 17 3 2 3 2" xfId="17611"/>
    <cellStyle name="计算 2 17 3 2 3 2 2" xfId="28740"/>
    <cellStyle name="计算 2 17 3 2 3 2 3" xfId="40546"/>
    <cellStyle name="计算 2 17 3 2 3 3" xfId="28739"/>
    <cellStyle name="计算 2 17 3 2 3 4" xfId="40545"/>
    <cellStyle name="计算 2 17 3 2 4" xfId="17613"/>
    <cellStyle name="计算 2 17 3 2 4 2" xfId="28741"/>
    <cellStyle name="计算 2 17 3 2 4 3" xfId="40547"/>
    <cellStyle name="计算 2 17 3 2 5" xfId="28736"/>
    <cellStyle name="计算 2 17 3 2 6" xfId="40542"/>
    <cellStyle name="计算 2 17 3 3" xfId="12789"/>
    <cellStyle name="计算 2 17 3 3 2" xfId="17610"/>
    <cellStyle name="计算 2 17 3 3 2 2" xfId="28743"/>
    <cellStyle name="计算 2 17 3 3 2 3" xfId="40549"/>
    <cellStyle name="计算 2 17 3 3 3" xfId="28742"/>
    <cellStyle name="计算 2 17 3 3 4" xfId="40548"/>
    <cellStyle name="计算 2 17 3 4" xfId="12790"/>
    <cellStyle name="计算 2 17 3 4 2" xfId="21063"/>
    <cellStyle name="计算 2 17 3 4 2 2" xfId="28745"/>
    <cellStyle name="计算 2 17 3 4 2 3" xfId="40551"/>
    <cellStyle name="计算 2 17 3 4 3" xfId="28744"/>
    <cellStyle name="计算 2 17 3 4 4" xfId="40550"/>
    <cellStyle name="计算 2 17 3 5" xfId="28746"/>
    <cellStyle name="计算 2 17 3 5 2" xfId="40552"/>
    <cellStyle name="计算 2 17 3 6" xfId="28735"/>
    <cellStyle name="计算 2 17 3 7" xfId="40541"/>
    <cellStyle name="计算 2 17 4" xfId="9583"/>
    <cellStyle name="计算 2 17 4 2" xfId="12791"/>
    <cellStyle name="计算 2 17 4 2 2" xfId="12792"/>
    <cellStyle name="计算 2 17 4 2 2 2" xfId="17608"/>
    <cellStyle name="计算 2 17 4 2 2 2 2" xfId="28750"/>
    <cellStyle name="计算 2 17 4 2 2 2 3" xfId="40556"/>
    <cellStyle name="计算 2 17 4 2 2 3" xfId="28749"/>
    <cellStyle name="计算 2 17 4 2 2 4" xfId="40555"/>
    <cellStyle name="计算 2 17 4 2 3" xfId="12793"/>
    <cellStyle name="计算 2 17 4 2 3 2" xfId="17607"/>
    <cellStyle name="计算 2 17 4 2 3 2 2" xfId="28752"/>
    <cellStyle name="计算 2 17 4 2 3 2 3" xfId="40558"/>
    <cellStyle name="计算 2 17 4 2 3 3" xfId="28751"/>
    <cellStyle name="计算 2 17 4 2 3 4" xfId="40557"/>
    <cellStyle name="计算 2 17 4 2 4" xfId="17609"/>
    <cellStyle name="计算 2 17 4 2 4 2" xfId="28753"/>
    <cellStyle name="计算 2 17 4 2 4 3" xfId="40559"/>
    <cellStyle name="计算 2 17 4 2 5" xfId="28748"/>
    <cellStyle name="计算 2 17 4 2 6" xfId="40554"/>
    <cellStyle name="计算 2 17 4 3" xfId="12794"/>
    <cellStyle name="计算 2 17 4 3 2" xfId="17606"/>
    <cellStyle name="计算 2 17 4 3 2 2" xfId="28755"/>
    <cellStyle name="计算 2 17 4 3 2 3" xfId="40561"/>
    <cellStyle name="计算 2 17 4 3 3" xfId="28754"/>
    <cellStyle name="计算 2 17 4 3 4" xfId="40560"/>
    <cellStyle name="计算 2 17 4 4" xfId="12795"/>
    <cellStyle name="计算 2 17 4 4 2" xfId="21062"/>
    <cellStyle name="计算 2 17 4 4 2 2" xfId="28757"/>
    <cellStyle name="计算 2 17 4 4 2 3" xfId="40563"/>
    <cellStyle name="计算 2 17 4 4 3" xfId="28756"/>
    <cellStyle name="计算 2 17 4 4 4" xfId="40562"/>
    <cellStyle name="计算 2 17 4 5" xfId="28758"/>
    <cellStyle name="计算 2 17 4 5 2" xfId="40564"/>
    <cellStyle name="计算 2 17 4 6" xfId="28747"/>
    <cellStyle name="计算 2 17 4 7" xfId="40553"/>
    <cellStyle name="计算 2 17 5" xfId="9584"/>
    <cellStyle name="计算 2 17 5 2" xfId="12796"/>
    <cellStyle name="计算 2 17 5 2 2" xfId="12797"/>
    <cellStyle name="计算 2 17 5 2 2 2" xfId="17604"/>
    <cellStyle name="计算 2 17 5 2 2 2 2" xfId="28762"/>
    <cellStyle name="计算 2 17 5 2 2 2 3" xfId="40568"/>
    <cellStyle name="计算 2 17 5 2 2 3" xfId="28761"/>
    <cellStyle name="计算 2 17 5 2 2 4" xfId="40567"/>
    <cellStyle name="计算 2 17 5 2 3" xfId="12798"/>
    <cellStyle name="计算 2 17 5 2 3 2" xfId="17603"/>
    <cellStyle name="计算 2 17 5 2 3 2 2" xfId="28764"/>
    <cellStyle name="计算 2 17 5 2 3 2 3" xfId="40570"/>
    <cellStyle name="计算 2 17 5 2 3 3" xfId="28763"/>
    <cellStyle name="计算 2 17 5 2 3 4" xfId="40569"/>
    <cellStyle name="计算 2 17 5 2 4" xfId="17605"/>
    <cellStyle name="计算 2 17 5 2 4 2" xfId="28765"/>
    <cellStyle name="计算 2 17 5 2 4 3" xfId="40571"/>
    <cellStyle name="计算 2 17 5 2 5" xfId="28760"/>
    <cellStyle name="计算 2 17 5 2 6" xfId="40566"/>
    <cellStyle name="计算 2 17 5 3" xfId="12799"/>
    <cellStyle name="计算 2 17 5 3 2" xfId="17602"/>
    <cellStyle name="计算 2 17 5 3 2 2" xfId="28767"/>
    <cellStyle name="计算 2 17 5 3 2 3" xfId="40573"/>
    <cellStyle name="计算 2 17 5 3 3" xfId="28766"/>
    <cellStyle name="计算 2 17 5 3 4" xfId="40572"/>
    <cellStyle name="计算 2 17 5 4" xfId="12800"/>
    <cellStyle name="计算 2 17 5 4 2" xfId="18634"/>
    <cellStyle name="计算 2 17 5 4 2 2" xfId="28769"/>
    <cellStyle name="计算 2 17 5 4 2 3" xfId="40575"/>
    <cellStyle name="计算 2 17 5 4 3" xfId="28768"/>
    <cellStyle name="计算 2 17 5 4 4" xfId="40574"/>
    <cellStyle name="计算 2 17 5 5" xfId="28770"/>
    <cellStyle name="计算 2 17 5 5 2" xfId="40576"/>
    <cellStyle name="计算 2 17 5 6" xfId="28759"/>
    <cellStyle name="计算 2 17 5 7" xfId="40565"/>
    <cellStyle name="计算 2 17 6" xfId="12801"/>
    <cellStyle name="计算 2 17 6 2" xfId="12802"/>
    <cellStyle name="计算 2 17 6 2 2" xfId="17600"/>
    <cellStyle name="计算 2 17 6 2 2 2" xfId="28773"/>
    <cellStyle name="计算 2 17 6 2 2 3" xfId="40579"/>
    <cellStyle name="计算 2 17 6 2 3" xfId="28772"/>
    <cellStyle name="计算 2 17 6 2 4" xfId="40578"/>
    <cellStyle name="计算 2 17 6 3" xfId="12803"/>
    <cellStyle name="计算 2 17 6 3 2" xfId="17599"/>
    <cellStyle name="计算 2 17 6 3 2 2" xfId="28775"/>
    <cellStyle name="计算 2 17 6 3 2 3" xfId="40581"/>
    <cellStyle name="计算 2 17 6 3 3" xfId="28774"/>
    <cellStyle name="计算 2 17 6 3 4" xfId="40580"/>
    <cellStyle name="计算 2 17 6 4" xfId="17601"/>
    <cellStyle name="计算 2 17 6 4 2" xfId="28776"/>
    <cellStyle name="计算 2 17 6 4 3" xfId="40582"/>
    <cellStyle name="计算 2 17 6 5" xfId="28771"/>
    <cellStyle name="计算 2 17 6 6" xfId="40577"/>
    <cellStyle name="计算 2 17 7" xfId="12804"/>
    <cellStyle name="计算 2 17 7 2" xfId="17598"/>
    <cellStyle name="计算 2 17 7 2 2" xfId="28778"/>
    <cellStyle name="计算 2 17 7 2 3" xfId="40584"/>
    <cellStyle name="计算 2 17 7 3" xfId="28777"/>
    <cellStyle name="计算 2 17 7 4" xfId="40583"/>
    <cellStyle name="计算 2 17 8" xfId="12805"/>
    <cellStyle name="计算 2 17 8 2" xfId="17597"/>
    <cellStyle name="计算 2 17 8 2 2" xfId="28780"/>
    <cellStyle name="计算 2 17 8 2 3" xfId="40586"/>
    <cellStyle name="计算 2 17 8 3" xfId="28779"/>
    <cellStyle name="计算 2 17 8 4" xfId="40585"/>
    <cellStyle name="计算 2 17 9" xfId="28781"/>
    <cellStyle name="计算 2 17 9 2" xfId="40587"/>
    <cellStyle name="计算 2 18" xfId="9585"/>
    <cellStyle name="计算 2 18 10" xfId="28782"/>
    <cellStyle name="计算 2 18 11" xfId="40588"/>
    <cellStyle name="计算 2 18 2" xfId="9586"/>
    <cellStyle name="计算 2 18 2 2" xfId="12806"/>
    <cellStyle name="计算 2 18 2 2 2" xfId="12807"/>
    <cellStyle name="计算 2 18 2 2 2 2" xfId="17595"/>
    <cellStyle name="计算 2 18 2 2 2 2 2" xfId="28786"/>
    <cellStyle name="计算 2 18 2 2 2 2 3" xfId="40592"/>
    <cellStyle name="计算 2 18 2 2 2 3" xfId="28785"/>
    <cellStyle name="计算 2 18 2 2 2 4" xfId="40591"/>
    <cellStyle name="计算 2 18 2 2 3" xfId="12808"/>
    <cellStyle name="计算 2 18 2 2 3 2" xfId="17594"/>
    <cellStyle name="计算 2 18 2 2 3 2 2" xfId="28788"/>
    <cellStyle name="计算 2 18 2 2 3 2 3" xfId="40594"/>
    <cellStyle name="计算 2 18 2 2 3 3" xfId="28787"/>
    <cellStyle name="计算 2 18 2 2 3 4" xfId="40593"/>
    <cellStyle name="计算 2 18 2 2 4" xfId="17596"/>
    <cellStyle name="计算 2 18 2 2 4 2" xfId="28789"/>
    <cellStyle name="计算 2 18 2 2 4 3" xfId="40595"/>
    <cellStyle name="计算 2 18 2 2 5" xfId="28784"/>
    <cellStyle name="计算 2 18 2 2 6" xfId="40590"/>
    <cellStyle name="计算 2 18 2 3" xfId="12809"/>
    <cellStyle name="计算 2 18 2 3 2" xfId="21061"/>
    <cellStyle name="计算 2 18 2 3 2 2" xfId="28791"/>
    <cellStyle name="计算 2 18 2 3 2 3" xfId="40597"/>
    <cellStyle name="计算 2 18 2 3 3" xfId="28790"/>
    <cellStyle name="计算 2 18 2 3 4" xfId="40596"/>
    <cellStyle name="计算 2 18 2 4" xfId="12810"/>
    <cellStyle name="计算 2 18 2 4 2" xfId="21060"/>
    <cellStyle name="计算 2 18 2 4 2 2" xfId="28793"/>
    <cellStyle name="计算 2 18 2 4 2 3" xfId="40599"/>
    <cellStyle name="计算 2 18 2 4 3" xfId="28792"/>
    <cellStyle name="计算 2 18 2 4 4" xfId="40598"/>
    <cellStyle name="计算 2 18 2 5" xfId="28794"/>
    <cellStyle name="计算 2 18 2 5 2" xfId="40600"/>
    <cellStyle name="计算 2 18 2 6" xfId="28783"/>
    <cellStyle name="计算 2 18 2 7" xfId="40589"/>
    <cellStyle name="计算 2 18 3" xfId="9587"/>
    <cellStyle name="计算 2 18 3 2" xfId="12811"/>
    <cellStyle name="计算 2 18 3 2 2" xfId="12812"/>
    <cellStyle name="计算 2 18 3 2 2 2" xfId="17592"/>
    <cellStyle name="计算 2 18 3 2 2 2 2" xfId="28798"/>
    <cellStyle name="计算 2 18 3 2 2 2 3" xfId="40604"/>
    <cellStyle name="计算 2 18 3 2 2 3" xfId="28797"/>
    <cellStyle name="计算 2 18 3 2 2 4" xfId="40603"/>
    <cellStyle name="计算 2 18 3 2 3" xfId="12813"/>
    <cellStyle name="计算 2 18 3 2 3 2" xfId="17591"/>
    <cellStyle name="计算 2 18 3 2 3 2 2" xfId="28800"/>
    <cellStyle name="计算 2 18 3 2 3 2 3" xfId="40606"/>
    <cellStyle name="计算 2 18 3 2 3 3" xfId="28799"/>
    <cellStyle name="计算 2 18 3 2 3 4" xfId="40605"/>
    <cellStyle name="计算 2 18 3 2 4" xfId="17593"/>
    <cellStyle name="计算 2 18 3 2 4 2" xfId="28801"/>
    <cellStyle name="计算 2 18 3 2 4 3" xfId="40607"/>
    <cellStyle name="计算 2 18 3 2 5" xfId="28796"/>
    <cellStyle name="计算 2 18 3 2 6" xfId="40602"/>
    <cellStyle name="计算 2 18 3 3" xfId="12814"/>
    <cellStyle name="计算 2 18 3 3 2" xfId="17590"/>
    <cellStyle name="计算 2 18 3 3 2 2" xfId="28803"/>
    <cellStyle name="计算 2 18 3 3 2 3" xfId="40609"/>
    <cellStyle name="计算 2 18 3 3 3" xfId="28802"/>
    <cellStyle name="计算 2 18 3 3 4" xfId="40608"/>
    <cellStyle name="计算 2 18 3 4" xfId="12815"/>
    <cellStyle name="计算 2 18 3 4 2" xfId="21059"/>
    <cellStyle name="计算 2 18 3 4 2 2" xfId="28805"/>
    <cellStyle name="计算 2 18 3 4 2 3" xfId="40611"/>
    <cellStyle name="计算 2 18 3 4 3" xfId="28804"/>
    <cellStyle name="计算 2 18 3 4 4" xfId="40610"/>
    <cellStyle name="计算 2 18 3 5" xfId="28806"/>
    <cellStyle name="计算 2 18 3 5 2" xfId="40612"/>
    <cellStyle name="计算 2 18 3 6" xfId="28795"/>
    <cellStyle name="计算 2 18 3 7" xfId="40601"/>
    <cellStyle name="计算 2 18 4" xfId="9588"/>
    <cellStyle name="计算 2 18 4 2" xfId="12816"/>
    <cellStyle name="计算 2 18 4 2 2" xfId="12817"/>
    <cellStyle name="计算 2 18 4 2 2 2" xfId="17588"/>
    <cellStyle name="计算 2 18 4 2 2 2 2" xfId="28810"/>
    <cellStyle name="计算 2 18 4 2 2 2 3" xfId="40616"/>
    <cellStyle name="计算 2 18 4 2 2 3" xfId="28809"/>
    <cellStyle name="计算 2 18 4 2 2 4" xfId="40615"/>
    <cellStyle name="计算 2 18 4 2 3" xfId="12818"/>
    <cellStyle name="计算 2 18 4 2 3 2" xfId="17587"/>
    <cellStyle name="计算 2 18 4 2 3 2 2" xfId="28812"/>
    <cellStyle name="计算 2 18 4 2 3 2 3" xfId="40618"/>
    <cellStyle name="计算 2 18 4 2 3 3" xfId="28811"/>
    <cellStyle name="计算 2 18 4 2 3 4" xfId="40617"/>
    <cellStyle name="计算 2 18 4 2 4" xfId="17589"/>
    <cellStyle name="计算 2 18 4 2 4 2" xfId="28813"/>
    <cellStyle name="计算 2 18 4 2 4 3" xfId="40619"/>
    <cellStyle name="计算 2 18 4 2 5" xfId="28808"/>
    <cellStyle name="计算 2 18 4 2 6" xfId="40614"/>
    <cellStyle name="计算 2 18 4 3" xfId="12819"/>
    <cellStyle name="计算 2 18 4 3 2" xfId="17586"/>
    <cellStyle name="计算 2 18 4 3 2 2" xfId="28815"/>
    <cellStyle name="计算 2 18 4 3 2 3" xfId="40621"/>
    <cellStyle name="计算 2 18 4 3 3" xfId="28814"/>
    <cellStyle name="计算 2 18 4 3 4" xfId="40620"/>
    <cellStyle name="计算 2 18 4 4" xfId="12820"/>
    <cellStyle name="计算 2 18 4 4 2" xfId="21058"/>
    <cellStyle name="计算 2 18 4 4 2 2" xfId="28817"/>
    <cellStyle name="计算 2 18 4 4 2 3" xfId="40623"/>
    <cellStyle name="计算 2 18 4 4 3" xfId="28816"/>
    <cellStyle name="计算 2 18 4 4 4" xfId="40622"/>
    <cellStyle name="计算 2 18 4 5" xfId="28818"/>
    <cellStyle name="计算 2 18 4 5 2" xfId="40624"/>
    <cellStyle name="计算 2 18 4 6" xfId="28807"/>
    <cellStyle name="计算 2 18 4 7" xfId="40613"/>
    <cellStyle name="计算 2 18 5" xfId="9589"/>
    <cellStyle name="计算 2 18 5 2" xfId="12821"/>
    <cellStyle name="计算 2 18 5 2 2" xfId="12822"/>
    <cellStyle name="计算 2 18 5 2 2 2" xfId="17584"/>
    <cellStyle name="计算 2 18 5 2 2 2 2" xfId="28822"/>
    <cellStyle name="计算 2 18 5 2 2 2 3" xfId="40628"/>
    <cellStyle name="计算 2 18 5 2 2 3" xfId="28821"/>
    <cellStyle name="计算 2 18 5 2 2 4" xfId="40627"/>
    <cellStyle name="计算 2 18 5 2 3" xfId="12823"/>
    <cellStyle name="计算 2 18 5 2 3 2" xfId="17583"/>
    <cellStyle name="计算 2 18 5 2 3 2 2" xfId="28824"/>
    <cellStyle name="计算 2 18 5 2 3 2 3" xfId="40630"/>
    <cellStyle name="计算 2 18 5 2 3 3" xfId="28823"/>
    <cellStyle name="计算 2 18 5 2 3 4" xfId="40629"/>
    <cellStyle name="计算 2 18 5 2 4" xfId="17585"/>
    <cellStyle name="计算 2 18 5 2 4 2" xfId="28825"/>
    <cellStyle name="计算 2 18 5 2 4 3" xfId="40631"/>
    <cellStyle name="计算 2 18 5 2 5" xfId="28820"/>
    <cellStyle name="计算 2 18 5 2 6" xfId="40626"/>
    <cellStyle name="计算 2 18 5 3" xfId="12824"/>
    <cellStyle name="计算 2 18 5 3 2" xfId="17582"/>
    <cellStyle name="计算 2 18 5 3 2 2" xfId="28827"/>
    <cellStyle name="计算 2 18 5 3 2 3" xfId="40633"/>
    <cellStyle name="计算 2 18 5 3 3" xfId="28826"/>
    <cellStyle name="计算 2 18 5 3 4" xfId="40632"/>
    <cellStyle name="计算 2 18 5 4" xfId="12825"/>
    <cellStyle name="计算 2 18 5 4 2" xfId="21057"/>
    <cellStyle name="计算 2 18 5 4 2 2" xfId="28829"/>
    <cellStyle name="计算 2 18 5 4 2 3" xfId="40635"/>
    <cellStyle name="计算 2 18 5 4 3" xfId="28828"/>
    <cellStyle name="计算 2 18 5 4 4" xfId="40634"/>
    <cellStyle name="计算 2 18 5 5" xfId="28830"/>
    <cellStyle name="计算 2 18 5 5 2" xfId="40636"/>
    <cellStyle name="计算 2 18 5 6" xfId="28819"/>
    <cellStyle name="计算 2 18 5 7" xfId="40625"/>
    <cellStyle name="计算 2 18 6" xfId="12826"/>
    <cellStyle name="计算 2 18 6 2" xfId="12827"/>
    <cellStyle name="计算 2 18 6 2 2" xfId="17581"/>
    <cellStyle name="计算 2 18 6 2 2 2" xfId="28833"/>
    <cellStyle name="计算 2 18 6 2 2 3" xfId="40639"/>
    <cellStyle name="计算 2 18 6 2 3" xfId="28832"/>
    <cellStyle name="计算 2 18 6 2 4" xfId="40638"/>
    <cellStyle name="计算 2 18 6 3" xfId="12828"/>
    <cellStyle name="计算 2 18 6 3 2" xfId="17580"/>
    <cellStyle name="计算 2 18 6 3 2 2" xfId="28835"/>
    <cellStyle name="计算 2 18 6 3 2 3" xfId="40641"/>
    <cellStyle name="计算 2 18 6 3 3" xfId="28834"/>
    <cellStyle name="计算 2 18 6 3 4" xfId="40640"/>
    <cellStyle name="计算 2 18 6 4" xfId="19448"/>
    <cellStyle name="计算 2 18 6 4 2" xfId="28836"/>
    <cellStyle name="计算 2 18 6 4 3" xfId="40642"/>
    <cellStyle name="计算 2 18 6 5" xfId="28831"/>
    <cellStyle name="计算 2 18 6 6" xfId="40637"/>
    <cellStyle name="计算 2 18 7" xfId="12829"/>
    <cellStyle name="计算 2 18 7 2" xfId="17579"/>
    <cellStyle name="计算 2 18 7 2 2" xfId="28838"/>
    <cellStyle name="计算 2 18 7 2 3" xfId="40644"/>
    <cellStyle name="计算 2 18 7 3" xfId="28837"/>
    <cellStyle name="计算 2 18 7 4" xfId="40643"/>
    <cellStyle name="计算 2 18 8" xfId="12830"/>
    <cellStyle name="计算 2 18 8 2" xfId="17578"/>
    <cellStyle name="计算 2 18 8 2 2" xfId="28840"/>
    <cellStyle name="计算 2 18 8 2 3" xfId="40646"/>
    <cellStyle name="计算 2 18 8 3" xfId="28839"/>
    <cellStyle name="计算 2 18 8 4" xfId="40645"/>
    <cellStyle name="计算 2 18 9" xfId="28841"/>
    <cellStyle name="计算 2 18 9 2" xfId="40647"/>
    <cellStyle name="计算 2 19" xfId="9590"/>
    <cellStyle name="计算 2 19 2" xfId="12831"/>
    <cellStyle name="计算 2 19 2 2" xfId="12832"/>
    <cellStyle name="计算 2 19 2 2 2" xfId="17576"/>
    <cellStyle name="计算 2 19 2 2 2 2" xfId="28845"/>
    <cellStyle name="计算 2 19 2 2 2 3" xfId="40651"/>
    <cellStyle name="计算 2 19 2 2 3" xfId="28844"/>
    <cellStyle name="计算 2 19 2 2 4" xfId="40650"/>
    <cellStyle name="计算 2 19 2 3" xfId="12833"/>
    <cellStyle name="计算 2 19 2 3 2" xfId="17575"/>
    <cellStyle name="计算 2 19 2 3 2 2" xfId="28847"/>
    <cellStyle name="计算 2 19 2 3 2 3" xfId="40653"/>
    <cellStyle name="计算 2 19 2 3 3" xfId="28846"/>
    <cellStyle name="计算 2 19 2 3 4" xfId="40652"/>
    <cellStyle name="计算 2 19 2 4" xfId="17577"/>
    <cellStyle name="计算 2 19 2 4 2" xfId="28848"/>
    <cellStyle name="计算 2 19 2 4 3" xfId="40654"/>
    <cellStyle name="计算 2 19 2 5" xfId="28843"/>
    <cellStyle name="计算 2 19 2 6" xfId="40649"/>
    <cellStyle name="计算 2 19 3" xfId="12834"/>
    <cellStyle name="计算 2 19 3 2" xfId="18633"/>
    <cellStyle name="计算 2 19 3 2 2" xfId="28850"/>
    <cellStyle name="计算 2 19 3 2 3" xfId="40656"/>
    <cellStyle name="计算 2 19 3 3" xfId="28849"/>
    <cellStyle name="计算 2 19 3 4" xfId="40655"/>
    <cellStyle name="计算 2 19 4" xfId="12835"/>
    <cellStyle name="计算 2 19 4 2" xfId="17574"/>
    <cellStyle name="计算 2 19 4 2 2" xfId="28852"/>
    <cellStyle name="计算 2 19 4 2 3" xfId="40658"/>
    <cellStyle name="计算 2 19 4 3" xfId="28851"/>
    <cellStyle name="计算 2 19 4 4" xfId="40657"/>
    <cellStyle name="计算 2 19 5" xfId="28853"/>
    <cellStyle name="计算 2 19 5 2" xfId="40659"/>
    <cellStyle name="计算 2 19 6" xfId="28842"/>
    <cellStyle name="计算 2 19 7" xfId="40648"/>
    <cellStyle name="计算 2 2" xfId="5171"/>
    <cellStyle name="计算 2 2 10" xfId="9592"/>
    <cellStyle name="计算 2 2 10 10" xfId="28855"/>
    <cellStyle name="计算 2 2 10 11" xfId="40661"/>
    <cellStyle name="计算 2 2 10 2" xfId="9593"/>
    <cellStyle name="计算 2 2 10 2 2" xfId="12836"/>
    <cellStyle name="计算 2 2 10 2 2 2" xfId="12837"/>
    <cellStyle name="计算 2 2 10 2 2 2 2" xfId="17572"/>
    <cellStyle name="计算 2 2 10 2 2 2 2 2" xfId="28859"/>
    <cellStyle name="计算 2 2 10 2 2 2 2 3" xfId="40665"/>
    <cellStyle name="计算 2 2 10 2 2 2 3" xfId="28858"/>
    <cellStyle name="计算 2 2 10 2 2 2 4" xfId="40664"/>
    <cellStyle name="计算 2 2 10 2 2 3" xfId="12838"/>
    <cellStyle name="计算 2 2 10 2 2 3 2" xfId="17571"/>
    <cellStyle name="计算 2 2 10 2 2 3 2 2" xfId="28861"/>
    <cellStyle name="计算 2 2 10 2 2 3 2 3" xfId="40667"/>
    <cellStyle name="计算 2 2 10 2 2 3 3" xfId="28860"/>
    <cellStyle name="计算 2 2 10 2 2 3 4" xfId="40666"/>
    <cellStyle name="计算 2 2 10 2 2 4" xfId="17573"/>
    <cellStyle name="计算 2 2 10 2 2 4 2" xfId="28862"/>
    <cellStyle name="计算 2 2 10 2 2 4 3" xfId="40668"/>
    <cellStyle name="计算 2 2 10 2 2 5" xfId="28857"/>
    <cellStyle name="计算 2 2 10 2 2 6" xfId="40663"/>
    <cellStyle name="计算 2 2 10 2 3" xfId="12839"/>
    <cellStyle name="计算 2 2 10 2 3 2" xfId="21056"/>
    <cellStyle name="计算 2 2 10 2 3 2 2" xfId="28864"/>
    <cellStyle name="计算 2 2 10 2 3 2 3" xfId="40670"/>
    <cellStyle name="计算 2 2 10 2 3 3" xfId="28863"/>
    <cellStyle name="计算 2 2 10 2 3 4" xfId="40669"/>
    <cellStyle name="计算 2 2 10 2 4" xfId="12840"/>
    <cellStyle name="计算 2 2 10 2 4 2" xfId="17570"/>
    <cellStyle name="计算 2 2 10 2 4 2 2" xfId="28866"/>
    <cellStyle name="计算 2 2 10 2 4 2 3" xfId="40672"/>
    <cellStyle name="计算 2 2 10 2 4 3" xfId="28865"/>
    <cellStyle name="计算 2 2 10 2 4 4" xfId="40671"/>
    <cellStyle name="计算 2 2 10 2 5" xfId="28867"/>
    <cellStyle name="计算 2 2 10 2 5 2" xfId="40673"/>
    <cellStyle name="计算 2 2 10 2 6" xfId="28856"/>
    <cellStyle name="计算 2 2 10 2 7" xfId="40662"/>
    <cellStyle name="计算 2 2 10 3" xfId="9594"/>
    <cellStyle name="计算 2 2 10 3 2" xfId="12841"/>
    <cellStyle name="计算 2 2 10 3 2 2" xfId="12842"/>
    <cellStyle name="计算 2 2 10 3 2 2 2" xfId="17568"/>
    <cellStyle name="计算 2 2 10 3 2 2 2 2" xfId="28871"/>
    <cellStyle name="计算 2 2 10 3 2 2 2 3" xfId="40677"/>
    <cellStyle name="计算 2 2 10 3 2 2 3" xfId="28870"/>
    <cellStyle name="计算 2 2 10 3 2 2 4" xfId="40676"/>
    <cellStyle name="计算 2 2 10 3 2 3" xfId="12843"/>
    <cellStyle name="计算 2 2 10 3 2 3 2" xfId="17567"/>
    <cellStyle name="计算 2 2 10 3 2 3 2 2" xfId="28873"/>
    <cellStyle name="计算 2 2 10 3 2 3 2 3" xfId="40679"/>
    <cellStyle name="计算 2 2 10 3 2 3 3" xfId="28872"/>
    <cellStyle name="计算 2 2 10 3 2 3 4" xfId="40678"/>
    <cellStyle name="计算 2 2 10 3 2 4" xfId="17569"/>
    <cellStyle name="计算 2 2 10 3 2 4 2" xfId="28874"/>
    <cellStyle name="计算 2 2 10 3 2 4 3" xfId="40680"/>
    <cellStyle name="计算 2 2 10 3 2 5" xfId="28869"/>
    <cellStyle name="计算 2 2 10 3 2 6" xfId="40675"/>
    <cellStyle name="计算 2 2 10 3 3" xfId="12844"/>
    <cellStyle name="计算 2 2 10 3 3 2" xfId="21055"/>
    <cellStyle name="计算 2 2 10 3 3 2 2" xfId="28876"/>
    <cellStyle name="计算 2 2 10 3 3 2 3" xfId="40682"/>
    <cellStyle name="计算 2 2 10 3 3 3" xfId="28875"/>
    <cellStyle name="计算 2 2 10 3 3 4" xfId="40681"/>
    <cellStyle name="计算 2 2 10 3 4" xfId="12845"/>
    <cellStyle name="计算 2 2 10 3 4 2" xfId="17566"/>
    <cellStyle name="计算 2 2 10 3 4 2 2" xfId="28878"/>
    <cellStyle name="计算 2 2 10 3 4 2 3" xfId="40684"/>
    <cellStyle name="计算 2 2 10 3 4 3" xfId="28877"/>
    <cellStyle name="计算 2 2 10 3 4 4" xfId="40683"/>
    <cellStyle name="计算 2 2 10 3 5" xfId="28879"/>
    <cellStyle name="计算 2 2 10 3 5 2" xfId="40685"/>
    <cellStyle name="计算 2 2 10 3 6" xfId="28868"/>
    <cellStyle name="计算 2 2 10 3 7" xfId="40674"/>
    <cellStyle name="计算 2 2 10 4" xfId="9595"/>
    <cellStyle name="计算 2 2 10 4 2" xfId="12846"/>
    <cellStyle name="计算 2 2 10 4 2 2" xfId="12847"/>
    <cellStyle name="计算 2 2 10 4 2 2 2" xfId="17564"/>
    <cellStyle name="计算 2 2 10 4 2 2 2 2" xfId="28883"/>
    <cellStyle name="计算 2 2 10 4 2 2 2 3" xfId="40689"/>
    <cellStyle name="计算 2 2 10 4 2 2 3" xfId="28882"/>
    <cellStyle name="计算 2 2 10 4 2 2 4" xfId="40688"/>
    <cellStyle name="计算 2 2 10 4 2 3" xfId="12848"/>
    <cellStyle name="计算 2 2 10 4 2 3 2" xfId="17563"/>
    <cellStyle name="计算 2 2 10 4 2 3 2 2" xfId="28885"/>
    <cellStyle name="计算 2 2 10 4 2 3 2 3" xfId="40691"/>
    <cellStyle name="计算 2 2 10 4 2 3 3" xfId="28884"/>
    <cellStyle name="计算 2 2 10 4 2 3 4" xfId="40690"/>
    <cellStyle name="计算 2 2 10 4 2 4" xfId="17565"/>
    <cellStyle name="计算 2 2 10 4 2 4 2" xfId="28886"/>
    <cellStyle name="计算 2 2 10 4 2 4 3" xfId="40692"/>
    <cellStyle name="计算 2 2 10 4 2 5" xfId="28881"/>
    <cellStyle name="计算 2 2 10 4 2 6" xfId="40687"/>
    <cellStyle name="计算 2 2 10 4 3" xfId="12849"/>
    <cellStyle name="计算 2 2 10 4 3 2" xfId="21054"/>
    <cellStyle name="计算 2 2 10 4 3 2 2" xfId="28888"/>
    <cellStyle name="计算 2 2 10 4 3 2 3" xfId="40694"/>
    <cellStyle name="计算 2 2 10 4 3 3" xfId="28887"/>
    <cellStyle name="计算 2 2 10 4 3 4" xfId="40693"/>
    <cellStyle name="计算 2 2 10 4 4" xfId="12850"/>
    <cellStyle name="计算 2 2 10 4 4 2" xfId="17562"/>
    <cellStyle name="计算 2 2 10 4 4 2 2" xfId="28890"/>
    <cellStyle name="计算 2 2 10 4 4 2 3" xfId="40696"/>
    <cellStyle name="计算 2 2 10 4 4 3" xfId="28889"/>
    <cellStyle name="计算 2 2 10 4 4 4" xfId="40695"/>
    <cellStyle name="计算 2 2 10 4 5" xfId="28891"/>
    <cellStyle name="计算 2 2 10 4 5 2" xfId="40697"/>
    <cellStyle name="计算 2 2 10 4 6" xfId="28880"/>
    <cellStyle name="计算 2 2 10 4 7" xfId="40686"/>
    <cellStyle name="计算 2 2 10 5" xfId="9596"/>
    <cellStyle name="计算 2 2 10 5 2" xfId="12851"/>
    <cellStyle name="计算 2 2 10 5 2 2" xfId="12852"/>
    <cellStyle name="计算 2 2 10 5 2 2 2" xfId="17560"/>
    <cellStyle name="计算 2 2 10 5 2 2 2 2" xfId="28895"/>
    <cellStyle name="计算 2 2 10 5 2 2 2 3" xfId="40701"/>
    <cellStyle name="计算 2 2 10 5 2 2 3" xfId="28894"/>
    <cellStyle name="计算 2 2 10 5 2 2 4" xfId="40700"/>
    <cellStyle name="计算 2 2 10 5 2 3" xfId="12853"/>
    <cellStyle name="计算 2 2 10 5 2 3 2" xfId="17559"/>
    <cellStyle name="计算 2 2 10 5 2 3 2 2" xfId="28897"/>
    <cellStyle name="计算 2 2 10 5 2 3 2 3" xfId="40703"/>
    <cellStyle name="计算 2 2 10 5 2 3 3" xfId="28896"/>
    <cellStyle name="计算 2 2 10 5 2 3 4" xfId="40702"/>
    <cellStyle name="计算 2 2 10 5 2 4" xfId="17561"/>
    <cellStyle name="计算 2 2 10 5 2 4 2" xfId="28898"/>
    <cellStyle name="计算 2 2 10 5 2 4 3" xfId="40704"/>
    <cellStyle name="计算 2 2 10 5 2 5" xfId="28893"/>
    <cellStyle name="计算 2 2 10 5 2 6" xfId="40699"/>
    <cellStyle name="计算 2 2 10 5 3" xfId="12854"/>
    <cellStyle name="计算 2 2 10 5 3 2" xfId="21053"/>
    <cellStyle name="计算 2 2 10 5 3 2 2" xfId="28900"/>
    <cellStyle name="计算 2 2 10 5 3 2 3" xfId="40706"/>
    <cellStyle name="计算 2 2 10 5 3 3" xfId="28899"/>
    <cellStyle name="计算 2 2 10 5 3 4" xfId="40705"/>
    <cellStyle name="计算 2 2 10 5 4" xfId="12855"/>
    <cellStyle name="计算 2 2 10 5 4 2" xfId="17558"/>
    <cellStyle name="计算 2 2 10 5 4 2 2" xfId="28902"/>
    <cellStyle name="计算 2 2 10 5 4 2 3" xfId="40708"/>
    <cellStyle name="计算 2 2 10 5 4 3" xfId="28901"/>
    <cellStyle name="计算 2 2 10 5 4 4" xfId="40707"/>
    <cellStyle name="计算 2 2 10 5 5" xfId="28903"/>
    <cellStyle name="计算 2 2 10 5 5 2" xfId="40709"/>
    <cellStyle name="计算 2 2 10 5 6" xfId="28892"/>
    <cellStyle name="计算 2 2 10 5 7" xfId="40698"/>
    <cellStyle name="计算 2 2 10 6" xfId="12856"/>
    <cellStyle name="计算 2 2 10 6 2" xfId="12857"/>
    <cellStyle name="计算 2 2 10 6 2 2" xfId="17556"/>
    <cellStyle name="计算 2 2 10 6 2 2 2" xfId="28906"/>
    <cellStyle name="计算 2 2 10 6 2 2 3" xfId="40712"/>
    <cellStyle name="计算 2 2 10 6 2 3" xfId="28905"/>
    <cellStyle name="计算 2 2 10 6 2 4" xfId="40711"/>
    <cellStyle name="计算 2 2 10 6 3" xfId="12858"/>
    <cellStyle name="计算 2 2 10 6 3 2" xfId="17555"/>
    <cellStyle name="计算 2 2 10 6 3 2 2" xfId="28908"/>
    <cellStyle name="计算 2 2 10 6 3 2 3" xfId="40714"/>
    <cellStyle name="计算 2 2 10 6 3 3" xfId="28907"/>
    <cellStyle name="计算 2 2 10 6 3 4" xfId="40713"/>
    <cellStyle name="计算 2 2 10 6 4" xfId="17557"/>
    <cellStyle name="计算 2 2 10 6 4 2" xfId="28909"/>
    <cellStyle name="计算 2 2 10 6 4 3" xfId="40715"/>
    <cellStyle name="计算 2 2 10 6 5" xfId="28904"/>
    <cellStyle name="计算 2 2 10 6 6" xfId="40710"/>
    <cellStyle name="计算 2 2 10 7" xfId="12859"/>
    <cellStyle name="计算 2 2 10 7 2" xfId="17554"/>
    <cellStyle name="计算 2 2 10 7 2 2" xfId="28911"/>
    <cellStyle name="计算 2 2 10 7 2 3" xfId="40717"/>
    <cellStyle name="计算 2 2 10 7 3" xfId="28910"/>
    <cellStyle name="计算 2 2 10 7 4" xfId="40716"/>
    <cellStyle name="计算 2 2 10 8" xfId="12860"/>
    <cellStyle name="计算 2 2 10 8 2" xfId="17553"/>
    <cellStyle name="计算 2 2 10 8 2 2" xfId="28913"/>
    <cellStyle name="计算 2 2 10 8 2 3" xfId="40719"/>
    <cellStyle name="计算 2 2 10 8 3" xfId="28912"/>
    <cellStyle name="计算 2 2 10 8 4" xfId="40718"/>
    <cellStyle name="计算 2 2 10 9" xfId="28914"/>
    <cellStyle name="计算 2 2 10 9 2" xfId="40720"/>
    <cellStyle name="计算 2 2 11" xfId="9597"/>
    <cellStyle name="计算 2 2 11 10" xfId="28915"/>
    <cellStyle name="计算 2 2 11 11" xfId="40721"/>
    <cellStyle name="计算 2 2 11 2" xfId="9598"/>
    <cellStyle name="计算 2 2 11 2 2" xfId="12861"/>
    <cellStyle name="计算 2 2 11 2 2 2" xfId="12862"/>
    <cellStyle name="计算 2 2 11 2 2 2 2" xfId="21052"/>
    <cellStyle name="计算 2 2 11 2 2 2 2 2" xfId="28919"/>
    <cellStyle name="计算 2 2 11 2 2 2 2 3" xfId="40725"/>
    <cellStyle name="计算 2 2 11 2 2 2 3" xfId="28918"/>
    <cellStyle name="计算 2 2 11 2 2 2 4" xfId="40724"/>
    <cellStyle name="计算 2 2 11 2 2 3" xfId="12863"/>
    <cellStyle name="计算 2 2 11 2 2 3 2" xfId="18632"/>
    <cellStyle name="计算 2 2 11 2 2 3 2 2" xfId="28921"/>
    <cellStyle name="计算 2 2 11 2 2 3 2 3" xfId="40727"/>
    <cellStyle name="计算 2 2 11 2 2 3 3" xfId="28920"/>
    <cellStyle name="计算 2 2 11 2 2 3 4" xfId="40726"/>
    <cellStyle name="计算 2 2 11 2 2 4" xfId="17552"/>
    <cellStyle name="计算 2 2 11 2 2 4 2" xfId="28922"/>
    <cellStyle name="计算 2 2 11 2 2 4 3" xfId="40728"/>
    <cellStyle name="计算 2 2 11 2 2 5" xfId="28917"/>
    <cellStyle name="计算 2 2 11 2 2 6" xfId="40723"/>
    <cellStyle name="计算 2 2 11 2 3" xfId="12864"/>
    <cellStyle name="计算 2 2 11 2 3 2" xfId="21051"/>
    <cellStyle name="计算 2 2 11 2 3 2 2" xfId="28924"/>
    <cellStyle name="计算 2 2 11 2 3 2 3" xfId="40730"/>
    <cellStyle name="计算 2 2 11 2 3 3" xfId="28923"/>
    <cellStyle name="计算 2 2 11 2 3 4" xfId="40729"/>
    <cellStyle name="计算 2 2 11 2 4" xfId="12865"/>
    <cellStyle name="计算 2 2 11 2 4 2" xfId="17551"/>
    <cellStyle name="计算 2 2 11 2 4 2 2" xfId="28926"/>
    <cellStyle name="计算 2 2 11 2 4 2 3" xfId="40732"/>
    <cellStyle name="计算 2 2 11 2 4 3" xfId="28925"/>
    <cellStyle name="计算 2 2 11 2 4 4" xfId="40731"/>
    <cellStyle name="计算 2 2 11 2 5" xfId="28927"/>
    <cellStyle name="计算 2 2 11 2 5 2" xfId="40733"/>
    <cellStyle name="计算 2 2 11 2 6" xfId="28916"/>
    <cellStyle name="计算 2 2 11 2 7" xfId="40722"/>
    <cellStyle name="计算 2 2 11 3" xfId="9599"/>
    <cellStyle name="计算 2 2 11 3 2" xfId="12866"/>
    <cellStyle name="计算 2 2 11 3 2 2" xfId="12867"/>
    <cellStyle name="计算 2 2 11 3 2 2 2" xfId="17549"/>
    <cellStyle name="计算 2 2 11 3 2 2 2 2" xfId="28931"/>
    <cellStyle name="计算 2 2 11 3 2 2 2 3" xfId="40737"/>
    <cellStyle name="计算 2 2 11 3 2 2 3" xfId="28930"/>
    <cellStyle name="计算 2 2 11 3 2 2 4" xfId="40736"/>
    <cellStyle name="计算 2 2 11 3 2 3" xfId="12868"/>
    <cellStyle name="计算 2 2 11 3 2 3 2" xfId="17548"/>
    <cellStyle name="计算 2 2 11 3 2 3 2 2" xfId="28933"/>
    <cellStyle name="计算 2 2 11 3 2 3 2 3" xfId="40739"/>
    <cellStyle name="计算 2 2 11 3 2 3 3" xfId="28932"/>
    <cellStyle name="计算 2 2 11 3 2 3 4" xfId="40738"/>
    <cellStyle name="计算 2 2 11 3 2 4" xfId="17550"/>
    <cellStyle name="计算 2 2 11 3 2 4 2" xfId="28934"/>
    <cellStyle name="计算 2 2 11 3 2 4 3" xfId="40740"/>
    <cellStyle name="计算 2 2 11 3 2 5" xfId="28929"/>
    <cellStyle name="计算 2 2 11 3 2 6" xfId="40735"/>
    <cellStyle name="计算 2 2 11 3 3" xfId="12869"/>
    <cellStyle name="计算 2 2 11 3 3 2" xfId="21050"/>
    <cellStyle name="计算 2 2 11 3 3 2 2" xfId="28936"/>
    <cellStyle name="计算 2 2 11 3 3 2 3" xfId="40742"/>
    <cellStyle name="计算 2 2 11 3 3 3" xfId="28935"/>
    <cellStyle name="计算 2 2 11 3 3 4" xfId="40741"/>
    <cellStyle name="计算 2 2 11 3 4" xfId="12870"/>
    <cellStyle name="计算 2 2 11 3 4 2" xfId="17547"/>
    <cellStyle name="计算 2 2 11 3 4 2 2" xfId="28938"/>
    <cellStyle name="计算 2 2 11 3 4 2 3" xfId="40744"/>
    <cellStyle name="计算 2 2 11 3 4 3" xfId="28937"/>
    <cellStyle name="计算 2 2 11 3 4 4" xfId="40743"/>
    <cellStyle name="计算 2 2 11 3 5" xfId="28939"/>
    <cellStyle name="计算 2 2 11 3 5 2" xfId="40745"/>
    <cellStyle name="计算 2 2 11 3 6" xfId="28928"/>
    <cellStyle name="计算 2 2 11 3 7" xfId="40734"/>
    <cellStyle name="计算 2 2 11 4" xfId="9600"/>
    <cellStyle name="计算 2 2 11 4 2" xfId="12871"/>
    <cellStyle name="计算 2 2 11 4 2 2" xfId="12872"/>
    <cellStyle name="计算 2 2 11 4 2 2 2" xfId="17545"/>
    <cellStyle name="计算 2 2 11 4 2 2 2 2" xfId="28943"/>
    <cellStyle name="计算 2 2 11 4 2 2 2 3" xfId="40749"/>
    <cellStyle name="计算 2 2 11 4 2 2 3" xfId="28942"/>
    <cellStyle name="计算 2 2 11 4 2 2 4" xfId="40748"/>
    <cellStyle name="计算 2 2 11 4 2 3" xfId="12873"/>
    <cellStyle name="计算 2 2 11 4 2 3 2" xfId="17544"/>
    <cellStyle name="计算 2 2 11 4 2 3 2 2" xfId="28945"/>
    <cellStyle name="计算 2 2 11 4 2 3 2 3" xfId="40751"/>
    <cellStyle name="计算 2 2 11 4 2 3 3" xfId="28944"/>
    <cellStyle name="计算 2 2 11 4 2 3 4" xfId="40750"/>
    <cellStyle name="计算 2 2 11 4 2 4" xfId="17546"/>
    <cellStyle name="计算 2 2 11 4 2 4 2" xfId="28946"/>
    <cellStyle name="计算 2 2 11 4 2 4 3" xfId="40752"/>
    <cellStyle name="计算 2 2 11 4 2 5" xfId="28941"/>
    <cellStyle name="计算 2 2 11 4 2 6" xfId="40747"/>
    <cellStyle name="计算 2 2 11 4 3" xfId="12874"/>
    <cellStyle name="计算 2 2 11 4 3 2" xfId="21049"/>
    <cellStyle name="计算 2 2 11 4 3 2 2" xfId="28948"/>
    <cellStyle name="计算 2 2 11 4 3 2 3" xfId="40754"/>
    <cellStyle name="计算 2 2 11 4 3 3" xfId="28947"/>
    <cellStyle name="计算 2 2 11 4 3 4" xfId="40753"/>
    <cellStyle name="计算 2 2 11 4 4" xfId="12875"/>
    <cellStyle name="计算 2 2 11 4 4 2" xfId="17543"/>
    <cellStyle name="计算 2 2 11 4 4 2 2" xfId="28950"/>
    <cellStyle name="计算 2 2 11 4 4 2 3" xfId="40756"/>
    <cellStyle name="计算 2 2 11 4 4 3" xfId="28949"/>
    <cellStyle name="计算 2 2 11 4 4 4" xfId="40755"/>
    <cellStyle name="计算 2 2 11 4 5" xfId="28951"/>
    <cellStyle name="计算 2 2 11 4 5 2" xfId="40757"/>
    <cellStyle name="计算 2 2 11 4 6" xfId="28940"/>
    <cellStyle name="计算 2 2 11 4 7" xfId="40746"/>
    <cellStyle name="计算 2 2 11 5" xfId="9601"/>
    <cellStyle name="计算 2 2 11 5 2" xfId="12876"/>
    <cellStyle name="计算 2 2 11 5 2 2" xfId="12877"/>
    <cellStyle name="计算 2 2 11 5 2 2 2" xfId="17541"/>
    <cellStyle name="计算 2 2 11 5 2 2 2 2" xfId="28955"/>
    <cellStyle name="计算 2 2 11 5 2 2 2 3" xfId="40761"/>
    <cellStyle name="计算 2 2 11 5 2 2 3" xfId="28954"/>
    <cellStyle name="计算 2 2 11 5 2 2 4" xfId="40760"/>
    <cellStyle name="计算 2 2 11 5 2 3" xfId="12878"/>
    <cellStyle name="计算 2 2 11 5 2 3 2" xfId="17540"/>
    <cellStyle name="计算 2 2 11 5 2 3 2 2" xfId="28957"/>
    <cellStyle name="计算 2 2 11 5 2 3 2 3" xfId="40763"/>
    <cellStyle name="计算 2 2 11 5 2 3 3" xfId="28956"/>
    <cellStyle name="计算 2 2 11 5 2 3 4" xfId="40762"/>
    <cellStyle name="计算 2 2 11 5 2 4" xfId="17542"/>
    <cellStyle name="计算 2 2 11 5 2 4 2" xfId="28958"/>
    <cellStyle name="计算 2 2 11 5 2 4 3" xfId="40764"/>
    <cellStyle name="计算 2 2 11 5 2 5" xfId="28953"/>
    <cellStyle name="计算 2 2 11 5 2 6" xfId="40759"/>
    <cellStyle name="计算 2 2 11 5 3" xfId="12879"/>
    <cellStyle name="计算 2 2 11 5 3 2" xfId="21048"/>
    <cellStyle name="计算 2 2 11 5 3 2 2" xfId="28960"/>
    <cellStyle name="计算 2 2 11 5 3 2 3" xfId="40766"/>
    <cellStyle name="计算 2 2 11 5 3 3" xfId="28959"/>
    <cellStyle name="计算 2 2 11 5 3 4" xfId="40765"/>
    <cellStyle name="计算 2 2 11 5 4" xfId="12880"/>
    <cellStyle name="计算 2 2 11 5 4 2" xfId="17539"/>
    <cellStyle name="计算 2 2 11 5 4 2 2" xfId="28962"/>
    <cellStyle name="计算 2 2 11 5 4 2 3" xfId="40768"/>
    <cellStyle name="计算 2 2 11 5 4 3" xfId="28961"/>
    <cellStyle name="计算 2 2 11 5 4 4" xfId="40767"/>
    <cellStyle name="计算 2 2 11 5 5" xfId="28963"/>
    <cellStyle name="计算 2 2 11 5 5 2" xfId="40769"/>
    <cellStyle name="计算 2 2 11 5 6" xfId="28952"/>
    <cellStyle name="计算 2 2 11 5 7" xfId="40758"/>
    <cellStyle name="计算 2 2 11 6" xfId="12881"/>
    <cellStyle name="计算 2 2 11 6 2" xfId="12882"/>
    <cellStyle name="计算 2 2 11 6 2 2" xfId="17537"/>
    <cellStyle name="计算 2 2 11 6 2 2 2" xfId="28966"/>
    <cellStyle name="计算 2 2 11 6 2 2 3" xfId="40772"/>
    <cellStyle name="计算 2 2 11 6 2 3" xfId="28965"/>
    <cellStyle name="计算 2 2 11 6 2 4" xfId="40771"/>
    <cellStyle name="计算 2 2 11 6 3" xfId="12883"/>
    <cellStyle name="计算 2 2 11 6 3 2" xfId="17536"/>
    <cellStyle name="计算 2 2 11 6 3 2 2" xfId="28968"/>
    <cellStyle name="计算 2 2 11 6 3 2 3" xfId="40774"/>
    <cellStyle name="计算 2 2 11 6 3 3" xfId="28967"/>
    <cellStyle name="计算 2 2 11 6 3 4" xfId="40773"/>
    <cellStyle name="计算 2 2 11 6 4" xfId="17538"/>
    <cellStyle name="计算 2 2 11 6 4 2" xfId="28969"/>
    <cellStyle name="计算 2 2 11 6 4 3" xfId="40775"/>
    <cellStyle name="计算 2 2 11 6 5" xfId="28964"/>
    <cellStyle name="计算 2 2 11 6 6" xfId="40770"/>
    <cellStyle name="计算 2 2 11 7" xfId="12884"/>
    <cellStyle name="计算 2 2 11 7 2" xfId="17535"/>
    <cellStyle name="计算 2 2 11 7 2 2" xfId="28971"/>
    <cellStyle name="计算 2 2 11 7 2 3" xfId="40777"/>
    <cellStyle name="计算 2 2 11 7 3" xfId="28970"/>
    <cellStyle name="计算 2 2 11 7 4" xfId="40776"/>
    <cellStyle name="计算 2 2 11 8" xfId="12885"/>
    <cellStyle name="计算 2 2 11 8 2" xfId="17534"/>
    <cellStyle name="计算 2 2 11 8 2 2" xfId="28973"/>
    <cellStyle name="计算 2 2 11 8 2 3" xfId="40779"/>
    <cellStyle name="计算 2 2 11 8 3" xfId="28972"/>
    <cellStyle name="计算 2 2 11 8 4" xfId="40778"/>
    <cellStyle name="计算 2 2 11 9" xfId="28974"/>
    <cellStyle name="计算 2 2 11 9 2" xfId="40780"/>
    <cellStyle name="计算 2 2 12" xfId="9602"/>
    <cellStyle name="计算 2 2 12 2" xfId="12886"/>
    <cellStyle name="计算 2 2 12 2 2" xfId="12887"/>
    <cellStyle name="计算 2 2 12 2 2 2" xfId="19763"/>
    <cellStyle name="计算 2 2 12 2 2 2 2" xfId="28978"/>
    <cellStyle name="计算 2 2 12 2 2 2 3" xfId="40784"/>
    <cellStyle name="计算 2 2 12 2 2 3" xfId="28977"/>
    <cellStyle name="计算 2 2 12 2 2 4" xfId="40783"/>
    <cellStyle name="计算 2 2 12 2 3" xfId="12888"/>
    <cellStyle name="计算 2 2 12 2 3 2" xfId="18695"/>
    <cellStyle name="计算 2 2 12 2 3 2 2" xfId="28980"/>
    <cellStyle name="计算 2 2 12 2 3 2 3" xfId="40786"/>
    <cellStyle name="计算 2 2 12 2 3 3" xfId="28979"/>
    <cellStyle name="计算 2 2 12 2 3 4" xfId="40785"/>
    <cellStyle name="计算 2 2 12 2 4" xfId="17533"/>
    <cellStyle name="计算 2 2 12 2 4 2" xfId="28981"/>
    <cellStyle name="计算 2 2 12 2 4 3" xfId="40787"/>
    <cellStyle name="计算 2 2 12 2 5" xfId="28976"/>
    <cellStyle name="计算 2 2 12 2 6" xfId="40782"/>
    <cellStyle name="计算 2 2 12 3" xfId="12889"/>
    <cellStyle name="计算 2 2 12 3 2" xfId="18324"/>
    <cellStyle name="计算 2 2 12 3 2 2" xfId="28983"/>
    <cellStyle name="计算 2 2 12 3 2 3" xfId="40789"/>
    <cellStyle name="计算 2 2 12 3 3" xfId="28982"/>
    <cellStyle name="计算 2 2 12 3 4" xfId="40788"/>
    <cellStyle name="计算 2 2 12 4" xfId="12890"/>
    <cellStyle name="计算 2 2 12 4 2" xfId="19762"/>
    <cellStyle name="计算 2 2 12 4 2 2" xfId="28985"/>
    <cellStyle name="计算 2 2 12 4 2 3" xfId="40791"/>
    <cellStyle name="计算 2 2 12 4 3" xfId="28984"/>
    <cellStyle name="计算 2 2 12 4 4" xfId="40790"/>
    <cellStyle name="计算 2 2 12 5" xfId="28986"/>
    <cellStyle name="计算 2 2 12 5 2" xfId="40792"/>
    <cellStyle name="计算 2 2 12 6" xfId="28975"/>
    <cellStyle name="计算 2 2 12 7" xfId="40781"/>
    <cellStyle name="计算 2 2 13" xfId="9603"/>
    <cellStyle name="计算 2 2 13 2" xfId="12891"/>
    <cellStyle name="计算 2 2 13 2 2" xfId="12892"/>
    <cellStyle name="计算 2 2 13 2 2 2" xfId="19760"/>
    <cellStyle name="计算 2 2 13 2 2 2 2" xfId="28990"/>
    <cellStyle name="计算 2 2 13 2 2 2 3" xfId="40796"/>
    <cellStyle name="计算 2 2 13 2 2 3" xfId="28989"/>
    <cellStyle name="计算 2 2 13 2 2 4" xfId="40795"/>
    <cellStyle name="计算 2 2 13 2 3" xfId="12893"/>
    <cellStyle name="计算 2 2 13 2 3 2" xfId="18694"/>
    <cellStyle name="计算 2 2 13 2 3 2 2" xfId="28992"/>
    <cellStyle name="计算 2 2 13 2 3 2 3" xfId="40798"/>
    <cellStyle name="计算 2 2 13 2 3 3" xfId="28991"/>
    <cellStyle name="计算 2 2 13 2 3 4" xfId="40797"/>
    <cellStyle name="计算 2 2 13 2 4" xfId="19761"/>
    <cellStyle name="计算 2 2 13 2 4 2" xfId="28993"/>
    <cellStyle name="计算 2 2 13 2 4 3" xfId="40799"/>
    <cellStyle name="计算 2 2 13 2 5" xfId="28988"/>
    <cellStyle name="计算 2 2 13 2 6" xfId="40794"/>
    <cellStyle name="计算 2 2 13 3" xfId="12894"/>
    <cellStyle name="计算 2 2 13 3 2" xfId="19759"/>
    <cellStyle name="计算 2 2 13 3 2 2" xfId="28995"/>
    <cellStyle name="计算 2 2 13 3 2 3" xfId="40801"/>
    <cellStyle name="计算 2 2 13 3 3" xfId="28994"/>
    <cellStyle name="计算 2 2 13 3 4" xfId="40800"/>
    <cellStyle name="计算 2 2 13 4" xfId="12895"/>
    <cellStyle name="计算 2 2 13 4 2" xfId="17532"/>
    <cellStyle name="计算 2 2 13 4 2 2" xfId="28997"/>
    <cellStyle name="计算 2 2 13 4 2 3" xfId="40803"/>
    <cellStyle name="计算 2 2 13 4 3" xfId="28996"/>
    <cellStyle name="计算 2 2 13 4 4" xfId="40802"/>
    <cellStyle name="计算 2 2 13 5" xfId="28998"/>
    <cellStyle name="计算 2 2 13 5 2" xfId="40804"/>
    <cellStyle name="计算 2 2 13 6" xfId="28987"/>
    <cellStyle name="计算 2 2 13 7" xfId="40793"/>
    <cellStyle name="计算 2 2 14" xfId="9604"/>
    <cellStyle name="计算 2 2 14 2" xfId="12896"/>
    <cellStyle name="计算 2 2 14 2 2" xfId="12897"/>
    <cellStyle name="计算 2 2 14 2 2 2" xfId="19758"/>
    <cellStyle name="计算 2 2 14 2 2 2 2" xfId="29002"/>
    <cellStyle name="计算 2 2 14 2 2 2 3" xfId="40808"/>
    <cellStyle name="计算 2 2 14 2 2 3" xfId="29001"/>
    <cellStyle name="计算 2 2 14 2 2 4" xfId="40807"/>
    <cellStyle name="计算 2 2 14 2 3" xfId="12898"/>
    <cellStyle name="计算 2 2 14 2 3 2" xfId="19757"/>
    <cellStyle name="计算 2 2 14 2 3 2 2" xfId="29004"/>
    <cellStyle name="计算 2 2 14 2 3 2 3" xfId="40810"/>
    <cellStyle name="计算 2 2 14 2 3 3" xfId="29003"/>
    <cellStyle name="计算 2 2 14 2 3 4" xfId="40809"/>
    <cellStyle name="计算 2 2 14 2 4" xfId="18323"/>
    <cellStyle name="计算 2 2 14 2 4 2" xfId="29005"/>
    <cellStyle name="计算 2 2 14 2 4 3" xfId="40811"/>
    <cellStyle name="计算 2 2 14 2 5" xfId="29000"/>
    <cellStyle name="计算 2 2 14 2 6" xfId="40806"/>
    <cellStyle name="计算 2 2 14 3" xfId="12899"/>
    <cellStyle name="计算 2 2 14 3 2" xfId="19756"/>
    <cellStyle name="计算 2 2 14 3 2 2" xfId="29007"/>
    <cellStyle name="计算 2 2 14 3 2 3" xfId="40813"/>
    <cellStyle name="计算 2 2 14 3 3" xfId="29006"/>
    <cellStyle name="计算 2 2 14 3 4" xfId="40812"/>
    <cellStyle name="计算 2 2 14 4" xfId="12900"/>
    <cellStyle name="计算 2 2 14 4 2" xfId="21047"/>
    <cellStyle name="计算 2 2 14 4 2 2" xfId="29009"/>
    <cellStyle name="计算 2 2 14 4 2 3" xfId="40815"/>
    <cellStyle name="计算 2 2 14 4 3" xfId="29008"/>
    <cellStyle name="计算 2 2 14 4 4" xfId="40814"/>
    <cellStyle name="计算 2 2 14 5" xfId="29010"/>
    <cellStyle name="计算 2 2 14 5 2" xfId="40816"/>
    <cellStyle name="计算 2 2 14 6" xfId="28999"/>
    <cellStyle name="计算 2 2 14 7" xfId="40805"/>
    <cellStyle name="计算 2 2 15" xfId="9605"/>
    <cellStyle name="计算 2 2 15 2" xfId="12901"/>
    <cellStyle name="计算 2 2 15 2 2" xfId="12902"/>
    <cellStyle name="计算 2 2 15 2 2 2" xfId="18322"/>
    <cellStyle name="计算 2 2 15 2 2 2 2" xfId="29014"/>
    <cellStyle name="计算 2 2 15 2 2 2 3" xfId="40820"/>
    <cellStyle name="计算 2 2 15 2 2 3" xfId="29013"/>
    <cellStyle name="计算 2 2 15 2 2 4" xfId="40819"/>
    <cellStyle name="计算 2 2 15 2 3" xfId="12903"/>
    <cellStyle name="计算 2 2 15 2 3 2" xfId="18693"/>
    <cellStyle name="计算 2 2 15 2 3 2 2" xfId="29016"/>
    <cellStyle name="计算 2 2 15 2 3 2 3" xfId="40822"/>
    <cellStyle name="计算 2 2 15 2 3 3" xfId="29015"/>
    <cellStyle name="计算 2 2 15 2 3 4" xfId="40821"/>
    <cellStyle name="计算 2 2 15 2 4" xfId="19755"/>
    <cellStyle name="计算 2 2 15 2 4 2" xfId="29017"/>
    <cellStyle name="计算 2 2 15 2 4 3" xfId="40823"/>
    <cellStyle name="计算 2 2 15 2 5" xfId="29012"/>
    <cellStyle name="计算 2 2 15 2 6" xfId="40818"/>
    <cellStyle name="计算 2 2 15 3" xfId="12904"/>
    <cellStyle name="计算 2 2 15 3 2" xfId="21245"/>
    <cellStyle name="计算 2 2 15 3 2 2" xfId="29019"/>
    <cellStyle name="计算 2 2 15 3 2 3" xfId="40825"/>
    <cellStyle name="计算 2 2 15 3 3" xfId="29018"/>
    <cellStyle name="计算 2 2 15 3 4" xfId="40824"/>
    <cellStyle name="计算 2 2 15 4" xfId="12905"/>
    <cellStyle name="计算 2 2 15 4 2" xfId="17531"/>
    <cellStyle name="计算 2 2 15 4 2 2" xfId="29021"/>
    <cellStyle name="计算 2 2 15 4 2 3" xfId="40827"/>
    <cellStyle name="计算 2 2 15 4 3" xfId="29020"/>
    <cellStyle name="计算 2 2 15 4 4" xfId="40826"/>
    <cellStyle name="计算 2 2 15 5" xfId="29022"/>
    <cellStyle name="计算 2 2 15 5 2" xfId="40828"/>
    <cellStyle name="计算 2 2 15 6" xfId="29011"/>
    <cellStyle name="计算 2 2 15 7" xfId="40817"/>
    <cellStyle name="计算 2 2 16" xfId="9606"/>
    <cellStyle name="计算 2 2 16 2" xfId="12906"/>
    <cellStyle name="计算 2 2 16 2 2" xfId="12907"/>
    <cellStyle name="计算 2 2 16 2 2 2" xfId="19753"/>
    <cellStyle name="计算 2 2 16 2 2 2 2" xfId="29026"/>
    <cellStyle name="计算 2 2 16 2 2 2 3" xfId="40832"/>
    <cellStyle name="计算 2 2 16 2 2 3" xfId="29025"/>
    <cellStyle name="计算 2 2 16 2 2 4" xfId="40831"/>
    <cellStyle name="计算 2 2 16 2 3" xfId="19754"/>
    <cellStyle name="计算 2 2 16 2 3 2" xfId="29027"/>
    <cellStyle name="计算 2 2 16 2 3 3" xfId="40833"/>
    <cellStyle name="计算 2 2 16 2 4" xfId="29024"/>
    <cellStyle name="计算 2 2 16 2 5" xfId="40830"/>
    <cellStyle name="计算 2 2 16 3" xfId="12908"/>
    <cellStyle name="计算 2 2 16 3 2" xfId="19752"/>
    <cellStyle name="计算 2 2 16 3 2 2" xfId="29029"/>
    <cellStyle name="计算 2 2 16 3 2 3" xfId="40835"/>
    <cellStyle name="计算 2 2 16 3 3" xfId="29028"/>
    <cellStyle name="计算 2 2 16 3 4" xfId="40834"/>
    <cellStyle name="计算 2 2 16 4" xfId="29030"/>
    <cellStyle name="计算 2 2 16 4 2" xfId="40836"/>
    <cellStyle name="计算 2 2 16 5" xfId="29023"/>
    <cellStyle name="计算 2 2 16 6" xfId="40829"/>
    <cellStyle name="计算 2 2 17" xfId="12909"/>
    <cellStyle name="计算 2 2 17 2" xfId="12910"/>
    <cellStyle name="计算 2 2 17 2 2" xfId="17530"/>
    <cellStyle name="计算 2 2 17 2 2 2" xfId="29033"/>
    <cellStyle name="计算 2 2 17 2 2 3" xfId="40839"/>
    <cellStyle name="计算 2 2 17 2 3" xfId="29032"/>
    <cellStyle name="计算 2 2 17 2 4" xfId="40838"/>
    <cellStyle name="计算 2 2 17 3" xfId="12911"/>
    <cellStyle name="计算 2 2 17 3 2" xfId="17529"/>
    <cellStyle name="计算 2 2 17 3 2 2" xfId="29035"/>
    <cellStyle name="计算 2 2 17 3 2 3" xfId="40841"/>
    <cellStyle name="计算 2 2 17 3 3" xfId="29034"/>
    <cellStyle name="计算 2 2 17 3 4" xfId="40840"/>
    <cellStyle name="计算 2 2 17 4" xfId="19751"/>
    <cellStyle name="计算 2 2 17 4 2" xfId="29036"/>
    <cellStyle name="计算 2 2 17 4 3" xfId="40842"/>
    <cellStyle name="计算 2 2 17 5" xfId="29031"/>
    <cellStyle name="计算 2 2 17 6" xfId="40837"/>
    <cellStyle name="计算 2 2 18" xfId="12912"/>
    <cellStyle name="计算 2 2 18 2" xfId="17528"/>
    <cellStyle name="计算 2 2 18 2 2" xfId="29038"/>
    <cellStyle name="计算 2 2 18 2 3" xfId="40844"/>
    <cellStyle name="计算 2 2 18 3" xfId="29037"/>
    <cellStyle name="计算 2 2 18 4" xfId="40843"/>
    <cellStyle name="计算 2 2 19" xfId="12913"/>
    <cellStyle name="计算 2 2 19 2" xfId="18631"/>
    <cellStyle name="计算 2 2 19 2 2" xfId="29040"/>
    <cellStyle name="计算 2 2 19 2 3" xfId="40846"/>
    <cellStyle name="计算 2 2 19 3" xfId="29039"/>
    <cellStyle name="计算 2 2 19 4" xfId="40845"/>
    <cellStyle name="计算 2 2 2" xfId="5172"/>
    <cellStyle name="计算 2 2 2 10" xfId="9608"/>
    <cellStyle name="计算 2 2 2 10 10" xfId="29042"/>
    <cellStyle name="计算 2 2 2 10 11" xfId="40848"/>
    <cellStyle name="计算 2 2 2 10 2" xfId="9609"/>
    <cellStyle name="计算 2 2 2 10 2 2" xfId="12914"/>
    <cellStyle name="计算 2 2 2 10 2 2 2" xfId="12915"/>
    <cellStyle name="计算 2 2 2 10 2 2 2 2" xfId="17526"/>
    <cellStyle name="计算 2 2 2 10 2 2 2 2 2" xfId="29046"/>
    <cellStyle name="计算 2 2 2 10 2 2 2 2 3" xfId="40852"/>
    <cellStyle name="计算 2 2 2 10 2 2 2 3" xfId="29045"/>
    <cellStyle name="计算 2 2 2 10 2 2 2 4" xfId="40851"/>
    <cellStyle name="计算 2 2 2 10 2 2 3" xfId="12916"/>
    <cellStyle name="计算 2 2 2 10 2 2 3 2" xfId="17525"/>
    <cellStyle name="计算 2 2 2 10 2 2 3 2 2" xfId="29048"/>
    <cellStyle name="计算 2 2 2 10 2 2 3 2 3" xfId="40854"/>
    <cellStyle name="计算 2 2 2 10 2 2 3 3" xfId="29047"/>
    <cellStyle name="计算 2 2 2 10 2 2 3 4" xfId="40853"/>
    <cellStyle name="计算 2 2 2 10 2 2 4" xfId="17527"/>
    <cellStyle name="计算 2 2 2 10 2 2 4 2" xfId="29049"/>
    <cellStyle name="计算 2 2 2 10 2 2 4 3" xfId="40855"/>
    <cellStyle name="计算 2 2 2 10 2 2 5" xfId="29044"/>
    <cellStyle name="计算 2 2 2 10 2 2 6" xfId="40850"/>
    <cellStyle name="计算 2 2 2 10 2 3" xfId="12917"/>
    <cellStyle name="计算 2 2 2 10 2 3 2" xfId="17524"/>
    <cellStyle name="计算 2 2 2 10 2 3 2 2" xfId="29051"/>
    <cellStyle name="计算 2 2 2 10 2 3 2 3" xfId="40857"/>
    <cellStyle name="计算 2 2 2 10 2 3 3" xfId="29050"/>
    <cellStyle name="计算 2 2 2 10 2 3 4" xfId="40856"/>
    <cellStyle name="计算 2 2 2 10 2 4" xfId="12918"/>
    <cellStyle name="计算 2 2 2 10 2 4 2" xfId="21046"/>
    <cellStyle name="计算 2 2 2 10 2 4 2 2" xfId="29053"/>
    <cellStyle name="计算 2 2 2 10 2 4 2 3" xfId="40859"/>
    <cellStyle name="计算 2 2 2 10 2 4 3" xfId="29052"/>
    <cellStyle name="计算 2 2 2 10 2 4 4" xfId="40858"/>
    <cellStyle name="计算 2 2 2 10 2 5" xfId="29054"/>
    <cellStyle name="计算 2 2 2 10 2 5 2" xfId="40860"/>
    <cellStyle name="计算 2 2 2 10 2 6" xfId="29043"/>
    <cellStyle name="计算 2 2 2 10 2 7" xfId="40849"/>
    <cellStyle name="计算 2 2 2 10 3" xfId="9610"/>
    <cellStyle name="计算 2 2 2 10 3 2" xfId="12919"/>
    <cellStyle name="计算 2 2 2 10 3 2 2" xfId="12920"/>
    <cellStyle name="计算 2 2 2 10 3 2 2 2" xfId="17522"/>
    <cellStyle name="计算 2 2 2 10 3 2 2 2 2" xfId="29058"/>
    <cellStyle name="计算 2 2 2 10 3 2 2 2 3" xfId="40864"/>
    <cellStyle name="计算 2 2 2 10 3 2 2 3" xfId="29057"/>
    <cellStyle name="计算 2 2 2 10 3 2 2 4" xfId="40863"/>
    <cellStyle name="计算 2 2 2 10 3 2 3" xfId="12921"/>
    <cellStyle name="计算 2 2 2 10 3 2 3 2" xfId="21244"/>
    <cellStyle name="计算 2 2 2 10 3 2 3 2 2" xfId="29060"/>
    <cellStyle name="计算 2 2 2 10 3 2 3 2 3" xfId="40866"/>
    <cellStyle name="计算 2 2 2 10 3 2 3 3" xfId="29059"/>
    <cellStyle name="计算 2 2 2 10 3 2 3 4" xfId="40865"/>
    <cellStyle name="计算 2 2 2 10 3 2 4" xfId="17523"/>
    <cellStyle name="计算 2 2 2 10 3 2 4 2" xfId="29061"/>
    <cellStyle name="计算 2 2 2 10 3 2 4 3" xfId="40867"/>
    <cellStyle name="计算 2 2 2 10 3 2 5" xfId="29056"/>
    <cellStyle name="计算 2 2 2 10 3 2 6" xfId="40862"/>
    <cellStyle name="计算 2 2 2 10 3 3" xfId="12922"/>
    <cellStyle name="计算 2 2 2 10 3 3 2" xfId="17521"/>
    <cellStyle name="计算 2 2 2 10 3 3 2 2" xfId="29063"/>
    <cellStyle name="计算 2 2 2 10 3 3 2 3" xfId="40869"/>
    <cellStyle name="计算 2 2 2 10 3 3 3" xfId="29062"/>
    <cellStyle name="计算 2 2 2 10 3 3 4" xfId="40868"/>
    <cellStyle name="计算 2 2 2 10 3 4" xfId="12923"/>
    <cellStyle name="计算 2 2 2 10 3 4 2" xfId="17520"/>
    <cellStyle name="计算 2 2 2 10 3 4 2 2" xfId="29065"/>
    <cellStyle name="计算 2 2 2 10 3 4 2 3" xfId="40871"/>
    <cellStyle name="计算 2 2 2 10 3 4 3" xfId="29064"/>
    <cellStyle name="计算 2 2 2 10 3 4 4" xfId="40870"/>
    <cellStyle name="计算 2 2 2 10 3 5" xfId="29066"/>
    <cellStyle name="计算 2 2 2 10 3 5 2" xfId="40872"/>
    <cellStyle name="计算 2 2 2 10 3 6" xfId="29055"/>
    <cellStyle name="计算 2 2 2 10 3 7" xfId="40861"/>
    <cellStyle name="计算 2 2 2 10 4" xfId="9611"/>
    <cellStyle name="计算 2 2 2 10 4 2" xfId="12924"/>
    <cellStyle name="计算 2 2 2 10 4 2 2" xfId="12925"/>
    <cellStyle name="计算 2 2 2 10 4 2 2 2" xfId="21045"/>
    <cellStyle name="计算 2 2 2 10 4 2 2 2 2" xfId="29070"/>
    <cellStyle name="计算 2 2 2 10 4 2 2 2 3" xfId="40876"/>
    <cellStyle name="计算 2 2 2 10 4 2 2 3" xfId="29069"/>
    <cellStyle name="计算 2 2 2 10 4 2 2 4" xfId="40875"/>
    <cellStyle name="计算 2 2 2 10 4 2 3" xfId="12926"/>
    <cellStyle name="计算 2 2 2 10 4 2 3 2" xfId="17519"/>
    <cellStyle name="计算 2 2 2 10 4 2 3 2 2" xfId="29072"/>
    <cellStyle name="计算 2 2 2 10 4 2 3 2 3" xfId="40878"/>
    <cellStyle name="计算 2 2 2 10 4 2 3 3" xfId="29071"/>
    <cellStyle name="计算 2 2 2 10 4 2 3 4" xfId="40877"/>
    <cellStyle name="计算 2 2 2 10 4 2 4" xfId="18321"/>
    <cellStyle name="计算 2 2 2 10 4 2 4 2" xfId="29073"/>
    <cellStyle name="计算 2 2 2 10 4 2 4 3" xfId="40879"/>
    <cellStyle name="计算 2 2 2 10 4 2 5" xfId="29068"/>
    <cellStyle name="计算 2 2 2 10 4 2 6" xfId="40874"/>
    <cellStyle name="计算 2 2 2 10 4 3" xfId="12927"/>
    <cellStyle name="计算 2 2 2 10 4 3 2" xfId="18320"/>
    <cellStyle name="计算 2 2 2 10 4 3 2 2" xfId="29075"/>
    <cellStyle name="计算 2 2 2 10 4 3 2 3" xfId="40881"/>
    <cellStyle name="计算 2 2 2 10 4 3 3" xfId="29074"/>
    <cellStyle name="计算 2 2 2 10 4 3 4" xfId="40880"/>
    <cellStyle name="计算 2 2 2 10 4 4" xfId="12928"/>
    <cellStyle name="计算 2 2 2 10 4 4 2" xfId="17518"/>
    <cellStyle name="计算 2 2 2 10 4 4 2 2" xfId="29077"/>
    <cellStyle name="计算 2 2 2 10 4 4 2 3" xfId="40883"/>
    <cellStyle name="计算 2 2 2 10 4 4 3" xfId="29076"/>
    <cellStyle name="计算 2 2 2 10 4 4 4" xfId="40882"/>
    <cellStyle name="计算 2 2 2 10 4 5" xfId="29078"/>
    <cellStyle name="计算 2 2 2 10 4 5 2" xfId="40884"/>
    <cellStyle name="计算 2 2 2 10 4 6" xfId="29067"/>
    <cellStyle name="计算 2 2 2 10 4 7" xfId="40873"/>
    <cellStyle name="计算 2 2 2 10 5" xfId="9612"/>
    <cellStyle name="计算 2 2 2 10 5 2" xfId="12929"/>
    <cellStyle name="计算 2 2 2 10 5 2 2" xfId="12930"/>
    <cellStyle name="计算 2 2 2 10 5 2 2 2" xfId="17516"/>
    <cellStyle name="计算 2 2 2 10 5 2 2 2 2" xfId="29082"/>
    <cellStyle name="计算 2 2 2 10 5 2 2 2 3" xfId="40888"/>
    <cellStyle name="计算 2 2 2 10 5 2 2 3" xfId="29081"/>
    <cellStyle name="计算 2 2 2 10 5 2 2 4" xfId="40887"/>
    <cellStyle name="计算 2 2 2 10 5 2 3" xfId="12931"/>
    <cellStyle name="计算 2 2 2 10 5 2 3 2" xfId="17515"/>
    <cellStyle name="计算 2 2 2 10 5 2 3 2 2" xfId="29084"/>
    <cellStyle name="计算 2 2 2 10 5 2 3 2 3" xfId="40890"/>
    <cellStyle name="计算 2 2 2 10 5 2 3 3" xfId="29083"/>
    <cellStyle name="计算 2 2 2 10 5 2 3 4" xfId="40889"/>
    <cellStyle name="计算 2 2 2 10 5 2 4" xfId="17517"/>
    <cellStyle name="计算 2 2 2 10 5 2 4 2" xfId="29085"/>
    <cellStyle name="计算 2 2 2 10 5 2 4 3" xfId="40891"/>
    <cellStyle name="计算 2 2 2 10 5 2 5" xfId="29080"/>
    <cellStyle name="计算 2 2 2 10 5 2 6" xfId="40886"/>
    <cellStyle name="计算 2 2 2 10 5 3" xfId="12932"/>
    <cellStyle name="计算 2 2 2 10 5 3 2" xfId="17514"/>
    <cellStyle name="计算 2 2 2 10 5 3 2 2" xfId="29087"/>
    <cellStyle name="计算 2 2 2 10 5 3 2 3" xfId="40893"/>
    <cellStyle name="计算 2 2 2 10 5 3 3" xfId="29086"/>
    <cellStyle name="计算 2 2 2 10 5 3 4" xfId="40892"/>
    <cellStyle name="计算 2 2 2 10 5 4" xfId="12933"/>
    <cellStyle name="计算 2 2 2 10 5 4 2" xfId="17513"/>
    <cellStyle name="计算 2 2 2 10 5 4 2 2" xfId="29089"/>
    <cellStyle name="计算 2 2 2 10 5 4 2 3" xfId="40895"/>
    <cellStyle name="计算 2 2 2 10 5 4 3" xfId="29088"/>
    <cellStyle name="计算 2 2 2 10 5 4 4" xfId="40894"/>
    <cellStyle name="计算 2 2 2 10 5 5" xfId="29090"/>
    <cellStyle name="计算 2 2 2 10 5 5 2" xfId="40896"/>
    <cellStyle name="计算 2 2 2 10 5 6" xfId="29079"/>
    <cellStyle name="计算 2 2 2 10 5 7" xfId="40885"/>
    <cellStyle name="计算 2 2 2 10 6" xfId="12934"/>
    <cellStyle name="计算 2 2 2 10 6 2" xfId="12935"/>
    <cellStyle name="计算 2 2 2 10 6 2 2" xfId="21044"/>
    <cellStyle name="计算 2 2 2 10 6 2 2 2" xfId="29093"/>
    <cellStyle name="计算 2 2 2 10 6 2 2 3" xfId="40899"/>
    <cellStyle name="计算 2 2 2 10 6 2 3" xfId="29092"/>
    <cellStyle name="计算 2 2 2 10 6 2 4" xfId="40898"/>
    <cellStyle name="计算 2 2 2 10 6 3" xfId="12936"/>
    <cellStyle name="计算 2 2 2 10 6 3 2" xfId="21043"/>
    <cellStyle name="计算 2 2 2 10 6 3 2 2" xfId="29095"/>
    <cellStyle name="计算 2 2 2 10 6 3 2 3" xfId="40901"/>
    <cellStyle name="计算 2 2 2 10 6 3 3" xfId="29094"/>
    <cellStyle name="计算 2 2 2 10 6 3 4" xfId="40900"/>
    <cellStyle name="计算 2 2 2 10 6 4" xfId="17512"/>
    <cellStyle name="计算 2 2 2 10 6 4 2" xfId="29096"/>
    <cellStyle name="计算 2 2 2 10 6 4 3" xfId="40902"/>
    <cellStyle name="计算 2 2 2 10 6 5" xfId="29091"/>
    <cellStyle name="计算 2 2 2 10 6 6" xfId="40897"/>
    <cellStyle name="计算 2 2 2 10 7" xfId="12937"/>
    <cellStyle name="计算 2 2 2 10 7 2" xfId="17511"/>
    <cellStyle name="计算 2 2 2 10 7 2 2" xfId="29098"/>
    <cellStyle name="计算 2 2 2 10 7 2 3" xfId="40904"/>
    <cellStyle name="计算 2 2 2 10 7 3" xfId="29097"/>
    <cellStyle name="计算 2 2 2 10 7 4" xfId="40903"/>
    <cellStyle name="计算 2 2 2 10 8" xfId="12938"/>
    <cellStyle name="计算 2 2 2 10 8 2" xfId="17510"/>
    <cellStyle name="计算 2 2 2 10 8 2 2" xfId="29100"/>
    <cellStyle name="计算 2 2 2 10 8 2 3" xfId="40906"/>
    <cellStyle name="计算 2 2 2 10 8 3" xfId="29099"/>
    <cellStyle name="计算 2 2 2 10 8 4" xfId="40905"/>
    <cellStyle name="计算 2 2 2 10 9" xfId="29101"/>
    <cellStyle name="计算 2 2 2 10 9 2" xfId="40907"/>
    <cellStyle name="计算 2 2 2 11" xfId="9613"/>
    <cellStyle name="计算 2 2 2 11 2" xfId="12939"/>
    <cellStyle name="计算 2 2 2 11 2 2" xfId="12940"/>
    <cellStyle name="计算 2 2 2 11 2 2 2" xfId="17508"/>
    <cellStyle name="计算 2 2 2 11 2 2 2 2" xfId="29105"/>
    <cellStyle name="计算 2 2 2 11 2 2 2 3" xfId="40911"/>
    <cellStyle name="计算 2 2 2 11 2 2 3" xfId="29104"/>
    <cellStyle name="计算 2 2 2 11 2 2 4" xfId="40910"/>
    <cellStyle name="计算 2 2 2 11 2 3" xfId="12941"/>
    <cellStyle name="计算 2 2 2 11 2 3 2" xfId="21042"/>
    <cellStyle name="计算 2 2 2 11 2 3 2 2" xfId="29107"/>
    <cellStyle name="计算 2 2 2 11 2 3 2 3" xfId="40913"/>
    <cellStyle name="计算 2 2 2 11 2 3 3" xfId="29106"/>
    <cellStyle name="计算 2 2 2 11 2 3 4" xfId="40912"/>
    <cellStyle name="计算 2 2 2 11 2 4" xfId="17509"/>
    <cellStyle name="计算 2 2 2 11 2 4 2" xfId="29108"/>
    <cellStyle name="计算 2 2 2 11 2 4 3" xfId="40914"/>
    <cellStyle name="计算 2 2 2 11 2 5" xfId="29103"/>
    <cellStyle name="计算 2 2 2 11 2 6" xfId="40909"/>
    <cellStyle name="计算 2 2 2 11 3" xfId="12942"/>
    <cellStyle name="计算 2 2 2 11 3 2" xfId="17507"/>
    <cellStyle name="计算 2 2 2 11 3 2 2" xfId="29110"/>
    <cellStyle name="计算 2 2 2 11 3 2 3" xfId="40916"/>
    <cellStyle name="计算 2 2 2 11 3 3" xfId="29109"/>
    <cellStyle name="计算 2 2 2 11 3 4" xfId="40915"/>
    <cellStyle name="计算 2 2 2 11 4" xfId="12943"/>
    <cellStyle name="计算 2 2 2 11 4 2" xfId="19447"/>
    <cellStyle name="计算 2 2 2 11 4 2 2" xfId="29112"/>
    <cellStyle name="计算 2 2 2 11 4 2 3" xfId="40918"/>
    <cellStyle name="计算 2 2 2 11 4 3" xfId="29111"/>
    <cellStyle name="计算 2 2 2 11 4 4" xfId="40917"/>
    <cellStyle name="计算 2 2 2 11 5" xfId="29113"/>
    <cellStyle name="计算 2 2 2 11 5 2" xfId="40919"/>
    <cellStyle name="计算 2 2 2 11 6" xfId="29102"/>
    <cellStyle name="计算 2 2 2 11 7" xfId="40908"/>
    <cellStyle name="计算 2 2 2 12" xfId="9614"/>
    <cellStyle name="计算 2 2 2 12 2" xfId="12944"/>
    <cellStyle name="计算 2 2 2 12 2 2" xfId="12945"/>
    <cellStyle name="计算 2 2 2 12 2 2 2" xfId="17505"/>
    <cellStyle name="计算 2 2 2 12 2 2 2 2" xfId="29117"/>
    <cellStyle name="计算 2 2 2 12 2 2 2 3" xfId="40923"/>
    <cellStyle name="计算 2 2 2 12 2 2 3" xfId="29116"/>
    <cellStyle name="计算 2 2 2 12 2 2 4" xfId="40922"/>
    <cellStyle name="计算 2 2 2 12 2 3" xfId="12946"/>
    <cellStyle name="计算 2 2 2 12 2 3 2" xfId="18630"/>
    <cellStyle name="计算 2 2 2 12 2 3 2 2" xfId="29119"/>
    <cellStyle name="计算 2 2 2 12 2 3 2 3" xfId="40925"/>
    <cellStyle name="计算 2 2 2 12 2 3 3" xfId="29118"/>
    <cellStyle name="计算 2 2 2 12 2 3 4" xfId="40924"/>
    <cellStyle name="计算 2 2 2 12 2 4" xfId="17506"/>
    <cellStyle name="计算 2 2 2 12 2 4 2" xfId="29120"/>
    <cellStyle name="计算 2 2 2 12 2 4 3" xfId="40926"/>
    <cellStyle name="计算 2 2 2 12 2 5" xfId="29115"/>
    <cellStyle name="计算 2 2 2 12 2 6" xfId="40921"/>
    <cellStyle name="计算 2 2 2 12 3" xfId="12947"/>
    <cellStyle name="计算 2 2 2 12 3 2" xfId="17504"/>
    <cellStyle name="计算 2 2 2 12 3 2 2" xfId="29122"/>
    <cellStyle name="计算 2 2 2 12 3 2 3" xfId="40928"/>
    <cellStyle name="计算 2 2 2 12 3 3" xfId="29121"/>
    <cellStyle name="计算 2 2 2 12 3 4" xfId="40927"/>
    <cellStyle name="计算 2 2 2 12 4" xfId="12948"/>
    <cellStyle name="计算 2 2 2 12 4 2" xfId="17503"/>
    <cellStyle name="计算 2 2 2 12 4 2 2" xfId="29124"/>
    <cellStyle name="计算 2 2 2 12 4 2 3" xfId="40930"/>
    <cellStyle name="计算 2 2 2 12 4 3" xfId="29123"/>
    <cellStyle name="计算 2 2 2 12 4 4" xfId="40929"/>
    <cellStyle name="计算 2 2 2 12 5" xfId="29125"/>
    <cellStyle name="计算 2 2 2 12 5 2" xfId="40931"/>
    <cellStyle name="计算 2 2 2 12 6" xfId="29114"/>
    <cellStyle name="计算 2 2 2 12 7" xfId="40920"/>
    <cellStyle name="计算 2 2 2 13" xfId="9615"/>
    <cellStyle name="计算 2 2 2 13 2" xfId="12949"/>
    <cellStyle name="计算 2 2 2 13 2 2" xfId="12950"/>
    <cellStyle name="计算 2 2 2 13 2 2 2" xfId="17501"/>
    <cellStyle name="计算 2 2 2 13 2 2 2 2" xfId="29129"/>
    <cellStyle name="计算 2 2 2 13 2 2 2 3" xfId="40935"/>
    <cellStyle name="计算 2 2 2 13 2 2 3" xfId="29128"/>
    <cellStyle name="计算 2 2 2 13 2 2 4" xfId="40934"/>
    <cellStyle name="计算 2 2 2 13 2 3" xfId="12951"/>
    <cellStyle name="计算 2 2 2 13 2 3 2" xfId="18629"/>
    <cellStyle name="计算 2 2 2 13 2 3 2 2" xfId="29131"/>
    <cellStyle name="计算 2 2 2 13 2 3 2 3" xfId="40937"/>
    <cellStyle name="计算 2 2 2 13 2 3 3" xfId="29130"/>
    <cellStyle name="计算 2 2 2 13 2 3 4" xfId="40936"/>
    <cellStyle name="计算 2 2 2 13 2 4" xfId="17502"/>
    <cellStyle name="计算 2 2 2 13 2 4 2" xfId="29132"/>
    <cellStyle name="计算 2 2 2 13 2 4 3" xfId="40938"/>
    <cellStyle name="计算 2 2 2 13 2 5" xfId="29127"/>
    <cellStyle name="计算 2 2 2 13 2 6" xfId="40933"/>
    <cellStyle name="计算 2 2 2 13 3" xfId="12952"/>
    <cellStyle name="计算 2 2 2 13 3 2" xfId="17500"/>
    <cellStyle name="计算 2 2 2 13 3 2 2" xfId="29134"/>
    <cellStyle name="计算 2 2 2 13 3 2 3" xfId="40940"/>
    <cellStyle name="计算 2 2 2 13 3 3" xfId="29133"/>
    <cellStyle name="计算 2 2 2 13 3 4" xfId="40939"/>
    <cellStyle name="计算 2 2 2 13 4" xfId="12953"/>
    <cellStyle name="计算 2 2 2 13 4 2" xfId="17499"/>
    <cellStyle name="计算 2 2 2 13 4 2 2" xfId="29136"/>
    <cellStyle name="计算 2 2 2 13 4 2 3" xfId="40942"/>
    <cellStyle name="计算 2 2 2 13 4 3" xfId="29135"/>
    <cellStyle name="计算 2 2 2 13 4 4" xfId="40941"/>
    <cellStyle name="计算 2 2 2 13 5" xfId="29137"/>
    <cellStyle name="计算 2 2 2 13 5 2" xfId="40943"/>
    <cellStyle name="计算 2 2 2 13 6" xfId="29126"/>
    <cellStyle name="计算 2 2 2 13 7" xfId="40932"/>
    <cellStyle name="计算 2 2 2 14" xfId="9616"/>
    <cellStyle name="计算 2 2 2 14 2" xfId="12954"/>
    <cellStyle name="计算 2 2 2 14 2 2" xfId="12955"/>
    <cellStyle name="计算 2 2 2 14 2 2 2" xfId="17497"/>
    <cellStyle name="计算 2 2 2 14 2 2 2 2" xfId="29141"/>
    <cellStyle name="计算 2 2 2 14 2 2 2 3" xfId="40947"/>
    <cellStyle name="计算 2 2 2 14 2 2 3" xfId="29140"/>
    <cellStyle name="计算 2 2 2 14 2 2 4" xfId="40946"/>
    <cellStyle name="计算 2 2 2 14 2 3" xfId="12956"/>
    <cellStyle name="计算 2 2 2 14 2 3 2" xfId="17496"/>
    <cellStyle name="计算 2 2 2 14 2 3 2 2" xfId="29143"/>
    <cellStyle name="计算 2 2 2 14 2 3 2 3" xfId="40949"/>
    <cellStyle name="计算 2 2 2 14 2 3 3" xfId="29142"/>
    <cellStyle name="计算 2 2 2 14 2 3 4" xfId="40948"/>
    <cellStyle name="计算 2 2 2 14 2 4" xfId="17498"/>
    <cellStyle name="计算 2 2 2 14 2 4 2" xfId="29144"/>
    <cellStyle name="计算 2 2 2 14 2 4 3" xfId="40950"/>
    <cellStyle name="计算 2 2 2 14 2 5" xfId="29139"/>
    <cellStyle name="计算 2 2 2 14 2 6" xfId="40945"/>
    <cellStyle name="计算 2 2 2 14 3" xfId="12957"/>
    <cellStyle name="计算 2 2 2 14 3 2" xfId="17495"/>
    <cellStyle name="计算 2 2 2 14 3 2 2" xfId="29146"/>
    <cellStyle name="计算 2 2 2 14 3 2 3" xfId="40952"/>
    <cellStyle name="计算 2 2 2 14 3 3" xfId="29145"/>
    <cellStyle name="计算 2 2 2 14 3 4" xfId="40951"/>
    <cellStyle name="计算 2 2 2 14 4" xfId="12958"/>
    <cellStyle name="计算 2 2 2 14 4 2" xfId="17494"/>
    <cellStyle name="计算 2 2 2 14 4 2 2" xfId="29148"/>
    <cellStyle name="计算 2 2 2 14 4 2 3" xfId="40954"/>
    <cellStyle name="计算 2 2 2 14 4 3" xfId="29147"/>
    <cellStyle name="计算 2 2 2 14 4 4" xfId="40953"/>
    <cellStyle name="计算 2 2 2 14 5" xfId="29149"/>
    <cellStyle name="计算 2 2 2 14 5 2" xfId="40955"/>
    <cellStyle name="计算 2 2 2 14 6" xfId="29138"/>
    <cellStyle name="计算 2 2 2 14 7" xfId="40944"/>
    <cellStyle name="计算 2 2 2 15" xfId="12959"/>
    <cellStyle name="计算 2 2 2 15 2" xfId="12960"/>
    <cellStyle name="计算 2 2 2 15 2 2" xfId="21041"/>
    <cellStyle name="计算 2 2 2 15 2 2 2" xfId="29152"/>
    <cellStyle name="计算 2 2 2 15 2 2 3" xfId="40958"/>
    <cellStyle name="计算 2 2 2 15 2 3" xfId="29151"/>
    <cellStyle name="计算 2 2 2 15 2 4" xfId="40957"/>
    <cellStyle name="计算 2 2 2 15 3" xfId="12961"/>
    <cellStyle name="计算 2 2 2 15 3 2" xfId="21040"/>
    <cellStyle name="计算 2 2 2 15 3 2 2" xfId="29154"/>
    <cellStyle name="计算 2 2 2 15 3 2 3" xfId="40960"/>
    <cellStyle name="计算 2 2 2 15 3 3" xfId="29153"/>
    <cellStyle name="计算 2 2 2 15 3 4" xfId="40959"/>
    <cellStyle name="计算 2 2 2 15 4" xfId="17493"/>
    <cellStyle name="计算 2 2 2 15 4 2" xfId="29155"/>
    <cellStyle name="计算 2 2 2 15 4 3" xfId="40961"/>
    <cellStyle name="计算 2 2 2 15 5" xfId="29150"/>
    <cellStyle name="计算 2 2 2 15 6" xfId="40956"/>
    <cellStyle name="计算 2 2 2 16" xfId="12962"/>
    <cellStyle name="计算 2 2 2 16 2" xfId="17492"/>
    <cellStyle name="计算 2 2 2 16 2 2" xfId="29157"/>
    <cellStyle name="计算 2 2 2 16 2 3" xfId="40963"/>
    <cellStyle name="计算 2 2 2 16 3" xfId="29156"/>
    <cellStyle name="计算 2 2 2 16 4" xfId="40962"/>
    <cellStyle name="计算 2 2 2 17" xfId="12963"/>
    <cellStyle name="计算 2 2 2 17 2" xfId="17491"/>
    <cellStyle name="计算 2 2 2 17 2 2" xfId="29159"/>
    <cellStyle name="计算 2 2 2 17 2 3" xfId="40965"/>
    <cellStyle name="计算 2 2 2 17 3" xfId="29158"/>
    <cellStyle name="计算 2 2 2 17 4" xfId="40964"/>
    <cellStyle name="计算 2 2 2 18" xfId="9607"/>
    <cellStyle name="计算 2 2 2 18 2" xfId="29160"/>
    <cellStyle name="计算 2 2 2 18 3" xfId="40966"/>
    <cellStyle name="计算 2 2 2 19" xfId="29041"/>
    <cellStyle name="计算 2 2 2 2" xfId="5173"/>
    <cellStyle name="计算 2 2 2 2 10" xfId="29161"/>
    <cellStyle name="计算 2 2 2 2 11" xfId="40967"/>
    <cellStyle name="计算 2 2 2 2 2" xfId="9618"/>
    <cellStyle name="计算 2 2 2 2 2 2" xfId="12964"/>
    <cellStyle name="计算 2 2 2 2 2 2 2" xfId="12965"/>
    <cellStyle name="计算 2 2 2 2 2 2 2 2" xfId="17489"/>
    <cellStyle name="计算 2 2 2 2 2 2 2 2 2" xfId="29165"/>
    <cellStyle name="计算 2 2 2 2 2 2 2 2 3" xfId="40971"/>
    <cellStyle name="计算 2 2 2 2 2 2 2 3" xfId="29164"/>
    <cellStyle name="计算 2 2 2 2 2 2 2 4" xfId="40970"/>
    <cellStyle name="计算 2 2 2 2 2 2 3" xfId="12966"/>
    <cellStyle name="计算 2 2 2 2 2 2 3 2" xfId="21039"/>
    <cellStyle name="计算 2 2 2 2 2 2 3 2 2" xfId="29167"/>
    <cellStyle name="计算 2 2 2 2 2 2 3 2 3" xfId="40973"/>
    <cellStyle name="计算 2 2 2 2 2 2 3 3" xfId="29166"/>
    <cellStyle name="计算 2 2 2 2 2 2 3 4" xfId="40972"/>
    <cellStyle name="计算 2 2 2 2 2 2 4" xfId="17490"/>
    <cellStyle name="计算 2 2 2 2 2 2 4 2" xfId="29168"/>
    <cellStyle name="计算 2 2 2 2 2 2 4 3" xfId="40974"/>
    <cellStyle name="计算 2 2 2 2 2 2 5" xfId="29163"/>
    <cellStyle name="计算 2 2 2 2 2 2 6" xfId="40969"/>
    <cellStyle name="计算 2 2 2 2 2 3" xfId="12967"/>
    <cellStyle name="计算 2 2 2 2 2 3 2" xfId="17488"/>
    <cellStyle name="计算 2 2 2 2 2 3 2 2" xfId="29170"/>
    <cellStyle name="计算 2 2 2 2 2 3 2 3" xfId="40976"/>
    <cellStyle name="计算 2 2 2 2 2 3 3" xfId="29169"/>
    <cellStyle name="计算 2 2 2 2 2 3 4" xfId="40975"/>
    <cellStyle name="计算 2 2 2 2 2 4" xfId="12968"/>
    <cellStyle name="计算 2 2 2 2 2 4 2" xfId="17487"/>
    <cellStyle name="计算 2 2 2 2 2 4 2 2" xfId="29172"/>
    <cellStyle name="计算 2 2 2 2 2 4 2 3" xfId="40978"/>
    <cellStyle name="计算 2 2 2 2 2 4 3" xfId="29171"/>
    <cellStyle name="计算 2 2 2 2 2 4 4" xfId="40977"/>
    <cellStyle name="计算 2 2 2 2 2 5" xfId="29173"/>
    <cellStyle name="计算 2 2 2 2 2 5 2" xfId="40979"/>
    <cellStyle name="计算 2 2 2 2 2 6" xfId="29162"/>
    <cellStyle name="计算 2 2 2 2 2 7" xfId="40968"/>
    <cellStyle name="计算 2 2 2 2 3" xfId="9619"/>
    <cellStyle name="计算 2 2 2 2 3 2" xfId="12969"/>
    <cellStyle name="计算 2 2 2 2 3 2 2" xfId="12970"/>
    <cellStyle name="计算 2 2 2 2 3 2 2 2" xfId="17485"/>
    <cellStyle name="计算 2 2 2 2 3 2 2 2 2" xfId="29177"/>
    <cellStyle name="计算 2 2 2 2 3 2 2 2 3" xfId="40983"/>
    <cellStyle name="计算 2 2 2 2 3 2 2 3" xfId="29176"/>
    <cellStyle name="计算 2 2 2 2 3 2 2 4" xfId="40982"/>
    <cellStyle name="计算 2 2 2 2 3 2 3" xfId="12971"/>
    <cellStyle name="计算 2 2 2 2 3 2 3 2" xfId="21038"/>
    <cellStyle name="计算 2 2 2 2 3 2 3 2 2" xfId="29179"/>
    <cellStyle name="计算 2 2 2 2 3 2 3 2 3" xfId="40985"/>
    <cellStyle name="计算 2 2 2 2 3 2 3 3" xfId="29178"/>
    <cellStyle name="计算 2 2 2 2 3 2 3 4" xfId="40984"/>
    <cellStyle name="计算 2 2 2 2 3 2 4" xfId="17486"/>
    <cellStyle name="计算 2 2 2 2 3 2 4 2" xfId="29180"/>
    <cellStyle name="计算 2 2 2 2 3 2 4 3" xfId="40986"/>
    <cellStyle name="计算 2 2 2 2 3 2 5" xfId="29175"/>
    <cellStyle name="计算 2 2 2 2 3 2 6" xfId="40981"/>
    <cellStyle name="计算 2 2 2 2 3 3" xfId="12972"/>
    <cellStyle name="计算 2 2 2 2 3 3 2" xfId="17484"/>
    <cellStyle name="计算 2 2 2 2 3 3 2 2" xfId="29182"/>
    <cellStyle name="计算 2 2 2 2 3 3 2 3" xfId="40988"/>
    <cellStyle name="计算 2 2 2 2 3 3 3" xfId="29181"/>
    <cellStyle name="计算 2 2 2 2 3 3 4" xfId="40987"/>
    <cellStyle name="计算 2 2 2 2 3 4" xfId="12973"/>
    <cellStyle name="计算 2 2 2 2 3 4 2" xfId="17483"/>
    <cellStyle name="计算 2 2 2 2 3 4 2 2" xfId="29184"/>
    <cellStyle name="计算 2 2 2 2 3 4 2 3" xfId="40990"/>
    <cellStyle name="计算 2 2 2 2 3 4 3" xfId="29183"/>
    <cellStyle name="计算 2 2 2 2 3 4 4" xfId="40989"/>
    <cellStyle name="计算 2 2 2 2 3 5" xfId="29185"/>
    <cellStyle name="计算 2 2 2 2 3 5 2" xfId="40991"/>
    <cellStyle name="计算 2 2 2 2 3 6" xfId="29174"/>
    <cellStyle name="计算 2 2 2 2 3 7" xfId="40980"/>
    <cellStyle name="计算 2 2 2 2 4" xfId="9620"/>
    <cellStyle name="计算 2 2 2 2 4 2" xfId="12974"/>
    <cellStyle name="计算 2 2 2 2 4 2 2" xfId="12975"/>
    <cellStyle name="计算 2 2 2 2 4 2 2 2" xfId="17481"/>
    <cellStyle name="计算 2 2 2 2 4 2 2 2 2" xfId="29189"/>
    <cellStyle name="计算 2 2 2 2 4 2 2 2 3" xfId="40995"/>
    <cellStyle name="计算 2 2 2 2 4 2 2 3" xfId="29188"/>
    <cellStyle name="计算 2 2 2 2 4 2 2 4" xfId="40994"/>
    <cellStyle name="计算 2 2 2 2 4 2 3" xfId="12976"/>
    <cellStyle name="计算 2 2 2 2 4 2 3 2" xfId="21037"/>
    <cellStyle name="计算 2 2 2 2 4 2 3 2 2" xfId="29191"/>
    <cellStyle name="计算 2 2 2 2 4 2 3 2 3" xfId="40997"/>
    <cellStyle name="计算 2 2 2 2 4 2 3 3" xfId="29190"/>
    <cellStyle name="计算 2 2 2 2 4 2 3 4" xfId="40996"/>
    <cellStyle name="计算 2 2 2 2 4 2 4" xfId="17482"/>
    <cellStyle name="计算 2 2 2 2 4 2 4 2" xfId="29192"/>
    <cellStyle name="计算 2 2 2 2 4 2 4 3" xfId="40998"/>
    <cellStyle name="计算 2 2 2 2 4 2 5" xfId="29187"/>
    <cellStyle name="计算 2 2 2 2 4 2 6" xfId="40993"/>
    <cellStyle name="计算 2 2 2 2 4 3" xfId="12977"/>
    <cellStyle name="计算 2 2 2 2 4 3 2" xfId="17480"/>
    <cellStyle name="计算 2 2 2 2 4 3 2 2" xfId="29194"/>
    <cellStyle name="计算 2 2 2 2 4 3 2 3" xfId="41000"/>
    <cellStyle name="计算 2 2 2 2 4 3 3" xfId="29193"/>
    <cellStyle name="计算 2 2 2 2 4 3 4" xfId="40999"/>
    <cellStyle name="计算 2 2 2 2 4 4" xfId="12978"/>
    <cellStyle name="计算 2 2 2 2 4 4 2" xfId="17479"/>
    <cellStyle name="计算 2 2 2 2 4 4 2 2" xfId="29196"/>
    <cellStyle name="计算 2 2 2 2 4 4 2 3" xfId="41002"/>
    <cellStyle name="计算 2 2 2 2 4 4 3" xfId="29195"/>
    <cellStyle name="计算 2 2 2 2 4 4 4" xfId="41001"/>
    <cellStyle name="计算 2 2 2 2 4 5" xfId="29197"/>
    <cellStyle name="计算 2 2 2 2 4 5 2" xfId="41003"/>
    <cellStyle name="计算 2 2 2 2 4 6" xfId="29186"/>
    <cellStyle name="计算 2 2 2 2 4 7" xfId="40992"/>
    <cellStyle name="计算 2 2 2 2 5" xfId="9621"/>
    <cellStyle name="计算 2 2 2 2 5 2" xfId="12979"/>
    <cellStyle name="计算 2 2 2 2 5 2 2" xfId="12980"/>
    <cellStyle name="计算 2 2 2 2 5 2 2 2" xfId="17477"/>
    <cellStyle name="计算 2 2 2 2 5 2 2 2 2" xfId="29201"/>
    <cellStyle name="计算 2 2 2 2 5 2 2 2 3" xfId="41007"/>
    <cellStyle name="计算 2 2 2 2 5 2 2 3" xfId="29200"/>
    <cellStyle name="计算 2 2 2 2 5 2 2 4" xfId="41006"/>
    <cellStyle name="计算 2 2 2 2 5 2 3" xfId="12981"/>
    <cellStyle name="计算 2 2 2 2 5 2 3 2" xfId="17476"/>
    <cellStyle name="计算 2 2 2 2 5 2 3 2 2" xfId="29203"/>
    <cellStyle name="计算 2 2 2 2 5 2 3 2 3" xfId="41009"/>
    <cellStyle name="计算 2 2 2 2 5 2 3 3" xfId="29202"/>
    <cellStyle name="计算 2 2 2 2 5 2 3 4" xfId="41008"/>
    <cellStyle name="计算 2 2 2 2 5 2 4" xfId="17478"/>
    <cellStyle name="计算 2 2 2 2 5 2 4 2" xfId="29204"/>
    <cellStyle name="计算 2 2 2 2 5 2 4 3" xfId="41010"/>
    <cellStyle name="计算 2 2 2 2 5 2 5" xfId="29199"/>
    <cellStyle name="计算 2 2 2 2 5 2 6" xfId="41005"/>
    <cellStyle name="计算 2 2 2 2 5 3" xfId="12982"/>
    <cellStyle name="计算 2 2 2 2 5 3 2" xfId="17475"/>
    <cellStyle name="计算 2 2 2 2 5 3 2 2" xfId="29206"/>
    <cellStyle name="计算 2 2 2 2 5 3 2 3" xfId="41012"/>
    <cellStyle name="计算 2 2 2 2 5 3 3" xfId="29205"/>
    <cellStyle name="计算 2 2 2 2 5 3 4" xfId="41011"/>
    <cellStyle name="计算 2 2 2 2 5 4" xfId="12983"/>
    <cellStyle name="计算 2 2 2 2 5 4 2" xfId="17474"/>
    <cellStyle name="计算 2 2 2 2 5 4 2 2" xfId="29208"/>
    <cellStyle name="计算 2 2 2 2 5 4 2 3" xfId="41014"/>
    <cellStyle name="计算 2 2 2 2 5 4 3" xfId="29207"/>
    <cellStyle name="计算 2 2 2 2 5 4 4" xfId="41013"/>
    <cellStyle name="计算 2 2 2 2 5 5" xfId="29209"/>
    <cellStyle name="计算 2 2 2 2 5 5 2" xfId="41015"/>
    <cellStyle name="计算 2 2 2 2 5 6" xfId="29198"/>
    <cellStyle name="计算 2 2 2 2 5 7" xfId="41004"/>
    <cellStyle name="计算 2 2 2 2 6" xfId="12984"/>
    <cellStyle name="计算 2 2 2 2 6 2" xfId="12985"/>
    <cellStyle name="计算 2 2 2 2 6 2 2" xfId="21036"/>
    <cellStyle name="计算 2 2 2 2 6 2 2 2" xfId="29212"/>
    <cellStyle name="计算 2 2 2 2 6 2 2 3" xfId="41018"/>
    <cellStyle name="计算 2 2 2 2 6 2 3" xfId="29211"/>
    <cellStyle name="计算 2 2 2 2 6 2 4" xfId="41017"/>
    <cellStyle name="计算 2 2 2 2 6 3" xfId="12986"/>
    <cellStyle name="计算 2 2 2 2 6 3 2" xfId="21035"/>
    <cellStyle name="计算 2 2 2 2 6 3 2 2" xfId="29214"/>
    <cellStyle name="计算 2 2 2 2 6 3 2 3" xfId="41020"/>
    <cellStyle name="计算 2 2 2 2 6 3 3" xfId="29213"/>
    <cellStyle name="计算 2 2 2 2 6 3 4" xfId="41019"/>
    <cellStyle name="计算 2 2 2 2 6 4" xfId="17473"/>
    <cellStyle name="计算 2 2 2 2 6 4 2" xfId="29215"/>
    <cellStyle name="计算 2 2 2 2 6 4 3" xfId="41021"/>
    <cellStyle name="计算 2 2 2 2 6 5" xfId="29210"/>
    <cellStyle name="计算 2 2 2 2 6 6" xfId="41016"/>
    <cellStyle name="计算 2 2 2 2 7" xfId="12987"/>
    <cellStyle name="计算 2 2 2 2 7 2" xfId="17472"/>
    <cellStyle name="计算 2 2 2 2 7 2 2" xfId="29217"/>
    <cellStyle name="计算 2 2 2 2 7 2 3" xfId="41023"/>
    <cellStyle name="计算 2 2 2 2 7 3" xfId="29216"/>
    <cellStyle name="计算 2 2 2 2 7 4" xfId="41022"/>
    <cellStyle name="计算 2 2 2 2 8" xfId="12988"/>
    <cellStyle name="计算 2 2 2 2 8 2" xfId="17471"/>
    <cellStyle name="计算 2 2 2 2 8 2 2" xfId="29219"/>
    <cellStyle name="计算 2 2 2 2 8 2 3" xfId="41025"/>
    <cellStyle name="计算 2 2 2 2 8 3" xfId="29218"/>
    <cellStyle name="计算 2 2 2 2 8 4" xfId="41024"/>
    <cellStyle name="计算 2 2 2 2 9" xfId="9617"/>
    <cellStyle name="计算 2 2 2 2 9 2" xfId="29220"/>
    <cellStyle name="计算 2 2 2 2 9 3" xfId="41026"/>
    <cellStyle name="计算 2 2 2 20" xfId="40847"/>
    <cellStyle name="计算 2 2 2 3" xfId="9622"/>
    <cellStyle name="计算 2 2 2 3 10" xfId="29221"/>
    <cellStyle name="计算 2 2 2 3 11" xfId="41027"/>
    <cellStyle name="计算 2 2 2 3 2" xfId="9623"/>
    <cellStyle name="计算 2 2 2 3 2 2" xfId="12989"/>
    <cellStyle name="计算 2 2 2 3 2 2 2" xfId="12990"/>
    <cellStyle name="计算 2 2 2 3 2 2 2 2" xfId="17469"/>
    <cellStyle name="计算 2 2 2 3 2 2 2 2 2" xfId="29225"/>
    <cellStyle name="计算 2 2 2 3 2 2 2 2 3" xfId="41031"/>
    <cellStyle name="计算 2 2 2 3 2 2 2 3" xfId="29224"/>
    <cellStyle name="计算 2 2 2 3 2 2 2 4" xfId="41030"/>
    <cellStyle name="计算 2 2 2 3 2 2 3" xfId="12991"/>
    <cellStyle name="计算 2 2 2 3 2 2 3 2" xfId="21034"/>
    <cellStyle name="计算 2 2 2 3 2 2 3 2 2" xfId="29227"/>
    <cellStyle name="计算 2 2 2 3 2 2 3 2 3" xfId="41033"/>
    <cellStyle name="计算 2 2 2 3 2 2 3 3" xfId="29226"/>
    <cellStyle name="计算 2 2 2 3 2 2 3 4" xfId="41032"/>
    <cellStyle name="计算 2 2 2 3 2 2 4" xfId="17470"/>
    <cellStyle name="计算 2 2 2 3 2 2 4 2" xfId="29228"/>
    <cellStyle name="计算 2 2 2 3 2 2 4 3" xfId="41034"/>
    <cellStyle name="计算 2 2 2 3 2 2 5" xfId="29223"/>
    <cellStyle name="计算 2 2 2 3 2 2 6" xfId="41029"/>
    <cellStyle name="计算 2 2 2 3 2 3" xfId="12992"/>
    <cellStyle name="计算 2 2 2 3 2 3 2" xfId="17468"/>
    <cellStyle name="计算 2 2 2 3 2 3 2 2" xfId="29230"/>
    <cellStyle name="计算 2 2 2 3 2 3 2 3" xfId="41036"/>
    <cellStyle name="计算 2 2 2 3 2 3 3" xfId="29229"/>
    <cellStyle name="计算 2 2 2 3 2 3 4" xfId="41035"/>
    <cellStyle name="计算 2 2 2 3 2 4" xfId="12993"/>
    <cellStyle name="计算 2 2 2 3 2 4 2" xfId="17467"/>
    <cellStyle name="计算 2 2 2 3 2 4 2 2" xfId="29232"/>
    <cellStyle name="计算 2 2 2 3 2 4 2 3" xfId="41038"/>
    <cellStyle name="计算 2 2 2 3 2 4 3" xfId="29231"/>
    <cellStyle name="计算 2 2 2 3 2 4 4" xfId="41037"/>
    <cellStyle name="计算 2 2 2 3 2 5" xfId="29233"/>
    <cellStyle name="计算 2 2 2 3 2 5 2" xfId="41039"/>
    <cellStyle name="计算 2 2 2 3 2 6" xfId="29222"/>
    <cellStyle name="计算 2 2 2 3 2 7" xfId="41028"/>
    <cellStyle name="计算 2 2 2 3 3" xfId="9624"/>
    <cellStyle name="计算 2 2 2 3 3 2" xfId="12994"/>
    <cellStyle name="计算 2 2 2 3 3 2 2" xfId="12995"/>
    <cellStyle name="计算 2 2 2 3 3 2 2 2" xfId="17465"/>
    <cellStyle name="计算 2 2 2 3 3 2 2 2 2" xfId="29237"/>
    <cellStyle name="计算 2 2 2 3 3 2 2 2 3" xfId="41043"/>
    <cellStyle name="计算 2 2 2 3 3 2 2 3" xfId="29236"/>
    <cellStyle name="计算 2 2 2 3 3 2 2 4" xfId="41042"/>
    <cellStyle name="计算 2 2 2 3 3 2 3" xfId="12996"/>
    <cellStyle name="计算 2 2 2 3 3 2 3 2" xfId="18628"/>
    <cellStyle name="计算 2 2 2 3 3 2 3 2 2" xfId="29239"/>
    <cellStyle name="计算 2 2 2 3 3 2 3 2 3" xfId="41045"/>
    <cellStyle name="计算 2 2 2 3 3 2 3 3" xfId="29238"/>
    <cellStyle name="计算 2 2 2 3 3 2 3 4" xfId="41044"/>
    <cellStyle name="计算 2 2 2 3 3 2 4" xfId="17466"/>
    <cellStyle name="计算 2 2 2 3 3 2 4 2" xfId="29240"/>
    <cellStyle name="计算 2 2 2 3 3 2 4 3" xfId="41046"/>
    <cellStyle name="计算 2 2 2 3 3 2 5" xfId="29235"/>
    <cellStyle name="计算 2 2 2 3 3 2 6" xfId="41041"/>
    <cellStyle name="计算 2 2 2 3 3 3" xfId="12997"/>
    <cellStyle name="计算 2 2 2 3 3 3 2" xfId="17464"/>
    <cellStyle name="计算 2 2 2 3 3 3 2 2" xfId="29242"/>
    <cellStyle name="计算 2 2 2 3 3 3 2 3" xfId="41048"/>
    <cellStyle name="计算 2 2 2 3 3 3 3" xfId="29241"/>
    <cellStyle name="计算 2 2 2 3 3 3 4" xfId="41047"/>
    <cellStyle name="计算 2 2 2 3 3 4" xfId="12998"/>
    <cellStyle name="计算 2 2 2 3 3 4 2" xfId="17463"/>
    <cellStyle name="计算 2 2 2 3 3 4 2 2" xfId="29244"/>
    <cellStyle name="计算 2 2 2 3 3 4 2 3" xfId="41050"/>
    <cellStyle name="计算 2 2 2 3 3 4 3" xfId="29243"/>
    <cellStyle name="计算 2 2 2 3 3 4 4" xfId="41049"/>
    <cellStyle name="计算 2 2 2 3 3 5" xfId="29245"/>
    <cellStyle name="计算 2 2 2 3 3 5 2" xfId="41051"/>
    <cellStyle name="计算 2 2 2 3 3 6" xfId="29234"/>
    <cellStyle name="计算 2 2 2 3 3 7" xfId="41040"/>
    <cellStyle name="计算 2 2 2 3 4" xfId="9625"/>
    <cellStyle name="计算 2 2 2 3 4 2" xfId="12999"/>
    <cellStyle name="计算 2 2 2 3 4 2 2" xfId="13000"/>
    <cellStyle name="计算 2 2 2 3 4 2 2 2" xfId="17461"/>
    <cellStyle name="计算 2 2 2 3 4 2 2 2 2" xfId="29249"/>
    <cellStyle name="计算 2 2 2 3 4 2 2 2 3" xfId="41055"/>
    <cellStyle name="计算 2 2 2 3 4 2 2 3" xfId="29248"/>
    <cellStyle name="计算 2 2 2 3 4 2 2 4" xfId="41054"/>
    <cellStyle name="计算 2 2 2 3 4 2 3" xfId="13001"/>
    <cellStyle name="计算 2 2 2 3 4 2 3 2" xfId="21033"/>
    <cellStyle name="计算 2 2 2 3 4 2 3 2 2" xfId="29251"/>
    <cellStyle name="计算 2 2 2 3 4 2 3 2 3" xfId="41057"/>
    <cellStyle name="计算 2 2 2 3 4 2 3 3" xfId="29250"/>
    <cellStyle name="计算 2 2 2 3 4 2 3 4" xfId="41056"/>
    <cellStyle name="计算 2 2 2 3 4 2 4" xfId="17462"/>
    <cellStyle name="计算 2 2 2 3 4 2 4 2" xfId="29252"/>
    <cellStyle name="计算 2 2 2 3 4 2 4 3" xfId="41058"/>
    <cellStyle name="计算 2 2 2 3 4 2 5" xfId="29247"/>
    <cellStyle name="计算 2 2 2 3 4 2 6" xfId="41053"/>
    <cellStyle name="计算 2 2 2 3 4 3" xfId="13002"/>
    <cellStyle name="计算 2 2 2 3 4 3 2" xfId="17460"/>
    <cellStyle name="计算 2 2 2 3 4 3 2 2" xfId="29254"/>
    <cellStyle name="计算 2 2 2 3 4 3 2 3" xfId="41060"/>
    <cellStyle name="计算 2 2 2 3 4 3 3" xfId="29253"/>
    <cellStyle name="计算 2 2 2 3 4 3 4" xfId="41059"/>
    <cellStyle name="计算 2 2 2 3 4 4" xfId="13003"/>
    <cellStyle name="计算 2 2 2 3 4 4 2" xfId="17459"/>
    <cellStyle name="计算 2 2 2 3 4 4 2 2" xfId="29256"/>
    <cellStyle name="计算 2 2 2 3 4 4 2 3" xfId="41062"/>
    <cellStyle name="计算 2 2 2 3 4 4 3" xfId="29255"/>
    <cellStyle name="计算 2 2 2 3 4 4 4" xfId="41061"/>
    <cellStyle name="计算 2 2 2 3 4 5" xfId="29257"/>
    <cellStyle name="计算 2 2 2 3 4 5 2" xfId="41063"/>
    <cellStyle name="计算 2 2 2 3 4 6" xfId="29246"/>
    <cellStyle name="计算 2 2 2 3 4 7" xfId="41052"/>
    <cellStyle name="计算 2 2 2 3 5" xfId="9626"/>
    <cellStyle name="计算 2 2 2 3 5 2" xfId="13004"/>
    <cellStyle name="计算 2 2 2 3 5 2 2" xfId="13005"/>
    <cellStyle name="计算 2 2 2 3 5 2 2 2" xfId="17457"/>
    <cellStyle name="计算 2 2 2 3 5 2 2 2 2" xfId="29261"/>
    <cellStyle name="计算 2 2 2 3 5 2 2 2 3" xfId="41067"/>
    <cellStyle name="计算 2 2 2 3 5 2 2 3" xfId="29260"/>
    <cellStyle name="计算 2 2 2 3 5 2 2 4" xfId="41066"/>
    <cellStyle name="计算 2 2 2 3 5 2 3" xfId="13006"/>
    <cellStyle name="计算 2 2 2 3 5 2 3 2" xfId="17456"/>
    <cellStyle name="计算 2 2 2 3 5 2 3 2 2" xfId="29263"/>
    <cellStyle name="计算 2 2 2 3 5 2 3 2 3" xfId="41069"/>
    <cellStyle name="计算 2 2 2 3 5 2 3 3" xfId="29262"/>
    <cellStyle name="计算 2 2 2 3 5 2 3 4" xfId="41068"/>
    <cellStyle name="计算 2 2 2 3 5 2 4" xfId="17458"/>
    <cellStyle name="计算 2 2 2 3 5 2 4 2" xfId="29264"/>
    <cellStyle name="计算 2 2 2 3 5 2 4 3" xfId="41070"/>
    <cellStyle name="计算 2 2 2 3 5 2 5" xfId="29259"/>
    <cellStyle name="计算 2 2 2 3 5 2 6" xfId="41065"/>
    <cellStyle name="计算 2 2 2 3 5 3" xfId="13007"/>
    <cellStyle name="计算 2 2 2 3 5 3 2" xfId="17455"/>
    <cellStyle name="计算 2 2 2 3 5 3 2 2" xfId="29266"/>
    <cellStyle name="计算 2 2 2 3 5 3 2 3" xfId="41072"/>
    <cellStyle name="计算 2 2 2 3 5 3 3" xfId="29265"/>
    <cellStyle name="计算 2 2 2 3 5 3 4" xfId="41071"/>
    <cellStyle name="计算 2 2 2 3 5 4" xfId="13008"/>
    <cellStyle name="计算 2 2 2 3 5 4 2" xfId="17454"/>
    <cellStyle name="计算 2 2 2 3 5 4 2 2" xfId="29268"/>
    <cellStyle name="计算 2 2 2 3 5 4 2 3" xfId="41074"/>
    <cellStyle name="计算 2 2 2 3 5 4 3" xfId="29267"/>
    <cellStyle name="计算 2 2 2 3 5 4 4" xfId="41073"/>
    <cellStyle name="计算 2 2 2 3 5 5" xfId="29269"/>
    <cellStyle name="计算 2 2 2 3 5 5 2" xfId="41075"/>
    <cellStyle name="计算 2 2 2 3 5 6" xfId="29258"/>
    <cellStyle name="计算 2 2 2 3 5 7" xfId="41064"/>
    <cellStyle name="计算 2 2 2 3 6" xfId="13009"/>
    <cellStyle name="计算 2 2 2 3 6 2" xfId="13010"/>
    <cellStyle name="计算 2 2 2 3 6 2 2" xfId="21032"/>
    <cellStyle name="计算 2 2 2 3 6 2 2 2" xfId="29272"/>
    <cellStyle name="计算 2 2 2 3 6 2 2 3" xfId="41078"/>
    <cellStyle name="计算 2 2 2 3 6 2 3" xfId="29271"/>
    <cellStyle name="计算 2 2 2 3 6 2 4" xfId="41077"/>
    <cellStyle name="计算 2 2 2 3 6 3" xfId="13011"/>
    <cellStyle name="计算 2 2 2 3 6 3 2" xfId="21031"/>
    <cellStyle name="计算 2 2 2 3 6 3 2 2" xfId="29274"/>
    <cellStyle name="计算 2 2 2 3 6 3 2 3" xfId="41080"/>
    <cellStyle name="计算 2 2 2 3 6 3 3" xfId="29273"/>
    <cellStyle name="计算 2 2 2 3 6 3 4" xfId="41079"/>
    <cellStyle name="计算 2 2 2 3 6 4" xfId="17453"/>
    <cellStyle name="计算 2 2 2 3 6 4 2" xfId="29275"/>
    <cellStyle name="计算 2 2 2 3 6 4 3" xfId="41081"/>
    <cellStyle name="计算 2 2 2 3 6 5" xfId="29270"/>
    <cellStyle name="计算 2 2 2 3 6 6" xfId="41076"/>
    <cellStyle name="计算 2 2 2 3 7" xfId="13012"/>
    <cellStyle name="计算 2 2 2 3 7 2" xfId="17452"/>
    <cellStyle name="计算 2 2 2 3 7 2 2" xfId="29277"/>
    <cellStyle name="计算 2 2 2 3 7 2 3" xfId="41083"/>
    <cellStyle name="计算 2 2 2 3 7 3" xfId="29276"/>
    <cellStyle name="计算 2 2 2 3 7 4" xfId="41082"/>
    <cellStyle name="计算 2 2 2 3 8" xfId="13013"/>
    <cellStyle name="计算 2 2 2 3 8 2" xfId="17451"/>
    <cellStyle name="计算 2 2 2 3 8 2 2" xfId="29279"/>
    <cellStyle name="计算 2 2 2 3 8 2 3" xfId="41085"/>
    <cellStyle name="计算 2 2 2 3 8 3" xfId="29278"/>
    <cellStyle name="计算 2 2 2 3 8 4" xfId="41084"/>
    <cellStyle name="计算 2 2 2 3 9" xfId="29280"/>
    <cellStyle name="计算 2 2 2 3 9 2" xfId="41086"/>
    <cellStyle name="计算 2 2 2 4" xfId="9627"/>
    <cellStyle name="计算 2 2 2 4 10" xfId="29281"/>
    <cellStyle name="计算 2 2 2 4 11" xfId="41087"/>
    <cellStyle name="计算 2 2 2 4 2" xfId="9628"/>
    <cellStyle name="计算 2 2 2 4 2 2" xfId="13014"/>
    <cellStyle name="计算 2 2 2 4 2 2 2" xfId="13015"/>
    <cellStyle name="计算 2 2 2 4 2 2 2 2" xfId="17449"/>
    <cellStyle name="计算 2 2 2 4 2 2 2 2 2" xfId="29285"/>
    <cellStyle name="计算 2 2 2 4 2 2 2 2 3" xfId="41091"/>
    <cellStyle name="计算 2 2 2 4 2 2 2 3" xfId="29284"/>
    <cellStyle name="计算 2 2 2 4 2 2 2 4" xfId="41090"/>
    <cellStyle name="计算 2 2 2 4 2 2 3" xfId="13016"/>
    <cellStyle name="计算 2 2 2 4 2 2 3 2" xfId="21030"/>
    <cellStyle name="计算 2 2 2 4 2 2 3 2 2" xfId="29287"/>
    <cellStyle name="计算 2 2 2 4 2 2 3 2 3" xfId="41093"/>
    <cellStyle name="计算 2 2 2 4 2 2 3 3" xfId="29286"/>
    <cellStyle name="计算 2 2 2 4 2 2 3 4" xfId="41092"/>
    <cellStyle name="计算 2 2 2 4 2 2 4" xfId="17450"/>
    <cellStyle name="计算 2 2 2 4 2 2 4 2" xfId="29288"/>
    <cellStyle name="计算 2 2 2 4 2 2 4 3" xfId="41094"/>
    <cellStyle name="计算 2 2 2 4 2 2 5" xfId="29283"/>
    <cellStyle name="计算 2 2 2 4 2 2 6" xfId="41089"/>
    <cellStyle name="计算 2 2 2 4 2 3" xfId="13017"/>
    <cellStyle name="计算 2 2 2 4 2 3 2" xfId="17448"/>
    <cellStyle name="计算 2 2 2 4 2 3 2 2" xfId="29290"/>
    <cellStyle name="计算 2 2 2 4 2 3 2 3" xfId="41096"/>
    <cellStyle name="计算 2 2 2 4 2 3 3" xfId="29289"/>
    <cellStyle name="计算 2 2 2 4 2 3 4" xfId="41095"/>
    <cellStyle name="计算 2 2 2 4 2 4" xfId="13018"/>
    <cellStyle name="计算 2 2 2 4 2 4 2" xfId="17447"/>
    <cellStyle name="计算 2 2 2 4 2 4 2 2" xfId="29292"/>
    <cellStyle name="计算 2 2 2 4 2 4 2 3" xfId="41098"/>
    <cellStyle name="计算 2 2 2 4 2 4 3" xfId="29291"/>
    <cellStyle name="计算 2 2 2 4 2 4 4" xfId="41097"/>
    <cellStyle name="计算 2 2 2 4 2 5" xfId="29293"/>
    <cellStyle name="计算 2 2 2 4 2 5 2" xfId="41099"/>
    <cellStyle name="计算 2 2 2 4 2 6" xfId="29282"/>
    <cellStyle name="计算 2 2 2 4 2 7" xfId="41088"/>
    <cellStyle name="计算 2 2 2 4 3" xfId="9629"/>
    <cellStyle name="计算 2 2 2 4 3 2" xfId="13019"/>
    <cellStyle name="计算 2 2 2 4 3 2 2" xfId="13020"/>
    <cellStyle name="计算 2 2 2 4 3 2 2 2" xfId="17445"/>
    <cellStyle name="计算 2 2 2 4 3 2 2 2 2" xfId="29297"/>
    <cellStyle name="计算 2 2 2 4 3 2 2 2 3" xfId="41103"/>
    <cellStyle name="计算 2 2 2 4 3 2 2 3" xfId="29296"/>
    <cellStyle name="计算 2 2 2 4 3 2 2 4" xfId="41102"/>
    <cellStyle name="计算 2 2 2 4 3 2 3" xfId="13021"/>
    <cellStyle name="计算 2 2 2 4 3 2 3 2" xfId="21029"/>
    <cellStyle name="计算 2 2 2 4 3 2 3 2 2" xfId="29299"/>
    <cellStyle name="计算 2 2 2 4 3 2 3 2 3" xfId="41105"/>
    <cellStyle name="计算 2 2 2 4 3 2 3 3" xfId="29298"/>
    <cellStyle name="计算 2 2 2 4 3 2 3 4" xfId="41104"/>
    <cellStyle name="计算 2 2 2 4 3 2 4" xfId="17446"/>
    <cellStyle name="计算 2 2 2 4 3 2 4 2" xfId="29300"/>
    <cellStyle name="计算 2 2 2 4 3 2 4 3" xfId="41106"/>
    <cellStyle name="计算 2 2 2 4 3 2 5" xfId="29295"/>
    <cellStyle name="计算 2 2 2 4 3 2 6" xfId="41101"/>
    <cellStyle name="计算 2 2 2 4 3 3" xfId="13022"/>
    <cellStyle name="计算 2 2 2 4 3 3 2" xfId="17444"/>
    <cellStyle name="计算 2 2 2 4 3 3 2 2" xfId="29302"/>
    <cellStyle name="计算 2 2 2 4 3 3 2 3" xfId="41108"/>
    <cellStyle name="计算 2 2 2 4 3 3 3" xfId="29301"/>
    <cellStyle name="计算 2 2 2 4 3 3 4" xfId="41107"/>
    <cellStyle name="计算 2 2 2 4 3 4" xfId="13023"/>
    <cellStyle name="计算 2 2 2 4 3 4 2" xfId="17443"/>
    <cellStyle name="计算 2 2 2 4 3 4 2 2" xfId="29304"/>
    <cellStyle name="计算 2 2 2 4 3 4 2 3" xfId="41110"/>
    <cellStyle name="计算 2 2 2 4 3 4 3" xfId="29303"/>
    <cellStyle name="计算 2 2 2 4 3 4 4" xfId="41109"/>
    <cellStyle name="计算 2 2 2 4 3 5" xfId="29305"/>
    <cellStyle name="计算 2 2 2 4 3 5 2" xfId="41111"/>
    <cellStyle name="计算 2 2 2 4 3 6" xfId="29294"/>
    <cellStyle name="计算 2 2 2 4 3 7" xfId="41100"/>
    <cellStyle name="计算 2 2 2 4 4" xfId="9630"/>
    <cellStyle name="计算 2 2 2 4 4 2" xfId="13024"/>
    <cellStyle name="计算 2 2 2 4 4 2 2" xfId="13025"/>
    <cellStyle name="计算 2 2 2 4 4 2 2 2" xfId="17441"/>
    <cellStyle name="计算 2 2 2 4 4 2 2 2 2" xfId="29309"/>
    <cellStyle name="计算 2 2 2 4 4 2 2 2 3" xfId="41115"/>
    <cellStyle name="计算 2 2 2 4 4 2 2 3" xfId="29308"/>
    <cellStyle name="计算 2 2 2 4 4 2 2 4" xfId="41114"/>
    <cellStyle name="计算 2 2 2 4 4 2 3" xfId="13026"/>
    <cellStyle name="计算 2 2 2 4 4 2 3 2" xfId="18627"/>
    <cellStyle name="计算 2 2 2 4 4 2 3 2 2" xfId="29311"/>
    <cellStyle name="计算 2 2 2 4 4 2 3 2 3" xfId="41117"/>
    <cellStyle name="计算 2 2 2 4 4 2 3 3" xfId="29310"/>
    <cellStyle name="计算 2 2 2 4 4 2 3 4" xfId="41116"/>
    <cellStyle name="计算 2 2 2 4 4 2 4" xfId="17442"/>
    <cellStyle name="计算 2 2 2 4 4 2 4 2" xfId="29312"/>
    <cellStyle name="计算 2 2 2 4 4 2 4 3" xfId="41118"/>
    <cellStyle name="计算 2 2 2 4 4 2 5" xfId="29307"/>
    <cellStyle name="计算 2 2 2 4 4 2 6" xfId="41113"/>
    <cellStyle name="计算 2 2 2 4 4 3" xfId="13027"/>
    <cellStyle name="计算 2 2 2 4 4 3 2" xfId="17440"/>
    <cellStyle name="计算 2 2 2 4 4 3 2 2" xfId="29314"/>
    <cellStyle name="计算 2 2 2 4 4 3 2 3" xfId="41120"/>
    <cellStyle name="计算 2 2 2 4 4 3 3" xfId="29313"/>
    <cellStyle name="计算 2 2 2 4 4 3 4" xfId="41119"/>
    <cellStyle name="计算 2 2 2 4 4 4" xfId="13028"/>
    <cellStyle name="计算 2 2 2 4 4 4 2" xfId="17439"/>
    <cellStyle name="计算 2 2 2 4 4 4 2 2" xfId="29316"/>
    <cellStyle name="计算 2 2 2 4 4 4 2 3" xfId="41122"/>
    <cellStyle name="计算 2 2 2 4 4 4 3" xfId="29315"/>
    <cellStyle name="计算 2 2 2 4 4 4 4" xfId="41121"/>
    <cellStyle name="计算 2 2 2 4 4 5" xfId="29317"/>
    <cellStyle name="计算 2 2 2 4 4 5 2" xfId="41123"/>
    <cellStyle name="计算 2 2 2 4 4 6" xfId="29306"/>
    <cellStyle name="计算 2 2 2 4 4 7" xfId="41112"/>
    <cellStyle name="计算 2 2 2 4 5" xfId="9631"/>
    <cellStyle name="计算 2 2 2 4 5 2" xfId="13029"/>
    <cellStyle name="计算 2 2 2 4 5 2 2" xfId="13030"/>
    <cellStyle name="计算 2 2 2 4 5 2 2 2" xfId="17437"/>
    <cellStyle name="计算 2 2 2 4 5 2 2 2 2" xfId="29321"/>
    <cellStyle name="计算 2 2 2 4 5 2 2 2 3" xfId="41127"/>
    <cellStyle name="计算 2 2 2 4 5 2 2 3" xfId="29320"/>
    <cellStyle name="计算 2 2 2 4 5 2 2 4" xfId="41126"/>
    <cellStyle name="计算 2 2 2 4 5 2 3" xfId="13031"/>
    <cellStyle name="计算 2 2 2 4 5 2 3 2" xfId="17436"/>
    <cellStyle name="计算 2 2 2 4 5 2 3 2 2" xfId="29323"/>
    <cellStyle name="计算 2 2 2 4 5 2 3 2 3" xfId="41129"/>
    <cellStyle name="计算 2 2 2 4 5 2 3 3" xfId="29322"/>
    <cellStyle name="计算 2 2 2 4 5 2 3 4" xfId="41128"/>
    <cellStyle name="计算 2 2 2 4 5 2 4" xfId="17438"/>
    <cellStyle name="计算 2 2 2 4 5 2 4 2" xfId="29324"/>
    <cellStyle name="计算 2 2 2 4 5 2 4 3" xfId="41130"/>
    <cellStyle name="计算 2 2 2 4 5 2 5" xfId="29319"/>
    <cellStyle name="计算 2 2 2 4 5 2 6" xfId="41125"/>
    <cellStyle name="计算 2 2 2 4 5 3" xfId="13032"/>
    <cellStyle name="计算 2 2 2 4 5 3 2" xfId="17435"/>
    <cellStyle name="计算 2 2 2 4 5 3 2 2" xfId="29326"/>
    <cellStyle name="计算 2 2 2 4 5 3 2 3" xfId="41132"/>
    <cellStyle name="计算 2 2 2 4 5 3 3" xfId="29325"/>
    <cellStyle name="计算 2 2 2 4 5 3 4" xfId="41131"/>
    <cellStyle name="计算 2 2 2 4 5 4" xfId="13033"/>
    <cellStyle name="计算 2 2 2 4 5 4 2" xfId="17434"/>
    <cellStyle name="计算 2 2 2 4 5 4 2 2" xfId="29328"/>
    <cellStyle name="计算 2 2 2 4 5 4 2 3" xfId="41134"/>
    <cellStyle name="计算 2 2 2 4 5 4 3" xfId="29327"/>
    <cellStyle name="计算 2 2 2 4 5 4 4" xfId="41133"/>
    <cellStyle name="计算 2 2 2 4 5 5" xfId="29329"/>
    <cellStyle name="计算 2 2 2 4 5 5 2" xfId="41135"/>
    <cellStyle name="计算 2 2 2 4 5 6" xfId="29318"/>
    <cellStyle name="计算 2 2 2 4 5 7" xfId="41124"/>
    <cellStyle name="计算 2 2 2 4 6" xfId="13034"/>
    <cellStyle name="计算 2 2 2 4 6 2" xfId="13035"/>
    <cellStyle name="计算 2 2 2 4 6 2 2" xfId="21028"/>
    <cellStyle name="计算 2 2 2 4 6 2 2 2" xfId="29332"/>
    <cellStyle name="计算 2 2 2 4 6 2 2 3" xfId="41138"/>
    <cellStyle name="计算 2 2 2 4 6 2 3" xfId="29331"/>
    <cellStyle name="计算 2 2 2 4 6 2 4" xfId="41137"/>
    <cellStyle name="计算 2 2 2 4 6 3" xfId="13036"/>
    <cellStyle name="计算 2 2 2 4 6 3 2" xfId="21027"/>
    <cellStyle name="计算 2 2 2 4 6 3 2 2" xfId="29334"/>
    <cellStyle name="计算 2 2 2 4 6 3 2 3" xfId="41140"/>
    <cellStyle name="计算 2 2 2 4 6 3 3" xfId="29333"/>
    <cellStyle name="计算 2 2 2 4 6 3 4" xfId="41139"/>
    <cellStyle name="计算 2 2 2 4 6 4" xfId="17433"/>
    <cellStyle name="计算 2 2 2 4 6 4 2" xfId="29335"/>
    <cellStyle name="计算 2 2 2 4 6 4 3" xfId="41141"/>
    <cellStyle name="计算 2 2 2 4 6 5" xfId="29330"/>
    <cellStyle name="计算 2 2 2 4 6 6" xfId="41136"/>
    <cellStyle name="计算 2 2 2 4 7" xfId="13037"/>
    <cellStyle name="计算 2 2 2 4 7 2" xfId="17432"/>
    <cellStyle name="计算 2 2 2 4 7 2 2" xfId="29337"/>
    <cellStyle name="计算 2 2 2 4 7 2 3" xfId="41143"/>
    <cellStyle name="计算 2 2 2 4 7 3" xfId="29336"/>
    <cellStyle name="计算 2 2 2 4 7 4" xfId="41142"/>
    <cellStyle name="计算 2 2 2 4 8" xfId="13038"/>
    <cellStyle name="计算 2 2 2 4 8 2" xfId="17431"/>
    <cellStyle name="计算 2 2 2 4 8 2 2" xfId="29339"/>
    <cellStyle name="计算 2 2 2 4 8 2 3" xfId="41145"/>
    <cellStyle name="计算 2 2 2 4 8 3" xfId="29338"/>
    <cellStyle name="计算 2 2 2 4 8 4" xfId="41144"/>
    <cellStyle name="计算 2 2 2 4 9" xfId="29340"/>
    <cellStyle name="计算 2 2 2 4 9 2" xfId="41146"/>
    <cellStyle name="计算 2 2 2 5" xfId="9632"/>
    <cellStyle name="计算 2 2 2 5 10" xfId="29341"/>
    <cellStyle name="计算 2 2 2 5 11" xfId="41147"/>
    <cellStyle name="计算 2 2 2 5 2" xfId="9633"/>
    <cellStyle name="计算 2 2 2 5 2 2" xfId="13039"/>
    <cellStyle name="计算 2 2 2 5 2 2 2" xfId="13040"/>
    <cellStyle name="计算 2 2 2 5 2 2 2 2" xfId="17429"/>
    <cellStyle name="计算 2 2 2 5 2 2 2 2 2" xfId="29345"/>
    <cellStyle name="计算 2 2 2 5 2 2 2 2 3" xfId="41151"/>
    <cellStyle name="计算 2 2 2 5 2 2 2 3" xfId="29344"/>
    <cellStyle name="计算 2 2 2 5 2 2 2 4" xfId="41150"/>
    <cellStyle name="计算 2 2 2 5 2 2 3" xfId="13041"/>
    <cellStyle name="计算 2 2 2 5 2 2 3 2" xfId="21026"/>
    <cellStyle name="计算 2 2 2 5 2 2 3 2 2" xfId="29347"/>
    <cellStyle name="计算 2 2 2 5 2 2 3 2 3" xfId="41153"/>
    <cellStyle name="计算 2 2 2 5 2 2 3 3" xfId="29346"/>
    <cellStyle name="计算 2 2 2 5 2 2 3 4" xfId="41152"/>
    <cellStyle name="计算 2 2 2 5 2 2 4" xfId="17430"/>
    <cellStyle name="计算 2 2 2 5 2 2 4 2" xfId="29348"/>
    <cellStyle name="计算 2 2 2 5 2 2 4 3" xfId="41154"/>
    <cellStyle name="计算 2 2 2 5 2 2 5" xfId="29343"/>
    <cellStyle name="计算 2 2 2 5 2 2 6" xfId="41149"/>
    <cellStyle name="计算 2 2 2 5 2 3" xfId="13042"/>
    <cellStyle name="计算 2 2 2 5 2 3 2" xfId="17428"/>
    <cellStyle name="计算 2 2 2 5 2 3 2 2" xfId="29350"/>
    <cellStyle name="计算 2 2 2 5 2 3 2 3" xfId="41156"/>
    <cellStyle name="计算 2 2 2 5 2 3 3" xfId="29349"/>
    <cellStyle name="计算 2 2 2 5 2 3 4" xfId="41155"/>
    <cellStyle name="计算 2 2 2 5 2 4" xfId="13043"/>
    <cellStyle name="计算 2 2 2 5 2 4 2" xfId="17427"/>
    <cellStyle name="计算 2 2 2 5 2 4 2 2" xfId="29352"/>
    <cellStyle name="计算 2 2 2 5 2 4 2 3" xfId="41158"/>
    <cellStyle name="计算 2 2 2 5 2 4 3" xfId="29351"/>
    <cellStyle name="计算 2 2 2 5 2 4 4" xfId="41157"/>
    <cellStyle name="计算 2 2 2 5 2 5" xfId="29353"/>
    <cellStyle name="计算 2 2 2 5 2 5 2" xfId="41159"/>
    <cellStyle name="计算 2 2 2 5 2 6" xfId="29342"/>
    <cellStyle name="计算 2 2 2 5 2 7" xfId="41148"/>
    <cellStyle name="计算 2 2 2 5 3" xfId="9634"/>
    <cellStyle name="计算 2 2 2 5 3 2" xfId="13044"/>
    <cellStyle name="计算 2 2 2 5 3 2 2" xfId="13045"/>
    <cellStyle name="计算 2 2 2 5 3 2 2 2" xfId="17425"/>
    <cellStyle name="计算 2 2 2 5 3 2 2 2 2" xfId="29357"/>
    <cellStyle name="计算 2 2 2 5 3 2 2 2 3" xfId="41163"/>
    <cellStyle name="计算 2 2 2 5 3 2 2 3" xfId="29356"/>
    <cellStyle name="计算 2 2 2 5 3 2 2 4" xfId="41162"/>
    <cellStyle name="计算 2 2 2 5 3 2 3" xfId="13046"/>
    <cellStyle name="计算 2 2 2 5 3 2 3 2" xfId="21025"/>
    <cellStyle name="计算 2 2 2 5 3 2 3 2 2" xfId="29359"/>
    <cellStyle name="计算 2 2 2 5 3 2 3 2 3" xfId="41165"/>
    <cellStyle name="计算 2 2 2 5 3 2 3 3" xfId="29358"/>
    <cellStyle name="计算 2 2 2 5 3 2 3 4" xfId="41164"/>
    <cellStyle name="计算 2 2 2 5 3 2 4" xfId="17426"/>
    <cellStyle name="计算 2 2 2 5 3 2 4 2" xfId="29360"/>
    <cellStyle name="计算 2 2 2 5 3 2 4 3" xfId="41166"/>
    <cellStyle name="计算 2 2 2 5 3 2 5" xfId="29355"/>
    <cellStyle name="计算 2 2 2 5 3 2 6" xfId="41161"/>
    <cellStyle name="计算 2 2 2 5 3 3" xfId="13047"/>
    <cellStyle name="计算 2 2 2 5 3 3 2" xfId="17424"/>
    <cellStyle name="计算 2 2 2 5 3 3 2 2" xfId="29362"/>
    <cellStyle name="计算 2 2 2 5 3 3 2 3" xfId="41168"/>
    <cellStyle name="计算 2 2 2 5 3 3 3" xfId="29361"/>
    <cellStyle name="计算 2 2 2 5 3 3 4" xfId="41167"/>
    <cellStyle name="计算 2 2 2 5 3 4" xfId="13048"/>
    <cellStyle name="计算 2 2 2 5 3 4 2" xfId="17423"/>
    <cellStyle name="计算 2 2 2 5 3 4 2 2" xfId="29364"/>
    <cellStyle name="计算 2 2 2 5 3 4 2 3" xfId="41170"/>
    <cellStyle name="计算 2 2 2 5 3 4 3" xfId="29363"/>
    <cellStyle name="计算 2 2 2 5 3 4 4" xfId="41169"/>
    <cellStyle name="计算 2 2 2 5 3 5" xfId="29365"/>
    <cellStyle name="计算 2 2 2 5 3 5 2" xfId="41171"/>
    <cellStyle name="计算 2 2 2 5 3 6" xfId="29354"/>
    <cellStyle name="计算 2 2 2 5 3 7" xfId="41160"/>
    <cellStyle name="计算 2 2 2 5 4" xfId="9635"/>
    <cellStyle name="计算 2 2 2 5 4 2" xfId="13049"/>
    <cellStyle name="计算 2 2 2 5 4 2 2" xfId="13050"/>
    <cellStyle name="计算 2 2 2 5 4 2 2 2" xfId="17421"/>
    <cellStyle name="计算 2 2 2 5 4 2 2 2 2" xfId="29369"/>
    <cellStyle name="计算 2 2 2 5 4 2 2 2 3" xfId="41175"/>
    <cellStyle name="计算 2 2 2 5 4 2 2 3" xfId="29368"/>
    <cellStyle name="计算 2 2 2 5 4 2 2 4" xfId="41174"/>
    <cellStyle name="计算 2 2 2 5 4 2 3" xfId="13051"/>
    <cellStyle name="计算 2 2 2 5 4 2 3 2" xfId="21024"/>
    <cellStyle name="计算 2 2 2 5 4 2 3 2 2" xfId="29371"/>
    <cellStyle name="计算 2 2 2 5 4 2 3 2 3" xfId="41177"/>
    <cellStyle name="计算 2 2 2 5 4 2 3 3" xfId="29370"/>
    <cellStyle name="计算 2 2 2 5 4 2 3 4" xfId="41176"/>
    <cellStyle name="计算 2 2 2 5 4 2 4" xfId="17422"/>
    <cellStyle name="计算 2 2 2 5 4 2 4 2" xfId="29372"/>
    <cellStyle name="计算 2 2 2 5 4 2 4 3" xfId="41178"/>
    <cellStyle name="计算 2 2 2 5 4 2 5" xfId="29367"/>
    <cellStyle name="计算 2 2 2 5 4 2 6" xfId="41173"/>
    <cellStyle name="计算 2 2 2 5 4 3" xfId="13052"/>
    <cellStyle name="计算 2 2 2 5 4 3 2" xfId="17420"/>
    <cellStyle name="计算 2 2 2 5 4 3 2 2" xfId="29374"/>
    <cellStyle name="计算 2 2 2 5 4 3 2 3" xfId="41180"/>
    <cellStyle name="计算 2 2 2 5 4 3 3" xfId="29373"/>
    <cellStyle name="计算 2 2 2 5 4 3 4" xfId="41179"/>
    <cellStyle name="计算 2 2 2 5 4 4" xfId="13053"/>
    <cellStyle name="计算 2 2 2 5 4 4 2" xfId="17419"/>
    <cellStyle name="计算 2 2 2 5 4 4 2 2" xfId="29376"/>
    <cellStyle name="计算 2 2 2 5 4 4 2 3" xfId="41182"/>
    <cellStyle name="计算 2 2 2 5 4 4 3" xfId="29375"/>
    <cellStyle name="计算 2 2 2 5 4 4 4" xfId="41181"/>
    <cellStyle name="计算 2 2 2 5 4 5" xfId="29377"/>
    <cellStyle name="计算 2 2 2 5 4 5 2" xfId="41183"/>
    <cellStyle name="计算 2 2 2 5 4 6" xfId="29366"/>
    <cellStyle name="计算 2 2 2 5 4 7" xfId="41172"/>
    <cellStyle name="计算 2 2 2 5 5" xfId="9636"/>
    <cellStyle name="计算 2 2 2 5 5 2" xfId="13054"/>
    <cellStyle name="计算 2 2 2 5 5 2 2" xfId="13055"/>
    <cellStyle name="计算 2 2 2 5 5 2 2 2" xfId="17417"/>
    <cellStyle name="计算 2 2 2 5 5 2 2 2 2" xfId="29381"/>
    <cellStyle name="计算 2 2 2 5 5 2 2 2 3" xfId="41187"/>
    <cellStyle name="计算 2 2 2 5 5 2 2 3" xfId="29380"/>
    <cellStyle name="计算 2 2 2 5 5 2 2 4" xfId="41186"/>
    <cellStyle name="计算 2 2 2 5 5 2 3" xfId="13056"/>
    <cellStyle name="计算 2 2 2 5 5 2 3 2" xfId="17416"/>
    <cellStyle name="计算 2 2 2 5 5 2 3 2 2" xfId="29383"/>
    <cellStyle name="计算 2 2 2 5 5 2 3 2 3" xfId="41189"/>
    <cellStyle name="计算 2 2 2 5 5 2 3 3" xfId="29382"/>
    <cellStyle name="计算 2 2 2 5 5 2 3 4" xfId="41188"/>
    <cellStyle name="计算 2 2 2 5 5 2 4" xfId="17418"/>
    <cellStyle name="计算 2 2 2 5 5 2 4 2" xfId="29384"/>
    <cellStyle name="计算 2 2 2 5 5 2 4 3" xfId="41190"/>
    <cellStyle name="计算 2 2 2 5 5 2 5" xfId="29379"/>
    <cellStyle name="计算 2 2 2 5 5 2 6" xfId="41185"/>
    <cellStyle name="计算 2 2 2 5 5 3" xfId="13057"/>
    <cellStyle name="计算 2 2 2 5 5 3 2" xfId="17415"/>
    <cellStyle name="计算 2 2 2 5 5 3 2 2" xfId="29386"/>
    <cellStyle name="计算 2 2 2 5 5 3 2 3" xfId="41192"/>
    <cellStyle name="计算 2 2 2 5 5 3 3" xfId="29385"/>
    <cellStyle name="计算 2 2 2 5 5 3 4" xfId="41191"/>
    <cellStyle name="计算 2 2 2 5 5 4" xfId="13058"/>
    <cellStyle name="计算 2 2 2 5 5 4 2" xfId="17414"/>
    <cellStyle name="计算 2 2 2 5 5 4 2 2" xfId="29388"/>
    <cellStyle name="计算 2 2 2 5 5 4 2 3" xfId="41194"/>
    <cellStyle name="计算 2 2 2 5 5 4 3" xfId="29387"/>
    <cellStyle name="计算 2 2 2 5 5 4 4" xfId="41193"/>
    <cellStyle name="计算 2 2 2 5 5 5" xfId="29389"/>
    <cellStyle name="计算 2 2 2 5 5 5 2" xfId="41195"/>
    <cellStyle name="计算 2 2 2 5 5 6" xfId="29378"/>
    <cellStyle name="计算 2 2 2 5 5 7" xfId="41184"/>
    <cellStyle name="计算 2 2 2 5 6" xfId="13059"/>
    <cellStyle name="计算 2 2 2 5 6 2" xfId="13060"/>
    <cellStyle name="计算 2 2 2 5 6 2 2" xfId="18626"/>
    <cellStyle name="计算 2 2 2 5 6 2 2 2" xfId="29392"/>
    <cellStyle name="计算 2 2 2 5 6 2 2 3" xfId="41198"/>
    <cellStyle name="计算 2 2 2 5 6 2 3" xfId="29391"/>
    <cellStyle name="计算 2 2 2 5 6 2 4" xfId="41197"/>
    <cellStyle name="计算 2 2 2 5 6 3" xfId="13061"/>
    <cellStyle name="计算 2 2 2 5 6 3 2" xfId="21023"/>
    <cellStyle name="计算 2 2 2 5 6 3 2 2" xfId="29394"/>
    <cellStyle name="计算 2 2 2 5 6 3 2 3" xfId="41200"/>
    <cellStyle name="计算 2 2 2 5 6 3 3" xfId="29393"/>
    <cellStyle name="计算 2 2 2 5 6 3 4" xfId="41199"/>
    <cellStyle name="计算 2 2 2 5 6 4" xfId="17413"/>
    <cellStyle name="计算 2 2 2 5 6 4 2" xfId="29395"/>
    <cellStyle name="计算 2 2 2 5 6 4 3" xfId="41201"/>
    <cellStyle name="计算 2 2 2 5 6 5" xfId="29390"/>
    <cellStyle name="计算 2 2 2 5 6 6" xfId="41196"/>
    <cellStyle name="计算 2 2 2 5 7" xfId="13062"/>
    <cellStyle name="计算 2 2 2 5 7 2" xfId="17412"/>
    <cellStyle name="计算 2 2 2 5 7 2 2" xfId="29397"/>
    <cellStyle name="计算 2 2 2 5 7 2 3" xfId="41203"/>
    <cellStyle name="计算 2 2 2 5 7 3" xfId="29396"/>
    <cellStyle name="计算 2 2 2 5 7 4" xfId="41202"/>
    <cellStyle name="计算 2 2 2 5 8" xfId="13063"/>
    <cellStyle name="计算 2 2 2 5 8 2" xfId="17411"/>
    <cellStyle name="计算 2 2 2 5 8 2 2" xfId="29399"/>
    <cellStyle name="计算 2 2 2 5 8 2 3" xfId="41205"/>
    <cellStyle name="计算 2 2 2 5 8 3" xfId="29398"/>
    <cellStyle name="计算 2 2 2 5 8 4" xfId="41204"/>
    <cellStyle name="计算 2 2 2 5 9" xfId="29400"/>
    <cellStyle name="计算 2 2 2 5 9 2" xfId="41206"/>
    <cellStyle name="计算 2 2 2 6" xfId="9637"/>
    <cellStyle name="计算 2 2 2 6 10" xfId="29401"/>
    <cellStyle name="计算 2 2 2 6 11" xfId="41207"/>
    <cellStyle name="计算 2 2 2 6 2" xfId="9638"/>
    <cellStyle name="计算 2 2 2 6 2 2" xfId="13064"/>
    <cellStyle name="计算 2 2 2 6 2 2 2" xfId="13065"/>
    <cellStyle name="计算 2 2 2 6 2 2 2 2" xfId="17409"/>
    <cellStyle name="计算 2 2 2 6 2 2 2 2 2" xfId="29405"/>
    <cellStyle name="计算 2 2 2 6 2 2 2 2 3" xfId="41211"/>
    <cellStyle name="计算 2 2 2 6 2 2 2 3" xfId="29404"/>
    <cellStyle name="计算 2 2 2 6 2 2 2 4" xfId="41210"/>
    <cellStyle name="计算 2 2 2 6 2 2 3" xfId="13066"/>
    <cellStyle name="计算 2 2 2 6 2 2 3 2" xfId="21022"/>
    <cellStyle name="计算 2 2 2 6 2 2 3 2 2" xfId="29407"/>
    <cellStyle name="计算 2 2 2 6 2 2 3 2 3" xfId="41213"/>
    <cellStyle name="计算 2 2 2 6 2 2 3 3" xfId="29406"/>
    <cellStyle name="计算 2 2 2 6 2 2 3 4" xfId="41212"/>
    <cellStyle name="计算 2 2 2 6 2 2 4" xfId="17410"/>
    <cellStyle name="计算 2 2 2 6 2 2 4 2" xfId="29408"/>
    <cellStyle name="计算 2 2 2 6 2 2 4 3" xfId="41214"/>
    <cellStyle name="计算 2 2 2 6 2 2 5" xfId="29403"/>
    <cellStyle name="计算 2 2 2 6 2 2 6" xfId="41209"/>
    <cellStyle name="计算 2 2 2 6 2 3" xfId="13067"/>
    <cellStyle name="计算 2 2 2 6 2 3 2" xfId="17408"/>
    <cellStyle name="计算 2 2 2 6 2 3 2 2" xfId="29410"/>
    <cellStyle name="计算 2 2 2 6 2 3 2 3" xfId="41216"/>
    <cellStyle name="计算 2 2 2 6 2 3 3" xfId="29409"/>
    <cellStyle name="计算 2 2 2 6 2 3 4" xfId="41215"/>
    <cellStyle name="计算 2 2 2 6 2 4" xfId="13068"/>
    <cellStyle name="计算 2 2 2 6 2 4 2" xfId="17407"/>
    <cellStyle name="计算 2 2 2 6 2 4 2 2" xfId="29412"/>
    <cellStyle name="计算 2 2 2 6 2 4 2 3" xfId="41218"/>
    <cellStyle name="计算 2 2 2 6 2 4 3" xfId="29411"/>
    <cellStyle name="计算 2 2 2 6 2 4 4" xfId="41217"/>
    <cellStyle name="计算 2 2 2 6 2 5" xfId="29413"/>
    <cellStyle name="计算 2 2 2 6 2 5 2" xfId="41219"/>
    <cellStyle name="计算 2 2 2 6 2 6" xfId="29402"/>
    <cellStyle name="计算 2 2 2 6 2 7" xfId="41208"/>
    <cellStyle name="计算 2 2 2 6 3" xfId="9639"/>
    <cellStyle name="计算 2 2 2 6 3 2" xfId="13069"/>
    <cellStyle name="计算 2 2 2 6 3 2 2" xfId="13070"/>
    <cellStyle name="计算 2 2 2 6 3 2 2 2" xfId="17405"/>
    <cellStyle name="计算 2 2 2 6 3 2 2 2 2" xfId="29417"/>
    <cellStyle name="计算 2 2 2 6 3 2 2 2 3" xfId="41223"/>
    <cellStyle name="计算 2 2 2 6 3 2 2 3" xfId="29416"/>
    <cellStyle name="计算 2 2 2 6 3 2 2 4" xfId="41222"/>
    <cellStyle name="计算 2 2 2 6 3 2 3" xfId="13071"/>
    <cellStyle name="计算 2 2 2 6 3 2 3 2" xfId="21021"/>
    <cellStyle name="计算 2 2 2 6 3 2 3 2 2" xfId="29419"/>
    <cellStyle name="计算 2 2 2 6 3 2 3 2 3" xfId="41225"/>
    <cellStyle name="计算 2 2 2 6 3 2 3 3" xfId="29418"/>
    <cellStyle name="计算 2 2 2 6 3 2 3 4" xfId="41224"/>
    <cellStyle name="计算 2 2 2 6 3 2 4" xfId="17406"/>
    <cellStyle name="计算 2 2 2 6 3 2 4 2" xfId="29420"/>
    <cellStyle name="计算 2 2 2 6 3 2 4 3" xfId="41226"/>
    <cellStyle name="计算 2 2 2 6 3 2 5" xfId="29415"/>
    <cellStyle name="计算 2 2 2 6 3 2 6" xfId="41221"/>
    <cellStyle name="计算 2 2 2 6 3 3" xfId="13072"/>
    <cellStyle name="计算 2 2 2 6 3 3 2" xfId="17404"/>
    <cellStyle name="计算 2 2 2 6 3 3 2 2" xfId="29422"/>
    <cellStyle name="计算 2 2 2 6 3 3 2 3" xfId="41228"/>
    <cellStyle name="计算 2 2 2 6 3 3 3" xfId="29421"/>
    <cellStyle name="计算 2 2 2 6 3 3 4" xfId="41227"/>
    <cellStyle name="计算 2 2 2 6 3 4" xfId="13073"/>
    <cellStyle name="计算 2 2 2 6 3 4 2" xfId="17403"/>
    <cellStyle name="计算 2 2 2 6 3 4 2 2" xfId="29424"/>
    <cellStyle name="计算 2 2 2 6 3 4 2 3" xfId="41230"/>
    <cellStyle name="计算 2 2 2 6 3 4 3" xfId="29423"/>
    <cellStyle name="计算 2 2 2 6 3 4 4" xfId="41229"/>
    <cellStyle name="计算 2 2 2 6 3 5" xfId="29425"/>
    <cellStyle name="计算 2 2 2 6 3 5 2" xfId="41231"/>
    <cellStyle name="计算 2 2 2 6 3 6" xfId="29414"/>
    <cellStyle name="计算 2 2 2 6 3 7" xfId="41220"/>
    <cellStyle name="计算 2 2 2 6 4" xfId="9640"/>
    <cellStyle name="计算 2 2 2 6 4 2" xfId="13074"/>
    <cellStyle name="计算 2 2 2 6 4 2 2" xfId="13075"/>
    <cellStyle name="计算 2 2 2 6 4 2 2 2" xfId="17401"/>
    <cellStyle name="计算 2 2 2 6 4 2 2 2 2" xfId="29429"/>
    <cellStyle name="计算 2 2 2 6 4 2 2 2 3" xfId="41235"/>
    <cellStyle name="计算 2 2 2 6 4 2 2 3" xfId="29428"/>
    <cellStyle name="计算 2 2 2 6 4 2 2 4" xfId="41234"/>
    <cellStyle name="计算 2 2 2 6 4 2 3" xfId="13076"/>
    <cellStyle name="计算 2 2 2 6 4 2 3 2" xfId="21020"/>
    <cellStyle name="计算 2 2 2 6 4 2 3 2 2" xfId="29431"/>
    <cellStyle name="计算 2 2 2 6 4 2 3 2 3" xfId="41237"/>
    <cellStyle name="计算 2 2 2 6 4 2 3 3" xfId="29430"/>
    <cellStyle name="计算 2 2 2 6 4 2 3 4" xfId="41236"/>
    <cellStyle name="计算 2 2 2 6 4 2 4" xfId="17402"/>
    <cellStyle name="计算 2 2 2 6 4 2 4 2" xfId="29432"/>
    <cellStyle name="计算 2 2 2 6 4 2 4 3" xfId="41238"/>
    <cellStyle name="计算 2 2 2 6 4 2 5" xfId="29427"/>
    <cellStyle name="计算 2 2 2 6 4 2 6" xfId="41233"/>
    <cellStyle name="计算 2 2 2 6 4 3" xfId="13077"/>
    <cellStyle name="计算 2 2 2 6 4 3 2" xfId="17400"/>
    <cellStyle name="计算 2 2 2 6 4 3 2 2" xfId="29434"/>
    <cellStyle name="计算 2 2 2 6 4 3 2 3" xfId="41240"/>
    <cellStyle name="计算 2 2 2 6 4 3 3" xfId="29433"/>
    <cellStyle name="计算 2 2 2 6 4 3 4" xfId="41239"/>
    <cellStyle name="计算 2 2 2 6 4 4" xfId="13078"/>
    <cellStyle name="计算 2 2 2 6 4 4 2" xfId="17399"/>
    <cellStyle name="计算 2 2 2 6 4 4 2 2" xfId="29436"/>
    <cellStyle name="计算 2 2 2 6 4 4 2 3" xfId="41242"/>
    <cellStyle name="计算 2 2 2 6 4 4 3" xfId="29435"/>
    <cellStyle name="计算 2 2 2 6 4 4 4" xfId="41241"/>
    <cellStyle name="计算 2 2 2 6 4 5" xfId="29437"/>
    <cellStyle name="计算 2 2 2 6 4 5 2" xfId="41243"/>
    <cellStyle name="计算 2 2 2 6 4 6" xfId="29426"/>
    <cellStyle name="计算 2 2 2 6 4 7" xfId="41232"/>
    <cellStyle name="计算 2 2 2 6 5" xfId="9641"/>
    <cellStyle name="计算 2 2 2 6 5 2" xfId="13079"/>
    <cellStyle name="计算 2 2 2 6 5 2 2" xfId="13080"/>
    <cellStyle name="计算 2 2 2 6 5 2 2 2" xfId="17397"/>
    <cellStyle name="计算 2 2 2 6 5 2 2 2 2" xfId="29441"/>
    <cellStyle name="计算 2 2 2 6 5 2 2 2 3" xfId="41247"/>
    <cellStyle name="计算 2 2 2 6 5 2 2 3" xfId="29440"/>
    <cellStyle name="计算 2 2 2 6 5 2 2 4" xfId="41246"/>
    <cellStyle name="计算 2 2 2 6 5 2 3" xfId="13081"/>
    <cellStyle name="计算 2 2 2 6 5 2 3 2" xfId="17396"/>
    <cellStyle name="计算 2 2 2 6 5 2 3 2 2" xfId="29443"/>
    <cellStyle name="计算 2 2 2 6 5 2 3 2 3" xfId="41249"/>
    <cellStyle name="计算 2 2 2 6 5 2 3 3" xfId="29442"/>
    <cellStyle name="计算 2 2 2 6 5 2 3 4" xfId="41248"/>
    <cellStyle name="计算 2 2 2 6 5 2 4" xfId="17398"/>
    <cellStyle name="计算 2 2 2 6 5 2 4 2" xfId="29444"/>
    <cellStyle name="计算 2 2 2 6 5 2 4 3" xfId="41250"/>
    <cellStyle name="计算 2 2 2 6 5 2 5" xfId="29439"/>
    <cellStyle name="计算 2 2 2 6 5 2 6" xfId="41245"/>
    <cellStyle name="计算 2 2 2 6 5 3" xfId="13082"/>
    <cellStyle name="计算 2 2 2 6 5 3 2" xfId="17395"/>
    <cellStyle name="计算 2 2 2 6 5 3 2 2" xfId="29446"/>
    <cellStyle name="计算 2 2 2 6 5 3 2 3" xfId="41252"/>
    <cellStyle name="计算 2 2 2 6 5 3 3" xfId="29445"/>
    <cellStyle name="计算 2 2 2 6 5 3 4" xfId="41251"/>
    <cellStyle name="计算 2 2 2 6 5 4" xfId="13083"/>
    <cellStyle name="计算 2 2 2 6 5 4 2" xfId="17394"/>
    <cellStyle name="计算 2 2 2 6 5 4 2 2" xfId="29448"/>
    <cellStyle name="计算 2 2 2 6 5 4 2 3" xfId="41254"/>
    <cellStyle name="计算 2 2 2 6 5 4 3" xfId="29447"/>
    <cellStyle name="计算 2 2 2 6 5 4 4" xfId="41253"/>
    <cellStyle name="计算 2 2 2 6 5 5" xfId="29449"/>
    <cellStyle name="计算 2 2 2 6 5 5 2" xfId="41255"/>
    <cellStyle name="计算 2 2 2 6 5 6" xfId="29438"/>
    <cellStyle name="计算 2 2 2 6 5 7" xfId="41244"/>
    <cellStyle name="计算 2 2 2 6 6" xfId="13084"/>
    <cellStyle name="计算 2 2 2 6 6 2" xfId="13085"/>
    <cellStyle name="计算 2 2 2 6 6 2 2" xfId="21019"/>
    <cellStyle name="计算 2 2 2 6 6 2 2 2" xfId="29452"/>
    <cellStyle name="计算 2 2 2 6 6 2 2 3" xfId="41258"/>
    <cellStyle name="计算 2 2 2 6 6 2 3" xfId="29451"/>
    <cellStyle name="计算 2 2 2 6 6 2 4" xfId="41257"/>
    <cellStyle name="计算 2 2 2 6 6 3" xfId="13086"/>
    <cellStyle name="计算 2 2 2 6 6 3 2" xfId="18625"/>
    <cellStyle name="计算 2 2 2 6 6 3 2 2" xfId="29454"/>
    <cellStyle name="计算 2 2 2 6 6 3 2 3" xfId="41260"/>
    <cellStyle name="计算 2 2 2 6 6 3 3" xfId="29453"/>
    <cellStyle name="计算 2 2 2 6 6 3 4" xfId="41259"/>
    <cellStyle name="计算 2 2 2 6 6 4" xfId="17393"/>
    <cellStyle name="计算 2 2 2 6 6 4 2" xfId="29455"/>
    <cellStyle name="计算 2 2 2 6 6 4 3" xfId="41261"/>
    <cellStyle name="计算 2 2 2 6 6 5" xfId="29450"/>
    <cellStyle name="计算 2 2 2 6 6 6" xfId="41256"/>
    <cellStyle name="计算 2 2 2 6 7" xfId="13087"/>
    <cellStyle name="计算 2 2 2 6 7 2" xfId="17392"/>
    <cellStyle name="计算 2 2 2 6 7 2 2" xfId="29457"/>
    <cellStyle name="计算 2 2 2 6 7 2 3" xfId="41263"/>
    <cellStyle name="计算 2 2 2 6 7 3" xfId="29456"/>
    <cellStyle name="计算 2 2 2 6 7 4" xfId="41262"/>
    <cellStyle name="计算 2 2 2 6 8" xfId="13088"/>
    <cellStyle name="计算 2 2 2 6 8 2" xfId="17391"/>
    <cellStyle name="计算 2 2 2 6 8 2 2" xfId="29459"/>
    <cellStyle name="计算 2 2 2 6 8 2 3" xfId="41265"/>
    <cellStyle name="计算 2 2 2 6 8 3" xfId="29458"/>
    <cellStyle name="计算 2 2 2 6 8 4" xfId="41264"/>
    <cellStyle name="计算 2 2 2 6 9" xfId="29460"/>
    <cellStyle name="计算 2 2 2 6 9 2" xfId="41266"/>
    <cellStyle name="计算 2 2 2 7" xfId="9642"/>
    <cellStyle name="计算 2 2 2 7 10" xfId="29461"/>
    <cellStyle name="计算 2 2 2 7 11" xfId="41267"/>
    <cellStyle name="计算 2 2 2 7 2" xfId="9643"/>
    <cellStyle name="计算 2 2 2 7 2 2" xfId="13089"/>
    <cellStyle name="计算 2 2 2 7 2 2 2" xfId="13090"/>
    <cellStyle name="计算 2 2 2 7 2 2 2 2" xfId="17389"/>
    <cellStyle name="计算 2 2 2 7 2 2 2 2 2" xfId="29465"/>
    <cellStyle name="计算 2 2 2 7 2 2 2 2 3" xfId="41271"/>
    <cellStyle name="计算 2 2 2 7 2 2 2 3" xfId="29464"/>
    <cellStyle name="计算 2 2 2 7 2 2 2 4" xfId="41270"/>
    <cellStyle name="计算 2 2 2 7 2 2 3" xfId="13091"/>
    <cellStyle name="计算 2 2 2 7 2 2 3 2" xfId="21018"/>
    <cellStyle name="计算 2 2 2 7 2 2 3 2 2" xfId="29467"/>
    <cellStyle name="计算 2 2 2 7 2 2 3 2 3" xfId="41273"/>
    <cellStyle name="计算 2 2 2 7 2 2 3 3" xfId="29466"/>
    <cellStyle name="计算 2 2 2 7 2 2 3 4" xfId="41272"/>
    <cellStyle name="计算 2 2 2 7 2 2 4" xfId="17390"/>
    <cellStyle name="计算 2 2 2 7 2 2 4 2" xfId="29468"/>
    <cellStyle name="计算 2 2 2 7 2 2 4 3" xfId="41274"/>
    <cellStyle name="计算 2 2 2 7 2 2 5" xfId="29463"/>
    <cellStyle name="计算 2 2 2 7 2 2 6" xfId="41269"/>
    <cellStyle name="计算 2 2 2 7 2 3" xfId="13092"/>
    <cellStyle name="计算 2 2 2 7 2 3 2" xfId="17388"/>
    <cellStyle name="计算 2 2 2 7 2 3 2 2" xfId="29470"/>
    <cellStyle name="计算 2 2 2 7 2 3 2 3" xfId="41276"/>
    <cellStyle name="计算 2 2 2 7 2 3 3" xfId="29469"/>
    <cellStyle name="计算 2 2 2 7 2 3 4" xfId="41275"/>
    <cellStyle name="计算 2 2 2 7 2 4" xfId="13093"/>
    <cellStyle name="计算 2 2 2 7 2 4 2" xfId="17387"/>
    <cellStyle name="计算 2 2 2 7 2 4 2 2" xfId="29472"/>
    <cellStyle name="计算 2 2 2 7 2 4 2 3" xfId="41278"/>
    <cellStyle name="计算 2 2 2 7 2 4 3" xfId="29471"/>
    <cellStyle name="计算 2 2 2 7 2 4 4" xfId="41277"/>
    <cellStyle name="计算 2 2 2 7 2 5" xfId="29473"/>
    <cellStyle name="计算 2 2 2 7 2 5 2" xfId="41279"/>
    <cellStyle name="计算 2 2 2 7 2 6" xfId="29462"/>
    <cellStyle name="计算 2 2 2 7 2 7" xfId="41268"/>
    <cellStyle name="计算 2 2 2 7 3" xfId="9644"/>
    <cellStyle name="计算 2 2 2 7 3 2" xfId="13094"/>
    <cellStyle name="计算 2 2 2 7 3 2 2" xfId="13095"/>
    <cellStyle name="计算 2 2 2 7 3 2 2 2" xfId="17385"/>
    <cellStyle name="计算 2 2 2 7 3 2 2 2 2" xfId="29477"/>
    <cellStyle name="计算 2 2 2 7 3 2 2 2 3" xfId="41283"/>
    <cellStyle name="计算 2 2 2 7 3 2 2 3" xfId="29476"/>
    <cellStyle name="计算 2 2 2 7 3 2 2 4" xfId="41282"/>
    <cellStyle name="计算 2 2 2 7 3 2 3" xfId="13096"/>
    <cellStyle name="计算 2 2 2 7 3 2 3 2" xfId="21017"/>
    <cellStyle name="计算 2 2 2 7 3 2 3 2 2" xfId="29479"/>
    <cellStyle name="计算 2 2 2 7 3 2 3 2 3" xfId="41285"/>
    <cellStyle name="计算 2 2 2 7 3 2 3 3" xfId="29478"/>
    <cellStyle name="计算 2 2 2 7 3 2 3 4" xfId="41284"/>
    <cellStyle name="计算 2 2 2 7 3 2 4" xfId="17386"/>
    <cellStyle name="计算 2 2 2 7 3 2 4 2" xfId="29480"/>
    <cellStyle name="计算 2 2 2 7 3 2 4 3" xfId="41286"/>
    <cellStyle name="计算 2 2 2 7 3 2 5" xfId="29475"/>
    <cellStyle name="计算 2 2 2 7 3 2 6" xfId="41281"/>
    <cellStyle name="计算 2 2 2 7 3 3" xfId="13097"/>
    <cellStyle name="计算 2 2 2 7 3 3 2" xfId="17384"/>
    <cellStyle name="计算 2 2 2 7 3 3 2 2" xfId="29482"/>
    <cellStyle name="计算 2 2 2 7 3 3 2 3" xfId="41288"/>
    <cellStyle name="计算 2 2 2 7 3 3 3" xfId="29481"/>
    <cellStyle name="计算 2 2 2 7 3 3 4" xfId="41287"/>
    <cellStyle name="计算 2 2 2 7 3 4" xfId="13098"/>
    <cellStyle name="计算 2 2 2 7 3 4 2" xfId="17383"/>
    <cellStyle name="计算 2 2 2 7 3 4 2 2" xfId="29484"/>
    <cellStyle name="计算 2 2 2 7 3 4 2 3" xfId="41290"/>
    <cellStyle name="计算 2 2 2 7 3 4 3" xfId="29483"/>
    <cellStyle name="计算 2 2 2 7 3 4 4" xfId="41289"/>
    <cellStyle name="计算 2 2 2 7 3 5" xfId="29485"/>
    <cellStyle name="计算 2 2 2 7 3 5 2" xfId="41291"/>
    <cellStyle name="计算 2 2 2 7 3 6" xfId="29474"/>
    <cellStyle name="计算 2 2 2 7 3 7" xfId="41280"/>
    <cellStyle name="计算 2 2 2 7 4" xfId="9645"/>
    <cellStyle name="计算 2 2 2 7 4 2" xfId="13099"/>
    <cellStyle name="计算 2 2 2 7 4 2 2" xfId="13100"/>
    <cellStyle name="计算 2 2 2 7 4 2 2 2" xfId="17380"/>
    <cellStyle name="计算 2 2 2 7 4 2 2 2 2" xfId="29489"/>
    <cellStyle name="计算 2 2 2 7 4 2 2 2 3" xfId="41295"/>
    <cellStyle name="计算 2 2 2 7 4 2 2 3" xfId="29488"/>
    <cellStyle name="计算 2 2 2 7 4 2 2 4" xfId="41294"/>
    <cellStyle name="计算 2 2 2 7 4 2 3" xfId="13101"/>
    <cellStyle name="计算 2 2 2 7 4 2 3 2" xfId="21016"/>
    <cellStyle name="计算 2 2 2 7 4 2 3 2 2" xfId="29491"/>
    <cellStyle name="计算 2 2 2 7 4 2 3 2 3" xfId="41297"/>
    <cellStyle name="计算 2 2 2 7 4 2 3 3" xfId="29490"/>
    <cellStyle name="计算 2 2 2 7 4 2 3 4" xfId="41296"/>
    <cellStyle name="计算 2 2 2 7 4 2 4" xfId="17381"/>
    <cellStyle name="计算 2 2 2 7 4 2 4 2" xfId="29492"/>
    <cellStyle name="计算 2 2 2 7 4 2 4 3" xfId="41298"/>
    <cellStyle name="计算 2 2 2 7 4 2 5" xfId="29487"/>
    <cellStyle name="计算 2 2 2 7 4 2 6" xfId="41293"/>
    <cellStyle name="计算 2 2 2 7 4 3" xfId="13102"/>
    <cellStyle name="计算 2 2 2 7 4 3 2" xfId="17379"/>
    <cellStyle name="计算 2 2 2 7 4 3 2 2" xfId="29494"/>
    <cellStyle name="计算 2 2 2 7 4 3 2 3" xfId="41300"/>
    <cellStyle name="计算 2 2 2 7 4 3 3" xfId="29493"/>
    <cellStyle name="计算 2 2 2 7 4 3 4" xfId="41299"/>
    <cellStyle name="计算 2 2 2 7 4 4" xfId="13103"/>
    <cellStyle name="计算 2 2 2 7 4 4 2" xfId="17378"/>
    <cellStyle name="计算 2 2 2 7 4 4 2 2" xfId="29496"/>
    <cellStyle name="计算 2 2 2 7 4 4 2 3" xfId="41302"/>
    <cellStyle name="计算 2 2 2 7 4 4 3" xfId="29495"/>
    <cellStyle name="计算 2 2 2 7 4 4 4" xfId="41301"/>
    <cellStyle name="计算 2 2 2 7 4 5" xfId="29497"/>
    <cellStyle name="计算 2 2 2 7 4 5 2" xfId="41303"/>
    <cellStyle name="计算 2 2 2 7 4 6" xfId="29486"/>
    <cellStyle name="计算 2 2 2 7 4 7" xfId="41292"/>
    <cellStyle name="计算 2 2 2 7 5" xfId="9646"/>
    <cellStyle name="计算 2 2 2 7 5 2" xfId="13104"/>
    <cellStyle name="计算 2 2 2 7 5 2 2" xfId="13105"/>
    <cellStyle name="计算 2 2 2 7 5 2 2 2" xfId="17376"/>
    <cellStyle name="计算 2 2 2 7 5 2 2 2 2" xfId="29501"/>
    <cellStyle name="计算 2 2 2 7 5 2 2 2 3" xfId="41307"/>
    <cellStyle name="计算 2 2 2 7 5 2 2 3" xfId="29500"/>
    <cellStyle name="计算 2 2 2 7 5 2 2 4" xfId="41306"/>
    <cellStyle name="计算 2 2 2 7 5 2 3" xfId="13106"/>
    <cellStyle name="计算 2 2 2 7 5 2 3 2" xfId="17375"/>
    <cellStyle name="计算 2 2 2 7 5 2 3 2 2" xfId="29503"/>
    <cellStyle name="计算 2 2 2 7 5 2 3 2 3" xfId="41309"/>
    <cellStyle name="计算 2 2 2 7 5 2 3 3" xfId="29502"/>
    <cellStyle name="计算 2 2 2 7 5 2 3 4" xfId="41308"/>
    <cellStyle name="计算 2 2 2 7 5 2 4" xfId="17377"/>
    <cellStyle name="计算 2 2 2 7 5 2 4 2" xfId="29504"/>
    <cellStyle name="计算 2 2 2 7 5 2 4 3" xfId="41310"/>
    <cellStyle name="计算 2 2 2 7 5 2 5" xfId="29499"/>
    <cellStyle name="计算 2 2 2 7 5 2 6" xfId="41305"/>
    <cellStyle name="计算 2 2 2 7 5 3" xfId="13107"/>
    <cellStyle name="计算 2 2 2 7 5 3 2" xfId="17374"/>
    <cellStyle name="计算 2 2 2 7 5 3 2 2" xfId="29506"/>
    <cellStyle name="计算 2 2 2 7 5 3 2 3" xfId="41312"/>
    <cellStyle name="计算 2 2 2 7 5 3 3" xfId="29505"/>
    <cellStyle name="计算 2 2 2 7 5 3 4" xfId="41311"/>
    <cellStyle name="计算 2 2 2 7 5 4" xfId="13108"/>
    <cellStyle name="计算 2 2 2 7 5 4 2" xfId="17373"/>
    <cellStyle name="计算 2 2 2 7 5 4 2 2" xfId="29508"/>
    <cellStyle name="计算 2 2 2 7 5 4 2 3" xfId="41314"/>
    <cellStyle name="计算 2 2 2 7 5 4 3" xfId="29507"/>
    <cellStyle name="计算 2 2 2 7 5 4 4" xfId="41313"/>
    <cellStyle name="计算 2 2 2 7 5 5" xfId="29509"/>
    <cellStyle name="计算 2 2 2 7 5 5 2" xfId="41315"/>
    <cellStyle name="计算 2 2 2 7 5 6" xfId="29498"/>
    <cellStyle name="计算 2 2 2 7 5 7" xfId="41304"/>
    <cellStyle name="计算 2 2 2 7 6" xfId="13109"/>
    <cellStyle name="计算 2 2 2 7 6 2" xfId="13110"/>
    <cellStyle name="计算 2 2 2 7 6 2 2" xfId="21015"/>
    <cellStyle name="计算 2 2 2 7 6 2 2 2" xfId="29512"/>
    <cellStyle name="计算 2 2 2 7 6 2 2 3" xfId="41318"/>
    <cellStyle name="计算 2 2 2 7 6 2 3" xfId="29511"/>
    <cellStyle name="计算 2 2 2 7 6 2 4" xfId="41317"/>
    <cellStyle name="计算 2 2 2 7 6 3" xfId="13111"/>
    <cellStyle name="计算 2 2 2 7 6 3 2" xfId="21014"/>
    <cellStyle name="计算 2 2 2 7 6 3 2 2" xfId="29514"/>
    <cellStyle name="计算 2 2 2 7 6 3 2 3" xfId="41320"/>
    <cellStyle name="计算 2 2 2 7 6 3 3" xfId="29513"/>
    <cellStyle name="计算 2 2 2 7 6 3 4" xfId="41319"/>
    <cellStyle name="计算 2 2 2 7 6 4" xfId="17372"/>
    <cellStyle name="计算 2 2 2 7 6 4 2" xfId="29515"/>
    <cellStyle name="计算 2 2 2 7 6 4 3" xfId="41321"/>
    <cellStyle name="计算 2 2 2 7 6 5" xfId="29510"/>
    <cellStyle name="计算 2 2 2 7 6 6" xfId="41316"/>
    <cellStyle name="计算 2 2 2 7 7" xfId="13112"/>
    <cellStyle name="计算 2 2 2 7 7 2" xfId="17371"/>
    <cellStyle name="计算 2 2 2 7 7 2 2" xfId="29517"/>
    <cellStyle name="计算 2 2 2 7 7 2 3" xfId="41323"/>
    <cellStyle name="计算 2 2 2 7 7 3" xfId="29516"/>
    <cellStyle name="计算 2 2 2 7 7 4" xfId="41322"/>
    <cellStyle name="计算 2 2 2 7 8" xfId="13113"/>
    <cellStyle name="计算 2 2 2 7 8 2" xfId="17370"/>
    <cellStyle name="计算 2 2 2 7 8 2 2" xfId="29519"/>
    <cellStyle name="计算 2 2 2 7 8 2 3" xfId="41325"/>
    <cellStyle name="计算 2 2 2 7 8 3" xfId="29518"/>
    <cellStyle name="计算 2 2 2 7 8 4" xfId="41324"/>
    <cellStyle name="计算 2 2 2 7 9" xfId="29520"/>
    <cellStyle name="计算 2 2 2 7 9 2" xfId="41326"/>
    <cellStyle name="计算 2 2 2 8" xfId="9647"/>
    <cellStyle name="计算 2 2 2 8 10" xfId="29521"/>
    <cellStyle name="计算 2 2 2 8 11" xfId="41327"/>
    <cellStyle name="计算 2 2 2 8 2" xfId="9648"/>
    <cellStyle name="计算 2 2 2 8 2 2" xfId="13114"/>
    <cellStyle name="计算 2 2 2 8 2 2 2" xfId="13115"/>
    <cellStyle name="计算 2 2 2 8 2 2 2 2" xfId="17368"/>
    <cellStyle name="计算 2 2 2 8 2 2 2 2 2" xfId="29525"/>
    <cellStyle name="计算 2 2 2 8 2 2 2 2 3" xfId="41331"/>
    <cellStyle name="计算 2 2 2 8 2 2 2 3" xfId="29524"/>
    <cellStyle name="计算 2 2 2 8 2 2 2 4" xfId="41330"/>
    <cellStyle name="计算 2 2 2 8 2 2 3" xfId="13116"/>
    <cellStyle name="计算 2 2 2 8 2 2 3 2" xfId="21013"/>
    <cellStyle name="计算 2 2 2 8 2 2 3 2 2" xfId="29527"/>
    <cellStyle name="计算 2 2 2 8 2 2 3 2 3" xfId="41333"/>
    <cellStyle name="计算 2 2 2 8 2 2 3 3" xfId="29526"/>
    <cellStyle name="计算 2 2 2 8 2 2 3 4" xfId="41332"/>
    <cellStyle name="计算 2 2 2 8 2 2 4" xfId="17369"/>
    <cellStyle name="计算 2 2 2 8 2 2 4 2" xfId="29528"/>
    <cellStyle name="计算 2 2 2 8 2 2 4 3" xfId="41334"/>
    <cellStyle name="计算 2 2 2 8 2 2 5" xfId="29523"/>
    <cellStyle name="计算 2 2 2 8 2 2 6" xfId="41329"/>
    <cellStyle name="计算 2 2 2 8 2 3" xfId="13117"/>
    <cellStyle name="计算 2 2 2 8 2 3 2" xfId="5502"/>
    <cellStyle name="计算 2 2 2 8 2 3 2 2" xfId="29530"/>
    <cellStyle name="计算 2 2 2 8 2 3 2 3" xfId="41336"/>
    <cellStyle name="计算 2 2 2 8 2 3 3" xfId="29529"/>
    <cellStyle name="计算 2 2 2 8 2 3 4" xfId="41335"/>
    <cellStyle name="计算 2 2 2 8 2 4" xfId="13118"/>
    <cellStyle name="计算 2 2 2 8 2 4 2" xfId="5508"/>
    <cellStyle name="计算 2 2 2 8 2 4 2 2" xfId="29532"/>
    <cellStyle name="计算 2 2 2 8 2 4 2 3" xfId="41338"/>
    <cellStyle name="计算 2 2 2 8 2 4 3" xfId="29531"/>
    <cellStyle name="计算 2 2 2 8 2 4 4" xfId="41337"/>
    <cellStyle name="计算 2 2 2 8 2 5" xfId="29533"/>
    <cellStyle name="计算 2 2 2 8 2 5 2" xfId="41339"/>
    <cellStyle name="计算 2 2 2 8 2 6" xfId="29522"/>
    <cellStyle name="计算 2 2 2 8 2 7" xfId="41328"/>
    <cellStyle name="计算 2 2 2 8 3" xfId="9649"/>
    <cellStyle name="计算 2 2 2 8 3 2" xfId="13119"/>
    <cellStyle name="计算 2 2 2 8 3 2 2" xfId="13120"/>
    <cellStyle name="计算 2 2 2 8 3 2 2 2" xfId="5510"/>
    <cellStyle name="计算 2 2 2 8 3 2 2 2 2" xfId="29537"/>
    <cellStyle name="计算 2 2 2 8 3 2 2 2 3" xfId="41343"/>
    <cellStyle name="计算 2 2 2 8 3 2 2 3" xfId="29536"/>
    <cellStyle name="计算 2 2 2 8 3 2 2 4" xfId="41342"/>
    <cellStyle name="计算 2 2 2 8 3 2 3" xfId="13121"/>
    <cellStyle name="计算 2 2 2 8 3 2 3 2" xfId="21012"/>
    <cellStyle name="计算 2 2 2 8 3 2 3 2 2" xfId="29539"/>
    <cellStyle name="计算 2 2 2 8 3 2 3 2 3" xfId="41345"/>
    <cellStyle name="计算 2 2 2 8 3 2 3 3" xfId="29538"/>
    <cellStyle name="计算 2 2 2 8 3 2 3 4" xfId="41344"/>
    <cellStyle name="计算 2 2 2 8 3 2 4" xfId="5509"/>
    <cellStyle name="计算 2 2 2 8 3 2 4 2" xfId="29540"/>
    <cellStyle name="计算 2 2 2 8 3 2 4 3" xfId="41346"/>
    <cellStyle name="计算 2 2 2 8 3 2 5" xfId="29535"/>
    <cellStyle name="计算 2 2 2 8 3 2 6" xfId="41341"/>
    <cellStyle name="计算 2 2 2 8 3 3" xfId="13122"/>
    <cellStyle name="计算 2 2 2 8 3 3 2" xfId="5511"/>
    <cellStyle name="计算 2 2 2 8 3 3 2 2" xfId="29542"/>
    <cellStyle name="计算 2 2 2 8 3 3 2 3" xfId="41348"/>
    <cellStyle name="计算 2 2 2 8 3 3 3" xfId="29541"/>
    <cellStyle name="计算 2 2 2 8 3 3 4" xfId="41347"/>
    <cellStyle name="计算 2 2 2 8 3 4" xfId="13123"/>
    <cellStyle name="计算 2 2 2 8 3 4 2" xfId="5516"/>
    <cellStyle name="计算 2 2 2 8 3 4 2 2" xfId="29544"/>
    <cellStyle name="计算 2 2 2 8 3 4 2 3" xfId="41350"/>
    <cellStyle name="计算 2 2 2 8 3 4 3" xfId="29543"/>
    <cellStyle name="计算 2 2 2 8 3 4 4" xfId="41349"/>
    <cellStyle name="计算 2 2 2 8 3 5" xfId="29545"/>
    <cellStyle name="计算 2 2 2 8 3 5 2" xfId="41351"/>
    <cellStyle name="计算 2 2 2 8 3 6" xfId="29534"/>
    <cellStyle name="计算 2 2 2 8 3 7" xfId="41340"/>
    <cellStyle name="计算 2 2 2 8 4" xfId="9650"/>
    <cellStyle name="计算 2 2 2 8 4 2" xfId="13124"/>
    <cellStyle name="计算 2 2 2 8 4 2 2" xfId="13125"/>
    <cellStyle name="计算 2 2 2 8 4 2 2 2" xfId="5519"/>
    <cellStyle name="计算 2 2 2 8 4 2 2 2 2" xfId="29549"/>
    <cellStyle name="计算 2 2 2 8 4 2 2 2 3" xfId="41355"/>
    <cellStyle name="计算 2 2 2 8 4 2 2 3" xfId="29548"/>
    <cellStyle name="计算 2 2 2 8 4 2 2 4" xfId="41354"/>
    <cellStyle name="计算 2 2 2 8 4 2 3" xfId="13126"/>
    <cellStyle name="计算 2 2 2 8 4 2 3 2" xfId="21011"/>
    <cellStyle name="计算 2 2 2 8 4 2 3 2 2" xfId="29551"/>
    <cellStyle name="计算 2 2 2 8 4 2 3 2 3" xfId="41357"/>
    <cellStyle name="计算 2 2 2 8 4 2 3 3" xfId="29550"/>
    <cellStyle name="计算 2 2 2 8 4 2 3 4" xfId="41356"/>
    <cellStyle name="计算 2 2 2 8 4 2 4" xfId="5517"/>
    <cellStyle name="计算 2 2 2 8 4 2 4 2" xfId="29552"/>
    <cellStyle name="计算 2 2 2 8 4 2 4 3" xfId="41358"/>
    <cellStyle name="计算 2 2 2 8 4 2 5" xfId="29547"/>
    <cellStyle name="计算 2 2 2 8 4 2 6" xfId="41353"/>
    <cellStyle name="计算 2 2 2 8 4 3" xfId="13127"/>
    <cellStyle name="计算 2 2 2 8 4 3 2" xfId="5520"/>
    <cellStyle name="计算 2 2 2 8 4 3 2 2" xfId="29554"/>
    <cellStyle name="计算 2 2 2 8 4 3 2 3" xfId="41360"/>
    <cellStyle name="计算 2 2 2 8 4 3 3" xfId="29553"/>
    <cellStyle name="计算 2 2 2 8 4 3 4" xfId="41359"/>
    <cellStyle name="计算 2 2 2 8 4 4" xfId="13128"/>
    <cellStyle name="计算 2 2 2 8 4 4 2" xfId="5522"/>
    <cellStyle name="计算 2 2 2 8 4 4 2 2" xfId="29556"/>
    <cellStyle name="计算 2 2 2 8 4 4 2 3" xfId="41362"/>
    <cellStyle name="计算 2 2 2 8 4 4 3" xfId="29555"/>
    <cellStyle name="计算 2 2 2 8 4 4 4" xfId="41361"/>
    <cellStyle name="计算 2 2 2 8 4 5" xfId="29557"/>
    <cellStyle name="计算 2 2 2 8 4 5 2" xfId="41363"/>
    <cellStyle name="计算 2 2 2 8 4 6" xfId="29546"/>
    <cellStyle name="计算 2 2 2 8 4 7" xfId="41352"/>
    <cellStyle name="计算 2 2 2 8 5" xfId="9651"/>
    <cellStyle name="计算 2 2 2 8 5 2" xfId="13129"/>
    <cellStyle name="计算 2 2 2 8 5 2 2" xfId="13130"/>
    <cellStyle name="计算 2 2 2 8 5 2 2 2" xfId="5525"/>
    <cellStyle name="计算 2 2 2 8 5 2 2 2 2" xfId="29561"/>
    <cellStyle name="计算 2 2 2 8 5 2 2 2 3" xfId="41367"/>
    <cellStyle name="计算 2 2 2 8 5 2 2 3" xfId="29560"/>
    <cellStyle name="计算 2 2 2 8 5 2 2 4" xfId="41366"/>
    <cellStyle name="计算 2 2 2 8 5 2 3" xfId="13131"/>
    <cellStyle name="计算 2 2 2 8 5 2 3 2" xfId="5526"/>
    <cellStyle name="计算 2 2 2 8 5 2 3 2 2" xfId="29563"/>
    <cellStyle name="计算 2 2 2 8 5 2 3 2 3" xfId="41369"/>
    <cellStyle name="计算 2 2 2 8 5 2 3 3" xfId="29562"/>
    <cellStyle name="计算 2 2 2 8 5 2 3 4" xfId="41368"/>
    <cellStyle name="计算 2 2 2 8 5 2 4" xfId="5523"/>
    <cellStyle name="计算 2 2 2 8 5 2 4 2" xfId="29564"/>
    <cellStyle name="计算 2 2 2 8 5 2 4 3" xfId="41370"/>
    <cellStyle name="计算 2 2 2 8 5 2 5" xfId="29559"/>
    <cellStyle name="计算 2 2 2 8 5 2 6" xfId="41365"/>
    <cellStyle name="计算 2 2 2 8 5 3" xfId="13132"/>
    <cellStyle name="计算 2 2 2 8 5 3 2" xfId="5528"/>
    <cellStyle name="计算 2 2 2 8 5 3 2 2" xfId="29566"/>
    <cellStyle name="计算 2 2 2 8 5 3 2 3" xfId="41372"/>
    <cellStyle name="计算 2 2 2 8 5 3 3" xfId="29565"/>
    <cellStyle name="计算 2 2 2 8 5 3 4" xfId="41371"/>
    <cellStyle name="计算 2 2 2 8 5 4" xfId="13133"/>
    <cellStyle name="计算 2 2 2 8 5 4 2" xfId="5529"/>
    <cellStyle name="计算 2 2 2 8 5 4 2 2" xfId="29568"/>
    <cellStyle name="计算 2 2 2 8 5 4 2 3" xfId="41374"/>
    <cellStyle name="计算 2 2 2 8 5 4 3" xfId="29567"/>
    <cellStyle name="计算 2 2 2 8 5 4 4" xfId="41373"/>
    <cellStyle name="计算 2 2 2 8 5 5" xfId="29569"/>
    <cellStyle name="计算 2 2 2 8 5 5 2" xfId="41375"/>
    <cellStyle name="计算 2 2 2 8 5 6" xfId="29558"/>
    <cellStyle name="计算 2 2 2 8 5 7" xfId="41364"/>
    <cellStyle name="计算 2 2 2 8 6" xfId="13134"/>
    <cellStyle name="计算 2 2 2 8 6 2" xfId="13135"/>
    <cellStyle name="计算 2 2 2 8 6 2 2" xfId="18624"/>
    <cellStyle name="计算 2 2 2 8 6 2 2 2" xfId="29572"/>
    <cellStyle name="计算 2 2 2 8 6 2 2 3" xfId="41378"/>
    <cellStyle name="计算 2 2 2 8 6 2 3" xfId="29571"/>
    <cellStyle name="计算 2 2 2 8 6 2 4" xfId="41377"/>
    <cellStyle name="计算 2 2 2 8 6 3" xfId="13136"/>
    <cellStyle name="计算 2 2 2 8 6 3 2" xfId="18623"/>
    <cellStyle name="计算 2 2 2 8 6 3 2 2" xfId="29574"/>
    <cellStyle name="计算 2 2 2 8 6 3 2 3" xfId="41380"/>
    <cellStyle name="计算 2 2 2 8 6 3 3" xfId="29573"/>
    <cellStyle name="计算 2 2 2 8 6 3 4" xfId="41379"/>
    <cellStyle name="计算 2 2 2 8 6 4" xfId="5531"/>
    <cellStyle name="计算 2 2 2 8 6 4 2" xfId="29575"/>
    <cellStyle name="计算 2 2 2 8 6 4 3" xfId="41381"/>
    <cellStyle name="计算 2 2 2 8 6 5" xfId="29570"/>
    <cellStyle name="计算 2 2 2 8 6 6" xfId="41376"/>
    <cellStyle name="计算 2 2 2 8 7" xfId="13137"/>
    <cellStyle name="计算 2 2 2 8 7 2" xfId="5532"/>
    <cellStyle name="计算 2 2 2 8 7 2 2" xfId="29577"/>
    <cellStyle name="计算 2 2 2 8 7 2 3" xfId="41383"/>
    <cellStyle name="计算 2 2 2 8 7 3" xfId="29576"/>
    <cellStyle name="计算 2 2 2 8 7 4" xfId="41382"/>
    <cellStyle name="计算 2 2 2 8 8" xfId="13138"/>
    <cellStyle name="计算 2 2 2 8 8 2" xfId="5534"/>
    <cellStyle name="计算 2 2 2 8 8 2 2" xfId="29579"/>
    <cellStyle name="计算 2 2 2 8 8 2 3" xfId="41385"/>
    <cellStyle name="计算 2 2 2 8 8 3" xfId="29578"/>
    <cellStyle name="计算 2 2 2 8 8 4" xfId="41384"/>
    <cellStyle name="计算 2 2 2 8 9" xfId="29580"/>
    <cellStyle name="计算 2 2 2 8 9 2" xfId="41386"/>
    <cellStyle name="计算 2 2 2 9" xfId="9652"/>
    <cellStyle name="计算 2 2 2 9 10" xfId="29581"/>
    <cellStyle name="计算 2 2 2 9 11" xfId="41387"/>
    <cellStyle name="计算 2 2 2 9 2" xfId="9653"/>
    <cellStyle name="计算 2 2 2 9 2 2" xfId="13139"/>
    <cellStyle name="计算 2 2 2 9 2 2 2" xfId="13140"/>
    <cellStyle name="计算 2 2 2 9 2 2 2 2" xfId="5536"/>
    <cellStyle name="计算 2 2 2 9 2 2 2 2 2" xfId="29585"/>
    <cellStyle name="计算 2 2 2 9 2 2 2 2 3" xfId="41391"/>
    <cellStyle name="计算 2 2 2 9 2 2 2 3" xfId="29584"/>
    <cellStyle name="计算 2 2 2 9 2 2 2 4" xfId="41390"/>
    <cellStyle name="计算 2 2 2 9 2 2 3" xfId="13141"/>
    <cellStyle name="计算 2 2 2 9 2 2 3 2" xfId="18622"/>
    <cellStyle name="计算 2 2 2 9 2 2 3 2 2" xfId="29587"/>
    <cellStyle name="计算 2 2 2 9 2 2 3 2 3" xfId="41393"/>
    <cellStyle name="计算 2 2 2 9 2 2 3 3" xfId="29586"/>
    <cellStyle name="计算 2 2 2 9 2 2 3 4" xfId="41392"/>
    <cellStyle name="计算 2 2 2 9 2 2 4" xfId="5535"/>
    <cellStyle name="计算 2 2 2 9 2 2 4 2" xfId="29588"/>
    <cellStyle name="计算 2 2 2 9 2 2 4 3" xfId="41394"/>
    <cellStyle name="计算 2 2 2 9 2 2 5" xfId="29583"/>
    <cellStyle name="计算 2 2 2 9 2 2 6" xfId="41389"/>
    <cellStyle name="计算 2 2 2 9 2 3" xfId="13142"/>
    <cellStyle name="计算 2 2 2 9 2 3 2" xfId="5538"/>
    <cellStyle name="计算 2 2 2 9 2 3 2 2" xfId="29590"/>
    <cellStyle name="计算 2 2 2 9 2 3 2 3" xfId="41396"/>
    <cellStyle name="计算 2 2 2 9 2 3 3" xfId="29589"/>
    <cellStyle name="计算 2 2 2 9 2 3 4" xfId="41395"/>
    <cellStyle name="计算 2 2 2 9 2 4" xfId="13143"/>
    <cellStyle name="计算 2 2 2 9 2 4 2" xfId="5539"/>
    <cellStyle name="计算 2 2 2 9 2 4 2 2" xfId="29592"/>
    <cellStyle name="计算 2 2 2 9 2 4 2 3" xfId="41398"/>
    <cellStyle name="计算 2 2 2 9 2 4 3" xfId="29591"/>
    <cellStyle name="计算 2 2 2 9 2 4 4" xfId="41397"/>
    <cellStyle name="计算 2 2 2 9 2 5" xfId="29593"/>
    <cellStyle name="计算 2 2 2 9 2 5 2" xfId="41399"/>
    <cellStyle name="计算 2 2 2 9 2 6" xfId="29582"/>
    <cellStyle name="计算 2 2 2 9 2 7" xfId="41388"/>
    <cellStyle name="计算 2 2 2 9 3" xfId="9654"/>
    <cellStyle name="计算 2 2 2 9 3 2" xfId="13144"/>
    <cellStyle name="计算 2 2 2 9 3 2 2" xfId="13145"/>
    <cellStyle name="计算 2 2 2 9 3 2 2 2" xfId="5542"/>
    <cellStyle name="计算 2 2 2 9 3 2 2 2 2" xfId="29597"/>
    <cellStyle name="计算 2 2 2 9 3 2 2 2 3" xfId="41403"/>
    <cellStyle name="计算 2 2 2 9 3 2 2 3" xfId="29596"/>
    <cellStyle name="计算 2 2 2 9 3 2 2 4" xfId="41402"/>
    <cellStyle name="计算 2 2 2 9 3 2 3" xfId="13146"/>
    <cellStyle name="计算 2 2 2 9 3 2 3 2" xfId="18621"/>
    <cellStyle name="计算 2 2 2 9 3 2 3 2 2" xfId="29599"/>
    <cellStyle name="计算 2 2 2 9 3 2 3 2 3" xfId="41405"/>
    <cellStyle name="计算 2 2 2 9 3 2 3 3" xfId="29598"/>
    <cellStyle name="计算 2 2 2 9 3 2 3 4" xfId="41404"/>
    <cellStyle name="计算 2 2 2 9 3 2 4" xfId="5540"/>
    <cellStyle name="计算 2 2 2 9 3 2 4 2" xfId="29600"/>
    <cellStyle name="计算 2 2 2 9 3 2 4 3" xfId="41406"/>
    <cellStyle name="计算 2 2 2 9 3 2 5" xfId="29595"/>
    <cellStyle name="计算 2 2 2 9 3 2 6" xfId="41401"/>
    <cellStyle name="计算 2 2 2 9 3 3" xfId="13147"/>
    <cellStyle name="计算 2 2 2 9 3 3 2" xfId="5543"/>
    <cellStyle name="计算 2 2 2 9 3 3 2 2" xfId="29602"/>
    <cellStyle name="计算 2 2 2 9 3 3 2 3" xfId="41408"/>
    <cellStyle name="计算 2 2 2 9 3 3 3" xfId="29601"/>
    <cellStyle name="计算 2 2 2 9 3 3 4" xfId="41407"/>
    <cellStyle name="计算 2 2 2 9 3 4" xfId="13148"/>
    <cellStyle name="计算 2 2 2 9 3 4 2" xfId="5544"/>
    <cellStyle name="计算 2 2 2 9 3 4 2 2" xfId="29604"/>
    <cellStyle name="计算 2 2 2 9 3 4 2 3" xfId="41410"/>
    <cellStyle name="计算 2 2 2 9 3 4 3" xfId="29603"/>
    <cellStyle name="计算 2 2 2 9 3 4 4" xfId="41409"/>
    <cellStyle name="计算 2 2 2 9 3 5" xfId="29605"/>
    <cellStyle name="计算 2 2 2 9 3 5 2" xfId="41411"/>
    <cellStyle name="计算 2 2 2 9 3 6" xfId="29594"/>
    <cellStyle name="计算 2 2 2 9 3 7" xfId="41400"/>
    <cellStyle name="计算 2 2 2 9 4" xfId="9655"/>
    <cellStyle name="计算 2 2 2 9 4 2" xfId="13149"/>
    <cellStyle name="计算 2 2 2 9 4 2 2" xfId="13150"/>
    <cellStyle name="计算 2 2 2 9 4 2 2 2" xfId="5547"/>
    <cellStyle name="计算 2 2 2 9 4 2 2 2 2" xfId="29609"/>
    <cellStyle name="计算 2 2 2 9 4 2 2 2 3" xfId="41415"/>
    <cellStyle name="计算 2 2 2 9 4 2 2 3" xfId="29608"/>
    <cellStyle name="计算 2 2 2 9 4 2 2 4" xfId="41414"/>
    <cellStyle name="计算 2 2 2 9 4 2 3" xfId="13151"/>
    <cellStyle name="计算 2 2 2 9 4 2 3 2" xfId="21010"/>
    <cellStyle name="计算 2 2 2 9 4 2 3 2 2" xfId="29611"/>
    <cellStyle name="计算 2 2 2 9 4 2 3 2 3" xfId="41417"/>
    <cellStyle name="计算 2 2 2 9 4 2 3 3" xfId="29610"/>
    <cellStyle name="计算 2 2 2 9 4 2 3 4" xfId="41416"/>
    <cellStyle name="计算 2 2 2 9 4 2 4" xfId="5546"/>
    <cellStyle name="计算 2 2 2 9 4 2 4 2" xfId="29612"/>
    <cellStyle name="计算 2 2 2 9 4 2 4 3" xfId="41418"/>
    <cellStyle name="计算 2 2 2 9 4 2 5" xfId="29607"/>
    <cellStyle name="计算 2 2 2 9 4 2 6" xfId="41413"/>
    <cellStyle name="计算 2 2 2 9 4 3" xfId="13152"/>
    <cellStyle name="计算 2 2 2 9 4 3 2" xfId="5548"/>
    <cellStyle name="计算 2 2 2 9 4 3 2 2" xfId="29614"/>
    <cellStyle name="计算 2 2 2 9 4 3 2 3" xfId="41420"/>
    <cellStyle name="计算 2 2 2 9 4 3 3" xfId="29613"/>
    <cellStyle name="计算 2 2 2 9 4 3 4" xfId="41419"/>
    <cellStyle name="计算 2 2 2 9 4 4" xfId="13153"/>
    <cellStyle name="计算 2 2 2 9 4 4 2" xfId="5550"/>
    <cellStyle name="计算 2 2 2 9 4 4 2 2" xfId="29616"/>
    <cellStyle name="计算 2 2 2 9 4 4 2 3" xfId="41422"/>
    <cellStyle name="计算 2 2 2 9 4 4 3" xfId="29615"/>
    <cellStyle name="计算 2 2 2 9 4 4 4" xfId="41421"/>
    <cellStyle name="计算 2 2 2 9 4 5" xfId="29617"/>
    <cellStyle name="计算 2 2 2 9 4 5 2" xfId="41423"/>
    <cellStyle name="计算 2 2 2 9 4 6" xfId="29606"/>
    <cellStyle name="计算 2 2 2 9 4 7" xfId="41412"/>
    <cellStyle name="计算 2 2 2 9 5" xfId="9656"/>
    <cellStyle name="计算 2 2 2 9 5 2" xfId="13154"/>
    <cellStyle name="计算 2 2 2 9 5 2 2" xfId="13155"/>
    <cellStyle name="计算 2 2 2 9 5 2 2 2" xfId="5552"/>
    <cellStyle name="计算 2 2 2 9 5 2 2 2 2" xfId="29621"/>
    <cellStyle name="计算 2 2 2 9 5 2 2 2 3" xfId="41427"/>
    <cellStyle name="计算 2 2 2 9 5 2 2 3" xfId="29620"/>
    <cellStyle name="计算 2 2 2 9 5 2 2 4" xfId="41426"/>
    <cellStyle name="计算 2 2 2 9 5 2 3" xfId="13156"/>
    <cellStyle name="计算 2 2 2 9 5 2 3 2" xfId="19446"/>
    <cellStyle name="计算 2 2 2 9 5 2 3 2 2" xfId="29623"/>
    <cellStyle name="计算 2 2 2 9 5 2 3 2 3" xfId="41429"/>
    <cellStyle name="计算 2 2 2 9 5 2 3 3" xfId="29622"/>
    <cellStyle name="计算 2 2 2 9 5 2 3 4" xfId="41428"/>
    <cellStyle name="计算 2 2 2 9 5 2 4" xfId="5551"/>
    <cellStyle name="计算 2 2 2 9 5 2 4 2" xfId="29624"/>
    <cellStyle name="计算 2 2 2 9 5 2 4 3" xfId="41430"/>
    <cellStyle name="计算 2 2 2 9 5 2 5" xfId="29619"/>
    <cellStyle name="计算 2 2 2 9 5 2 6" xfId="41425"/>
    <cellStyle name="计算 2 2 2 9 5 3" xfId="13157"/>
    <cellStyle name="计算 2 2 2 9 5 3 2" xfId="19445"/>
    <cellStyle name="计算 2 2 2 9 5 3 2 2" xfId="29626"/>
    <cellStyle name="计算 2 2 2 9 5 3 2 3" xfId="41432"/>
    <cellStyle name="计算 2 2 2 9 5 3 3" xfId="29625"/>
    <cellStyle name="计算 2 2 2 9 5 3 4" xfId="41431"/>
    <cellStyle name="计算 2 2 2 9 5 4" xfId="13158"/>
    <cellStyle name="计算 2 2 2 9 5 4 2" xfId="19444"/>
    <cellStyle name="计算 2 2 2 9 5 4 2 2" xfId="29628"/>
    <cellStyle name="计算 2 2 2 9 5 4 2 3" xfId="41434"/>
    <cellStyle name="计算 2 2 2 9 5 4 3" xfId="29627"/>
    <cellStyle name="计算 2 2 2 9 5 4 4" xfId="41433"/>
    <cellStyle name="计算 2 2 2 9 5 5" xfId="29629"/>
    <cellStyle name="计算 2 2 2 9 5 5 2" xfId="41435"/>
    <cellStyle name="计算 2 2 2 9 5 6" xfId="29618"/>
    <cellStyle name="计算 2 2 2 9 5 7" xfId="41424"/>
    <cellStyle name="计算 2 2 2 9 6" xfId="13159"/>
    <cellStyle name="计算 2 2 2 9 6 2" xfId="13160"/>
    <cellStyle name="计算 2 2 2 9 6 2 2" xfId="21009"/>
    <cellStyle name="计算 2 2 2 9 6 2 2 2" xfId="29632"/>
    <cellStyle name="计算 2 2 2 9 6 2 2 3" xfId="41438"/>
    <cellStyle name="计算 2 2 2 9 6 2 3" xfId="29631"/>
    <cellStyle name="计算 2 2 2 9 6 2 4" xfId="41437"/>
    <cellStyle name="计算 2 2 2 9 6 3" xfId="13161"/>
    <cellStyle name="计算 2 2 2 9 6 3 2" xfId="21008"/>
    <cellStyle name="计算 2 2 2 9 6 3 2 2" xfId="29634"/>
    <cellStyle name="计算 2 2 2 9 6 3 2 3" xfId="41440"/>
    <cellStyle name="计算 2 2 2 9 6 3 3" xfId="29633"/>
    <cellStyle name="计算 2 2 2 9 6 3 4" xfId="41439"/>
    <cellStyle name="计算 2 2 2 9 6 4" xfId="19443"/>
    <cellStyle name="计算 2 2 2 9 6 4 2" xfId="29635"/>
    <cellStyle name="计算 2 2 2 9 6 4 3" xfId="41441"/>
    <cellStyle name="计算 2 2 2 9 6 5" xfId="29630"/>
    <cellStyle name="计算 2 2 2 9 6 6" xfId="41436"/>
    <cellStyle name="计算 2 2 2 9 7" xfId="13162"/>
    <cellStyle name="计算 2 2 2 9 7 2" xfId="5554"/>
    <cellStyle name="计算 2 2 2 9 7 2 2" xfId="29637"/>
    <cellStyle name="计算 2 2 2 9 7 2 3" xfId="41443"/>
    <cellStyle name="计算 2 2 2 9 7 3" xfId="29636"/>
    <cellStyle name="计算 2 2 2 9 7 4" xfId="41442"/>
    <cellStyle name="计算 2 2 2 9 8" xfId="13163"/>
    <cellStyle name="计算 2 2 2 9 8 2" xfId="5555"/>
    <cellStyle name="计算 2 2 2 9 8 2 2" xfId="29639"/>
    <cellStyle name="计算 2 2 2 9 8 2 3" xfId="41445"/>
    <cellStyle name="计算 2 2 2 9 8 3" xfId="29638"/>
    <cellStyle name="计算 2 2 2 9 8 4" xfId="41444"/>
    <cellStyle name="计算 2 2 2 9 9" xfId="29640"/>
    <cellStyle name="计算 2 2 2 9 9 2" xfId="41446"/>
    <cellStyle name="计算 2 2 20" xfId="9591"/>
    <cellStyle name="计算 2 2 20 2" xfId="29642"/>
    <cellStyle name="计算 2 2 20 2 2" xfId="41448"/>
    <cellStyle name="计算 2 2 20 3" xfId="29641"/>
    <cellStyle name="计算 2 2 20 4" xfId="41447"/>
    <cellStyle name="计算 2 2 21" xfId="29643"/>
    <cellStyle name="计算 2 2 21 2" xfId="41449"/>
    <cellStyle name="计算 2 2 22" xfId="28854"/>
    <cellStyle name="计算 2 2 23" xfId="40660"/>
    <cellStyle name="计算 2 2 3" xfId="5174"/>
    <cellStyle name="计算 2 2 3 10" xfId="29644"/>
    <cellStyle name="计算 2 2 3 11" xfId="41450"/>
    <cellStyle name="计算 2 2 3 2" xfId="9658"/>
    <cellStyle name="计算 2 2 3 2 2" xfId="13164"/>
    <cellStyle name="计算 2 2 3 2 2 2" xfId="13165"/>
    <cellStyle name="计算 2 2 3 2 2 2 2" xfId="19442"/>
    <cellStyle name="计算 2 2 3 2 2 2 2 2" xfId="29648"/>
    <cellStyle name="计算 2 2 3 2 2 2 2 3" xfId="41454"/>
    <cellStyle name="计算 2 2 3 2 2 2 3" xfId="29647"/>
    <cellStyle name="计算 2 2 3 2 2 2 4" xfId="41453"/>
    <cellStyle name="计算 2 2 3 2 2 3" xfId="13166"/>
    <cellStyle name="计算 2 2 3 2 2 3 2" xfId="21007"/>
    <cellStyle name="计算 2 2 3 2 2 3 2 2" xfId="29650"/>
    <cellStyle name="计算 2 2 3 2 2 3 2 3" xfId="41456"/>
    <cellStyle name="计算 2 2 3 2 2 3 3" xfId="29649"/>
    <cellStyle name="计算 2 2 3 2 2 3 4" xfId="41455"/>
    <cellStyle name="计算 2 2 3 2 2 4" xfId="5556"/>
    <cellStyle name="计算 2 2 3 2 2 4 2" xfId="29651"/>
    <cellStyle name="计算 2 2 3 2 2 4 3" xfId="41457"/>
    <cellStyle name="计算 2 2 3 2 2 5" xfId="29646"/>
    <cellStyle name="计算 2 2 3 2 2 6" xfId="41452"/>
    <cellStyle name="计算 2 2 3 2 3" xfId="13167"/>
    <cellStyle name="计算 2 2 3 2 3 2" xfId="19441"/>
    <cellStyle name="计算 2 2 3 2 3 2 2" xfId="29653"/>
    <cellStyle name="计算 2 2 3 2 3 2 3" xfId="41459"/>
    <cellStyle name="计算 2 2 3 2 3 3" xfId="29652"/>
    <cellStyle name="计算 2 2 3 2 3 4" xfId="41458"/>
    <cellStyle name="计算 2 2 3 2 4" xfId="13168"/>
    <cellStyle name="计算 2 2 3 2 4 2" xfId="19440"/>
    <cellStyle name="计算 2 2 3 2 4 2 2" xfId="29655"/>
    <cellStyle name="计算 2 2 3 2 4 2 3" xfId="41461"/>
    <cellStyle name="计算 2 2 3 2 4 3" xfId="29654"/>
    <cellStyle name="计算 2 2 3 2 4 4" xfId="41460"/>
    <cellStyle name="计算 2 2 3 2 5" xfId="29656"/>
    <cellStyle name="计算 2 2 3 2 5 2" xfId="41462"/>
    <cellStyle name="计算 2 2 3 2 6" xfId="29645"/>
    <cellStyle name="计算 2 2 3 2 7" xfId="41451"/>
    <cellStyle name="计算 2 2 3 3" xfId="9659"/>
    <cellStyle name="计算 2 2 3 3 2" xfId="13169"/>
    <cellStyle name="计算 2 2 3 3 2 2" xfId="13170"/>
    <cellStyle name="计算 2 2 3 3 2 2 2" xfId="5559"/>
    <cellStyle name="计算 2 2 3 3 2 2 2 2" xfId="29660"/>
    <cellStyle name="计算 2 2 3 3 2 2 2 3" xfId="41466"/>
    <cellStyle name="计算 2 2 3 3 2 2 3" xfId="29659"/>
    <cellStyle name="计算 2 2 3 3 2 2 4" xfId="41465"/>
    <cellStyle name="计算 2 2 3 3 2 3" xfId="13171"/>
    <cellStyle name="计算 2 2 3 3 2 3 2" xfId="21006"/>
    <cellStyle name="计算 2 2 3 3 2 3 2 2" xfId="29662"/>
    <cellStyle name="计算 2 2 3 3 2 3 2 3" xfId="41468"/>
    <cellStyle name="计算 2 2 3 3 2 3 3" xfId="29661"/>
    <cellStyle name="计算 2 2 3 3 2 3 4" xfId="41467"/>
    <cellStyle name="计算 2 2 3 3 2 4" xfId="5558"/>
    <cellStyle name="计算 2 2 3 3 2 4 2" xfId="29663"/>
    <cellStyle name="计算 2 2 3 3 2 4 3" xfId="41469"/>
    <cellStyle name="计算 2 2 3 3 2 5" xfId="29658"/>
    <cellStyle name="计算 2 2 3 3 2 6" xfId="41464"/>
    <cellStyle name="计算 2 2 3 3 3" xfId="13172"/>
    <cellStyle name="计算 2 2 3 3 3 2" xfId="5560"/>
    <cellStyle name="计算 2 2 3 3 3 2 2" xfId="29665"/>
    <cellStyle name="计算 2 2 3 3 3 2 3" xfId="41471"/>
    <cellStyle name="计算 2 2 3 3 3 3" xfId="29664"/>
    <cellStyle name="计算 2 2 3 3 3 4" xfId="41470"/>
    <cellStyle name="计算 2 2 3 3 4" xfId="13173"/>
    <cellStyle name="计算 2 2 3 3 4 2" xfId="5562"/>
    <cellStyle name="计算 2 2 3 3 4 2 2" xfId="29667"/>
    <cellStyle name="计算 2 2 3 3 4 2 3" xfId="41473"/>
    <cellStyle name="计算 2 2 3 3 4 3" xfId="29666"/>
    <cellStyle name="计算 2 2 3 3 4 4" xfId="41472"/>
    <cellStyle name="计算 2 2 3 3 5" xfId="29668"/>
    <cellStyle name="计算 2 2 3 3 5 2" xfId="41474"/>
    <cellStyle name="计算 2 2 3 3 6" xfId="29657"/>
    <cellStyle name="计算 2 2 3 3 7" xfId="41463"/>
    <cellStyle name="计算 2 2 3 4" xfId="9660"/>
    <cellStyle name="计算 2 2 3 4 2" xfId="13174"/>
    <cellStyle name="计算 2 2 3 4 2 2" xfId="13175"/>
    <cellStyle name="计算 2 2 3 4 2 2 2" xfId="5564"/>
    <cellStyle name="计算 2 2 3 4 2 2 2 2" xfId="29672"/>
    <cellStyle name="计算 2 2 3 4 2 2 2 3" xfId="41478"/>
    <cellStyle name="计算 2 2 3 4 2 2 3" xfId="29671"/>
    <cellStyle name="计算 2 2 3 4 2 2 4" xfId="41477"/>
    <cellStyle name="计算 2 2 3 4 2 3" xfId="13176"/>
    <cellStyle name="计算 2 2 3 4 2 3 2" xfId="21005"/>
    <cellStyle name="计算 2 2 3 4 2 3 2 2" xfId="29674"/>
    <cellStyle name="计算 2 2 3 4 2 3 2 3" xfId="41480"/>
    <cellStyle name="计算 2 2 3 4 2 3 3" xfId="29673"/>
    <cellStyle name="计算 2 2 3 4 2 3 4" xfId="41479"/>
    <cellStyle name="计算 2 2 3 4 2 4" xfId="5563"/>
    <cellStyle name="计算 2 2 3 4 2 4 2" xfId="29675"/>
    <cellStyle name="计算 2 2 3 4 2 4 3" xfId="41481"/>
    <cellStyle name="计算 2 2 3 4 2 5" xfId="29670"/>
    <cellStyle name="计算 2 2 3 4 2 6" xfId="41476"/>
    <cellStyle name="计算 2 2 3 4 3" xfId="13177"/>
    <cellStyle name="计算 2 2 3 4 3 2" xfId="19439"/>
    <cellStyle name="计算 2 2 3 4 3 2 2" xfId="29677"/>
    <cellStyle name="计算 2 2 3 4 3 2 3" xfId="41483"/>
    <cellStyle name="计算 2 2 3 4 3 3" xfId="29676"/>
    <cellStyle name="计算 2 2 3 4 3 4" xfId="41482"/>
    <cellStyle name="计算 2 2 3 4 4" xfId="13178"/>
    <cellStyle name="计算 2 2 3 4 4 2" xfId="18871"/>
    <cellStyle name="计算 2 2 3 4 4 2 2" xfId="29679"/>
    <cellStyle name="计算 2 2 3 4 4 2 3" xfId="41485"/>
    <cellStyle name="计算 2 2 3 4 4 3" xfId="29678"/>
    <cellStyle name="计算 2 2 3 4 4 4" xfId="41484"/>
    <cellStyle name="计算 2 2 3 4 5" xfId="29680"/>
    <cellStyle name="计算 2 2 3 4 5 2" xfId="41486"/>
    <cellStyle name="计算 2 2 3 4 6" xfId="29669"/>
    <cellStyle name="计算 2 2 3 4 7" xfId="41475"/>
    <cellStyle name="计算 2 2 3 5" xfId="9661"/>
    <cellStyle name="计算 2 2 3 5 2" xfId="13179"/>
    <cellStyle name="计算 2 2 3 5 2 2" xfId="13180"/>
    <cellStyle name="计算 2 2 3 5 2 2 2" xfId="19437"/>
    <cellStyle name="计算 2 2 3 5 2 2 2 2" xfId="29684"/>
    <cellStyle name="计算 2 2 3 5 2 2 2 3" xfId="41490"/>
    <cellStyle name="计算 2 2 3 5 2 2 3" xfId="29683"/>
    <cellStyle name="计算 2 2 3 5 2 2 4" xfId="41489"/>
    <cellStyle name="计算 2 2 3 5 2 3" xfId="13181"/>
    <cellStyle name="计算 2 2 3 5 2 3 2" xfId="19436"/>
    <cellStyle name="计算 2 2 3 5 2 3 2 2" xfId="29686"/>
    <cellStyle name="计算 2 2 3 5 2 3 2 3" xfId="41492"/>
    <cellStyle name="计算 2 2 3 5 2 3 3" xfId="29685"/>
    <cellStyle name="计算 2 2 3 5 2 3 4" xfId="41491"/>
    <cellStyle name="计算 2 2 3 5 2 4" xfId="19438"/>
    <cellStyle name="计算 2 2 3 5 2 4 2" xfId="29687"/>
    <cellStyle name="计算 2 2 3 5 2 4 3" xfId="41493"/>
    <cellStyle name="计算 2 2 3 5 2 5" xfId="29682"/>
    <cellStyle name="计算 2 2 3 5 2 6" xfId="41488"/>
    <cellStyle name="计算 2 2 3 5 3" xfId="13182"/>
    <cellStyle name="计算 2 2 3 5 3 2" xfId="5567"/>
    <cellStyle name="计算 2 2 3 5 3 2 2" xfId="29689"/>
    <cellStyle name="计算 2 2 3 5 3 2 3" xfId="41495"/>
    <cellStyle name="计算 2 2 3 5 3 3" xfId="29688"/>
    <cellStyle name="计算 2 2 3 5 3 4" xfId="41494"/>
    <cellStyle name="计算 2 2 3 5 4" xfId="13183"/>
    <cellStyle name="计算 2 2 3 5 4 2" xfId="5568"/>
    <cellStyle name="计算 2 2 3 5 4 2 2" xfId="29691"/>
    <cellStyle name="计算 2 2 3 5 4 2 3" xfId="41497"/>
    <cellStyle name="计算 2 2 3 5 4 3" xfId="29690"/>
    <cellStyle name="计算 2 2 3 5 4 4" xfId="41496"/>
    <cellStyle name="计算 2 2 3 5 5" xfId="29692"/>
    <cellStyle name="计算 2 2 3 5 5 2" xfId="41498"/>
    <cellStyle name="计算 2 2 3 5 6" xfId="29681"/>
    <cellStyle name="计算 2 2 3 5 7" xfId="41487"/>
    <cellStyle name="计算 2 2 3 6" xfId="13184"/>
    <cellStyle name="计算 2 2 3 6 2" xfId="13185"/>
    <cellStyle name="计算 2 2 3 6 2 2" xfId="21004"/>
    <cellStyle name="计算 2 2 3 6 2 2 2" xfId="29695"/>
    <cellStyle name="计算 2 2 3 6 2 2 3" xfId="41501"/>
    <cellStyle name="计算 2 2 3 6 2 3" xfId="29694"/>
    <cellStyle name="计算 2 2 3 6 2 4" xfId="41500"/>
    <cellStyle name="计算 2 2 3 6 3" xfId="13186"/>
    <cellStyle name="计算 2 2 3 6 3 2" xfId="21003"/>
    <cellStyle name="计算 2 2 3 6 3 2 2" xfId="29697"/>
    <cellStyle name="计算 2 2 3 6 3 2 3" xfId="41503"/>
    <cellStyle name="计算 2 2 3 6 3 3" xfId="29696"/>
    <cellStyle name="计算 2 2 3 6 3 4" xfId="41502"/>
    <cellStyle name="计算 2 2 3 6 4" xfId="5570"/>
    <cellStyle name="计算 2 2 3 6 4 2" xfId="29698"/>
    <cellStyle name="计算 2 2 3 6 4 3" xfId="41504"/>
    <cellStyle name="计算 2 2 3 6 5" xfId="29693"/>
    <cellStyle name="计算 2 2 3 6 6" xfId="41499"/>
    <cellStyle name="计算 2 2 3 7" xfId="13187"/>
    <cellStyle name="计算 2 2 3 7 2" xfId="5571"/>
    <cellStyle name="计算 2 2 3 7 2 2" xfId="29700"/>
    <cellStyle name="计算 2 2 3 7 2 3" xfId="41506"/>
    <cellStyle name="计算 2 2 3 7 3" xfId="29699"/>
    <cellStyle name="计算 2 2 3 7 4" xfId="41505"/>
    <cellStyle name="计算 2 2 3 8" xfId="13188"/>
    <cellStyle name="计算 2 2 3 8 2" xfId="5572"/>
    <cellStyle name="计算 2 2 3 8 2 2" xfId="29702"/>
    <cellStyle name="计算 2 2 3 8 2 3" xfId="41508"/>
    <cellStyle name="计算 2 2 3 8 3" xfId="29701"/>
    <cellStyle name="计算 2 2 3 8 4" xfId="41507"/>
    <cellStyle name="计算 2 2 3 9" xfId="9657"/>
    <cellStyle name="计算 2 2 3 9 2" xfId="29703"/>
    <cellStyle name="计算 2 2 3 9 3" xfId="41509"/>
    <cellStyle name="计算 2 2 4" xfId="5175"/>
    <cellStyle name="计算 2 2 4 10" xfId="29704"/>
    <cellStyle name="计算 2 2 4 11" xfId="41510"/>
    <cellStyle name="计算 2 2 4 2" xfId="9663"/>
    <cellStyle name="计算 2 2 4 2 2" xfId="13189"/>
    <cellStyle name="计算 2 2 4 2 2 2" xfId="13190"/>
    <cellStyle name="计算 2 2 4 2 2 2 2" xfId="19434"/>
    <cellStyle name="计算 2 2 4 2 2 2 2 2" xfId="29708"/>
    <cellStyle name="计算 2 2 4 2 2 2 2 3" xfId="41514"/>
    <cellStyle name="计算 2 2 4 2 2 2 3" xfId="29707"/>
    <cellStyle name="计算 2 2 4 2 2 2 4" xfId="41513"/>
    <cellStyle name="计算 2 2 4 2 2 3" xfId="13191"/>
    <cellStyle name="计算 2 2 4 2 2 3 2" xfId="21002"/>
    <cellStyle name="计算 2 2 4 2 2 3 2 2" xfId="29710"/>
    <cellStyle name="计算 2 2 4 2 2 3 2 3" xfId="41516"/>
    <cellStyle name="计算 2 2 4 2 2 3 3" xfId="29709"/>
    <cellStyle name="计算 2 2 4 2 2 3 4" xfId="41515"/>
    <cellStyle name="计算 2 2 4 2 2 4" xfId="19435"/>
    <cellStyle name="计算 2 2 4 2 2 4 2" xfId="29711"/>
    <cellStyle name="计算 2 2 4 2 2 4 3" xfId="41517"/>
    <cellStyle name="计算 2 2 4 2 2 5" xfId="29706"/>
    <cellStyle name="计算 2 2 4 2 2 6" xfId="41512"/>
    <cellStyle name="计算 2 2 4 2 3" xfId="13192"/>
    <cellStyle name="计算 2 2 4 2 3 2" xfId="19433"/>
    <cellStyle name="计算 2 2 4 2 3 2 2" xfId="29713"/>
    <cellStyle name="计算 2 2 4 2 3 2 3" xfId="41519"/>
    <cellStyle name="计算 2 2 4 2 3 3" xfId="29712"/>
    <cellStyle name="计算 2 2 4 2 3 4" xfId="41518"/>
    <cellStyle name="计算 2 2 4 2 4" xfId="13193"/>
    <cellStyle name="计算 2 2 4 2 4 2" xfId="19432"/>
    <cellStyle name="计算 2 2 4 2 4 2 2" xfId="29715"/>
    <cellStyle name="计算 2 2 4 2 4 2 3" xfId="41521"/>
    <cellStyle name="计算 2 2 4 2 4 3" xfId="29714"/>
    <cellStyle name="计算 2 2 4 2 4 4" xfId="41520"/>
    <cellStyle name="计算 2 2 4 2 5" xfId="29716"/>
    <cellStyle name="计算 2 2 4 2 5 2" xfId="41522"/>
    <cellStyle name="计算 2 2 4 2 6" xfId="29705"/>
    <cellStyle name="计算 2 2 4 2 7" xfId="41511"/>
    <cellStyle name="计算 2 2 4 3" xfId="9664"/>
    <cellStyle name="计算 2 2 4 3 2" xfId="13194"/>
    <cellStyle name="计算 2 2 4 3 2 2" xfId="13195"/>
    <cellStyle name="计算 2 2 4 3 2 2 2" xfId="19430"/>
    <cellStyle name="计算 2 2 4 3 2 2 2 2" xfId="29720"/>
    <cellStyle name="计算 2 2 4 3 2 2 2 3" xfId="41526"/>
    <cellStyle name="计算 2 2 4 3 2 2 3" xfId="29719"/>
    <cellStyle name="计算 2 2 4 3 2 2 4" xfId="41525"/>
    <cellStyle name="计算 2 2 4 3 2 3" xfId="13196"/>
    <cellStyle name="计算 2 2 4 3 2 3 2" xfId="21001"/>
    <cellStyle name="计算 2 2 4 3 2 3 2 2" xfId="29722"/>
    <cellStyle name="计算 2 2 4 3 2 3 2 3" xfId="41528"/>
    <cellStyle name="计算 2 2 4 3 2 3 3" xfId="29721"/>
    <cellStyle name="计算 2 2 4 3 2 3 4" xfId="41527"/>
    <cellStyle name="计算 2 2 4 3 2 4" xfId="19431"/>
    <cellStyle name="计算 2 2 4 3 2 4 2" xfId="29723"/>
    <cellStyle name="计算 2 2 4 3 2 4 3" xfId="41529"/>
    <cellStyle name="计算 2 2 4 3 2 5" xfId="29718"/>
    <cellStyle name="计算 2 2 4 3 2 6" xfId="41524"/>
    <cellStyle name="计算 2 2 4 3 3" xfId="13197"/>
    <cellStyle name="计算 2 2 4 3 3 2" xfId="5574"/>
    <cellStyle name="计算 2 2 4 3 3 2 2" xfId="29725"/>
    <cellStyle name="计算 2 2 4 3 3 2 3" xfId="41531"/>
    <cellStyle name="计算 2 2 4 3 3 3" xfId="29724"/>
    <cellStyle name="计算 2 2 4 3 3 4" xfId="41530"/>
    <cellStyle name="计算 2 2 4 3 4" xfId="13198"/>
    <cellStyle name="计算 2 2 4 3 4 2" xfId="19429"/>
    <cellStyle name="计算 2 2 4 3 4 2 2" xfId="29727"/>
    <cellStyle name="计算 2 2 4 3 4 2 3" xfId="41533"/>
    <cellStyle name="计算 2 2 4 3 4 3" xfId="29726"/>
    <cellStyle name="计算 2 2 4 3 4 4" xfId="41532"/>
    <cellStyle name="计算 2 2 4 3 5" xfId="29728"/>
    <cellStyle name="计算 2 2 4 3 5 2" xfId="41534"/>
    <cellStyle name="计算 2 2 4 3 6" xfId="29717"/>
    <cellStyle name="计算 2 2 4 3 7" xfId="41523"/>
    <cellStyle name="计算 2 2 4 4" xfId="9665"/>
    <cellStyle name="计算 2 2 4 4 2" xfId="13199"/>
    <cellStyle name="计算 2 2 4 4 2 2" xfId="13200"/>
    <cellStyle name="计算 2 2 4 4 2 2 2" xfId="19427"/>
    <cellStyle name="计算 2 2 4 4 2 2 2 2" xfId="29732"/>
    <cellStyle name="计算 2 2 4 4 2 2 2 3" xfId="41538"/>
    <cellStyle name="计算 2 2 4 4 2 2 3" xfId="29731"/>
    <cellStyle name="计算 2 2 4 4 2 2 4" xfId="41537"/>
    <cellStyle name="计算 2 2 4 4 2 3" xfId="13201"/>
    <cellStyle name="计算 2 2 4 4 2 3 2" xfId="18620"/>
    <cellStyle name="计算 2 2 4 4 2 3 2 2" xfId="29734"/>
    <cellStyle name="计算 2 2 4 4 2 3 2 3" xfId="41540"/>
    <cellStyle name="计算 2 2 4 4 2 3 3" xfId="29733"/>
    <cellStyle name="计算 2 2 4 4 2 3 4" xfId="41539"/>
    <cellStyle name="计算 2 2 4 4 2 4" xfId="19428"/>
    <cellStyle name="计算 2 2 4 4 2 4 2" xfId="29735"/>
    <cellStyle name="计算 2 2 4 4 2 4 3" xfId="41541"/>
    <cellStyle name="计算 2 2 4 4 2 5" xfId="29730"/>
    <cellStyle name="计算 2 2 4 4 2 6" xfId="41536"/>
    <cellStyle name="计算 2 2 4 4 3" xfId="13202"/>
    <cellStyle name="计算 2 2 4 4 3 2" xfId="5575"/>
    <cellStyle name="计算 2 2 4 4 3 2 2" xfId="29737"/>
    <cellStyle name="计算 2 2 4 4 3 2 3" xfId="41543"/>
    <cellStyle name="计算 2 2 4 4 3 3" xfId="29736"/>
    <cellStyle name="计算 2 2 4 4 3 4" xfId="41542"/>
    <cellStyle name="计算 2 2 4 4 4" xfId="13203"/>
    <cellStyle name="计算 2 2 4 4 4 2" xfId="5576"/>
    <cellStyle name="计算 2 2 4 4 4 2 2" xfId="29739"/>
    <cellStyle name="计算 2 2 4 4 4 2 3" xfId="41545"/>
    <cellStyle name="计算 2 2 4 4 4 3" xfId="29738"/>
    <cellStyle name="计算 2 2 4 4 4 4" xfId="41544"/>
    <cellStyle name="计算 2 2 4 4 5" xfId="29740"/>
    <cellStyle name="计算 2 2 4 4 5 2" xfId="41546"/>
    <cellStyle name="计算 2 2 4 4 6" xfId="29729"/>
    <cellStyle name="计算 2 2 4 4 7" xfId="41535"/>
    <cellStyle name="计算 2 2 4 5" xfId="9666"/>
    <cellStyle name="计算 2 2 4 5 2" xfId="13204"/>
    <cellStyle name="计算 2 2 4 5 2 2" xfId="13205"/>
    <cellStyle name="计算 2 2 4 5 2 2 2" xfId="5579"/>
    <cellStyle name="计算 2 2 4 5 2 2 2 2" xfId="29744"/>
    <cellStyle name="计算 2 2 4 5 2 2 2 3" xfId="41550"/>
    <cellStyle name="计算 2 2 4 5 2 2 3" xfId="29743"/>
    <cellStyle name="计算 2 2 4 5 2 2 4" xfId="41549"/>
    <cellStyle name="计算 2 2 4 5 2 3" xfId="13206"/>
    <cellStyle name="计算 2 2 4 5 2 3 2" xfId="5580"/>
    <cellStyle name="计算 2 2 4 5 2 3 2 2" xfId="29746"/>
    <cellStyle name="计算 2 2 4 5 2 3 2 3" xfId="41552"/>
    <cellStyle name="计算 2 2 4 5 2 3 3" xfId="29745"/>
    <cellStyle name="计算 2 2 4 5 2 3 4" xfId="41551"/>
    <cellStyle name="计算 2 2 4 5 2 4" xfId="5578"/>
    <cellStyle name="计算 2 2 4 5 2 4 2" xfId="29747"/>
    <cellStyle name="计算 2 2 4 5 2 4 3" xfId="41553"/>
    <cellStyle name="计算 2 2 4 5 2 5" xfId="29742"/>
    <cellStyle name="计算 2 2 4 5 2 6" xfId="41548"/>
    <cellStyle name="计算 2 2 4 5 3" xfId="13207"/>
    <cellStyle name="计算 2 2 4 5 3 2" xfId="5582"/>
    <cellStyle name="计算 2 2 4 5 3 2 2" xfId="29749"/>
    <cellStyle name="计算 2 2 4 5 3 2 3" xfId="41555"/>
    <cellStyle name="计算 2 2 4 5 3 3" xfId="29748"/>
    <cellStyle name="计算 2 2 4 5 3 4" xfId="41554"/>
    <cellStyle name="计算 2 2 4 5 4" xfId="13208"/>
    <cellStyle name="计算 2 2 4 5 4 2" xfId="5583"/>
    <cellStyle name="计算 2 2 4 5 4 2 2" xfId="29751"/>
    <cellStyle name="计算 2 2 4 5 4 2 3" xfId="41557"/>
    <cellStyle name="计算 2 2 4 5 4 3" xfId="29750"/>
    <cellStyle name="计算 2 2 4 5 4 4" xfId="41556"/>
    <cellStyle name="计算 2 2 4 5 5" xfId="29752"/>
    <cellStyle name="计算 2 2 4 5 5 2" xfId="41558"/>
    <cellStyle name="计算 2 2 4 5 6" xfId="29741"/>
    <cellStyle name="计算 2 2 4 5 7" xfId="41547"/>
    <cellStyle name="计算 2 2 4 6" xfId="13209"/>
    <cellStyle name="计算 2 2 4 6 2" xfId="13210"/>
    <cellStyle name="计算 2 2 4 6 2 2" xfId="21000"/>
    <cellStyle name="计算 2 2 4 6 2 2 2" xfId="29755"/>
    <cellStyle name="计算 2 2 4 6 2 2 3" xfId="41561"/>
    <cellStyle name="计算 2 2 4 6 2 3" xfId="29754"/>
    <cellStyle name="计算 2 2 4 6 2 4" xfId="41560"/>
    <cellStyle name="计算 2 2 4 6 3" xfId="13211"/>
    <cellStyle name="计算 2 2 4 6 3 2" xfId="20999"/>
    <cellStyle name="计算 2 2 4 6 3 2 2" xfId="29757"/>
    <cellStyle name="计算 2 2 4 6 3 2 3" xfId="41563"/>
    <cellStyle name="计算 2 2 4 6 3 3" xfId="29756"/>
    <cellStyle name="计算 2 2 4 6 3 4" xfId="41562"/>
    <cellStyle name="计算 2 2 4 6 4" xfId="5584"/>
    <cellStyle name="计算 2 2 4 6 4 2" xfId="29758"/>
    <cellStyle name="计算 2 2 4 6 4 3" xfId="41564"/>
    <cellStyle name="计算 2 2 4 6 5" xfId="29753"/>
    <cellStyle name="计算 2 2 4 6 6" xfId="41559"/>
    <cellStyle name="计算 2 2 4 7" xfId="13212"/>
    <cellStyle name="计算 2 2 4 7 2" xfId="5586"/>
    <cellStyle name="计算 2 2 4 7 2 2" xfId="29760"/>
    <cellStyle name="计算 2 2 4 7 2 3" xfId="41566"/>
    <cellStyle name="计算 2 2 4 7 3" xfId="29759"/>
    <cellStyle name="计算 2 2 4 7 4" xfId="41565"/>
    <cellStyle name="计算 2 2 4 8" xfId="13213"/>
    <cellStyle name="计算 2 2 4 8 2" xfId="5587"/>
    <cellStyle name="计算 2 2 4 8 2 2" xfId="29762"/>
    <cellStyle name="计算 2 2 4 8 2 3" xfId="41568"/>
    <cellStyle name="计算 2 2 4 8 3" xfId="29761"/>
    <cellStyle name="计算 2 2 4 8 4" xfId="41567"/>
    <cellStyle name="计算 2 2 4 9" xfId="9662"/>
    <cellStyle name="计算 2 2 4 9 2" xfId="29763"/>
    <cellStyle name="计算 2 2 4 9 3" xfId="41569"/>
    <cellStyle name="计算 2 2 5" xfId="9667"/>
    <cellStyle name="计算 2 2 5 10" xfId="29764"/>
    <cellStyle name="计算 2 2 5 11" xfId="41570"/>
    <cellStyle name="计算 2 2 5 2" xfId="9668"/>
    <cellStyle name="计算 2 2 5 2 2" xfId="13214"/>
    <cellStyle name="计算 2 2 5 2 2 2" xfId="13215"/>
    <cellStyle name="计算 2 2 5 2 2 2 2" xfId="5590"/>
    <cellStyle name="计算 2 2 5 2 2 2 2 2" xfId="29768"/>
    <cellStyle name="计算 2 2 5 2 2 2 2 3" xfId="41574"/>
    <cellStyle name="计算 2 2 5 2 2 2 3" xfId="29767"/>
    <cellStyle name="计算 2 2 5 2 2 2 4" xfId="41573"/>
    <cellStyle name="计算 2 2 5 2 2 3" xfId="13216"/>
    <cellStyle name="计算 2 2 5 2 2 3 2" xfId="20998"/>
    <cellStyle name="计算 2 2 5 2 2 3 2 2" xfId="29770"/>
    <cellStyle name="计算 2 2 5 2 2 3 2 3" xfId="41576"/>
    <cellStyle name="计算 2 2 5 2 2 3 3" xfId="29769"/>
    <cellStyle name="计算 2 2 5 2 2 3 4" xfId="41575"/>
    <cellStyle name="计算 2 2 5 2 2 4" xfId="5588"/>
    <cellStyle name="计算 2 2 5 2 2 4 2" xfId="29771"/>
    <cellStyle name="计算 2 2 5 2 2 4 3" xfId="41577"/>
    <cellStyle name="计算 2 2 5 2 2 5" xfId="29766"/>
    <cellStyle name="计算 2 2 5 2 2 6" xfId="41572"/>
    <cellStyle name="计算 2 2 5 2 3" xfId="13217"/>
    <cellStyle name="计算 2 2 5 2 3 2" xfId="5591"/>
    <cellStyle name="计算 2 2 5 2 3 2 2" xfId="29773"/>
    <cellStyle name="计算 2 2 5 2 3 2 3" xfId="41579"/>
    <cellStyle name="计算 2 2 5 2 3 3" xfId="29772"/>
    <cellStyle name="计算 2 2 5 2 3 4" xfId="41578"/>
    <cellStyle name="计算 2 2 5 2 4" xfId="13218"/>
    <cellStyle name="计算 2 2 5 2 4 2" xfId="5592"/>
    <cellStyle name="计算 2 2 5 2 4 2 2" xfId="29775"/>
    <cellStyle name="计算 2 2 5 2 4 2 3" xfId="41581"/>
    <cellStyle name="计算 2 2 5 2 4 3" xfId="29774"/>
    <cellStyle name="计算 2 2 5 2 4 4" xfId="41580"/>
    <cellStyle name="计算 2 2 5 2 5" xfId="29776"/>
    <cellStyle name="计算 2 2 5 2 5 2" xfId="41582"/>
    <cellStyle name="计算 2 2 5 2 6" xfId="29765"/>
    <cellStyle name="计算 2 2 5 2 7" xfId="41571"/>
    <cellStyle name="计算 2 2 5 3" xfId="9669"/>
    <cellStyle name="计算 2 2 5 3 2" xfId="13219"/>
    <cellStyle name="计算 2 2 5 3 2 2" xfId="13220"/>
    <cellStyle name="计算 2 2 5 3 2 2 2" xfId="5595"/>
    <cellStyle name="计算 2 2 5 3 2 2 2 2" xfId="29780"/>
    <cellStyle name="计算 2 2 5 3 2 2 2 3" xfId="41586"/>
    <cellStyle name="计算 2 2 5 3 2 2 3" xfId="29779"/>
    <cellStyle name="计算 2 2 5 3 2 2 4" xfId="41585"/>
    <cellStyle name="计算 2 2 5 3 2 3" xfId="13221"/>
    <cellStyle name="计算 2 2 5 3 2 3 2" xfId="20997"/>
    <cellStyle name="计算 2 2 5 3 2 3 2 2" xfId="29782"/>
    <cellStyle name="计算 2 2 5 3 2 3 2 3" xfId="41588"/>
    <cellStyle name="计算 2 2 5 3 2 3 3" xfId="29781"/>
    <cellStyle name="计算 2 2 5 3 2 3 4" xfId="41587"/>
    <cellStyle name="计算 2 2 5 3 2 4" xfId="5594"/>
    <cellStyle name="计算 2 2 5 3 2 4 2" xfId="29783"/>
    <cellStyle name="计算 2 2 5 3 2 4 3" xfId="41589"/>
    <cellStyle name="计算 2 2 5 3 2 5" xfId="29778"/>
    <cellStyle name="计算 2 2 5 3 2 6" xfId="41584"/>
    <cellStyle name="计算 2 2 5 3 3" xfId="13222"/>
    <cellStyle name="计算 2 2 5 3 3 2" xfId="5596"/>
    <cellStyle name="计算 2 2 5 3 3 2 2" xfId="29785"/>
    <cellStyle name="计算 2 2 5 3 3 2 3" xfId="41591"/>
    <cellStyle name="计算 2 2 5 3 3 3" xfId="29784"/>
    <cellStyle name="计算 2 2 5 3 3 4" xfId="41590"/>
    <cellStyle name="计算 2 2 5 3 4" xfId="13223"/>
    <cellStyle name="计算 2 2 5 3 4 2" xfId="5598"/>
    <cellStyle name="计算 2 2 5 3 4 2 2" xfId="29787"/>
    <cellStyle name="计算 2 2 5 3 4 2 3" xfId="41593"/>
    <cellStyle name="计算 2 2 5 3 4 3" xfId="29786"/>
    <cellStyle name="计算 2 2 5 3 4 4" xfId="41592"/>
    <cellStyle name="计算 2 2 5 3 5" xfId="29788"/>
    <cellStyle name="计算 2 2 5 3 5 2" xfId="41594"/>
    <cellStyle name="计算 2 2 5 3 6" xfId="29777"/>
    <cellStyle name="计算 2 2 5 3 7" xfId="41583"/>
    <cellStyle name="计算 2 2 5 4" xfId="9670"/>
    <cellStyle name="计算 2 2 5 4 2" xfId="13224"/>
    <cellStyle name="计算 2 2 5 4 2 2" xfId="13225"/>
    <cellStyle name="计算 2 2 5 4 2 2 2" xfId="5600"/>
    <cellStyle name="计算 2 2 5 4 2 2 2 2" xfId="29792"/>
    <cellStyle name="计算 2 2 5 4 2 2 2 3" xfId="41598"/>
    <cellStyle name="计算 2 2 5 4 2 2 3" xfId="29791"/>
    <cellStyle name="计算 2 2 5 4 2 2 4" xfId="41597"/>
    <cellStyle name="计算 2 2 5 4 2 3" xfId="13226"/>
    <cellStyle name="计算 2 2 5 4 2 3 2" xfId="20996"/>
    <cellStyle name="计算 2 2 5 4 2 3 2 2" xfId="29794"/>
    <cellStyle name="计算 2 2 5 4 2 3 2 3" xfId="41600"/>
    <cellStyle name="计算 2 2 5 4 2 3 3" xfId="29793"/>
    <cellStyle name="计算 2 2 5 4 2 3 4" xfId="41599"/>
    <cellStyle name="计算 2 2 5 4 2 4" xfId="5599"/>
    <cellStyle name="计算 2 2 5 4 2 4 2" xfId="29795"/>
    <cellStyle name="计算 2 2 5 4 2 4 3" xfId="41601"/>
    <cellStyle name="计算 2 2 5 4 2 5" xfId="29790"/>
    <cellStyle name="计算 2 2 5 4 2 6" xfId="41596"/>
    <cellStyle name="计算 2 2 5 4 3" xfId="13227"/>
    <cellStyle name="计算 2 2 5 4 3 2" xfId="5602"/>
    <cellStyle name="计算 2 2 5 4 3 2 2" xfId="29797"/>
    <cellStyle name="计算 2 2 5 4 3 2 3" xfId="41603"/>
    <cellStyle name="计算 2 2 5 4 3 3" xfId="29796"/>
    <cellStyle name="计算 2 2 5 4 3 4" xfId="41602"/>
    <cellStyle name="计算 2 2 5 4 4" xfId="13228"/>
    <cellStyle name="计算 2 2 5 4 4 2" xfId="19750"/>
    <cellStyle name="计算 2 2 5 4 4 2 2" xfId="29799"/>
    <cellStyle name="计算 2 2 5 4 4 2 3" xfId="41605"/>
    <cellStyle name="计算 2 2 5 4 4 3" xfId="29798"/>
    <cellStyle name="计算 2 2 5 4 4 4" xfId="41604"/>
    <cellStyle name="计算 2 2 5 4 5" xfId="29800"/>
    <cellStyle name="计算 2 2 5 4 5 2" xfId="41606"/>
    <cellStyle name="计算 2 2 5 4 6" xfId="29789"/>
    <cellStyle name="计算 2 2 5 4 7" xfId="41595"/>
    <cellStyle name="计算 2 2 5 5" xfId="9671"/>
    <cellStyle name="计算 2 2 5 5 2" xfId="13229"/>
    <cellStyle name="计算 2 2 5 5 2 2" xfId="13230"/>
    <cellStyle name="计算 2 2 5 5 2 2 2" xfId="5604"/>
    <cellStyle name="计算 2 2 5 5 2 2 2 2" xfId="29804"/>
    <cellStyle name="计算 2 2 5 5 2 2 2 3" xfId="41610"/>
    <cellStyle name="计算 2 2 5 5 2 2 3" xfId="29803"/>
    <cellStyle name="计算 2 2 5 5 2 2 4" xfId="41609"/>
    <cellStyle name="计算 2 2 5 5 2 3" xfId="13231"/>
    <cellStyle name="计算 2 2 5 5 2 3 2" xfId="5611"/>
    <cellStyle name="计算 2 2 5 5 2 3 2 2" xfId="29806"/>
    <cellStyle name="计算 2 2 5 5 2 3 2 3" xfId="41612"/>
    <cellStyle name="计算 2 2 5 5 2 3 3" xfId="29805"/>
    <cellStyle name="计算 2 2 5 5 2 3 4" xfId="41611"/>
    <cellStyle name="计算 2 2 5 5 2 4" xfId="5603"/>
    <cellStyle name="计算 2 2 5 5 2 4 2" xfId="29807"/>
    <cellStyle name="计算 2 2 5 5 2 4 3" xfId="41613"/>
    <cellStyle name="计算 2 2 5 5 2 5" xfId="29802"/>
    <cellStyle name="计算 2 2 5 5 2 6" xfId="41608"/>
    <cellStyle name="计算 2 2 5 5 3" xfId="13232"/>
    <cellStyle name="计算 2 2 5 5 3 2" xfId="5619"/>
    <cellStyle name="计算 2 2 5 5 3 2 2" xfId="29809"/>
    <cellStyle name="计算 2 2 5 5 3 2 3" xfId="41615"/>
    <cellStyle name="计算 2 2 5 5 3 3" xfId="29808"/>
    <cellStyle name="计算 2 2 5 5 3 4" xfId="41614"/>
    <cellStyle name="计算 2 2 5 5 4" xfId="13233"/>
    <cellStyle name="计算 2 2 5 5 4 2" xfId="5635"/>
    <cellStyle name="计算 2 2 5 5 4 2 2" xfId="29811"/>
    <cellStyle name="计算 2 2 5 5 4 2 3" xfId="41617"/>
    <cellStyle name="计算 2 2 5 5 4 3" xfId="29810"/>
    <cellStyle name="计算 2 2 5 5 4 4" xfId="41616"/>
    <cellStyle name="计算 2 2 5 5 5" xfId="29812"/>
    <cellStyle name="计算 2 2 5 5 5 2" xfId="41618"/>
    <cellStyle name="计算 2 2 5 5 6" xfId="29801"/>
    <cellStyle name="计算 2 2 5 5 7" xfId="41607"/>
    <cellStyle name="计算 2 2 5 6" xfId="13234"/>
    <cellStyle name="计算 2 2 5 6 2" xfId="13235"/>
    <cellStyle name="计算 2 2 5 6 2 2" xfId="5651"/>
    <cellStyle name="计算 2 2 5 6 2 2 2" xfId="29815"/>
    <cellStyle name="计算 2 2 5 6 2 2 3" xfId="41621"/>
    <cellStyle name="计算 2 2 5 6 2 3" xfId="29814"/>
    <cellStyle name="计算 2 2 5 6 2 4" xfId="41620"/>
    <cellStyle name="计算 2 2 5 6 3" xfId="13236"/>
    <cellStyle name="计算 2 2 5 6 3 2" xfId="18619"/>
    <cellStyle name="计算 2 2 5 6 3 2 2" xfId="29817"/>
    <cellStyle name="计算 2 2 5 6 3 2 3" xfId="41623"/>
    <cellStyle name="计算 2 2 5 6 3 3" xfId="29816"/>
    <cellStyle name="计算 2 2 5 6 3 4" xfId="41622"/>
    <cellStyle name="计算 2 2 5 6 4" xfId="5643"/>
    <cellStyle name="计算 2 2 5 6 4 2" xfId="29818"/>
    <cellStyle name="计算 2 2 5 6 4 3" xfId="41624"/>
    <cellStyle name="计算 2 2 5 6 5" xfId="29813"/>
    <cellStyle name="计算 2 2 5 6 6" xfId="41619"/>
    <cellStyle name="计算 2 2 5 7" xfId="13237"/>
    <cellStyle name="计算 2 2 5 7 2" xfId="20995"/>
    <cellStyle name="计算 2 2 5 7 2 2" xfId="29820"/>
    <cellStyle name="计算 2 2 5 7 2 3" xfId="41626"/>
    <cellStyle name="计算 2 2 5 7 3" xfId="29819"/>
    <cellStyle name="计算 2 2 5 7 4" xfId="41625"/>
    <cellStyle name="计算 2 2 5 8" xfId="13238"/>
    <cellStyle name="计算 2 2 5 8 2" xfId="5659"/>
    <cellStyle name="计算 2 2 5 8 2 2" xfId="29822"/>
    <cellStyle name="计算 2 2 5 8 2 3" xfId="41628"/>
    <cellStyle name="计算 2 2 5 8 3" xfId="29821"/>
    <cellStyle name="计算 2 2 5 8 4" xfId="41627"/>
    <cellStyle name="计算 2 2 5 9" xfId="29823"/>
    <cellStyle name="计算 2 2 5 9 2" xfId="41629"/>
    <cellStyle name="计算 2 2 6" xfId="9672"/>
    <cellStyle name="计算 2 2 6 10" xfId="29824"/>
    <cellStyle name="计算 2 2 6 11" xfId="41630"/>
    <cellStyle name="计算 2 2 6 2" xfId="9673"/>
    <cellStyle name="计算 2 2 6 2 2" xfId="13239"/>
    <cellStyle name="计算 2 2 6 2 2 2" xfId="13240"/>
    <cellStyle name="计算 2 2 6 2 2 2 2" xfId="5669"/>
    <cellStyle name="计算 2 2 6 2 2 2 2 2" xfId="29828"/>
    <cellStyle name="计算 2 2 6 2 2 2 2 3" xfId="41634"/>
    <cellStyle name="计算 2 2 6 2 2 2 3" xfId="29827"/>
    <cellStyle name="计算 2 2 6 2 2 2 4" xfId="41633"/>
    <cellStyle name="计算 2 2 6 2 2 3" xfId="13241"/>
    <cellStyle name="计算 2 2 6 2 2 3 2" xfId="5671"/>
    <cellStyle name="计算 2 2 6 2 2 3 2 2" xfId="29830"/>
    <cellStyle name="计算 2 2 6 2 2 3 2 3" xfId="41636"/>
    <cellStyle name="计算 2 2 6 2 2 3 3" xfId="29829"/>
    <cellStyle name="计算 2 2 6 2 2 3 4" xfId="41635"/>
    <cellStyle name="计算 2 2 6 2 2 4" xfId="5668"/>
    <cellStyle name="计算 2 2 6 2 2 4 2" xfId="29831"/>
    <cellStyle name="计算 2 2 6 2 2 4 3" xfId="41637"/>
    <cellStyle name="计算 2 2 6 2 2 5" xfId="29826"/>
    <cellStyle name="计算 2 2 6 2 2 6" xfId="41632"/>
    <cellStyle name="计算 2 2 6 2 3" xfId="13242"/>
    <cellStyle name="计算 2 2 6 2 3 2" xfId="20994"/>
    <cellStyle name="计算 2 2 6 2 3 2 2" xfId="29833"/>
    <cellStyle name="计算 2 2 6 2 3 2 3" xfId="41639"/>
    <cellStyle name="计算 2 2 6 2 3 3" xfId="29832"/>
    <cellStyle name="计算 2 2 6 2 3 4" xfId="41638"/>
    <cellStyle name="计算 2 2 6 2 4" xfId="13243"/>
    <cellStyle name="计算 2 2 6 2 4 2" xfId="5672"/>
    <cellStyle name="计算 2 2 6 2 4 2 2" xfId="29835"/>
    <cellStyle name="计算 2 2 6 2 4 2 3" xfId="41641"/>
    <cellStyle name="计算 2 2 6 2 4 3" xfId="29834"/>
    <cellStyle name="计算 2 2 6 2 4 4" xfId="41640"/>
    <cellStyle name="计算 2 2 6 2 5" xfId="29836"/>
    <cellStyle name="计算 2 2 6 2 5 2" xfId="41642"/>
    <cellStyle name="计算 2 2 6 2 6" xfId="29825"/>
    <cellStyle name="计算 2 2 6 2 7" xfId="41631"/>
    <cellStyle name="计算 2 2 6 3" xfId="9674"/>
    <cellStyle name="计算 2 2 6 3 2" xfId="13244"/>
    <cellStyle name="计算 2 2 6 3 2 2" xfId="13245"/>
    <cellStyle name="计算 2 2 6 3 2 2 2" xfId="5675"/>
    <cellStyle name="计算 2 2 6 3 2 2 2 2" xfId="29840"/>
    <cellStyle name="计算 2 2 6 3 2 2 2 3" xfId="41646"/>
    <cellStyle name="计算 2 2 6 3 2 2 3" xfId="29839"/>
    <cellStyle name="计算 2 2 6 3 2 2 4" xfId="41645"/>
    <cellStyle name="计算 2 2 6 3 2 3" xfId="13246"/>
    <cellStyle name="计算 2 2 6 3 2 3 2" xfId="5677"/>
    <cellStyle name="计算 2 2 6 3 2 3 2 2" xfId="29842"/>
    <cellStyle name="计算 2 2 6 3 2 3 2 3" xfId="41648"/>
    <cellStyle name="计算 2 2 6 3 2 3 3" xfId="29841"/>
    <cellStyle name="计算 2 2 6 3 2 3 4" xfId="41647"/>
    <cellStyle name="计算 2 2 6 3 2 4" xfId="5674"/>
    <cellStyle name="计算 2 2 6 3 2 4 2" xfId="29843"/>
    <cellStyle name="计算 2 2 6 3 2 4 3" xfId="41649"/>
    <cellStyle name="计算 2 2 6 3 2 5" xfId="29838"/>
    <cellStyle name="计算 2 2 6 3 2 6" xfId="41644"/>
    <cellStyle name="计算 2 2 6 3 3" xfId="13247"/>
    <cellStyle name="计算 2 2 6 3 3 2" xfId="20993"/>
    <cellStyle name="计算 2 2 6 3 3 2 2" xfId="29845"/>
    <cellStyle name="计算 2 2 6 3 3 2 3" xfId="41651"/>
    <cellStyle name="计算 2 2 6 3 3 3" xfId="29844"/>
    <cellStyle name="计算 2 2 6 3 3 4" xfId="41650"/>
    <cellStyle name="计算 2 2 6 3 4" xfId="13248"/>
    <cellStyle name="计算 2 2 6 3 4 2" xfId="5678"/>
    <cellStyle name="计算 2 2 6 3 4 2 2" xfId="29847"/>
    <cellStyle name="计算 2 2 6 3 4 2 3" xfId="41653"/>
    <cellStyle name="计算 2 2 6 3 4 3" xfId="29846"/>
    <cellStyle name="计算 2 2 6 3 4 4" xfId="41652"/>
    <cellStyle name="计算 2 2 6 3 5" xfId="29848"/>
    <cellStyle name="计算 2 2 6 3 5 2" xfId="41654"/>
    <cellStyle name="计算 2 2 6 3 6" xfId="29837"/>
    <cellStyle name="计算 2 2 6 3 7" xfId="41643"/>
    <cellStyle name="计算 2 2 6 4" xfId="9675"/>
    <cellStyle name="计算 2 2 6 4 2" xfId="13249"/>
    <cellStyle name="计算 2 2 6 4 2 2" xfId="13250"/>
    <cellStyle name="计算 2 2 6 4 2 2 2" xfId="5681"/>
    <cellStyle name="计算 2 2 6 4 2 2 2 2" xfId="29852"/>
    <cellStyle name="计算 2 2 6 4 2 2 2 3" xfId="41658"/>
    <cellStyle name="计算 2 2 6 4 2 2 3" xfId="29851"/>
    <cellStyle name="计算 2 2 6 4 2 2 4" xfId="41657"/>
    <cellStyle name="计算 2 2 6 4 2 3" xfId="13251"/>
    <cellStyle name="计算 2 2 6 4 2 3 2" xfId="5683"/>
    <cellStyle name="计算 2 2 6 4 2 3 2 2" xfId="29854"/>
    <cellStyle name="计算 2 2 6 4 2 3 2 3" xfId="41660"/>
    <cellStyle name="计算 2 2 6 4 2 3 3" xfId="29853"/>
    <cellStyle name="计算 2 2 6 4 2 3 4" xfId="41659"/>
    <cellStyle name="计算 2 2 6 4 2 4" xfId="5680"/>
    <cellStyle name="计算 2 2 6 4 2 4 2" xfId="29855"/>
    <cellStyle name="计算 2 2 6 4 2 4 3" xfId="41661"/>
    <cellStyle name="计算 2 2 6 4 2 5" xfId="29850"/>
    <cellStyle name="计算 2 2 6 4 2 6" xfId="41656"/>
    <cellStyle name="计算 2 2 6 4 3" xfId="13252"/>
    <cellStyle name="计算 2 2 6 4 3 2" xfId="20992"/>
    <cellStyle name="计算 2 2 6 4 3 2 2" xfId="29857"/>
    <cellStyle name="计算 2 2 6 4 3 2 3" xfId="41663"/>
    <cellStyle name="计算 2 2 6 4 3 3" xfId="29856"/>
    <cellStyle name="计算 2 2 6 4 3 4" xfId="41662"/>
    <cellStyle name="计算 2 2 6 4 4" xfId="13253"/>
    <cellStyle name="计算 2 2 6 4 4 2" xfId="5684"/>
    <cellStyle name="计算 2 2 6 4 4 2 2" xfId="29859"/>
    <cellStyle name="计算 2 2 6 4 4 2 3" xfId="41665"/>
    <cellStyle name="计算 2 2 6 4 4 3" xfId="29858"/>
    <cellStyle name="计算 2 2 6 4 4 4" xfId="41664"/>
    <cellStyle name="计算 2 2 6 4 5" xfId="29860"/>
    <cellStyle name="计算 2 2 6 4 5 2" xfId="41666"/>
    <cellStyle name="计算 2 2 6 4 6" xfId="29849"/>
    <cellStyle name="计算 2 2 6 4 7" xfId="41655"/>
    <cellStyle name="计算 2 2 6 5" xfId="9676"/>
    <cellStyle name="计算 2 2 6 5 2" xfId="13254"/>
    <cellStyle name="计算 2 2 6 5 2 2" xfId="13255"/>
    <cellStyle name="计算 2 2 6 5 2 2 2" xfId="5687"/>
    <cellStyle name="计算 2 2 6 5 2 2 2 2" xfId="29864"/>
    <cellStyle name="计算 2 2 6 5 2 2 2 3" xfId="41670"/>
    <cellStyle name="计算 2 2 6 5 2 2 3" xfId="29863"/>
    <cellStyle name="计算 2 2 6 5 2 2 4" xfId="41669"/>
    <cellStyle name="计算 2 2 6 5 2 3" xfId="13256"/>
    <cellStyle name="计算 2 2 6 5 2 3 2" xfId="5688"/>
    <cellStyle name="计算 2 2 6 5 2 3 2 2" xfId="29866"/>
    <cellStyle name="计算 2 2 6 5 2 3 2 3" xfId="41672"/>
    <cellStyle name="计算 2 2 6 5 2 3 3" xfId="29865"/>
    <cellStyle name="计算 2 2 6 5 2 3 4" xfId="41671"/>
    <cellStyle name="计算 2 2 6 5 2 4" xfId="5686"/>
    <cellStyle name="计算 2 2 6 5 2 4 2" xfId="29867"/>
    <cellStyle name="计算 2 2 6 5 2 4 3" xfId="41673"/>
    <cellStyle name="计算 2 2 6 5 2 5" xfId="29862"/>
    <cellStyle name="计算 2 2 6 5 2 6" xfId="41668"/>
    <cellStyle name="计算 2 2 6 5 3" xfId="13257"/>
    <cellStyle name="计算 2 2 6 5 3 2" xfId="19426"/>
    <cellStyle name="计算 2 2 6 5 3 2 2" xfId="29869"/>
    <cellStyle name="计算 2 2 6 5 3 2 3" xfId="41675"/>
    <cellStyle name="计算 2 2 6 5 3 3" xfId="29868"/>
    <cellStyle name="计算 2 2 6 5 3 4" xfId="41674"/>
    <cellStyle name="计算 2 2 6 5 4" xfId="13258"/>
    <cellStyle name="计算 2 2 6 5 4 2" xfId="19425"/>
    <cellStyle name="计算 2 2 6 5 4 2 2" xfId="29871"/>
    <cellStyle name="计算 2 2 6 5 4 2 3" xfId="41677"/>
    <cellStyle name="计算 2 2 6 5 4 3" xfId="29870"/>
    <cellStyle name="计算 2 2 6 5 4 4" xfId="41676"/>
    <cellStyle name="计算 2 2 6 5 5" xfId="29872"/>
    <cellStyle name="计算 2 2 6 5 5 2" xfId="41678"/>
    <cellStyle name="计算 2 2 6 5 6" xfId="29861"/>
    <cellStyle name="计算 2 2 6 5 7" xfId="41667"/>
    <cellStyle name="计算 2 2 6 6" xfId="13259"/>
    <cellStyle name="计算 2 2 6 6 2" xfId="13260"/>
    <cellStyle name="计算 2 2 6 6 2 2" xfId="5690"/>
    <cellStyle name="计算 2 2 6 6 2 2 2" xfId="29875"/>
    <cellStyle name="计算 2 2 6 6 2 2 3" xfId="41681"/>
    <cellStyle name="计算 2 2 6 6 2 3" xfId="29874"/>
    <cellStyle name="计算 2 2 6 6 2 4" xfId="41680"/>
    <cellStyle name="计算 2 2 6 6 3" xfId="13261"/>
    <cellStyle name="计算 2 2 6 6 3 2" xfId="20991"/>
    <cellStyle name="计算 2 2 6 6 3 2 2" xfId="29877"/>
    <cellStyle name="计算 2 2 6 6 3 2 3" xfId="41683"/>
    <cellStyle name="计算 2 2 6 6 3 3" xfId="29876"/>
    <cellStyle name="计算 2 2 6 6 3 4" xfId="41682"/>
    <cellStyle name="计算 2 2 6 6 4" xfId="19424"/>
    <cellStyle name="计算 2 2 6 6 4 2" xfId="29878"/>
    <cellStyle name="计算 2 2 6 6 4 3" xfId="41684"/>
    <cellStyle name="计算 2 2 6 6 5" xfId="29873"/>
    <cellStyle name="计算 2 2 6 6 6" xfId="41679"/>
    <cellStyle name="计算 2 2 6 7" xfId="13262"/>
    <cellStyle name="计算 2 2 6 7 2" xfId="18618"/>
    <cellStyle name="计算 2 2 6 7 2 2" xfId="29880"/>
    <cellStyle name="计算 2 2 6 7 2 3" xfId="41686"/>
    <cellStyle name="计算 2 2 6 7 3" xfId="29879"/>
    <cellStyle name="计算 2 2 6 7 4" xfId="41685"/>
    <cellStyle name="计算 2 2 6 8" xfId="13263"/>
    <cellStyle name="计算 2 2 6 8 2" xfId="19423"/>
    <cellStyle name="计算 2 2 6 8 2 2" xfId="29882"/>
    <cellStyle name="计算 2 2 6 8 2 3" xfId="41688"/>
    <cellStyle name="计算 2 2 6 8 3" xfId="29881"/>
    <cellStyle name="计算 2 2 6 8 4" xfId="41687"/>
    <cellStyle name="计算 2 2 6 9" xfId="29883"/>
    <cellStyle name="计算 2 2 6 9 2" xfId="41689"/>
    <cellStyle name="计算 2 2 7" xfId="9677"/>
    <cellStyle name="计算 2 2 7 10" xfId="29884"/>
    <cellStyle name="计算 2 2 7 11" xfId="41690"/>
    <cellStyle name="计算 2 2 7 2" xfId="9678"/>
    <cellStyle name="计算 2 2 7 2 2" xfId="13264"/>
    <cellStyle name="计算 2 2 7 2 2 2" xfId="13265"/>
    <cellStyle name="计算 2 2 7 2 2 2 2" xfId="19421"/>
    <cellStyle name="计算 2 2 7 2 2 2 2 2" xfId="29888"/>
    <cellStyle name="计算 2 2 7 2 2 2 2 3" xfId="41694"/>
    <cellStyle name="计算 2 2 7 2 2 2 3" xfId="29887"/>
    <cellStyle name="计算 2 2 7 2 2 2 4" xfId="41693"/>
    <cellStyle name="计算 2 2 7 2 2 3" xfId="13266"/>
    <cellStyle name="计算 2 2 7 2 2 3 2" xfId="5691"/>
    <cellStyle name="计算 2 2 7 2 2 3 2 2" xfId="29890"/>
    <cellStyle name="计算 2 2 7 2 2 3 2 3" xfId="41696"/>
    <cellStyle name="计算 2 2 7 2 2 3 3" xfId="29889"/>
    <cellStyle name="计算 2 2 7 2 2 3 4" xfId="41695"/>
    <cellStyle name="计算 2 2 7 2 2 4" xfId="19422"/>
    <cellStyle name="计算 2 2 7 2 2 4 2" xfId="29891"/>
    <cellStyle name="计算 2 2 7 2 2 4 3" xfId="41697"/>
    <cellStyle name="计算 2 2 7 2 2 5" xfId="29886"/>
    <cellStyle name="计算 2 2 7 2 2 6" xfId="41692"/>
    <cellStyle name="计算 2 2 7 2 3" xfId="13267"/>
    <cellStyle name="计算 2 2 7 2 3 2" xfId="20990"/>
    <cellStyle name="计算 2 2 7 2 3 2 2" xfId="29893"/>
    <cellStyle name="计算 2 2 7 2 3 2 3" xfId="41699"/>
    <cellStyle name="计算 2 2 7 2 3 3" xfId="29892"/>
    <cellStyle name="计算 2 2 7 2 3 4" xfId="41698"/>
    <cellStyle name="计算 2 2 7 2 4" xfId="13268"/>
    <cellStyle name="计算 2 2 7 2 4 2" xfId="5692"/>
    <cellStyle name="计算 2 2 7 2 4 2 2" xfId="29895"/>
    <cellStyle name="计算 2 2 7 2 4 2 3" xfId="41701"/>
    <cellStyle name="计算 2 2 7 2 4 3" xfId="29894"/>
    <cellStyle name="计算 2 2 7 2 4 4" xfId="41700"/>
    <cellStyle name="计算 2 2 7 2 5" xfId="29896"/>
    <cellStyle name="计算 2 2 7 2 5 2" xfId="41702"/>
    <cellStyle name="计算 2 2 7 2 6" xfId="29885"/>
    <cellStyle name="计算 2 2 7 2 7" xfId="41691"/>
    <cellStyle name="计算 2 2 7 3" xfId="9679"/>
    <cellStyle name="计算 2 2 7 3 2" xfId="13269"/>
    <cellStyle name="计算 2 2 7 3 2 2" xfId="13270"/>
    <cellStyle name="计算 2 2 7 3 2 2 2" xfId="5695"/>
    <cellStyle name="计算 2 2 7 3 2 2 2 2" xfId="29900"/>
    <cellStyle name="计算 2 2 7 3 2 2 2 3" xfId="41706"/>
    <cellStyle name="计算 2 2 7 3 2 2 3" xfId="29899"/>
    <cellStyle name="计算 2 2 7 3 2 2 4" xfId="41705"/>
    <cellStyle name="计算 2 2 7 3 2 3" xfId="13271"/>
    <cellStyle name="计算 2 2 7 3 2 3 2" xfId="5696"/>
    <cellStyle name="计算 2 2 7 3 2 3 2 2" xfId="29902"/>
    <cellStyle name="计算 2 2 7 3 2 3 2 3" xfId="41708"/>
    <cellStyle name="计算 2 2 7 3 2 3 3" xfId="29901"/>
    <cellStyle name="计算 2 2 7 3 2 3 4" xfId="41707"/>
    <cellStyle name="计算 2 2 7 3 2 4" xfId="5694"/>
    <cellStyle name="计算 2 2 7 3 2 4 2" xfId="29903"/>
    <cellStyle name="计算 2 2 7 3 2 4 3" xfId="41709"/>
    <cellStyle name="计算 2 2 7 3 2 5" xfId="29898"/>
    <cellStyle name="计算 2 2 7 3 2 6" xfId="41704"/>
    <cellStyle name="计算 2 2 7 3 3" xfId="13272"/>
    <cellStyle name="计算 2 2 7 3 3 2" xfId="20989"/>
    <cellStyle name="计算 2 2 7 3 3 2 2" xfId="29905"/>
    <cellStyle name="计算 2 2 7 3 3 2 3" xfId="41711"/>
    <cellStyle name="计算 2 2 7 3 3 3" xfId="29904"/>
    <cellStyle name="计算 2 2 7 3 3 4" xfId="41710"/>
    <cellStyle name="计算 2 2 7 3 4" xfId="13273"/>
    <cellStyle name="计算 2 2 7 3 4 2" xfId="5698"/>
    <cellStyle name="计算 2 2 7 3 4 2 2" xfId="29907"/>
    <cellStyle name="计算 2 2 7 3 4 2 3" xfId="41713"/>
    <cellStyle name="计算 2 2 7 3 4 3" xfId="29906"/>
    <cellStyle name="计算 2 2 7 3 4 4" xfId="41712"/>
    <cellStyle name="计算 2 2 7 3 5" xfId="29908"/>
    <cellStyle name="计算 2 2 7 3 5 2" xfId="41714"/>
    <cellStyle name="计算 2 2 7 3 6" xfId="29897"/>
    <cellStyle name="计算 2 2 7 3 7" xfId="41703"/>
    <cellStyle name="计算 2 2 7 4" xfId="9680"/>
    <cellStyle name="计算 2 2 7 4 2" xfId="13274"/>
    <cellStyle name="计算 2 2 7 4 2 2" xfId="13275"/>
    <cellStyle name="计算 2 2 7 4 2 2 2" xfId="19419"/>
    <cellStyle name="计算 2 2 7 4 2 2 2 2" xfId="29912"/>
    <cellStyle name="计算 2 2 7 4 2 2 2 3" xfId="41718"/>
    <cellStyle name="计算 2 2 7 4 2 2 3" xfId="29911"/>
    <cellStyle name="计算 2 2 7 4 2 2 4" xfId="41717"/>
    <cellStyle name="计算 2 2 7 4 2 3" xfId="13276"/>
    <cellStyle name="计算 2 2 7 4 2 3 2" xfId="19418"/>
    <cellStyle name="计算 2 2 7 4 2 3 2 2" xfId="29914"/>
    <cellStyle name="计算 2 2 7 4 2 3 2 3" xfId="41720"/>
    <cellStyle name="计算 2 2 7 4 2 3 3" xfId="29913"/>
    <cellStyle name="计算 2 2 7 4 2 3 4" xfId="41719"/>
    <cellStyle name="计算 2 2 7 4 2 4" xfId="19420"/>
    <cellStyle name="计算 2 2 7 4 2 4 2" xfId="29915"/>
    <cellStyle name="计算 2 2 7 4 2 4 3" xfId="41721"/>
    <cellStyle name="计算 2 2 7 4 2 5" xfId="29910"/>
    <cellStyle name="计算 2 2 7 4 2 6" xfId="41716"/>
    <cellStyle name="计算 2 2 7 4 3" xfId="13277"/>
    <cellStyle name="计算 2 2 7 4 3 2" xfId="20988"/>
    <cellStyle name="计算 2 2 7 4 3 2 2" xfId="29917"/>
    <cellStyle name="计算 2 2 7 4 3 2 3" xfId="41723"/>
    <cellStyle name="计算 2 2 7 4 3 3" xfId="29916"/>
    <cellStyle name="计算 2 2 7 4 3 4" xfId="41722"/>
    <cellStyle name="计算 2 2 7 4 4" xfId="13278"/>
    <cellStyle name="计算 2 2 7 4 4 2" xfId="5699"/>
    <cellStyle name="计算 2 2 7 4 4 2 2" xfId="29919"/>
    <cellStyle name="计算 2 2 7 4 4 2 3" xfId="41725"/>
    <cellStyle name="计算 2 2 7 4 4 3" xfId="29918"/>
    <cellStyle name="计算 2 2 7 4 4 4" xfId="41724"/>
    <cellStyle name="计算 2 2 7 4 5" xfId="29920"/>
    <cellStyle name="计算 2 2 7 4 5 2" xfId="41726"/>
    <cellStyle name="计算 2 2 7 4 6" xfId="29909"/>
    <cellStyle name="计算 2 2 7 4 7" xfId="41715"/>
    <cellStyle name="计算 2 2 7 5" xfId="9681"/>
    <cellStyle name="计算 2 2 7 5 2" xfId="13279"/>
    <cellStyle name="计算 2 2 7 5 2 2" xfId="13280"/>
    <cellStyle name="计算 2 2 7 5 2 2 2" xfId="5700"/>
    <cellStyle name="计算 2 2 7 5 2 2 2 2" xfId="29924"/>
    <cellStyle name="计算 2 2 7 5 2 2 2 3" xfId="41730"/>
    <cellStyle name="计算 2 2 7 5 2 2 3" xfId="29923"/>
    <cellStyle name="计算 2 2 7 5 2 2 4" xfId="41729"/>
    <cellStyle name="计算 2 2 7 5 2 3" xfId="13281"/>
    <cellStyle name="计算 2 2 7 5 2 3 2" xfId="19416"/>
    <cellStyle name="计算 2 2 7 5 2 3 2 2" xfId="29926"/>
    <cellStyle name="计算 2 2 7 5 2 3 2 3" xfId="41732"/>
    <cellStyle name="计算 2 2 7 5 2 3 3" xfId="29925"/>
    <cellStyle name="计算 2 2 7 5 2 3 4" xfId="41731"/>
    <cellStyle name="计算 2 2 7 5 2 4" xfId="19417"/>
    <cellStyle name="计算 2 2 7 5 2 4 2" xfId="29927"/>
    <cellStyle name="计算 2 2 7 5 2 4 3" xfId="41733"/>
    <cellStyle name="计算 2 2 7 5 2 5" xfId="29922"/>
    <cellStyle name="计算 2 2 7 5 2 6" xfId="41728"/>
    <cellStyle name="计算 2 2 7 5 3" xfId="13282"/>
    <cellStyle name="计算 2 2 7 5 3 2" xfId="5702"/>
    <cellStyle name="计算 2 2 7 5 3 2 2" xfId="29929"/>
    <cellStyle name="计算 2 2 7 5 3 2 3" xfId="41735"/>
    <cellStyle name="计算 2 2 7 5 3 3" xfId="29928"/>
    <cellStyle name="计算 2 2 7 5 3 4" xfId="41734"/>
    <cellStyle name="计算 2 2 7 5 4" xfId="13283"/>
    <cellStyle name="计算 2 2 7 5 4 2" xfId="19415"/>
    <cellStyle name="计算 2 2 7 5 4 2 2" xfId="29931"/>
    <cellStyle name="计算 2 2 7 5 4 2 3" xfId="41737"/>
    <cellStyle name="计算 2 2 7 5 4 3" xfId="29930"/>
    <cellStyle name="计算 2 2 7 5 4 4" xfId="41736"/>
    <cellStyle name="计算 2 2 7 5 5" xfId="29932"/>
    <cellStyle name="计算 2 2 7 5 5 2" xfId="41738"/>
    <cellStyle name="计算 2 2 7 5 6" xfId="29921"/>
    <cellStyle name="计算 2 2 7 5 7" xfId="41727"/>
    <cellStyle name="计算 2 2 7 6" xfId="13284"/>
    <cellStyle name="计算 2 2 7 6 2" xfId="13285"/>
    <cellStyle name="计算 2 2 7 6 2 2" xfId="19414"/>
    <cellStyle name="计算 2 2 7 6 2 2 2" xfId="29935"/>
    <cellStyle name="计算 2 2 7 6 2 2 3" xfId="41741"/>
    <cellStyle name="计算 2 2 7 6 2 3" xfId="29934"/>
    <cellStyle name="计算 2 2 7 6 2 4" xfId="41740"/>
    <cellStyle name="计算 2 2 7 6 3" xfId="13286"/>
    <cellStyle name="计算 2 2 7 6 3 2" xfId="20987"/>
    <cellStyle name="计算 2 2 7 6 3 2 2" xfId="29937"/>
    <cellStyle name="计算 2 2 7 6 3 2 3" xfId="41743"/>
    <cellStyle name="计算 2 2 7 6 3 3" xfId="29936"/>
    <cellStyle name="计算 2 2 7 6 3 4" xfId="41742"/>
    <cellStyle name="计算 2 2 7 6 4" xfId="5703"/>
    <cellStyle name="计算 2 2 7 6 4 2" xfId="29938"/>
    <cellStyle name="计算 2 2 7 6 4 3" xfId="41744"/>
    <cellStyle name="计算 2 2 7 6 5" xfId="29933"/>
    <cellStyle name="计算 2 2 7 6 6" xfId="41739"/>
    <cellStyle name="计算 2 2 7 7" xfId="13287"/>
    <cellStyle name="计算 2 2 7 7 2" xfId="20986"/>
    <cellStyle name="计算 2 2 7 7 2 2" xfId="29940"/>
    <cellStyle name="计算 2 2 7 7 2 3" xfId="41746"/>
    <cellStyle name="计算 2 2 7 7 3" xfId="29939"/>
    <cellStyle name="计算 2 2 7 7 4" xfId="41745"/>
    <cellStyle name="计算 2 2 7 8" xfId="13288"/>
    <cellStyle name="计算 2 2 7 8 2" xfId="5704"/>
    <cellStyle name="计算 2 2 7 8 2 2" xfId="29942"/>
    <cellStyle name="计算 2 2 7 8 2 3" xfId="41748"/>
    <cellStyle name="计算 2 2 7 8 3" xfId="29941"/>
    <cellStyle name="计算 2 2 7 8 4" xfId="41747"/>
    <cellStyle name="计算 2 2 7 9" xfId="29943"/>
    <cellStyle name="计算 2 2 7 9 2" xfId="41749"/>
    <cellStyle name="计算 2 2 8" xfId="9682"/>
    <cellStyle name="计算 2 2 8 10" xfId="29944"/>
    <cellStyle name="计算 2 2 8 11" xfId="41750"/>
    <cellStyle name="计算 2 2 8 2" xfId="9683"/>
    <cellStyle name="计算 2 2 8 2 2" xfId="13289"/>
    <cellStyle name="计算 2 2 8 2 2 2" xfId="13290"/>
    <cellStyle name="计算 2 2 8 2 2 2 2" xfId="5706"/>
    <cellStyle name="计算 2 2 8 2 2 2 2 2" xfId="29948"/>
    <cellStyle name="计算 2 2 8 2 2 2 2 3" xfId="41754"/>
    <cellStyle name="计算 2 2 8 2 2 2 3" xfId="29947"/>
    <cellStyle name="计算 2 2 8 2 2 2 4" xfId="41753"/>
    <cellStyle name="计算 2 2 8 2 2 3" xfId="13291"/>
    <cellStyle name="计算 2 2 8 2 2 3 2" xfId="19412"/>
    <cellStyle name="计算 2 2 8 2 2 3 2 2" xfId="29950"/>
    <cellStyle name="计算 2 2 8 2 2 3 2 3" xfId="41756"/>
    <cellStyle name="计算 2 2 8 2 2 3 3" xfId="29949"/>
    <cellStyle name="计算 2 2 8 2 2 3 4" xfId="41755"/>
    <cellStyle name="计算 2 2 8 2 2 4" xfId="19413"/>
    <cellStyle name="计算 2 2 8 2 2 4 2" xfId="29951"/>
    <cellStyle name="计算 2 2 8 2 2 4 3" xfId="41757"/>
    <cellStyle name="计算 2 2 8 2 2 5" xfId="29946"/>
    <cellStyle name="计算 2 2 8 2 2 6" xfId="41752"/>
    <cellStyle name="计算 2 2 8 2 3" xfId="13292"/>
    <cellStyle name="计算 2 2 8 2 3 2" xfId="18617"/>
    <cellStyle name="计算 2 2 8 2 3 2 2" xfId="29953"/>
    <cellStyle name="计算 2 2 8 2 3 2 3" xfId="41759"/>
    <cellStyle name="计算 2 2 8 2 3 3" xfId="29952"/>
    <cellStyle name="计算 2 2 8 2 3 4" xfId="41758"/>
    <cellStyle name="计算 2 2 8 2 4" xfId="13293"/>
    <cellStyle name="计算 2 2 8 2 4 2" xfId="5707"/>
    <cellStyle name="计算 2 2 8 2 4 2 2" xfId="29955"/>
    <cellStyle name="计算 2 2 8 2 4 2 3" xfId="41761"/>
    <cellStyle name="计算 2 2 8 2 4 3" xfId="29954"/>
    <cellStyle name="计算 2 2 8 2 4 4" xfId="41760"/>
    <cellStyle name="计算 2 2 8 2 5" xfId="29956"/>
    <cellStyle name="计算 2 2 8 2 5 2" xfId="41762"/>
    <cellStyle name="计算 2 2 8 2 6" xfId="29945"/>
    <cellStyle name="计算 2 2 8 2 7" xfId="41751"/>
    <cellStyle name="计算 2 2 8 3" xfId="9684"/>
    <cellStyle name="计算 2 2 8 3 2" xfId="13294"/>
    <cellStyle name="计算 2 2 8 3 2 2" xfId="13295"/>
    <cellStyle name="计算 2 2 8 3 2 2 2" xfId="5708"/>
    <cellStyle name="计算 2 2 8 3 2 2 2 2" xfId="29960"/>
    <cellStyle name="计算 2 2 8 3 2 2 2 3" xfId="41766"/>
    <cellStyle name="计算 2 2 8 3 2 2 3" xfId="29959"/>
    <cellStyle name="计算 2 2 8 3 2 2 4" xfId="41765"/>
    <cellStyle name="计算 2 2 8 3 2 3" xfId="13296"/>
    <cellStyle name="计算 2 2 8 3 2 3 2" xfId="19410"/>
    <cellStyle name="计算 2 2 8 3 2 3 2 2" xfId="29962"/>
    <cellStyle name="计算 2 2 8 3 2 3 2 3" xfId="41768"/>
    <cellStyle name="计算 2 2 8 3 2 3 3" xfId="29961"/>
    <cellStyle name="计算 2 2 8 3 2 3 4" xfId="41767"/>
    <cellStyle name="计算 2 2 8 3 2 4" xfId="19411"/>
    <cellStyle name="计算 2 2 8 3 2 4 2" xfId="29963"/>
    <cellStyle name="计算 2 2 8 3 2 4 3" xfId="41769"/>
    <cellStyle name="计算 2 2 8 3 2 5" xfId="29958"/>
    <cellStyle name="计算 2 2 8 3 2 6" xfId="41764"/>
    <cellStyle name="计算 2 2 8 3 3" xfId="13297"/>
    <cellStyle name="计算 2 2 8 3 3 2" xfId="18616"/>
    <cellStyle name="计算 2 2 8 3 3 2 2" xfId="29965"/>
    <cellStyle name="计算 2 2 8 3 3 2 3" xfId="41771"/>
    <cellStyle name="计算 2 2 8 3 3 3" xfId="29964"/>
    <cellStyle name="计算 2 2 8 3 3 4" xfId="41770"/>
    <cellStyle name="计算 2 2 8 3 4" xfId="13298"/>
    <cellStyle name="计算 2 2 8 3 4 2" xfId="5710"/>
    <cellStyle name="计算 2 2 8 3 4 2 2" xfId="29967"/>
    <cellStyle name="计算 2 2 8 3 4 2 3" xfId="41773"/>
    <cellStyle name="计算 2 2 8 3 4 3" xfId="29966"/>
    <cellStyle name="计算 2 2 8 3 4 4" xfId="41772"/>
    <cellStyle name="计算 2 2 8 3 5" xfId="29968"/>
    <cellStyle name="计算 2 2 8 3 5 2" xfId="41774"/>
    <cellStyle name="计算 2 2 8 3 6" xfId="29957"/>
    <cellStyle name="计算 2 2 8 3 7" xfId="41763"/>
    <cellStyle name="计算 2 2 8 4" xfId="9685"/>
    <cellStyle name="计算 2 2 8 4 2" xfId="13299"/>
    <cellStyle name="计算 2 2 8 4 2 2" xfId="13300"/>
    <cellStyle name="计算 2 2 8 4 2 2 2" xfId="5711"/>
    <cellStyle name="计算 2 2 8 4 2 2 2 2" xfId="29972"/>
    <cellStyle name="计算 2 2 8 4 2 2 2 3" xfId="41778"/>
    <cellStyle name="计算 2 2 8 4 2 2 3" xfId="29971"/>
    <cellStyle name="计算 2 2 8 4 2 2 4" xfId="41777"/>
    <cellStyle name="计算 2 2 8 4 2 3" xfId="13301"/>
    <cellStyle name="计算 2 2 8 4 2 3 2" xfId="5712"/>
    <cellStyle name="计算 2 2 8 4 2 3 2 2" xfId="29974"/>
    <cellStyle name="计算 2 2 8 4 2 3 2 3" xfId="41780"/>
    <cellStyle name="计算 2 2 8 4 2 3 3" xfId="29973"/>
    <cellStyle name="计算 2 2 8 4 2 3 4" xfId="41779"/>
    <cellStyle name="计算 2 2 8 4 2 4" xfId="19409"/>
    <cellStyle name="计算 2 2 8 4 2 4 2" xfId="29975"/>
    <cellStyle name="计算 2 2 8 4 2 4 3" xfId="41781"/>
    <cellStyle name="计算 2 2 8 4 2 5" xfId="29970"/>
    <cellStyle name="计算 2 2 8 4 2 6" xfId="41776"/>
    <cellStyle name="计算 2 2 8 4 3" xfId="13302"/>
    <cellStyle name="计算 2 2 8 4 3 2" xfId="20985"/>
    <cellStyle name="计算 2 2 8 4 3 2 2" xfId="29977"/>
    <cellStyle name="计算 2 2 8 4 3 2 3" xfId="41783"/>
    <cellStyle name="计算 2 2 8 4 3 3" xfId="29976"/>
    <cellStyle name="计算 2 2 8 4 3 4" xfId="41782"/>
    <cellStyle name="计算 2 2 8 4 4" xfId="13303"/>
    <cellStyle name="计算 2 2 8 4 4 2" xfId="5714"/>
    <cellStyle name="计算 2 2 8 4 4 2 2" xfId="29979"/>
    <cellStyle name="计算 2 2 8 4 4 2 3" xfId="41785"/>
    <cellStyle name="计算 2 2 8 4 4 3" xfId="29978"/>
    <cellStyle name="计算 2 2 8 4 4 4" xfId="41784"/>
    <cellStyle name="计算 2 2 8 4 5" xfId="29980"/>
    <cellStyle name="计算 2 2 8 4 5 2" xfId="41786"/>
    <cellStyle name="计算 2 2 8 4 6" xfId="29969"/>
    <cellStyle name="计算 2 2 8 4 7" xfId="41775"/>
    <cellStyle name="计算 2 2 8 5" xfId="9686"/>
    <cellStyle name="计算 2 2 8 5 2" xfId="13304"/>
    <cellStyle name="计算 2 2 8 5 2 2" xfId="13305"/>
    <cellStyle name="计算 2 2 8 5 2 2 2" xfId="5716"/>
    <cellStyle name="计算 2 2 8 5 2 2 2 2" xfId="29984"/>
    <cellStyle name="计算 2 2 8 5 2 2 2 3" xfId="41790"/>
    <cellStyle name="计算 2 2 8 5 2 2 3" xfId="29983"/>
    <cellStyle name="计算 2 2 8 5 2 2 4" xfId="41789"/>
    <cellStyle name="计算 2 2 8 5 2 3" xfId="13306"/>
    <cellStyle name="计算 2 2 8 5 2 3 2" xfId="5718"/>
    <cellStyle name="计算 2 2 8 5 2 3 2 2" xfId="29986"/>
    <cellStyle name="计算 2 2 8 5 2 3 2 3" xfId="41792"/>
    <cellStyle name="计算 2 2 8 5 2 3 3" xfId="29985"/>
    <cellStyle name="计算 2 2 8 5 2 3 4" xfId="41791"/>
    <cellStyle name="计算 2 2 8 5 2 4" xfId="5715"/>
    <cellStyle name="计算 2 2 8 5 2 4 2" xfId="29987"/>
    <cellStyle name="计算 2 2 8 5 2 4 3" xfId="41793"/>
    <cellStyle name="计算 2 2 8 5 2 5" xfId="29982"/>
    <cellStyle name="计算 2 2 8 5 2 6" xfId="41788"/>
    <cellStyle name="计算 2 2 8 5 3" xfId="13307"/>
    <cellStyle name="计算 2 2 8 5 3 2" xfId="5719"/>
    <cellStyle name="计算 2 2 8 5 3 2 2" xfId="29989"/>
    <cellStyle name="计算 2 2 8 5 3 2 3" xfId="41795"/>
    <cellStyle name="计算 2 2 8 5 3 3" xfId="29988"/>
    <cellStyle name="计算 2 2 8 5 3 4" xfId="41794"/>
    <cellStyle name="计算 2 2 8 5 4" xfId="13308"/>
    <cellStyle name="计算 2 2 8 5 4 2" xfId="5720"/>
    <cellStyle name="计算 2 2 8 5 4 2 2" xfId="29991"/>
    <cellStyle name="计算 2 2 8 5 4 2 3" xfId="41797"/>
    <cellStyle name="计算 2 2 8 5 4 3" xfId="29990"/>
    <cellStyle name="计算 2 2 8 5 4 4" xfId="41796"/>
    <cellStyle name="计算 2 2 8 5 5" xfId="29992"/>
    <cellStyle name="计算 2 2 8 5 5 2" xfId="41798"/>
    <cellStyle name="计算 2 2 8 5 6" xfId="29981"/>
    <cellStyle name="计算 2 2 8 5 7" xfId="41787"/>
    <cellStyle name="计算 2 2 8 6" xfId="13309"/>
    <cellStyle name="计算 2 2 8 6 2" xfId="13310"/>
    <cellStyle name="计算 2 2 8 6 2 2" xfId="5723"/>
    <cellStyle name="计算 2 2 8 6 2 2 2" xfId="29995"/>
    <cellStyle name="计算 2 2 8 6 2 2 3" xfId="41801"/>
    <cellStyle name="计算 2 2 8 6 2 3" xfId="29994"/>
    <cellStyle name="计算 2 2 8 6 2 4" xfId="41800"/>
    <cellStyle name="计算 2 2 8 6 3" xfId="13311"/>
    <cellStyle name="计算 2 2 8 6 3 2" xfId="20984"/>
    <cellStyle name="计算 2 2 8 6 3 2 2" xfId="29997"/>
    <cellStyle name="计算 2 2 8 6 3 2 3" xfId="41803"/>
    <cellStyle name="计算 2 2 8 6 3 3" xfId="29996"/>
    <cellStyle name="计算 2 2 8 6 3 4" xfId="41802"/>
    <cellStyle name="计算 2 2 8 6 4" xfId="5722"/>
    <cellStyle name="计算 2 2 8 6 4 2" xfId="29998"/>
    <cellStyle name="计算 2 2 8 6 4 3" xfId="41804"/>
    <cellStyle name="计算 2 2 8 6 5" xfId="29993"/>
    <cellStyle name="计算 2 2 8 6 6" xfId="41799"/>
    <cellStyle name="计算 2 2 8 7" xfId="13312"/>
    <cellStyle name="计算 2 2 8 7 2" xfId="5724"/>
    <cellStyle name="计算 2 2 8 7 2 2" xfId="30000"/>
    <cellStyle name="计算 2 2 8 7 2 3" xfId="41806"/>
    <cellStyle name="计算 2 2 8 7 3" xfId="29999"/>
    <cellStyle name="计算 2 2 8 7 4" xfId="41805"/>
    <cellStyle name="计算 2 2 8 8" xfId="13313"/>
    <cellStyle name="计算 2 2 8 8 2" xfId="5726"/>
    <cellStyle name="计算 2 2 8 8 2 2" xfId="30002"/>
    <cellStyle name="计算 2 2 8 8 2 3" xfId="41808"/>
    <cellStyle name="计算 2 2 8 8 3" xfId="30001"/>
    <cellStyle name="计算 2 2 8 8 4" xfId="41807"/>
    <cellStyle name="计算 2 2 8 9" xfId="30003"/>
    <cellStyle name="计算 2 2 8 9 2" xfId="41809"/>
    <cellStyle name="计算 2 2 9" xfId="9687"/>
    <cellStyle name="计算 2 2 9 10" xfId="30004"/>
    <cellStyle name="计算 2 2 9 11" xfId="41810"/>
    <cellStyle name="计算 2 2 9 2" xfId="9688"/>
    <cellStyle name="计算 2 2 9 2 2" xfId="13314"/>
    <cellStyle name="计算 2 2 9 2 2 2" xfId="13315"/>
    <cellStyle name="计算 2 2 9 2 2 2 2" xfId="5728"/>
    <cellStyle name="计算 2 2 9 2 2 2 2 2" xfId="30008"/>
    <cellStyle name="计算 2 2 9 2 2 2 2 3" xfId="41814"/>
    <cellStyle name="计算 2 2 9 2 2 2 3" xfId="30007"/>
    <cellStyle name="计算 2 2 9 2 2 2 4" xfId="41813"/>
    <cellStyle name="计算 2 2 9 2 2 3" xfId="13316"/>
    <cellStyle name="计算 2 2 9 2 2 3 2" xfId="20983"/>
    <cellStyle name="计算 2 2 9 2 2 3 2 2" xfId="30010"/>
    <cellStyle name="计算 2 2 9 2 2 3 2 3" xfId="41816"/>
    <cellStyle name="计算 2 2 9 2 2 3 3" xfId="30009"/>
    <cellStyle name="计算 2 2 9 2 2 3 4" xfId="41815"/>
    <cellStyle name="计算 2 2 9 2 2 4" xfId="5727"/>
    <cellStyle name="计算 2 2 9 2 2 4 2" xfId="30011"/>
    <cellStyle name="计算 2 2 9 2 2 4 3" xfId="41817"/>
    <cellStyle name="计算 2 2 9 2 2 5" xfId="30006"/>
    <cellStyle name="计算 2 2 9 2 2 6" xfId="41812"/>
    <cellStyle name="计算 2 2 9 2 3" xfId="13317"/>
    <cellStyle name="计算 2 2 9 2 3 2" xfId="5730"/>
    <cellStyle name="计算 2 2 9 2 3 2 2" xfId="30013"/>
    <cellStyle name="计算 2 2 9 2 3 2 3" xfId="41819"/>
    <cellStyle name="计算 2 2 9 2 3 3" xfId="30012"/>
    <cellStyle name="计算 2 2 9 2 3 4" xfId="41818"/>
    <cellStyle name="计算 2 2 9 2 4" xfId="13318"/>
    <cellStyle name="计算 2 2 9 2 4 2" xfId="5731"/>
    <cellStyle name="计算 2 2 9 2 4 2 2" xfId="30015"/>
    <cellStyle name="计算 2 2 9 2 4 2 3" xfId="41821"/>
    <cellStyle name="计算 2 2 9 2 4 3" xfId="30014"/>
    <cellStyle name="计算 2 2 9 2 4 4" xfId="41820"/>
    <cellStyle name="计算 2 2 9 2 5" xfId="30016"/>
    <cellStyle name="计算 2 2 9 2 5 2" xfId="41822"/>
    <cellStyle name="计算 2 2 9 2 6" xfId="30005"/>
    <cellStyle name="计算 2 2 9 2 7" xfId="41811"/>
    <cellStyle name="计算 2 2 9 3" xfId="9689"/>
    <cellStyle name="计算 2 2 9 3 2" xfId="13319"/>
    <cellStyle name="计算 2 2 9 3 2 2" xfId="13320"/>
    <cellStyle name="计算 2 2 9 3 2 2 2" xfId="5734"/>
    <cellStyle name="计算 2 2 9 3 2 2 2 2" xfId="30020"/>
    <cellStyle name="计算 2 2 9 3 2 2 2 3" xfId="41826"/>
    <cellStyle name="计算 2 2 9 3 2 2 3" xfId="30019"/>
    <cellStyle name="计算 2 2 9 3 2 2 4" xfId="41825"/>
    <cellStyle name="计算 2 2 9 3 2 3" xfId="13321"/>
    <cellStyle name="计算 2 2 9 3 2 3 2" xfId="20982"/>
    <cellStyle name="计算 2 2 9 3 2 3 2 2" xfId="30022"/>
    <cellStyle name="计算 2 2 9 3 2 3 2 3" xfId="41828"/>
    <cellStyle name="计算 2 2 9 3 2 3 3" xfId="30021"/>
    <cellStyle name="计算 2 2 9 3 2 3 4" xfId="41827"/>
    <cellStyle name="计算 2 2 9 3 2 4" xfId="5732"/>
    <cellStyle name="计算 2 2 9 3 2 4 2" xfId="30023"/>
    <cellStyle name="计算 2 2 9 3 2 4 3" xfId="41829"/>
    <cellStyle name="计算 2 2 9 3 2 5" xfId="30018"/>
    <cellStyle name="计算 2 2 9 3 2 6" xfId="41824"/>
    <cellStyle name="计算 2 2 9 3 3" xfId="13322"/>
    <cellStyle name="计算 2 2 9 3 3 2" xfId="5735"/>
    <cellStyle name="计算 2 2 9 3 3 2 2" xfId="30025"/>
    <cellStyle name="计算 2 2 9 3 3 2 3" xfId="41831"/>
    <cellStyle name="计算 2 2 9 3 3 3" xfId="30024"/>
    <cellStyle name="计算 2 2 9 3 3 4" xfId="41830"/>
    <cellStyle name="计算 2 2 9 3 4" xfId="13323"/>
    <cellStyle name="计算 2 2 9 3 4 2" xfId="5736"/>
    <cellStyle name="计算 2 2 9 3 4 2 2" xfId="30027"/>
    <cellStyle name="计算 2 2 9 3 4 2 3" xfId="41833"/>
    <cellStyle name="计算 2 2 9 3 4 3" xfId="30026"/>
    <cellStyle name="计算 2 2 9 3 4 4" xfId="41832"/>
    <cellStyle name="计算 2 2 9 3 5" xfId="30028"/>
    <cellStyle name="计算 2 2 9 3 5 2" xfId="41834"/>
    <cellStyle name="计算 2 2 9 3 6" xfId="30017"/>
    <cellStyle name="计算 2 2 9 3 7" xfId="41823"/>
    <cellStyle name="计算 2 2 9 4" xfId="9690"/>
    <cellStyle name="计算 2 2 9 4 2" xfId="13324"/>
    <cellStyle name="计算 2 2 9 4 2 2" xfId="13325"/>
    <cellStyle name="计算 2 2 9 4 2 2 2" xfId="5738"/>
    <cellStyle name="计算 2 2 9 4 2 2 2 2" xfId="30032"/>
    <cellStyle name="计算 2 2 9 4 2 2 2 3" xfId="41838"/>
    <cellStyle name="计算 2 2 9 4 2 2 3" xfId="30031"/>
    <cellStyle name="计算 2 2 9 4 2 2 4" xfId="41837"/>
    <cellStyle name="计算 2 2 9 4 2 3" xfId="13326"/>
    <cellStyle name="计算 2 2 9 4 2 3 2" xfId="20981"/>
    <cellStyle name="计算 2 2 9 4 2 3 2 2" xfId="30034"/>
    <cellStyle name="计算 2 2 9 4 2 3 2 3" xfId="41840"/>
    <cellStyle name="计算 2 2 9 4 2 3 3" xfId="30033"/>
    <cellStyle name="计算 2 2 9 4 2 3 4" xfId="41839"/>
    <cellStyle name="计算 2 2 9 4 2 4" xfId="19408"/>
    <cellStyle name="计算 2 2 9 4 2 4 2" xfId="30035"/>
    <cellStyle name="计算 2 2 9 4 2 4 3" xfId="41841"/>
    <cellStyle name="计算 2 2 9 4 2 5" xfId="30030"/>
    <cellStyle name="计算 2 2 9 4 2 6" xfId="41836"/>
    <cellStyle name="计算 2 2 9 4 3" xfId="13327"/>
    <cellStyle name="计算 2 2 9 4 3 2" xfId="5739"/>
    <cellStyle name="计算 2 2 9 4 3 2 2" xfId="30037"/>
    <cellStyle name="计算 2 2 9 4 3 2 3" xfId="41843"/>
    <cellStyle name="计算 2 2 9 4 3 3" xfId="30036"/>
    <cellStyle name="计算 2 2 9 4 3 4" xfId="41842"/>
    <cellStyle name="计算 2 2 9 4 4" xfId="13328"/>
    <cellStyle name="计算 2 2 9 4 4 2" xfId="5740"/>
    <cellStyle name="计算 2 2 9 4 4 2 2" xfId="30039"/>
    <cellStyle name="计算 2 2 9 4 4 2 3" xfId="41845"/>
    <cellStyle name="计算 2 2 9 4 4 3" xfId="30038"/>
    <cellStyle name="计算 2 2 9 4 4 4" xfId="41844"/>
    <cellStyle name="计算 2 2 9 4 5" xfId="30040"/>
    <cellStyle name="计算 2 2 9 4 5 2" xfId="41846"/>
    <cellStyle name="计算 2 2 9 4 6" xfId="30029"/>
    <cellStyle name="计算 2 2 9 4 7" xfId="41835"/>
    <cellStyle name="计算 2 2 9 5" xfId="9691"/>
    <cellStyle name="计算 2 2 9 5 2" xfId="13329"/>
    <cellStyle name="计算 2 2 9 5 2 2" xfId="13330"/>
    <cellStyle name="计算 2 2 9 5 2 2 2" xfId="5743"/>
    <cellStyle name="计算 2 2 9 5 2 2 2 2" xfId="30044"/>
    <cellStyle name="计算 2 2 9 5 2 2 2 3" xfId="41850"/>
    <cellStyle name="计算 2 2 9 5 2 2 3" xfId="30043"/>
    <cellStyle name="计算 2 2 9 5 2 2 4" xfId="41849"/>
    <cellStyle name="计算 2 2 9 5 2 3" xfId="13331"/>
    <cellStyle name="计算 2 2 9 5 2 3 2" xfId="20980"/>
    <cellStyle name="计算 2 2 9 5 2 3 2 2" xfId="30046"/>
    <cellStyle name="计算 2 2 9 5 2 3 2 3" xfId="41852"/>
    <cellStyle name="计算 2 2 9 5 2 3 3" xfId="30045"/>
    <cellStyle name="计算 2 2 9 5 2 3 4" xfId="41851"/>
    <cellStyle name="计算 2 2 9 5 2 4" xfId="5742"/>
    <cellStyle name="计算 2 2 9 5 2 4 2" xfId="30047"/>
    <cellStyle name="计算 2 2 9 5 2 4 3" xfId="41853"/>
    <cellStyle name="计算 2 2 9 5 2 5" xfId="30042"/>
    <cellStyle name="计算 2 2 9 5 2 6" xfId="41848"/>
    <cellStyle name="计算 2 2 9 5 3" xfId="13332"/>
    <cellStyle name="计算 2 2 9 5 3 2" xfId="20979"/>
    <cellStyle name="计算 2 2 9 5 3 2 2" xfId="30049"/>
    <cellStyle name="计算 2 2 9 5 3 2 3" xfId="41855"/>
    <cellStyle name="计算 2 2 9 5 3 3" xfId="30048"/>
    <cellStyle name="计算 2 2 9 5 3 4" xfId="41854"/>
    <cellStyle name="计算 2 2 9 5 4" xfId="13333"/>
    <cellStyle name="计算 2 2 9 5 4 2" xfId="5744"/>
    <cellStyle name="计算 2 2 9 5 4 2 2" xfId="30051"/>
    <cellStyle name="计算 2 2 9 5 4 2 3" xfId="41857"/>
    <cellStyle name="计算 2 2 9 5 4 3" xfId="30050"/>
    <cellStyle name="计算 2 2 9 5 4 4" xfId="41856"/>
    <cellStyle name="计算 2 2 9 5 5" xfId="30052"/>
    <cellStyle name="计算 2 2 9 5 5 2" xfId="41858"/>
    <cellStyle name="计算 2 2 9 5 6" xfId="30041"/>
    <cellStyle name="计算 2 2 9 5 7" xfId="41847"/>
    <cellStyle name="计算 2 2 9 6" xfId="13334"/>
    <cellStyle name="计算 2 2 9 6 2" xfId="13335"/>
    <cellStyle name="计算 2 2 9 6 2 2" xfId="5747"/>
    <cellStyle name="计算 2 2 9 6 2 2 2" xfId="30055"/>
    <cellStyle name="计算 2 2 9 6 2 2 3" xfId="41861"/>
    <cellStyle name="计算 2 2 9 6 2 3" xfId="30054"/>
    <cellStyle name="计算 2 2 9 6 2 4" xfId="41860"/>
    <cellStyle name="计算 2 2 9 6 3" xfId="13336"/>
    <cellStyle name="计算 2 2 9 6 3 2" xfId="5748"/>
    <cellStyle name="计算 2 2 9 6 3 2 2" xfId="30057"/>
    <cellStyle name="计算 2 2 9 6 3 2 3" xfId="41863"/>
    <cellStyle name="计算 2 2 9 6 3 3" xfId="30056"/>
    <cellStyle name="计算 2 2 9 6 3 4" xfId="41862"/>
    <cellStyle name="计算 2 2 9 6 4" xfId="5746"/>
    <cellStyle name="计算 2 2 9 6 4 2" xfId="30058"/>
    <cellStyle name="计算 2 2 9 6 4 3" xfId="41864"/>
    <cellStyle name="计算 2 2 9 6 5" xfId="30053"/>
    <cellStyle name="计算 2 2 9 6 6" xfId="41859"/>
    <cellStyle name="计算 2 2 9 7" xfId="13337"/>
    <cellStyle name="计算 2 2 9 7 2" xfId="20978"/>
    <cellStyle name="计算 2 2 9 7 2 2" xfId="30060"/>
    <cellStyle name="计算 2 2 9 7 2 3" xfId="41866"/>
    <cellStyle name="计算 2 2 9 7 3" xfId="30059"/>
    <cellStyle name="计算 2 2 9 7 4" xfId="41865"/>
    <cellStyle name="计算 2 2 9 8" xfId="13338"/>
    <cellStyle name="计算 2 2 9 8 2" xfId="5750"/>
    <cellStyle name="计算 2 2 9 8 2 2" xfId="30062"/>
    <cellStyle name="计算 2 2 9 8 2 3" xfId="41868"/>
    <cellStyle name="计算 2 2 9 8 3" xfId="30061"/>
    <cellStyle name="计算 2 2 9 8 4" xfId="41867"/>
    <cellStyle name="计算 2 2 9 9" xfId="30063"/>
    <cellStyle name="计算 2 2 9 9 2" xfId="41869"/>
    <cellStyle name="计算 2 20" xfId="9692"/>
    <cellStyle name="计算 2 20 2" xfId="13339"/>
    <cellStyle name="计算 2 20 2 2" xfId="13340"/>
    <cellStyle name="计算 2 20 2 2 2" xfId="5752"/>
    <cellStyle name="计算 2 20 2 2 2 2" xfId="30067"/>
    <cellStyle name="计算 2 20 2 2 2 3" xfId="41873"/>
    <cellStyle name="计算 2 20 2 2 3" xfId="30066"/>
    <cellStyle name="计算 2 20 2 2 4" xfId="41872"/>
    <cellStyle name="计算 2 20 2 3" xfId="13341"/>
    <cellStyle name="计算 2 20 2 3 2" xfId="19407"/>
    <cellStyle name="计算 2 20 2 3 2 2" xfId="30069"/>
    <cellStyle name="计算 2 20 2 3 2 3" xfId="41875"/>
    <cellStyle name="计算 2 20 2 3 3" xfId="30068"/>
    <cellStyle name="计算 2 20 2 3 4" xfId="41874"/>
    <cellStyle name="计算 2 20 2 4" xfId="5751"/>
    <cellStyle name="计算 2 20 2 4 2" xfId="30070"/>
    <cellStyle name="计算 2 20 2 4 3" xfId="41876"/>
    <cellStyle name="计算 2 20 2 5" xfId="30065"/>
    <cellStyle name="计算 2 20 2 6" xfId="41871"/>
    <cellStyle name="计算 2 20 3" xfId="13342"/>
    <cellStyle name="计算 2 20 3 2" xfId="20977"/>
    <cellStyle name="计算 2 20 3 2 2" xfId="30072"/>
    <cellStyle name="计算 2 20 3 2 3" xfId="41878"/>
    <cellStyle name="计算 2 20 3 3" xfId="30071"/>
    <cellStyle name="计算 2 20 3 4" xfId="41877"/>
    <cellStyle name="计算 2 20 4" xfId="13343"/>
    <cellStyle name="计算 2 20 4 2" xfId="5754"/>
    <cellStyle name="计算 2 20 4 2 2" xfId="30074"/>
    <cellStyle name="计算 2 20 4 2 3" xfId="41880"/>
    <cellStyle name="计算 2 20 4 3" xfId="30073"/>
    <cellStyle name="计算 2 20 4 4" xfId="41879"/>
    <cellStyle name="计算 2 20 5" xfId="30075"/>
    <cellStyle name="计算 2 20 5 2" xfId="41881"/>
    <cellStyle name="计算 2 20 6" xfId="30064"/>
    <cellStyle name="计算 2 20 7" xfId="41870"/>
    <cellStyle name="计算 2 21" xfId="9693"/>
    <cellStyle name="计算 2 21 2" xfId="13344"/>
    <cellStyle name="计算 2 21 2 2" xfId="13345"/>
    <cellStyle name="计算 2 21 2 2 2" xfId="19406"/>
    <cellStyle name="计算 2 21 2 2 2 2" xfId="30079"/>
    <cellStyle name="计算 2 21 2 2 2 3" xfId="41885"/>
    <cellStyle name="计算 2 21 2 2 3" xfId="30078"/>
    <cellStyle name="计算 2 21 2 2 4" xfId="41884"/>
    <cellStyle name="计算 2 21 2 3" xfId="13346"/>
    <cellStyle name="计算 2 21 2 3 2" xfId="5756"/>
    <cellStyle name="计算 2 21 2 3 2 2" xfId="30081"/>
    <cellStyle name="计算 2 21 2 3 2 3" xfId="41887"/>
    <cellStyle name="计算 2 21 2 3 3" xfId="30080"/>
    <cellStyle name="计算 2 21 2 3 4" xfId="41886"/>
    <cellStyle name="计算 2 21 2 4" xfId="5755"/>
    <cellStyle name="计算 2 21 2 4 2" xfId="30082"/>
    <cellStyle name="计算 2 21 2 4 3" xfId="41888"/>
    <cellStyle name="计算 2 21 2 5" xfId="30077"/>
    <cellStyle name="计算 2 21 2 6" xfId="41883"/>
    <cellStyle name="计算 2 21 3" xfId="13347"/>
    <cellStyle name="计算 2 21 3 2" xfId="20976"/>
    <cellStyle name="计算 2 21 3 2 2" xfId="30084"/>
    <cellStyle name="计算 2 21 3 2 3" xfId="41890"/>
    <cellStyle name="计算 2 21 3 3" xfId="30083"/>
    <cellStyle name="计算 2 21 3 4" xfId="41889"/>
    <cellStyle name="计算 2 21 4" xfId="13348"/>
    <cellStyle name="计算 2 21 4 2" xfId="5763"/>
    <cellStyle name="计算 2 21 4 2 2" xfId="30086"/>
    <cellStyle name="计算 2 21 4 2 3" xfId="41892"/>
    <cellStyle name="计算 2 21 4 3" xfId="30085"/>
    <cellStyle name="计算 2 21 4 4" xfId="41891"/>
    <cellStyle name="计算 2 21 5" xfId="30087"/>
    <cellStyle name="计算 2 21 5 2" xfId="41893"/>
    <cellStyle name="计算 2 21 6" xfId="30076"/>
    <cellStyle name="计算 2 21 7" xfId="41882"/>
    <cellStyle name="计算 2 22" xfId="9694"/>
    <cellStyle name="计算 2 22 2" xfId="13349"/>
    <cellStyle name="计算 2 22 2 2" xfId="13350"/>
    <cellStyle name="计算 2 22 2 2 2" xfId="5771"/>
    <cellStyle name="计算 2 22 2 2 2 2" xfId="30091"/>
    <cellStyle name="计算 2 22 2 2 2 3" xfId="41897"/>
    <cellStyle name="计算 2 22 2 2 3" xfId="30090"/>
    <cellStyle name="计算 2 22 2 2 4" xfId="41896"/>
    <cellStyle name="计算 2 22 2 3" xfId="13351"/>
    <cellStyle name="计算 2 22 2 3 2" xfId="5779"/>
    <cellStyle name="计算 2 22 2 3 2 2" xfId="30093"/>
    <cellStyle name="计算 2 22 2 3 2 3" xfId="41899"/>
    <cellStyle name="计算 2 22 2 3 3" xfId="30092"/>
    <cellStyle name="计算 2 22 2 3 4" xfId="41898"/>
    <cellStyle name="计算 2 22 2 4" xfId="19405"/>
    <cellStyle name="计算 2 22 2 4 2" xfId="30094"/>
    <cellStyle name="计算 2 22 2 4 3" xfId="41900"/>
    <cellStyle name="计算 2 22 2 5" xfId="30089"/>
    <cellStyle name="计算 2 22 2 6" xfId="41895"/>
    <cellStyle name="计算 2 22 3" xfId="13352"/>
    <cellStyle name="计算 2 22 3 2" xfId="5787"/>
    <cellStyle name="计算 2 22 3 2 2" xfId="30096"/>
    <cellStyle name="计算 2 22 3 2 3" xfId="41902"/>
    <cellStyle name="计算 2 22 3 3" xfId="30095"/>
    <cellStyle name="计算 2 22 3 4" xfId="41901"/>
    <cellStyle name="计算 2 22 4" xfId="13353"/>
    <cellStyle name="计算 2 22 4 2" xfId="5795"/>
    <cellStyle name="计算 2 22 4 2 2" xfId="30098"/>
    <cellStyle name="计算 2 22 4 2 3" xfId="41904"/>
    <cellStyle name="计算 2 22 4 3" xfId="30097"/>
    <cellStyle name="计算 2 22 4 4" xfId="41903"/>
    <cellStyle name="计算 2 22 5" xfId="30099"/>
    <cellStyle name="计算 2 22 5 2" xfId="41905"/>
    <cellStyle name="计算 2 22 6" xfId="30088"/>
    <cellStyle name="计算 2 22 7" xfId="41894"/>
    <cellStyle name="计算 2 23" xfId="9695"/>
    <cellStyle name="计算 2 23 2" xfId="13354"/>
    <cellStyle name="计算 2 23 2 2" xfId="13355"/>
    <cellStyle name="计算 2 23 2 2 2" xfId="5812"/>
    <cellStyle name="计算 2 23 2 2 2 2" xfId="30103"/>
    <cellStyle name="计算 2 23 2 2 2 3" xfId="41909"/>
    <cellStyle name="计算 2 23 2 2 3" xfId="30102"/>
    <cellStyle name="计算 2 23 2 2 4" xfId="41908"/>
    <cellStyle name="计算 2 23 2 3" xfId="5803"/>
    <cellStyle name="计算 2 23 2 3 2" xfId="30104"/>
    <cellStyle name="计算 2 23 2 3 3" xfId="41910"/>
    <cellStyle name="计算 2 23 2 4" xfId="30101"/>
    <cellStyle name="计算 2 23 2 5" xfId="41907"/>
    <cellStyle name="计算 2 23 3" xfId="13356"/>
    <cellStyle name="计算 2 23 3 2" xfId="18615"/>
    <cellStyle name="计算 2 23 3 2 2" xfId="30106"/>
    <cellStyle name="计算 2 23 3 2 3" xfId="41912"/>
    <cellStyle name="计算 2 23 3 3" xfId="30105"/>
    <cellStyle name="计算 2 23 3 4" xfId="41911"/>
    <cellStyle name="计算 2 23 4" xfId="30107"/>
    <cellStyle name="计算 2 23 4 2" xfId="41913"/>
    <cellStyle name="计算 2 23 5" xfId="30100"/>
    <cellStyle name="计算 2 23 6" xfId="41906"/>
    <cellStyle name="计算 2 24" xfId="13357"/>
    <cellStyle name="计算 2 24 2" xfId="20975"/>
    <cellStyle name="计算 2 24 2 2" xfId="30109"/>
    <cellStyle name="计算 2 24 2 3" xfId="41915"/>
    <cellStyle name="计算 2 24 3" xfId="30108"/>
    <cellStyle name="计算 2 24 4" xfId="41914"/>
    <cellStyle name="计算 2 25" xfId="9544"/>
    <cellStyle name="计算 2 25 2" xfId="30111"/>
    <cellStyle name="计算 2 25 2 2" xfId="41917"/>
    <cellStyle name="计算 2 25 3" xfId="30110"/>
    <cellStyle name="计算 2 25 4" xfId="41916"/>
    <cellStyle name="计算 2 26" xfId="30112"/>
    <cellStyle name="计算 2 26 2" xfId="41918"/>
    <cellStyle name="计算 2 27" xfId="30113"/>
    <cellStyle name="计算 2 27 2" xfId="41919"/>
    <cellStyle name="计算 2 28" xfId="28301"/>
    <cellStyle name="计算 2 29" xfId="756"/>
    <cellStyle name="计算 2 3" xfId="5176"/>
    <cellStyle name="计算 2 3 10" xfId="30114"/>
    <cellStyle name="计算 2 3 11" xfId="41920"/>
    <cellStyle name="计算 2 3 2" xfId="5177"/>
    <cellStyle name="计算 2 3 2 2" xfId="13358"/>
    <cellStyle name="计算 2 3 2 2 2" xfId="13359"/>
    <cellStyle name="计算 2 3 2 2 2 2" xfId="5815"/>
    <cellStyle name="计算 2 3 2 2 2 2 2" xfId="30118"/>
    <cellStyle name="计算 2 3 2 2 2 2 3" xfId="41924"/>
    <cellStyle name="计算 2 3 2 2 2 3" xfId="30117"/>
    <cellStyle name="计算 2 3 2 2 2 4" xfId="41923"/>
    <cellStyle name="计算 2 3 2 2 3" xfId="13360"/>
    <cellStyle name="计算 2 3 2 2 3 2" xfId="5816"/>
    <cellStyle name="计算 2 3 2 2 3 2 2" xfId="30120"/>
    <cellStyle name="计算 2 3 2 2 3 2 3" xfId="41926"/>
    <cellStyle name="计算 2 3 2 2 3 3" xfId="30119"/>
    <cellStyle name="计算 2 3 2 2 3 4" xfId="41925"/>
    <cellStyle name="计算 2 3 2 2 4" xfId="5813"/>
    <cellStyle name="计算 2 3 2 2 4 2" xfId="30121"/>
    <cellStyle name="计算 2 3 2 2 4 3" xfId="41927"/>
    <cellStyle name="计算 2 3 2 2 5" xfId="30116"/>
    <cellStyle name="计算 2 3 2 2 6" xfId="41922"/>
    <cellStyle name="计算 2 3 2 3" xfId="13361"/>
    <cellStyle name="计算 2 3 2 3 2" xfId="5818"/>
    <cellStyle name="计算 2 3 2 3 2 2" xfId="30123"/>
    <cellStyle name="计算 2 3 2 3 2 3" xfId="41929"/>
    <cellStyle name="计算 2 3 2 3 3" xfId="30122"/>
    <cellStyle name="计算 2 3 2 3 4" xfId="41928"/>
    <cellStyle name="计算 2 3 2 4" xfId="13362"/>
    <cellStyle name="计算 2 3 2 4 2" xfId="20974"/>
    <cellStyle name="计算 2 3 2 4 2 2" xfId="30125"/>
    <cellStyle name="计算 2 3 2 4 2 3" xfId="41931"/>
    <cellStyle name="计算 2 3 2 4 3" xfId="30124"/>
    <cellStyle name="计算 2 3 2 4 4" xfId="41930"/>
    <cellStyle name="计算 2 3 2 5" xfId="9697"/>
    <cellStyle name="计算 2 3 2 5 2" xfId="30126"/>
    <cellStyle name="计算 2 3 2 5 3" xfId="41932"/>
    <cellStyle name="计算 2 3 2 6" xfId="30115"/>
    <cellStyle name="计算 2 3 2 7" xfId="41921"/>
    <cellStyle name="计算 2 3 3" xfId="9698"/>
    <cellStyle name="计算 2 3 3 2" xfId="13363"/>
    <cellStyle name="计算 2 3 3 2 2" xfId="13364"/>
    <cellStyle name="计算 2 3 3 2 2 2" xfId="5821"/>
    <cellStyle name="计算 2 3 3 2 2 2 2" xfId="30130"/>
    <cellStyle name="计算 2 3 3 2 2 2 3" xfId="41936"/>
    <cellStyle name="计算 2 3 3 2 2 3" xfId="30129"/>
    <cellStyle name="计算 2 3 3 2 2 4" xfId="41935"/>
    <cellStyle name="计算 2 3 3 2 3" xfId="13365"/>
    <cellStyle name="计算 2 3 3 2 3 2" xfId="5822"/>
    <cellStyle name="计算 2 3 3 2 3 2 2" xfId="30132"/>
    <cellStyle name="计算 2 3 3 2 3 2 3" xfId="41938"/>
    <cellStyle name="计算 2 3 3 2 3 3" xfId="30131"/>
    <cellStyle name="计算 2 3 3 2 3 4" xfId="41937"/>
    <cellStyle name="计算 2 3 3 2 4" xfId="5819"/>
    <cellStyle name="计算 2 3 3 2 4 2" xfId="30133"/>
    <cellStyle name="计算 2 3 3 2 4 3" xfId="41939"/>
    <cellStyle name="计算 2 3 3 2 5" xfId="30128"/>
    <cellStyle name="计算 2 3 3 2 6" xfId="41934"/>
    <cellStyle name="计算 2 3 3 3" xfId="13366"/>
    <cellStyle name="计算 2 3 3 3 2" xfId="5824"/>
    <cellStyle name="计算 2 3 3 3 2 2" xfId="30135"/>
    <cellStyle name="计算 2 3 3 3 2 3" xfId="41941"/>
    <cellStyle name="计算 2 3 3 3 3" xfId="30134"/>
    <cellStyle name="计算 2 3 3 3 4" xfId="41940"/>
    <cellStyle name="计算 2 3 3 4" xfId="13367"/>
    <cellStyle name="计算 2 3 3 4 2" xfId="20973"/>
    <cellStyle name="计算 2 3 3 4 2 2" xfId="30137"/>
    <cellStyle name="计算 2 3 3 4 2 3" xfId="41943"/>
    <cellStyle name="计算 2 3 3 4 3" xfId="30136"/>
    <cellStyle name="计算 2 3 3 4 4" xfId="41942"/>
    <cellStyle name="计算 2 3 3 5" xfId="30138"/>
    <cellStyle name="计算 2 3 3 5 2" xfId="41944"/>
    <cellStyle name="计算 2 3 3 6" xfId="30127"/>
    <cellStyle name="计算 2 3 3 7" xfId="41933"/>
    <cellStyle name="计算 2 3 4" xfId="9699"/>
    <cellStyle name="计算 2 3 4 2" xfId="13368"/>
    <cellStyle name="计算 2 3 4 2 2" xfId="13369"/>
    <cellStyle name="计算 2 3 4 2 2 2" xfId="5827"/>
    <cellStyle name="计算 2 3 4 2 2 2 2" xfId="30142"/>
    <cellStyle name="计算 2 3 4 2 2 2 3" xfId="41948"/>
    <cellStyle name="计算 2 3 4 2 2 3" xfId="30141"/>
    <cellStyle name="计算 2 3 4 2 2 4" xfId="41947"/>
    <cellStyle name="计算 2 3 4 2 3" xfId="13370"/>
    <cellStyle name="计算 2 3 4 2 3 2" xfId="5828"/>
    <cellStyle name="计算 2 3 4 2 3 2 2" xfId="30144"/>
    <cellStyle name="计算 2 3 4 2 3 2 3" xfId="41950"/>
    <cellStyle name="计算 2 3 4 2 3 3" xfId="30143"/>
    <cellStyle name="计算 2 3 4 2 3 4" xfId="41949"/>
    <cellStyle name="计算 2 3 4 2 4" xfId="5825"/>
    <cellStyle name="计算 2 3 4 2 4 2" xfId="30145"/>
    <cellStyle name="计算 2 3 4 2 4 3" xfId="41951"/>
    <cellStyle name="计算 2 3 4 2 5" xfId="30140"/>
    <cellStyle name="计算 2 3 4 2 6" xfId="41946"/>
    <cellStyle name="计算 2 3 4 3" xfId="13371"/>
    <cellStyle name="计算 2 3 4 3 2" xfId="5830"/>
    <cellStyle name="计算 2 3 4 3 2 2" xfId="30147"/>
    <cellStyle name="计算 2 3 4 3 2 3" xfId="41953"/>
    <cellStyle name="计算 2 3 4 3 3" xfId="30146"/>
    <cellStyle name="计算 2 3 4 3 4" xfId="41952"/>
    <cellStyle name="计算 2 3 4 4" xfId="13372"/>
    <cellStyle name="计算 2 3 4 4 2" xfId="20972"/>
    <cellStyle name="计算 2 3 4 4 2 2" xfId="30149"/>
    <cellStyle name="计算 2 3 4 4 2 3" xfId="41955"/>
    <cellStyle name="计算 2 3 4 4 3" xfId="30148"/>
    <cellStyle name="计算 2 3 4 4 4" xfId="41954"/>
    <cellStyle name="计算 2 3 4 5" xfId="30150"/>
    <cellStyle name="计算 2 3 4 5 2" xfId="41956"/>
    <cellStyle name="计算 2 3 4 6" xfId="30139"/>
    <cellStyle name="计算 2 3 4 7" xfId="41945"/>
    <cellStyle name="计算 2 3 5" xfId="9700"/>
    <cellStyle name="计算 2 3 5 2" xfId="13373"/>
    <cellStyle name="计算 2 3 5 2 2" xfId="13374"/>
    <cellStyle name="计算 2 3 5 2 2 2" xfId="5832"/>
    <cellStyle name="计算 2 3 5 2 2 2 2" xfId="30154"/>
    <cellStyle name="计算 2 3 5 2 2 2 3" xfId="41960"/>
    <cellStyle name="计算 2 3 5 2 2 3" xfId="30153"/>
    <cellStyle name="计算 2 3 5 2 2 4" xfId="41959"/>
    <cellStyle name="计算 2 3 5 2 3" xfId="13375"/>
    <cellStyle name="计算 2 3 5 2 3 2" xfId="5834"/>
    <cellStyle name="计算 2 3 5 2 3 2 2" xfId="30156"/>
    <cellStyle name="计算 2 3 5 2 3 2 3" xfId="41962"/>
    <cellStyle name="计算 2 3 5 2 3 3" xfId="30155"/>
    <cellStyle name="计算 2 3 5 2 3 4" xfId="41961"/>
    <cellStyle name="计算 2 3 5 2 4" xfId="5831"/>
    <cellStyle name="计算 2 3 5 2 4 2" xfId="30157"/>
    <cellStyle name="计算 2 3 5 2 4 3" xfId="41963"/>
    <cellStyle name="计算 2 3 5 2 5" xfId="30152"/>
    <cellStyle name="计算 2 3 5 2 6" xfId="41958"/>
    <cellStyle name="计算 2 3 5 3" xfId="13376"/>
    <cellStyle name="计算 2 3 5 3 2" xfId="5835"/>
    <cellStyle name="计算 2 3 5 3 2 2" xfId="30159"/>
    <cellStyle name="计算 2 3 5 3 2 3" xfId="41965"/>
    <cellStyle name="计算 2 3 5 3 3" xfId="30158"/>
    <cellStyle name="计算 2 3 5 3 4" xfId="41964"/>
    <cellStyle name="计算 2 3 5 4" xfId="13377"/>
    <cellStyle name="计算 2 3 5 4 2" xfId="5836"/>
    <cellStyle name="计算 2 3 5 4 2 2" xfId="30161"/>
    <cellStyle name="计算 2 3 5 4 2 3" xfId="41967"/>
    <cellStyle name="计算 2 3 5 4 3" xfId="30160"/>
    <cellStyle name="计算 2 3 5 4 4" xfId="41966"/>
    <cellStyle name="计算 2 3 5 5" xfId="30162"/>
    <cellStyle name="计算 2 3 5 5 2" xfId="41968"/>
    <cellStyle name="计算 2 3 5 6" xfId="30151"/>
    <cellStyle name="计算 2 3 5 7" xfId="41957"/>
    <cellStyle name="计算 2 3 6" xfId="13378"/>
    <cellStyle name="计算 2 3 6 2" xfId="13379"/>
    <cellStyle name="计算 2 3 6 2 2" xfId="5839"/>
    <cellStyle name="计算 2 3 6 2 2 2" xfId="30165"/>
    <cellStyle name="计算 2 3 6 2 2 3" xfId="41971"/>
    <cellStyle name="计算 2 3 6 2 3" xfId="30164"/>
    <cellStyle name="计算 2 3 6 2 4" xfId="41970"/>
    <cellStyle name="计算 2 3 6 3" xfId="13380"/>
    <cellStyle name="计算 2 3 6 3 2" xfId="5840"/>
    <cellStyle name="计算 2 3 6 3 2 2" xfId="30167"/>
    <cellStyle name="计算 2 3 6 3 2 3" xfId="41973"/>
    <cellStyle name="计算 2 3 6 3 3" xfId="30166"/>
    <cellStyle name="计算 2 3 6 3 4" xfId="41972"/>
    <cellStyle name="计算 2 3 6 4" xfId="5838"/>
    <cellStyle name="计算 2 3 6 4 2" xfId="30168"/>
    <cellStyle name="计算 2 3 6 4 3" xfId="41974"/>
    <cellStyle name="计算 2 3 6 5" xfId="30163"/>
    <cellStyle name="计算 2 3 6 6" xfId="41969"/>
    <cellStyle name="计算 2 3 7" xfId="13381"/>
    <cellStyle name="计算 2 3 7 2" xfId="20971"/>
    <cellStyle name="计算 2 3 7 2 2" xfId="30170"/>
    <cellStyle name="计算 2 3 7 2 3" xfId="41976"/>
    <cellStyle name="计算 2 3 7 3" xfId="30169"/>
    <cellStyle name="计算 2 3 7 4" xfId="41975"/>
    <cellStyle name="计算 2 3 8" xfId="13382"/>
    <cellStyle name="计算 2 3 8 2" xfId="18614"/>
    <cellStyle name="计算 2 3 8 2 2" xfId="30172"/>
    <cellStyle name="计算 2 3 8 2 3" xfId="41978"/>
    <cellStyle name="计算 2 3 8 3" xfId="30171"/>
    <cellStyle name="计算 2 3 8 4" xfId="41977"/>
    <cellStyle name="计算 2 3 9" xfId="9696"/>
    <cellStyle name="计算 2 3 9 2" xfId="30173"/>
    <cellStyle name="计算 2 3 9 3" xfId="41979"/>
    <cellStyle name="计算 2 30" xfId="61048"/>
    <cellStyle name="计算 2 4" xfId="5178"/>
    <cellStyle name="计算 2 4 10" xfId="30174"/>
    <cellStyle name="计算 2 4 11" xfId="41980"/>
    <cellStyle name="计算 2 4 2" xfId="9702"/>
    <cellStyle name="计算 2 4 2 2" xfId="13383"/>
    <cellStyle name="计算 2 4 2 2 2" xfId="13384"/>
    <cellStyle name="计算 2 4 2 2 2 2" xfId="5843"/>
    <cellStyle name="计算 2 4 2 2 2 2 2" xfId="30178"/>
    <cellStyle name="计算 2 4 2 2 2 2 3" xfId="41984"/>
    <cellStyle name="计算 2 4 2 2 2 3" xfId="30177"/>
    <cellStyle name="计算 2 4 2 2 2 4" xfId="41983"/>
    <cellStyle name="计算 2 4 2 2 3" xfId="13385"/>
    <cellStyle name="计算 2 4 2 2 3 2" xfId="5844"/>
    <cellStyle name="计算 2 4 2 2 3 2 2" xfId="30180"/>
    <cellStyle name="计算 2 4 2 2 3 2 3" xfId="41986"/>
    <cellStyle name="计算 2 4 2 2 3 3" xfId="30179"/>
    <cellStyle name="计算 2 4 2 2 3 4" xfId="41985"/>
    <cellStyle name="计算 2 4 2 2 4" xfId="5842"/>
    <cellStyle name="计算 2 4 2 2 4 2" xfId="30181"/>
    <cellStyle name="计算 2 4 2 2 4 3" xfId="41987"/>
    <cellStyle name="计算 2 4 2 2 5" xfId="30176"/>
    <cellStyle name="计算 2 4 2 2 6" xfId="41982"/>
    <cellStyle name="计算 2 4 2 3" xfId="13386"/>
    <cellStyle name="计算 2 4 2 3 2" xfId="5846"/>
    <cellStyle name="计算 2 4 2 3 2 2" xfId="30183"/>
    <cellStyle name="计算 2 4 2 3 2 3" xfId="41989"/>
    <cellStyle name="计算 2 4 2 3 3" xfId="30182"/>
    <cellStyle name="计算 2 4 2 3 4" xfId="41988"/>
    <cellStyle name="计算 2 4 2 4" xfId="13387"/>
    <cellStyle name="计算 2 4 2 4 2" xfId="20970"/>
    <cellStyle name="计算 2 4 2 4 2 2" xfId="30185"/>
    <cellStyle name="计算 2 4 2 4 2 3" xfId="41991"/>
    <cellStyle name="计算 2 4 2 4 3" xfId="30184"/>
    <cellStyle name="计算 2 4 2 4 4" xfId="41990"/>
    <cellStyle name="计算 2 4 2 5" xfId="30186"/>
    <cellStyle name="计算 2 4 2 5 2" xfId="41992"/>
    <cellStyle name="计算 2 4 2 6" xfId="30175"/>
    <cellStyle name="计算 2 4 2 7" xfId="41981"/>
    <cellStyle name="计算 2 4 3" xfId="9703"/>
    <cellStyle name="计算 2 4 3 2" xfId="13388"/>
    <cellStyle name="计算 2 4 3 2 2" xfId="13389"/>
    <cellStyle name="计算 2 4 3 2 2 2" xfId="5848"/>
    <cellStyle name="计算 2 4 3 2 2 2 2" xfId="30190"/>
    <cellStyle name="计算 2 4 3 2 2 2 3" xfId="41996"/>
    <cellStyle name="计算 2 4 3 2 2 3" xfId="30189"/>
    <cellStyle name="计算 2 4 3 2 2 4" xfId="41995"/>
    <cellStyle name="计算 2 4 3 2 3" xfId="13390"/>
    <cellStyle name="计算 2 4 3 2 3 2" xfId="5850"/>
    <cellStyle name="计算 2 4 3 2 3 2 2" xfId="30192"/>
    <cellStyle name="计算 2 4 3 2 3 2 3" xfId="41998"/>
    <cellStyle name="计算 2 4 3 2 3 3" xfId="30191"/>
    <cellStyle name="计算 2 4 3 2 3 4" xfId="41997"/>
    <cellStyle name="计算 2 4 3 2 4" xfId="5847"/>
    <cellStyle name="计算 2 4 3 2 4 2" xfId="30193"/>
    <cellStyle name="计算 2 4 3 2 4 3" xfId="41999"/>
    <cellStyle name="计算 2 4 3 2 5" xfId="30188"/>
    <cellStyle name="计算 2 4 3 2 6" xfId="41994"/>
    <cellStyle name="计算 2 4 3 3" xfId="13391"/>
    <cellStyle name="计算 2 4 3 3 2" xfId="5851"/>
    <cellStyle name="计算 2 4 3 3 2 2" xfId="30195"/>
    <cellStyle name="计算 2 4 3 3 2 3" xfId="42001"/>
    <cellStyle name="计算 2 4 3 3 3" xfId="30194"/>
    <cellStyle name="计算 2 4 3 3 4" xfId="42000"/>
    <cellStyle name="计算 2 4 3 4" xfId="13392"/>
    <cellStyle name="计算 2 4 3 4 2" xfId="20969"/>
    <cellStyle name="计算 2 4 3 4 2 2" xfId="30197"/>
    <cellStyle name="计算 2 4 3 4 2 3" xfId="42003"/>
    <cellStyle name="计算 2 4 3 4 3" xfId="30196"/>
    <cellStyle name="计算 2 4 3 4 4" xfId="42002"/>
    <cellStyle name="计算 2 4 3 5" xfId="30198"/>
    <cellStyle name="计算 2 4 3 5 2" xfId="42004"/>
    <cellStyle name="计算 2 4 3 6" xfId="30187"/>
    <cellStyle name="计算 2 4 3 7" xfId="41993"/>
    <cellStyle name="计算 2 4 4" xfId="9704"/>
    <cellStyle name="计算 2 4 4 2" xfId="13393"/>
    <cellStyle name="计算 2 4 4 2 2" xfId="13394"/>
    <cellStyle name="计算 2 4 4 2 2 2" xfId="5854"/>
    <cellStyle name="计算 2 4 4 2 2 2 2" xfId="30202"/>
    <cellStyle name="计算 2 4 4 2 2 2 3" xfId="42008"/>
    <cellStyle name="计算 2 4 4 2 2 3" xfId="30201"/>
    <cellStyle name="计算 2 4 4 2 2 4" xfId="42007"/>
    <cellStyle name="计算 2 4 4 2 3" xfId="13395"/>
    <cellStyle name="计算 2 4 4 2 3 2" xfId="5855"/>
    <cellStyle name="计算 2 4 4 2 3 2 2" xfId="30204"/>
    <cellStyle name="计算 2 4 4 2 3 2 3" xfId="42010"/>
    <cellStyle name="计算 2 4 4 2 3 3" xfId="30203"/>
    <cellStyle name="计算 2 4 4 2 3 4" xfId="42009"/>
    <cellStyle name="计算 2 4 4 2 4" xfId="5852"/>
    <cellStyle name="计算 2 4 4 2 4 2" xfId="30205"/>
    <cellStyle name="计算 2 4 4 2 4 3" xfId="42011"/>
    <cellStyle name="计算 2 4 4 2 5" xfId="30200"/>
    <cellStyle name="计算 2 4 4 2 6" xfId="42006"/>
    <cellStyle name="计算 2 4 4 3" xfId="13396"/>
    <cellStyle name="计算 2 4 4 3 2" xfId="5856"/>
    <cellStyle name="计算 2 4 4 3 2 2" xfId="30207"/>
    <cellStyle name="计算 2 4 4 3 2 3" xfId="42013"/>
    <cellStyle name="计算 2 4 4 3 3" xfId="30206"/>
    <cellStyle name="计算 2 4 4 3 4" xfId="42012"/>
    <cellStyle name="计算 2 4 4 4" xfId="13397"/>
    <cellStyle name="计算 2 4 4 4 2" xfId="20968"/>
    <cellStyle name="计算 2 4 4 4 2 2" xfId="30209"/>
    <cellStyle name="计算 2 4 4 4 2 3" xfId="42015"/>
    <cellStyle name="计算 2 4 4 4 3" xfId="30208"/>
    <cellStyle name="计算 2 4 4 4 4" xfId="42014"/>
    <cellStyle name="计算 2 4 4 5" xfId="30210"/>
    <cellStyle name="计算 2 4 4 5 2" xfId="42016"/>
    <cellStyle name="计算 2 4 4 6" xfId="30199"/>
    <cellStyle name="计算 2 4 4 7" xfId="42005"/>
    <cellStyle name="计算 2 4 5" xfId="9705"/>
    <cellStyle name="计算 2 4 5 2" xfId="13398"/>
    <cellStyle name="计算 2 4 5 2 2" xfId="13399"/>
    <cellStyle name="计算 2 4 5 2 2 2" xfId="5859"/>
    <cellStyle name="计算 2 4 5 2 2 2 2" xfId="30214"/>
    <cellStyle name="计算 2 4 5 2 2 2 3" xfId="42020"/>
    <cellStyle name="计算 2 4 5 2 2 3" xfId="30213"/>
    <cellStyle name="计算 2 4 5 2 2 4" xfId="42019"/>
    <cellStyle name="计算 2 4 5 2 3" xfId="13400"/>
    <cellStyle name="计算 2 4 5 2 3 2" xfId="5860"/>
    <cellStyle name="计算 2 4 5 2 3 2 2" xfId="30216"/>
    <cellStyle name="计算 2 4 5 2 3 2 3" xfId="42022"/>
    <cellStyle name="计算 2 4 5 2 3 3" xfId="30215"/>
    <cellStyle name="计算 2 4 5 2 3 4" xfId="42021"/>
    <cellStyle name="计算 2 4 5 2 4" xfId="5858"/>
    <cellStyle name="计算 2 4 5 2 4 2" xfId="30217"/>
    <cellStyle name="计算 2 4 5 2 4 3" xfId="42023"/>
    <cellStyle name="计算 2 4 5 2 5" xfId="30212"/>
    <cellStyle name="计算 2 4 5 2 6" xfId="42018"/>
    <cellStyle name="计算 2 4 5 3" xfId="13401"/>
    <cellStyle name="计算 2 4 5 3 2" xfId="5862"/>
    <cellStyle name="计算 2 4 5 3 2 2" xfId="30219"/>
    <cellStyle name="计算 2 4 5 3 2 3" xfId="42025"/>
    <cellStyle name="计算 2 4 5 3 3" xfId="30218"/>
    <cellStyle name="计算 2 4 5 3 4" xfId="42024"/>
    <cellStyle name="计算 2 4 5 4" xfId="13402"/>
    <cellStyle name="计算 2 4 5 4 2" xfId="5863"/>
    <cellStyle name="计算 2 4 5 4 2 2" xfId="30221"/>
    <cellStyle name="计算 2 4 5 4 2 3" xfId="42027"/>
    <cellStyle name="计算 2 4 5 4 3" xfId="30220"/>
    <cellStyle name="计算 2 4 5 4 4" xfId="42026"/>
    <cellStyle name="计算 2 4 5 5" xfId="30222"/>
    <cellStyle name="计算 2 4 5 5 2" xfId="42028"/>
    <cellStyle name="计算 2 4 5 6" xfId="30211"/>
    <cellStyle name="计算 2 4 5 7" xfId="42017"/>
    <cellStyle name="计算 2 4 6" xfId="13403"/>
    <cellStyle name="计算 2 4 6 2" xfId="13404"/>
    <cellStyle name="计算 2 4 6 2 2" xfId="5866"/>
    <cellStyle name="计算 2 4 6 2 2 2" xfId="30225"/>
    <cellStyle name="计算 2 4 6 2 2 3" xfId="42031"/>
    <cellStyle name="计算 2 4 6 2 3" xfId="30224"/>
    <cellStyle name="计算 2 4 6 2 4" xfId="42030"/>
    <cellStyle name="计算 2 4 6 3" xfId="13405"/>
    <cellStyle name="计算 2 4 6 3 2" xfId="5867"/>
    <cellStyle name="计算 2 4 6 3 2 2" xfId="30227"/>
    <cellStyle name="计算 2 4 6 3 2 3" xfId="42033"/>
    <cellStyle name="计算 2 4 6 3 3" xfId="30226"/>
    <cellStyle name="计算 2 4 6 3 4" xfId="42032"/>
    <cellStyle name="计算 2 4 6 4" xfId="5864"/>
    <cellStyle name="计算 2 4 6 4 2" xfId="30228"/>
    <cellStyle name="计算 2 4 6 4 3" xfId="42034"/>
    <cellStyle name="计算 2 4 6 5" xfId="30223"/>
    <cellStyle name="计算 2 4 6 6" xfId="42029"/>
    <cellStyle name="计算 2 4 7" xfId="13406"/>
    <cellStyle name="计算 2 4 7 2" xfId="20967"/>
    <cellStyle name="计算 2 4 7 2 2" xfId="30230"/>
    <cellStyle name="计算 2 4 7 2 3" xfId="42036"/>
    <cellStyle name="计算 2 4 7 3" xfId="30229"/>
    <cellStyle name="计算 2 4 7 4" xfId="42035"/>
    <cellStyle name="计算 2 4 8" xfId="13407"/>
    <cellStyle name="计算 2 4 8 2" xfId="20966"/>
    <cellStyle name="计算 2 4 8 2 2" xfId="30232"/>
    <cellStyle name="计算 2 4 8 2 3" xfId="42038"/>
    <cellStyle name="计算 2 4 8 3" xfId="30231"/>
    <cellStyle name="计算 2 4 8 4" xfId="42037"/>
    <cellStyle name="计算 2 4 9" xfId="9701"/>
    <cellStyle name="计算 2 4 9 2" xfId="30233"/>
    <cellStyle name="计算 2 4 9 3" xfId="42039"/>
    <cellStyle name="计算 2 5" xfId="9706"/>
    <cellStyle name="计算 2 5 10" xfId="30234"/>
    <cellStyle name="计算 2 5 11" xfId="42040"/>
    <cellStyle name="计算 2 5 2" xfId="9707"/>
    <cellStyle name="计算 2 5 2 2" xfId="13408"/>
    <cellStyle name="计算 2 5 2 2 2" xfId="13409"/>
    <cellStyle name="计算 2 5 2 2 2 2" xfId="5870"/>
    <cellStyle name="计算 2 5 2 2 2 2 2" xfId="30238"/>
    <cellStyle name="计算 2 5 2 2 2 2 3" xfId="42044"/>
    <cellStyle name="计算 2 5 2 2 2 3" xfId="30237"/>
    <cellStyle name="计算 2 5 2 2 2 4" xfId="42043"/>
    <cellStyle name="计算 2 5 2 2 3" xfId="13410"/>
    <cellStyle name="计算 2 5 2 2 3 2" xfId="5871"/>
    <cellStyle name="计算 2 5 2 2 3 2 2" xfId="30240"/>
    <cellStyle name="计算 2 5 2 2 3 2 3" xfId="42046"/>
    <cellStyle name="计算 2 5 2 2 3 3" xfId="30239"/>
    <cellStyle name="计算 2 5 2 2 3 4" xfId="42045"/>
    <cellStyle name="计算 2 5 2 2 4" xfId="5868"/>
    <cellStyle name="计算 2 5 2 2 4 2" xfId="30241"/>
    <cellStyle name="计算 2 5 2 2 4 3" xfId="42047"/>
    <cellStyle name="计算 2 5 2 2 5" xfId="30236"/>
    <cellStyle name="计算 2 5 2 2 6" xfId="42042"/>
    <cellStyle name="计算 2 5 2 3" xfId="13411"/>
    <cellStyle name="计算 2 5 2 3 2" xfId="5872"/>
    <cellStyle name="计算 2 5 2 3 2 2" xfId="30243"/>
    <cellStyle name="计算 2 5 2 3 2 3" xfId="42049"/>
    <cellStyle name="计算 2 5 2 3 3" xfId="30242"/>
    <cellStyle name="计算 2 5 2 3 4" xfId="42048"/>
    <cellStyle name="计算 2 5 2 4" xfId="13412"/>
    <cellStyle name="计算 2 5 2 4 2" xfId="18613"/>
    <cellStyle name="计算 2 5 2 4 2 2" xfId="30245"/>
    <cellStyle name="计算 2 5 2 4 2 3" xfId="42051"/>
    <cellStyle name="计算 2 5 2 4 3" xfId="30244"/>
    <cellStyle name="计算 2 5 2 4 4" xfId="42050"/>
    <cellStyle name="计算 2 5 2 5" xfId="30246"/>
    <cellStyle name="计算 2 5 2 5 2" xfId="42052"/>
    <cellStyle name="计算 2 5 2 6" xfId="30235"/>
    <cellStyle name="计算 2 5 2 7" xfId="42041"/>
    <cellStyle name="计算 2 5 3" xfId="9708"/>
    <cellStyle name="计算 2 5 3 2" xfId="13413"/>
    <cellStyle name="计算 2 5 3 2 2" xfId="13414"/>
    <cellStyle name="计算 2 5 3 2 2 2" xfId="5875"/>
    <cellStyle name="计算 2 5 3 2 2 2 2" xfId="30250"/>
    <cellStyle name="计算 2 5 3 2 2 2 3" xfId="42056"/>
    <cellStyle name="计算 2 5 3 2 2 3" xfId="30249"/>
    <cellStyle name="计算 2 5 3 2 2 4" xfId="42055"/>
    <cellStyle name="计算 2 5 3 2 3" xfId="13415"/>
    <cellStyle name="计算 2 5 3 2 3 2" xfId="5876"/>
    <cellStyle name="计算 2 5 3 2 3 2 2" xfId="30252"/>
    <cellStyle name="计算 2 5 3 2 3 2 3" xfId="42058"/>
    <cellStyle name="计算 2 5 3 2 3 3" xfId="30251"/>
    <cellStyle name="计算 2 5 3 2 3 4" xfId="42057"/>
    <cellStyle name="计算 2 5 3 2 4" xfId="5874"/>
    <cellStyle name="计算 2 5 3 2 4 2" xfId="30253"/>
    <cellStyle name="计算 2 5 3 2 4 3" xfId="42059"/>
    <cellStyle name="计算 2 5 3 2 5" xfId="30248"/>
    <cellStyle name="计算 2 5 3 2 6" xfId="42054"/>
    <cellStyle name="计算 2 5 3 3" xfId="13416"/>
    <cellStyle name="计算 2 5 3 3 2" xfId="5878"/>
    <cellStyle name="计算 2 5 3 3 2 2" xfId="30255"/>
    <cellStyle name="计算 2 5 3 3 2 3" xfId="42061"/>
    <cellStyle name="计算 2 5 3 3 3" xfId="30254"/>
    <cellStyle name="计算 2 5 3 3 4" xfId="42060"/>
    <cellStyle name="计算 2 5 3 4" xfId="13417"/>
    <cellStyle name="计算 2 5 3 4 2" xfId="20965"/>
    <cellStyle name="计算 2 5 3 4 2 2" xfId="30257"/>
    <cellStyle name="计算 2 5 3 4 2 3" xfId="42063"/>
    <cellStyle name="计算 2 5 3 4 3" xfId="30256"/>
    <cellStyle name="计算 2 5 3 4 4" xfId="42062"/>
    <cellStyle name="计算 2 5 3 5" xfId="30258"/>
    <cellStyle name="计算 2 5 3 5 2" xfId="42064"/>
    <cellStyle name="计算 2 5 3 6" xfId="30247"/>
    <cellStyle name="计算 2 5 3 7" xfId="42053"/>
    <cellStyle name="计算 2 5 4" xfId="9709"/>
    <cellStyle name="计算 2 5 4 2" xfId="13418"/>
    <cellStyle name="计算 2 5 4 2 2" xfId="13419"/>
    <cellStyle name="计算 2 5 4 2 2 2" xfId="5880"/>
    <cellStyle name="计算 2 5 4 2 2 2 2" xfId="30262"/>
    <cellStyle name="计算 2 5 4 2 2 2 3" xfId="42068"/>
    <cellStyle name="计算 2 5 4 2 2 3" xfId="30261"/>
    <cellStyle name="计算 2 5 4 2 2 4" xfId="42067"/>
    <cellStyle name="计算 2 5 4 2 3" xfId="13420"/>
    <cellStyle name="计算 2 5 4 2 3 2" xfId="5882"/>
    <cellStyle name="计算 2 5 4 2 3 2 2" xfId="30264"/>
    <cellStyle name="计算 2 5 4 2 3 2 3" xfId="42070"/>
    <cellStyle name="计算 2 5 4 2 3 3" xfId="30263"/>
    <cellStyle name="计算 2 5 4 2 3 4" xfId="42069"/>
    <cellStyle name="计算 2 5 4 2 4" xfId="5879"/>
    <cellStyle name="计算 2 5 4 2 4 2" xfId="30265"/>
    <cellStyle name="计算 2 5 4 2 4 3" xfId="42071"/>
    <cellStyle name="计算 2 5 4 2 5" xfId="30260"/>
    <cellStyle name="计算 2 5 4 2 6" xfId="42066"/>
    <cellStyle name="计算 2 5 4 3" xfId="13421"/>
    <cellStyle name="计算 2 5 4 3 2" xfId="5883"/>
    <cellStyle name="计算 2 5 4 3 2 2" xfId="30267"/>
    <cellStyle name="计算 2 5 4 3 2 3" xfId="42073"/>
    <cellStyle name="计算 2 5 4 3 3" xfId="30266"/>
    <cellStyle name="计算 2 5 4 3 4" xfId="42072"/>
    <cellStyle name="计算 2 5 4 4" xfId="13422"/>
    <cellStyle name="计算 2 5 4 4 2" xfId="20964"/>
    <cellStyle name="计算 2 5 4 4 2 2" xfId="30269"/>
    <cellStyle name="计算 2 5 4 4 2 3" xfId="42075"/>
    <cellStyle name="计算 2 5 4 4 3" xfId="30268"/>
    <cellStyle name="计算 2 5 4 4 4" xfId="42074"/>
    <cellStyle name="计算 2 5 4 5" xfId="30270"/>
    <cellStyle name="计算 2 5 4 5 2" xfId="42076"/>
    <cellStyle name="计算 2 5 4 6" xfId="30259"/>
    <cellStyle name="计算 2 5 4 7" xfId="42065"/>
    <cellStyle name="计算 2 5 5" xfId="9710"/>
    <cellStyle name="计算 2 5 5 2" xfId="13423"/>
    <cellStyle name="计算 2 5 5 2 2" xfId="13424"/>
    <cellStyle name="计算 2 5 5 2 2 2" xfId="5886"/>
    <cellStyle name="计算 2 5 5 2 2 2 2" xfId="30274"/>
    <cellStyle name="计算 2 5 5 2 2 2 3" xfId="42080"/>
    <cellStyle name="计算 2 5 5 2 2 3" xfId="30273"/>
    <cellStyle name="计算 2 5 5 2 2 4" xfId="42079"/>
    <cellStyle name="计算 2 5 5 2 3" xfId="13425"/>
    <cellStyle name="计算 2 5 5 2 3 2" xfId="5887"/>
    <cellStyle name="计算 2 5 5 2 3 2 2" xfId="30276"/>
    <cellStyle name="计算 2 5 5 2 3 2 3" xfId="42082"/>
    <cellStyle name="计算 2 5 5 2 3 3" xfId="30275"/>
    <cellStyle name="计算 2 5 5 2 3 4" xfId="42081"/>
    <cellStyle name="计算 2 5 5 2 4" xfId="5884"/>
    <cellStyle name="计算 2 5 5 2 4 2" xfId="30277"/>
    <cellStyle name="计算 2 5 5 2 4 3" xfId="42083"/>
    <cellStyle name="计算 2 5 5 2 5" xfId="30272"/>
    <cellStyle name="计算 2 5 5 2 6" xfId="42078"/>
    <cellStyle name="计算 2 5 5 3" xfId="13426"/>
    <cellStyle name="计算 2 5 5 3 2" xfId="5888"/>
    <cellStyle name="计算 2 5 5 3 2 2" xfId="30279"/>
    <cellStyle name="计算 2 5 5 3 2 3" xfId="42085"/>
    <cellStyle name="计算 2 5 5 3 3" xfId="30278"/>
    <cellStyle name="计算 2 5 5 3 4" xfId="42084"/>
    <cellStyle name="计算 2 5 5 4" xfId="13427"/>
    <cellStyle name="计算 2 5 5 4 2" xfId="5890"/>
    <cellStyle name="计算 2 5 5 4 2 2" xfId="30281"/>
    <cellStyle name="计算 2 5 5 4 2 3" xfId="42087"/>
    <cellStyle name="计算 2 5 5 4 3" xfId="30280"/>
    <cellStyle name="计算 2 5 5 4 4" xfId="42086"/>
    <cellStyle name="计算 2 5 5 5" xfId="30282"/>
    <cellStyle name="计算 2 5 5 5 2" xfId="42088"/>
    <cellStyle name="计算 2 5 5 6" xfId="30271"/>
    <cellStyle name="计算 2 5 5 7" xfId="42077"/>
    <cellStyle name="计算 2 5 6" xfId="13428"/>
    <cellStyle name="计算 2 5 6 2" xfId="13429"/>
    <cellStyle name="计算 2 5 6 2 2" xfId="5892"/>
    <cellStyle name="计算 2 5 6 2 2 2" xfId="30285"/>
    <cellStyle name="计算 2 5 6 2 2 3" xfId="42091"/>
    <cellStyle name="计算 2 5 6 2 3" xfId="30284"/>
    <cellStyle name="计算 2 5 6 2 4" xfId="42090"/>
    <cellStyle name="计算 2 5 6 3" xfId="13430"/>
    <cellStyle name="计算 2 5 6 3 2" xfId="5894"/>
    <cellStyle name="计算 2 5 6 3 2 2" xfId="30287"/>
    <cellStyle name="计算 2 5 6 3 2 3" xfId="42093"/>
    <cellStyle name="计算 2 5 6 3 3" xfId="30286"/>
    <cellStyle name="计算 2 5 6 3 4" xfId="42092"/>
    <cellStyle name="计算 2 5 6 4" xfId="5891"/>
    <cellStyle name="计算 2 5 6 4 2" xfId="30288"/>
    <cellStyle name="计算 2 5 6 4 3" xfId="42094"/>
    <cellStyle name="计算 2 5 6 5" xfId="30283"/>
    <cellStyle name="计算 2 5 6 6" xfId="42089"/>
    <cellStyle name="计算 2 5 7" xfId="13431"/>
    <cellStyle name="计算 2 5 7 2" xfId="20963"/>
    <cellStyle name="计算 2 5 7 2 2" xfId="30290"/>
    <cellStyle name="计算 2 5 7 2 3" xfId="42096"/>
    <cellStyle name="计算 2 5 7 3" xfId="30289"/>
    <cellStyle name="计算 2 5 7 4" xfId="42095"/>
    <cellStyle name="计算 2 5 8" xfId="13432"/>
    <cellStyle name="计算 2 5 8 2" xfId="20962"/>
    <cellStyle name="计算 2 5 8 2 2" xfId="30292"/>
    <cellStyle name="计算 2 5 8 2 3" xfId="42098"/>
    <cellStyle name="计算 2 5 8 3" xfId="30291"/>
    <cellStyle name="计算 2 5 8 4" xfId="42097"/>
    <cellStyle name="计算 2 5 9" xfId="30293"/>
    <cellStyle name="计算 2 5 9 2" xfId="42099"/>
    <cellStyle name="计算 2 6" xfId="9711"/>
    <cellStyle name="计算 2 6 10" xfId="30294"/>
    <cellStyle name="计算 2 6 11" xfId="42100"/>
    <cellStyle name="计算 2 6 2" xfId="9712"/>
    <cellStyle name="计算 2 6 2 2" xfId="13433"/>
    <cellStyle name="计算 2 6 2 2 2" xfId="13434"/>
    <cellStyle name="计算 2 6 2 2 2 2" xfId="5896"/>
    <cellStyle name="计算 2 6 2 2 2 2 2" xfId="30298"/>
    <cellStyle name="计算 2 6 2 2 2 2 3" xfId="42104"/>
    <cellStyle name="计算 2 6 2 2 2 3" xfId="30297"/>
    <cellStyle name="计算 2 6 2 2 2 4" xfId="42103"/>
    <cellStyle name="计算 2 6 2 2 3" xfId="13435"/>
    <cellStyle name="计算 2 6 2 2 3 2" xfId="5898"/>
    <cellStyle name="计算 2 6 2 2 3 2 2" xfId="30300"/>
    <cellStyle name="计算 2 6 2 2 3 2 3" xfId="42106"/>
    <cellStyle name="计算 2 6 2 2 3 3" xfId="30299"/>
    <cellStyle name="计算 2 6 2 2 3 4" xfId="42105"/>
    <cellStyle name="计算 2 6 2 2 4" xfId="5895"/>
    <cellStyle name="计算 2 6 2 2 4 2" xfId="30301"/>
    <cellStyle name="计算 2 6 2 2 4 3" xfId="42107"/>
    <cellStyle name="计算 2 6 2 2 5" xfId="30296"/>
    <cellStyle name="计算 2 6 2 2 6" xfId="42102"/>
    <cellStyle name="计算 2 6 2 3" xfId="13436"/>
    <cellStyle name="计算 2 6 2 3 2" xfId="5899"/>
    <cellStyle name="计算 2 6 2 3 2 2" xfId="30303"/>
    <cellStyle name="计算 2 6 2 3 2 3" xfId="42109"/>
    <cellStyle name="计算 2 6 2 3 3" xfId="30302"/>
    <cellStyle name="计算 2 6 2 3 4" xfId="42108"/>
    <cellStyle name="计算 2 6 2 4" xfId="13437"/>
    <cellStyle name="计算 2 6 2 4 2" xfId="20961"/>
    <cellStyle name="计算 2 6 2 4 2 2" xfId="30305"/>
    <cellStyle name="计算 2 6 2 4 2 3" xfId="42111"/>
    <cellStyle name="计算 2 6 2 4 3" xfId="30304"/>
    <cellStyle name="计算 2 6 2 4 4" xfId="42110"/>
    <cellStyle name="计算 2 6 2 5" xfId="30306"/>
    <cellStyle name="计算 2 6 2 5 2" xfId="42112"/>
    <cellStyle name="计算 2 6 2 6" xfId="30295"/>
    <cellStyle name="计算 2 6 2 7" xfId="42101"/>
    <cellStyle name="计算 2 6 3" xfId="9713"/>
    <cellStyle name="计算 2 6 3 2" xfId="13438"/>
    <cellStyle name="计算 2 6 3 2 2" xfId="13439"/>
    <cellStyle name="计算 2 6 3 2 2 2" xfId="5907"/>
    <cellStyle name="计算 2 6 3 2 2 2 2" xfId="30310"/>
    <cellStyle name="计算 2 6 3 2 2 2 3" xfId="42116"/>
    <cellStyle name="计算 2 6 3 2 2 3" xfId="30309"/>
    <cellStyle name="计算 2 6 3 2 2 4" xfId="42115"/>
    <cellStyle name="计算 2 6 3 2 3" xfId="13440"/>
    <cellStyle name="计算 2 6 3 2 3 2" xfId="5915"/>
    <cellStyle name="计算 2 6 3 2 3 2 2" xfId="30312"/>
    <cellStyle name="计算 2 6 3 2 3 2 3" xfId="42118"/>
    <cellStyle name="计算 2 6 3 2 3 3" xfId="30311"/>
    <cellStyle name="计算 2 6 3 2 3 4" xfId="42117"/>
    <cellStyle name="计算 2 6 3 2 4" xfId="5900"/>
    <cellStyle name="计算 2 6 3 2 4 2" xfId="30313"/>
    <cellStyle name="计算 2 6 3 2 4 3" xfId="42119"/>
    <cellStyle name="计算 2 6 3 2 5" xfId="30308"/>
    <cellStyle name="计算 2 6 3 2 6" xfId="42114"/>
    <cellStyle name="计算 2 6 3 3" xfId="13441"/>
    <cellStyle name="计算 2 6 3 3 2" xfId="5923"/>
    <cellStyle name="计算 2 6 3 3 2 2" xfId="30315"/>
    <cellStyle name="计算 2 6 3 3 2 3" xfId="42121"/>
    <cellStyle name="计算 2 6 3 3 3" xfId="30314"/>
    <cellStyle name="计算 2 6 3 3 4" xfId="42120"/>
    <cellStyle name="计算 2 6 3 4" xfId="13442"/>
    <cellStyle name="计算 2 6 3 4 2" xfId="18612"/>
    <cellStyle name="计算 2 6 3 4 2 2" xfId="30317"/>
    <cellStyle name="计算 2 6 3 4 2 3" xfId="42123"/>
    <cellStyle name="计算 2 6 3 4 3" xfId="30316"/>
    <cellStyle name="计算 2 6 3 4 4" xfId="42122"/>
    <cellStyle name="计算 2 6 3 5" xfId="30318"/>
    <cellStyle name="计算 2 6 3 5 2" xfId="42124"/>
    <cellStyle name="计算 2 6 3 6" xfId="30307"/>
    <cellStyle name="计算 2 6 3 7" xfId="42113"/>
    <cellStyle name="计算 2 6 4" xfId="9714"/>
    <cellStyle name="计算 2 6 4 2" xfId="13443"/>
    <cellStyle name="计算 2 6 4 2 2" xfId="13444"/>
    <cellStyle name="计算 2 6 4 2 2 2" xfId="5939"/>
    <cellStyle name="计算 2 6 4 2 2 2 2" xfId="30322"/>
    <cellStyle name="计算 2 6 4 2 2 2 3" xfId="42128"/>
    <cellStyle name="计算 2 6 4 2 2 3" xfId="30321"/>
    <cellStyle name="计算 2 6 4 2 2 4" xfId="42127"/>
    <cellStyle name="计算 2 6 4 2 3" xfId="13445"/>
    <cellStyle name="计算 2 6 4 2 3 2" xfId="5947"/>
    <cellStyle name="计算 2 6 4 2 3 2 2" xfId="30324"/>
    <cellStyle name="计算 2 6 4 2 3 2 3" xfId="42130"/>
    <cellStyle name="计算 2 6 4 2 3 3" xfId="30323"/>
    <cellStyle name="计算 2 6 4 2 3 4" xfId="42129"/>
    <cellStyle name="计算 2 6 4 2 4" xfId="5931"/>
    <cellStyle name="计算 2 6 4 2 4 2" xfId="30325"/>
    <cellStyle name="计算 2 6 4 2 4 3" xfId="42131"/>
    <cellStyle name="计算 2 6 4 2 5" xfId="30320"/>
    <cellStyle name="计算 2 6 4 2 6" xfId="42126"/>
    <cellStyle name="计算 2 6 4 3" xfId="13446"/>
    <cellStyle name="计算 2 6 4 3 2" xfId="5956"/>
    <cellStyle name="计算 2 6 4 3 2 2" xfId="30327"/>
    <cellStyle name="计算 2 6 4 3 2 3" xfId="42133"/>
    <cellStyle name="计算 2 6 4 3 3" xfId="30326"/>
    <cellStyle name="计算 2 6 4 3 4" xfId="42132"/>
    <cellStyle name="计算 2 6 4 4" xfId="13447"/>
    <cellStyle name="计算 2 6 4 4 2" xfId="18611"/>
    <cellStyle name="计算 2 6 4 4 2 2" xfId="30329"/>
    <cellStyle name="计算 2 6 4 4 2 3" xfId="42135"/>
    <cellStyle name="计算 2 6 4 4 3" xfId="30328"/>
    <cellStyle name="计算 2 6 4 4 4" xfId="42134"/>
    <cellStyle name="计算 2 6 4 5" xfId="30330"/>
    <cellStyle name="计算 2 6 4 5 2" xfId="42136"/>
    <cellStyle name="计算 2 6 4 6" xfId="30319"/>
    <cellStyle name="计算 2 6 4 7" xfId="42125"/>
    <cellStyle name="计算 2 6 5" xfId="9715"/>
    <cellStyle name="计算 2 6 5 2" xfId="13448"/>
    <cellStyle name="计算 2 6 5 2 2" xfId="13449"/>
    <cellStyle name="计算 2 6 5 2 2 2" xfId="5959"/>
    <cellStyle name="计算 2 6 5 2 2 2 2" xfId="30334"/>
    <cellStyle name="计算 2 6 5 2 2 2 3" xfId="42140"/>
    <cellStyle name="计算 2 6 5 2 2 3" xfId="30333"/>
    <cellStyle name="计算 2 6 5 2 2 4" xfId="42139"/>
    <cellStyle name="计算 2 6 5 2 3" xfId="13450"/>
    <cellStyle name="计算 2 6 5 2 3 2" xfId="5960"/>
    <cellStyle name="计算 2 6 5 2 3 2 2" xfId="30336"/>
    <cellStyle name="计算 2 6 5 2 3 2 3" xfId="42142"/>
    <cellStyle name="计算 2 6 5 2 3 3" xfId="30335"/>
    <cellStyle name="计算 2 6 5 2 3 4" xfId="42141"/>
    <cellStyle name="计算 2 6 5 2 4" xfId="5957"/>
    <cellStyle name="计算 2 6 5 2 4 2" xfId="30337"/>
    <cellStyle name="计算 2 6 5 2 4 3" xfId="42143"/>
    <cellStyle name="计算 2 6 5 2 5" xfId="30332"/>
    <cellStyle name="计算 2 6 5 2 6" xfId="42138"/>
    <cellStyle name="计算 2 6 5 3" xfId="13451"/>
    <cellStyle name="计算 2 6 5 3 2" xfId="5962"/>
    <cellStyle name="计算 2 6 5 3 2 2" xfId="30339"/>
    <cellStyle name="计算 2 6 5 3 2 3" xfId="42145"/>
    <cellStyle name="计算 2 6 5 3 3" xfId="30338"/>
    <cellStyle name="计算 2 6 5 3 4" xfId="42144"/>
    <cellStyle name="计算 2 6 5 4" xfId="13452"/>
    <cellStyle name="计算 2 6 5 4 2" xfId="5963"/>
    <cellStyle name="计算 2 6 5 4 2 2" xfId="30341"/>
    <cellStyle name="计算 2 6 5 4 2 3" xfId="42147"/>
    <cellStyle name="计算 2 6 5 4 3" xfId="30340"/>
    <cellStyle name="计算 2 6 5 4 4" xfId="42146"/>
    <cellStyle name="计算 2 6 5 5" xfId="30342"/>
    <cellStyle name="计算 2 6 5 5 2" xfId="42148"/>
    <cellStyle name="计算 2 6 5 6" xfId="30331"/>
    <cellStyle name="计算 2 6 5 7" xfId="42137"/>
    <cellStyle name="计算 2 6 6" xfId="13453"/>
    <cellStyle name="计算 2 6 6 2" xfId="13454"/>
    <cellStyle name="计算 2 6 6 2 2" xfId="5966"/>
    <cellStyle name="计算 2 6 6 2 2 2" xfId="30345"/>
    <cellStyle name="计算 2 6 6 2 2 3" xfId="42151"/>
    <cellStyle name="计算 2 6 6 2 3" xfId="30344"/>
    <cellStyle name="计算 2 6 6 2 4" xfId="42150"/>
    <cellStyle name="计算 2 6 6 3" xfId="13455"/>
    <cellStyle name="计算 2 6 6 3 2" xfId="5968"/>
    <cellStyle name="计算 2 6 6 3 2 2" xfId="30347"/>
    <cellStyle name="计算 2 6 6 3 2 3" xfId="42153"/>
    <cellStyle name="计算 2 6 6 3 3" xfId="30346"/>
    <cellStyle name="计算 2 6 6 3 4" xfId="42152"/>
    <cellStyle name="计算 2 6 6 4" xfId="5965"/>
    <cellStyle name="计算 2 6 6 4 2" xfId="30348"/>
    <cellStyle name="计算 2 6 6 4 3" xfId="42154"/>
    <cellStyle name="计算 2 6 6 5" xfId="30343"/>
    <cellStyle name="计算 2 6 6 6" xfId="42149"/>
    <cellStyle name="计算 2 6 7" xfId="13456"/>
    <cellStyle name="计算 2 6 7 2" xfId="20960"/>
    <cellStyle name="计算 2 6 7 2 2" xfId="30350"/>
    <cellStyle name="计算 2 6 7 2 3" xfId="42156"/>
    <cellStyle name="计算 2 6 7 3" xfId="30349"/>
    <cellStyle name="计算 2 6 7 4" xfId="42155"/>
    <cellStyle name="计算 2 6 8" xfId="13457"/>
    <cellStyle name="计算 2 6 8 2" xfId="20959"/>
    <cellStyle name="计算 2 6 8 2 2" xfId="30352"/>
    <cellStyle name="计算 2 6 8 2 3" xfId="42158"/>
    <cellStyle name="计算 2 6 8 3" xfId="30351"/>
    <cellStyle name="计算 2 6 8 4" xfId="42157"/>
    <cellStyle name="计算 2 6 9" xfId="30353"/>
    <cellStyle name="计算 2 6 9 2" xfId="42159"/>
    <cellStyle name="计算 2 7" xfId="9716"/>
    <cellStyle name="计算 2 7 10" xfId="30354"/>
    <cellStyle name="计算 2 7 11" xfId="42160"/>
    <cellStyle name="计算 2 7 2" xfId="9717"/>
    <cellStyle name="计算 2 7 2 2" xfId="13458"/>
    <cellStyle name="计算 2 7 2 2 2" xfId="13459"/>
    <cellStyle name="计算 2 7 2 2 2 2" xfId="5971"/>
    <cellStyle name="计算 2 7 2 2 2 2 2" xfId="30358"/>
    <cellStyle name="计算 2 7 2 2 2 2 3" xfId="42164"/>
    <cellStyle name="计算 2 7 2 2 2 3" xfId="30357"/>
    <cellStyle name="计算 2 7 2 2 2 4" xfId="42163"/>
    <cellStyle name="计算 2 7 2 2 3" xfId="13460"/>
    <cellStyle name="计算 2 7 2 2 3 2" xfId="5972"/>
    <cellStyle name="计算 2 7 2 2 3 2 2" xfId="30360"/>
    <cellStyle name="计算 2 7 2 2 3 2 3" xfId="42166"/>
    <cellStyle name="计算 2 7 2 2 3 3" xfId="30359"/>
    <cellStyle name="计算 2 7 2 2 3 4" xfId="42165"/>
    <cellStyle name="计算 2 7 2 2 4" xfId="5969"/>
    <cellStyle name="计算 2 7 2 2 4 2" xfId="30361"/>
    <cellStyle name="计算 2 7 2 2 4 3" xfId="42167"/>
    <cellStyle name="计算 2 7 2 2 5" xfId="30356"/>
    <cellStyle name="计算 2 7 2 2 6" xfId="42162"/>
    <cellStyle name="计算 2 7 2 3" xfId="13461"/>
    <cellStyle name="计算 2 7 2 3 2" xfId="5974"/>
    <cellStyle name="计算 2 7 2 3 2 2" xfId="30363"/>
    <cellStyle name="计算 2 7 2 3 2 3" xfId="42169"/>
    <cellStyle name="计算 2 7 2 3 3" xfId="30362"/>
    <cellStyle name="计算 2 7 2 3 4" xfId="42168"/>
    <cellStyle name="计算 2 7 2 4" xfId="13462"/>
    <cellStyle name="计算 2 7 2 4 2" xfId="20958"/>
    <cellStyle name="计算 2 7 2 4 2 2" xfId="30365"/>
    <cellStyle name="计算 2 7 2 4 2 3" xfId="42171"/>
    <cellStyle name="计算 2 7 2 4 3" xfId="30364"/>
    <cellStyle name="计算 2 7 2 4 4" xfId="42170"/>
    <cellStyle name="计算 2 7 2 5" xfId="30366"/>
    <cellStyle name="计算 2 7 2 5 2" xfId="42172"/>
    <cellStyle name="计算 2 7 2 6" xfId="30355"/>
    <cellStyle name="计算 2 7 2 7" xfId="42161"/>
    <cellStyle name="计算 2 7 3" xfId="9718"/>
    <cellStyle name="计算 2 7 3 2" xfId="13463"/>
    <cellStyle name="计算 2 7 3 2 2" xfId="13464"/>
    <cellStyle name="计算 2 7 3 2 2 2" xfId="5993"/>
    <cellStyle name="计算 2 7 3 2 2 2 2" xfId="30370"/>
    <cellStyle name="计算 2 7 3 2 2 2 3" xfId="42176"/>
    <cellStyle name="计算 2 7 3 2 2 3" xfId="30369"/>
    <cellStyle name="计算 2 7 3 2 2 4" xfId="42175"/>
    <cellStyle name="计算 2 7 3 2 3" xfId="13465"/>
    <cellStyle name="计算 2 7 3 2 3 2" xfId="5994"/>
    <cellStyle name="计算 2 7 3 2 3 2 2" xfId="30372"/>
    <cellStyle name="计算 2 7 3 2 3 2 3" xfId="42178"/>
    <cellStyle name="计算 2 7 3 2 3 3" xfId="30371"/>
    <cellStyle name="计算 2 7 3 2 3 4" xfId="42177"/>
    <cellStyle name="计算 2 7 3 2 4" xfId="5975"/>
    <cellStyle name="计算 2 7 3 2 4 2" xfId="30373"/>
    <cellStyle name="计算 2 7 3 2 4 3" xfId="42179"/>
    <cellStyle name="计算 2 7 3 2 5" xfId="30368"/>
    <cellStyle name="计算 2 7 3 2 6" xfId="42174"/>
    <cellStyle name="计算 2 7 3 3" xfId="13466"/>
    <cellStyle name="计算 2 7 3 3 2" xfId="6010"/>
    <cellStyle name="计算 2 7 3 3 2 2" xfId="30375"/>
    <cellStyle name="计算 2 7 3 3 2 3" xfId="42181"/>
    <cellStyle name="计算 2 7 3 3 3" xfId="30374"/>
    <cellStyle name="计算 2 7 3 3 4" xfId="42180"/>
    <cellStyle name="计算 2 7 3 4" xfId="13467"/>
    <cellStyle name="计算 2 7 3 4 2" xfId="20957"/>
    <cellStyle name="计算 2 7 3 4 2 2" xfId="30377"/>
    <cellStyle name="计算 2 7 3 4 2 3" xfId="42183"/>
    <cellStyle name="计算 2 7 3 4 3" xfId="30376"/>
    <cellStyle name="计算 2 7 3 4 4" xfId="42182"/>
    <cellStyle name="计算 2 7 3 5" xfId="30378"/>
    <cellStyle name="计算 2 7 3 5 2" xfId="42184"/>
    <cellStyle name="计算 2 7 3 6" xfId="30367"/>
    <cellStyle name="计算 2 7 3 7" xfId="42173"/>
    <cellStyle name="计算 2 7 4" xfId="9719"/>
    <cellStyle name="计算 2 7 4 2" xfId="13468"/>
    <cellStyle name="计算 2 7 4 2 2" xfId="13469"/>
    <cellStyle name="计算 2 7 4 2 2 2" xfId="6012"/>
    <cellStyle name="计算 2 7 4 2 2 2 2" xfId="30382"/>
    <cellStyle name="计算 2 7 4 2 2 2 3" xfId="42188"/>
    <cellStyle name="计算 2 7 4 2 2 3" xfId="30381"/>
    <cellStyle name="计算 2 7 4 2 2 4" xfId="42187"/>
    <cellStyle name="计算 2 7 4 2 3" xfId="13470"/>
    <cellStyle name="计算 2 7 4 2 3 2" xfId="6013"/>
    <cellStyle name="计算 2 7 4 2 3 2 2" xfId="30384"/>
    <cellStyle name="计算 2 7 4 2 3 2 3" xfId="42190"/>
    <cellStyle name="计算 2 7 4 2 3 3" xfId="30383"/>
    <cellStyle name="计算 2 7 4 2 3 4" xfId="42189"/>
    <cellStyle name="计算 2 7 4 2 4" xfId="6011"/>
    <cellStyle name="计算 2 7 4 2 4 2" xfId="30385"/>
    <cellStyle name="计算 2 7 4 2 4 3" xfId="42191"/>
    <cellStyle name="计算 2 7 4 2 5" xfId="30380"/>
    <cellStyle name="计算 2 7 4 2 6" xfId="42186"/>
    <cellStyle name="计算 2 7 4 3" xfId="13471"/>
    <cellStyle name="计算 2 7 4 3 2" xfId="6015"/>
    <cellStyle name="计算 2 7 4 3 2 2" xfId="30387"/>
    <cellStyle name="计算 2 7 4 3 2 3" xfId="42193"/>
    <cellStyle name="计算 2 7 4 3 3" xfId="30386"/>
    <cellStyle name="计算 2 7 4 3 4" xfId="42192"/>
    <cellStyle name="计算 2 7 4 4" xfId="13472"/>
    <cellStyle name="计算 2 7 4 4 2" xfId="20956"/>
    <cellStyle name="计算 2 7 4 4 2 2" xfId="30389"/>
    <cellStyle name="计算 2 7 4 4 2 3" xfId="42195"/>
    <cellStyle name="计算 2 7 4 4 3" xfId="30388"/>
    <cellStyle name="计算 2 7 4 4 4" xfId="42194"/>
    <cellStyle name="计算 2 7 4 5" xfId="30390"/>
    <cellStyle name="计算 2 7 4 5 2" xfId="42196"/>
    <cellStyle name="计算 2 7 4 6" xfId="30379"/>
    <cellStyle name="计算 2 7 4 7" xfId="42185"/>
    <cellStyle name="计算 2 7 5" xfId="9720"/>
    <cellStyle name="计算 2 7 5 2" xfId="13473"/>
    <cellStyle name="计算 2 7 5 2 2" xfId="13474"/>
    <cellStyle name="计算 2 7 5 2 2 2" xfId="6018"/>
    <cellStyle name="计算 2 7 5 2 2 2 2" xfId="30394"/>
    <cellStyle name="计算 2 7 5 2 2 2 3" xfId="42200"/>
    <cellStyle name="计算 2 7 5 2 2 3" xfId="30393"/>
    <cellStyle name="计算 2 7 5 2 2 4" xfId="42199"/>
    <cellStyle name="计算 2 7 5 2 3" xfId="13475"/>
    <cellStyle name="计算 2 7 5 2 3 2" xfId="6019"/>
    <cellStyle name="计算 2 7 5 2 3 2 2" xfId="30396"/>
    <cellStyle name="计算 2 7 5 2 3 2 3" xfId="42202"/>
    <cellStyle name="计算 2 7 5 2 3 3" xfId="30395"/>
    <cellStyle name="计算 2 7 5 2 3 4" xfId="42201"/>
    <cellStyle name="计算 2 7 5 2 4" xfId="6016"/>
    <cellStyle name="计算 2 7 5 2 4 2" xfId="30397"/>
    <cellStyle name="计算 2 7 5 2 4 3" xfId="42203"/>
    <cellStyle name="计算 2 7 5 2 5" xfId="30392"/>
    <cellStyle name="计算 2 7 5 2 6" xfId="42198"/>
    <cellStyle name="计算 2 7 5 3" xfId="13476"/>
    <cellStyle name="计算 2 7 5 3 2" xfId="6020"/>
    <cellStyle name="计算 2 7 5 3 2 2" xfId="30399"/>
    <cellStyle name="计算 2 7 5 3 2 3" xfId="42205"/>
    <cellStyle name="计算 2 7 5 3 3" xfId="30398"/>
    <cellStyle name="计算 2 7 5 3 4" xfId="42204"/>
    <cellStyle name="计算 2 7 5 4" xfId="13477"/>
    <cellStyle name="计算 2 7 5 4 2" xfId="6025"/>
    <cellStyle name="计算 2 7 5 4 2 2" xfId="30401"/>
    <cellStyle name="计算 2 7 5 4 2 3" xfId="42207"/>
    <cellStyle name="计算 2 7 5 4 3" xfId="30400"/>
    <cellStyle name="计算 2 7 5 4 4" xfId="42206"/>
    <cellStyle name="计算 2 7 5 5" xfId="30402"/>
    <cellStyle name="计算 2 7 5 5 2" xfId="42208"/>
    <cellStyle name="计算 2 7 5 6" xfId="30391"/>
    <cellStyle name="计算 2 7 5 7" xfId="42197"/>
    <cellStyle name="计算 2 7 6" xfId="13478"/>
    <cellStyle name="计算 2 7 6 2" xfId="13479"/>
    <cellStyle name="计算 2 7 6 2 2" xfId="6028"/>
    <cellStyle name="计算 2 7 6 2 2 2" xfId="30405"/>
    <cellStyle name="计算 2 7 6 2 2 3" xfId="42211"/>
    <cellStyle name="计算 2 7 6 2 3" xfId="30404"/>
    <cellStyle name="计算 2 7 6 2 4" xfId="42210"/>
    <cellStyle name="计算 2 7 6 3" xfId="13480"/>
    <cellStyle name="计算 2 7 6 3 2" xfId="6029"/>
    <cellStyle name="计算 2 7 6 3 2 2" xfId="30407"/>
    <cellStyle name="计算 2 7 6 3 2 3" xfId="42213"/>
    <cellStyle name="计算 2 7 6 3 3" xfId="30406"/>
    <cellStyle name="计算 2 7 6 3 4" xfId="42212"/>
    <cellStyle name="计算 2 7 6 4" xfId="6026"/>
    <cellStyle name="计算 2 7 6 4 2" xfId="30408"/>
    <cellStyle name="计算 2 7 6 4 3" xfId="42214"/>
    <cellStyle name="计算 2 7 6 5" xfId="30403"/>
    <cellStyle name="计算 2 7 6 6" xfId="42209"/>
    <cellStyle name="计算 2 7 7" xfId="13481"/>
    <cellStyle name="计算 2 7 7 2" xfId="20955"/>
    <cellStyle name="计算 2 7 7 2 2" xfId="30410"/>
    <cellStyle name="计算 2 7 7 2 3" xfId="42216"/>
    <cellStyle name="计算 2 7 7 3" xfId="30409"/>
    <cellStyle name="计算 2 7 7 4" xfId="42215"/>
    <cellStyle name="计算 2 7 8" xfId="13482"/>
    <cellStyle name="计算 2 7 8 2" xfId="20954"/>
    <cellStyle name="计算 2 7 8 2 2" xfId="30412"/>
    <cellStyle name="计算 2 7 8 2 3" xfId="42218"/>
    <cellStyle name="计算 2 7 8 3" xfId="30411"/>
    <cellStyle name="计算 2 7 8 4" xfId="42217"/>
    <cellStyle name="计算 2 7 9" xfId="30413"/>
    <cellStyle name="计算 2 7 9 2" xfId="42219"/>
    <cellStyle name="计算 2 8" xfId="9721"/>
    <cellStyle name="计算 2 8 10" xfId="30414"/>
    <cellStyle name="计算 2 8 11" xfId="42220"/>
    <cellStyle name="计算 2 8 2" xfId="9722"/>
    <cellStyle name="计算 2 8 2 2" xfId="13483"/>
    <cellStyle name="计算 2 8 2 2 2" xfId="13484"/>
    <cellStyle name="计算 2 8 2 2 2 2" xfId="6031"/>
    <cellStyle name="计算 2 8 2 2 2 2 2" xfId="30418"/>
    <cellStyle name="计算 2 8 2 2 2 2 3" xfId="42224"/>
    <cellStyle name="计算 2 8 2 2 2 3" xfId="30417"/>
    <cellStyle name="计算 2 8 2 2 2 4" xfId="42223"/>
    <cellStyle name="计算 2 8 2 2 3" xfId="13485"/>
    <cellStyle name="计算 2 8 2 2 3 2" xfId="6032"/>
    <cellStyle name="计算 2 8 2 2 3 2 2" xfId="30420"/>
    <cellStyle name="计算 2 8 2 2 3 2 3" xfId="42226"/>
    <cellStyle name="计算 2 8 2 2 3 3" xfId="30419"/>
    <cellStyle name="计算 2 8 2 2 3 4" xfId="42225"/>
    <cellStyle name="计算 2 8 2 2 4" xfId="6030"/>
    <cellStyle name="计算 2 8 2 2 4 2" xfId="30421"/>
    <cellStyle name="计算 2 8 2 2 4 3" xfId="42227"/>
    <cellStyle name="计算 2 8 2 2 5" xfId="30416"/>
    <cellStyle name="计算 2 8 2 2 6" xfId="42222"/>
    <cellStyle name="计算 2 8 2 3" xfId="13486"/>
    <cellStyle name="计算 2 8 2 3 2" xfId="6034"/>
    <cellStyle name="计算 2 8 2 3 2 2" xfId="30423"/>
    <cellStyle name="计算 2 8 2 3 2 3" xfId="42229"/>
    <cellStyle name="计算 2 8 2 3 3" xfId="30422"/>
    <cellStyle name="计算 2 8 2 3 4" xfId="42228"/>
    <cellStyle name="计算 2 8 2 4" xfId="13487"/>
    <cellStyle name="计算 2 8 2 4 2" xfId="20953"/>
    <cellStyle name="计算 2 8 2 4 2 2" xfId="30425"/>
    <cellStyle name="计算 2 8 2 4 2 3" xfId="42231"/>
    <cellStyle name="计算 2 8 2 4 3" xfId="30424"/>
    <cellStyle name="计算 2 8 2 4 4" xfId="42230"/>
    <cellStyle name="计算 2 8 2 5" xfId="30426"/>
    <cellStyle name="计算 2 8 2 5 2" xfId="42232"/>
    <cellStyle name="计算 2 8 2 6" xfId="30415"/>
    <cellStyle name="计算 2 8 2 7" xfId="42221"/>
    <cellStyle name="计算 2 8 3" xfId="9723"/>
    <cellStyle name="计算 2 8 3 2" xfId="13488"/>
    <cellStyle name="计算 2 8 3 2 2" xfId="13489"/>
    <cellStyle name="计算 2 8 3 2 2 2" xfId="6056"/>
    <cellStyle name="计算 2 8 3 2 2 2 2" xfId="30430"/>
    <cellStyle name="计算 2 8 3 2 2 2 3" xfId="42236"/>
    <cellStyle name="计算 2 8 3 2 2 3" xfId="30429"/>
    <cellStyle name="计算 2 8 3 2 2 4" xfId="42235"/>
    <cellStyle name="计算 2 8 3 2 3" xfId="13490"/>
    <cellStyle name="计算 2 8 3 2 3 2" xfId="6057"/>
    <cellStyle name="计算 2 8 3 2 3 2 2" xfId="30432"/>
    <cellStyle name="计算 2 8 3 2 3 2 3" xfId="42238"/>
    <cellStyle name="计算 2 8 3 2 3 3" xfId="30431"/>
    <cellStyle name="计算 2 8 3 2 3 4" xfId="42237"/>
    <cellStyle name="计算 2 8 3 2 4" xfId="6035"/>
    <cellStyle name="计算 2 8 3 2 4 2" xfId="30433"/>
    <cellStyle name="计算 2 8 3 2 4 3" xfId="42239"/>
    <cellStyle name="计算 2 8 3 2 5" xfId="30428"/>
    <cellStyle name="计算 2 8 3 2 6" xfId="42234"/>
    <cellStyle name="计算 2 8 3 3" xfId="13491"/>
    <cellStyle name="计算 2 8 3 3 2" xfId="6060"/>
    <cellStyle name="计算 2 8 3 3 2 2" xfId="30435"/>
    <cellStyle name="计算 2 8 3 3 2 3" xfId="42241"/>
    <cellStyle name="计算 2 8 3 3 3" xfId="30434"/>
    <cellStyle name="计算 2 8 3 3 4" xfId="42240"/>
    <cellStyle name="计算 2 8 3 4" xfId="13492"/>
    <cellStyle name="计算 2 8 3 4 2" xfId="20952"/>
    <cellStyle name="计算 2 8 3 4 2 2" xfId="30437"/>
    <cellStyle name="计算 2 8 3 4 2 3" xfId="42243"/>
    <cellStyle name="计算 2 8 3 4 3" xfId="30436"/>
    <cellStyle name="计算 2 8 3 4 4" xfId="42242"/>
    <cellStyle name="计算 2 8 3 5" xfId="30438"/>
    <cellStyle name="计算 2 8 3 5 2" xfId="42244"/>
    <cellStyle name="计算 2 8 3 6" xfId="30427"/>
    <cellStyle name="计算 2 8 3 7" xfId="42233"/>
    <cellStyle name="计算 2 8 4" xfId="9724"/>
    <cellStyle name="计算 2 8 4 2" xfId="13493"/>
    <cellStyle name="计算 2 8 4 2 2" xfId="13494"/>
    <cellStyle name="计算 2 8 4 2 2 2" xfId="6062"/>
    <cellStyle name="计算 2 8 4 2 2 2 2" xfId="30442"/>
    <cellStyle name="计算 2 8 4 2 2 2 3" xfId="42248"/>
    <cellStyle name="计算 2 8 4 2 2 3" xfId="30441"/>
    <cellStyle name="计算 2 8 4 2 2 4" xfId="42247"/>
    <cellStyle name="计算 2 8 4 2 3" xfId="13495"/>
    <cellStyle name="计算 2 8 4 2 3 2" xfId="6132"/>
    <cellStyle name="计算 2 8 4 2 3 2 2" xfId="30444"/>
    <cellStyle name="计算 2 8 4 2 3 2 3" xfId="42250"/>
    <cellStyle name="计算 2 8 4 2 3 3" xfId="30443"/>
    <cellStyle name="计算 2 8 4 2 3 4" xfId="42249"/>
    <cellStyle name="计算 2 8 4 2 4" xfId="6061"/>
    <cellStyle name="计算 2 8 4 2 4 2" xfId="30445"/>
    <cellStyle name="计算 2 8 4 2 4 3" xfId="42251"/>
    <cellStyle name="计算 2 8 4 2 5" xfId="30440"/>
    <cellStyle name="计算 2 8 4 2 6" xfId="42246"/>
    <cellStyle name="计算 2 8 4 3" xfId="13496"/>
    <cellStyle name="计算 2 8 4 3 2" xfId="6133"/>
    <cellStyle name="计算 2 8 4 3 2 2" xfId="30447"/>
    <cellStyle name="计算 2 8 4 3 2 3" xfId="42253"/>
    <cellStyle name="计算 2 8 4 3 3" xfId="30446"/>
    <cellStyle name="计算 2 8 4 3 4" xfId="42252"/>
    <cellStyle name="计算 2 8 4 4" xfId="13497"/>
    <cellStyle name="计算 2 8 4 4 2" xfId="20951"/>
    <cellStyle name="计算 2 8 4 4 2 2" xfId="30449"/>
    <cellStyle name="计算 2 8 4 4 2 3" xfId="42255"/>
    <cellStyle name="计算 2 8 4 4 3" xfId="30448"/>
    <cellStyle name="计算 2 8 4 4 4" xfId="42254"/>
    <cellStyle name="计算 2 8 4 5" xfId="30450"/>
    <cellStyle name="计算 2 8 4 5 2" xfId="42256"/>
    <cellStyle name="计算 2 8 4 6" xfId="30439"/>
    <cellStyle name="计算 2 8 4 7" xfId="42245"/>
    <cellStyle name="计算 2 8 5" xfId="9725"/>
    <cellStyle name="计算 2 8 5 2" xfId="13498"/>
    <cellStyle name="计算 2 8 5 2 2" xfId="13499"/>
    <cellStyle name="计算 2 8 5 2 2 2" xfId="6152"/>
    <cellStyle name="计算 2 8 5 2 2 2 2" xfId="30454"/>
    <cellStyle name="计算 2 8 5 2 2 2 3" xfId="42260"/>
    <cellStyle name="计算 2 8 5 2 2 3" xfId="30453"/>
    <cellStyle name="计算 2 8 5 2 2 4" xfId="42259"/>
    <cellStyle name="计算 2 8 5 2 3" xfId="13500"/>
    <cellStyle name="计算 2 8 5 2 3 2" xfId="6154"/>
    <cellStyle name="计算 2 8 5 2 3 2 2" xfId="30456"/>
    <cellStyle name="计算 2 8 5 2 3 2 3" xfId="42262"/>
    <cellStyle name="计算 2 8 5 2 3 3" xfId="30455"/>
    <cellStyle name="计算 2 8 5 2 3 4" xfId="42261"/>
    <cellStyle name="计算 2 8 5 2 4" xfId="6151"/>
    <cellStyle name="计算 2 8 5 2 4 2" xfId="30457"/>
    <cellStyle name="计算 2 8 5 2 4 3" xfId="42263"/>
    <cellStyle name="计算 2 8 5 2 5" xfId="30452"/>
    <cellStyle name="计算 2 8 5 2 6" xfId="42258"/>
    <cellStyle name="计算 2 8 5 3" xfId="13501"/>
    <cellStyle name="计算 2 8 5 3 2" xfId="6155"/>
    <cellStyle name="计算 2 8 5 3 2 2" xfId="30459"/>
    <cellStyle name="计算 2 8 5 3 2 3" xfId="42265"/>
    <cellStyle name="计算 2 8 5 3 3" xfId="30458"/>
    <cellStyle name="计算 2 8 5 3 4" xfId="42264"/>
    <cellStyle name="计算 2 8 5 4" xfId="13502"/>
    <cellStyle name="计算 2 8 5 4 2" xfId="6156"/>
    <cellStyle name="计算 2 8 5 4 2 2" xfId="30461"/>
    <cellStyle name="计算 2 8 5 4 2 3" xfId="42267"/>
    <cellStyle name="计算 2 8 5 4 3" xfId="30460"/>
    <cellStyle name="计算 2 8 5 4 4" xfId="42266"/>
    <cellStyle name="计算 2 8 5 5" xfId="30462"/>
    <cellStyle name="计算 2 8 5 5 2" xfId="42268"/>
    <cellStyle name="计算 2 8 5 6" xfId="30451"/>
    <cellStyle name="计算 2 8 5 7" xfId="42257"/>
    <cellStyle name="计算 2 8 6" xfId="13503"/>
    <cellStyle name="计算 2 8 6 2" xfId="13504"/>
    <cellStyle name="计算 2 8 6 2 2" xfId="6159"/>
    <cellStyle name="计算 2 8 6 2 2 2" xfId="30465"/>
    <cellStyle name="计算 2 8 6 2 2 3" xfId="42271"/>
    <cellStyle name="计算 2 8 6 2 3" xfId="30464"/>
    <cellStyle name="计算 2 8 6 2 4" xfId="42270"/>
    <cellStyle name="计算 2 8 6 3" xfId="13505"/>
    <cellStyle name="计算 2 8 6 3 2" xfId="6160"/>
    <cellStyle name="计算 2 8 6 3 2 2" xfId="30467"/>
    <cellStyle name="计算 2 8 6 3 2 3" xfId="42273"/>
    <cellStyle name="计算 2 8 6 3 3" xfId="30466"/>
    <cellStyle name="计算 2 8 6 3 4" xfId="42272"/>
    <cellStyle name="计算 2 8 6 4" xfId="6158"/>
    <cellStyle name="计算 2 8 6 4 2" xfId="30468"/>
    <cellStyle name="计算 2 8 6 4 3" xfId="42274"/>
    <cellStyle name="计算 2 8 6 5" xfId="30463"/>
    <cellStyle name="计算 2 8 6 6" xfId="42269"/>
    <cellStyle name="计算 2 8 7" xfId="13506"/>
    <cellStyle name="计算 2 8 7 2" xfId="18610"/>
    <cellStyle name="计算 2 8 7 2 2" xfId="30470"/>
    <cellStyle name="计算 2 8 7 2 3" xfId="42276"/>
    <cellStyle name="计算 2 8 7 3" xfId="30469"/>
    <cellStyle name="计算 2 8 7 4" xfId="42275"/>
    <cellStyle name="计算 2 8 8" xfId="13507"/>
    <cellStyle name="计算 2 8 8 2" xfId="20950"/>
    <cellStyle name="计算 2 8 8 2 2" xfId="30472"/>
    <cellStyle name="计算 2 8 8 2 3" xfId="42278"/>
    <cellStyle name="计算 2 8 8 3" xfId="30471"/>
    <cellStyle name="计算 2 8 8 4" xfId="42277"/>
    <cellStyle name="计算 2 8 9" xfId="30473"/>
    <cellStyle name="计算 2 8 9 2" xfId="42279"/>
    <cellStyle name="计算 2 9" xfId="9726"/>
    <cellStyle name="计算 2 9 10" xfId="30474"/>
    <cellStyle name="计算 2 9 11" xfId="42280"/>
    <cellStyle name="计算 2 9 2" xfId="9727"/>
    <cellStyle name="计算 2 9 2 2" xfId="13508"/>
    <cellStyle name="计算 2 9 2 2 2" xfId="13509"/>
    <cellStyle name="计算 2 9 2 2 2 2" xfId="20948"/>
    <cellStyle name="计算 2 9 2 2 2 2 2" xfId="30478"/>
    <cellStyle name="计算 2 9 2 2 2 2 3" xfId="42284"/>
    <cellStyle name="计算 2 9 2 2 2 3" xfId="30477"/>
    <cellStyle name="计算 2 9 2 2 2 4" xfId="42283"/>
    <cellStyle name="计算 2 9 2 2 3" xfId="13510"/>
    <cellStyle name="计算 2 9 2 2 3 2" xfId="6162"/>
    <cellStyle name="计算 2 9 2 2 3 2 2" xfId="30480"/>
    <cellStyle name="计算 2 9 2 2 3 2 3" xfId="42286"/>
    <cellStyle name="计算 2 9 2 2 3 3" xfId="30479"/>
    <cellStyle name="计算 2 9 2 2 3 4" xfId="42285"/>
    <cellStyle name="计算 2 9 2 2 4" xfId="20949"/>
    <cellStyle name="计算 2 9 2 2 4 2" xfId="30481"/>
    <cellStyle name="计算 2 9 2 2 4 3" xfId="42287"/>
    <cellStyle name="计算 2 9 2 2 5" xfId="30476"/>
    <cellStyle name="计算 2 9 2 2 6" xfId="42282"/>
    <cellStyle name="计算 2 9 2 3" xfId="13511"/>
    <cellStyle name="计算 2 9 2 3 2" xfId="6163"/>
    <cellStyle name="计算 2 9 2 3 2 2" xfId="30483"/>
    <cellStyle name="计算 2 9 2 3 2 3" xfId="42289"/>
    <cellStyle name="计算 2 9 2 3 3" xfId="30482"/>
    <cellStyle name="计算 2 9 2 3 4" xfId="42288"/>
    <cellStyle name="计算 2 9 2 4" xfId="13512"/>
    <cellStyle name="计算 2 9 2 4 2" xfId="6164"/>
    <cellStyle name="计算 2 9 2 4 2 2" xfId="30485"/>
    <cellStyle name="计算 2 9 2 4 2 3" xfId="42291"/>
    <cellStyle name="计算 2 9 2 4 3" xfId="30484"/>
    <cellStyle name="计算 2 9 2 4 4" xfId="42290"/>
    <cellStyle name="计算 2 9 2 5" xfId="30486"/>
    <cellStyle name="计算 2 9 2 5 2" xfId="42292"/>
    <cellStyle name="计算 2 9 2 6" xfId="30475"/>
    <cellStyle name="计算 2 9 2 7" xfId="42281"/>
    <cellStyle name="计算 2 9 3" xfId="9728"/>
    <cellStyle name="计算 2 9 3 2" xfId="13513"/>
    <cellStyle name="计算 2 9 3 2 2" xfId="13514"/>
    <cellStyle name="计算 2 9 3 2 2 2" xfId="20947"/>
    <cellStyle name="计算 2 9 3 2 2 2 2" xfId="30490"/>
    <cellStyle name="计算 2 9 3 2 2 2 3" xfId="42296"/>
    <cellStyle name="计算 2 9 3 2 2 3" xfId="30489"/>
    <cellStyle name="计算 2 9 3 2 2 4" xfId="42295"/>
    <cellStyle name="计算 2 9 3 2 3" xfId="13515"/>
    <cellStyle name="计算 2 9 3 2 3 2" xfId="6167"/>
    <cellStyle name="计算 2 9 3 2 3 2 2" xfId="30492"/>
    <cellStyle name="计算 2 9 3 2 3 2 3" xfId="42298"/>
    <cellStyle name="计算 2 9 3 2 3 3" xfId="30491"/>
    <cellStyle name="计算 2 9 3 2 3 4" xfId="42297"/>
    <cellStyle name="计算 2 9 3 2 4" xfId="6166"/>
    <cellStyle name="计算 2 9 3 2 4 2" xfId="30493"/>
    <cellStyle name="计算 2 9 3 2 4 3" xfId="42299"/>
    <cellStyle name="计算 2 9 3 2 5" xfId="30488"/>
    <cellStyle name="计算 2 9 3 2 6" xfId="42294"/>
    <cellStyle name="计算 2 9 3 3" xfId="13516"/>
    <cellStyle name="计算 2 9 3 3 2" xfId="6168"/>
    <cellStyle name="计算 2 9 3 3 2 2" xfId="30495"/>
    <cellStyle name="计算 2 9 3 3 2 3" xfId="42301"/>
    <cellStyle name="计算 2 9 3 3 3" xfId="30494"/>
    <cellStyle name="计算 2 9 3 3 4" xfId="42300"/>
    <cellStyle name="计算 2 9 3 4" xfId="13517"/>
    <cellStyle name="计算 2 9 3 4 2" xfId="6170"/>
    <cellStyle name="计算 2 9 3 4 2 2" xfId="30497"/>
    <cellStyle name="计算 2 9 3 4 2 3" xfId="42303"/>
    <cellStyle name="计算 2 9 3 4 3" xfId="30496"/>
    <cellStyle name="计算 2 9 3 4 4" xfId="42302"/>
    <cellStyle name="计算 2 9 3 5" xfId="30498"/>
    <cellStyle name="计算 2 9 3 5 2" xfId="42304"/>
    <cellStyle name="计算 2 9 3 6" xfId="30487"/>
    <cellStyle name="计算 2 9 3 7" xfId="42293"/>
    <cellStyle name="计算 2 9 4" xfId="9729"/>
    <cellStyle name="计算 2 9 4 2" xfId="13518"/>
    <cellStyle name="计算 2 9 4 2 2" xfId="13519"/>
    <cellStyle name="计算 2 9 4 2 2 2" xfId="20946"/>
    <cellStyle name="计算 2 9 4 2 2 2 2" xfId="30502"/>
    <cellStyle name="计算 2 9 4 2 2 2 3" xfId="42308"/>
    <cellStyle name="计算 2 9 4 2 2 3" xfId="30501"/>
    <cellStyle name="计算 2 9 4 2 2 4" xfId="42307"/>
    <cellStyle name="计算 2 9 4 2 3" xfId="13520"/>
    <cellStyle name="计算 2 9 4 2 3 2" xfId="6172"/>
    <cellStyle name="计算 2 9 4 2 3 2 2" xfId="30504"/>
    <cellStyle name="计算 2 9 4 2 3 2 3" xfId="42310"/>
    <cellStyle name="计算 2 9 4 2 3 3" xfId="30503"/>
    <cellStyle name="计算 2 9 4 2 3 4" xfId="42309"/>
    <cellStyle name="计算 2 9 4 2 4" xfId="6171"/>
    <cellStyle name="计算 2 9 4 2 4 2" xfId="30505"/>
    <cellStyle name="计算 2 9 4 2 4 3" xfId="42311"/>
    <cellStyle name="计算 2 9 4 2 5" xfId="30500"/>
    <cellStyle name="计算 2 9 4 2 6" xfId="42306"/>
    <cellStyle name="计算 2 9 4 3" xfId="13521"/>
    <cellStyle name="计算 2 9 4 3 2" xfId="6174"/>
    <cellStyle name="计算 2 9 4 3 2 2" xfId="30507"/>
    <cellStyle name="计算 2 9 4 3 2 3" xfId="42313"/>
    <cellStyle name="计算 2 9 4 3 3" xfId="30506"/>
    <cellStyle name="计算 2 9 4 3 4" xfId="42312"/>
    <cellStyle name="计算 2 9 4 4" xfId="13522"/>
    <cellStyle name="计算 2 9 4 4 2" xfId="6175"/>
    <cellStyle name="计算 2 9 4 4 2 2" xfId="30509"/>
    <cellStyle name="计算 2 9 4 4 2 3" xfId="42315"/>
    <cellStyle name="计算 2 9 4 4 3" xfId="30508"/>
    <cellStyle name="计算 2 9 4 4 4" xfId="42314"/>
    <cellStyle name="计算 2 9 4 5" xfId="30510"/>
    <cellStyle name="计算 2 9 4 5 2" xfId="42316"/>
    <cellStyle name="计算 2 9 4 6" xfId="30499"/>
    <cellStyle name="计算 2 9 4 7" xfId="42305"/>
    <cellStyle name="计算 2 9 5" xfId="9730"/>
    <cellStyle name="计算 2 9 5 2" xfId="13523"/>
    <cellStyle name="计算 2 9 5 2 2" xfId="13524"/>
    <cellStyle name="计算 2 9 5 2 2 2" xfId="18609"/>
    <cellStyle name="计算 2 9 5 2 2 2 2" xfId="30514"/>
    <cellStyle name="计算 2 9 5 2 2 2 3" xfId="42320"/>
    <cellStyle name="计算 2 9 5 2 2 3" xfId="30513"/>
    <cellStyle name="计算 2 9 5 2 2 4" xfId="42319"/>
    <cellStyle name="计算 2 9 5 2 3" xfId="13525"/>
    <cellStyle name="计算 2 9 5 2 3 2" xfId="6178"/>
    <cellStyle name="计算 2 9 5 2 3 2 2" xfId="30516"/>
    <cellStyle name="计算 2 9 5 2 3 2 3" xfId="42322"/>
    <cellStyle name="计算 2 9 5 2 3 3" xfId="30515"/>
    <cellStyle name="计算 2 9 5 2 3 4" xfId="42321"/>
    <cellStyle name="计算 2 9 5 2 4" xfId="6176"/>
    <cellStyle name="计算 2 9 5 2 4 2" xfId="30517"/>
    <cellStyle name="计算 2 9 5 2 4 3" xfId="42323"/>
    <cellStyle name="计算 2 9 5 2 5" xfId="30512"/>
    <cellStyle name="计算 2 9 5 2 6" xfId="42318"/>
    <cellStyle name="计算 2 9 5 3" xfId="13526"/>
    <cellStyle name="计算 2 9 5 3 2" xfId="6179"/>
    <cellStyle name="计算 2 9 5 3 2 2" xfId="30519"/>
    <cellStyle name="计算 2 9 5 3 2 3" xfId="42325"/>
    <cellStyle name="计算 2 9 5 3 3" xfId="30518"/>
    <cellStyle name="计算 2 9 5 3 4" xfId="42324"/>
    <cellStyle name="计算 2 9 5 4" xfId="13527"/>
    <cellStyle name="计算 2 9 5 4 2" xfId="6180"/>
    <cellStyle name="计算 2 9 5 4 2 2" xfId="30521"/>
    <cellStyle name="计算 2 9 5 4 2 3" xfId="42327"/>
    <cellStyle name="计算 2 9 5 4 3" xfId="30520"/>
    <cellStyle name="计算 2 9 5 4 4" xfId="42326"/>
    <cellStyle name="计算 2 9 5 5" xfId="30522"/>
    <cellStyle name="计算 2 9 5 5 2" xfId="42328"/>
    <cellStyle name="计算 2 9 5 6" xfId="30511"/>
    <cellStyle name="计算 2 9 5 7" xfId="42317"/>
    <cellStyle name="计算 2 9 6" xfId="13528"/>
    <cellStyle name="计算 2 9 6 2" xfId="13529"/>
    <cellStyle name="计算 2 9 6 2 2" xfId="20945"/>
    <cellStyle name="计算 2 9 6 2 2 2" xfId="30525"/>
    <cellStyle name="计算 2 9 6 2 2 3" xfId="42331"/>
    <cellStyle name="计算 2 9 6 2 3" xfId="30524"/>
    <cellStyle name="计算 2 9 6 2 4" xfId="42330"/>
    <cellStyle name="计算 2 9 6 3" xfId="13530"/>
    <cellStyle name="计算 2 9 6 3 2" xfId="6183"/>
    <cellStyle name="计算 2 9 6 3 2 2" xfId="30527"/>
    <cellStyle name="计算 2 9 6 3 2 3" xfId="42333"/>
    <cellStyle name="计算 2 9 6 3 3" xfId="30526"/>
    <cellStyle name="计算 2 9 6 3 4" xfId="42332"/>
    <cellStyle name="计算 2 9 6 4" xfId="6182"/>
    <cellStyle name="计算 2 9 6 4 2" xfId="30528"/>
    <cellStyle name="计算 2 9 6 4 3" xfId="42334"/>
    <cellStyle name="计算 2 9 6 5" xfId="30523"/>
    <cellStyle name="计算 2 9 6 6" xfId="42329"/>
    <cellStyle name="计算 2 9 7" xfId="13531"/>
    <cellStyle name="计算 2 9 7 2" xfId="6184"/>
    <cellStyle name="计算 2 9 7 2 2" xfId="30530"/>
    <cellStyle name="计算 2 9 7 2 3" xfId="42336"/>
    <cellStyle name="计算 2 9 7 3" xfId="30529"/>
    <cellStyle name="计算 2 9 7 4" xfId="42335"/>
    <cellStyle name="计算 2 9 8" xfId="13532"/>
    <cellStyle name="计算 2 9 8 2" xfId="6186"/>
    <cellStyle name="计算 2 9 8 2 2" xfId="30532"/>
    <cellStyle name="计算 2 9 8 2 3" xfId="42338"/>
    <cellStyle name="计算 2 9 8 3" xfId="30531"/>
    <cellStyle name="计算 2 9 8 4" xfId="42337"/>
    <cellStyle name="计算 2 9 9" xfId="30533"/>
    <cellStyle name="计算 2 9 9 2" xfId="42339"/>
    <cellStyle name="计算 2_培训名单通知" xfId="9731"/>
    <cellStyle name="计算 3" xfId="5179"/>
    <cellStyle name="计算 3 10" xfId="30534"/>
    <cellStyle name="计算 3 11" xfId="42340"/>
    <cellStyle name="计算 3 2" xfId="5180"/>
    <cellStyle name="计算 3 2 2" xfId="9734"/>
    <cellStyle name="计算 3 2 2 2" xfId="13533"/>
    <cellStyle name="计算 3 2 2 2 2" xfId="13534"/>
    <cellStyle name="计算 3 2 2 2 2 2" xfId="20944"/>
    <cellStyle name="计算 3 2 2 2 2 2 2" xfId="30539"/>
    <cellStyle name="计算 3 2 2 2 2 2 3" xfId="42345"/>
    <cellStyle name="计算 3 2 2 2 2 3" xfId="30538"/>
    <cellStyle name="计算 3 2 2 2 2 4" xfId="42344"/>
    <cellStyle name="计算 3 2 2 2 3" xfId="6187"/>
    <cellStyle name="计算 3 2 2 2 3 2" xfId="30540"/>
    <cellStyle name="计算 3 2 2 2 3 3" xfId="42346"/>
    <cellStyle name="计算 3 2 2 2 4" xfId="30537"/>
    <cellStyle name="计算 3 2 2 2 5" xfId="42343"/>
    <cellStyle name="计算 3 2 2 3" xfId="13535"/>
    <cellStyle name="计算 3 2 2 3 2" xfId="20943"/>
    <cellStyle name="计算 3 2 2 3 2 2" xfId="30542"/>
    <cellStyle name="计算 3 2 2 3 2 3" xfId="42348"/>
    <cellStyle name="计算 3 2 2 3 3" xfId="30541"/>
    <cellStyle name="计算 3 2 2 3 4" xfId="42347"/>
    <cellStyle name="计算 3 2 2 4" xfId="30543"/>
    <cellStyle name="计算 3 2 2 4 2" xfId="42349"/>
    <cellStyle name="计算 3 2 2 5" xfId="30536"/>
    <cellStyle name="计算 3 2 2 6" xfId="42342"/>
    <cellStyle name="计算 3 2 3" xfId="13536"/>
    <cellStyle name="计算 3 2 3 2" xfId="6188"/>
    <cellStyle name="计算 3 2 3 2 2" xfId="30545"/>
    <cellStyle name="计算 3 2 3 2 3" xfId="42351"/>
    <cellStyle name="计算 3 2 3 3" xfId="30544"/>
    <cellStyle name="计算 3 2 3 4" xfId="42350"/>
    <cellStyle name="计算 3 2 4" xfId="9733"/>
    <cellStyle name="计算 3 2 4 2" xfId="30547"/>
    <cellStyle name="计算 3 2 4 2 2" xfId="42353"/>
    <cellStyle name="计算 3 2 4 3" xfId="30546"/>
    <cellStyle name="计算 3 2 4 4" xfId="42352"/>
    <cellStyle name="计算 3 2 5" xfId="30548"/>
    <cellStyle name="计算 3 2 5 2" xfId="42354"/>
    <cellStyle name="计算 3 2 6" xfId="30535"/>
    <cellStyle name="计算 3 2 7" xfId="42341"/>
    <cellStyle name="计算 3 3" xfId="9735"/>
    <cellStyle name="计算 3 3 2" xfId="13537"/>
    <cellStyle name="计算 3 3 2 2" xfId="13538"/>
    <cellStyle name="计算 3 3 2 2 2" xfId="6191"/>
    <cellStyle name="计算 3 3 2 2 2 2" xfId="30552"/>
    <cellStyle name="计算 3 3 2 2 2 3" xfId="42358"/>
    <cellStyle name="计算 3 3 2 2 3" xfId="30551"/>
    <cellStyle name="计算 3 3 2 2 4" xfId="42357"/>
    <cellStyle name="计算 3 3 2 3" xfId="13539"/>
    <cellStyle name="计算 3 3 2 3 2" xfId="6192"/>
    <cellStyle name="计算 3 3 2 3 2 2" xfId="30554"/>
    <cellStyle name="计算 3 3 2 3 2 3" xfId="42360"/>
    <cellStyle name="计算 3 3 2 3 3" xfId="30553"/>
    <cellStyle name="计算 3 3 2 3 4" xfId="42359"/>
    <cellStyle name="计算 3 3 2 4" xfId="6190"/>
    <cellStyle name="计算 3 3 2 4 2" xfId="30555"/>
    <cellStyle name="计算 3 3 2 4 3" xfId="42361"/>
    <cellStyle name="计算 3 3 2 5" xfId="30550"/>
    <cellStyle name="计算 3 3 2 6" xfId="42356"/>
    <cellStyle name="计算 3 3 3" xfId="13540"/>
    <cellStyle name="计算 3 3 3 2" xfId="20942"/>
    <cellStyle name="计算 3 3 3 2 2" xfId="30557"/>
    <cellStyle name="计算 3 3 3 2 3" xfId="42363"/>
    <cellStyle name="计算 3 3 3 3" xfId="30556"/>
    <cellStyle name="计算 3 3 3 4" xfId="42362"/>
    <cellStyle name="计算 3 3 4" xfId="13541"/>
    <cellStyle name="计算 3 3 4 2" xfId="6194"/>
    <cellStyle name="计算 3 3 4 2 2" xfId="30559"/>
    <cellStyle name="计算 3 3 4 2 3" xfId="42365"/>
    <cellStyle name="计算 3 3 4 3" xfId="30558"/>
    <cellStyle name="计算 3 3 4 4" xfId="42364"/>
    <cellStyle name="计算 3 3 5" xfId="30560"/>
    <cellStyle name="计算 3 3 5 2" xfId="42366"/>
    <cellStyle name="计算 3 3 6" xfId="30549"/>
    <cellStyle name="计算 3 3 7" xfId="42355"/>
    <cellStyle name="计算 3 4" xfId="9736"/>
    <cellStyle name="计算 3 4 2" xfId="13542"/>
    <cellStyle name="计算 3 4 2 2" xfId="13543"/>
    <cellStyle name="计算 3 4 2 2 2" xfId="6196"/>
    <cellStyle name="计算 3 4 2 2 2 2" xfId="30564"/>
    <cellStyle name="计算 3 4 2 2 2 3" xfId="42370"/>
    <cellStyle name="计算 3 4 2 2 3" xfId="30563"/>
    <cellStyle name="计算 3 4 2 2 4" xfId="42369"/>
    <cellStyle name="计算 3 4 2 3" xfId="13544"/>
    <cellStyle name="计算 3 4 2 3 2" xfId="6198"/>
    <cellStyle name="计算 3 4 2 3 2 2" xfId="30566"/>
    <cellStyle name="计算 3 4 2 3 2 3" xfId="42372"/>
    <cellStyle name="计算 3 4 2 3 3" xfId="30565"/>
    <cellStyle name="计算 3 4 2 3 4" xfId="42371"/>
    <cellStyle name="计算 3 4 2 4" xfId="6195"/>
    <cellStyle name="计算 3 4 2 4 2" xfId="30567"/>
    <cellStyle name="计算 3 4 2 4 3" xfId="42373"/>
    <cellStyle name="计算 3 4 2 5" xfId="30562"/>
    <cellStyle name="计算 3 4 2 6" xfId="42368"/>
    <cellStyle name="计算 3 4 3" xfId="13545"/>
    <cellStyle name="计算 3 4 3 2" xfId="20941"/>
    <cellStyle name="计算 3 4 3 2 2" xfId="30569"/>
    <cellStyle name="计算 3 4 3 2 3" xfId="42375"/>
    <cellStyle name="计算 3 4 3 3" xfId="30568"/>
    <cellStyle name="计算 3 4 3 4" xfId="42374"/>
    <cellStyle name="计算 3 4 4" xfId="13546"/>
    <cellStyle name="计算 3 4 4 2" xfId="6199"/>
    <cellStyle name="计算 3 4 4 2 2" xfId="30571"/>
    <cellStyle name="计算 3 4 4 2 3" xfId="42377"/>
    <cellStyle name="计算 3 4 4 3" xfId="30570"/>
    <cellStyle name="计算 3 4 4 4" xfId="42376"/>
    <cellStyle name="计算 3 4 5" xfId="30572"/>
    <cellStyle name="计算 3 4 5 2" xfId="42378"/>
    <cellStyle name="计算 3 4 6" xfId="30561"/>
    <cellStyle name="计算 3 4 7" xfId="42367"/>
    <cellStyle name="计算 3 5" xfId="9737"/>
    <cellStyle name="计算 3 5 2" xfId="13547"/>
    <cellStyle name="计算 3 5 2 2" xfId="13548"/>
    <cellStyle name="计算 3 5 2 2 2" xfId="6202"/>
    <cellStyle name="计算 3 5 2 2 2 2" xfId="30576"/>
    <cellStyle name="计算 3 5 2 2 2 3" xfId="42382"/>
    <cellStyle name="计算 3 5 2 2 3" xfId="30575"/>
    <cellStyle name="计算 3 5 2 2 4" xfId="42381"/>
    <cellStyle name="计算 3 5 2 3" xfId="13549"/>
    <cellStyle name="计算 3 5 2 3 2" xfId="6203"/>
    <cellStyle name="计算 3 5 2 3 2 2" xfId="30578"/>
    <cellStyle name="计算 3 5 2 3 2 3" xfId="42384"/>
    <cellStyle name="计算 3 5 2 3 3" xfId="30577"/>
    <cellStyle name="计算 3 5 2 3 4" xfId="42383"/>
    <cellStyle name="计算 3 5 2 4" xfId="6200"/>
    <cellStyle name="计算 3 5 2 4 2" xfId="30579"/>
    <cellStyle name="计算 3 5 2 4 3" xfId="42385"/>
    <cellStyle name="计算 3 5 2 5" xfId="30574"/>
    <cellStyle name="计算 3 5 2 6" xfId="42380"/>
    <cellStyle name="计算 3 5 3" xfId="13550"/>
    <cellStyle name="计算 3 5 3 2" xfId="18608"/>
    <cellStyle name="计算 3 5 3 2 2" xfId="30581"/>
    <cellStyle name="计算 3 5 3 2 3" xfId="42387"/>
    <cellStyle name="计算 3 5 3 3" xfId="30580"/>
    <cellStyle name="计算 3 5 3 4" xfId="42386"/>
    <cellStyle name="计算 3 5 4" xfId="13551"/>
    <cellStyle name="计算 3 5 4 2" xfId="6204"/>
    <cellStyle name="计算 3 5 4 2 2" xfId="30583"/>
    <cellStyle name="计算 3 5 4 2 3" xfId="42389"/>
    <cellStyle name="计算 3 5 4 3" xfId="30582"/>
    <cellStyle name="计算 3 5 4 4" xfId="42388"/>
    <cellStyle name="计算 3 5 5" xfId="30584"/>
    <cellStyle name="计算 3 5 5 2" xfId="42390"/>
    <cellStyle name="计算 3 5 6" xfId="30573"/>
    <cellStyle name="计算 3 5 7" xfId="42379"/>
    <cellStyle name="计算 3 6" xfId="9738"/>
    <cellStyle name="计算 3 6 2" xfId="13552"/>
    <cellStyle name="计算 3 6 2 2" xfId="13553"/>
    <cellStyle name="计算 3 6 2 2 2" xfId="6207"/>
    <cellStyle name="计算 3 6 2 2 2 2" xfId="30588"/>
    <cellStyle name="计算 3 6 2 2 2 3" xfId="42394"/>
    <cellStyle name="计算 3 6 2 2 3" xfId="30587"/>
    <cellStyle name="计算 3 6 2 2 4" xfId="42393"/>
    <cellStyle name="计算 3 6 2 3" xfId="6206"/>
    <cellStyle name="计算 3 6 2 3 2" xfId="30589"/>
    <cellStyle name="计算 3 6 2 3 3" xfId="42395"/>
    <cellStyle name="计算 3 6 2 4" xfId="30586"/>
    <cellStyle name="计算 3 6 2 5" xfId="42392"/>
    <cellStyle name="计算 3 6 3" xfId="13554"/>
    <cellStyle name="计算 3 6 3 2" xfId="6208"/>
    <cellStyle name="计算 3 6 3 2 2" xfId="30591"/>
    <cellStyle name="计算 3 6 3 2 3" xfId="42397"/>
    <cellStyle name="计算 3 6 3 3" xfId="30590"/>
    <cellStyle name="计算 3 6 3 4" xfId="42396"/>
    <cellStyle name="计算 3 6 4" xfId="30592"/>
    <cellStyle name="计算 3 6 4 2" xfId="42398"/>
    <cellStyle name="计算 3 6 5" xfId="30585"/>
    <cellStyle name="计算 3 6 6" xfId="42391"/>
    <cellStyle name="计算 3 7" xfId="13555"/>
    <cellStyle name="计算 3 7 2" xfId="20940"/>
    <cellStyle name="计算 3 7 2 2" xfId="30594"/>
    <cellStyle name="计算 3 7 2 3" xfId="42400"/>
    <cellStyle name="计算 3 7 3" xfId="30593"/>
    <cellStyle name="计算 3 7 4" xfId="42399"/>
    <cellStyle name="计算 3 8" xfId="9732"/>
    <cellStyle name="计算 3 8 2" xfId="30596"/>
    <cellStyle name="计算 3 8 2 2" xfId="42402"/>
    <cellStyle name="计算 3 8 3" xfId="30595"/>
    <cellStyle name="计算 3 8 4" xfId="42401"/>
    <cellStyle name="计算 3 9" xfId="30597"/>
    <cellStyle name="计算 3 9 2" xfId="42403"/>
    <cellStyle name="计算 3 9 3" xfId="60127"/>
    <cellStyle name="计算 4" xfId="9739"/>
    <cellStyle name="计算 4 10" xfId="30598"/>
    <cellStyle name="计算 4 11" xfId="42404"/>
    <cellStyle name="计算 4 2" xfId="9740"/>
    <cellStyle name="计算 4 2 2" xfId="13556"/>
    <cellStyle name="计算 4 2 2 2" xfId="13557"/>
    <cellStyle name="计算 4 2 2 2 2" xfId="6211"/>
    <cellStyle name="计算 4 2 2 2 2 2" xfId="30602"/>
    <cellStyle name="计算 4 2 2 2 2 3" xfId="42408"/>
    <cellStyle name="计算 4 2 2 2 3" xfId="30601"/>
    <cellStyle name="计算 4 2 2 2 4" xfId="42407"/>
    <cellStyle name="计算 4 2 2 3" xfId="13558"/>
    <cellStyle name="计算 4 2 2 3 2" xfId="6212"/>
    <cellStyle name="计算 4 2 2 3 2 2" xfId="30604"/>
    <cellStyle name="计算 4 2 2 3 2 3" xfId="42410"/>
    <cellStyle name="计算 4 2 2 3 3" xfId="30603"/>
    <cellStyle name="计算 4 2 2 3 4" xfId="42409"/>
    <cellStyle name="计算 4 2 2 4" xfId="6210"/>
    <cellStyle name="计算 4 2 2 4 2" xfId="30605"/>
    <cellStyle name="计算 4 2 2 4 3" xfId="42411"/>
    <cellStyle name="计算 4 2 2 5" xfId="30600"/>
    <cellStyle name="计算 4 2 2 6" xfId="42406"/>
    <cellStyle name="计算 4 2 3" xfId="13559"/>
    <cellStyle name="计算 4 2 3 2" xfId="6214"/>
    <cellStyle name="计算 4 2 3 2 2" xfId="30607"/>
    <cellStyle name="计算 4 2 3 2 3" xfId="42413"/>
    <cellStyle name="计算 4 2 3 3" xfId="30606"/>
    <cellStyle name="计算 4 2 3 4" xfId="42412"/>
    <cellStyle name="计算 4 2 4" xfId="13560"/>
    <cellStyle name="计算 4 2 4 2" xfId="20939"/>
    <cellStyle name="计算 4 2 4 2 2" xfId="30609"/>
    <cellStyle name="计算 4 2 4 2 3" xfId="42415"/>
    <cellStyle name="计算 4 2 4 3" xfId="30608"/>
    <cellStyle name="计算 4 2 4 4" xfId="42414"/>
    <cellStyle name="计算 4 2 5" xfId="30610"/>
    <cellStyle name="计算 4 2 5 2" xfId="42416"/>
    <cellStyle name="计算 4 2 6" xfId="30599"/>
    <cellStyle name="计算 4 2 7" xfId="42405"/>
    <cellStyle name="计算 4 3" xfId="9741"/>
    <cellStyle name="计算 4 3 2" xfId="13561"/>
    <cellStyle name="计算 4 3 2 2" xfId="13562"/>
    <cellStyle name="计算 4 3 2 2 2" xfId="6215"/>
    <cellStyle name="计算 4 3 2 2 2 2" xfId="30614"/>
    <cellStyle name="计算 4 3 2 2 2 3" xfId="42420"/>
    <cellStyle name="计算 4 3 2 2 3" xfId="30613"/>
    <cellStyle name="计算 4 3 2 2 4" xfId="42419"/>
    <cellStyle name="计算 4 3 2 3" xfId="13563"/>
    <cellStyle name="计算 4 3 2 3 2" xfId="6216"/>
    <cellStyle name="计算 4 3 2 3 2 2" xfId="30616"/>
    <cellStyle name="计算 4 3 2 3 2 3" xfId="42422"/>
    <cellStyle name="计算 4 3 2 3 3" xfId="30615"/>
    <cellStyle name="计算 4 3 2 3 4" xfId="42421"/>
    <cellStyle name="计算 4 3 2 4" xfId="20938"/>
    <cellStyle name="计算 4 3 2 4 2" xfId="30617"/>
    <cellStyle name="计算 4 3 2 4 3" xfId="42423"/>
    <cellStyle name="计算 4 3 2 5" xfId="30612"/>
    <cellStyle name="计算 4 3 2 6" xfId="42418"/>
    <cellStyle name="计算 4 3 3" xfId="13564"/>
    <cellStyle name="计算 4 3 3 2" xfId="6218"/>
    <cellStyle name="计算 4 3 3 2 2" xfId="30619"/>
    <cellStyle name="计算 4 3 3 2 3" xfId="42425"/>
    <cellStyle name="计算 4 3 3 3" xfId="30618"/>
    <cellStyle name="计算 4 3 3 4" xfId="42424"/>
    <cellStyle name="计算 4 3 4" xfId="13565"/>
    <cellStyle name="计算 4 3 4 2" xfId="6219"/>
    <cellStyle name="计算 4 3 4 2 2" xfId="30621"/>
    <cellStyle name="计算 4 3 4 2 3" xfId="42427"/>
    <cellStyle name="计算 4 3 4 3" xfId="30620"/>
    <cellStyle name="计算 4 3 4 4" xfId="42426"/>
    <cellStyle name="计算 4 3 5" xfId="30622"/>
    <cellStyle name="计算 4 3 5 2" xfId="42428"/>
    <cellStyle name="计算 4 3 6" xfId="30611"/>
    <cellStyle name="计算 4 3 7" xfId="42417"/>
    <cellStyle name="计算 4 4" xfId="9742"/>
    <cellStyle name="计算 4 4 2" xfId="13566"/>
    <cellStyle name="计算 4 4 2 2" xfId="13567"/>
    <cellStyle name="计算 4 4 2 2 2" xfId="6220"/>
    <cellStyle name="计算 4 4 2 2 2 2" xfId="30626"/>
    <cellStyle name="计算 4 4 2 2 2 3" xfId="42432"/>
    <cellStyle name="计算 4 4 2 2 3" xfId="30625"/>
    <cellStyle name="计算 4 4 2 2 4" xfId="42431"/>
    <cellStyle name="计算 4 4 2 3" xfId="13568"/>
    <cellStyle name="计算 4 4 2 3 2" xfId="6222"/>
    <cellStyle name="计算 4 4 2 3 2 2" xfId="30628"/>
    <cellStyle name="计算 4 4 2 3 2 3" xfId="42434"/>
    <cellStyle name="计算 4 4 2 3 3" xfId="30627"/>
    <cellStyle name="计算 4 4 2 3 4" xfId="42433"/>
    <cellStyle name="计算 4 4 2 4" xfId="20937"/>
    <cellStyle name="计算 4 4 2 4 2" xfId="30629"/>
    <cellStyle name="计算 4 4 2 4 3" xfId="42435"/>
    <cellStyle name="计算 4 4 2 5" xfId="30624"/>
    <cellStyle name="计算 4 4 2 6" xfId="42430"/>
    <cellStyle name="计算 4 4 3" xfId="13569"/>
    <cellStyle name="计算 4 4 3 2" xfId="6223"/>
    <cellStyle name="计算 4 4 3 2 2" xfId="30631"/>
    <cellStyle name="计算 4 4 3 2 3" xfId="42437"/>
    <cellStyle name="计算 4 4 3 3" xfId="30630"/>
    <cellStyle name="计算 4 4 3 4" xfId="42436"/>
    <cellStyle name="计算 4 4 4" xfId="13570"/>
    <cellStyle name="计算 4 4 4 2" xfId="6224"/>
    <cellStyle name="计算 4 4 4 2 2" xfId="30633"/>
    <cellStyle name="计算 4 4 4 2 3" xfId="42439"/>
    <cellStyle name="计算 4 4 4 3" xfId="30632"/>
    <cellStyle name="计算 4 4 4 4" xfId="42438"/>
    <cellStyle name="计算 4 4 5" xfId="30634"/>
    <cellStyle name="计算 4 4 5 2" xfId="42440"/>
    <cellStyle name="计算 4 4 6" xfId="30623"/>
    <cellStyle name="计算 4 4 7" xfId="42429"/>
    <cellStyle name="计算 4 5" xfId="9743"/>
    <cellStyle name="计算 4 5 2" xfId="13571"/>
    <cellStyle name="计算 4 5 2 2" xfId="13572"/>
    <cellStyle name="计算 4 5 2 2 2" xfId="6225"/>
    <cellStyle name="计算 4 5 2 2 2 2" xfId="30638"/>
    <cellStyle name="计算 4 5 2 2 2 3" xfId="42444"/>
    <cellStyle name="计算 4 5 2 2 3" xfId="30637"/>
    <cellStyle name="计算 4 5 2 2 4" xfId="42443"/>
    <cellStyle name="计算 4 5 2 3" xfId="13573"/>
    <cellStyle name="计算 4 5 2 3 2" xfId="6226"/>
    <cellStyle name="计算 4 5 2 3 2 2" xfId="30640"/>
    <cellStyle name="计算 4 5 2 3 2 3" xfId="42446"/>
    <cellStyle name="计算 4 5 2 3 3" xfId="30639"/>
    <cellStyle name="计算 4 5 2 3 4" xfId="42445"/>
    <cellStyle name="计算 4 5 2 4" xfId="20936"/>
    <cellStyle name="计算 4 5 2 4 2" xfId="30641"/>
    <cellStyle name="计算 4 5 2 4 3" xfId="42447"/>
    <cellStyle name="计算 4 5 2 5" xfId="30636"/>
    <cellStyle name="计算 4 5 2 6" xfId="42442"/>
    <cellStyle name="计算 4 5 3" xfId="13574"/>
    <cellStyle name="计算 4 5 3 2" xfId="6228"/>
    <cellStyle name="计算 4 5 3 2 2" xfId="30643"/>
    <cellStyle name="计算 4 5 3 2 3" xfId="42449"/>
    <cellStyle name="计算 4 5 3 3" xfId="30642"/>
    <cellStyle name="计算 4 5 3 4" xfId="42448"/>
    <cellStyle name="计算 4 5 4" xfId="13575"/>
    <cellStyle name="计算 4 5 4 2" xfId="6229"/>
    <cellStyle name="计算 4 5 4 2 2" xfId="30645"/>
    <cellStyle name="计算 4 5 4 2 3" xfId="42451"/>
    <cellStyle name="计算 4 5 4 3" xfId="30644"/>
    <cellStyle name="计算 4 5 4 4" xfId="42450"/>
    <cellStyle name="计算 4 5 5" xfId="30646"/>
    <cellStyle name="计算 4 5 5 2" xfId="42452"/>
    <cellStyle name="计算 4 5 6" xfId="30635"/>
    <cellStyle name="计算 4 5 7" xfId="42441"/>
    <cellStyle name="计算 4 6" xfId="9744"/>
    <cellStyle name="计算 4 6 2" xfId="13576"/>
    <cellStyle name="计算 4 6 2 2" xfId="13577"/>
    <cellStyle name="计算 4 6 2 2 2" xfId="6230"/>
    <cellStyle name="计算 4 6 2 2 2 2" xfId="30650"/>
    <cellStyle name="计算 4 6 2 2 2 3" xfId="42456"/>
    <cellStyle name="计算 4 6 2 2 3" xfId="30649"/>
    <cellStyle name="计算 4 6 2 2 4" xfId="42455"/>
    <cellStyle name="计算 4 6 2 3" xfId="18607"/>
    <cellStyle name="计算 4 6 2 3 2" xfId="30651"/>
    <cellStyle name="计算 4 6 2 3 3" xfId="42457"/>
    <cellStyle name="计算 4 6 2 4" xfId="30648"/>
    <cellStyle name="计算 4 6 2 5" xfId="42454"/>
    <cellStyle name="计算 4 6 3" xfId="13578"/>
    <cellStyle name="计算 4 6 3 2" xfId="6232"/>
    <cellStyle name="计算 4 6 3 2 2" xfId="30653"/>
    <cellStyle name="计算 4 6 3 2 3" xfId="42459"/>
    <cellStyle name="计算 4 6 3 3" xfId="30652"/>
    <cellStyle name="计算 4 6 3 4" xfId="42458"/>
    <cellStyle name="计算 4 6 4" xfId="30654"/>
    <cellStyle name="计算 4 6 4 2" xfId="42460"/>
    <cellStyle name="计算 4 6 5" xfId="30647"/>
    <cellStyle name="计算 4 6 6" xfId="42453"/>
    <cellStyle name="计算 4 7" xfId="13579"/>
    <cellStyle name="计算 4 7 2" xfId="6233"/>
    <cellStyle name="计算 4 7 2 2" xfId="30656"/>
    <cellStyle name="计算 4 7 2 3" xfId="42462"/>
    <cellStyle name="计算 4 7 3" xfId="30655"/>
    <cellStyle name="计算 4 7 4" xfId="42461"/>
    <cellStyle name="计算 4 8" xfId="30657"/>
    <cellStyle name="计算 4 8 2" xfId="30658"/>
    <cellStyle name="计算 4 8 2 2" xfId="42464"/>
    <cellStyle name="计算 4 8 3" xfId="42463"/>
    <cellStyle name="计算 4 9" xfId="30659"/>
    <cellStyle name="计算 4 9 2" xfId="42465"/>
    <cellStyle name="计算 5" xfId="9745"/>
    <cellStyle name="计算 5 10" xfId="30660"/>
    <cellStyle name="计算 5 11" xfId="42466"/>
    <cellStyle name="计算 5 2" xfId="9746"/>
    <cellStyle name="计算 5 2 2" xfId="13580"/>
    <cellStyle name="计算 5 2 2 2" xfId="13581"/>
    <cellStyle name="计算 5 2 2 2 2" xfId="18606"/>
    <cellStyle name="计算 5 2 2 2 2 2" xfId="30664"/>
    <cellStyle name="计算 5 2 2 2 2 3" xfId="42470"/>
    <cellStyle name="计算 5 2 2 2 3" xfId="30663"/>
    <cellStyle name="计算 5 2 2 2 4" xfId="42469"/>
    <cellStyle name="计算 5 2 2 3" xfId="13582"/>
    <cellStyle name="计算 5 2 2 3 2" xfId="6235"/>
    <cellStyle name="计算 5 2 2 3 2 2" xfId="30666"/>
    <cellStyle name="计算 5 2 2 3 2 3" xfId="42472"/>
    <cellStyle name="计算 5 2 2 3 3" xfId="30665"/>
    <cellStyle name="计算 5 2 2 3 4" xfId="42471"/>
    <cellStyle name="计算 5 2 2 4" xfId="6234"/>
    <cellStyle name="计算 5 2 2 4 2" xfId="30667"/>
    <cellStyle name="计算 5 2 2 4 3" xfId="42473"/>
    <cellStyle name="计算 5 2 2 5" xfId="30662"/>
    <cellStyle name="计算 5 2 2 6" xfId="42468"/>
    <cellStyle name="计算 5 2 3" xfId="13583"/>
    <cellStyle name="计算 5 2 3 2" xfId="6236"/>
    <cellStyle name="计算 5 2 3 2 2" xfId="30669"/>
    <cellStyle name="计算 5 2 3 2 3" xfId="42475"/>
    <cellStyle name="计算 5 2 3 3" xfId="30668"/>
    <cellStyle name="计算 5 2 3 4" xfId="42474"/>
    <cellStyle name="计算 5 2 4" xfId="13584"/>
    <cellStyle name="计算 5 2 4 2" xfId="6237"/>
    <cellStyle name="计算 5 2 4 2 2" xfId="30671"/>
    <cellStyle name="计算 5 2 4 2 3" xfId="42477"/>
    <cellStyle name="计算 5 2 4 3" xfId="30670"/>
    <cellStyle name="计算 5 2 4 4" xfId="42476"/>
    <cellStyle name="计算 5 2 5" xfId="30672"/>
    <cellStyle name="计算 5 2 5 2" xfId="42478"/>
    <cellStyle name="计算 5 2 6" xfId="30661"/>
    <cellStyle name="计算 5 2 7" xfId="42467"/>
    <cellStyle name="计算 5 3" xfId="9747"/>
    <cellStyle name="计算 5 3 2" xfId="13585"/>
    <cellStyle name="计算 5 3 2 2" xfId="13586"/>
    <cellStyle name="计算 5 3 2 2 2" xfId="6240"/>
    <cellStyle name="计算 5 3 2 2 2 2" xfId="30676"/>
    <cellStyle name="计算 5 3 2 2 2 3" xfId="42482"/>
    <cellStyle name="计算 5 3 2 2 3" xfId="30675"/>
    <cellStyle name="计算 5 3 2 2 4" xfId="42481"/>
    <cellStyle name="计算 5 3 2 3" xfId="13587"/>
    <cellStyle name="计算 5 3 2 3 2" xfId="6241"/>
    <cellStyle name="计算 5 3 2 3 2 2" xfId="30678"/>
    <cellStyle name="计算 5 3 2 3 2 3" xfId="42484"/>
    <cellStyle name="计算 5 3 2 3 3" xfId="30677"/>
    <cellStyle name="计算 5 3 2 3 4" xfId="42483"/>
    <cellStyle name="计算 5 3 2 4" xfId="6239"/>
    <cellStyle name="计算 5 3 2 4 2" xfId="30679"/>
    <cellStyle name="计算 5 3 2 4 3" xfId="42485"/>
    <cellStyle name="计算 5 3 2 5" xfId="30674"/>
    <cellStyle name="计算 5 3 2 6" xfId="42480"/>
    <cellStyle name="计算 5 3 3" xfId="13588"/>
    <cellStyle name="计算 5 3 3 2" xfId="6243"/>
    <cellStyle name="计算 5 3 3 2 2" xfId="30681"/>
    <cellStyle name="计算 5 3 3 2 3" xfId="42487"/>
    <cellStyle name="计算 5 3 3 3" xfId="30680"/>
    <cellStyle name="计算 5 3 3 4" xfId="42486"/>
    <cellStyle name="计算 5 3 4" xfId="13589"/>
    <cellStyle name="计算 5 3 4 2" xfId="20935"/>
    <cellStyle name="计算 5 3 4 2 2" xfId="30683"/>
    <cellStyle name="计算 5 3 4 2 3" xfId="42489"/>
    <cellStyle name="计算 5 3 4 3" xfId="30682"/>
    <cellStyle name="计算 5 3 4 4" xfId="42488"/>
    <cellStyle name="计算 5 3 5" xfId="30684"/>
    <cellStyle name="计算 5 3 5 2" xfId="42490"/>
    <cellStyle name="计算 5 3 6" xfId="30673"/>
    <cellStyle name="计算 5 3 7" xfId="42479"/>
    <cellStyle name="计算 5 4" xfId="9748"/>
    <cellStyle name="计算 5 4 2" xfId="13590"/>
    <cellStyle name="计算 5 4 2 2" xfId="13591"/>
    <cellStyle name="计算 5 4 2 2 2" xfId="6244"/>
    <cellStyle name="计算 5 4 2 2 2 2" xfId="30688"/>
    <cellStyle name="计算 5 4 2 2 2 3" xfId="42494"/>
    <cellStyle name="计算 5 4 2 2 3" xfId="30687"/>
    <cellStyle name="计算 5 4 2 2 4" xfId="42493"/>
    <cellStyle name="计算 5 4 2 3" xfId="13592"/>
    <cellStyle name="计算 5 4 2 3 2" xfId="6245"/>
    <cellStyle name="计算 5 4 2 3 2 2" xfId="30690"/>
    <cellStyle name="计算 5 4 2 3 2 3" xfId="42496"/>
    <cellStyle name="计算 5 4 2 3 3" xfId="30689"/>
    <cellStyle name="计算 5 4 2 3 4" xfId="42495"/>
    <cellStyle name="计算 5 4 2 4" xfId="20934"/>
    <cellStyle name="计算 5 4 2 4 2" xfId="30691"/>
    <cellStyle name="计算 5 4 2 4 3" xfId="42497"/>
    <cellStyle name="计算 5 4 2 5" xfId="30686"/>
    <cellStyle name="计算 5 4 2 6" xfId="42492"/>
    <cellStyle name="计算 5 4 3" xfId="13593"/>
    <cellStyle name="计算 5 4 3 2" xfId="6247"/>
    <cellStyle name="计算 5 4 3 2 2" xfId="30693"/>
    <cellStyle name="计算 5 4 3 2 3" xfId="42499"/>
    <cellStyle name="计算 5 4 3 3" xfId="30692"/>
    <cellStyle name="计算 5 4 3 4" xfId="42498"/>
    <cellStyle name="计算 5 4 4" xfId="13594"/>
    <cellStyle name="计算 5 4 4 2" xfId="6248"/>
    <cellStyle name="计算 5 4 4 2 2" xfId="30695"/>
    <cellStyle name="计算 5 4 4 2 3" xfId="42501"/>
    <cellStyle name="计算 5 4 4 3" xfId="30694"/>
    <cellStyle name="计算 5 4 4 4" xfId="42500"/>
    <cellStyle name="计算 5 4 5" xfId="30696"/>
    <cellStyle name="计算 5 4 5 2" xfId="42502"/>
    <cellStyle name="计算 5 4 6" xfId="30685"/>
    <cellStyle name="计算 5 4 7" xfId="42491"/>
    <cellStyle name="计算 5 5" xfId="9749"/>
    <cellStyle name="计算 5 5 2" xfId="13595"/>
    <cellStyle name="计算 5 5 2 2" xfId="13596"/>
    <cellStyle name="计算 5 5 2 2 2" xfId="6249"/>
    <cellStyle name="计算 5 5 2 2 2 2" xfId="30700"/>
    <cellStyle name="计算 5 5 2 2 2 3" xfId="42506"/>
    <cellStyle name="计算 5 5 2 2 3" xfId="30699"/>
    <cellStyle name="计算 5 5 2 2 4" xfId="42505"/>
    <cellStyle name="计算 5 5 2 3" xfId="13597"/>
    <cellStyle name="计算 5 5 2 3 2" xfId="6251"/>
    <cellStyle name="计算 5 5 2 3 2 2" xfId="30702"/>
    <cellStyle name="计算 5 5 2 3 2 3" xfId="42508"/>
    <cellStyle name="计算 5 5 2 3 3" xfId="30701"/>
    <cellStyle name="计算 5 5 2 3 4" xfId="42507"/>
    <cellStyle name="计算 5 5 2 4" xfId="20933"/>
    <cellStyle name="计算 5 5 2 4 2" xfId="30703"/>
    <cellStyle name="计算 5 5 2 4 3" xfId="42509"/>
    <cellStyle name="计算 5 5 2 5" xfId="30698"/>
    <cellStyle name="计算 5 5 2 6" xfId="42504"/>
    <cellStyle name="计算 5 5 3" xfId="13598"/>
    <cellStyle name="计算 5 5 3 2" xfId="6252"/>
    <cellStyle name="计算 5 5 3 2 2" xfId="30705"/>
    <cellStyle name="计算 5 5 3 2 3" xfId="42511"/>
    <cellStyle name="计算 5 5 3 3" xfId="30704"/>
    <cellStyle name="计算 5 5 3 4" xfId="42510"/>
    <cellStyle name="计算 5 5 4" xfId="13599"/>
    <cellStyle name="计算 5 5 4 2" xfId="6253"/>
    <cellStyle name="计算 5 5 4 2 2" xfId="30707"/>
    <cellStyle name="计算 5 5 4 2 3" xfId="42513"/>
    <cellStyle name="计算 5 5 4 3" xfId="30706"/>
    <cellStyle name="计算 5 5 4 4" xfId="42512"/>
    <cellStyle name="计算 5 5 5" xfId="30708"/>
    <cellStyle name="计算 5 5 5 2" xfId="42514"/>
    <cellStyle name="计算 5 5 6" xfId="30697"/>
    <cellStyle name="计算 5 5 7" xfId="42503"/>
    <cellStyle name="计算 5 6" xfId="9750"/>
    <cellStyle name="计算 5 6 2" xfId="13600"/>
    <cellStyle name="计算 5 6 2 2" xfId="13601"/>
    <cellStyle name="计算 5 6 2 2 2" xfId="6255"/>
    <cellStyle name="计算 5 6 2 2 2 2" xfId="30712"/>
    <cellStyle name="计算 5 6 2 2 2 3" xfId="42518"/>
    <cellStyle name="计算 5 6 2 2 3" xfId="30711"/>
    <cellStyle name="计算 5 6 2 2 4" xfId="42517"/>
    <cellStyle name="计算 5 6 2 3" xfId="20932"/>
    <cellStyle name="计算 5 6 2 3 2" xfId="30713"/>
    <cellStyle name="计算 5 6 2 3 3" xfId="42519"/>
    <cellStyle name="计算 5 6 2 4" xfId="30710"/>
    <cellStyle name="计算 5 6 2 5" xfId="42516"/>
    <cellStyle name="计算 5 6 3" xfId="13602"/>
    <cellStyle name="计算 5 6 3 2" xfId="6256"/>
    <cellStyle name="计算 5 6 3 2 2" xfId="30715"/>
    <cellStyle name="计算 5 6 3 2 3" xfId="42521"/>
    <cellStyle name="计算 5 6 3 3" xfId="30714"/>
    <cellStyle name="计算 5 6 3 4" xfId="42520"/>
    <cellStyle name="计算 5 6 4" xfId="30716"/>
    <cellStyle name="计算 5 6 4 2" xfId="42522"/>
    <cellStyle name="计算 5 6 5" xfId="30709"/>
    <cellStyle name="计算 5 6 6" xfId="42515"/>
    <cellStyle name="计算 5 7" xfId="13603"/>
    <cellStyle name="计算 5 7 2" xfId="6257"/>
    <cellStyle name="计算 5 7 2 2" xfId="30718"/>
    <cellStyle name="计算 5 7 2 3" xfId="42524"/>
    <cellStyle name="计算 5 7 3" xfId="30717"/>
    <cellStyle name="计算 5 7 4" xfId="42523"/>
    <cellStyle name="计算 5 8" xfId="30719"/>
    <cellStyle name="计算 5 8 2" xfId="30720"/>
    <cellStyle name="计算 5 8 2 2" xfId="42526"/>
    <cellStyle name="计算 5 8 3" xfId="42525"/>
    <cellStyle name="计算 5 9" xfId="30721"/>
    <cellStyle name="计算 5 9 2" xfId="42527"/>
    <cellStyle name="计算 6" xfId="9751"/>
    <cellStyle name="计算 6 10" xfId="30722"/>
    <cellStyle name="计算 6 11" xfId="42528"/>
    <cellStyle name="计算 6 2" xfId="9752"/>
    <cellStyle name="计算 6 2 2" xfId="13604"/>
    <cellStyle name="计算 6 2 2 2" xfId="13605"/>
    <cellStyle name="计算 6 2 2 2 2" xfId="20931"/>
    <cellStyle name="计算 6 2 2 2 2 2" xfId="30726"/>
    <cellStyle name="计算 6 2 2 2 2 3" xfId="42532"/>
    <cellStyle name="计算 6 2 2 2 3" xfId="30725"/>
    <cellStyle name="计算 6 2 2 2 4" xfId="42531"/>
    <cellStyle name="计算 6 2 2 3" xfId="13606"/>
    <cellStyle name="计算 6 2 2 3 2" xfId="6260"/>
    <cellStyle name="计算 6 2 2 3 2 2" xfId="30728"/>
    <cellStyle name="计算 6 2 2 3 2 3" xfId="42534"/>
    <cellStyle name="计算 6 2 2 3 3" xfId="30727"/>
    <cellStyle name="计算 6 2 2 3 4" xfId="42533"/>
    <cellStyle name="计算 6 2 2 4" xfId="6259"/>
    <cellStyle name="计算 6 2 2 4 2" xfId="30729"/>
    <cellStyle name="计算 6 2 2 4 3" xfId="42535"/>
    <cellStyle name="计算 6 2 2 5" xfId="30724"/>
    <cellStyle name="计算 6 2 2 6" xfId="42530"/>
    <cellStyle name="计算 6 2 3" xfId="13607"/>
    <cellStyle name="计算 6 2 3 2" xfId="6261"/>
    <cellStyle name="计算 6 2 3 2 2" xfId="30731"/>
    <cellStyle name="计算 6 2 3 2 3" xfId="42537"/>
    <cellStyle name="计算 6 2 3 3" xfId="30730"/>
    <cellStyle name="计算 6 2 3 4" xfId="42536"/>
    <cellStyle name="计算 6 2 4" xfId="13608"/>
    <cellStyle name="计算 6 2 4 2" xfId="6267"/>
    <cellStyle name="计算 6 2 4 2 2" xfId="30733"/>
    <cellStyle name="计算 6 2 4 2 3" xfId="42539"/>
    <cellStyle name="计算 6 2 4 3" xfId="30732"/>
    <cellStyle name="计算 6 2 4 4" xfId="42538"/>
    <cellStyle name="计算 6 2 5" xfId="30734"/>
    <cellStyle name="计算 6 2 5 2" xfId="42540"/>
    <cellStyle name="计算 6 2 6" xfId="30723"/>
    <cellStyle name="计算 6 2 7" xfId="42529"/>
    <cellStyle name="计算 6 3" xfId="9753"/>
    <cellStyle name="计算 6 3 2" xfId="13609"/>
    <cellStyle name="计算 6 3 2 2" xfId="13610"/>
    <cellStyle name="计算 6 3 2 2 2" xfId="6273"/>
    <cellStyle name="计算 6 3 2 2 2 2" xfId="30738"/>
    <cellStyle name="计算 6 3 2 2 2 3" xfId="42544"/>
    <cellStyle name="计算 6 3 2 2 3" xfId="30737"/>
    <cellStyle name="计算 6 3 2 2 4" xfId="42543"/>
    <cellStyle name="计算 6 3 2 3" xfId="13611"/>
    <cellStyle name="计算 6 3 2 3 2" xfId="6274"/>
    <cellStyle name="计算 6 3 2 3 2 2" xfId="30740"/>
    <cellStyle name="计算 6 3 2 3 2 3" xfId="42546"/>
    <cellStyle name="计算 6 3 2 3 3" xfId="30739"/>
    <cellStyle name="计算 6 3 2 3 4" xfId="42545"/>
    <cellStyle name="计算 6 3 2 4" xfId="6271"/>
    <cellStyle name="计算 6 3 2 4 2" xfId="30741"/>
    <cellStyle name="计算 6 3 2 4 3" xfId="42547"/>
    <cellStyle name="计算 6 3 2 5" xfId="30736"/>
    <cellStyle name="计算 6 3 2 6" xfId="42542"/>
    <cellStyle name="计算 6 3 3" xfId="13612"/>
    <cellStyle name="计算 6 3 3 2" xfId="6275"/>
    <cellStyle name="计算 6 3 3 2 2" xfId="30743"/>
    <cellStyle name="计算 6 3 3 2 3" xfId="42549"/>
    <cellStyle name="计算 6 3 3 3" xfId="30742"/>
    <cellStyle name="计算 6 3 3 4" xfId="42548"/>
    <cellStyle name="计算 6 3 4" xfId="13613"/>
    <cellStyle name="计算 6 3 4 2" xfId="6279"/>
    <cellStyle name="计算 6 3 4 2 2" xfId="30745"/>
    <cellStyle name="计算 6 3 4 2 3" xfId="42551"/>
    <cellStyle name="计算 6 3 4 3" xfId="30744"/>
    <cellStyle name="计算 6 3 4 4" xfId="42550"/>
    <cellStyle name="计算 6 3 5" xfId="30746"/>
    <cellStyle name="计算 6 3 5 2" xfId="42552"/>
    <cellStyle name="计算 6 3 6" xfId="30735"/>
    <cellStyle name="计算 6 3 7" xfId="42541"/>
    <cellStyle name="计算 6 4" xfId="9754"/>
    <cellStyle name="计算 6 4 2" xfId="13614"/>
    <cellStyle name="计算 6 4 2 2" xfId="13615"/>
    <cellStyle name="计算 6 4 2 2 2" xfId="20929"/>
    <cellStyle name="计算 6 4 2 2 2 2" xfId="30750"/>
    <cellStyle name="计算 6 4 2 2 2 3" xfId="42556"/>
    <cellStyle name="计算 6 4 2 2 3" xfId="30749"/>
    <cellStyle name="计算 6 4 2 2 4" xfId="42555"/>
    <cellStyle name="计算 6 4 2 3" xfId="13616"/>
    <cellStyle name="计算 6 4 2 3 2" xfId="6289"/>
    <cellStyle name="计算 6 4 2 3 2 2" xfId="30752"/>
    <cellStyle name="计算 6 4 2 3 2 3" xfId="42558"/>
    <cellStyle name="计算 6 4 2 3 3" xfId="30751"/>
    <cellStyle name="计算 6 4 2 3 4" xfId="42557"/>
    <cellStyle name="计算 6 4 2 4" xfId="20930"/>
    <cellStyle name="计算 6 4 2 4 2" xfId="30753"/>
    <cellStyle name="计算 6 4 2 4 3" xfId="42559"/>
    <cellStyle name="计算 6 4 2 5" xfId="30748"/>
    <cellStyle name="计算 6 4 2 6" xfId="42554"/>
    <cellStyle name="计算 6 4 3" xfId="13617"/>
    <cellStyle name="计算 6 4 3 2" xfId="6290"/>
    <cellStyle name="计算 6 4 3 2 2" xfId="30755"/>
    <cellStyle name="计算 6 4 3 2 3" xfId="42561"/>
    <cellStyle name="计算 6 4 3 3" xfId="30754"/>
    <cellStyle name="计算 6 4 3 4" xfId="42560"/>
    <cellStyle name="计算 6 4 4" xfId="13618"/>
    <cellStyle name="计算 6 4 4 2" xfId="6297"/>
    <cellStyle name="计算 6 4 4 2 2" xfId="30757"/>
    <cellStyle name="计算 6 4 4 2 3" xfId="42563"/>
    <cellStyle name="计算 6 4 4 3" xfId="30756"/>
    <cellStyle name="计算 6 4 4 4" xfId="42562"/>
    <cellStyle name="计算 6 4 5" xfId="30758"/>
    <cellStyle name="计算 6 4 5 2" xfId="42564"/>
    <cellStyle name="计算 6 4 6" xfId="30747"/>
    <cellStyle name="计算 6 4 7" xfId="42553"/>
    <cellStyle name="计算 6 5" xfId="9755"/>
    <cellStyle name="计算 6 5 2" xfId="13619"/>
    <cellStyle name="计算 6 5 2 2" xfId="13620"/>
    <cellStyle name="计算 6 5 2 2 2" xfId="20928"/>
    <cellStyle name="计算 6 5 2 2 2 2" xfId="30762"/>
    <cellStyle name="计算 6 5 2 2 2 3" xfId="42568"/>
    <cellStyle name="计算 6 5 2 2 3" xfId="30761"/>
    <cellStyle name="计算 6 5 2 2 4" xfId="42567"/>
    <cellStyle name="计算 6 5 2 3" xfId="13621"/>
    <cellStyle name="计算 6 5 2 3 2" xfId="6331"/>
    <cellStyle name="计算 6 5 2 3 2 2" xfId="30764"/>
    <cellStyle name="计算 6 5 2 3 2 3" xfId="42570"/>
    <cellStyle name="计算 6 5 2 3 3" xfId="30763"/>
    <cellStyle name="计算 6 5 2 3 4" xfId="42569"/>
    <cellStyle name="计算 6 5 2 4" xfId="6330"/>
    <cellStyle name="计算 6 5 2 4 2" xfId="30765"/>
    <cellStyle name="计算 6 5 2 4 3" xfId="42571"/>
    <cellStyle name="计算 6 5 2 5" xfId="30760"/>
    <cellStyle name="计算 6 5 2 6" xfId="42566"/>
    <cellStyle name="计算 6 5 3" xfId="13622"/>
    <cellStyle name="计算 6 5 3 2" xfId="6332"/>
    <cellStyle name="计算 6 5 3 2 2" xfId="30767"/>
    <cellStyle name="计算 6 5 3 2 3" xfId="42573"/>
    <cellStyle name="计算 6 5 3 3" xfId="30766"/>
    <cellStyle name="计算 6 5 3 4" xfId="42572"/>
    <cellStyle name="计算 6 5 4" xfId="13623"/>
    <cellStyle name="计算 6 5 4 2" xfId="6333"/>
    <cellStyle name="计算 6 5 4 2 2" xfId="30769"/>
    <cellStyle name="计算 6 5 4 2 3" xfId="42575"/>
    <cellStyle name="计算 6 5 4 3" xfId="30768"/>
    <cellStyle name="计算 6 5 4 4" xfId="42574"/>
    <cellStyle name="计算 6 5 5" xfId="30770"/>
    <cellStyle name="计算 6 5 5 2" xfId="42576"/>
    <cellStyle name="计算 6 5 6" xfId="30759"/>
    <cellStyle name="计算 6 5 7" xfId="42565"/>
    <cellStyle name="计算 6 6" xfId="13624"/>
    <cellStyle name="计算 6 6 2" xfId="13625"/>
    <cellStyle name="计算 6 6 2 2" xfId="20927"/>
    <cellStyle name="计算 6 6 2 2 2" xfId="30773"/>
    <cellStyle name="计算 6 6 2 2 3" xfId="42579"/>
    <cellStyle name="计算 6 6 2 3" xfId="30772"/>
    <cellStyle name="计算 6 6 2 4" xfId="42578"/>
    <cellStyle name="计算 6 6 3" xfId="13626"/>
    <cellStyle name="计算 6 6 3 2" xfId="6336"/>
    <cellStyle name="计算 6 6 3 2 2" xfId="30775"/>
    <cellStyle name="计算 6 6 3 2 3" xfId="42581"/>
    <cellStyle name="计算 6 6 3 3" xfId="30774"/>
    <cellStyle name="计算 6 6 3 4" xfId="42580"/>
    <cellStyle name="计算 6 6 4" xfId="6335"/>
    <cellStyle name="计算 6 6 4 2" xfId="30776"/>
    <cellStyle name="计算 6 6 4 3" xfId="42582"/>
    <cellStyle name="计算 6 6 5" xfId="30771"/>
    <cellStyle name="计算 6 6 6" xfId="42577"/>
    <cellStyle name="计算 6 7" xfId="13627"/>
    <cellStyle name="计算 6 7 2" xfId="6338"/>
    <cellStyle name="计算 6 7 2 2" xfId="30778"/>
    <cellStyle name="计算 6 7 2 3" xfId="42584"/>
    <cellStyle name="计算 6 7 3" xfId="30777"/>
    <cellStyle name="计算 6 7 4" xfId="42583"/>
    <cellStyle name="计算 6 8" xfId="13628"/>
    <cellStyle name="计算 6 8 2" xfId="6339"/>
    <cellStyle name="计算 6 8 2 2" xfId="30780"/>
    <cellStyle name="计算 6 8 2 3" xfId="42586"/>
    <cellStyle name="计算 6 8 3" xfId="30779"/>
    <cellStyle name="计算 6 8 4" xfId="42585"/>
    <cellStyle name="计算 6 9" xfId="30781"/>
    <cellStyle name="计算 6 9 2" xfId="42587"/>
    <cellStyle name="计算 7" xfId="9756"/>
    <cellStyle name="计算 7 10" xfId="30782"/>
    <cellStyle name="计算 7 11" xfId="42588"/>
    <cellStyle name="计算 7 2" xfId="9757"/>
    <cellStyle name="计算 7 2 2" xfId="13629"/>
    <cellStyle name="计算 7 2 2 2" xfId="13630"/>
    <cellStyle name="计算 7 2 2 2 2" xfId="20926"/>
    <cellStyle name="计算 7 2 2 2 2 2" xfId="30786"/>
    <cellStyle name="计算 7 2 2 2 2 3" xfId="42592"/>
    <cellStyle name="计算 7 2 2 2 3" xfId="30785"/>
    <cellStyle name="计算 7 2 2 2 4" xfId="42591"/>
    <cellStyle name="计算 7 2 2 3" xfId="13631"/>
    <cellStyle name="计算 7 2 2 3 2" xfId="6373"/>
    <cellStyle name="计算 7 2 2 3 2 2" xfId="30788"/>
    <cellStyle name="计算 7 2 2 3 2 3" xfId="42594"/>
    <cellStyle name="计算 7 2 2 3 3" xfId="30787"/>
    <cellStyle name="计算 7 2 2 3 4" xfId="42593"/>
    <cellStyle name="计算 7 2 2 4" xfId="6372"/>
    <cellStyle name="计算 7 2 2 4 2" xfId="30789"/>
    <cellStyle name="计算 7 2 2 4 3" xfId="42595"/>
    <cellStyle name="计算 7 2 2 5" xfId="30784"/>
    <cellStyle name="计算 7 2 2 6" xfId="42590"/>
    <cellStyle name="计算 7 2 3" xfId="13632"/>
    <cellStyle name="计算 7 2 3 2" xfId="6374"/>
    <cellStyle name="计算 7 2 3 2 2" xfId="30791"/>
    <cellStyle name="计算 7 2 3 2 3" xfId="42597"/>
    <cellStyle name="计算 7 2 3 3" xfId="30790"/>
    <cellStyle name="计算 7 2 3 4" xfId="42596"/>
    <cellStyle name="计算 7 2 4" xfId="13633"/>
    <cellStyle name="计算 7 2 4 2" xfId="6376"/>
    <cellStyle name="计算 7 2 4 2 2" xfId="30793"/>
    <cellStyle name="计算 7 2 4 2 3" xfId="42599"/>
    <cellStyle name="计算 7 2 4 3" xfId="30792"/>
    <cellStyle name="计算 7 2 4 4" xfId="42598"/>
    <cellStyle name="计算 7 2 5" xfId="30794"/>
    <cellStyle name="计算 7 2 5 2" xfId="42600"/>
    <cellStyle name="计算 7 2 6" xfId="30783"/>
    <cellStyle name="计算 7 2 7" xfId="42589"/>
    <cellStyle name="计算 7 3" xfId="9758"/>
    <cellStyle name="计算 7 3 2" xfId="13634"/>
    <cellStyle name="计算 7 3 2 2" xfId="13635"/>
    <cellStyle name="计算 7 3 2 2 2" xfId="6378"/>
    <cellStyle name="计算 7 3 2 2 2 2" xfId="30798"/>
    <cellStyle name="计算 7 3 2 2 2 3" xfId="42604"/>
    <cellStyle name="计算 7 3 2 2 3" xfId="30797"/>
    <cellStyle name="计算 7 3 2 2 4" xfId="42603"/>
    <cellStyle name="计算 7 3 2 3" xfId="13636"/>
    <cellStyle name="计算 7 3 2 3 2" xfId="6379"/>
    <cellStyle name="计算 7 3 2 3 2 2" xfId="30800"/>
    <cellStyle name="计算 7 3 2 3 2 3" xfId="42606"/>
    <cellStyle name="计算 7 3 2 3 3" xfId="30799"/>
    <cellStyle name="计算 7 3 2 3 4" xfId="42605"/>
    <cellStyle name="计算 7 3 2 4" xfId="6377"/>
    <cellStyle name="计算 7 3 2 4 2" xfId="30801"/>
    <cellStyle name="计算 7 3 2 4 3" xfId="42607"/>
    <cellStyle name="计算 7 3 2 5" xfId="30796"/>
    <cellStyle name="计算 7 3 2 6" xfId="42602"/>
    <cellStyle name="计算 7 3 3" xfId="13637"/>
    <cellStyle name="计算 7 3 3 2" xfId="6380"/>
    <cellStyle name="计算 7 3 3 2 2" xfId="30803"/>
    <cellStyle name="计算 7 3 3 2 3" xfId="42609"/>
    <cellStyle name="计算 7 3 3 3" xfId="30802"/>
    <cellStyle name="计算 7 3 3 4" xfId="42608"/>
    <cellStyle name="计算 7 3 4" xfId="13638"/>
    <cellStyle name="计算 7 3 4 2" xfId="6381"/>
    <cellStyle name="计算 7 3 4 2 2" xfId="30805"/>
    <cellStyle name="计算 7 3 4 2 3" xfId="42611"/>
    <cellStyle name="计算 7 3 4 3" xfId="30804"/>
    <cellStyle name="计算 7 3 4 4" xfId="42610"/>
    <cellStyle name="计算 7 3 5" xfId="30806"/>
    <cellStyle name="计算 7 3 5 2" xfId="42612"/>
    <cellStyle name="计算 7 3 6" xfId="30795"/>
    <cellStyle name="计算 7 3 7" xfId="42601"/>
    <cellStyle name="计算 7 4" xfId="9759"/>
    <cellStyle name="计算 7 4 2" xfId="13639"/>
    <cellStyle name="计算 7 4 2 2" xfId="13640"/>
    <cellStyle name="计算 7 4 2 2 2" xfId="20925"/>
    <cellStyle name="计算 7 4 2 2 2 2" xfId="30810"/>
    <cellStyle name="计算 7 4 2 2 2 3" xfId="42616"/>
    <cellStyle name="计算 7 4 2 2 3" xfId="30809"/>
    <cellStyle name="计算 7 4 2 2 4" xfId="42615"/>
    <cellStyle name="计算 7 4 2 3" xfId="13641"/>
    <cellStyle name="计算 7 4 2 3 2" xfId="6385"/>
    <cellStyle name="计算 7 4 2 3 2 2" xfId="30812"/>
    <cellStyle name="计算 7 4 2 3 2 3" xfId="42618"/>
    <cellStyle name="计算 7 4 2 3 3" xfId="30811"/>
    <cellStyle name="计算 7 4 2 3 4" xfId="42617"/>
    <cellStyle name="计算 7 4 2 4" xfId="18605"/>
    <cellStyle name="计算 7 4 2 4 2" xfId="30813"/>
    <cellStyle name="计算 7 4 2 4 3" xfId="42619"/>
    <cellStyle name="计算 7 4 2 5" xfId="30808"/>
    <cellStyle name="计算 7 4 2 6" xfId="42614"/>
    <cellStyle name="计算 7 4 3" xfId="13642"/>
    <cellStyle name="计算 7 4 3 2" xfId="6393"/>
    <cellStyle name="计算 7 4 3 2 2" xfId="30815"/>
    <cellStyle name="计算 7 4 3 2 3" xfId="42621"/>
    <cellStyle name="计算 7 4 3 3" xfId="30814"/>
    <cellStyle name="计算 7 4 3 4" xfId="42620"/>
    <cellStyle name="计算 7 4 4" xfId="13643"/>
    <cellStyle name="计算 7 4 4 2" xfId="6395"/>
    <cellStyle name="计算 7 4 4 2 2" xfId="30817"/>
    <cellStyle name="计算 7 4 4 2 3" xfId="42623"/>
    <cellStyle name="计算 7 4 4 3" xfId="30816"/>
    <cellStyle name="计算 7 4 4 4" xfId="42622"/>
    <cellStyle name="计算 7 4 5" xfId="30818"/>
    <cellStyle name="计算 7 4 5 2" xfId="42624"/>
    <cellStyle name="计算 7 4 6" xfId="30807"/>
    <cellStyle name="计算 7 4 7" xfId="42613"/>
    <cellStyle name="计算 7 5" xfId="9760"/>
    <cellStyle name="计算 7 5 2" xfId="13644"/>
    <cellStyle name="计算 7 5 2 2" xfId="13645"/>
    <cellStyle name="计算 7 5 2 2 2" xfId="20924"/>
    <cellStyle name="计算 7 5 2 2 2 2" xfId="30822"/>
    <cellStyle name="计算 7 5 2 2 2 3" xfId="42628"/>
    <cellStyle name="计算 7 5 2 2 3" xfId="30821"/>
    <cellStyle name="计算 7 5 2 2 4" xfId="42627"/>
    <cellStyle name="计算 7 5 2 3" xfId="13646"/>
    <cellStyle name="计算 7 5 2 3 2" xfId="6407"/>
    <cellStyle name="计算 7 5 2 3 2 2" xfId="30824"/>
    <cellStyle name="计算 7 5 2 3 2 3" xfId="42630"/>
    <cellStyle name="计算 7 5 2 3 3" xfId="30823"/>
    <cellStyle name="计算 7 5 2 3 4" xfId="42629"/>
    <cellStyle name="计算 7 5 2 4" xfId="6396"/>
    <cellStyle name="计算 7 5 2 4 2" xfId="30825"/>
    <cellStyle name="计算 7 5 2 4 3" xfId="42631"/>
    <cellStyle name="计算 7 5 2 5" xfId="30820"/>
    <cellStyle name="计算 7 5 2 6" xfId="42626"/>
    <cellStyle name="计算 7 5 3" xfId="13647"/>
    <cellStyle name="计算 7 5 3 2" xfId="6408"/>
    <cellStyle name="计算 7 5 3 2 2" xfId="30827"/>
    <cellStyle name="计算 7 5 3 2 3" xfId="42633"/>
    <cellStyle name="计算 7 5 3 3" xfId="30826"/>
    <cellStyle name="计算 7 5 3 4" xfId="42632"/>
    <cellStyle name="计算 7 5 4" xfId="13648"/>
    <cellStyle name="计算 7 5 4 2" xfId="6409"/>
    <cellStyle name="计算 7 5 4 2 2" xfId="30829"/>
    <cellStyle name="计算 7 5 4 2 3" xfId="42635"/>
    <cellStyle name="计算 7 5 4 3" xfId="30828"/>
    <cellStyle name="计算 7 5 4 4" xfId="42634"/>
    <cellStyle name="计算 7 5 5" xfId="30830"/>
    <cellStyle name="计算 7 5 5 2" xfId="42636"/>
    <cellStyle name="计算 7 5 6" xfId="30819"/>
    <cellStyle name="计算 7 5 7" xfId="42625"/>
    <cellStyle name="计算 7 6" xfId="13649"/>
    <cellStyle name="计算 7 6 2" xfId="13650"/>
    <cellStyle name="计算 7 6 2 2" xfId="20923"/>
    <cellStyle name="计算 7 6 2 2 2" xfId="30833"/>
    <cellStyle name="计算 7 6 2 2 3" xfId="42639"/>
    <cellStyle name="计算 7 6 2 3" xfId="30832"/>
    <cellStyle name="计算 7 6 2 4" xfId="42638"/>
    <cellStyle name="计算 7 6 3" xfId="13651"/>
    <cellStyle name="计算 7 6 3 2" xfId="6413"/>
    <cellStyle name="计算 7 6 3 2 2" xfId="30835"/>
    <cellStyle name="计算 7 6 3 2 3" xfId="42641"/>
    <cellStyle name="计算 7 6 3 3" xfId="30834"/>
    <cellStyle name="计算 7 6 3 4" xfId="42640"/>
    <cellStyle name="计算 7 6 4" xfId="6410"/>
    <cellStyle name="计算 7 6 4 2" xfId="30836"/>
    <cellStyle name="计算 7 6 4 3" xfId="42642"/>
    <cellStyle name="计算 7 6 5" xfId="30831"/>
    <cellStyle name="计算 7 6 6" xfId="42637"/>
    <cellStyle name="计算 7 7" xfId="13652"/>
    <cellStyle name="计算 7 7 2" xfId="6414"/>
    <cellStyle name="计算 7 7 2 2" xfId="30838"/>
    <cellStyle name="计算 7 7 2 3" xfId="42644"/>
    <cellStyle name="计算 7 7 3" xfId="30837"/>
    <cellStyle name="计算 7 7 4" xfId="42643"/>
    <cellStyle name="计算 7 8" xfId="13653"/>
    <cellStyle name="计算 7 8 2" xfId="6415"/>
    <cellStyle name="计算 7 8 2 2" xfId="30840"/>
    <cellStyle name="计算 7 8 2 3" xfId="42646"/>
    <cellStyle name="计算 7 8 3" xfId="30839"/>
    <cellStyle name="计算 7 8 4" xfId="42645"/>
    <cellStyle name="计算 7 9" xfId="30841"/>
    <cellStyle name="计算 7 9 2" xfId="42647"/>
    <cellStyle name="计算 8" xfId="9761"/>
    <cellStyle name="计算 8 10" xfId="30842"/>
    <cellStyle name="计算 8 11" xfId="42648"/>
    <cellStyle name="计算 8 2" xfId="9762"/>
    <cellStyle name="计算 8 2 2" xfId="13654"/>
    <cellStyle name="计算 8 2 2 2" xfId="13655"/>
    <cellStyle name="计算 8 2 2 2 2" xfId="20922"/>
    <cellStyle name="计算 8 2 2 2 2 2" xfId="30846"/>
    <cellStyle name="计算 8 2 2 2 2 3" xfId="42652"/>
    <cellStyle name="计算 8 2 2 2 3" xfId="30845"/>
    <cellStyle name="计算 8 2 2 2 4" xfId="42651"/>
    <cellStyle name="计算 8 2 2 3" xfId="13656"/>
    <cellStyle name="计算 8 2 2 3 2" xfId="6417"/>
    <cellStyle name="计算 8 2 2 3 2 2" xfId="30848"/>
    <cellStyle name="计算 8 2 2 3 2 3" xfId="42654"/>
    <cellStyle name="计算 8 2 2 3 3" xfId="30847"/>
    <cellStyle name="计算 8 2 2 3 4" xfId="42653"/>
    <cellStyle name="计算 8 2 2 4" xfId="6416"/>
    <cellStyle name="计算 8 2 2 4 2" xfId="30849"/>
    <cellStyle name="计算 8 2 2 4 3" xfId="42655"/>
    <cellStyle name="计算 8 2 2 5" xfId="30844"/>
    <cellStyle name="计算 8 2 2 6" xfId="42650"/>
    <cellStyle name="计算 8 2 3" xfId="13657"/>
    <cellStyle name="计算 8 2 3 2" xfId="6418"/>
    <cellStyle name="计算 8 2 3 2 2" xfId="30851"/>
    <cellStyle name="计算 8 2 3 2 3" xfId="42657"/>
    <cellStyle name="计算 8 2 3 3" xfId="30850"/>
    <cellStyle name="计算 8 2 3 4" xfId="42656"/>
    <cellStyle name="计算 8 2 4" xfId="13658"/>
    <cellStyle name="计算 8 2 4 2" xfId="6419"/>
    <cellStyle name="计算 8 2 4 2 2" xfId="30853"/>
    <cellStyle name="计算 8 2 4 2 3" xfId="42659"/>
    <cellStyle name="计算 8 2 4 3" xfId="30852"/>
    <cellStyle name="计算 8 2 4 4" xfId="42658"/>
    <cellStyle name="计算 8 2 5" xfId="30854"/>
    <cellStyle name="计算 8 2 5 2" xfId="42660"/>
    <cellStyle name="计算 8 2 6" xfId="30843"/>
    <cellStyle name="计算 8 2 7" xfId="42649"/>
    <cellStyle name="计算 8 3" xfId="9763"/>
    <cellStyle name="计算 8 3 2" xfId="13659"/>
    <cellStyle name="计算 8 3 2 2" xfId="13660"/>
    <cellStyle name="计算 8 3 2 2 2" xfId="6421"/>
    <cellStyle name="计算 8 3 2 2 2 2" xfId="30858"/>
    <cellStyle name="计算 8 3 2 2 2 3" xfId="42664"/>
    <cellStyle name="计算 8 3 2 2 3" xfId="30857"/>
    <cellStyle name="计算 8 3 2 2 4" xfId="42663"/>
    <cellStyle name="计算 8 3 2 3" xfId="13661"/>
    <cellStyle name="计算 8 3 2 3 2" xfId="6423"/>
    <cellStyle name="计算 8 3 2 3 2 2" xfId="30860"/>
    <cellStyle name="计算 8 3 2 3 2 3" xfId="42666"/>
    <cellStyle name="计算 8 3 2 3 3" xfId="30859"/>
    <cellStyle name="计算 8 3 2 3 4" xfId="42665"/>
    <cellStyle name="计算 8 3 2 4" xfId="6420"/>
    <cellStyle name="计算 8 3 2 4 2" xfId="30861"/>
    <cellStyle name="计算 8 3 2 4 3" xfId="42667"/>
    <cellStyle name="计算 8 3 2 5" xfId="30856"/>
    <cellStyle name="计算 8 3 2 6" xfId="42662"/>
    <cellStyle name="计算 8 3 3" xfId="13662"/>
    <cellStyle name="计算 8 3 3 2" xfId="6424"/>
    <cellStyle name="计算 8 3 3 2 2" xfId="30863"/>
    <cellStyle name="计算 8 3 3 2 3" xfId="42669"/>
    <cellStyle name="计算 8 3 3 3" xfId="30862"/>
    <cellStyle name="计算 8 3 3 4" xfId="42668"/>
    <cellStyle name="计算 8 3 4" xfId="13663"/>
    <cellStyle name="计算 8 3 4 2" xfId="6425"/>
    <cellStyle name="计算 8 3 4 2 2" xfId="30865"/>
    <cellStyle name="计算 8 3 4 2 3" xfId="42671"/>
    <cellStyle name="计算 8 3 4 3" xfId="30864"/>
    <cellStyle name="计算 8 3 4 4" xfId="42670"/>
    <cellStyle name="计算 8 3 5" xfId="30866"/>
    <cellStyle name="计算 8 3 5 2" xfId="42672"/>
    <cellStyle name="计算 8 3 6" xfId="30855"/>
    <cellStyle name="计算 8 3 7" xfId="42661"/>
    <cellStyle name="计算 8 4" xfId="9764"/>
    <cellStyle name="计算 8 4 2" xfId="13664"/>
    <cellStyle name="计算 8 4 2 2" xfId="13665"/>
    <cellStyle name="计算 8 4 2 2 2" xfId="18604"/>
    <cellStyle name="计算 8 4 2 2 2 2" xfId="30870"/>
    <cellStyle name="计算 8 4 2 2 2 3" xfId="42676"/>
    <cellStyle name="计算 8 4 2 2 3" xfId="30869"/>
    <cellStyle name="计算 8 4 2 2 4" xfId="42675"/>
    <cellStyle name="计算 8 4 2 3" xfId="13666"/>
    <cellStyle name="计算 8 4 2 3 2" xfId="6426"/>
    <cellStyle name="计算 8 4 2 3 2 2" xfId="30872"/>
    <cellStyle name="计算 8 4 2 3 2 3" xfId="42678"/>
    <cellStyle name="计算 8 4 2 3 3" xfId="30871"/>
    <cellStyle name="计算 8 4 2 3 4" xfId="42677"/>
    <cellStyle name="计算 8 4 2 4" xfId="20921"/>
    <cellStyle name="计算 8 4 2 4 2" xfId="30873"/>
    <cellStyle name="计算 8 4 2 4 3" xfId="42679"/>
    <cellStyle name="计算 8 4 2 5" xfId="30868"/>
    <cellStyle name="计算 8 4 2 6" xfId="42674"/>
    <cellStyle name="计算 8 4 3" xfId="13667"/>
    <cellStyle name="计算 8 4 3 2" xfId="6427"/>
    <cellStyle name="计算 8 4 3 2 2" xfId="30875"/>
    <cellStyle name="计算 8 4 3 2 3" xfId="42681"/>
    <cellStyle name="计算 8 4 3 3" xfId="30874"/>
    <cellStyle name="计算 8 4 3 4" xfId="42680"/>
    <cellStyle name="计算 8 4 4" xfId="13668"/>
    <cellStyle name="计算 8 4 4 2" xfId="6428"/>
    <cellStyle name="计算 8 4 4 2 2" xfId="30877"/>
    <cellStyle name="计算 8 4 4 2 3" xfId="42683"/>
    <cellStyle name="计算 8 4 4 3" xfId="30876"/>
    <cellStyle name="计算 8 4 4 4" xfId="42682"/>
    <cellStyle name="计算 8 4 5" xfId="30878"/>
    <cellStyle name="计算 8 4 5 2" xfId="42684"/>
    <cellStyle name="计算 8 4 6" xfId="30867"/>
    <cellStyle name="计算 8 4 7" xfId="42673"/>
    <cellStyle name="计算 8 5" xfId="9765"/>
    <cellStyle name="计算 8 5 2" xfId="13669"/>
    <cellStyle name="计算 8 5 2 2" xfId="13670"/>
    <cellStyle name="计算 8 5 2 2 2" xfId="20920"/>
    <cellStyle name="计算 8 5 2 2 2 2" xfId="30882"/>
    <cellStyle name="计算 8 5 2 2 2 3" xfId="42688"/>
    <cellStyle name="计算 8 5 2 2 3" xfId="30881"/>
    <cellStyle name="计算 8 5 2 2 4" xfId="42687"/>
    <cellStyle name="计算 8 5 2 3" xfId="13671"/>
    <cellStyle name="计算 8 5 2 3 2" xfId="6430"/>
    <cellStyle name="计算 8 5 2 3 2 2" xfId="30884"/>
    <cellStyle name="计算 8 5 2 3 2 3" xfId="42690"/>
    <cellStyle name="计算 8 5 2 3 3" xfId="30883"/>
    <cellStyle name="计算 8 5 2 3 4" xfId="42689"/>
    <cellStyle name="计算 8 5 2 4" xfId="6429"/>
    <cellStyle name="计算 8 5 2 4 2" xfId="30885"/>
    <cellStyle name="计算 8 5 2 4 3" xfId="42691"/>
    <cellStyle name="计算 8 5 2 5" xfId="30880"/>
    <cellStyle name="计算 8 5 2 6" xfId="42686"/>
    <cellStyle name="计算 8 5 3" xfId="13672"/>
    <cellStyle name="计算 8 5 3 2" xfId="6431"/>
    <cellStyle name="计算 8 5 3 2 2" xfId="30887"/>
    <cellStyle name="计算 8 5 3 2 3" xfId="42693"/>
    <cellStyle name="计算 8 5 3 3" xfId="30886"/>
    <cellStyle name="计算 8 5 3 4" xfId="42692"/>
    <cellStyle name="计算 8 5 4" xfId="13673"/>
    <cellStyle name="计算 8 5 4 2" xfId="6432"/>
    <cellStyle name="计算 8 5 4 2 2" xfId="30889"/>
    <cellStyle name="计算 8 5 4 2 3" xfId="42695"/>
    <cellStyle name="计算 8 5 4 3" xfId="30888"/>
    <cellStyle name="计算 8 5 4 4" xfId="42694"/>
    <cellStyle name="计算 8 5 5" xfId="30890"/>
    <cellStyle name="计算 8 5 5 2" xfId="42696"/>
    <cellStyle name="计算 8 5 6" xfId="30879"/>
    <cellStyle name="计算 8 5 7" xfId="42685"/>
    <cellStyle name="计算 8 6" xfId="13674"/>
    <cellStyle name="计算 8 6 2" xfId="13675"/>
    <cellStyle name="计算 8 6 2 2" xfId="20919"/>
    <cellStyle name="计算 8 6 2 2 2" xfId="30893"/>
    <cellStyle name="计算 8 6 2 2 3" xfId="42699"/>
    <cellStyle name="计算 8 6 2 3" xfId="30892"/>
    <cellStyle name="计算 8 6 2 4" xfId="42698"/>
    <cellStyle name="计算 8 6 3" xfId="13676"/>
    <cellStyle name="计算 8 6 3 2" xfId="6442"/>
    <cellStyle name="计算 8 6 3 2 2" xfId="30895"/>
    <cellStyle name="计算 8 6 3 2 3" xfId="42701"/>
    <cellStyle name="计算 8 6 3 3" xfId="30894"/>
    <cellStyle name="计算 8 6 3 4" xfId="42700"/>
    <cellStyle name="计算 8 6 4" xfId="6438"/>
    <cellStyle name="计算 8 6 4 2" xfId="30896"/>
    <cellStyle name="计算 8 6 4 3" xfId="42702"/>
    <cellStyle name="计算 8 6 5" xfId="30891"/>
    <cellStyle name="计算 8 6 6" xfId="42697"/>
    <cellStyle name="计算 8 7" xfId="13677"/>
    <cellStyle name="计算 8 7 2" xfId="6444"/>
    <cellStyle name="计算 8 7 2 2" xfId="30898"/>
    <cellStyle name="计算 8 7 2 3" xfId="42704"/>
    <cellStyle name="计算 8 7 3" xfId="30897"/>
    <cellStyle name="计算 8 7 4" xfId="42703"/>
    <cellStyle name="计算 8 8" xfId="13678"/>
    <cellStyle name="计算 8 8 2" xfId="6448"/>
    <cellStyle name="计算 8 8 2 2" xfId="30900"/>
    <cellStyle name="计算 8 8 2 3" xfId="42706"/>
    <cellStyle name="计算 8 8 3" xfId="30899"/>
    <cellStyle name="计算 8 8 4" xfId="42705"/>
    <cellStyle name="计算 8 9" xfId="30901"/>
    <cellStyle name="计算 8 9 2" xfId="42707"/>
    <cellStyle name="计算 9" xfId="9766"/>
    <cellStyle name="计算 9 10" xfId="30902"/>
    <cellStyle name="计算 9 11" xfId="42708"/>
    <cellStyle name="计算 9 2" xfId="9767"/>
    <cellStyle name="计算 9 2 2" xfId="13679"/>
    <cellStyle name="计算 9 2 2 2" xfId="13680"/>
    <cellStyle name="计算 9 2 2 2 2" xfId="20918"/>
    <cellStyle name="计算 9 2 2 2 2 2" xfId="30906"/>
    <cellStyle name="计算 9 2 2 2 2 3" xfId="42712"/>
    <cellStyle name="计算 9 2 2 2 3" xfId="30905"/>
    <cellStyle name="计算 9 2 2 2 4" xfId="42711"/>
    <cellStyle name="计算 9 2 2 3" xfId="13681"/>
    <cellStyle name="计算 9 2 2 3 2" xfId="6454"/>
    <cellStyle name="计算 9 2 2 3 2 2" xfId="30908"/>
    <cellStyle name="计算 9 2 2 3 2 3" xfId="42714"/>
    <cellStyle name="计算 9 2 2 3 3" xfId="30907"/>
    <cellStyle name="计算 9 2 2 3 4" xfId="42713"/>
    <cellStyle name="计算 9 2 2 4" xfId="6450"/>
    <cellStyle name="计算 9 2 2 4 2" xfId="30909"/>
    <cellStyle name="计算 9 2 2 4 3" xfId="42715"/>
    <cellStyle name="计算 9 2 2 5" xfId="30904"/>
    <cellStyle name="计算 9 2 2 6" xfId="42710"/>
    <cellStyle name="计算 9 2 3" xfId="13682"/>
    <cellStyle name="计算 9 2 3 2" xfId="6456"/>
    <cellStyle name="计算 9 2 3 2 2" xfId="30911"/>
    <cellStyle name="计算 9 2 3 2 3" xfId="42717"/>
    <cellStyle name="计算 9 2 3 3" xfId="30910"/>
    <cellStyle name="计算 9 2 3 4" xfId="42716"/>
    <cellStyle name="计算 9 2 4" xfId="13683"/>
    <cellStyle name="计算 9 2 4 2" xfId="6460"/>
    <cellStyle name="计算 9 2 4 2 2" xfId="30913"/>
    <cellStyle name="计算 9 2 4 2 3" xfId="42719"/>
    <cellStyle name="计算 9 2 4 3" xfId="30912"/>
    <cellStyle name="计算 9 2 4 4" xfId="42718"/>
    <cellStyle name="计算 9 2 5" xfId="30914"/>
    <cellStyle name="计算 9 2 5 2" xfId="42720"/>
    <cellStyle name="计算 9 2 6" xfId="30903"/>
    <cellStyle name="计算 9 2 7" xfId="42709"/>
    <cellStyle name="计算 9 3" xfId="9768"/>
    <cellStyle name="计算 9 3 2" xfId="13684"/>
    <cellStyle name="计算 9 3 2 2" xfId="13685"/>
    <cellStyle name="计算 9 3 2 2 2" xfId="6466"/>
    <cellStyle name="计算 9 3 2 2 2 2" xfId="30918"/>
    <cellStyle name="计算 9 3 2 2 2 3" xfId="42724"/>
    <cellStyle name="计算 9 3 2 2 3" xfId="30917"/>
    <cellStyle name="计算 9 3 2 2 4" xfId="42723"/>
    <cellStyle name="计算 9 3 2 3" xfId="13686"/>
    <cellStyle name="计算 9 3 2 3 2" xfId="6475"/>
    <cellStyle name="计算 9 3 2 3 2 2" xfId="30920"/>
    <cellStyle name="计算 9 3 2 3 2 3" xfId="42726"/>
    <cellStyle name="计算 9 3 2 3 3" xfId="30919"/>
    <cellStyle name="计算 9 3 2 3 4" xfId="42725"/>
    <cellStyle name="计算 9 3 2 4" xfId="6462"/>
    <cellStyle name="计算 9 3 2 4 2" xfId="30921"/>
    <cellStyle name="计算 9 3 2 4 3" xfId="42727"/>
    <cellStyle name="计算 9 3 2 5" xfId="30916"/>
    <cellStyle name="计算 9 3 2 6" xfId="42722"/>
    <cellStyle name="计算 9 3 3" xfId="13687"/>
    <cellStyle name="计算 9 3 3 2" xfId="6480"/>
    <cellStyle name="计算 9 3 3 2 2" xfId="30923"/>
    <cellStyle name="计算 9 3 3 2 3" xfId="42729"/>
    <cellStyle name="计算 9 3 3 3" xfId="30922"/>
    <cellStyle name="计算 9 3 3 4" xfId="42728"/>
    <cellStyle name="计算 9 3 4" xfId="13688"/>
    <cellStyle name="计算 9 3 4 2" xfId="6481"/>
    <cellStyle name="计算 9 3 4 2 2" xfId="30925"/>
    <cellStyle name="计算 9 3 4 2 3" xfId="42731"/>
    <cellStyle name="计算 9 3 4 3" xfId="30924"/>
    <cellStyle name="计算 9 3 4 4" xfId="42730"/>
    <cellStyle name="计算 9 3 5" xfId="30926"/>
    <cellStyle name="计算 9 3 5 2" xfId="42732"/>
    <cellStyle name="计算 9 3 6" xfId="30915"/>
    <cellStyle name="计算 9 3 7" xfId="42721"/>
    <cellStyle name="计算 9 4" xfId="9769"/>
    <cellStyle name="计算 9 4 2" xfId="13689"/>
    <cellStyle name="计算 9 4 2 2" xfId="13690"/>
    <cellStyle name="计算 9 4 2 2 2" xfId="20916"/>
    <cellStyle name="计算 9 4 2 2 2 2" xfId="30930"/>
    <cellStyle name="计算 9 4 2 2 2 3" xfId="42736"/>
    <cellStyle name="计算 9 4 2 2 3" xfId="30929"/>
    <cellStyle name="计算 9 4 2 2 4" xfId="42735"/>
    <cellStyle name="计算 9 4 2 3" xfId="13691"/>
    <cellStyle name="计算 9 4 2 3 2" xfId="6482"/>
    <cellStyle name="计算 9 4 2 3 2 2" xfId="30932"/>
    <cellStyle name="计算 9 4 2 3 2 3" xfId="42738"/>
    <cellStyle name="计算 9 4 2 3 3" xfId="30931"/>
    <cellStyle name="计算 9 4 2 3 4" xfId="42737"/>
    <cellStyle name="计算 9 4 2 4" xfId="20917"/>
    <cellStyle name="计算 9 4 2 4 2" xfId="30933"/>
    <cellStyle name="计算 9 4 2 4 3" xfId="42739"/>
    <cellStyle name="计算 9 4 2 5" xfId="30928"/>
    <cellStyle name="计算 9 4 2 6" xfId="42734"/>
    <cellStyle name="计算 9 4 3" xfId="13692"/>
    <cellStyle name="计算 9 4 3 2" xfId="6483"/>
    <cellStyle name="计算 9 4 3 2 2" xfId="30935"/>
    <cellStyle name="计算 9 4 3 2 3" xfId="42741"/>
    <cellStyle name="计算 9 4 3 3" xfId="30934"/>
    <cellStyle name="计算 9 4 3 4" xfId="42740"/>
    <cellStyle name="计算 9 4 4" xfId="13693"/>
    <cellStyle name="计算 9 4 4 2" xfId="6484"/>
    <cellStyle name="计算 9 4 4 2 2" xfId="30937"/>
    <cellStyle name="计算 9 4 4 2 3" xfId="42743"/>
    <cellStyle name="计算 9 4 4 3" xfId="30936"/>
    <cellStyle name="计算 9 4 4 4" xfId="42742"/>
    <cellStyle name="计算 9 4 5" xfId="30938"/>
    <cellStyle name="计算 9 4 5 2" xfId="42744"/>
    <cellStyle name="计算 9 4 6" xfId="30927"/>
    <cellStyle name="计算 9 4 7" xfId="42733"/>
    <cellStyle name="计算 9 5" xfId="9770"/>
    <cellStyle name="计算 9 5 2" xfId="13694"/>
    <cellStyle name="计算 9 5 2 2" xfId="13695"/>
    <cellStyle name="计算 9 5 2 2 2" xfId="6488"/>
    <cellStyle name="计算 9 5 2 2 2 2" xfId="30942"/>
    <cellStyle name="计算 9 5 2 2 2 3" xfId="42748"/>
    <cellStyle name="计算 9 5 2 2 3" xfId="30941"/>
    <cellStyle name="计算 9 5 2 2 4" xfId="42747"/>
    <cellStyle name="计算 9 5 2 3" xfId="13696"/>
    <cellStyle name="计算 9 5 2 3 2" xfId="18603"/>
    <cellStyle name="计算 9 5 2 3 2 2" xfId="30944"/>
    <cellStyle name="计算 9 5 2 3 2 3" xfId="42750"/>
    <cellStyle name="计算 9 5 2 3 3" xfId="30943"/>
    <cellStyle name="计算 9 5 2 3 4" xfId="42749"/>
    <cellStyle name="计算 9 5 2 4" xfId="6485"/>
    <cellStyle name="计算 9 5 2 4 2" xfId="30945"/>
    <cellStyle name="计算 9 5 2 4 3" xfId="42751"/>
    <cellStyle name="计算 9 5 2 5" xfId="30940"/>
    <cellStyle name="计算 9 5 2 6" xfId="42746"/>
    <cellStyle name="计算 9 5 3" xfId="13697"/>
    <cellStyle name="计算 9 5 3 2" xfId="6490"/>
    <cellStyle name="计算 9 5 3 2 2" xfId="30947"/>
    <cellStyle name="计算 9 5 3 2 3" xfId="42753"/>
    <cellStyle name="计算 9 5 3 3" xfId="30946"/>
    <cellStyle name="计算 9 5 3 4" xfId="42752"/>
    <cellStyle name="计算 9 5 4" xfId="13698"/>
    <cellStyle name="计算 9 5 4 2" xfId="6491"/>
    <cellStyle name="计算 9 5 4 2 2" xfId="30949"/>
    <cellStyle name="计算 9 5 4 2 3" xfId="42755"/>
    <cellStyle name="计算 9 5 4 3" xfId="30948"/>
    <cellStyle name="计算 9 5 4 4" xfId="42754"/>
    <cellStyle name="计算 9 5 5" xfId="30950"/>
    <cellStyle name="计算 9 5 5 2" xfId="42756"/>
    <cellStyle name="计算 9 5 6" xfId="30939"/>
    <cellStyle name="计算 9 5 7" xfId="42745"/>
    <cellStyle name="计算 9 6" xfId="13699"/>
    <cellStyle name="计算 9 6 2" xfId="13700"/>
    <cellStyle name="计算 9 6 2 2" xfId="6497"/>
    <cellStyle name="计算 9 6 2 2 2" xfId="30953"/>
    <cellStyle name="计算 9 6 2 2 3" xfId="42759"/>
    <cellStyle name="计算 9 6 2 3" xfId="30952"/>
    <cellStyle name="计算 9 6 2 4" xfId="42758"/>
    <cellStyle name="计算 9 6 3" xfId="13701"/>
    <cellStyle name="计算 9 6 3 2" xfId="6498"/>
    <cellStyle name="计算 9 6 3 2 2" xfId="30955"/>
    <cellStyle name="计算 9 6 3 2 3" xfId="42761"/>
    <cellStyle name="计算 9 6 3 3" xfId="30954"/>
    <cellStyle name="计算 9 6 3 4" xfId="42760"/>
    <cellStyle name="计算 9 6 4" xfId="6495"/>
    <cellStyle name="计算 9 6 4 2" xfId="30956"/>
    <cellStyle name="计算 9 6 4 3" xfId="42762"/>
    <cellStyle name="计算 9 6 5" xfId="30951"/>
    <cellStyle name="计算 9 6 6" xfId="42757"/>
    <cellStyle name="计算 9 7" xfId="13702"/>
    <cellStyle name="计算 9 7 2" xfId="20915"/>
    <cellStyle name="计算 9 7 2 2" xfId="30958"/>
    <cellStyle name="计算 9 7 2 3" xfId="42764"/>
    <cellStyle name="计算 9 7 3" xfId="30957"/>
    <cellStyle name="计算 9 7 4" xfId="42763"/>
    <cellStyle name="计算 9 8" xfId="13703"/>
    <cellStyle name="计算 9 8 2" xfId="6499"/>
    <cellStyle name="计算 9 8 2 2" xfId="30960"/>
    <cellStyle name="计算 9 8 2 3" xfId="42766"/>
    <cellStyle name="计算 9 8 3" xfId="30959"/>
    <cellStyle name="计算 9 8 4" xfId="42765"/>
    <cellStyle name="计算 9 9" xfId="30961"/>
    <cellStyle name="计算 9 9 2" xfId="42767"/>
    <cellStyle name="計算" xfId="5181"/>
    <cellStyle name="計算 10" xfId="30963"/>
    <cellStyle name="計算 10 2" xfId="42769"/>
    <cellStyle name="計算 11" xfId="30962"/>
    <cellStyle name="計算 12" xfId="42768"/>
    <cellStyle name="計算 2" xfId="125"/>
    <cellStyle name="計算 2 10" xfId="9772"/>
    <cellStyle name="計算 2 10 2" xfId="30966"/>
    <cellStyle name="計算 2 10 2 2" xfId="42772"/>
    <cellStyle name="計算 2 10 3" xfId="30965"/>
    <cellStyle name="計算 2 10 4" xfId="42771"/>
    <cellStyle name="計算 2 11" xfId="30967"/>
    <cellStyle name="計算 2 11 2" xfId="42773"/>
    <cellStyle name="計算 2 12" xfId="30968"/>
    <cellStyle name="計算 2 12 2" xfId="42774"/>
    <cellStyle name="計算 2 13" xfId="30964"/>
    <cellStyle name="計算 2 14" xfId="42770"/>
    <cellStyle name="計算 2 15" xfId="5182"/>
    <cellStyle name="計算 2 2" xfId="5183"/>
    <cellStyle name="計算 2 2 2" xfId="9774"/>
    <cellStyle name="計算 2 2 2 2" xfId="13704"/>
    <cellStyle name="計算 2 2 2 2 2" xfId="13705"/>
    <cellStyle name="計算 2 2 2 2 2 2" xfId="6517"/>
    <cellStyle name="計算 2 2 2 2 2 2 2" xfId="30973"/>
    <cellStyle name="計算 2 2 2 2 2 2 3" xfId="42779"/>
    <cellStyle name="計算 2 2 2 2 2 3" xfId="30972"/>
    <cellStyle name="計算 2 2 2 2 2 4" xfId="42778"/>
    <cellStyle name="計算 2 2 2 2 3" xfId="6505"/>
    <cellStyle name="計算 2 2 2 2 3 2" xfId="30974"/>
    <cellStyle name="計算 2 2 2 2 3 3" xfId="42780"/>
    <cellStyle name="計算 2 2 2 2 4" xfId="30971"/>
    <cellStyle name="計算 2 2 2 2 5" xfId="42777"/>
    <cellStyle name="計算 2 2 2 3" xfId="13706"/>
    <cellStyle name="計算 2 2 2 3 2" xfId="6528"/>
    <cellStyle name="計算 2 2 2 3 2 2" xfId="30976"/>
    <cellStyle name="計算 2 2 2 3 2 3" xfId="42782"/>
    <cellStyle name="計算 2 2 2 3 3" xfId="30975"/>
    <cellStyle name="計算 2 2 2 3 4" xfId="42781"/>
    <cellStyle name="計算 2 2 2 4" xfId="30977"/>
    <cellStyle name="計算 2 2 2 4 2" xfId="42783"/>
    <cellStyle name="計算 2 2 2 5" xfId="30970"/>
    <cellStyle name="計算 2 2 2 6" xfId="42776"/>
    <cellStyle name="計算 2 2 3" xfId="13707"/>
    <cellStyle name="計算 2 2 3 2" xfId="13708"/>
    <cellStyle name="計算 2 2 3 2 2" xfId="20914"/>
    <cellStyle name="計算 2 2 3 2 2 2" xfId="30980"/>
    <cellStyle name="計算 2 2 3 2 2 3" xfId="42786"/>
    <cellStyle name="計算 2 2 3 2 3" xfId="30979"/>
    <cellStyle name="計算 2 2 3 2 4" xfId="42785"/>
    <cellStyle name="計算 2 2 3 3" xfId="13709"/>
    <cellStyle name="計算 2 2 3 3 2" xfId="6552"/>
    <cellStyle name="計算 2 2 3 3 2 2" xfId="30982"/>
    <cellStyle name="計算 2 2 3 3 2 3" xfId="42788"/>
    <cellStyle name="計算 2 2 3 3 3" xfId="30981"/>
    <cellStyle name="計算 2 2 3 3 4" xfId="42787"/>
    <cellStyle name="計算 2 2 3 4" xfId="6530"/>
    <cellStyle name="計算 2 2 3 4 2" xfId="30983"/>
    <cellStyle name="計算 2 2 3 4 3" xfId="42789"/>
    <cellStyle name="計算 2 2 3 5" xfId="30978"/>
    <cellStyle name="計算 2 2 3 6" xfId="42784"/>
    <cellStyle name="計算 2 2 4" xfId="13710"/>
    <cellStyle name="計算 2 2 4 2" xfId="6568"/>
    <cellStyle name="計算 2 2 4 2 2" xfId="30985"/>
    <cellStyle name="計算 2 2 4 2 3" xfId="42791"/>
    <cellStyle name="計算 2 2 4 3" xfId="30984"/>
    <cellStyle name="計算 2 2 4 4" xfId="42790"/>
    <cellStyle name="計算 2 2 5" xfId="13711"/>
    <cellStyle name="計算 2 2 5 2" xfId="6581"/>
    <cellStyle name="計算 2 2 5 2 2" xfId="30987"/>
    <cellStyle name="計算 2 2 5 2 3" xfId="42793"/>
    <cellStyle name="計算 2 2 5 3" xfId="30986"/>
    <cellStyle name="計算 2 2 5 4" xfId="42792"/>
    <cellStyle name="計算 2 2 6" xfId="9773"/>
    <cellStyle name="計算 2 2 6 2" xfId="30989"/>
    <cellStyle name="計算 2 2 6 2 2" xfId="42795"/>
    <cellStyle name="計算 2 2 6 3" xfId="30988"/>
    <cellStyle name="計算 2 2 6 4" xfId="42794"/>
    <cellStyle name="計算 2 2 7" xfId="30990"/>
    <cellStyle name="計算 2 2 7 2" xfId="42796"/>
    <cellStyle name="計算 2 2 8" xfId="30969"/>
    <cellStyle name="計算 2 2 9" xfId="42775"/>
    <cellStyle name="計算 2 3" xfId="5184"/>
    <cellStyle name="計算 2 3 2" xfId="13712"/>
    <cellStyle name="計算 2 3 2 2" xfId="13713"/>
    <cellStyle name="計算 2 3 2 2 2" xfId="6660"/>
    <cellStyle name="計算 2 3 2 2 2 2" xfId="30994"/>
    <cellStyle name="計算 2 3 2 2 2 3" xfId="42800"/>
    <cellStyle name="計算 2 3 2 2 3" xfId="30993"/>
    <cellStyle name="計算 2 3 2 2 4" xfId="42799"/>
    <cellStyle name="計算 2 3 2 3" xfId="13714"/>
    <cellStyle name="計算 2 3 2 3 2" xfId="6664"/>
    <cellStyle name="計算 2 3 2 3 2 2" xfId="30996"/>
    <cellStyle name="計算 2 3 2 3 2 3" xfId="42802"/>
    <cellStyle name="計算 2 3 2 3 3" xfId="30995"/>
    <cellStyle name="計算 2 3 2 3 4" xfId="42801"/>
    <cellStyle name="計算 2 3 2 4" xfId="6647"/>
    <cellStyle name="計算 2 3 2 4 2" xfId="30997"/>
    <cellStyle name="計算 2 3 2 4 3" xfId="42803"/>
    <cellStyle name="計算 2 3 2 5" xfId="30992"/>
    <cellStyle name="計算 2 3 2 6" xfId="42798"/>
    <cellStyle name="計算 2 3 3" xfId="13715"/>
    <cellStyle name="計算 2 3 3 2" xfId="6689"/>
    <cellStyle name="計算 2 3 3 2 2" xfId="30999"/>
    <cellStyle name="計算 2 3 3 2 3" xfId="42805"/>
    <cellStyle name="計算 2 3 3 3" xfId="30998"/>
    <cellStyle name="計算 2 3 3 4" xfId="42804"/>
    <cellStyle name="計算 2 3 4" xfId="13716"/>
    <cellStyle name="計算 2 3 4 2" xfId="6690"/>
    <cellStyle name="計算 2 3 4 2 2" xfId="31001"/>
    <cellStyle name="計算 2 3 4 2 3" xfId="42807"/>
    <cellStyle name="計算 2 3 4 3" xfId="31000"/>
    <cellStyle name="計算 2 3 4 4" xfId="42806"/>
    <cellStyle name="計算 2 3 5" xfId="9775"/>
    <cellStyle name="計算 2 3 5 2" xfId="31002"/>
    <cellStyle name="計算 2 3 5 3" xfId="42808"/>
    <cellStyle name="計算 2 3 6" xfId="30991"/>
    <cellStyle name="計算 2 3 7" xfId="42797"/>
    <cellStyle name="計算 2 4" xfId="9776"/>
    <cellStyle name="計算 2 4 2" xfId="13717"/>
    <cellStyle name="計算 2 4 2 2" xfId="13718"/>
    <cellStyle name="計算 2 4 2 2 2" xfId="6693"/>
    <cellStyle name="計算 2 4 2 2 2 2" xfId="31006"/>
    <cellStyle name="計算 2 4 2 2 2 3" xfId="42812"/>
    <cellStyle name="計算 2 4 2 2 3" xfId="31005"/>
    <cellStyle name="計算 2 4 2 2 4" xfId="42811"/>
    <cellStyle name="計算 2 4 2 3" xfId="13719"/>
    <cellStyle name="計算 2 4 2 3 2" xfId="20913"/>
    <cellStyle name="計算 2 4 2 3 2 2" xfId="31008"/>
    <cellStyle name="計算 2 4 2 3 2 3" xfId="42814"/>
    <cellStyle name="計算 2 4 2 3 3" xfId="31007"/>
    <cellStyle name="計算 2 4 2 3 4" xfId="42813"/>
    <cellStyle name="計算 2 4 2 4" xfId="6691"/>
    <cellStyle name="計算 2 4 2 4 2" xfId="31009"/>
    <cellStyle name="計算 2 4 2 4 3" xfId="42815"/>
    <cellStyle name="計算 2 4 2 5" xfId="31004"/>
    <cellStyle name="計算 2 4 2 6" xfId="42810"/>
    <cellStyle name="計算 2 4 3" xfId="13720"/>
    <cellStyle name="計算 2 4 3 2" xfId="20912"/>
    <cellStyle name="計算 2 4 3 2 2" xfId="31011"/>
    <cellStyle name="計算 2 4 3 2 3" xfId="42817"/>
    <cellStyle name="計算 2 4 3 3" xfId="31010"/>
    <cellStyle name="計算 2 4 3 4" xfId="42816"/>
    <cellStyle name="計算 2 4 4" xfId="13721"/>
    <cellStyle name="計算 2 4 4 2" xfId="6697"/>
    <cellStyle name="計算 2 4 4 2 2" xfId="31013"/>
    <cellStyle name="計算 2 4 4 2 3" xfId="42819"/>
    <cellStyle name="計算 2 4 4 3" xfId="31012"/>
    <cellStyle name="計算 2 4 4 4" xfId="42818"/>
    <cellStyle name="計算 2 4 5" xfId="31014"/>
    <cellStyle name="計算 2 4 5 2" xfId="42820"/>
    <cellStyle name="計算 2 4 6" xfId="31003"/>
    <cellStyle name="計算 2 4 7" xfId="42809"/>
    <cellStyle name="計算 2 5" xfId="9777"/>
    <cellStyle name="計算 2 5 2" xfId="13722"/>
    <cellStyle name="計算 2 5 2 2" xfId="13723"/>
    <cellStyle name="計算 2 5 2 2 2" xfId="6701"/>
    <cellStyle name="計算 2 5 2 2 2 2" xfId="31018"/>
    <cellStyle name="計算 2 5 2 2 2 3" xfId="42824"/>
    <cellStyle name="計算 2 5 2 2 3" xfId="31017"/>
    <cellStyle name="計算 2 5 2 2 4" xfId="42823"/>
    <cellStyle name="計算 2 5 2 3" xfId="13724"/>
    <cellStyle name="計算 2 5 2 3 2" xfId="6704"/>
    <cellStyle name="計算 2 5 2 3 2 2" xfId="31020"/>
    <cellStyle name="計算 2 5 2 3 2 3" xfId="42826"/>
    <cellStyle name="計算 2 5 2 3 3" xfId="31019"/>
    <cellStyle name="計算 2 5 2 3 4" xfId="42825"/>
    <cellStyle name="計算 2 5 2 4" xfId="6700"/>
    <cellStyle name="計算 2 5 2 4 2" xfId="31021"/>
    <cellStyle name="計算 2 5 2 4 3" xfId="42827"/>
    <cellStyle name="計算 2 5 2 5" xfId="31016"/>
    <cellStyle name="計算 2 5 2 6" xfId="42822"/>
    <cellStyle name="計算 2 5 3" xfId="13725"/>
    <cellStyle name="計算 2 5 3 2" xfId="6707"/>
    <cellStyle name="計算 2 5 3 2 2" xfId="31023"/>
    <cellStyle name="計算 2 5 3 2 3" xfId="42829"/>
    <cellStyle name="計算 2 5 3 3" xfId="31022"/>
    <cellStyle name="計算 2 5 3 4" xfId="42828"/>
    <cellStyle name="計算 2 5 4" xfId="13726"/>
    <cellStyle name="計算 2 5 4 2" xfId="20911"/>
    <cellStyle name="計算 2 5 4 2 2" xfId="31025"/>
    <cellStyle name="計算 2 5 4 2 3" xfId="42831"/>
    <cellStyle name="計算 2 5 4 3" xfId="31024"/>
    <cellStyle name="計算 2 5 4 4" xfId="42830"/>
    <cellStyle name="計算 2 5 5" xfId="31026"/>
    <cellStyle name="計算 2 5 5 2" xfId="42832"/>
    <cellStyle name="計算 2 5 6" xfId="31015"/>
    <cellStyle name="計算 2 5 7" xfId="42821"/>
    <cellStyle name="計算 2 6" xfId="9778"/>
    <cellStyle name="計算 2 6 2" xfId="13727"/>
    <cellStyle name="計算 2 6 2 2" xfId="13728"/>
    <cellStyle name="計算 2 6 2 2 2" xfId="19404"/>
    <cellStyle name="計算 2 6 2 2 2 2" xfId="31030"/>
    <cellStyle name="計算 2 6 2 2 2 3" xfId="42836"/>
    <cellStyle name="計算 2 6 2 2 3" xfId="31029"/>
    <cellStyle name="計算 2 6 2 2 4" xfId="42835"/>
    <cellStyle name="計算 2 6 2 3" xfId="6709"/>
    <cellStyle name="計算 2 6 2 3 2" xfId="31031"/>
    <cellStyle name="計算 2 6 2 3 3" xfId="42837"/>
    <cellStyle name="計算 2 6 2 4" xfId="31028"/>
    <cellStyle name="計算 2 6 2 5" xfId="42834"/>
    <cellStyle name="計算 2 6 3" xfId="13729"/>
    <cellStyle name="計算 2 6 3 2" xfId="6733"/>
    <cellStyle name="計算 2 6 3 2 2" xfId="31033"/>
    <cellStyle name="計算 2 6 3 2 3" xfId="42839"/>
    <cellStyle name="計算 2 6 3 3" xfId="31032"/>
    <cellStyle name="計算 2 6 3 4" xfId="42838"/>
    <cellStyle name="計算 2 6 4" xfId="31034"/>
    <cellStyle name="計算 2 6 4 2" xfId="42840"/>
    <cellStyle name="計算 2 6 5" xfId="31027"/>
    <cellStyle name="計算 2 6 6" xfId="42833"/>
    <cellStyle name="計算 2 7" xfId="13730"/>
    <cellStyle name="計算 2 7 2" xfId="13731"/>
    <cellStyle name="計算 2 7 2 2" xfId="6738"/>
    <cellStyle name="計算 2 7 2 2 2" xfId="31037"/>
    <cellStyle name="計算 2 7 2 2 3" xfId="42843"/>
    <cellStyle name="計算 2 7 2 3" xfId="31036"/>
    <cellStyle name="計算 2 7 2 4" xfId="42842"/>
    <cellStyle name="計算 2 7 3" xfId="13732"/>
    <cellStyle name="計算 2 7 3 2" xfId="18602"/>
    <cellStyle name="計算 2 7 3 2 2" xfId="31039"/>
    <cellStyle name="計算 2 7 3 2 3" xfId="42845"/>
    <cellStyle name="計算 2 7 3 3" xfId="31038"/>
    <cellStyle name="計算 2 7 3 4" xfId="42844"/>
    <cellStyle name="計算 2 7 4" xfId="6737"/>
    <cellStyle name="計算 2 7 4 2" xfId="31040"/>
    <cellStyle name="計算 2 7 4 3" xfId="42846"/>
    <cellStyle name="計算 2 7 5" xfId="31035"/>
    <cellStyle name="計算 2 7 6" xfId="42841"/>
    <cellStyle name="計算 2 8" xfId="13733"/>
    <cellStyle name="計算 2 8 2" xfId="6746"/>
    <cellStyle name="計算 2 8 2 2" xfId="31042"/>
    <cellStyle name="計算 2 8 2 3" xfId="42848"/>
    <cellStyle name="計算 2 8 3" xfId="31041"/>
    <cellStyle name="計算 2 8 4" xfId="42847"/>
    <cellStyle name="計算 2 9" xfId="13734"/>
    <cellStyle name="計算 2 9 2" xfId="6747"/>
    <cellStyle name="計算 2 9 2 2" xfId="31044"/>
    <cellStyle name="計算 2 9 2 3" xfId="42850"/>
    <cellStyle name="計算 2 9 3" xfId="31043"/>
    <cellStyle name="計算 2 9 4" xfId="42849"/>
    <cellStyle name="計算 3" xfId="5185"/>
    <cellStyle name="計算 3 10" xfId="9779"/>
    <cellStyle name="計算 3 10 2" xfId="31047"/>
    <cellStyle name="計算 3 10 2 2" xfId="42852"/>
    <cellStyle name="計算 3 10 3" xfId="31046"/>
    <cellStyle name="計算 3 10 4" xfId="42851"/>
    <cellStyle name="計算 3 11" xfId="31048"/>
    <cellStyle name="計算 3 11 2" xfId="42853"/>
    <cellStyle name="計算 3 12" xfId="31049"/>
    <cellStyle name="計算 3 12 2" xfId="42854"/>
    <cellStyle name="計算 3 13" xfId="31045"/>
    <cellStyle name="計算 3 14" xfId="61049"/>
    <cellStyle name="計算 3 2" xfId="5186"/>
    <cellStyle name="計算 3 2 2" xfId="5187"/>
    <cellStyle name="計算 3 2 2 2" xfId="13736"/>
    <cellStyle name="計算 3 2 2 2 2" xfId="6749"/>
    <cellStyle name="計算 3 2 2 2 2 2" xfId="31053"/>
    <cellStyle name="計算 3 2 2 2 2 3" xfId="42856"/>
    <cellStyle name="計算 3 2 2 2 3" xfId="31052"/>
    <cellStyle name="計算 3 2 2 2 4" xfId="42855"/>
    <cellStyle name="計算 3 2 2 3" xfId="13737"/>
    <cellStyle name="計算 3 2 2 3 2" xfId="6750"/>
    <cellStyle name="計算 3 2 2 3 2 2" xfId="31055"/>
    <cellStyle name="計算 3 2 2 3 2 3" xfId="42858"/>
    <cellStyle name="計算 3 2 2 3 3" xfId="31054"/>
    <cellStyle name="計算 3 2 2 3 4" xfId="42857"/>
    <cellStyle name="計算 3 2 2 4" xfId="13735"/>
    <cellStyle name="計算 3 2 2 4 2" xfId="31056"/>
    <cellStyle name="計算 3 2 2 4 3" xfId="42859"/>
    <cellStyle name="計算 3 2 2 5" xfId="6748"/>
    <cellStyle name="計算 3 2 2 6" xfId="31051"/>
    <cellStyle name="計算 3 2 3" xfId="5188"/>
    <cellStyle name="計算 3 2 3 2" xfId="13738"/>
    <cellStyle name="計算 3 2 3 2 2" xfId="31058"/>
    <cellStyle name="計算 3 2 3 2 2 2" xfId="60128"/>
    <cellStyle name="計算 3 2 3 2 2 3" xfId="60129"/>
    <cellStyle name="計算 3 2 3 2 3" xfId="42860"/>
    <cellStyle name="計算 3 2 3 2 4" xfId="60130"/>
    <cellStyle name="計算 3 2 3 3" xfId="18601"/>
    <cellStyle name="計算 3 2 3 3 2" xfId="60131"/>
    <cellStyle name="計算 3 2 3 3 3" xfId="60132"/>
    <cellStyle name="計算 3 2 3 4" xfId="31057"/>
    <cellStyle name="計算 3 2 3 5" xfId="60133"/>
    <cellStyle name="計算 3 2 4" xfId="13739"/>
    <cellStyle name="計算 3 2 4 2" xfId="6751"/>
    <cellStyle name="計算 3 2 4 2 2" xfId="31060"/>
    <cellStyle name="計算 3 2 4 2 3" xfId="42862"/>
    <cellStyle name="計算 3 2 4 3" xfId="31059"/>
    <cellStyle name="計算 3 2 4 4" xfId="42861"/>
    <cellStyle name="計算 3 2 5" xfId="9780"/>
    <cellStyle name="計算 3 2 5 2" xfId="31061"/>
    <cellStyle name="計算 3 2 5 3" xfId="42863"/>
    <cellStyle name="計算 3 2 6" xfId="31050"/>
    <cellStyle name="計算 3 2 7" xfId="61050"/>
    <cellStyle name="計算 3 3" xfId="5189"/>
    <cellStyle name="計算 3 3 2" xfId="13740"/>
    <cellStyle name="計算 3 3 2 2" xfId="13741"/>
    <cellStyle name="計算 3 3 2 2 2" xfId="6753"/>
    <cellStyle name="計算 3 3 2 2 2 2" xfId="31065"/>
    <cellStyle name="計算 3 3 2 2 2 3" xfId="42866"/>
    <cellStyle name="計算 3 3 2 2 3" xfId="31064"/>
    <cellStyle name="計算 3 3 2 2 4" xfId="42865"/>
    <cellStyle name="計算 3 3 2 3" xfId="13742"/>
    <cellStyle name="計算 3 3 2 3 2" xfId="6754"/>
    <cellStyle name="計算 3 3 2 3 2 2" xfId="31067"/>
    <cellStyle name="計算 3 3 2 3 2 3" xfId="42868"/>
    <cellStyle name="計算 3 3 2 3 3" xfId="31066"/>
    <cellStyle name="計算 3 3 2 3 4" xfId="42867"/>
    <cellStyle name="計算 3 3 2 4" xfId="6752"/>
    <cellStyle name="計算 3 3 2 4 2" xfId="31068"/>
    <cellStyle name="計算 3 3 2 4 3" xfId="42869"/>
    <cellStyle name="計算 3 3 2 5" xfId="31063"/>
    <cellStyle name="計算 3 3 2 6" xfId="42864"/>
    <cellStyle name="計算 3 3 3" xfId="13743"/>
    <cellStyle name="計算 3 3 3 2" xfId="6755"/>
    <cellStyle name="計算 3 3 3 2 2" xfId="31070"/>
    <cellStyle name="計算 3 3 3 2 3" xfId="42871"/>
    <cellStyle name="計算 3 3 3 3" xfId="31069"/>
    <cellStyle name="計算 3 3 3 4" xfId="42870"/>
    <cellStyle name="計算 3 3 4" xfId="13744"/>
    <cellStyle name="計算 3 3 4 2" xfId="6756"/>
    <cellStyle name="計算 3 3 4 2 2" xfId="31072"/>
    <cellStyle name="計算 3 3 4 2 3" xfId="42873"/>
    <cellStyle name="計算 3 3 4 3" xfId="31071"/>
    <cellStyle name="計算 3 3 4 4" xfId="42872"/>
    <cellStyle name="計算 3 3 5" xfId="9781"/>
    <cellStyle name="計算 3 3 5 2" xfId="31073"/>
    <cellStyle name="計算 3 3 5 3" xfId="42874"/>
    <cellStyle name="計算 3 3 6" xfId="31062"/>
    <cellStyle name="計算 3 4" xfId="5190"/>
    <cellStyle name="計算 3 4 2" xfId="13745"/>
    <cellStyle name="計算 3 4 2 2" xfId="13746"/>
    <cellStyle name="計算 3 4 2 2 2" xfId="6758"/>
    <cellStyle name="計算 3 4 2 2 2 2" xfId="31077"/>
    <cellStyle name="計算 3 4 2 2 2 3" xfId="42877"/>
    <cellStyle name="計算 3 4 2 2 3" xfId="31076"/>
    <cellStyle name="計算 3 4 2 2 4" xfId="42876"/>
    <cellStyle name="計算 3 4 2 3" xfId="13747"/>
    <cellStyle name="計算 3 4 2 3 2" xfId="6759"/>
    <cellStyle name="計算 3 4 2 3 2 2" xfId="31079"/>
    <cellStyle name="計算 3 4 2 3 2 3" xfId="42879"/>
    <cellStyle name="計算 3 4 2 3 3" xfId="31078"/>
    <cellStyle name="計算 3 4 2 3 4" xfId="42878"/>
    <cellStyle name="計算 3 4 2 4" xfId="6757"/>
    <cellStyle name="計算 3 4 2 4 2" xfId="31080"/>
    <cellStyle name="計算 3 4 2 4 3" xfId="42880"/>
    <cellStyle name="計算 3 4 2 5" xfId="31075"/>
    <cellStyle name="計算 3 4 2 6" xfId="42875"/>
    <cellStyle name="計算 3 4 3" xfId="13748"/>
    <cellStyle name="計算 3 4 3 2" xfId="6760"/>
    <cellStyle name="計算 3 4 3 2 2" xfId="31082"/>
    <cellStyle name="計算 3 4 3 2 3" xfId="42882"/>
    <cellStyle name="計算 3 4 3 3" xfId="31081"/>
    <cellStyle name="計算 3 4 3 4" xfId="42881"/>
    <cellStyle name="計算 3 4 4" xfId="13749"/>
    <cellStyle name="計算 3 4 4 2" xfId="20910"/>
    <cellStyle name="計算 3 4 4 2 2" xfId="31084"/>
    <cellStyle name="計算 3 4 4 2 3" xfId="42884"/>
    <cellStyle name="計算 3 4 4 3" xfId="31083"/>
    <cellStyle name="計算 3 4 4 4" xfId="42883"/>
    <cellStyle name="計算 3 4 5" xfId="9782"/>
    <cellStyle name="計算 3 4 5 2" xfId="31085"/>
    <cellStyle name="計算 3 4 5 3" xfId="42885"/>
    <cellStyle name="計算 3 4 6" xfId="31074"/>
    <cellStyle name="計算 3 5" xfId="9783"/>
    <cellStyle name="計算 3 5 2" xfId="13750"/>
    <cellStyle name="計算 3 5 2 2" xfId="13751"/>
    <cellStyle name="計算 3 5 2 2 2" xfId="20908"/>
    <cellStyle name="計算 3 5 2 2 2 2" xfId="31089"/>
    <cellStyle name="計算 3 5 2 2 2 3" xfId="42889"/>
    <cellStyle name="計算 3 5 2 2 3" xfId="31088"/>
    <cellStyle name="計算 3 5 2 2 4" xfId="42888"/>
    <cellStyle name="計算 3 5 2 3" xfId="13752"/>
    <cellStyle name="計算 3 5 2 3 2" xfId="6761"/>
    <cellStyle name="計算 3 5 2 3 2 2" xfId="31091"/>
    <cellStyle name="計算 3 5 2 3 2 3" xfId="42891"/>
    <cellStyle name="計算 3 5 2 3 3" xfId="31090"/>
    <cellStyle name="計算 3 5 2 3 4" xfId="42890"/>
    <cellStyle name="計算 3 5 2 4" xfId="20909"/>
    <cellStyle name="計算 3 5 2 4 2" xfId="31092"/>
    <cellStyle name="計算 3 5 2 4 3" xfId="42892"/>
    <cellStyle name="計算 3 5 2 5" xfId="31087"/>
    <cellStyle name="計算 3 5 2 6" xfId="42887"/>
    <cellStyle name="計算 3 5 3" xfId="13753"/>
    <cellStyle name="計算 3 5 3 2" xfId="6762"/>
    <cellStyle name="計算 3 5 3 2 2" xfId="31094"/>
    <cellStyle name="計算 3 5 3 2 3" xfId="42894"/>
    <cellStyle name="計算 3 5 3 3" xfId="31093"/>
    <cellStyle name="計算 3 5 3 4" xfId="42893"/>
    <cellStyle name="計算 3 5 4" xfId="13754"/>
    <cellStyle name="計算 3 5 4 2" xfId="6763"/>
    <cellStyle name="計算 3 5 4 2 2" xfId="31096"/>
    <cellStyle name="計算 3 5 4 2 3" xfId="42896"/>
    <cellStyle name="計算 3 5 4 3" xfId="31095"/>
    <cellStyle name="計算 3 5 4 4" xfId="42895"/>
    <cellStyle name="計算 3 5 5" xfId="31097"/>
    <cellStyle name="計算 3 5 5 2" xfId="42897"/>
    <cellStyle name="計算 3 5 6" xfId="31086"/>
    <cellStyle name="計算 3 5 7" xfId="42886"/>
    <cellStyle name="計算 3 6" xfId="9784"/>
    <cellStyle name="計算 3 6 2" xfId="13755"/>
    <cellStyle name="計算 3 6 2 2" xfId="13756"/>
    <cellStyle name="計算 3 6 2 2 2" xfId="6765"/>
    <cellStyle name="計算 3 6 2 2 2 2" xfId="31101"/>
    <cellStyle name="計算 3 6 2 2 2 3" xfId="42901"/>
    <cellStyle name="計算 3 6 2 2 3" xfId="31100"/>
    <cellStyle name="計算 3 6 2 2 4" xfId="42900"/>
    <cellStyle name="計算 3 6 2 3" xfId="6764"/>
    <cellStyle name="計算 3 6 2 3 2" xfId="31102"/>
    <cellStyle name="計算 3 6 2 3 3" xfId="42902"/>
    <cellStyle name="計算 3 6 2 4" xfId="31099"/>
    <cellStyle name="計算 3 6 2 5" xfId="42899"/>
    <cellStyle name="計算 3 6 3" xfId="13757"/>
    <cellStyle name="計算 3 6 3 2" xfId="20907"/>
    <cellStyle name="計算 3 6 3 2 2" xfId="31104"/>
    <cellStyle name="計算 3 6 3 2 3" xfId="42904"/>
    <cellStyle name="計算 3 6 3 3" xfId="31103"/>
    <cellStyle name="計算 3 6 3 4" xfId="42903"/>
    <cellStyle name="計算 3 6 4" xfId="31105"/>
    <cellStyle name="計算 3 6 4 2" xfId="42905"/>
    <cellStyle name="計算 3 6 5" xfId="31098"/>
    <cellStyle name="計算 3 6 6" xfId="42898"/>
    <cellStyle name="計算 3 7" xfId="13758"/>
    <cellStyle name="計算 3 7 2" xfId="13759"/>
    <cellStyle name="計算 3 7 2 2" xfId="6767"/>
    <cellStyle name="計算 3 7 2 2 2" xfId="31108"/>
    <cellStyle name="計算 3 7 2 2 3" xfId="42908"/>
    <cellStyle name="計算 3 7 2 3" xfId="31107"/>
    <cellStyle name="計算 3 7 2 4" xfId="42907"/>
    <cellStyle name="計算 3 7 3" xfId="13760"/>
    <cellStyle name="計算 3 7 3 2" xfId="6768"/>
    <cellStyle name="計算 3 7 3 2 2" xfId="31110"/>
    <cellStyle name="計算 3 7 3 2 3" xfId="42910"/>
    <cellStyle name="計算 3 7 3 3" xfId="31109"/>
    <cellStyle name="計算 3 7 3 4" xfId="42909"/>
    <cellStyle name="計算 3 7 4" xfId="6766"/>
    <cellStyle name="計算 3 7 4 2" xfId="31111"/>
    <cellStyle name="計算 3 7 4 3" xfId="42911"/>
    <cellStyle name="計算 3 7 5" xfId="31106"/>
    <cellStyle name="計算 3 7 6" xfId="42906"/>
    <cellStyle name="計算 3 8" xfId="13761"/>
    <cellStyle name="計算 3 8 2" xfId="6769"/>
    <cellStyle name="計算 3 8 2 2" xfId="31113"/>
    <cellStyle name="計算 3 8 2 3" xfId="42913"/>
    <cellStyle name="計算 3 8 3" xfId="31112"/>
    <cellStyle name="計算 3 8 4" xfId="42912"/>
    <cellStyle name="計算 3 9" xfId="13762"/>
    <cellStyle name="計算 3 9 2" xfId="6770"/>
    <cellStyle name="計算 3 9 2 2" xfId="31115"/>
    <cellStyle name="計算 3 9 2 3" xfId="42915"/>
    <cellStyle name="計算 3 9 3" xfId="31114"/>
    <cellStyle name="計算 3 9 4" xfId="42914"/>
    <cellStyle name="計算 4" xfId="5191"/>
    <cellStyle name="計算 4 10" xfId="9785"/>
    <cellStyle name="計算 4 10 2" xfId="31118"/>
    <cellStyle name="計算 4 10 2 2" xfId="42917"/>
    <cellStyle name="計算 4 10 3" xfId="31117"/>
    <cellStyle name="計算 4 10 4" xfId="42916"/>
    <cellStyle name="計算 4 11" xfId="31119"/>
    <cellStyle name="計算 4 11 2" xfId="42918"/>
    <cellStyle name="計算 4 12" xfId="31116"/>
    <cellStyle name="計算 4 13" xfId="61051"/>
    <cellStyle name="計算 4 2" xfId="5192"/>
    <cellStyle name="計算 4 2 2" xfId="5193"/>
    <cellStyle name="計算 4 2 2 2" xfId="13764"/>
    <cellStyle name="計算 4 2 2 2 2" xfId="6771"/>
    <cellStyle name="計算 4 2 2 2 2 2" xfId="31123"/>
    <cellStyle name="計算 4 2 2 2 2 3" xfId="42920"/>
    <cellStyle name="計算 4 2 2 2 3" xfId="31122"/>
    <cellStyle name="計算 4 2 2 2 4" xfId="42919"/>
    <cellStyle name="計算 4 2 2 3" xfId="13765"/>
    <cellStyle name="計算 4 2 2 3 2" xfId="6772"/>
    <cellStyle name="計算 4 2 2 3 2 2" xfId="31125"/>
    <cellStyle name="計算 4 2 2 3 2 3" xfId="42922"/>
    <cellStyle name="計算 4 2 2 3 3" xfId="31124"/>
    <cellStyle name="計算 4 2 2 3 4" xfId="42921"/>
    <cellStyle name="計算 4 2 2 4" xfId="13763"/>
    <cellStyle name="計算 4 2 2 4 2" xfId="31126"/>
    <cellStyle name="計算 4 2 2 4 3" xfId="42923"/>
    <cellStyle name="計算 4 2 2 5" xfId="18600"/>
    <cellStyle name="計算 4 2 2 6" xfId="31121"/>
    <cellStyle name="計算 4 2 3" xfId="5194"/>
    <cellStyle name="計算 4 2 3 2" xfId="13766"/>
    <cellStyle name="計算 4 2 3 2 2" xfId="31128"/>
    <cellStyle name="計算 4 2 3 2 2 2" xfId="60134"/>
    <cellStyle name="計算 4 2 3 2 2 3" xfId="60135"/>
    <cellStyle name="計算 4 2 3 2 3" xfId="42924"/>
    <cellStyle name="計算 4 2 3 2 4" xfId="60136"/>
    <cellStyle name="計算 4 2 3 3" xfId="6773"/>
    <cellStyle name="計算 4 2 3 3 2" xfId="60137"/>
    <cellStyle name="計算 4 2 3 3 3" xfId="60138"/>
    <cellStyle name="計算 4 2 3 4" xfId="31127"/>
    <cellStyle name="計算 4 2 3 5" xfId="60139"/>
    <cellStyle name="計算 4 2 4" xfId="13767"/>
    <cellStyle name="計算 4 2 4 2" xfId="6774"/>
    <cellStyle name="計算 4 2 4 2 2" xfId="31130"/>
    <cellStyle name="計算 4 2 4 2 3" xfId="42926"/>
    <cellStyle name="計算 4 2 4 3" xfId="31129"/>
    <cellStyle name="計算 4 2 4 4" xfId="42925"/>
    <cellStyle name="計算 4 2 5" xfId="9786"/>
    <cellStyle name="計算 4 2 5 2" xfId="31131"/>
    <cellStyle name="計算 4 2 5 3" xfId="42927"/>
    <cellStyle name="計算 4 2 6" xfId="31120"/>
    <cellStyle name="計算 4 2 7" xfId="61052"/>
    <cellStyle name="計算 4 3" xfId="5195"/>
    <cellStyle name="計算 4 3 2" xfId="13768"/>
    <cellStyle name="計算 4 3 2 2" xfId="13769"/>
    <cellStyle name="計算 4 3 2 2 2" xfId="20906"/>
    <cellStyle name="計算 4 3 2 2 2 2" xfId="31135"/>
    <cellStyle name="計算 4 3 2 2 2 3" xfId="42930"/>
    <cellStyle name="計算 4 3 2 2 3" xfId="31134"/>
    <cellStyle name="計算 4 3 2 2 4" xfId="42929"/>
    <cellStyle name="計算 4 3 2 3" xfId="13770"/>
    <cellStyle name="計算 4 3 2 3 2" xfId="6776"/>
    <cellStyle name="計算 4 3 2 3 2 2" xfId="31137"/>
    <cellStyle name="計算 4 3 2 3 2 3" xfId="42932"/>
    <cellStyle name="計算 4 3 2 3 3" xfId="31136"/>
    <cellStyle name="計算 4 3 2 3 4" xfId="42931"/>
    <cellStyle name="計算 4 3 2 4" xfId="6775"/>
    <cellStyle name="計算 4 3 2 4 2" xfId="31138"/>
    <cellStyle name="計算 4 3 2 4 3" xfId="42933"/>
    <cellStyle name="計算 4 3 2 5" xfId="31133"/>
    <cellStyle name="計算 4 3 2 6" xfId="42928"/>
    <cellStyle name="計算 4 3 3" xfId="13771"/>
    <cellStyle name="計算 4 3 3 2" xfId="6777"/>
    <cellStyle name="計算 4 3 3 2 2" xfId="31140"/>
    <cellStyle name="計算 4 3 3 2 3" xfId="42935"/>
    <cellStyle name="計算 4 3 3 3" xfId="31139"/>
    <cellStyle name="計算 4 3 3 4" xfId="42934"/>
    <cellStyle name="計算 4 3 4" xfId="13772"/>
    <cellStyle name="計算 4 3 4 2" xfId="6778"/>
    <cellStyle name="計算 4 3 4 2 2" xfId="31142"/>
    <cellStyle name="計算 4 3 4 2 3" xfId="42937"/>
    <cellStyle name="計算 4 3 4 3" xfId="31141"/>
    <cellStyle name="計算 4 3 4 4" xfId="42936"/>
    <cellStyle name="計算 4 3 5" xfId="9787"/>
    <cellStyle name="計算 4 3 5 2" xfId="31143"/>
    <cellStyle name="計算 4 3 5 3" xfId="42938"/>
    <cellStyle name="計算 4 3 6" xfId="31132"/>
    <cellStyle name="計算 4 4" xfId="5196"/>
    <cellStyle name="計算 4 4 2" xfId="13773"/>
    <cellStyle name="計算 4 4 2 2" xfId="13774"/>
    <cellStyle name="計算 4 4 2 2 2" xfId="6780"/>
    <cellStyle name="計算 4 4 2 2 2 2" xfId="31147"/>
    <cellStyle name="計算 4 4 2 2 2 3" xfId="42941"/>
    <cellStyle name="計算 4 4 2 2 3" xfId="31146"/>
    <cellStyle name="計算 4 4 2 2 4" xfId="42940"/>
    <cellStyle name="計算 4 4 2 3" xfId="13775"/>
    <cellStyle name="計算 4 4 2 3 2" xfId="6781"/>
    <cellStyle name="計算 4 4 2 3 2 2" xfId="31149"/>
    <cellStyle name="計算 4 4 2 3 2 3" xfId="42943"/>
    <cellStyle name="計算 4 4 2 3 3" xfId="31148"/>
    <cellStyle name="計算 4 4 2 3 4" xfId="42942"/>
    <cellStyle name="計算 4 4 2 4" xfId="6779"/>
    <cellStyle name="計算 4 4 2 4 2" xfId="31150"/>
    <cellStyle name="計算 4 4 2 4 3" xfId="42944"/>
    <cellStyle name="計算 4 4 2 5" xfId="31145"/>
    <cellStyle name="計算 4 4 2 6" xfId="42939"/>
    <cellStyle name="計算 4 4 3" xfId="13776"/>
    <cellStyle name="計算 4 4 3 2" xfId="6782"/>
    <cellStyle name="計算 4 4 3 2 2" xfId="31152"/>
    <cellStyle name="計算 4 4 3 2 3" xfId="42946"/>
    <cellStyle name="計算 4 4 3 3" xfId="31151"/>
    <cellStyle name="計算 4 4 3 4" xfId="42945"/>
    <cellStyle name="計算 4 4 4" xfId="13777"/>
    <cellStyle name="計算 4 4 4 2" xfId="6783"/>
    <cellStyle name="計算 4 4 4 2 2" xfId="31154"/>
    <cellStyle name="計算 4 4 4 2 3" xfId="42948"/>
    <cellStyle name="計算 4 4 4 3" xfId="31153"/>
    <cellStyle name="計算 4 4 4 4" xfId="42947"/>
    <cellStyle name="計算 4 4 5" xfId="9788"/>
    <cellStyle name="計算 4 4 5 2" xfId="31155"/>
    <cellStyle name="計算 4 4 5 3" xfId="42949"/>
    <cellStyle name="計算 4 4 6" xfId="31144"/>
    <cellStyle name="計算 4 5" xfId="9789"/>
    <cellStyle name="計算 4 5 2" xfId="13778"/>
    <cellStyle name="計算 4 5 2 2" xfId="13779"/>
    <cellStyle name="計算 4 5 2 2 2" xfId="6785"/>
    <cellStyle name="計算 4 5 2 2 2 2" xfId="31159"/>
    <cellStyle name="計算 4 5 2 2 2 3" xfId="42953"/>
    <cellStyle name="計算 4 5 2 2 3" xfId="31158"/>
    <cellStyle name="計算 4 5 2 2 4" xfId="42952"/>
    <cellStyle name="計算 4 5 2 3" xfId="13780"/>
    <cellStyle name="計算 4 5 2 3 2" xfId="20905"/>
    <cellStyle name="計算 4 5 2 3 2 2" xfId="31161"/>
    <cellStyle name="計算 4 5 2 3 2 3" xfId="42955"/>
    <cellStyle name="計算 4 5 2 3 3" xfId="31160"/>
    <cellStyle name="計算 4 5 2 3 4" xfId="42954"/>
    <cellStyle name="計算 4 5 2 4" xfId="6784"/>
    <cellStyle name="計算 4 5 2 4 2" xfId="31162"/>
    <cellStyle name="計算 4 5 2 4 3" xfId="42956"/>
    <cellStyle name="計算 4 5 2 5" xfId="31157"/>
    <cellStyle name="計算 4 5 2 6" xfId="42951"/>
    <cellStyle name="計算 4 5 3" xfId="13781"/>
    <cellStyle name="計算 4 5 3 2" xfId="20904"/>
    <cellStyle name="計算 4 5 3 2 2" xfId="31164"/>
    <cellStyle name="計算 4 5 3 2 3" xfId="42958"/>
    <cellStyle name="計算 4 5 3 3" xfId="31163"/>
    <cellStyle name="計算 4 5 3 4" xfId="42957"/>
    <cellStyle name="計算 4 5 4" xfId="13782"/>
    <cellStyle name="計算 4 5 4 2" xfId="6786"/>
    <cellStyle name="計算 4 5 4 2 2" xfId="31166"/>
    <cellStyle name="計算 4 5 4 2 3" xfId="42960"/>
    <cellStyle name="計算 4 5 4 3" xfId="31165"/>
    <cellStyle name="計算 4 5 4 4" xfId="42959"/>
    <cellStyle name="計算 4 5 5" xfId="31167"/>
    <cellStyle name="計算 4 5 5 2" xfId="42961"/>
    <cellStyle name="計算 4 5 6" xfId="31156"/>
    <cellStyle name="計算 4 5 7" xfId="42950"/>
    <cellStyle name="計算 4 6" xfId="9790"/>
    <cellStyle name="計算 4 6 2" xfId="13783"/>
    <cellStyle name="計算 4 6 2 2" xfId="13784"/>
    <cellStyle name="計算 4 6 2 2 2" xfId="6788"/>
    <cellStyle name="計算 4 6 2 2 2 2" xfId="31171"/>
    <cellStyle name="計算 4 6 2 2 2 3" xfId="42965"/>
    <cellStyle name="計算 4 6 2 2 3" xfId="31170"/>
    <cellStyle name="計算 4 6 2 2 4" xfId="42964"/>
    <cellStyle name="計算 4 6 2 3" xfId="6787"/>
    <cellStyle name="計算 4 6 2 3 2" xfId="31172"/>
    <cellStyle name="計算 4 6 2 3 3" xfId="42966"/>
    <cellStyle name="計算 4 6 2 4" xfId="31169"/>
    <cellStyle name="計算 4 6 2 5" xfId="42963"/>
    <cellStyle name="計算 4 6 3" xfId="13785"/>
    <cellStyle name="計算 4 6 3 2" xfId="6789"/>
    <cellStyle name="計算 4 6 3 2 2" xfId="31174"/>
    <cellStyle name="計算 4 6 3 2 3" xfId="42968"/>
    <cellStyle name="計算 4 6 3 3" xfId="31173"/>
    <cellStyle name="計算 4 6 3 4" xfId="42967"/>
    <cellStyle name="計算 4 6 4" xfId="31175"/>
    <cellStyle name="計算 4 6 4 2" xfId="42969"/>
    <cellStyle name="計算 4 6 5" xfId="31168"/>
    <cellStyle name="計算 4 6 6" xfId="42962"/>
    <cellStyle name="計算 4 7" xfId="13786"/>
    <cellStyle name="計算 4 7 2" xfId="13787"/>
    <cellStyle name="計算 4 7 2 2" xfId="20903"/>
    <cellStyle name="計算 4 7 2 2 2" xfId="31178"/>
    <cellStyle name="計算 4 7 2 2 3" xfId="42972"/>
    <cellStyle name="計算 4 7 2 3" xfId="31177"/>
    <cellStyle name="計算 4 7 2 4" xfId="42971"/>
    <cellStyle name="計算 4 7 3" xfId="13788"/>
    <cellStyle name="計算 4 7 3 2" xfId="6791"/>
    <cellStyle name="計算 4 7 3 2 2" xfId="31180"/>
    <cellStyle name="計算 4 7 3 2 3" xfId="42974"/>
    <cellStyle name="計算 4 7 3 3" xfId="31179"/>
    <cellStyle name="計算 4 7 3 4" xfId="42973"/>
    <cellStyle name="計算 4 7 4" xfId="6790"/>
    <cellStyle name="計算 4 7 4 2" xfId="31181"/>
    <cellStyle name="計算 4 7 4 3" xfId="42975"/>
    <cellStyle name="計算 4 7 5" xfId="31176"/>
    <cellStyle name="計算 4 7 6" xfId="42970"/>
    <cellStyle name="計算 4 8" xfId="13789"/>
    <cellStyle name="計算 4 8 2" xfId="6792"/>
    <cellStyle name="計算 4 8 2 2" xfId="31183"/>
    <cellStyle name="計算 4 8 2 3" xfId="42977"/>
    <cellStyle name="計算 4 8 3" xfId="31182"/>
    <cellStyle name="計算 4 8 4" xfId="42976"/>
    <cellStyle name="計算 4 9" xfId="13790"/>
    <cellStyle name="計算 4 9 2" xfId="6793"/>
    <cellStyle name="計算 4 9 2 2" xfId="31185"/>
    <cellStyle name="計算 4 9 2 3" xfId="42979"/>
    <cellStyle name="計算 4 9 3" xfId="31184"/>
    <cellStyle name="計算 4 9 4" xfId="42978"/>
    <cellStyle name="計算 5" xfId="9791"/>
    <cellStyle name="計算 5 2" xfId="13791"/>
    <cellStyle name="計算 5 2 2" xfId="13792"/>
    <cellStyle name="計算 5 2 2 2" xfId="6795"/>
    <cellStyle name="計算 5 2 2 2 2" xfId="31189"/>
    <cellStyle name="計算 5 2 2 2 3" xfId="42983"/>
    <cellStyle name="計算 5 2 2 3" xfId="31188"/>
    <cellStyle name="計算 5 2 2 4" xfId="42982"/>
    <cellStyle name="計算 5 2 3" xfId="6794"/>
    <cellStyle name="計算 5 2 3 2" xfId="31190"/>
    <cellStyle name="計算 5 2 3 3" xfId="42984"/>
    <cellStyle name="計算 5 2 4" xfId="31187"/>
    <cellStyle name="計算 5 2 5" xfId="42981"/>
    <cellStyle name="計算 5 3" xfId="13793"/>
    <cellStyle name="計算 5 3 2" xfId="20902"/>
    <cellStyle name="計算 5 3 2 2" xfId="31192"/>
    <cellStyle name="計算 5 3 2 3" xfId="42986"/>
    <cellStyle name="計算 5 3 3" xfId="31191"/>
    <cellStyle name="計算 5 3 4" xfId="42985"/>
    <cellStyle name="計算 5 4" xfId="31193"/>
    <cellStyle name="計算 5 4 2" xfId="42987"/>
    <cellStyle name="計算 5 5" xfId="31186"/>
    <cellStyle name="計算 5 6" xfId="42980"/>
    <cellStyle name="計算 5 7" xfId="61053"/>
    <cellStyle name="計算 6" xfId="13794"/>
    <cellStyle name="計算 6 2" xfId="6796"/>
    <cellStyle name="計算 6 2 2" xfId="31195"/>
    <cellStyle name="計算 6 2 3" xfId="42989"/>
    <cellStyle name="計算 6 3" xfId="31194"/>
    <cellStyle name="計算 6 4" xfId="42988"/>
    <cellStyle name="計算 7" xfId="9771"/>
    <cellStyle name="計算 7 2" xfId="31197"/>
    <cellStyle name="計算 7 2 2" xfId="42991"/>
    <cellStyle name="計算 7 3" xfId="31196"/>
    <cellStyle name="計算 7 4" xfId="42990"/>
    <cellStyle name="計算 8" xfId="31198"/>
    <cellStyle name="計算 8 2" xfId="60140"/>
    <cellStyle name="計算 8 3" xfId="60141"/>
    <cellStyle name="計算 9" xfId="31199"/>
    <cellStyle name="計算 9 2" xfId="42992"/>
    <cellStyle name="計算 9 3" xfId="60142"/>
    <cellStyle name="計算_培训名单通知" xfId="9792"/>
    <cellStyle name="計算方式" xfId="9793"/>
    <cellStyle name="計算方式 10" xfId="31200"/>
    <cellStyle name="計算方式 11" xfId="42993"/>
    <cellStyle name="計算方式 2" xfId="9794"/>
    <cellStyle name="計算方式 2 2" xfId="13795"/>
    <cellStyle name="計算方式 2 2 2" xfId="13796"/>
    <cellStyle name="計算方式 2 2 2 2" xfId="6798"/>
    <cellStyle name="計算方式 2 2 2 2 2" xfId="31204"/>
    <cellStyle name="計算方式 2 2 2 2 3" xfId="42997"/>
    <cellStyle name="計算方式 2 2 2 3" xfId="31203"/>
    <cellStyle name="計算方式 2 2 2 4" xfId="42996"/>
    <cellStyle name="計算方式 2 2 3" xfId="13797"/>
    <cellStyle name="計算方式 2 2 3 2" xfId="6799"/>
    <cellStyle name="計算方式 2 2 3 2 2" xfId="31206"/>
    <cellStyle name="計算方式 2 2 3 2 3" xfId="42999"/>
    <cellStyle name="計算方式 2 2 3 3" xfId="31205"/>
    <cellStyle name="計算方式 2 2 3 4" xfId="42998"/>
    <cellStyle name="計算方式 2 2 4" xfId="6797"/>
    <cellStyle name="計算方式 2 2 4 2" xfId="31207"/>
    <cellStyle name="計算方式 2 2 4 3" xfId="43000"/>
    <cellStyle name="計算方式 2 2 5" xfId="31202"/>
    <cellStyle name="計算方式 2 2 6" xfId="42995"/>
    <cellStyle name="計算方式 2 3" xfId="13798"/>
    <cellStyle name="計算方式 2 3 2" xfId="6800"/>
    <cellStyle name="計算方式 2 3 2 2" xfId="31209"/>
    <cellStyle name="計算方式 2 3 2 3" xfId="43002"/>
    <cellStyle name="計算方式 2 3 3" xfId="31208"/>
    <cellStyle name="計算方式 2 3 4" xfId="43001"/>
    <cellStyle name="計算方式 2 4" xfId="13799"/>
    <cellStyle name="計算方式 2 4 2" xfId="18599"/>
    <cellStyle name="計算方式 2 4 2 2" xfId="31211"/>
    <cellStyle name="計算方式 2 4 2 3" xfId="43004"/>
    <cellStyle name="計算方式 2 4 3" xfId="31210"/>
    <cellStyle name="計算方式 2 4 4" xfId="43003"/>
    <cellStyle name="計算方式 2 5" xfId="31212"/>
    <cellStyle name="計算方式 2 5 2" xfId="43005"/>
    <cellStyle name="計算方式 2 6" xfId="31201"/>
    <cellStyle name="計算方式 2 7" xfId="42994"/>
    <cellStyle name="計算方式 3" xfId="9795"/>
    <cellStyle name="計算方式 3 2" xfId="13800"/>
    <cellStyle name="計算方式 3 2 2" xfId="13801"/>
    <cellStyle name="計算方式 3 2 2 2" xfId="6802"/>
    <cellStyle name="計算方式 3 2 2 2 2" xfId="31216"/>
    <cellStyle name="計算方式 3 2 2 2 3" xfId="43009"/>
    <cellStyle name="計算方式 3 2 2 3" xfId="31215"/>
    <cellStyle name="計算方式 3 2 2 4" xfId="43008"/>
    <cellStyle name="計算方式 3 2 3" xfId="13802"/>
    <cellStyle name="計算方式 3 2 3 2" xfId="6803"/>
    <cellStyle name="計算方式 3 2 3 2 2" xfId="31218"/>
    <cellStyle name="計算方式 3 2 3 2 3" xfId="43011"/>
    <cellStyle name="計算方式 3 2 3 3" xfId="31217"/>
    <cellStyle name="計算方式 3 2 3 4" xfId="43010"/>
    <cellStyle name="計算方式 3 2 4" xfId="6801"/>
    <cellStyle name="計算方式 3 2 4 2" xfId="31219"/>
    <cellStyle name="計算方式 3 2 4 3" xfId="43012"/>
    <cellStyle name="計算方式 3 2 5" xfId="31214"/>
    <cellStyle name="計算方式 3 2 6" xfId="43007"/>
    <cellStyle name="計算方式 3 3" xfId="13803"/>
    <cellStyle name="計算方式 3 3 2" xfId="6804"/>
    <cellStyle name="計算方式 3 3 2 2" xfId="31221"/>
    <cellStyle name="計算方式 3 3 2 3" xfId="43014"/>
    <cellStyle name="計算方式 3 3 3" xfId="31220"/>
    <cellStyle name="計算方式 3 3 4" xfId="43013"/>
    <cellStyle name="計算方式 3 4" xfId="13804"/>
    <cellStyle name="計算方式 3 4 2" xfId="6805"/>
    <cellStyle name="計算方式 3 4 2 2" xfId="31223"/>
    <cellStyle name="計算方式 3 4 2 3" xfId="43016"/>
    <cellStyle name="計算方式 3 4 3" xfId="31222"/>
    <cellStyle name="計算方式 3 4 4" xfId="43015"/>
    <cellStyle name="計算方式 3 5" xfId="31224"/>
    <cellStyle name="計算方式 3 5 2" xfId="43017"/>
    <cellStyle name="計算方式 3 6" xfId="31213"/>
    <cellStyle name="計算方式 3 7" xfId="43006"/>
    <cellStyle name="計算方式 4" xfId="9796"/>
    <cellStyle name="計算方式 4 2" xfId="13805"/>
    <cellStyle name="計算方式 4 2 2" xfId="13806"/>
    <cellStyle name="計算方式 4 2 2 2" xfId="6807"/>
    <cellStyle name="計算方式 4 2 2 2 2" xfId="31228"/>
    <cellStyle name="計算方式 4 2 2 2 3" xfId="43021"/>
    <cellStyle name="計算方式 4 2 2 3" xfId="31227"/>
    <cellStyle name="計算方式 4 2 2 4" xfId="43020"/>
    <cellStyle name="計算方式 4 2 3" xfId="13807"/>
    <cellStyle name="計算方式 4 2 3 2" xfId="6808"/>
    <cellStyle name="計算方式 4 2 3 2 2" xfId="31230"/>
    <cellStyle name="計算方式 4 2 3 2 3" xfId="43023"/>
    <cellStyle name="計算方式 4 2 3 3" xfId="31229"/>
    <cellStyle name="計算方式 4 2 3 4" xfId="43022"/>
    <cellStyle name="計算方式 4 2 4" xfId="6806"/>
    <cellStyle name="計算方式 4 2 4 2" xfId="31231"/>
    <cellStyle name="計算方式 4 2 4 3" xfId="43024"/>
    <cellStyle name="計算方式 4 2 5" xfId="31226"/>
    <cellStyle name="計算方式 4 2 6" xfId="43019"/>
    <cellStyle name="計算方式 4 3" xfId="13808"/>
    <cellStyle name="計算方式 4 3 2" xfId="6809"/>
    <cellStyle name="計算方式 4 3 2 2" xfId="31233"/>
    <cellStyle name="計算方式 4 3 2 3" xfId="43026"/>
    <cellStyle name="計算方式 4 3 3" xfId="31232"/>
    <cellStyle name="計算方式 4 3 4" xfId="43025"/>
    <cellStyle name="計算方式 4 4" xfId="13809"/>
    <cellStyle name="計算方式 4 4 2" xfId="6810"/>
    <cellStyle name="計算方式 4 4 2 2" xfId="31235"/>
    <cellStyle name="計算方式 4 4 2 3" xfId="43028"/>
    <cellStyle name="計算方式 4 4 3" xfId="31234"/>
    <cellStyle name="計算方式 4 4 4" xfId="43027"/>
    <cellStyle name="計算方式 4 5" xfId="31236"/>
    <cellStyle name="計算方式 4 5 2" xfId="43029"/>
    <cellStyle name="計算方式 4 6" xfId="31225"/>
    <cellStyle name="計算方式 4 7" xfId="43018"/>
    <cellStyle name="計算方式 5" xfId="9797"/>
    <cellStyle name="計算方式 5 2" xfId="13810"/>
    <cellStyle name="計算方式 5 2 2" xfId="13811"/>
    <cellStyle name="計算方式 5 2 2 2" xfId="20900"/>
    <cellStyle name="計算方式 5 2 2 2 2" xfId="31240"/>
    <cellStyle name="計算方式 5 2 2 2 3" xfId="43033"/>
    <cellStyle name="計算方式 5 2 2 3" xfId="31239"/>
    <cellStyle name="計算方式 5 2 2 4" xfId="43032"/>
    <cellStyle name="計算方式 5 2 3" xfId="13812"/>
    <cellStyle name="計算方式 5 2 3 2" xfId="6811"/>
    <cellStyle name="計算方式 5 2 3 2 2" xfId="31242"/>
    <cellStyle name="計算方式 5 2 3 2 3" xfId="43035"/>
    <cellStyle name="計算方式 5 2 3 3" xfId="31241"/>
    <cellStyle name="計算方式 5 2 3 4" xfId="43034"/>
    <cellStyle name="計算方式 5 2 4" xfId="20901"/>
    <cellStyle name="計算方式 5 2 4 2" xfId="31243"/>
    <cellStyle name="計算方式 5 2 4 3" xfId="43036"/>
    <cellStyle name="計算方式 5 2 5" xfId="31238"/>
    <cellStyle name="計算方式 5 2 6" xfId="43031"/>
    <cellStyle name="計算方式 5 3" xfId="13813"/>
    <cellStyle name="計算方式 5 3 2" xfId="6812"/>
    <cellStyle name="計算方式 5 3 2 2" xfId="31245"/>
    <cellStyle name="計算方式 5 3 2 3" xfId="43038"/>
    <cellStyle name="計算方式 5 3 3" xfId="31244"/>
    <cellStyle name="計算方式 5 3 4" xfId="43037"/>
    <cellStyle name="計算方式 5 4" xfId="13814"/>
    <cellStyle name="計算方式 5 4 2" xfId="6813"/>
    <cellStyle name="計算方式 5 4 2 2" xfId="31247"/>
    <cellStyle name="計算方式 5 4 2 3" xfId="43040"/>
    <cellStyle name="計算方式 5 4 3" xfId="31246"/>
    <cellStyle name="計算方式 5 4 4" xfId="43039"/>
    <cellStyle name="計算方式 5 5" xfId="31248"/>
    <cellStyle name="計算方式 5 5 2" xfId="43041"/>
    <cellStyle name="計算方式 5 6" xfId="31237"/>
    <cellStyle name="計算方式 5 7" xfId="43030"/>
    <cellStyle name="計算方式 6" xfId="13815"/>
    <cellStyle name="計算方式 6 2" xfId="13816"/>
    <cellStyle name="計算方式 6 2 2" xfId="6815"/>
    <cellStyle name="計算方式 6 2 2 2" xfId="31251"/>
    <cellStyle name="計算方式 6 2 2 3" xfId="43044"/>
    <cellStyle name="計算方式 6 2 3" xfId="31250"/>
    <cellStyle name="計算方式 6 2 4" xfId="43043"/>
    <cellStyle name="計算方式 6 3" xfId="13817"/>
    <cellStyle name="計算方式 6 3 2" xfId="20899"/>
    <cellStyle name="計算方式 6 3 2 2" xfId="31253"/>
    <cellStyle name="計算方式 6 3 2 3" xfId="43046"/>
    <cellStyle name="計算方式 6 3 3" xfId="31252"/>
    <cellStyle name="計算方式 6 3 4" xfId="43045"/>
    <cellStyle name="計算方式 6 4" xfId="6814"/>
    <cellStyle name="計算方式 6 4 2" xfId="31254"/>
    <cellStyle name="計算方式 6 4 3" xfId="43047"/>
    <cellStyle name="計算方式 6 5" xfId="31249"/>
    <cellStyle name="計算方式 6 6" xfId="43042"/>
    <cellStyle name="計算方式 7" xfId="13818"/>
    <cellStyle name="計算方式 7 2" xfId="6816"/>
    <cellStyle name="計算方式 7 2 2" xfId="31256"/>
    <cellStyle name="計算方式 7 2 3" xfId="43049"/>
    <cellStyle name="計算方式 7 3" xfId="31255"/>
    <cellStyle name="計算方式 7 4" xfId="43048"/>
    <cellStyle name="計算方式 8" xfId="13819"/>
    <cellStyle name="計算方式 8 2" xfId="6817"/>
    <cellStyle name="計算方式 8 2 2" xfId="31258"/>
    <cellStyle name="計算方式 8 2 3" xfId="43051"/>
    <cellStyle name="計算方式 8 3" xfId="31257"/>
    <cellStyle name="計算方式 8 4" xfId="43050"/>
    <cellStyle name="計算方式 9" xfId="31259"/>
    <cellStyle name="計算方式 9 2" xfId="43052"/>
    <cellStyle name="检查单元格 2" xfId="681"/>
    <cellStyle name="检查单元格 2 2" xfId="5197"/>
    <cellStyle name="检查单元格 2 2 2" xfId="5198"/>
    <cellStyle name="检查单元格 2 2 2 2" xfId="9800"/>
    <cellStyle name="检查单元格 2 2 2 3" xfId="60143"/>
    <cellStyle name="检查单元格 2 2 2 4" xfId="60144"/>
    <cellStyle name="检查单元格 2 2 3" xfId="5199"/>
    <cellStyle name="检查单元格 2 2 4" xfId="9799"/>
    <cellStyle name="检查单元格 2 2 5" xfId="60145"/>
    <cellStyle name="检查单元格 2 3" xfId="5200"/>
    <cellStyle name="检查单元格 2 3 2" xfId="9801"/>
    <cellStyle name="检查单元格 2 4" xfId="60146"/>
    <cellStyle name="检查单元格 2 4 2" xfId="60147"/>
    <cellStyle name="检查单元格 2 4 3" xfId="60148"/>
    <cellStyle name="检查单元格 2 5" xfId="60149"/>
    <cellStyle name="检查单元格 2 6" xfId="60150"/>
    <cellStyle name="检查单元格 2 7" xfId="60151"/>
    <cellStyle name="检查单元格 2 8" xfId="757"/>
    <cellStyle name="检查单元格 3" xfId="5201"/>
    <cellStyle name="检查单元格 3 2" xfId="9803"/>
    <cellStyle name="检查单元格 3 3" xfId="9802"/>
    <cellStyle name="检查单元格 3 4" xfId="60152"/>
    <cellStyle name="检查单元格 4" xfId="9804"/>
    <cellStyle name="检查单元格 4 2" xfId="9805"/>
    <cellStyle name="检查单元格 5" xfId="60153"/>
    <cellStyle name="检查单元格 6" xfId="60154"/>
    <cellStyle name="檢查儲存格" xfId="9806"/>
    <cellStyle name="見出し 1" xfId="5202"/>
    <cellStyle name="見出し 1 2" xfId="137"/>
    <cellStyle name="見出し 1 2 2" xfId="9809"/>
    <cellStyle name="見出し 1 2 3" xfId="9808"/>
    <cellStyle name="見出し 1 2 4" xfId="60155"/>
    <cellStyle name="見出し 1 2 5" xfId="60156"/>
    <cellStyle name="見出し 1 2 6" xfId="60157"/>
    <cellStyle name="見出し 1 2 7" xfId="60158"/>
    <cellStyle name="見出し 1 2 8" xfId="5203"/>
    <cellStyle name="見出し 1 3" xfId="5204"/>
    <cellStyle name="見出し 1 3 2" xfId="5205"/>
    <cellStyle name="見出し 1 3 3" xfId="60159"/>
    <cellStyle name="見出し 1 3 4" xfId="60160"/>
    <cellStyle name="見出し 1 3 5" xfId="60161"/>
    <cellStyle name="見出し 1 3 6" xfId="60162"/>
    <cellStyle name="見出し 1 3 7" xfId="61054"/>
    <cellStyle name="見出し 1 4" xfId="5206"/>
    <cellStyle name="見出し 1 4 2" xfId="5207"/>
    <cellStyle name="見出し 1 4 3" xfId="60163"/>
    <cellStyle name="見出し 1 4 4" xfId="60164"/>
    <cellStyle name="見出し 1 4 5" xfId="60165"/>
    <cellStyle name="見出し 1 4 6" xfId="61055"/>
    <cellStyle name="見出し 1 5" xfId="9807"/>
    <cellStyle name="見出し 1 5 2" xfId="31260"/>
    <cellStyle name="見出し 1 5 3" xfId="61056"/>
    <cellStyle name="見出し 1 6" xfId="60166"/>
    <cellStyle name="見出し 2" xfId="5208"/>
    <cellStyle name="見出し 2 2" xfId="138"/>
    <cellStyle name="見出し 2 2 2" xfId="9814"/>
    <cellStyle name="見出し 2 2 3" xfId="9813"/>
    <cellStyle name="見出し 2 2 4" xfId="60167"/>
    <cellStyle name="見出し 2 2 5" xfId="60168"/>
    <cellStyle name="見出し 2 2 6" xfId="60169"/>
    <cellStyle name="見出し 2 2 7" xfId="60170"/>
    <cellStyle name="見出し 2 2 8" xfId="5209"/>
    <cellStyle name="見出し 2 3" xfId="5210"/>
    <cellStyle name="見出し 2 3 2" xfId="5211"/>
    <cellStyle name="見出し 2 3 3" xfId="60171"/>
    <cellStyle name="見出し 2 3 4" xfId="60172"/>
    <cellStyle name="見出し 2 3 5" xfId="60173"/>
    <cellStyle name="見出し 2 3 6" xfId="60174"/>
    <cellStyle name="見出し 2 3 7" xfId="61057"/>
    <cellStyle name="見出し 2 4" xfId="5212"/>
    <cellStyle name="見出し 2 4 2" xfId="5213"/>
    <cellStyle name="見出し 2 4 3" xfId="60175"/>
    <cellStyle name="見出し 2 4 4" xfId="60176"/>
    <cellStyle name="見出し 2 4 5" xfId="60177"/>
    <cellStyle name="見出し 2 4 6" xfId="61058"/>
    <cellStyle name="見出し 2 5" xfId="9812"/>
    <cellStyle name="見出し 2 5 2" xfId="31261"/>
    <cellStyle name="見出し 2 5 3" xfId="61059"/>
    <cellStyle name="見出し 2 6" xfId="60178"/>
    <cellStyle name="見出し 3" xfId="5214"/>
    <cellStyle name="見出し 3 2" xfId="139"/>
    <cellStyle name="見出し 3 2 2" xfId="9819"/>
    <cellStyle name="見出し 3 2 3" xfId="9818"/>
    <cellStyle name="見出し 3 2 4" xfId="60179"/>
    <cellStyle name="見出し 3 2 5" xfId="60180"/>
    <cellStyle name="見出し 3 2 6" xfId="60181"/>
    <cellStyle name="見出し 3 2 7" xfId="60182"/>
    <cellStyle name="見出し 3 2 8" xfId="5215"/>
    <cellStyle name="見出し 3 3" xfId="5216"/>
    <cellStyle name="見出し 3 3 2" xfId="5217"/>
    <cellStyle name="見出し 3 3 3" xfId="60183"/>
    <cellStyle name="見出し 3 3 4" xfId="60184"/>
    <cellStyle name="見出し 3 3 5" xfId="60185"/>
    <cellStyle name="見出し 3 3 6" xfId="60186"/>
    <cellStyle name="見出し 3 3 7" xfId="61060"/>
    <cellStyle name="見出し 3 4" xfId="5218"/>
    <cellStyle name="見出し 3 4 2" xfId="5219"/>
    <cellStyle name="見出し 3 4 3" xfId="60187"/>
    <cellStyle name="見出し 3 4 4" xfId="60188"/>
    <cellStyle name="見出し 3 4 5" xfId="60189"/>
    <cellStyle name="見出し 3 4 6" xfId="61061"/>
    <cellStyle name="見出し 3 5" xfId="9817"/>
    <cellStyle name="見出し 3 5 2" xfId="31262"/>
    <cellStyle name="見出し 3 5 3" xfId="61062"/>
    <cellStyle name="見出し 3 6" xfId="60190"/>
    <cellStyle name="見出し 4" xfId="5220"/>
    <cellStyle name="見出し 4 2" xfId="140"/>
    <cellStyle name="見出し 4 2 2" xfId="9824"/>
    <cellStyle name="見出し 4 2 3" xfId="9823"/>
    <cellStyle name="見出し 4 2 4" xfId="60191"/>
    <cellStyle name="見出し 4 2 5" xfId="60192"/>
    <cellStyle name="見出し 4 2 6" xfId="60193"/>
    <cellStyle name="見出し 4 2 7" xfId="60194"/>
    <cellStyle name="見出し 4 2 8" xfId="5221"/>
    <cellStyle name="見出し 4 3" xfId="5222"/>
    <cellStyle name="見出し 4 3 2" xfId="5223"/>
    <cellStyle name="見出し 4 3 3" xfId="60195"/>
    <cellStyle name="見出し 4 3 4" xfId="60196"/>
    <cellStyle name="見出し 4 3 5" xfId="60197"/>
    <cellStyle name="見出し 4 3 6" xfId="60198"/>
    <cellStyle name="見出し 4 3 7" xfId="61063"/>
    <cellStyle name="見出し 4 4" xfId="5224"/>
    <cellStyle name="見出し 4 4 2" xfId="5225"/>
    <cellStyle name="見出し 4 4 3" xfId="60199"/>
    <cellStyle name="見出し 4 4 4" xfId="60200"/>
    <cellStyle name="見出し 4 4 5" xfId="60201"/>
    <cellStyle name="見出し 4 4 6" xfId="61064"/>
    <cellStyle name="見出し 4 5" xfId="9822"/>
    <cellStyle name="見出し 4 5 2" xfId="31263"/>
    <cellStyle name="見出し 4 5 3" xfId="61065"/>
    <cellStyle name="見出し 4 6" xfId="60202"/>
    <cellStyle name="解释性文本 2" xfId="124"/>
    <cellStyle name="解释性文本 2 2" xfId="5226"/>
    <cellStyle name="解释性文本 2 2 2" xfId="5227"/>
    <cellStyle name="解释性文本 2 2 2 2" xfId="9829"/>
    <cellStyle name="解释性文本 2 2 2 3" xfId="60203"/>
    <cellStyle name="解释性文本 2 2 2 4" xfId="60204"/>
    <cellStyle name="解释性文本 2 2 3" xfId="5228"/>
    <cellStyle name="解释性文本 2 2 4" xfId="9828"/>
    <cellStyle name="解释性文本 2 2 5" xfId="60205"/>
    <cellStyle name="解释性文本 2 3" xfId="5229"/>
    <cellStyle name="解释性文本 2 3 2" xfId="60206"/>
    <cellStyle name="解释性文本 2 3 3" xfId="60207"/>
    <cellStyle name="解释性文本 2 4" xfId="60208"/>
    <cellStyle name="解释性文本 2 5" xfId="60209"/>
    <cellStyle name="解释性文本 2 6" xfId="60210"/>
    <cellStyle name="解释性文本 2 7" xfId="60211"/>
    <cellStyle name="解释性文本 2 8" xfId="758"/>
    <cellStyle name="解释性文本 3" xfId="5230"/>
    <cellStyle name="解释性文本 3 2" xfId="5231"/>
    <cellStyle name="解释性文本 3 3" xfId="60212"/>
    <cellStyle name="解释性文本 4" xfId="9833"/>
    <cellStyle name="解释性文本 5" xfId="60213"/>
    <cellStyle name="解释性文本 6" xfId="60214"/>
    <cellStyle name="警告文" xfId="5232"/>
    <cellStyle name="警告文 2" xfId="126"/>
    <cellStyle name="警告文 2 10" xfId="5233"/>
    <cellStyle name="警告文 2 2" xfId="5234"/>
    <cellStyle name="警告文 2 2 2" xfId="5235"/>
    <cellStyle name="警告文 2 2 3" xfId="60215"/>
    <cellStyle name="警告文 2 2 4" xfId="60216"/>
    <cellStyle name="警告文 2 2 5" xfId="60217"/>
    <cellStyle name="警告文 2 3" xfId="5236"/>
    <cellStyle name="警告文 2 3 2" xfId="5237"/>
    <cellStyle name="警告文 2 3 3" xfId="60218"/>
    <cellStyle name="警告文 2 3 4" xfId="60219"/>
    <cellStyle name="警告文 2 3 5" xfId="60220"/>
    <cellStyle name="警告文 2 4" xfId="9838"/>
    <cellStyle name="警告文 2 5" xfId="60221"/>
    <cellStyle name="警告文 2 6" xfId="60222"/>
    <cellStyle name="警告文 2 7" xfId="60223"/>
    <cellStyle name="警告文 2 8" xfId="60224"/>
    <cellStyle name="警告文 2 9" xfId="60225"/>
    <cellStyle name="警告文 3" xfId="5238"/>
    <cellStyle name="警告文 3 2" xfId="5239"/>
    <cellStyle name="警告文 3 2 2" xfId="5240"/>
    <cellStyle name="警告文 3 2 3" xfId="60226"/>
    <cellStyle name="警告文 3 2 4" xfId="60227"/>
    <cellStyle name="警告文 3 2 5" xfId="60228"/>
    <cellStyle name="警告文 3 3" xfId="5241"/>
    <cellStyle name="警告文 3 3 2" xfId="5242"/>
    <cellStyle name="警告文 3 3 3" xfId="60229"/>
    <cellStyle name="警告文 3 3 4" xfId="60230"/>
    <cellStyle name="警告文 3 3 5" xfId="60231"/>
    <cellStyle name="警告文 3 4" xfId="5243"/>
    <cellStyle name="警告文 3 5" xfId="60232"/>
    <cellStyle name="警告文 3 6" xfId="60233"/>
    <cellStyle name="警告文 3 7" xfId="60234"/>
    <cellStyle name="警告文 3 8" xfId="60235"/>
    <cellStyle name="警告文 3 9" xfId="60236"/>
    <cellStyle name="警告文 4" xfId="5244"/>
    <cellStyle name="警告文 4 2" xfId="5245"/>
    <cellStyle name="警告文 4 2 2" xfId="5246"/>
    <cellStyle name="警告文 4 2 3" xfId="60237"/>
    <cellStyle name="警告文 4 2 4" xfId="60238"/>
    <cellStyle name="警告文 4 2 5" xfId="60239"/>
    <cellStyle name="警告文 4 3" xfId="5247"/>
    <cellStyle name="警告文 4 3 2" xfId="5248"/>
    <cellStyle name="警告文 4 3 3" xfId="60240"/>
    <cellStyle name="警告文 4 3 4" xfId="60241"/>
    <cellStyle name="警告文 4 3 5" xfId="60242"/>
    <cellStyle name="警告文 4 4" xfId="5249"/>
    <cellStyle name="警告文 4 5" xfId="60243"/>
    <cellStyle name="警告文 4 6" xfId="60244"/>
    <cellStyle name="警告文 4 7" xfId="60245"/>
    <cellStyle name="警告文 5" xfId="9834"/>
    <cellStyle name="警告文 5 2" xfId="31264"/>
    <cellStyle name="警告文 5 3" xfId="61066"/>
    <cellStyle name="警告文 6" xfId="60246"/>
    <cellStyle name="警告文 7" xfId="60247"/>
    <cellStyle name="警告文 8" xfId="60248"/>
    <cellStyle name="警告文本 2" xfId="127"/>
    <cellStyle name="警告文本 2 2" xfId="5250"/>
    <cellStyle name="警告文本 2 2 2" xfId="5251"/>
    <cellStyle name="警告文本 2 2 2 2" xfId="9847"/>
    <cellStyle name="警告文本 2 2 2 3" xfId="60249"/>
    <cellStyle name="警告文本 2 2 2 4" xfId="60250"/>
    <cellStyle name="警告文本 2 2 3" xfId="5252"/>
    <cellStyle name="警告文本 2 2 4" xfId="9846"/>
    <cellStyle name="警告文本 2 2 5" xfId="60251"/>
    <cellStyle name="警告文本 2 3" xfId="5253"/>
    <cellStyle name="警告文本 2 3 2" xfId="60252"/>
    <cellStyle name="警告文本 2 3 3" xfId="60253"/>
    <cellStyle name="警告文本 2 4" xfId="60254"/>
    <cellStyle name="警告文本 2 5" xfId="60255"/>
    <cellStyle name="警告文本 2 6" xfId="60256"/>
    <cellStyle name="警告文本 2 7" xfId="759"/>
    <cellStyle name="警告文本 3" xfId="5254"/>
    <cellStyle name="警告文本 3 2" xfId="9849"/>
    <cellStyle name="警告文本 3 3" xfId="60257"/>
    <cellStyle name="警告文本 4" xfId="9850"/>
    <cellStyle name="警告文本 5" xfId="60258"/>
    <cellStyle name="警告文本 6" xfId="60259"/>
    <cellStyle name="警告文字" xfId="9851"/>
    <cellStyle name="連結的儲存格" xfId="9852"/>
    <cellStyle name="链接单元格 2" xfId="687"/>
    <cellStyle name="链接单元格 2 2" xfId="5255"/>
    <cellStyle name="链接单元格 2 2 2" xfId="5256"/>
    <cellStyle name="链接单元格 2 2 2 2" xfId="9855"/>
    <cellStyle name="链接单元格 2 2 2 3" xfId="60260"/>
    <cellStyle name="链接单元格 2 2 2 4" xfId="60261"/>
    <cellStyle name="链接单元格 2 2 3" xfId="5257"/>
    <cellStyle name="链接单元格 2 2 4" xfId="9854"/>
    <cellStyle name="链接单元格 2 2 5" xfId="60262"/>
    <cellStyle name="链接单元格 2 3" xfId="5258"/>
    <cellStyle name="链接单元格 2 3 2" xfId="60263"/>
    <cellStyle name="链接单元格 2 3 3" xfId="60264"/>
    <cellStyle name="链接单元格 2 4" xfId="60265"/>
    <cellStyle name="链接单元格 2 5" xfId="60266"/>
    <cellStyle name="链接单元格 2 6" xfId="60267"/>
    <cellStyle name="链接单元格 2 7" xfId="760"/>
    <cellStyle name="链接单元格 3" xfId="5259"/>
    <cellStyle name="链接单元格 3 2" xfId="9857"/>
    <cellStyle name="链接单元格 3 3" xfId="60268"/>
    <cellStyle name="链接单元格 4" xfId="9858"/>
    <cellStyle name="链接单元格 5" xfId="60269"/>
    <cellStyle name="链接单元格 6" xfId="60270"/>
    <cellStyle name="良い" xfId="5260"/>
    <cellStyle name="良い 2" xfId="669"/>
    <cellStyle name="良い 2 10" xfId="5261"/>
    <cellStyle name="良い 2 2" xfId="5262"/>
    <cellStyle name="良い 2 2 2" xfId="5263"/>
    <cellStyle name="良い 2 2 3" xfId="60271"/>
    <cellStyle name="良い 2 2 4" xfId="60272"/>
    <cellStyle name="良い 2 2 5" xfId="60273"/>
    <cellStyle name="良い 2 3" xfId="5264"/>
    <cellStyle name="良い 2 3 2" xfId="5265"/>
    <cellStyle name="良い 2 3 3" xfId="60274"/>
    <cellStyle name="良い 2 3 4" xfId="60275"/>
    <cellStyle name="良い 2 3 5" xfId="60276"/>
    <cellStyle name="良い 2 4" xfId="5266"/>
    <cellStyle name="良い 2 4 2" xfId="9863"/>
    <cellStyle name="良い 2 4 3" xfId="60277"/>
    <cellStyle name="良い 2 5" xfId="60278"/>
    <cellStyle name="良い 2 6" xfId="60279"/>
    <cellStyle name="良い 2 7" xfId="60280"/>
    <cellStyle name="良い 2 8" xfId="60281"/>
    <cellStyle name="良い 2 9" xfId="60282"/>
    <cellStyle name="良い 3" xfId="5267"/>
    <cellStyle name="良い 3 2" xfId="5268"/>
    <cellStyle name="良い 3 2 2" xfId="5269"/>
    <cellStyle name="良い 3 2 3" xfId="60283"/>
    <cellStyle name="良い 3 2 4" xfId="60284"/>
    <cellStyle name="良い 3 2 5" xfId="60285"/>
    <cellStyle name="良い 3 3" xfId="5270"/>
    <cellStyle name="良い 3 3 2" xfId="5271"/>
    <cellStyle name="良い 3 3 3" xfId="60286"/>
    <cellStyle name="良い 3 3 4" xfId="60287"/>
    <cellStyle name="良い 3 3 5" xfId="60288"/>
    <cellStyle name="良い 3 4" xfId="5272"/>
    <cellStyle name="良い 3 4 2" xfId="9867"/>
    <cellStyle name="良い 3 4 3" xfId="60289"/>
    <cellStyle name="良い 3 5" xfId="60290"/>
    <cellStyle name="良い 3 6" xfId="60291"/>
    <cellStyle name="良い 3 7" xfId="60292"/>
    <cellStyle name="良い 3 8" xfId="60293"/>
    <cellStyle name="良い 4" xfId="5273"/>
    <cellStyle name="良い 4 2" xfId="5274"/>
    <cellStyle name="良い 4 2 2" xfId="5275"/>
    <cellStyle name="良い 4 2 3" xfId="60294"/>
    <cellStyle name="良い 4 2 4" xfId="60295"/>
    <cellStyle name="良い 4 2 5" xfId="60296"/>
    <cellStyle name="良い 4 3" xfId="5276"/>
    <cellStyle name="良い 4 3 2" xfId="5277"/>
    <cellStyle name="良い 4 3 3" xfId="60297"/>
    <cellStyle name="良い 4 3 4" xfId="60298"/>
    <cellStyle name="良い 4 3 5" xfId="60299"/>
    <cellStyle name="良い 4 4" xfId="5278"/>
    <cellStyle name="良い 4 5" xfId="60300"/>
    <cellStyle name="良い 4 6" xfId="60301"/>
    <cellStyle name="良い 4 7" xfId="60302"/>
    <cellStyle name="良い 5" xfId="9859"/>
    <cellStyle name="良い 5 2" xfId="31265"/>
    <cellStyle name="良い 5 3" xfId="61067"/>
    <cellStyle name="良い 6" xfId="60303"/>
    <cellStyle name="良い 7" xfId="60304"/>
    <cellStyle name="良い 8" xfId="60305"/>
    <cellStyle name="明朝" xfId="9871"/>
    <cellStyle name="明朝 2" xfId="13820"/>
    <cellStyle name="明朝 2 2" xfId="31266"/>
    <cellStyle name="明朝 3" xfId="31267"/>
    <cellStyle name="明朝(602R)" xfId="9872"/>
    <cellStyle name="明朝強調(602R)" xfId="9873"/>
    <cellStyle name="千分位 2" xfId="61068"/>
    <cellStyle name="千分位 2 2" xfId="61069"/>
    <cellStyle name="千分位 3" xfId="61070"/>
    <cellStyle name="千分位 4" xfId="61071"/>
    <cellStyle name="千分位[0] 2" xfId="61072"/>
    <cellStyle name="千分位[0] 2 2" xfId="61073"/>
    <cellStyle name="千分位[0] 2 3" xfId="61074"/>
    <cellStyle name="千分位[0] 3" xfId="61075"/>
    <cellStyle name="千分位[0] 4" xfId="61076"/>
    <cellStyle name="千分位[0] 5" xfId="61077"/>
    <cellStyle name="千分位[0] 6" xfId="61078"/>
    <cellStyle name="千位分隔 2" xfId="63"/>
    <cellStyle name="千位分隔 2 10" xfId="61079"/>
    <cellStyle name="千位分隔 2 2" xfId="653"/>
    <cellStyle name="千位分隔 2 2 2" xfId="710"/>
    <cellStyle name="千位分隔 2 2 2 2" xfId="5282"/>
    <cellStyle name="千位分隔 2 2 2 3" xfId="5281"/>
    <cellStyle name="千位分隔 2 2 3" xfId="60306"/>
    <cellStyle name="千位分隔 2 2 4" xfId="60307"/>
    <cellStyle name="千位分隔 2 2 5" xfId="5280"/>
    <cellStyle name="千位分隔 2 3" xfId="709"/>
    <cellStyle name="千位分隔 2 3 2" xfId="5284"/>
    <cellStyle name="千位分隔 2 3 2 2" xfId="5285"/>
    <cellStyle name="千位分隔 2 3 3" xfId="60308"/>
    <cellStyle name="千位分隔 2 3 4" xfId="60309"/>
    <cellStyle name="千位分隔 2 3 5" xfId="5283"/>
    <cellStyle name="千位分隔 2 4" xfId="5286"/>
    <cellStyle name="千位分隔 2 4 2" xfId="5287"/>
    <cellStyle name="千位分隔 2 5" xfId="5288"/>
    <cellStyle name="千位分隔 2 6" xfId="60310"/>
    <cellStyle name="千位分隔 2 7" xfId="60311"/>
    <cellStyle name="千位分隔 2 7 2" xfId="60312"/>
    <cellStyle name="千位分隔 2 7 2 2" xfId="60313"/>
    <cellStyle name="千位分隔 2 7 2 3" xfId="60314"/>
    <cellStyle name="千位分隔 2 7 2 3 2" xfId="60315"/>
    <cellStyle name="千位分隔 2 7 2 3 2 2" xfId="60316"/>
    <cellStyle name="千位分隔 2 7 2 3 3" xfId="60317"/>
    <cellStyle name="千位分隔 2 8" xfId="60318"/>
    <cellStyle name="千位分隔 2 8 2" xfId="60319"/>
    <cellStyle name="千位分隔 2 9" xfId="5279"/>
    <cellStyle name="千位分隔 3" xfId="64"/>
    <cellStyle name="千位分隔 3 2" xfId="711"/>
    <cellStyle name="千位分隔 3 2 2" xfId="60320"/>
    <cellStyle name="千位分隔 3 2 3" xfId="9877"/>
    <cellStyle name="千位分隔 3 3" xfId="60321"/>
    <cellStyle name="千位分隔 3 4" xfId="60322"/>
    <cellStyle name="千位分隔 3 5" xfId="5289"/>
    <cellStyle name="千位分隔 3 6" xfId="61080"/>
    <cellStyle name="千位分隔 4" xfId="65"/>
    <cellStyle name="千位分隔 4 2" xfId="712"/>
    <cellStyle name="千位分隔 4 2 2" xfId="60323"/>
    <cellStyle name="千位分隔 4 3" xfId="60324"/>
    <cellStyle name="千位分隔 4 4" xfId="9878"/>
    <cellStyle name="千位分隔 5" xfId="60325"/>
    <cellStyle name="千位分隔 6" xfId="60326"/>
    <cellStyle name="千位分隔 6 2" xfId="60327"/>
    <cellStyle name="千位分隔 6 2 2" xfId="60328"/>
    <cellStyle name="千位分隔 6 3" xfId="60329"/>
    <cellStyle name="千位分隔 7" xfId="60330"/>
    <cellStyle name="千位分隔 8" xfId="60828"/>
    <cellStyle name="千位分隔[0] 10" xfId="9879"/>
    <cellStyle name="千位分隔[0] 10 2" xfId="5290"/>
    <cellStyle name="千位分隔[0] 10 2 2" xfId="5291"/>
    <cellStyle name="千位分隔[0] 10 2 2 2" xfId="60331"/>
    <cellStyle name="千位分隔[0] 10 2 2 3" xfId="60332"/>
    <cellStyle name="千位分隔[0] 10 2 2 4" xfId="60333"/>
    <cellStyle name="千位分隔[0] 10 2 3" xfId="60334"/>
    <cellStyle name="千位分隔[0] 10 2 4" xfId="60335"/>
    <cellStyle name="千位分隔[0] 10 2 5" xfId="60336"/>
    <cellStyle name="千位分隔[0] 10 2 6" xfId="60337"/>
    <cellStyle name="千位分隔[0] 10 3" xfId="60338"/>
    <cellStyle name="千位分隔[0] 10 4" xfId="60339"/>
    <cellStyle name="千位分隔[0] 10 5" xfId="60340"/>
    <cellStyle name="千位分隔[0] 10 6" xfId="60341"/>
    <cellStyle name="千位分隔[0] 11" xfId="9881"/>
    <cellStyle name="千位分隔[0] 11 2" xfId="60342"/>
    <cellStyle name="千位分隔[0] 12" xfId="9882"/>
    <cellStyle name="千位分隔[0] 12 2" xfId="60343"/>
    <cellStyle name="千位分隔[0] 13" xfId="9883"/>
    <cellStyle name="千位分隔[0] 14" xfId="60344"/>
    <cellStyle name="千位分隔[0] 15" xfId="60345"/>
    <cellStyle name="千位分隔[0] 16" xfId="695"/>
    <cellStyle name="千位分隔[0] 2" xfId="654"/>
    <cellStyle name="千位分隔[0] 2 10" xfId="60346"/>
    <cellStyle name="千位分隔[0] 2 11" xfId="60347"/>
    <cellStyle name="千位分隔[0] 2 12" xfId="5292"/>
    <cellStyle name="千位分隔[0] 2 13" xfId="61081"/>
    <cellStyle name="千位分隔[0] 2 2" xfId="713"/>
    <cellStyle name="千位分隔[0] 2 2 2" xfId="5294"/>
    <cellStyle name="千位分隔[0] 2 2 2 2" xfId="5295"/>
    <cellStyle name="千位分隔[0] 2 2 2 2 2" xfId="9887"/>
    <cellStyle name="千位分隔[0] 2 2 2 2 2 2" xfId="31268"/>
    <cellStyle name="千位分隔[0] 2 2 2 2 3" xfId="60348"/>
    <cellStyle name="千位分隔[0] 2 2 2 3" xfId="9886"/>
    <cellStyle name="千位分隔[0] 2 2 2 3 2" xfId="9888"/>
    <cellStyle name="千位分隔[0] 2 2 2 4" xfId="60349"/>
    <cellStyle name="千位分隔[0] 2 2 3" xfId="9885"/>
    <cellStyle name="千位分隔[0] 2 2 3 2" xfId="31269"/>
    <cellStyle name="千位分隔[0] 2 2 4" xfId="60350"/>
    <cellStyle name="千位分隔[0] 2 2 5" xfId="60351"/>
    <cellStyle name="千位分隔[0] 2 2 6" xfId="5293"/>
    <cellStyle name="千位分隔[0] 2 3" xfId="5296"/>
    <cellStyle name="千位分隔[0] 2 3 2" xfId="5297"/>
    <cellStyle name="千位分隔[0] 2 3 2 2" xfId="31270"/>
    <cellStyle name="千位分隔[0] 2 3 2 3" xfId="60352"/>
    <cellStyle name="千位分隔[0] 2 3 3" xfId="31271"/>
    <cellStyle name="千位分隔[0] 2 3 4" xfId="60353"/>
    <cellStyle name="千位分隔[0] 2 3 5" xfId="60354"/>
    <cellStyle name="千位分隔[0] 2 4" xfId="5298"/>
    <cellStyle name="千位分隔[0] 2 4 2" xfId="5299"/>
    <cellStyle name="千位分隔[0] 2 4 3" xfId="9890"/>
    <cellStyle name="千位分隔[0] 2 4 4" xfId="60355"/>
    <cellStyle name="千位分隔[0] 2 4 5" xfId="60356"/>
    <cellStyle name="千位分隔[0] 2 5" xfId="5300"/>
    <cellStyle name="千位分隔[0] 2 5 2" xfId="5301"/>
    <cellStyle name="千位分隔[0] 2 5 3" xfId="5302"/>
    <cellStyle name="千位分隔[0] 2 6" xfId="5303"/>
    <cellStyle name="千位分隔[0] 2 7" xfId="9884"/>
    <cellStyle name="千位分隔[0] 2 8" xfId="60357"/>
    <cellStyle name="千位分隔[0] 2 9" xfId="60358"/>
    <cellStyle name="千位分隔[0] 3" xfId="5304"/>
    <cellStyle name="千位分隔[0] 3 10" xfId="5305"/>
    <cellStyle name="千位分隔[0] 3 11" xfId="5306"/>
    <cellStyle name="千位分隔[0] 3 11 2" xfId="60359"/>
    <cellStyle name="千位分隔[0] 3 11 2 2" xfId="60360"/>
    <cellStyle name="千位分隔[0] 3 11 2 2 2" xfId="60361"/>
    <cellStyle name="千位分隔[0] 3 11 2 3" xfId="60362"/>
    <cellStyle name="千位分隔[0] 3 11 3" xfId="60363"/>
    <cellStyle name="千位分隔[0] 3 11 3 2" xfId="60364"/>
    <cellStyle name="千位分隔[0] 3 11 3 2 2" xfId="60365"/>
    <cellStyle name="千位分隔[0] 3 11 3 3" xfId="60366"/>
    <cellStyle name="千位分隔[0] 3 11 4" xfId="60367"/>
    <cellStyle name="千位分隔[0] 3 11 4 2" xfId="60368"/>
    <cellStyle name="千位分隔[0] 3 11 4 2 2" xfId="60369"/>
    <cellStyle name="千位分隔[0] 3 11 4 3" xfId="60370"/>
    <cellStyle name="千位分隔[0] 3 11 5" xfId="60371"/>
    <cellStyle name="千位分隔[0] 3 11 5 2" xfId="60372"/>
    <cellStyle name="千位分隔[0] 3 11 6" xfId="60373"/>
    <cellStyle name="千位分隔[0] 3 12" xfId="9891"/>
    <cellStyle name="千位分隔[0] 3 12 2" xfId="60374"/>
    <cellStyle name="千位分隔[0] 3 12 2 2" xfId="60375"/>
    <cellStyle name="千位分隔[0] 3 12 2 2 2" xfId="60376"/>
    <cellStyle name="千位分隔[0] 3 12 2 3" xfId="60377"/>
    <cellStyle name="千位分隔[0] 3 12 3" xfId="60378"/>
    <cellStyle name="千位分隔[0] 3 12 3 2" xfId="60379"/>
    <cellStyle name="千位分隔[0] 3 12 3 2 2" xfId="60380"/>
    <cellStyle name="千位分隔[0] 3 12 3 3" xfId="60381"/>
    <cellStyle name="千位分隔[0] 3 12 4" xfId="60382"/>
    <cellStyle name="千位分隔[0] 3 12 4 2" xfId="60383"/>
    <cellStyle name="千位分隔[0] 3 12 4 2 2" xfId="60384"/>
    <cellStyle name="千位分隔[0] 3 12 4 3" xfId="60385"/>
    <cellStyle name="千位分隔[0] 3 12 5" xfId="60386"/>
    <cellStyle name="千位分隔[0] 3 12 5 2" xfId="60387"/>
    <cellStyle name="千位分隔[0] 3 12 6" xfId="60388"/>
    <cellStyle name="千位分隔[0] 3 13" xfId="60389"/>
    <cellStyle name="千位分隔[0] 3 13 2" xfId="60390"/>
    <cellStyle name="千位分隔[0] 3 13 2 2" xfId="60391"/>
    <cellStyle name="千位分隔[0] 3 13 2 2 2" xfId="60392"/>
    <cellStyle name="千位分隔[0] 3 13 2 3" xfId="60393"/>
    <cellStyle name="千位分隔[0] 3 13 3" xfId="60394"/>
    <cellStyle name="千位分隔[0] 3 13 3 2" xfId="60395"/>
    <cellStyle name="千位分隔[0] 3 13 4" xfId="60396"/>
    <cellStyle name="千位分隔[0] 3 14" xfId="60397"/>
    <cellStyle name="千位分隔[0] 3 14 2" xfId="60398"/>
    <cellStyle name="千位分隔[0] 3 14 2 2" xfId="60399"/>
    <cellStyle name="千位分隔[0] 3 14 3" xfId="60400"/>
    <cellStyle name="千位分隔[0] 3 15" xfId="60401"/>
    <cellStyle name="千位分隔[0] 3 15 2" xfId="60402"/>
    <cellStyle name="千位分隔[0] 3 15 2 2" xfId="60403"/>
    <cellStyle name="千位分隔[0] 3 15 3" xfId="60404"/>
    <cellStyle name="千位分隔[0] 3 16" xfId="60405"/>
    <cellStyle name="千位分隔[0] 3 16 2" xfId="60406"/>
    <cellStyle name="千位分隔[0] 3 16 2 2" xfId="60407"/>
    <cellStyle name="千位分隔[0] 3 16 3" xfId="60408"/>
    <cellStyle name="千位分隔[0] 3 17" xfId="61082"/>
    <cellStyle name="千位分隔[0] 3 2" xfId="5307"/>
    <cellStyle name="千位分隔[0] 3 2 2" xfId="5308"/>
    <cellStyle name="千位分隔[0] 3 2 2 2" xfId="5309"/>
    <cellStyle name="千位分隔[0] 3 2 2 2 2" xfId="5310"/>
    <cellStyle name="千位分隔[0] 3 2 2 2 3" xfId="31272"/>
    <cellStyle name="千位分隔[0] 3 2 2 3" xfId="31273"/>
    <cellStyle name="千位分隔[0] 3 2 2 4" xfId="60409"/>
    <cellStyle name="千位分隔[0] 3 2 3" xfId="5311"/>
    <cellStyle name="千位分隔[0] 3 2 3 2" xfId="5312"/>
    <cellStyle name="千位分隔[0] 3 2 3 2 2" xfId="5313"/>
    <cellStyle name="千位分隔[0] 3 2 3 3" xfId="60410"/>
    <cellStyle name="千位分隔[0] 3 2 3 4" xfId="60411"/>
    <cellStyle name="千位分隔[0] 3 2 4" xfId="5314"/>
    <cellStyle name="千位分隔[0] 3 2 5" xfId="9892"/>
    <cellStyle name="千位分隔[0] 3 2 6" xfId="60412"/>
    <cellStyle name="千位分隔[0] 3 2 7" xfId="60413"/>
    <cellStyle name="千位分隔[0] 3 2 7 2" xfId="60414"/>
    <cellStyle name="千位分隔[0] 3 3" xfId="5315"/>
    <cellStyle name="千位分隔[0] 3 3 2" xfId="5316"/>
    <cellStyle name="千位分隔[0] 3 3 2 2" xfId="5317"/>
    <cellStyle name="千位分隔[0] 3 3 2 3" xfId="31274"/>
    <cellStyle name="千位分隔[0] 3 3 3" xfId="31275"/>
    <cellStyle name="千位分隔[0] 3 3 4" xfId="60415"/>
    <cellStyle name="千位分隔[0] 3 4" xfId="5318"/>
    <cellStyle name="千位分隔[0] 3 4 2" xfId="5319"/>
    <cellStyle name="千位分隔[0] 3 4 2 2" xfId="5320"/>
    <cellStyle name="千位分隔[0] 3 4 3" xfId="60416"/>
    <cellStyle name="千位分隔[0] 3 4 4" xfId="60417"/>
    <cellStyle name="千位分隔[0] 3 5" xfId="5321"/>
    <cellStyle name="千位分隔[0] 3 5 2" xfId="5322"/>
    <cellStyle name="千位分隔[0] 3 5 3" xfId="5323"/>
    <cellStyle name="千位分隔[0] 3 5 4" xfId="60418"/>
    <cellStyle name="千位分隔[0] 3 5 4 2" xfId="60419"/>
    <cellStyle name="千位分隔[0] 3 5 4 2 2" xfId="60420"/>
    <cellStyle name="千位分隔[0] 3 5 4 3" xfId="60421"/>
    <cellStyle name="千位分隔[0] 3 5 5" xfId="60422"/>
    <cellStyle name="千位分隔[0] 3 5 5 2" xfId="60423"/>
    <cellStyle name="千位分隔[0] 3 5 5 2 2" xfId="60424"/>
    <cellStyle name="千位分隔[0] 3 5 5 3" xfId="60425"/>
    <cellStyle name="千位分隔[0] 3 5 6" xfId="60426"/>
    <cellStyle name="千位分隔[0] 3 5 6 2" xfId="60427"/>
    <cellStyle name="千位分隔[0] 3 5 6 2 2" xfId="60428"/>
    <cellStyle name="千位分隔[0] 3 5 6 3" xfId="60429"/>
    <cellStyle name="千位分隔[0] 3 5 7" xfId="60430"/>
    <cellStyle name="千位分隔[0] 3 5 7 2" xfId="60431"/>
    <cellStyle name="千位分隔[0] 3 6" xfId="5324"/>
    <cellStyle name="千位分隔[0] 3 6 2" xfId="5325"/>
    <cellStyle name="千位分隔[0] 3 6 3" xfId="60432"/>
    <cellStyle name="千位分隔[0] 3 6 3 2" xfId="60433"/>
    <cellStyle name="千位分隔[0] 3 6 3 2 2" xfId="60434"/>
    <cellStyle name="千位分隔[0] 3 6 3 3" xfId="60435"/>
    <cellStyle name="千位分隔[0] 3 6 4" xfId="60436"/>
    <cellStyle name="千位分隔[0] 3 6 4 2" xfId="60437"/>
    <cellStyle name="千位分隔[0] 3 6 4 2 2" xfId="60438"/>
    <cellStyle name="千位分隔[0] 3 6 4 3" xfId="60439"/>
    <cellStyle name="千位分隔[0] 3 6 5" xfId="60440"/>
    <cellStyle name="千位分隔[0] 3 6 5 2" xfId="60441"/>
    <cellStyle name="千位分隔[0] 3 6 5 2 2" xfId="60442"/>
    <cellStyle name="千位分隔[0] 3 6 5 3" xfId="60443"/>
    <cellStyle name="千位分隔[0] 3 6 6" xfId="60444"/>
    <cellStyle name="千位分隔[0] 3 6 6 2" xfId="60445"/>
    <cellStyle name="千位分隔[0] 3 7" xfId="5326"/>
    <cellStyle name="千位分隔[0] 3 7 2" xfId="60446"/>
    <cellStyle name="千位分隔[0] 3 7 2 2" xfId="60447"/>
    <cellStyle name="千位分隔[0] 3 7 2 2 2" xfId="60448"/>
    <cellStyle name="千位分隔[0] 3 7 2 3" xfId="60449"/>
    <cellStyle name="千位分隔[0] 3 7 3" xfId="60450"/>
    <cellStyle name="千位分隔[0] 3 7 3 2" xfId="60451"/>
    <cellStyle name="千位分隔[0] 3 7 3 2 2" xfId="60452"/>
    <cellStyle name="千位分隔[0] 3 7 3 3" xfId="60453"/>
    <cellStyle name="千位分隔[0] 3 7 4" xfId="60454"/>
    <cellStyle name="千位分隔[0] 3 7 4 2" xfId="60455"/>
    <cellStyle name="千位分隔[0] 3 7 4 2 2" xfId="60456"/>
    <cellStyle name="千位分隔[0] 3 7 4 3" xfId="60457"/>
    <cellStyle name="千位分隔[0] 3 7 5" xfId="60458"/>
    <cellStyle name="千位分隔[0] 3 7 5 2" xfId="60459"/>
    <cellStyle name="千位分隔[0] 3 8" xfId="5327"/>
    <cellStyle name="千位分隔[0] 3 8 2" xfId="60460"/>
    <cellStyle name="千位分隔[0] 3 8 2 2" xfId="60461"/>
    <cellStyle name="千位分隔[0] 3 8 2 2 2" xfId="60462"/>
    <cellStyle name="千位分隔[0] 3 8 2 3" xfId="60463"/>
    <cellStyle name="千位分隔[0] 3 8 3" xfId="60464"/>
    <cellStyle name="千位分隔[0] 3 8 3 2" xfId="60465"/>
    <cellStyle name="千位分隔[0] 3 8 3 2 2" xfId="60466"/>
    <cellStyle name="千位分隔[0] 3 8 3 3" xfId="60467"/>
    <cellStyle name="千位分隔[0] 3 8 4" xfId="60468"/>
    <cellStyle name="千位分隔[0] 3 8 4 2" xfId="60469"/>
    <cellStyle name="千位分隔[0] 3 8 4 2 2" xfId="60470"/>
    <cellStyle name="千位分隔[0] 3 8 4 3" xfId="60471"/>
    <cellStyle name="千位分隔[0] 3 8 5" xfId="60472"/>
    <cellStyle name="千位分隔[0] 3 8 5 2" xfId="60473"/>
    <cellStyle name="千位分隔[0] 3 8 6" xfId="60474"/>
    <cellStyle name="千位分隔[0] 3 9" xfId="5328"/>
    <cellStyle name="千位分隔[0] 3 9 2" xfId="60475"/>
    <cellStyle name="千位分隔[0] 3 9 2 2" xfId="60476"/>
    <cellStyle name="千位分隔[0] 3 9 2 2 2" xfId="60477"/>
    <cellStyle name="千位分隔[0] 3 9 2 3" xfId="60478"/>
    <cellStyle name="千位分隔[0] 3 9 3" xfId="60479"/>
    <cellStyle name="千位分隔[0] 3 9 3 2" xfId="60480"/>
    <cellStyle name="千位分隔[0] 3 9 3 2 2" xfId="60481"/>
    <cellStyle name="千位分隔[0] 3 9 3 3" xfId="60482"/>
    <cellStyle name="千位分隔[0] 3 9 4" xfId="60483"/>
    <cellStyle name="千位分隔[0] 3 9 4 2" xfId="60484"/>
    <cellStyle name="千位分隔[0] 3 9 4 2 2" xfId="60485"/>
    <cellStyle name="千位分隔[0] 3 9 4 3" xfId="60486"/>
    <cellStyle name="千位分隔[0] 3 9 5" xfId="60487"/>
    <cellStyle name="千位分隔[0] 3 9 5 2" xfId="60488"/>
    <cellStyle name="千位分隔[0] 3 9 6" xfId="60489"/>
    <cellStyle name="千位分隔[0] 3_40期事業計画（商品部）  (3)" xfId="5329"/>
    <cellStyle name="千位分隔[0] 4" xfId="5330"/>
    <cellStyle name="千位分隔[0] 4 2" xfId="5331"/>
    <cellStyle name="千位分隔[0] 4 2 2" xfId="60490"/>
    <cellStyle name="千位分隔[0] 4 2 2 2" xfId="60491"/>
    <cellStyle name="千位分隔[0] 4 2 2 3" xfId="60492"/>
    <cellStyle name="千位分隔[0] 4 2 2 4" xfId="60493"/>
    <cellStyle name="千位分隔[0] 4 2 2 5" xfId="60494"/>
    <cellStyle name="千位分隔[0] 4 2 3" xfId="60495"/>
    <cellStyle name="千位分隔[0] 4 2 4" xfId="60496"/>
    <cellStyle name="千位分隔[0] 4 2 5" xfId="60497"/>
    <cellStyle name="千位分隔[0] 4 2 6" xfId="60498"/>
    <cellStyle name="千位分隔[0] 4 3" xfId="5332"/>
    <cellStyle name="千位分隔[0] 4 3 2" xfId="60499"/>
    <cellStyle name="千位分隔[0] 4 3 3" xfId="60500"/>
    <cellStyle name="千位分隔[0] 4 3 4" xfId="60501"/>
    <cellStyle name="千位分隔[0] 4 3 5" xfId="60502"/>
    <cellStyle name="千位分隔[0] 4 4" xfId="5333"/>
    <cellStyle name="千位分隔[0] 4 4 2" xfId="5334"/>
    <cellStyle name="千位分隔[0] 4 4 3" xfId="31276"/>
    <cellStyle name="千位分隔[0] 4 4 4" xfId="60503"/>
    <cellStyle name="千位分隔[0] 4 5" xfId="5335"/>
    <cellStyle name="千位分隔[0] 4 6" xfId="46445"/>
    <cellStyle name="千位分隔[0] 4 7" xfId="60504"/>
    <cellStyle name="千位分隔[0] 4 8" xfId="60505"/>
    <cellStyle name="千位分隔[0] 4 9" xfId="60506"/>
    <cellStyle name="千位分隔[0] 5" xfId="5336"/>
    <cellStyle name="千位分隔[0] 5 2" xfId="5337"/>
    <cellStyle name="千位分隔[0] 5 2 2" xfId="5338"/>
    <cellStyle name="千位分隔[0] 5 2 2 2" xfId="5339"/>
    <cellStyle name="千位分隔[0] 5 2 2 3" xfId="60507"/>
    <cellStyle name="千位分隔[0] 5 2 2 4" xfId="60508"/>
    <cellStyle name="千位分隔[0] 5 2 2 5" xfId="60509"/>
    <cellStyle name="千位分隔[0] 5 2 3" xfId="5340"/>
    <cellStyle name="千位分隔[0] 5 2 3 2" xfId="31277"/>
    <cellStyle name="千位分隔[0] 5 2 4" xfId="60510"/>
    <cellStyle name="千位分隔[0] 5 2 5" xfId="60511"/>
    <cellStyle name="千位分隔[0] 5 2 6" xfId="60512"/>
    <cellStyle name="千位分隔[0] 5 3" xfId="5341"/>
    <cellStyle name="千位分隔[0] 5 3 2" xfId="5342"/>
    <cellStyle name="千位分隔[0] 5 3 3" xfId="60513"/>
    <cellStyle name="千位分隔[0] 5 3 4" xfId="60514"/>
    <cellStyle name="千位分隔[0] 5 3 5" xfId="60515"/>
    <cellStyle name="千位分隔[0] 5 4" xfId="5343"/>
    <cellStyle name="千位分隔[0] 5 4 2" xfId="13822"/>
    <cellStyle name="千位分隔[0] 5 4 2 2" xfId="31278"/>
    <cellStyle name="千位分隔[0] 5 4 3" xfId="13821"/>
    <cellStyle name="千位分隔[0] 5 5" xfId="13823"/>
    <cellStyle name="千位分隔[0] 5 5 2" xfId="31279"/>
    <cellStyle name="千位分隔[0] 5 6" xfId="9901"/>
    <cellStyle name="千位分隔[0] 5 6 2" xfId="31280"/>
    <cellStyle name="千位分隔[0] 5 7" xfId="31281"/>
    <cellStyle name="千位分隔[0] 6" xfId="5344"/>
    <cellStyle name="千位分隔[0] 6 2" xfId="5345"/>
    <cellStyle name="千位分隔[0] 6 2 2" xfId="5346"/>
    <cellStyle name="千位分隔[0] 6 2 2 2" xfId="60516"/>
    <cellStyle name="千位分隔[0] 6 2 2 3" xfId="60517"/>
    <cellStyle name="千位分隔[0] 6 2 2 4" xfId="60518"/>
    <cellStyle name="千位分隔[0] 6 2 2 5" xfId="60519"/>
    <cellStyle name="千位分隔[0] 6 2 3" xfId="5347"/>
    <cellStyle name="千位分隔[0] 6 2 3 2" xfId="60520"/>
    <cellStyle name="千位分隔[0] 6 2 3 3" xfId="60521"/>
    <cellStyle name="千位分隔[0] 6 2 3 4" xfId="60522"/>
    <cellStyle name="千位分隔[0] 6 2 3 5" xfId="60523"/>
    <cellStyle name="千位分隔[0] 6 2 4" xfId="60524"/>
    <cellStyle name="千位分隔[0] 6 2 5" xfId="60525"/>
    <cellStyle name="千位分隔[0] 6 2 6" xfId="60526"/>
    <cellStyle name="千位分隔[0] 6 2 7" xfId="60527"/>
    <cellStyle name="千位分隔[0] 6 3" xfId="5348"/>
    <cellStyle name="千位分隔[0] 6 3 2" xfId="60528"/>
    <cellStyle name="千位分隔[0] 6 3 3" xfId="60529"/>
    <cellStyle name="千位分隔[0] 6 3 4" xfId="60530"/>
    <cellStyle name="千位分隔[0] 6 3 5" xfId="60531"/>
    <cellStyle name="千位分隔[0] 6 4" xfId="5349"/>
    <cellStyle name="千位分隔[0] 6 4 2" xfId="60532"/>
    <cellStyle name="千位分隔[0] 6 4 3" xfId="60533"/>
    <cellStyle name="千位分隔[0] 6 4 4" xfId="60534"/>
    <cellStyle name="千位分隔[0] 6 4 5" xfId="60535"/>
    <cellStyle name="千位分隔[0] 6 5" xfId="9911"/>
    <cellStyle name="千位分隔[0] 6 5 2" xfId="9912"/>
    <cellStyle name="千位分隔[0] 6 5 2 2" xfId="13824"/>
    <cellStyle name="千位分隔[0] 6 5 2 2 2" xfId="31282"/>
    <cellStyle name="千位分隔[0] 6 5 2 3" xfId="13825"/>
    <cellStyle name="千位分隔[0] 6 5 2 3 2" xfId="13826"/>
    <cellStyle name="千位分隔[0] 6 5 2 3 2 2" xfId="10772"/>
    <cellStyle name="千位分隔[0] 6 5 2 3 2 2 2" xfId="31283"/>
    <cellStyle name="千位分隔[0] 6 5 2 3 2 2 2 2" xfId="31284"/>
    <cellStyle name="千位分隔[0] 6 5 2 3 2 2 2 2 2" xfId="31285"/>
    <cellStyle name="千位分隔[0] 6 5 2 3 2 2 2 2 2 2" xfId="31286"/>
    <cellStyle name="千位分隔[0] 6 5 2 3 2 2 2 2 2 2 2" xfId="23394"/>
    <cellStyle name="千位分隔[0] 6 5 2 3 2 2 2 2 2 2 3" xfId="31287"/>
    <cellStyle name="千位分隔[0] 6 5 2 3 2 2 2 2 2 3" xfId="31288"/>
    <cellStyle name="千位分隔[0] 6 5 2 3 2 2 2 2 3" xfId="31289"/>
    <cellStyle name="千位分隔[0] 6 5 2 3 2 2 2 3" xfId="31290"/>
    <cellStyle name="千位分隔[0] 6 5 2 3 2 2 3" xfId="31291"/>
    <cellStyle name="千位分隔[0] 6 5 2 3 2 3" xfId="31292"/>
    <cellStyle name="千位分隔[0] 6 5 2 3 3" xfId="31293"/>
    <cellStyle name="千位分隔[0] 6 5 2 4" xfId="31294"/>
    <cellStyle name="千位分隔[0] 6 5 3" xfId="13827"/>
    <cellStyle name="千位分隔[0] 6 5 3 2" xfId="13828"/>
    <cellStyle name="千位分隔[0] 6 5 3 2 2" xfId="31295"/>
    <cellStyle name="千位分隔[0] 6 5 3 3" xfId="31296"/>
    <cellStyle name="千位分隔[0] 6 5 4" xfId="13829"/>
    <cellStyle name="千位分隔[0] 6 5 4 2" xfId="31297"/>
    <cellStyle name="千位分隔[0] 6 5 5" xfId="13830"/>
    <cellStyle name="千位分隔[0] 6 5 5 2" xfId="13831"/>
    <cellStyle name="千位分隔[0] 6 5 5 2 2" xfId="10771"/>
    <cellStyle name="千位分隔[0] 6 5 5 2 2 2" xfId="31298"/>
    <cellStyle name="千位分隔[0] 6 5 5 2 2 2 2" xfId="31299"/>
    <cellStyle name="千位分隔[0] 6 5 5 2 2 2 2 2" xfId="31300"/>
    <cellStyle name="千位分隔[0] 6 5 5 2 2 2 2 2 2" xfId="31301"/>
    <cellStyle name="千位分隔[0] 6 5 5 2 2 2 2 2 2 2" xfId="23393"/>
    <cellStyle name="千位分隔[0] 6 5 5 2 2 2 2 2 2 3" xfId="31302"/>
    <cellStyle name="千位分隔[0] 6 5 5 2 2 2 2 2 3" xfId="31303"/>
    <cellStyle name="千位分隔[0] 6 5 5 2 2 2 2 3" xfId="31304"/>
    <cellStyle name="千位分隔[0] 6 5 5 2 2 2 3" xfId="31305"/>
    <cellStyle name="千位分隔[0] 6 5 5 2 2 3" xfId="31306"/>
    <cellStyle name="千位分隔[0] 6 5 5 2 3" xfId="31307"/>
    <cellStyle name="千位分隔[0] 6 5 5 3" xfId="31308"/>
    <cellStyle name="千位分隔[0] 6 5 6" xfId="31309"/>
    <cellStyle name="千位分隔[0] 6 6" xfId="13832"/>
    <cellStyle name="千位分隔[0] 6 6 2" xfId="13833"/>
    <cellStyle name="千位分隔[0] 6 6 2 2" xfId="31310"/>
    <cellStyle name="千位分隔[0] 6 6 3" xfId="31311"/>
    <cellStyle name="千位分隔[0] 6 7" xfId="13834"/>
    <cellStyle name="千位分隔[0] 6 7 2" xfId="31312"/>
    <cellStyle name="千位分隔[0] 6 7 2 2" xfId="60536"/>
    <cellStyle name="千位分隔[0] 6 8" xfId="9905"/>
    <cellStyle name="千位分隔[0] 6 8 2" xfId="60537"/>
    <cellStyle name="千位分隔[0] 6 9" xfId="60538"/>
    <cellStyle name="千位分隔[0] 7" xfId="5350"/>
    <cellStyle name="千位分隔[0] 7 2" xfId="5351"/>
    <cellStyle name="千位分隔[0] 7 2 2" xfId="60539"/>
    <cellStyle name="千位分隔[0] 7 2 3" xfId="60540"/>
    <cellStyle name="千位分隔[0] 7 2 4" xfId="60541"/>
    <cellStyle name="千位分隔[0] 7 2 5" xfId="60542"/>
    <cellStyle name="千位分隔[0] 7 3" xfId="5352"/>
    <cellStyle name="千位分隔[0] 7 3 2" xfId="60543"/>
    <cellStyle name="千位分隔[0] 7 3 3" xfId="60544"/>
    <cellStyle name="千位分隔[0] 7 3 4" xfId="60545"/>
    <cellStyle name="千位分隔[0] 7 3 5" xfId="60546"/>
    <cellStyle name="千位分隔[0] 7 4" xfId="60547"/>
    <cellStyle name="千位分隔[0] 7 5" xfId="60548"/>
    <cellStyle name="千位分隔[0] 7 6" xfId="60549"/>
    <cellStyle name="千位分隔[0] 7 7" xfId="60550"/>
    <cellStyle name="千位分隔[0] 8" xfId="5353"/>
    <cellStyle name="千位分隔[0] 8 2" xfId="5354"/>
    <cellStyle name="千位分隔[0] 8 2 2" xfId="5355"/>
    <cellStyle name="千位分隔[0] 8 2 2 2" xfId="5356"/>
    <cellStyle name="千位分隔[0] 8 2 3" xfId="60551"/>
    <cellStyle name="千位分隔[0] 8 2 4" xfId="60552"/>
    <cellStyle name="千位分隔[0] 8 3" xfId="5357"/>
    <cellStyle name="千位分隔[0] 8 3 2" xfId="5358"/>
    <cellStyle name="千位分隔[0] 8 3 2 2" xfId="5359"/>
    <cellStyle name="千位分隔[0] 8 3 3" xfId="60553"/>
    <cellStyle name="千位分隔[0] 8 3 4" xfId="60554"/>
    <cellStyle name="千位分隔[0] 8 4" xfId="5360"/>
    <cellStyle name="千位分隔[0] 8 4 2" xfId="5361"/>
    <cellStyle name="千位分隔[0] 8 4 2 2" xfId="5362"/>
    <cellStyle name="千位分隔[0] 8 4 3" xfId="60555"/>
    <cellStyle name="千位分隔[0] 8 4 4" xfId="60556"/>
    <cellStyle name="千位分隔[0] 8 5" xfId="5363"/>
    <cellStyle name="千位分隔[0] 8 5 2" xfId="5364"/>
    <cellStyle name="千位分隔[0] 8 6" xfId="60557"/>
    <cellStyle name="千位分隔[0] 8 7" xfId="60558"/>
    <cellStyle name="千位分隔[0] 9" xfId="5365"/>
    <cellStyle name="千位分隔[0] 9 2" xfId="5366"/>
    <cellStyle name="千位分隔[0] 9 2 2" xfId="9921"/>
    <cellStyle name="千位分隔[0] 9 2 2 2" xfId="60559"/>
    <cellStyle name="千位分隔[0] 9 2 2 2 2" xfId="60560"/>
    <cellStyle name="千位分隔[0] 9 2 2 2 2 2" xfId="60561"/>
    <cellStyle name="千位分隔[0] 9 2 2 2 3" xfId="60562"/>
    <cellStyle name="千位分隔[0] 9 2 2 3" xfId="60563"/>
    <cellStyle name="千位分隔[0] 9 2 2 3 2" xfId="60564"/>
    <cellStyle name="千位分隔[0] 9 2 2 4" xfId="60565"/>
    <cellStyle name="千位分隔[0] 9 2 3" xfId="60566"/>
    <cellStyle name="千位分隔[0] 9 2 4" xfId="60567"/>
    <cellStyle name="千位分隔[0] 9 2 4 2" xfId="60568"/>
    <cellStyle name="千位分隔[0] 9 2 4 2 2" xfId="60569"/>
    <cellStyle name="千位分隔[0] 9 2 4 3" xfId="60570"/>
    <cellStyle name="千位分隔[0] 9 2 5" xfId="60571"/>
    <cellStyle name="千位分隔[0] 9 2 5 2" xfId="60572"/>
    <cellStyle name="千位分隔[0] 9 2 5 2 2" xfId="60573"/>
    <cellStyle name="千位分隔[0] 9 2 5 3" xfId="60574"/>
    <cellStyle name="千位分隔[0] 9 2 6" xfId="60575"/>
    <cellStyle name="千位分隔[0] 9 2 6 2" xfId="60576"/>
    <cellStyle name="千位分隔[0] 9 2 6 2 2" xfId="60577"/>
    <cellStyle name="千位分隔[0] 9 2 6 3" xfId="60578"/>
    <cellStyle name="千位分隔[0] 9 3" xfId="9920"/>
    <cellStyle name="千位分隔[0] 9 3 2" xfId="60579"/>
    <cellStyle name="千位分隔[0] 9 3 2 2" xfId="60580"/>
    <cellStyle name="千位分隔[0] 9 3 2 2 2" xfId="60581"/>
    <cellStyle name="千位分隔[0] 9 3 2 3" xfId="60582"/>
    <cellStyle name="千位分隔[0] 9 3 3" xfId="60583"/>
    <cellStyle name="千位分隔[0] 9 3 3 2" xfId="60584"/>
    <cellStyle name="千位分隔[0] 9 3 3 2 2" xfId="60585"/>
    <cellStyle name="千位分隔[0] 9 3 3 3" xfId="60586"/>
    <cellStyle name="千位分隔[0] 9 3 4" xfId="60587"/>
    <cellStyle name="千位分隔[0] 9 3 4 2" xfId="60588"/>
    <cellStyle name="千位分隔[0] 9 3 4 2 2" xfId="60589"/>
    <cellStyle name="千位分隔[0] 9 3 4 3" xfId="60590"/>
    <cellStyle name="千位分隔[0] 9 3 5" xfId="60591"/>
    <cellStyle name="千位分隔[0] 9 3 5 2" xfId="60592"/>
    <cellStyle name="千位分隔[0] 9 4" xfId="60593"/>
    <cellStyle name="千位分隔[0] 9 4 2" xfId="60594"/>
    <cellStyle name="千位分隔[0] 9 4 2 2" xfId="60595"/>
    <cellStyle name="千位分隔[0] 9 4 2 2 2" xfId="60596"/>
    <cellStyle name="千位分隔[0] 9 4 2 3" xfId="60597"/>
    <cellStyle name="千位分隔[0] 9 4 3" xfId="60598"/>
    <cellStyle name="千位分隔[0] 9 4 3 2" xfId="60599"/>
    <cellStyle name="千位分隔[0] 9 5" xfId="60600"/>
    <cellStyle name="千位分隔[0] 9 5 2" xfId="60601"/>
    <cellStyle name="千位分隔[0] 9 6" xfId="60602"/>
    <cellStyle name="千位分隔[0] 9 6 2" xfId="60603"/>
    <cellStyle name="千位分隔[0] 9 6 2 2" xfId="60604"/>
    <cellStyle name="千位分隔[0] 9 6 3" xfId="60605"/>
    <cellStyle name="千位分隔[0] 9 7" xfId="60606"/>
    <cellStyle name="千位分隔[0] 9 7 2" xfId="60607"/>
    <cellStyle name="千位分隔[0] 9 7 2 2" xfId="60608"/>
    <cellStyle name="千位分隔[0] 9 7 3" xfId="60609"/>
    <cellStyle name="千位分隔[0] 9 8" xfId="60610"/>
    <cellStyle name="千位分隔[0] 9 8 2" xfId="60611"/>
    <cellStyle name="千位分隔[0] 9 8 2 2" xfId="60612"/>
    <cellStyle name="千位分隔[0] 9 8 3" xfId="60613"/>
    <cellStyle name="强调文字颜色 1 2" xfId="670"/>
    <cellStyle name="强调文字颜色 1 2 2" xfId="5367"/>
    <cellStyle name="强调文字颜色 1 2 2 2" xfId="5368"/>
    <cellStyle name="强调文字颜色 1 2 2 2 2" xfId="9924"/>
    <cellStyle name="强调文字颜色 1 2 2 2 3" xfId="60614"/>
    <cellStyle name="强调文字颜色 1 2 2 2 4" xfId="60615"/>
    <cellStyle name="强调文字颜色 1 2 2 3" xfId="5369"/>
    <cellStyle name="强调文字颜色 1 2 2 4" xfId="9923"/>
    <cellStyle name="强调文字颜色 1 2 2 5" xfId="60616"/>
    <cellStyle name="强调文字颜色 1 2 3" xfId="5370"/>
    <cellStyle name="强调文字颜色 1 2 3 2" xfId="9925"/>
    <cellStyle name="强调文字颜色 1 2 4" xfId="60617"/>
    <cellStyle name="强调文字颜色 1 2 5" xfId="60618"/>
    <cellStyle name="强调文字颜色 1 2 6" xfId="60619"/>
    <cellStyle name="强调文字颜色 1 2 7" xfId="60620"/>
    <cellStyle name="强调文字颜色 1 2 8" xfId="761"/>
    <cellStyle name="强调文字颜色 1 3" xfId="5371"/>
    <cellStyle name="强调文字颜色 1 3 2" xfId="9927"/>
    <cellStyle name="强调文字颜色 1 3 3" xfId="9926"/>
    <cellStyle name="强调文字颜色 1 3 4" xfId="60621"/>
    <cellStyle name="强调文字颜色 1 4" xfId="9928"/>
    <cellStyle name="强调文字颜色 1 4 2" xfId="9929"/>
    <cellStyle name="强调文字颜色 1 5" xfId="60622"/>
    <cellStyle name="强调文字颜色 1 6" xfId="60623"/>
    <cellStyle name="强调文字颜色 2 2" xfId="671"/>
    <cellStyle name="强调文字颜色 2 2 2" xfId="5372"/>
    <cellStyle name="强调文字颜色 2 2 2 2" xfId="5373"/>
    <cellStyle name="强调文字颜色 2 2 2 2 2" xfId="9932"/>
    <cellStyle name="强调文字颜色 2 2 2 2 3" xfId="60624"/>
    <cellStyle name="强调文字颜色 2 2 2 2 4" xfId="60625"/>
    <cellStyle name="强调文字颜色 2 2 2 3" xfId="5374"/>
    <cellStyle name="强调文字颜色 2 2 2 4" xfId="9931"/>
    <cellStyle name="强调文字颜色 2 2 2 5" xfId="60626"/>
    <cellStyle name="强调文字颜色 2 2 3" xfId="5375"/>
    <cellStyle name="强调文字颜色 2 2 3 2" xfId="9933"/>
    <cellStyle name="强调文字颜色 2 2 4" xfId="60627"/>
    <cellStyle name="强调文字颜色 2 2 5" xfId="60628"/>
    <cellStyle name="强调文字颜色 2 2 6" xfId="60629"/>
    <cellStyle name="强调文字颜色 2 2 7" xfId="60630"/>
    <cellStyle name="强调文字颜色 2 2 8" xfId="762"/>
    <cellStyle name="强调文字颜色 2 3" xfId="5376"/>
    <cellStyle name="强调文字颜色 2 3 2" xfId="9935"/>
    <cellStyle name="强调文字颜色 2 3 3" xfId="9934"/>
    <cellStyle name="强调文字颜色 2 3 4" xfId="60631"/>
    <cellStyle name="强调文字颜色 2 4" xfId="9936"/>
    <cellStyle name="强调文字颜色 2 4 2" xfId="9937"/>
    <cellStyle name="强调文字颜色 2 5" xfId="60632"/>
    <cellStyle name="强调文字颜色 2 6" xfId="60633"/>
    <cellStyle name="强调文字颜色 3 2" xfId="672"/>
    <cellStyle name="强调文字颜色 3 2 2" xfId="5377"/>
    <cellStyle name="强调文字颜色 3 2 2 2" xfId="5378"/>
    <cellStyle name="强调文字颜色 3 2 2 2 2" xfId="9940"/>
    <cellStyle name="强调文字颜色 3 2 2 2 3" xfId="60634"/>
    <cellStyle name="强调文字颜色 3 2 2 2 4" xfId="60635"/>
    <cellStyle name="强调文字颜色 3 2 2 3" xfId="5379"/>
    <cellStyle name="强调文字颜色 3 2 2 4" xfId="9939"/>
    <cellStyle name="强调文字颜色 3 2 2 5" xfId="60636"/>
    <cellStyle name="强调文字颜色 3 2 3" xfId="5380"/>
    <cellStyle name="强调文字颜色 3 2 3 2" xfId="9941"/>
    <cellStyle name="强调文字颜色 3 2 4" xfId="60637"/>
    <cellStyle name="强调文字颜色 3 2 5" xfId="60638"/>
    <cellStyle name="强调文字颜色 3 2 6" xfId="60639"/>
    <cellStyle name="强调文字颜色 3 2 7" xfId="60640"/>
    <cellStyle name="强调文字颜色 3 2 8" xfId="763"/>
    <cellStyle name="强调文字颜色 3 3" xfId="5381"/>
    <cellStyle name="强调文字颜色 3 3 2" xfId="9943"/>
    <cellStyle name="强调文字颜色 3 3 3" xfId="9942"/>
    <cellStyle name="强调文字颜色 3 3 4" xfId="60641"/>
    <cellStyle name="强调文字颜色 3 4" xfId="9944"/>
    <cellStyle name="强调文字颜色 3 4 2" xfId="9945"/>
    <cellStyle name="强调文字颜色 3 5" xfId="60642"/>
    <cellStyle name="强调文字颜色 3 6" xfId="60643"/>
    <cellStyle name="强调文字颜色 4 2" xfId="673"/>
    <cellStyle name="强调文字颜色 4 2 2" xfId="5382"/>
    <cellStyle name="强调文字颜色 4 2 2 2" xfId="5383"/>
    <cellStyle name="强调文字颜色 4 2 2 2 2" xfId="9948"/>
    <cellStyle name="强调文字颜色 4 2 2 2 3" xfId="60644"/>
    <cellStyle name="强调文字颜色 4 2 2 2 4" xfId="60645"/>
    <cellStyle name="强调文字颜色 4 2 2 3" xfId="5384"/>
    <cellStyle name="强调文字颜色 4 2 2 4" xfId="9947"/>
    <cellStyle name="强调文字颜色 4 2 2 5" xfId="60646"/>
    <cellStyle name="强调文字颜色 4 2 3" xfId="5385"/>
    <cellStyle name="强调文字颜色 4 2 3 2" xfId="9949"/>
    <cellStyle name="强调文字颜色 4 2 4" xfId="60647"/>
    <cellStyle name="强调文字颜色 4 2 5" xfId="60648"/>
    <cellStyle name="强调文字颜色 4 2 6" xfId="60649"/>
    <cellStyle name="强调文字颜色 4 2 7" xfId="60650"/>
    <cellStyle name="强调文字颜色 4 2 8" xfId="764"/>
    <cellStyle name="强调文字颜色 4 3" xfId="5386"/>
    <cellStyle name="强调文字颜色 4 3 2" xfId="9951"/>
    <cellStyle name="强调文字颜色 4 3 3" xfId="9950"/>
    <cellStyle name="强调文字颜色 4 3 4" xfId="60651"/>
    <cellStyle name="强调文字颜色 4 4" xfId="9952"/>
    <cellStyle name="强调文字颜色 4 4 2" xfId="9953"/>
    <cellStyle name="强调文字颜色 4 5" xfId="60652"/>
    <cellStyle name="强调文字颜色 4 6" xfId="60653"/>
    <cellStyle name="强调文字颜色 5 2" xfId="674"/>
    <cellStyle name="强调文字颜色 5 2 2" xfId="5387"/>
    <cellStyle name="强调文字颜色 5 2 2 2" xfId="5388"/>
    <cellStyle name="强调文字颜色 5 2 2 2 2" xfId="9956"/>
    <cellStyle name="强调文字颜色 5 2 2 2 3" xfId="60654"/>
    <cellStyle name="强调文字颜色 5 2 2 2 4" xfId="60655"/>
    <cellStyle name="强调文字颜色 5 2 2 3" xfId="5389"/>
    <cellStyle name="强调文字颜色 5 2 2 4" xfId="9955"/>
    <cellStyle name="强调文字颜色 5 2 2 5" xfId="60656"/>
    <cellStyle name="强调文字颜色 5 2 3" xfId="5390"/>
    <cellStyle name="强调文字颜色 5 2 3 2" xfId="9957"/>
    <cellStyle name="强调文字颜色 5 2 4" xfId="60657"/>
    <cellStyle name="强调文字颜色 5 2 5" xfId="60658"/>
    <cellStyle name="强调文字颜色 5 2 6" xfId="60659"/>
    <cellStyle name="强调文字颜色 5 2 7" xfId="60660"/>
    <cellStyle name="强调文字颜色 5 2 8" xfId="765"/>
    <cellStyle name="强调文字颜色 5 3" xfId="5391"/>
    <cellStyle name="强调文字颜色 5 3 2" xfId="9959"/>
    <cellStyle name="强调文字颜色 5 3 3" xfId="9958"/>
    <cellStyle name="强调文字颜色 5 3 4" xfId="60661"/>
    <cellStyle name="强调文字颜色 5 4" xfId="9960"/>
    <cellStyle name="强调文字颜色 5 4 2" xfId="9961"/>
    <cellStyle name="强调文字颜色 5 5" xfId="60662"/>
    <cellStyle name="强调文字颜色 5 6" xfId="60663"/>
    <cellStyle name="强调文字颜色 6 2" xfId="675"/>
    <cellStyle name="强调文字颜色 6 2 2" xfId="5392"/>
    <cellStyle name="强调文字颜色 6 2 2 2" xfId="5393"/>
    <cellStyle name="强调文字颜色 6 2 2 2 2" xfId="9964"/>
    <cellStyle name="强调文字颜色 6 2 2 2 3" xfId="60664"/>
    <cellStyle name="强调文字颜色 6 2 2 2 4" xfId="60665"/>
    <cellStyle name="强调文字颜色 6 2 2 3" xfId="5394"/>
    <cellStyle name="强调文字颜色 6 2 2 4" xfId="9963"/>
    <cellStyle name="强调文字颜色 6 2 2 5" xfId="60666"/>
    <cellStyle name="强调文字颜色 6 2 3" xfId="5395"/>
    <cellStyle name="强调文字颜色 6 2 3 2" xfId="9965"/>
    <cellStyle name="强调文字颜色 6 2 4" xfId="60667"/>
    <cellStyle name="强调文字颜色 6 2 5" xfId="60668"/>
    <cellStyle name="强调文字颜色 6 2 6" xfId="60669"/>
    <cellStyle name="强调文字颜色 6 2 7" xfId="60670"/>
    <cellStyle name="强调文字颜色 6 2 8" xfId="766"/>
    <cellStyle name="强调文字颜色 6 3" xfId="5396"/>
    <cellStyle name="强调文字颜色 6 3 2" xfId="9967"/>
    <cellStyle name="强调文字颜色 6 3 3" xfId="9966"/>
    <cellStyle name="强调文字颜色 6 3 4" xfId="60671"/>
    <cellStyle name="强调文字颜色 6 4" xfId="9968"/>
    <cellStyle name="强调文字颜色 6 4 2" xfId="9969"/>
    <cellStyle name="强调文字颜色 6 5" xfId="60672"/>
    <cellStyle name="强调文字颜色 6 6" xfId="60673"/>
    <cellStyle name="入力" xfId="5397"/>
    <cellStyle name="入力 10" xfId="31314"/>
    <cellStyle name="入力 10 2" xfId="43054"/>
    <cellStyle name="入力 11" xfId="31313"/>
    <cellStyle name="入力 12" xfId="43053"/>
    <cellStyle name="入力 2" xfId="658"/>
    <cellStyle name="入力 2 10" xfId="13835"/>
    <cellStyle name="入力 2 10 2" xfId="19743"/>
    <cellStyle name="入力 2 10 2 2" xfId="31317"/>
    <cellStyle name="入力 2 10 2 3" xfId="43056"/>
    <cellStyle name="入力 2 10 3" xfId="31316"/>
    <cellStyle name="入力 2 10 4" xfId="43055"/>
    <cellStyle name="入力 2 11" xfId="13836"/>
    <cellStyle name="入力 2 11 2" xfId="18319"/>
    <cellStyle name="入力 2 11 2 2" xfId="31319"/>
    <cellStyle name="入力 2 11 2 3" xfId="43058"/>
    <cellStyle name="入力 2 11 3" xfId="31318"/>
    <cellStyle name="入力 2 11 4" xfId="43057"/>
    <cellStyle name="入力 2 12" xfId="9971"/>
    <cellStyle name="入力 2 12 2" xfId="31321"/>
    <cellStyle name="入力 2 12 2 2" xfId="43060"/>
    <cellStyle name="入力 2 12 3" xfId="31320"/>
    <cellStyle name="入力 2 12 4" xfId="43059"/>
    <cellStyle name="入力 2 13" xfId="31322"/>
    <cellStyle name="入力 2 13 2" xfId="43061"/>
    <cellStyle name="入力 2 14" xfId="31323"/>
    <cellStyle name="入力 2 14 2" xfId="43062"/>
    <cellStyle name="入力 2 15" xfId="31315"/>
    <cellStyle name="入力 2 16" xfId="5398"/>
    <cellStyle name="入力 2 2" xfId="5399"/>
    <cellStyle name="入力 2 2 10" xfId="9972"/>
    <cellStyle name="入力 2 2 10 2" xfId="31326"/>
    <cellStyle name="入力 2 2 10 2 2" xfId="43064"/>
    <cellStyle name="入力 2 2 10 3" xfId="31325"/>
    <cellStyle name="入力 2 2 10 4" xfId="43063"/>
    <cellStyle name="入力 2 2 11" xfId="31327"/>
    <cellStyle name="入力 2 2 11 2" xfId="43065"/>
    <cellStyle name="入力 2 2 12" xfId="31324"/>
    <cellStyle name="入力 2 2 13" xfId="61083"/>
    <cellStyle name="入力 2 2 2" xfId="5400"/>
    <cellStyle name="入力 2 2 2 2" xfId="5401"/>
    <cellStyle name="入力 2 2 2 2 2" xfId="13838"/>
    <cellStyle name="入力 2 2 2 2 2 2" xfId="19742"/>
    <cellStyle name="入力 2 2 2 2 2 2 2" xfId="31331"/>
    <cellStyle name="入力 2 2 2 2 2 2 3" xfId="43067"/>
    <cellStyle name="入力 2 2 2 2 2 3" xfId="31330"/>
    <cellStyle name="入力 2 2 2 2 2 4" xfId="43066"/>
    <cellStyle name="入力 2 2 2 2 3" xfId="13839"/>
    <cellStyle name="入力 2 2 2 2 3 2" xfId="19741"/>
    <cellStyle name="入力 2 2 2 2 3 2 2" xfId="31333"/>
    <cellStyle name="入力 2 2 2 2 3 2 3" xfId="43069"/>
    <cellStyle name="入力 2 2 2 2 3 3" xfId="31332"/>
    <cellStyle name="入力 2 2 2 2 3 4" xfId="43068"/>
    <cellStyle name="入力 2 2 2 2 4" xfId="13837"/>
    <cellStyle name="入力 2 2 2 2 4 2" xfId="31334"/>
    <cellStyle name="入力 2 2 2 2 4 3" xfId="43070"/>
    <cellStyle name="入力 2 2 2 2 5" xfId="6821"/>
    <cellStyle name="入力 2 2 2 2 6" xfId="31329"/>
    <cellStyle name="入力 2 2 2 3" xfId="5402"/>
    <cellStyle name="入力 2 2 2 3 2" xfId="13840"/>
    <cellStyle name="入力 2 2 2 3 2 2" xfId="31336"/>
    <cellStyle name="入力 2 2 2 3 2 2 2" xfId="60674"/>
    <cellStyle name="入力 2 2 2 3 2 2 3" xfId="60675"/>
    <cellStyle name="入力 2 2 2 3 2 3" xfId="43071"/>
    <cellStyle name="入力 2 2 2 3 2 4" xfId="60676"/>
    <cellStyle name="入力 2 2 2 3 3" xfId="19740"/>
    <cellStyle name="入力 2 2 2 3 3 2" xfId="60677"/>
    <cellStyle name="入力 2 2 2 3 3 3" xfId="60678"/>
    <cellStyle name="入力 2 2 2 3 4" xfId="31335"/>
    <cellStyle name="入力 2 2 2 3 5" xfId="60679"/>
    <cellStyle name="入力 2 2 2 4" xfId="13841"/>
    <cellStyle name="入力 2 2 2 4 2" xfId="19739"/>
    <cellStyle name="入力 2 2 2 4 2 2" xfId="31338"/>
    <cellStyle name="入力 2 2 2 4 2 3" xfId="43073"/>
    <cellStyle name="入力 2 2 2 4 3" xfId="31337"/>
    <cellStyle name="入力 2 2 2 4 4" xfId="43072"/>
    <cellStyle name="入力 2 2 2 5" xfId="9973"/>
    <cellStyle name="入力 2 2 2 5 2" xfId="31339"/>
    <cellStyle name="入力 2 2 2 5 3" xfId="43074"/>
    <cellStyle name="入力 2 2 2 6" xfId="31328"/>
    <cellStyle name="入力 2 2 3" xfId="5403"/>
    <cellStyle name="入力 2 2 3 2" xfId="13842"/>
    <cellStyle name="入力 2 2 3 2 2" xfId="13843"/>
    <cellStyle name="入力 2 2 3 2 2 2" xfId="18318"/>
    <cellStyle name="入力 2 2 3 2 2 2 2" xfId="31343"/>
    <cellStyle name="入力 2 2 3 2 2 2 3" xfId="43077"/>
    <cellStyle name="入力 2 2 3 2 2 3" xfId="31342"/>
    <cellStyle name="入力 2 2 3 2 2 4" xfId="43076"/>
    <cellStyle name="入力 2 2 3 2 3" xfId="13844"/>
    <cellStyle name="入力 2 2 3 2 3 2" xfId="18692"/>
    <cellStyle name="入力 2 2 3 2 3 2 2" xfId="31345"/>
    <cellStyle name="入力 2 2 3 2 3 2 3" xfId="43079"/>
    <cellStyle name="入力 2 2 3 2 3 3" xfId="31344"/>
    <cellStyle name="入力 2 2 3 2 3 4" xfId="43078"/>
    <cellStyle name="入力 2 2 3 2 4" xfId="6822"/>
    <cellStyle name="入力 2 2 3 2 4 2" xfId="31346"/>
    <cellStyle name="入力 2 2 3 2 4 3" xfId="43080"/>
    <cellStyle name="入力 2 2 3 2 5" xfId="31341"/>
    <cellStyle name="入力 2 2 3 2 6" xfId="43075"/>
    <cellStyle name="入力 2 2 3 3" xfId="13845"/>
    <cellStyle name="入力 2 2 3 3 2" xfId="19738"/>
    <cellStyle name="入力 2 2 3 3 2 2" xfId="31348"/>
    <cellStyle name="入力 2 2 3 3 2 3" xfId="43082"/>
    <cellStyle name="入力 2 2 3 3 3" xfId="31347"/>
    <cellStyle name="入力 2 2 3 3 4" xfId="43081"/>
    <cellStyle name="入力 2 2 3 4" xfId="13846"/>
    <cellStyle name="入力 2 2 3 4 2" xfId="19737"/>
    <cellStyle name="入力 2 2 3 4 2 2" xfId="31350"/>
    <cellStyle name="入力 2 2 3 4 2 3" xfId="43084"/>
    <cellStyle name="入力 2 2 3 4 3" xfId="31349"/>
    <cellStyle name="入力 2 2 3 4 4" xfId="43083"/>
    <cellStyle name="入力 2 2 3 5" xfId="9974"/>
    <cellStyle name="入力 2 2 3 5 2" xfId="31351"/>
    <cellStyle name="入力 2 2 3 5 3" xfId="43085"/>
    <cellStyle name="入力 2 2 3 6" xfId="31340"/>
    <cellStyle name="入力 2 2 4" xfId="5404"/>
    <cellStyle name="入力 2 2 4 2" xfId="13847"/>
    <cellStyle name="入力 2 2 4 2 2" xfId="13848"/>
    <cellStyle name="入力 2 2 4 2 2 2" xfId="19736"/>
    <cellStyle name="入力 2 2 4 2 2 2 2" xfId="31355"/>
    <cellStyle name="入力 2 2 4 2 2 2 3" xfId="43088"/>
    <cellStyle name="入力 2 2 4 2 2 3" xfId="31354"/>
    <cellStyle name="入力 2 2 4 2 2 4" xfId="43087"/>
    <cellStyle name="入力 2 2 4 2 3" xfId="13849"/>
    <cellStyle name="入力 2 2 4 2 3 2" xfId="19735"/>
    <cellStyle name="入力 2 2 4 2 3 2 2" xfId="31357"/>
    <cellStyle name="入力 2 2 4 2 3 2 3" xfId="43090"/>
    <cellStyle name="入力 2 2 4 2 3 3" xfId="31356"/>
    <cellStyle name="入力 2 2 4 2 3 4" xfId="43089"/>
    <cellStyle name="入力 2 2 4 2 4" xfId="20898"/>
    <cellStyle name="入力 2 2 4 2 4 2" xfId="31358"/>
    <cellStyle name="入力 2 2 4 2 4 3" xfId="43091"/>
    <cellStyle name="入力 2 2 4 2 5" xfId="31353"/>
    <cellStyle name="入力 2 2 4 2 6" xfId="43086"/>
    <cellStyle name="入力 2 2 4 3" xfId="13850"/>
    <cellStyle name="入力 2 2 4 3 2" xfId="21241"/>
    <cellStyle name="入力 2 2 4 3 2 2" xfId="31360"/>
    <cellStyle name="入力 2 2 4 3 2 3" xfId="43093"/>
    <cellStyle name="入力 2 2 4 3 3" xfId="31359"/>
    <cellStyle name="入力 2 2 4 3 4" xfId="43092"/>
    <cellStyle name="入力 2 2 4 4" xfId="13851"/>
    <cellStyle name="入力 2 2 4 4 2" xfId="21240"/>
    <cellStyle name="入力 2 2 4 4 2 2" xfId="31362"/>
    <cellStyle name="入力 2 2 4 4 2 3" xfId="43095"/>
    <cellStyle name="入力 2 2 4 4 3" xfId="31361"/>
    <cellStyle name="入力 2 2 4 4 4" xfId="43094"/>
    <cellStyle name="入力 2 2 4 5" xfId="9975"/>
    <cellStyle name="入力 2 2 4 5 2" xfId="31363"/>
    <cellStyle name="入力 2 2 4 5 3" xfId="43096"/>
    <cellStyle name="入力 2 2 4 6" xfId="31352"/>
    <cellStyle name="入力 2 2 5" xfId="9976"/>
    <cellStyle name="入力 2 2 5 2" xfId="13852"/>
    <cellStyle name="入力 2 2 5 2 2" xfId="13853"/>
    <cellStyle name="入力 2 2 5 2 2 2" xfId="21239"/>
    <cellStyle name="入力 2 2 5 2 2 2 2" xfId="31367"/>
    <cellStyle name="入力 2 2 5 2 2 2 3" xfId="43100"/>
    <cellStyle name="入力 2 2 5 2 2 3" xfId="31366"/>
    <cellStyle name="入力 2 2 5 2 2 4" xfId="43099"/>
    <cellStyle name="入力 2 2 5 2 3" xfId="13854"/>
    <cellStyle name="入力 2 2 5 2 3 2" xfId="18317"/>
    <cellStyle name="入力 2 2 5 2 3 2 2" xfId="31369"/>
    <cellStyle name="入力 2 2 5 2 3 2 3" xfId="43102"/>
    <cellStyle name="入力 2 2 5 2 3 3" xfId="31368"/>
    <cellStyle name="入力 2 2 5 2 3 4" xfId="43101"/>
    <cellStyle name="入力 2 2 5 2 4" xfId="6823"/>
    <cellStyle name="入力 2 2 5 2 4 2" xfId="31370"/>
    <cellStyle name="入力 2 2 5 2 4 3" xfId="43103"/>
    <cellStyle name="入力 2 2 5 2 5" xfId="31365"/>
    <cellStyle name="入力 2 2 5 2 6" xfId="43098"/>
    <cellStyle name="入力 2 2 5 3" xfId="13855"/>
    <cellStyle name="入力 2 2 5 3 2" xfId="19734"/>
    <cellStyle name="入力 2 2 5 3 2 2" xfId="31372"/>
    <cellStyle name="入力 2 2 5 3 2 3" xfId="43105"/>
    <cellStyle name="入力 2 2 5 3 3" xfId="31371"/>
    <cellStyle name="入力 2 2 5 3 4" xfId="43104"/>
    <cellStyle name="入力 2 2 5 4" xfId="13856"/>
    <cellStyle name="入力 2 2 5 4 2" xfId="19733"/>
    <cellStyle name="入力 2 2 5 4 2 2" xfId="31374"/>
    <cellStyle name="入力 2 2 5 4 2 3" xfId="43107"/>
    <cellStyle name="入力 2 2 5 4 3" xfId="31373"/>
    <cellStyle name="入力 2 2 5 4 4" xfId="43106"/>
    <cellStyle name="入力 2 2 5 5" xfId="31375"/>
    <cellStyle name="入力 2 2 5 5 2" xfId="43108"/>
    <cellStyle name="入力 2 2 5 6" xfId="31364"/>
    <cellStyle name="入力 2 2 5 7" xfId="43097"/>
    <cellStyle name="入力 2 2 6" xfId="9977"/>
    <cellStyle name="入力 2 2 6 2" xfId="13857"/>
    <cellStyle name="入力 2 2 6 2 2" xfId="13858"/>
    <cellStyle name="入力 2 2 6 2 2 2" xfId="19732"/>
    <cellStyle name="入力 2 2 6 2 2 2 2" xfId="31379"/>
    <cellStyle name="入力 2 2 6 2 2 2 3" xfId="43112"/>
    <cellStyle name="入力 2 2 6 2 2 3" xfId="31378"/>
    <cellStyle name="入力 2 2 6 2 2 4" xfId="43111"/>
    <cellStyle name="入力 2 2 6 2 3" xfId="6824"/>
    <cellStyle name="入力 2 2 6 2 3 2" xfId="31380"/>
    <cellStyle name="入力 2 2 6 2 3 3" xfId="43113"/>
    <cellStyle name="入力 2 2 6 2 4" xfId="31377"/>
    <cellStyle name="入力 2 2 6 2 5" xfId="43110"/>
    <cellStyle name="入力 2 2 6 3" xfId="13859"/>
    <cellStyle name="入力 2 2 6 3 2" xfId="19731"/>
    <cellStyle name="入力 2 2 6 3 2 2" xfId="31382"/>
    <cellStyle name="入力 2 2 6 3 2 3" xfId="43115"/>
    <cellStyle name="入力 2 2 6 3 3" xfId="31381"/>
    <cellStyle name="入力 2 2 6 3 4" xfId="43114"/>
    <cellStyle name="入力 2 2 6 4" xfId="31383"/>
    <cellStyle name="入力 2 2 6 4 2" xfId="43116"/>
    <cellStyle name="入力 2 2 6 5" xfId="31376"/>
    <cellStyle name="入力 2 2 6 6" xfId="43109"/>
    <cellStyle name="入力 2 2 7" xfId="13860"/>
    <cellStyle name="入力 2 2 7 2" xfId="13861"/>
    <cellStyle name="入力 2 2 7 2 2" xfId="18316"/>
    <cellStyle name="入力 2 2 7 2 2 2" xfId="31386"/>
    <cellStyle name="入力 2 2 7 2 2 3" xfId="43119"/>
    <cellStyle name="入力 2 2 7 2 3" xfId="31385"/>
    <cellStyle name="入力 2 2 7 2 4" xfId="43118"/>
    <cellStyle name="入力 2 2 7 3" xfId="13862"/>
    <cellStyle name="入力 2 2 7 3 2" xfId="18315"/>
    <cellStyle name="入力 2 2 7 3 2 2" xfId="31388"/>
    <cellStyle name="入力 2 2 7 3 2 3" xfId="43121"/>
    <cellStyle name="入力 2 2 7 3 3" xfId="31387"/>
    <cellStyle name="入力 2 2 7 3 4" xfId="43120"/>
    <cellStyle name="入力 2 2 7 4" xfId="21238"/>
    <cellStyle name="入力 2 2 7 4 2" xfId="31389"/>
    <cellStyle name="入力 2 2 7 4 3" xfId="43122"/>
    <cellStyle name="入力 2 2 7 5" xfId="31384"/>
    <cellStyle name="入力 2 2 7 6" xfId="43117"/>
    <cellStyle name="入力 2 2 8" xfId="13863"/>
    <cellStyle name="入力 2 2 8 2" xfId="19730"/>
    <cellStyle name="入力 2 2 8 2 2" xfId="31391"/>
    <cellStyle name="入力 2 2 8 2 3" xfId="43124"/>
    <cellStyle name="入力 2 2 8 3" xfId="31390"/>
    <cellStyle name="入力 2 2 8 4" xfId="43123"/>
    <cellStyle name="入力 2 2 9" xfId="13864"/>
    <cellStyle name="入力 2 2 9 2" xfId="19729"/>
    <cellStyle name="入力 2 2 9 2 2" xfId="31393"/>
    <cellStyle name="入力 2 2 9 2 3" xfId="43126"/>
    <cellStyle name="入力 2 2 9 3" xfId="31392"/>
    <cellStyle name="入力 2 2 9 4" xfId="43125"/>
    <cellStyle name="入力 2 3" xfId="5405"/>
    <cellStyle name="入力 2 3 10" xfId="31394"/>
    <cellStyle name="入力 2 3 2" xfId="5406"/>
    <cellStyle name="入力 2 3 2 2" xfId="5407"/>
    <cellStyle name="入力 2 3 2 2 2" xfId="13866"/>
    <cellStyle name="入力 2 3 2 2 2 2" xfId="6825"/>
    <cellStyle name="入力 2 3 2 2 2 2 2" xfId="31398"/>
    <cellStyle name="入力 2 3 2 2 2 2 3" xfId="43128"/>
    <cellStyle name="入力 2 3 2 2 2 3" xfId="31397"/>
    <cellStyle name="入力 2 3 2 2 2 4" xfId="43127"/>
    <cellStyle name="入力 2 3 2 2 3" xfId="13867"/>
    <cellStyle name="入力 2 3 2 2 3 2" xfId="21237"/>
    <cellStyle name="入力 2 3 2 2 3 2 2" xfId="31400"/>
    <cellStyle name="入力 2 3 2 2 3 2 3" xfId="43130"/>
    <cellStyle name="入力 2 3 2 2 3 3" xfId="31399"/>
    <cellStyle name="入力 2 3 2 2 3 4" xfId="43129"/>
    <cellStyle name="入力 2 3 2 2 4" xfId="13865"/>
    <cellStyle name="入力 2 3 2 2 4 2" xfId="31401"/>
    <cellStyle name="入力 2 3 2 2 4 3" xfId="43131"/>
    <cellStyle name="入力 2 3 2 2 5" xfId="19728"/>
    <cellStyle name="入力 2 3 2 2 6" xfId="31396"/>
    <cellStyle name="入力 2 3 2 3" xfId="5408"/>
    <cellStyle name="入力 2 3 2 3 2" xfId="13868"/>
    <cellStyle name="入力 2 3 2 3 2 2" xfId="31403"/>
    <cellStyle name="入力 2 3 2 3 2 2 2" xfId="60680"/>
    <cellStyle name="入力 2 3 2 3 2 2 3" xfId="60681"/>
    <cellStyle name="入力 2 3 2 3 2 3" xfId="43132"/>
    <cellStyle name="入力 2 3 2 3 2 4" xfId="60682"/>
    <cellStyle name="入力 2 3 2 3 3" xfId="19727"/>
    <cellStyle name="入力 2 3 2 3 3 2" xfId="60683"/>
    <cellStyle name="入力 2 3 2 3 3 3" xfId="60684"/>
    <cellStyle name="入力 2 3 2 3 4" xfId="31402"/>
    <cellStyle name="入力 2 3 2 3 5" xfId="60685"/>
    <cellStyle name="入力 2 3 2 4" xfId="13869"/>
    <cellStyle name="入力 2 3 2 4 2" xfId="19726"/>
    <cellStyle name="入力 2 3 2 4 2 2" xfId="31405"/>
    <cellStyle name="入力 2 3 2 4 2 3" xfId="43134"/>
    <cellStyle name="入力 2 3 2 4 3" xfId="31404"/>
    <cellStyle name="入力 2 3 2 4 4" xfId="43133"/>
    <cellStyle name="入力 2 3 2 5" xfId="9979"/>
    <cellStyle name="入力 2 3 2 5 2" xfId="31406"/>
    <cellStyle name="入力 2 3 2 5 3" xfId="43135"/>
    <cellStyle name="入力 2 3 2 6" xfId="31395"/>
    <cellStyle name="入力 2 3 3" xfId="5409"/>
    <cellStyle name="入力 2 3 3 2" xfId="13870"/>
    <cellStyle name="入力 2 3 3 2 2" xfId="13871"/>
    <cellStyle name="入力 2 3 3 2 2 2" xfId="6826"/>
    <cellStyle name="入力 2 3 3 2 2 2 2" xfId="31410"/>
    <cellStyle name="入力 2 3 3 2 2 2 3" xfId="43138"/>
    <cellStyle name="入力 2 3 3 2 2 3" xfId="31409"/>
    <cellStyle name="入力 2 3 3 2 2 4" xfId="43137"/>
    <cellStyle name="入力 2 3 3 2 3" xfId="13872"/>
    <cellStyle name="入力 2 3 3 2 3 2" xfId="19724"/>
    <cellStyle name="入力 2 3 3 2 3 2 2" xfId="31412"/>
    <cellStyle name="入力 2 3 3 2 3 2 3" xfId="43140"/>
    <cellStyle name="入力 2 3 3 2 3 3" xfId="31411"/>
    <cellStyle name="入力 2 3 3 2 3 4" xfId="43139"/>
    <cellStyle name="入力 2 3 3 2 4" xfId="19725"/>
    <cellStyle name="入力 2 3 3 2 4 2" xfId="31413"/>
    <cellStyle name="入力 2 3 3 2 4 3" xfId="43141"/>
    <cellStyle name="入力 2 3 3 2 5" xfId="31408"/>
    <cellStyle name="入力 2 3 3 2 6" xfId="43136"/>
    <cellStyle name="入力 2 3 3 3" xfId="13873"/>
    <cellStyle name="入力 2 3 3 3 2" xfId="19723"/>
    <cellStyle name="入力 2 3 3 3 2 2" xfId="31415"/>
    <cellStyle name="入力 2 3 3 3 2 3" xfId="43143"/>
    <cellStyle name="入力 2 3 3 3 3" xfId="31414"/>
    <cellStyle name="入力 2 3 3 3 4" xfId="43142"/>
    <cellStyle name="入力 2 3 3 4" xfId="13874"/>
    <cellStyle name="入力 2 3 3 4 2" xfId="21236"/>
    <cellStyle name="入力 2 3 3 4 2 2" xfId="31417"/>
    <cellStyle name="入力 2 3 3 4 2 3" xfId="43145"/>
    <cellStyle name="入力 2 3 3 4 3" xfId="31416"/>
    <cellStyle name="入力 2 3 3 4 4" xfId="43144"/>
    <cellStyle name="入力 2 3 3 5" xfId="9980"/>
    <cellStyle name="入力 2 3 3 5 2" xfId="31418"/>
    <cellStyle name="入力 2 3 3 5 3" xfId="43146"/>
    <cellStyle name="入力 2 3 3 6" xfId="31407"/>
    <cellStyle name="入力 2 3 4" xfId="5410"/>
    <cellStyle name="入力 2 3 4 2" xfId="13875"/>
    <cellStyle name="入力 2 3 4 2 2" xfId="13876"/>
    <cellStyle name="入力 2 3 4 2 2 2" xfId="6827"/>
    <cellStyle name="入力 2 3 4 2 2 2 2" xfId="31422"/>
    <cellStyle name="入力 2 3 4 2 2 2 3" xfId="43149"/>
    <cellStyle name="入力 2 3 4 2 2 3" xfId="31421"/>
    <cellStyle name="入力 2 3 4 2 2 4" xfId="43148"/>
    <cellStyle name="入力 2 3 4 2 3" xfId="13877"/>
    <cellStyle name="入力 2 3 4 2 3 2" xfId="19722"/>
    <cellStyle name="入力 2 3 4 2 3 2 2" xfId="31424"/>
    <cellStyle name="入力 2 3 4 2 3 2 3" xfId="43151"/>
    <cellStyle name="入力 2 3 4 2 3 3" xfId="31423"/>
    <cellStyle name="入力 2 3 4 2 3 4" xfId="43150"/>
    <cellStyle name="入力 2 3 4 2 4" xfId="18314"/>
    <cellStyle name="入力 2 3 4 2 4 2" xfId="31425"/>
    <cellStyle name="入力 2 3 4 2 4 3" xfId="43152"/>
    <cellStyle name="入力 2 3 4 2 5" xfId="31420"/>
    <cellStyle name="入力 2 3 4 2 6" xfId="43147"/>
    <cellStyle name="入力 2 3 4 3" xfId="13878"/>
    <cellStyle name="入力 2 3 4 3 2" xfId="19721"/>
    <cellStyle name="入力 2 3 4 3 2 2" xfId="31427"/>
    <cellStyle name="入力 2 3 4 3 2 3" xfId="43154"/>
    <cellStyle name="入力 2 3 4 3 3" xfId="31426"/>
    <cellStyle name="入力 2 3 4 3 4" xfId="43153"/>
    <cellStyle name="入力 2 3 4 4" xfId="13879"/>
    <cellStyle name="入力 2 3 4 4 2" xfId="19720"/>
    <cellStyle name="入力 2 3 4 4 2 2" xfId="31429"/>
    <cellStyle name="入力 2 3 4 4 2 3" xfId="43156"/>
    <cellStyle name="入力 2 3 4 4 3" xfId="31428"/>
    <cellStyle name="入力 2 3 4 4 4" xfId="43155"/>
    <cellStyle name="入力 2 3 4 5" xfId="9981"/>
    <cellStyle name="入力 2 3 4 5 2" xfId="31430"/>
    <cellStyle name="入力 2 3 4 5 3" xfId="43157"/>
    <cellStyle name="入力 2 3 4 6" xfId="31419"/>
    <cellStyle name="入力 2 3 5" xfId="9982"/>
    <cellStyle name="入力 2 3 5 2" xfId="13880"/>
    <cellStyle name="入力 2 3 5 2 2" xfId="13881"/>
    <cellStyle name="入力 2 3 5 2 2 2" xfId="6828"/>
    <cellStyle name="入力 2 3 5 2 2 2 2" xfId="31434"/>
    <cellStyle name="入力 2 3 5 2 2 2 3" xfId="43161"/>
    <cellStyle name="入力 2 3 5 2 2 3" xfId="31433"/>
    <cellStyle name="入力 2 3 5 2 2 4" xfId="43160"/>
    <cellStyle name="入力 2 3 5 2 3" xfId="13882"/>
    <cellStyle name="入力 2 3 5 2 3 2" xfId="6829"/>
    <cellStyle name="入力 2 3 5 2 3 2 2" xfId="31436"/>
    <cellStyle name="入力 2 3 5 2 3 2 3" xfId="43163"/>
    <cellStyle name="入力 2 3 5 2 3 3" xfId="31435"/>
    <cellStyle name="入力 2 3 5 2 3 4" xfId="43162"/>
    <cellStyle name="入力 2 3 5 2 4" xfId="19719"/>
    <cellStyle name="入力 2 3 5 2 4 2" xfId="31437"/>
    <cellStyle name="入力 2 3 5 2 4 3" xfId="43164"/>
    <cellStyle name="入力 2 3 5 2 5" xfId="31432"/>
    <cellStyle name="入力 2 3 5 2 6" xfId="43159"/>
    <cellStyle name="入力 2 3 5 3" xfId="13883"/>
    <cellStyle name="入力 2 3 5 3 2" xfId="18313"/>
    <cellStyle name="入力 2 3 5 3 2 2" xfId="31439"/>
    <cellStyle name="入力 2 3 5 3 2 3" xfId="43166"/>
    <cellStyle name="入力 2 3 5 3 3" xfId="31438"/>
    <cellStyle name="入力 2 3 5 3 4" xfId="43165"/>
    <cellStyle name="入力 2 3 5 4" xfId="13884"/>
    <cellStyle name="入力 2 3 5 4 2" xfId="19718"/>
    <cellStyle name="入力 2 3 5 4 2 2" xfId="31441"/>
    <cellStyle name="入力 2 3 5 4 2 3" xfId="43168"/>
    <cellStyle name="入力 2 3 5 4 3" xfId="31440"/>
    <cellStyle name="入力 2 3 5 4 4" xfId="43167"/>
    <cellStyle name="入力 2 3 5 5" xfId="31442"/>
    <cellStyle name="入力 2 3 5 5 2" xfId="43169"/>
    <cellStyle name="入力 2 3 5 6" xfId="31431"/>
    <cellStyle name="入力 2 3 5 7" xfId="43158"/>
    <cellStyle name="入力 2 3 6" xfId="13885"/>
    <cellStyle name="入力 2 3 6 2" xfId="13886"/>
    <cellStyle name="入力 2 3 6 2 2" xfId="19716"/>
    <cellStyle name="入力 2 3 6 2 2 2" xfId="31445"/>
    <cellStyle name="入力 2 3 6 2 2 3" xfId="43172"/>
    <cellStyle name="入力 2 3 6 2 3" xfId="31444"/>
    <cellStyle name="入力 2 3 6 2 4" xfId="43171"/>
    <cellStyle name="入力 2 3 6 3" xfId="13887"/>
    <cellStyle name="入力 2 3 6 3 2" xfId="19715"/>
    <cellStyle name="入力 2 3 6 3 2 2" xfId="31447"/>
    <cellStyle name="入力 2 3 6 3 2 3" xfId="43174"/>
    <cellStyle name="入力 2 3 6 3 3" xfId="31446"/>
    <cellStyle name="入力 2 3 6 3 4" xfId="43173"/>
    <cellStyle name="入力 2 3 6 4" xfId="19717"/>
    <cellStyle name="入力 2 3 6 4 2" xfId="31448"/>
    <cellStyle name="入力 2 3 6 4 3" xfId="43175"/>
    <cellStyle name="入力 2 3 6 5" xfId="31443"/>
    <cellStyle name="入力 2 3 6 6" xfId="43170"/>
    <cellStyle name="入力 2 3 7" xfId="13888"/>
    <cellStyle name="入力 2 3 7 2" xfId="18691"/>
    <cellStyle name="入力 2 3 7 2 2" xfId="31450"/>
    <cellStyle name="入力 2 3 7 2 3" xfId="43177"/>
    <cellStyle name="入力 2 3 7 3" xfId="31449"/>
    <cellStyle name="入力 2 3 7 4" xfId="43176"/>
    <cellStyle name="入力 2 3 8" xfId="13889"/>
    <cellStyle name="入力 2 3 8 2" xfId="21235"/>
    <cellStyle name="入力 2 3 8 2 2" xfId="31452"/>
    <cellStyle name="入力 2 3 8 2 3" xfId="43179"/>
    <cellStyle name="入力 2 3 8 3" xfId="31451"/>
    <cellStyle name="入力 2 3 8 4" xfId="43178"/>
    <cellStyle name="入力 2 3 9" xfId="9978"/>
    <cellStyle name="入力 2 3 9 2" xfId="31453"/>
    <cellStyle name="入力 2 3 9 3" xfId="43180"/>
    <cellStyle name="入力 2 4" xfId="5411"/>
    <cellStyle name="入力 2 4 2" xfId="13890"/>
    <cellStyle name="入力 2 4 2 2" xfId="13891"/>
    <cellStyle name="入力 2 4 2 2 2" xfId="6830"/>
    <cellStyle name="入力 2 4 2 2 2 2" xfId="31457"/>
    <cellStyle name="入力 2 4 2 2 2 3" xfId="43184"/>
    <cellStyle name="入力 2 4 2 2 3" xfId="31456"/>
    <cellStyle name="入力 2 4 2 2 4" xfId="43183"/>
    <cellStyle name="入力 2 4 2 3" xfId="13892"/>
    <cellStyle name="入力 2 4 2 3 2" xfId="19714"/>
    <cellStyle name="入力 2 4 2 3 2 2" xfId="31459"/>
    <cellStyle name="入力 2 4 2 3 2 3" xfId="43186"/>
    <cellStyle name="入力 2 4 2 3 3" xfId="31458"/>
    <cellStyle name="入力 2 4 2 3 4" xfId="43185"/>
    <cellStyle name="入力 2 4 2 4" xfId="18312"/>
    <cellStyle name="入力 2 4 2 4 2" xfId="31460"/>
    <cellStyle name="入力 2 4 2 4 3" xfId="43187"/>
    <cellStyle name="入力 2 4 2 5" xfId="31455"/>
    <cellStyle name="入力 2 4 2 6" xfId="43182"/>
    <cellStyle name="入力 2 4 3" xfId="13893"/>
    <cellStyle name="入力 2 4 3 2" xfId="19713"/>
    <cellStyle name="入力 2 4 3 2 2" xfId="31462"/>
    <cellStyle name="入力 2 4 3 2 3" xfId="43189"/>
    <cellStyle name="入力 2 4 3 3" xfId="31461"/>
    <cellStyle name="入力 2 4 3 4" xfId="43188"/>
    <cellStyle name="入力 2 4 4" xfId="13894"/>
    <cellStyle name="入力 2 4 4 2" xfId="19712"/>
    <cellStyle name="入力 2 4 4 2 2" xfId="31464"/>
    <cellStyle name="入力 2 4 4 2 3" xfId="43191"/>
    <cellStyle name="入力 2 4 4 3" xfId="31463"/>
    <cellStyle name="入力 2 4 4 4" xfId="43190"/>
    <cellStyle name="入力 2 4 5" xfId="9983"/>
    <cellStyle name="入力 2 4 5 2" xfId="31465"/>
    <cellStyle name="入力 2 4 5 3" xfId="43192"/>
    <cellStyle name="入力 2 4 6" xfId="31454"/>
    <cellStyle name="入力 2 4 7" xfId="43181"/>
    <cellStyle name="入力 2 5" xfId="5412"/>
    <cellStyle name="入力 2 5 2" xfId="13895"/>
    <cellStyle name="入力 2 5 2 2" xfId="13896"/>
    <cellStyle name="入力 2 5 2 2 2" xfId="6831"/>
    <cellStyle name="入力 2 5 2 2 2 2" xfId="31469"/>
    <cellStyle name="入力 2 5 2 2 2 3" xfId="43196"/>
    <cellStyle name="入力 2 5 2 2 3" xfId="31468"/>
    <cellStyle name="入力 2 5 2 2 4" xfId="43195"/>
    <cellStyle name="入力 2 5 2 3" xfId="13897"/>
    <cellStyle name="入力 2 5 2 3 2" xfId="21234"/>
    <cellStyle name="入力 2 5 2 3 2 2" xfId="31471"/>
    <cellStyle name="入力 2 5 2 3 2 3" xfId="43198"/>
    <cellStyle name="入力 2 5 2 3 3" xfId="31470"/>
    <cellStyle name="入力 2 5 2 3 4" xfId="43197"/>
    <cellStyle name="入力 2 5 2 4" xfId="19711"/>
    <cellStyle name="入力 2 5 2 4 2" xfId="31472"/>
    <cellStyle name="入力 2 5 2 4 3" xfId="43199"/>
    <cellStyle name="入力 2 5 2 5" xfId="31467"/>
    <cellStyle name="入力 2 5 2 6" xfId="43194"/>
    <cellStyle name="入力 2 5 3" xfId="13898"/>
    <cellStyle name="入力 2 5 3 2" xfId="18311"/>
    <cellStyle name="入力 2 5 3 2 2" xfId="31474"/>
    <cellStyle name="入力 2 5 3 2 3" xfId="43201"/>
    <cellStyle name="入力 2 5 3 3" xfId="31473"/>
    <cellStyle name="入力 2 5 3 4" xfId="43200"/>
    <cellStyle name="入力 2 5 4" xfId="13899"/>
    <cellStyle name="入力 2 5 4 2" xfId="18310"/>
    <cellStyle name="入力 2 5 4 2 2" xfId="31476"/>
    <cellStyle name="入力 2 5 4 2 3" xfId="43203"/>
    <cellStyle name="入力 2 5 4 3" xfId="31475"/>
    <cellStyle name="入力 2 5 4 4" xfId="43202"/>
    <cellStyle name="入力 2 5 5" xfId="9984"/>
    <cellStyle name="入力 2 5 5 2" xfId="31477"/>
    <cellStyle name="入力 2 5 5 3" xfId="43204"/>
    <cellStyle name="入力 2 5 6" xfId="31466"/>
    <cellStyle name="入力 2 5 7" xfId="43193"/>
    <cellStyle name="入力 2 6" xfId="9985"/>
    <cellStyle name="入力 2 6 2" xfId="13900"/>
    <cellStyle name="入力 2 6 2 2" xfId="13901"/>
    <cellStyle name="入力 2 6 2 2 2" xfId="6832"/>
    <cellStyle name="入力 2 6 2 2 2 2" xfId="31481"/>
    <cellStyle name="入力 2 6 2 2 2 3" xfId="43208"/>
    <cellStyle name="入力 2 6 2 2 3" xfId="31480"/>
    <cellStyle name="入力 2 6 2 2 4" xfId="43207"/>
    <cellStyle name="入力 2 6 2 3" xfId="13902"/>
    <cellStyle name="入力 2 6 2 3 2" xfId="19709"/>
    <cellStyle name="入力 2 6 2 3 2 2" xfId="31483"/>
    <cellStyle name="入力 2 6 2 3 2 3" xfId="43210"/>
    <cellStyle name="入力 2 6 2 3 3" xfId="31482"/>
    <cellStyle name="入力 2 6 2 3 4" xfId="43209"/>
    <cellStyle name="入力 2 6 2 4" xfId="19710"/>
    <cellStyle name="入力 2 6 2 4 2" xfId="31484"/>
    <cellStyle name="入力 2 6 2 4 3" xfId="43211"/>
    <cellStyle name="入力 2 6 2 5" xfId="31479"/>
    <cellStyle name="入力 2 6 2 6" xfId="43206"/>
    <cellStyle name="入力 2 6 3" xfId="13903"/>
    <cellStyle name="入力 2 6 3 2" xfId="19708"/>
    <cellStyle name="入力 2 6 3 2 2" xfId="31486"/>
    <cellStyle name="入力 2 6 3 2 3" xfId="43213"/>
    <cellStyle name="入力 2 6 3 3" xfId="31485"/>
    <cellStyle name="入力 2 6 3 4" xfId="43212"/>
    <cellStyle name="入力 2 6 4" xfId="13904"/>
    <cellStyle name="入力 2 6 4 2" xfId="21233"/>
    <cellStyle name="入力 2 6 4 2 2" xfId="31488"/>
    <cellStyle name="入力 2 6 4 2 3" xfId="43215"/>
    <cellStyle name="入力 2 6 4 3" xfId="31487"/>
    <cellStyle name="入力 2 6 4 4" xfId="43214"/>
    <cellStyle name="入力 2 6 5" xfId="31489"/>
    <cellStyle name="入力 2 6 5 2" xfId="43216"/>
    <cellStyle name="入力 2 6 6" xfId="31478"/>
    <cellStyle name="入力 2 6 7" xfId="43205"/>
    <cellStyle name="入力 2 7" xfId="9986"/>
    <cellStyle name="入力 2 7 2" xfId="13905"/>
    <cellStyle name="入力 2 7 2 2" xfId="13906"/>
    <cellStyle name="入力 2 7 2 2 2" xfId="18598"/>
    <cellStyle name="入力 2 7 2 2 2 2" xfId="31493"/>
    <cellStyle name="入力 2 7 2 2 2 3" xfId="43220"/>
    <cellStyle name="入力 2 7 2 2 3" xfId="31492"/>
    <cellStyle name="入力 2 7 2 2 4" xfId="43219"/>
    <cellStyle name="入力 2 7 2 3" xfId="13907"/>
    <cellStyle name="入力 2 7 2 3 2" xfId="20897"/>
    <cellStyle name="入力 2 7 2 3 2 2" xfId="31495"/>
    <cellStyle name="入力 2 7 2 3 2 3" xfId="43222"/>
    <cellStyle name="入力 2 7 2 3 3" xfId="31494"/>
    <cellStyle name="入力 2 7 2 3 4" xfId="43221"/>
    <cellStyle name="入力 2 7 2 4" xfId="19707"/>
    <cellStyle name="入力 2 7 2 4 2" xfId="31496"/>
    <cellStyle name="入力 2 7 2 4 3" xfId="43223"/>
    <cellStyle name="入力 2 7 2 5" xfId="31491"/>
    <cellStyle name="入力 2 7 2 6" xfId="43218"/>
    <cellStyle name="入力 2 7 3" xfId="13908"/>
    <cellStyle name="入力 2 7 3 2" xfId="19706"/>
    <cellStyle name="入力 2 7 3 2 2" xfId="31498"/>
    <cellStyle name="入力 2 7 3 2 3" xfId="43225"/>
    <cellStyle name="入力 2 7 3 3" xfId="31497"/>
    <cellStyle name="入力 2 7 3 4" xfId="43224"/>
    <cellStyle name="入力 2 7 4" xfId="13909"/>
    <cellStyle name="入力 2 7 4 2" xfId="6833"/>
    <cellStyle name="入力 2 7 4 2 2" xfId="31500"/>
    <cellStyle name="入力 2 7 4 2 3" xfId="43227"/>
    <cellStyle name="入力 2 7 4 3" xfId="31499"/>
    <cellStyle name="入力 2 7 4 4" xfId="43226"/>
    <cellStyle name="入力 2 7 5" xfId="31501"/>
    <cellStyle name="入力 2 7 5 2" xfId="43228"/>
    <cellStyle name="入力 2 7 6" xfId="31490"/>
    <cellStyle name="入力 2 7 7" xfId="43217"/>
    <cellStyle name="入力 2 8" xfId="9987"/>
    <cellStyle name="入力 2 8 2" xfId="13910"/>
    <cellStyle name="入力 2 8 2 2" xfId="13911"/>
    <cellStyle name="入力 2 8 2 2 2" xfId="19704"/>
    <cellStyle name="入力 2 8 2 2 2 2" xfId="31505"/>
    <cellStyle name="入力 2 8 2 2 2 3" xfId="43232"/>
    <cellStyle name="入力 2 8 2 2 3" xfId="31504"/>
    <cellStyle name="入力 2 8 2 2 4" xfId="43231"/>
    <cellStyle name="入力 2 8 2 3" xfId="19705"/>
    <cellStyle name="入力 2 8 2 3 2" xfId="31506"/>
    <cellStyle name="入力 2 8 2 3 3" xfId="43233"/>
    <cellStyle name="入力 2 8 2 4" xfId="31503"/>
    <cellStyle name="入力 2 8 2 5" xfId="43230"/>
    <cellStyle name="入力 2 8 3" xfId="13912"/>
    <cellStyle name="入力 2 8 3 2" xfId="19703"/>
    <cellStyle name="入力 2 8 3 2 2" xfId="31508"/>
    <cellStyle name="入力 2 8 3 2 3" xfId="43235"/>
    <cellStyle name="入力 2 8 3 3" xfId="31507"/>
    <cellStyle name="入力 2 8 3 4" xfId="43234"/>
    <cellStyle name="入力 2 8 4" xfId="31509"/>
    <cellStyle name="入力 2 8 4 2" xfId="43236"/>
    <cellStyle name="入力 2 8 5" xfId="31502"/>
    <cellStyle name="入力 2 8 6" xfId="43229"/>
    <cellStyle name="入力 2 9" xfId="13913"/>
    <cellStyle name="入力 2 9 2" xfId="13914"/>
    <cellStyle name="入力 2 9 2 2" xfId="18309"/>
    <cellStyle name="入力 2 9 2 2 2" xfId="31512"/>
    <cellStyle name="入力 2 9 2 2 3" xfId="43239"/>
    <cellStyle name="入力 2 9 2 3" xfId="31511"/>
    <cellStyle name="入力 2 9 2 4" xfId="43238"/>
    <cellStyle name="入力 2 9 3" xfId="13915"/>
    <cellStyle name="入力 2 9 3 2" xfId="19702"/>
    <cellStyle name="入力 2 9 3 2 2" xfId="31514"/>
    <cellStyle name="入力 2 9 3 2 3" xfId="43241"/>
    <cellStyle name="入力 2 9 3 3" xfId="31513"/>
    <cellStyle name="入力 2 9 3 4" xfId="43240"/>
    <cellStyle name="入力 2 9 4" xfId="21232"/>
    <cellStyle name="入力 2 9 4 2" xfId="31515"/>
    <cellStyle name="入力 2 9 4 3" xfId="43242"/>
    <cellStyle name="入力 2 9 5" xfId="31510"/>
    <cellStyle name="入力 2 9 6" xfId="43237"/>
    <cellStyle name="入力 3" xfId="5413"/>
    <cellStyle name="入力 3 10" xfId="13916"/>
    <cellStyle name="入力 3 10 2" xfId="6834"/>
    <cellStyle name="入力 3 10 2 2" xfId="31518"/>
    <cellStyle name="入力 3 10 2 3" xfId="43244"/>
    <cellStyle name="入力 3 10 3" xfId="31517"/>
    <cellStyle name="入力 3 10 4" xfId="43243"/>
    <cellStyle name="入力 3 11" xfId="13917"/>
    <cellStyle name="入力 3 11 2" xfId="19701"/>
    <cellStyle name="入力 3 11 2 2" xfId="31520"/>
    <cellStyle name="入力 3 11 2 3" xfId="43246"/>
    <cellStyle name="入力 3 11 3" xfId="31519"/>
    <cellStyle name="入力 3 11 4" xfId="43245"/>
    <cellStyle name="入力 3 12" xfId="9988"/>
    <cellStyle name="入力 3 12 2" xfId="31522"/>
    <cellStyle name="入力 3 12 2 2" xfId="43248"/>
    <cellStyle name="入力 3 12 3" xfId="31521"/>
    <cellStyle name="入力 3 12 4" xfId="43247"/>
    <cellStyle name="入力 3 13" xfId="31523"/>
    <cellStyle name="入力 3 13 2" xfId="43249"/>
    <cellStyle name="入力 3 14" xfId="31524"/>
    <cellStyle name="入力 3 14 2" xfId="43250"/>
    <cellStyle name="入力 3 15" xfId="31516"/>
    <cellStyle name="入力 3 16" xfId="61084"/>
    <cellStyle name="入力 3 2" xfId="5414"/>
    <cellStyle name="入力 3 2 10" xfId="31525"/>
    <cellStyle name="入力 3 2 11" xfId="61085"/>
    <cellStyle name="入力 3 2 2" xfId="5415"/>
    <cellStyle name="入力 3 2 2 2" xfId="5416"/>
    <cellStyle name="入力 3 2 2 2 2" xfId="13919"/>
    <cellStyle name="入力 3 2 2 2 2 2" xfId="19699"/>
    <cellStyle name="入力 3 2 2 2 2 2 2" xfId="31529"/>
    <cellStyle name="入力 3 2 2 2 2 2 3" xfId="43252"/>
    <cellStyle name="入力 3 2 2 2 2 3" xfId="31528"/>
    <cellStyle name="入力 3 2 2 2 2 4" xfId="43251"/>
    <cellStyle name="入力 3 2 2 2 3" xfId="13920"/>
    <cellStyle name="入力 3 2 2 2 3 2" xfId="18308"/>
    <cellStyle name="入力 3 2 2 2 3 2 2" xfId="31531"/>
    <cellStyle name="入力 3 2 2 2 3 2 3" xfId="43254"/>
    <cellStyle name="入力 3 2 2 2 3 3" xfId="31530"/>
    <cellStyle name="入力 3 2 2 2 3 4" xfId="43253"/>
    <cellStyle name="入力 3 2 2 2 4" xfId="13918"/>
    <cellStyle name="入力 3 2 2 2 4 2" xfId="31532"/>
    <cellStyle name="入力 3 2 2 2 4 3" xfId="43255"/>
    <cellStyle name="入力 3 2 2 2 5" xfId="19700"/>
    <cellStyle name="入力 3 2 2 2 6" xfId="31527"/>
    <cellStyle name="入力 3 2 2 3" xfId="5417"/>
    <cellStyle name="入力 3 2 2 3 2" xfId="13921"/>
    <cellStyle name="入力 3 2 2 3 2 2" xfId="31534"/>
    <cellStyle name="入力 3 2 2 3 2 2 2" xfId="60686"/>
    <cellStyle name="入力 3 2 2 3 2 2 3" xfId="60687"/>
    <cellStyle name="入力 3 2 2 3 2 3" xfId="43256"/>
    <cellStyle name="入力 3 2 2 3 2 4" xfId="60688"/>
    <cellStyle name="入力 3 2 2 3 3" xfId="6835"/>
    <cellStyle name="入力 3 2 2 3 3 2" xfId="60689"/>
    <cellStyle name="入力 3 2 2 3 3 3" xfId="60690"/>
    <cellStyle name="入力 3 2 2 3 4" xfId="31533"/>
    <cellStyle name="入力 3 2 2 3 5" xfId="60691"/>
    <cellStyle name="入力 3 2 2 4" xfId="13922"/>
    <cellStyle name="入力 3 2 2 4 2" xfId="19698"/>
    <cellStyle name="入力 3 2 2 4 2 2" xfId="31536"/>
    <cellStyle name="入力 3 2 2 4 2 3" xfId="43258"/>
    <cellStyle name="入力 3 2 2 4 3" xfId="31535"/>
    <cellStyle name="入力 3 2 2 4 4" xfId="43257"/>
    <cellStyle name="入力 3 2 2 5" xfId="9990"/>
    <cellStyle name="入力 3 2 2 5 2" xfId="31537"/>
    <cellStyle name="入力 3 2 2 5 3" xfId="43259"/>
    <cellStyle name="入力 3 2 2 6" xfId="31526"/>
    <cellStyle name="入力 3 2 3" xfId="5418"/>
    <cellStyle name="入力 3 2 3 2" xfId="13923"/>
    <cellStyle name="入力 3 2 3 2 2" xfId="13924"/>
    <cellStyle name="入力 3 2 3 2 2 2" xfId="19696"/>
    <cellStyle name="入力 3 2 3 2 2 2 2" xfId="31541"/>
    <cellStyle name="入力 3 2 3 2 2 2 3" xfId="43262"/>
    <cellStyle name="入力 3 2 3 2 2 3" xfId="31540"/>
    <cellStyle name="入力 3 2 3 2 2 4" xfId="43261"/>
    <cellStyle name="入力 3 2 3 2 3" xfId="13925"/>
    <cellStyle name="入力 3 2 3 2 3 2" xfId="19695"/>
    <cellStyle name="入力 3 2 3 2 3 2 2" xfId="31543"/>
    <cellStyle name="入力 3 2 3 2 3 2 3" xfId="43264"/>
    <cellStyle name="入力 3 2 3 2 3 3" xfId="31542"/>
    <cellStyle name="入力 3 2 3 2 3 4" xfId="43263"/>
    <cellStyle name="入力 3 2 3 2 4" xfId="19697"/>
    <cellStyle name="入力 3 2 3 2 4 2" xfId="31544"/>
    <cellStyle name="入力 3 2 3 2 4 3" xfId="43265"/>
    <cellStyle name="入力 3 2 3 2 5" xfId="31539"/>
    <cellStyle name="入力 3 2 3 2 6" xfId="43260"/>
    <cellStyle name="入力 3 2 3 3" xfId="13926"/>
    <cellStyle name="入力 3 2 3 3 2" xfId="6836"/>
    <cellStyle name="入力 3 2 3 3 2 2" xfId="31546"/>
    <cellStyle name="入力 3 2 3 3 2 3" xfId="43267"/>
    <cellStyle name="入力 3 2 3 3 3" xfId="31545"/>
    <cellStyle name="入力 3 2 3 3 4" xfId="43266"/>
    <cellStyle name="入力 3 2 3 4" xfId="13927"/>
    <cellStyle name="入力 3 2 3 4 2" xfId="21231"/>
    <cellStyle name="入力 3 2 3 4 2 2" xfId="31548"/>
    <cellStyle name="入力 3 2 3 4 2 3" xfId="43269"/>
    <cellStyle name="入力 3 2 3 4 3" xfId="31547"/>
    <cellStyle name="入力 3 2 3 4 4" xfId="43268"/>
    <cellStyle name="入力 3 2 3 5" xfId="9991"/>
    <cellStyle name="入力 3 2 3 5 2" xfId="31549"/>
    <cellStyle name="入力 3 2 3 5 3" xfId="43270"/>
    <cellStyle name="入力 3 2 3 6" xfId="31538"/>
    <cellStyle name="入力 3 2 4" xfId="5419"/>
    <cellStyle name="入力 3 2 4 2" xfId="13928"/>
    <cellStyle name="入力 3 2 4 2 2" xfId="13929"/>
    <cellStyle name="入力 3 2 4 2 2 2" xfId="21230"/>
    <cellStyle name="入力 3 2 4 2 2 2 2" xfId="31553"/>
    <cellStyle name="入力 3 2 4 2 2 2 3" xfId="43273"/>
    <cellStyle name="入力 3 2 4 2 2 3" xfId="31552"/>
    <cellStyle name="入力 3 2 4 2 2 4" xfId="43272"/>
    <cellStyle name="入力 3 2 4 2 3" xfId="13930"/>
    <cellStyle name="入力 3 2 4 2 3 2" xfId="18307"/>
    <cellStyle name="入力 3 2 4 2 3 2 2" xfId="31555"/>
    <cellStyle name="入力 3 2 4 2 3 2 3" xfId="43275"/>
    <cellStyle name="入力 3 2 4 2 3 3" xfId="31554"/>
    <cellStyle name="入力 3 2 4 2 3 4" xfId="43274"/>
    <cellStyle name="入力 3 2 4 2 4" xfId="18690"/>
    <cellStyle name="入力 3 2 4 2 4 2" xfId="31556"/>
    <cellStyle name="入力 3 2 4 2 4 3" xfId="43276"/>
    <cellStyle name="入力 3 2 4 2 5" xfId="31551"/>
    <cellStyle name="入力 3 2 4 2 6" xfId="43271"/>
    <cellStyle name="入力 3 2 4 3" xfId="13931"/>
    <cellStyle name="入力 3 2 4 3 2" xfId="6837"/>
    <cellStyle name="入力 3 2 4 3 2 2" xfId="31558"/>
    <cellStyle name="入力 3 2 4 3 2 3" xfId="43278"/>
    <cellStyle name="入力 3 2 4 3 3" xfId="31557"/>
    <cellStyle name="入力 3 2 4 3 4" xfId="43277"/>
    <cellStyle name="入力 3 2 4 4" xfId="13932"/>
    <cellStyle name="入力 3 2 4 4 2" xfId="19694"/>
    <cellStyle name="入力 3 2 4 4 2 2" xfId="31560"/>
    <cellStyle name="入力 3 2 4 4 2 3" xfId="43280"/>
    <cellStyle name="入力 3 2 4 4 3" xfId="31559"/>
    <cellStyle name="入力 3 2 4 4 4" xfId="43279"/>
    <cellStyle name="入力 3 2 4 5" xfId="9992"/>
    <cellStyle name="入力 3 2 4 5 2" xfId="31561"/>
    <cellStyle name="入力 3 2 4 5 3" xfId="43281"/>
    <cellStyle name="入力 3 2 4 6" xfId="31550"/>
    <cellStyle name="入力 3 2 5" xfId="9993"/>
    <cellStyle name="入力 3 2 5 2" xfId="13933"/>
    <cellStyle name="入力 3 2 5 2 2" xfId="13934"/>
    <cellStyle name="入力 3 2 5 2 2 2" xfId="19692"/>
    <cellStyle name="入力 3 2 5 2 2 2 2" xfId="31565"/>
    <cellStyle name="入力 3 2 5 2 2 2 3" xfId="43285"/>
    <cellStyle name="入力 3 2 5 2 2 3" xfId="31564"/>
    <cellStyle name="入力 3 2 5 2 2 4" xfId="43284"/>
    <cellStyle name="入力 3 2 5 2 3" xfId="13935"/>
    <cellStyle name="入力 3 2 5 2 3 2" xfId="19691"/>
    <cellStyle name="入力 3 2 5 2 3 2 2" xfId="31567"/>
    <cellStyle name="入力 3 2 5 2 3 2 3" xfId="43287"/>
    <cellStyle name="入力 3 2 5 2 3 3" xfId="31566"/>
    <cellStyle name="入力 3 2 5 2 3 4" xfId="43286"/>
    <cellStyle name="入力 3 2 5 2 4" xfId="19693"/>
    <cellStyle name="入力 3 2 5 2 4 2" xfId="31568"/>
    <cellStyle name="入力 3 2 5 2 4 3" xfId="43288"/>
    <cellStyle name="入力 3 2 5 2 5" xfId="31563"/>
    <cellStyle name="入力 3 2 5 2 6" xfId="43283"/>
    <cellStyle name="入力 3 2 5 3" xfId="13936"/>
    <cellStyle name="入力 3 2 5 3 2" xfId="20896"/>
    <cellStyle name="入力 3 2 5 3 2 2" xfId="31570"/>
    <cellStyle name="入力 3 2 5 3 2 3" xfId="43290"/>
    <cellStyle name="入力 3 2 5 3 3" xfId="31569"/>
    <cellStyle name="入力 3 2 5 3 4" xfId="43289"/>
    <cellStyle name="入力 3 2 5 4" xfId="13937"/>
    <cellStyle name="入力 3 2 5 4 2" xfId="21229"/>
    <cellStyle name="入力 3 2 5 4 2 2" xfId="31572"/>
    <cellStyle name="入力 3 2 5 4 2 3" xfId="43292"/>
    <cellStyle name="入力 3 2 5 4 3" xfId="31571"/>
    <cellStyle name="入力 3 2 5 4 4" xfId="43291"/>
    <cellStyle name="入力 3 2 5 5" xfId="31573"/>
    <cellStyle name="入力 3 2 5 5 2" xfId="43293"/>
    <cellStyle name="入力 3 2 5 6" xfId="31562"/>
    <cellStyle name="入力 3 2 5 7" xfId="43282"/>
    <cellStyle name="入力 3 2 6" xfId="13938"/>
    <cellStyle name="入力 3 2 6 2" xfId="13939"/>
    <cellStyle name="入力 3 2 6 2 2" xfId="18305"/>
    <cellStyle name="入力 3 2 6 2 2 2" xfId="31576"/>
    <cellStyle name="入力 3 2 6 2 2 3" xfId="43296"/>
    <cellStyle name="入力 3 2 6 2 3" xfId="31575"/>
    <cellStyle name="入力 3 2 6 2 4" xfId="43295"/>
    <cellStyle name="入力 3 2 6 3" xfId="13940"/>
    <cellStyle name="入力 3 2 6 3 2" xfId="19690"/>
    <cellStyle name="入力 3 2 6 3 2 2" xfId="31578"/>
    <cellStyle name="入力 3 2 6 3 2 3" xfId="43298"/>
    <cellStyle name="入力 3 2 6 3 3" xfId="31577"/>
    <cellStyle name="入力 3 2 6 3 4" xfId="43297"/>
    <cellStyle name="入力 3 2 6 4" xfId="18306"/>
    <cellStyle name="入力 3 2 6 4 2" xfId="31579"/>
    <cellStyle name="入力 3 2 6 4 3" xfId="43299"/>
    <cellStyle name="入力 3 2 6 5" xfId="31574"/>
    <cellStyle name="入力 3 2 6 6" xfId="43294"/>
    <cellStyle name="入力 3 2 7" xfId="13941"/>
    <cellStyle name="入力 3 2 7 2" xfId="19689"/>
    <cellStyle name="入力 3 2 7 2 2" xfId="31581"/>
    <cellStyle name="入力 3 2 7 2 3" xfId="43301"/>
    <cellStyle name="入力 3 2 7 3" xfId="31580"/>
    <cellStyle name="入力 3 2 7 4" xfId="43300"/>
    <cellStyle name="入力 3 2 8" xfId="13942"/>
    <cellStyle name="入力 3 2 8 2" xfId="19688"/>
    <cellStyle name="入力 3 2 8 2 2" xfId="31583"/>
    <cellStyle name="入力 3 2 8 2 3" xfId="43303"/>
    <cellStyle name="入力 3 2 8 3" xfId="31582"/>
    <cellStyle name="入力 3 2 8 4" xfId="43302"/>
    <cellStyle name="入力 3 2 9" xfId="9989"/>
    <cellStyle name="入力 3 2 9 2" xfId="31584"/>
    <cellStyle name="入力 3 2 9 3" xfId="43304"/>
    <cellStyle name="入力 3 3" xfId="5420"/>
    <cellStyle name="入力 3 3 10" xfId="31585"/>
    <cellStyle name="入力 3 3 2" xfId="5421"/>
    <cellStyle name="入力 3 3 2 2" xfId="5422"/>
    <cellStyle name="入力 3 3 2 2 2" xfId="13944"/>
    <cellStyle name="入力 3 3 2 2 2 2" xfId="19687"/>
    <cellStyle name="入力 3 3 2 2 2 2 2" xfId="31589"/>
    <cellStyle name="入力 3 3 2 2 2 2 3" xfId="43306"/>
    <cellStyle name="入力 3 3 2 2 2 3" xfId="31588"/>
    <cellStyle name="入力 3 3 2 2 2 4" xfId="43305"/>
    <cellStyle name="入力 3 3 2 2 3" xfId="13945"/>
    <cellStyle name="入力 3 3 2 2 3 2" xfId="6838"/>
    <cellStyle name="入力 3 3 2 2 3 2 2" xfId="31591"/>
    <cellStyle name="入力 3 3 2 2 3 2 3" xfId="43308"/>
    <cellStyle name="入力 3 3 2 2 3 3" xfId="31590"/>
    <cellStyle name="入力 3 3 2 2 3 4" xfId="43307"/>
    <cellStyle name="入力 3 3 2 2 4" xfId="13943"/>
    <cellStyle name="入力 3 3 2 2 4 2" xfId="31592"/>
    <cellStyle name="入力 3 3 2 2 4 3" xfId="43309"/>
    <cellStyle name="入力 3 3 2 2 5" xfId="21228"/>
    <cellStyle name="入力 3 3 2 2 6" xfId="31587"/>
    <cellStyle name="入力 3 3 2 3" xfId="5423"/>
    <cellStyle name="入力 3 3 2 3 2" xfId="13946"/>
    <cellStyle name="入力 3 3 2 3 2 2" xfId="31594"/>
    <cellStyle name="入力 3 3 2 3 2 2 2" xfId="60692"/>
    <cellStyle name="入力 3 3 2 3 2 2 3" xfId="60693"/>
    <cellStyle name="入力 3 3 2 3 2 3" xfId="43310"/>
    <cellStyle name="入力 3 3 2 3 2 4" xfId="60694"/>
    <cellStyle name="入力 3 3 2 3 3" xfId="19686"/>
    <cellStyle name="入力 3 3 2 3 3 2" xfId="60695"/>
    <cellStyle name="入力 3 3 2 3 3 3" xfId="60696"/>
    <cellStyle name="入力 3 3 2 3 4" xfId="31593"/>
    <cellStyle name="入力 3 3 2 3 5" xfId="60697"/>
    <cellStyle name="入力 3 3 2 4" xfId="13947"/>
    <cellStyle name="入力 3 3 2 4 2" xfId="19685"/>
    <cellStyle name="入力 3 3 2 4 2 2" xfId="31596"/>
    <cellStyle name="入力 3 3 2 4 2 3" xfId="43312"/>
    <cellStyle name="入力 3 3 2 4 3" xfId="31595"/>
    <cellStyle name="入力 3 3 2 4 4" xfId="43311"/>
    <cellStyle name="入力 3 3 2 5" xfId="9995"/>
    <cellStyle name="入力 3 3 2 5 2" xfId="31597"/>
    <cellStyle name="入力 3 3 2 5 3" xfId="43313"/>
    <cellStyle name="入力 3 3 2 6" xfId="31586"/>
    <cellStyle name="入力 3 3 3" xfId="5424"/>
    <cellStyle name="入力 3 3 3 2" xfId="13948"/>
    <cellStyle name="入力 3 3 3 2 2" xfId="13949"/>
    <cellStyle name="入力 3 3 3 2 2 2" xfId="19683"/>
    <cellStyle name="入力 3 3 3 2 2 2 2" xfId="31601"/>
    <cellStyle name="入力 3 3 3 2 2 2 3" xfId="43316"/>
    <cellStyle name="入力 3 3 3 2 2 3" xfId="31600"/>
    <cellStyle name="入力 3 3 3 2 2 4" xfId="43315"/>
    <cellStyle name="入力 3 3 3 2 3" xfId="13950"/>
    <cellStyle name="入力 3 3 3 2 3 2" xfId="6839"/>
    <cellStyle name="入力 3 3 3 2 3 2 2" xfId="31603"/>
    <cellStyle name="入力 3 3 3 2 3 2 3" xfId="43318"/>
    <cellStyle name="入力 3 3 3 2 3 3" xfId="31602"/>
    <cellStyle name="入力 3 3 3 2 3 4" xfId="43317"/>
    <cellStyle name="入力 3 3 3 2 4" xfId="19684"/>
    <cellStyle name="入力 3 3 3 2 4 2" xfId="31604"/>
    <cellStyle name="入力 3 3 3 2 4 3" xfId="43319"/>
    <cellStyle name="入力 3 3 3 2 5" xfId="31599"/>
    <cellStyle name="入力 3 3 3 2 6" xfId="43314"/>
    <cellStyle name="入力 3 3 3 3" xfId="13951"/>
    <cellStyle name="入力 3 3 3 3 2" xfId="21227"/>
    <cellStyle name="入力 3 3 3 3 2 2" xfId="31606"/>
    <cellStyle name="入力 3 3 3 3 2 3" xfId="43321"/>
    <cellStyle name="入力 3 3 3 3 3" xfId="31605"/>
    <cellStyle name="入力 3 3 3 3 4" xfId="43320"/>
    <cellStyle name="入力 3 3 3 4" xfId="13952"/>
    <cellStyle name="入力 3 3 3 4 2" xfId="18304"/>
    <cellStyle name="入力 3 3 3 4 2 2" xfId="31608"/>
    <cellStyle name="入力 3 3 3 4 2 3" xfId="43323"/>
    <cellStyle name="入力 3 3 3 4 3" xfId="31607"/>
    <cellStyle name="入力 3 3 3 4 4" xfId="43322"/>
    <cellStyle name="入力 3 3 3 5" xfId="9996"/>
    <cellStyle name="入力 3 3 3 5 2" xfId="31609"/>
    <cellStyle name="入力 3 3 3 5 3" xfId="43324"/>
    <cellStyle name="入力 3 3 3 6" xfId="31598"/>
    <cellStyle name="入力 3 3 4" xfId="5425"/>
    <cellStyle name="入力 3 3 4 2" xfId="13953"/>
    <cellStyle name="入力 3 3 4 2 2" xfId="13954"/>
    <cellStyle name="入力 3 3 4 2 2 2" xfId="19681"/>
    <cellStyle name="入力 3 3 4 2 2 2 2" xfId="31613"/>
    <cellStyle name="入力 3 3 4 2 2 2 3" xfId="43327"/>
    <cellStyle name="入力 3 3 4 2 2 3" xfId="31612"/>
    <cellStyle name="入力 3 3 4 2 2 4" xfId="43326"/>
    <cellStyle name="入力 3 3 4 2 3" xfId="13955"/>
    <cellStyle name="入力 3 3 4 2 3 2" xfId="6840"/>
    <cellStyle name="入力 3 3 4 2 3 2 2" xfId="31615"/>
    <cellStyle name="入力 3 3 4 2 3 2 3" xfId="43329"/>
    <cellStyle name="入力 3 3 4 2 3 3" xfId="31614"/>
    <cellStyle name="入力 3 3 4 2 3 4" xfId="43328"/>
    <cellStyle name="入力 3 3 4 2 4" xfId="19682"/>
    <cellStyle name="入力 3 3 4 2 4 2" xfId="31616"/>
    <cellStyle name="入力 3 3 4 2 4 3" xfId="43330"/>
    <cellStyle name="入力 3 3 4 2 5" xfId="31611"/>
    <cellStyle name="入力 3 3 4 2 6" xfId="43325"/>
    <cellStyle name="入力 3 3 4 3" xfId="13956"/>
    <cellStyle name="入力 3 3 4 3 2" xfId="19680"/>
    <cellStyle name="入力 3 3 4 3 2 2" xfId="31618"/>
    <cellStyle name="入力 3 3 4 3 2 3" xfId="43332"/>
    <cellStyle name="入力 3 3 4 3 3" xfId="31617"/>
    <cellStyle name="入力 3 3 4 3 4" xfId="43331"/>
    <cellStyle name="入力 3 3 4 4" xfId="13957"/>
    <cellStyle name="入力 3 3 4 4 2" xfId="19679"/>
    <cellStyle name="入力 3 3 4 4 2 2" xfId="31620"/>
    <cellStyle name="入力 3 3 4 4 2 3" xfId="43334"/>
    <cellStyle name="入力 3 3 4 4 3" xfId="31619"/>
    <cellStyle name="入力 3 3 4 4 4" xfId="43333"/>
    <cellStyle name="入力 3 3 4 5" xfId="9997"/>
    <cellStyle name="入力 3 3 4 5 2" xfId="31621"/>
    <cellStyle name="入力 3 3 4 5 3" xfId="43335"/>
    <cellStyle name="入力 3 3 4 6" xfId="31610"/>
    <cellStyle name="入力 3 3 5" xfId="9998"/>
    <cellStyle name="入力 3 3 5 2" xfId="13958"/>
    <cellStyle name="入力 3 3 5 2 2" xfId="13959"/>
    <cellStyle name="入力 3 3 5 2 2 2" xfId="19678"/>
    <cellStyle name="入力 3 3 5 2 2 2 2" xfId="31625"/>
    <cellStyle name="入力 3 3 5 2 2 2 3" xfId="43339"/>
    <cellStyle name="入力 3 3 5 2 2 3" xfId="31624"/>
    <cellStyle name="入力 3 3 5 2 2 4" xfId="43338"/>
    <cellStyle name="入力 3 3 5 2 3" xfId="13960"/>
    <cellStyle name="入力 3 3 5 2 3 2" xfId="6841"/>
    <cellStyle name="入力 3 3 5 2 3 2 2" xfId="31627"/>
    <cellStyle name="入力 3 3 5 2 3 2 3" xfId="43341"/>
    <cellStyle name="入力 3 3 5 2 3 3" xfId="31626"/>
    <cellStyle name="入力 3 3 5 2 3 4" xfId="43340"/>
    <cellStyle name="入力 3 3 5 2 4" xfId="18303"/>
    <cellStyle name="入力 3 3 5 2 4 2" xfId="31628"/>
    <cellStyle name="入力 3 3 5 2 4 3" xfId="43342"/>
    <cellStyle name="入力 3 3 5 2 5" xfId="31623"/>
    <cellStyle name="入力 3 3 5 2 6" xfId="43337"/>
    <cellStyle name="入力 3 3 5 3" xfId="13961"/>
    <cellStyle name="入力 3 3 5 3 2" xfId="6842"/>
    <cellStyle name="入力 3 3 5 3 2 2" xfId="31630"/>
    <cellStyle name="入力 3 3 5 3 2 3" xfId="43344"/>
    <cellStyle name="入力 3 3 5 3 3" xfId="31629"/>
    <cellStyle name="入力 3 3 5 3 4" xfId="43343"/>
    <cellStyle name="入力 3 3 5 4" xfId="13962"/>
    <cellStyle name="入力 3 3 5 4 2" xfId="19677"/>
    <cellStyle name="入力 3 3 5 4 2 2" xfId="31632"/>
    <cellStyle name="入力 3 3 5 4 2 3" xfId="43346"/>
    <cellStyle name="入力 3 3 5 4 3" xfId="31631"/>
    <cellStyle name="入力 3 3 5 4 4" xfId="43345"/>
    <cellStyle name="入力 3 3 5 5" xfId="31633"/>
    <cellStyle name="入力 3 3 5 5 2" xfId="43347"/>
    <cellStyle name="入力 3 3 5 6" xfId="31622"/>
    <cellStyle name="入力 3 3 5 7" xfId="43336"/>
    <cellStyle name="入力 3 3 6" xfId="13963"/>
    <cellStyle name="入力 3 3 6 2" xfId="13964"/>
    <cellStyle name="入力 3 3 6 2 2" xfId="19675"/>
    <cellStyle name="入力 3 3 6 2 2 2" xfId="31636"/>
    <cellStyle name="入力 3 3 6 2 2 3" xfId="43350"/>
    <cellStyle name="入力 3 3 6 2 3" xfId="31635"/>
    <cellStyle name="入力 3 3 6 2 4" xfId="43349"/>
    <cellStyle name="入力 3 3 6 3" xfId="13965"/>
    <cellStyle name="入力 3 3 6 3 2" xfId="21226"/>
    <cellStyle name="入力 3 3 6 3 2 2" xfId="31638"/>
    <cellStyle name="入力 3 3 6 3 2 3" xfId="43352"/>
    <cellStyle name="入力 3 3 6 3 3" xfId="31637"/>
    <cellStyle name="入力 3 3 6 3 4" xfId="43351"/>
    <cellStyle name="入力 3 3 6 4" xfId="19676"/>
    <cellStyle name="入力 3 3 6 4 2" xfId="31639"/>
    <cellStyle name="入力 3 3 6 4 3" xfId="43353"/>
    <cellStyle name="入力 3 3 6 5" xfId="31634"/>
    <cellStyle name="入力 3 3 6 6" xfId="43348"/>
    <cellStyle name="入力 3 3 7" xfId="13966"/>
    <cellStyle name="入力 3 3 7 2" xfId="18689"/>
    <cellStyle name="入力 3 3 7 2 2" xfId="31641"/>
    <cellStyle name="入力 3 3 7 2 3" xfId="43355"/>
    <cellStyle name="入力 3 3 7 3" xfId="31640"/>
    <cellStyle name="入力 3 3 7 4" xfId="43354"/>
    <cellStyle name="入力 3 3 8" xfId="13967"/>
    <cellStyle name="入力 3 3 8 2" xfId="18302"/>
    <cellStyle name="入力 3 3 8 2 2" xfId="31643"/>
    <cellStyle name="入力 3 3 8 2 3" xfId="43357"/>
    <cellStyle name="入力 3 3 8 3" xfId="31642"/>
    <cellStyle name="入力 3 3 8 4" xfId="43356"/>
    <cellStyle name="入力 3 3 9" xfId="9994"/>
    <cellStyle name="入力 3 3 9 2" xfId="31644"/>
    <cellStyle name="入力 3 3 9 3" xfId="43358"/>
    <cellStyle name="入力 3 4" xfId="5426"/>
    <cellStyle name="入力 3 4 2" xfId="5427"/>
    <cellStyle name="入力 3 4 2 2" xfId="13969"/>
    <cellStyle name="入力 3 4 2 2 2" xfId="19673"/>
    <cellStyle name="入力 3 4 2 2 2 2" xfId="31648"/>
    <cellStyle name="入力 3 4 2 2 2 3" xfId="43360"/>
    <cellStyle name="入力 3 4 2 2 3" xfId="31647"/>
    <cellStyle name="入力 3 4 2 2 4" xfId="43359"/>
    <cellStyle name="入力 3 4 2 3" xfId="13970"/>
    <cellStyle name="入力 3 4 2 3 2" xfId="20895"/>
    <cellStyle name="入力 3 4 2 3 2 2" xfId="31650"/>
    <cellStyle name="入力 3 4 2 3 2 3" xfId="43362"/>
    <cellStyle name="入力 3 4 2 3 3" xfId="31649"/>
    <cellStyle name="入力 3 4 2 3 4" xfId="43361"/>
    <cellStyle name="入力 3 4 2 4" xfId="13968"/>
    <cellStyle name="入力 3 4 2 4 2" xfId="31651"/>
    <cellStyle name="入力 3 4 2 4 3" xfId="43363"/>
    <cellStyle name="入力 3 4 2 5" xfId="19674"/>
    <cellStyle name="入力 3 4 2 6" xfId="31646"/>
    <cellStyle name="入力 3 4 3" xfId="5428"/>
    <cellStyle name="入力 3 4 3 2" xfId="13971"/>
    <cellStyle name="入力 3 4 3 2 2" xfId="31653"/>
    <cellStyle name="入力 3 4 3 2 2 2" xfId="60698"/>
    <cellStyle name="入力 3 4 3 2 2 3" xfId="60699"/>
    <cellStyle name="入力 3 4 3 2 3" xfId="43364"/>
    <cellStyle name="入力 3 4 3 2 4" xfId="60700"/>
    <cellStyle name="入力 3 4 3 3" xfId="19672"/>
    <cellStyle name="入力 3 4 3 3 2" xfId="60701"/>
    <cellStyle name="入力 3 4 3 3 3" xfId="60702"/>
    <cellStyle name="入力 3 4 3 4" xfId="31652"/>
    <cellStyle name="入力 3 4 3 5" xfId="60703"/>
    <cellStyle name="入力 3 4 4" xfId="13972"/>
    <cellStyle name="入力 3 4 4 2" xfId="19671"/>
    <cellStyle name="入力 3 4 4 2 2" xfId="31655"/>
    <cellStyle name="入力 3 4 4 2 3" xfId="43366"/>
    <cellStyle name="入力 3 4 4 3" xfId="31654"/>
    <cellStyle name="入力 3 4 4 4" xfId="43365"/>
    <cellStyle name="入力 3 4 5" xfId="9999"/>
    <cellStyle name="入力 3 4 5 2" xfId="31656"/>
    <cellStyle name="入力 3 4 5 3" xfId="43367"/>
    <cellStyle name="入力 3 4 6" xfId="31645"/>
    <cellStyle name="入力 3 5" xfId="5429"/>
    <cellStyle name="入力 3 5 2" xfId="13973"/>
    <cellStyle name="入力 3 5 2 2" xfId="13974"/>
    <cellStyle name="入力 3 5 2 2 2" xfId="18301"/>
    <cellStyle name="入力 3 5 2 2 2 2" xfId="31660"/>
    <cellStyle name="入力 3 5 2 2 2 3" xfId="43371"/>
    <cellStyle name="入力 3 5 2 2 3" xfId="31659"/>
    <cellStyle name="入力 3 5 2 2 4" xfId="43370"/>
    <cellStyle name="入力 3 5 2 3" xfId="13975"/>
    <cellStyle name="入力 3 5 2 3 2" xfId="6843"/>
    <cellStyle name="入力 3 5 2 3 2 2" xfId="31662"/>
    <cellStyle name="入力 3 5 2 3 2 3" xfId="43373"/>
    <cellStyle name="入力 3 5 2 3 3" xfId="31661"/>
    <cellStyle name="入力 3 5 2 3 4" xfId="43372"/>
    <cellStyle name="入力 3 5 2 4" xfId="21225"/>
    <cellStyle name="入力 3 5 2 4 2" xfId="31663"/>
    <cellStyle name="入力 3 5 2 4 3" xfId="43374"/>
    <cellStyle name="入力 3 5 2 5" xfId="31658"/>
    <cellStyle name="入力 3 5 2 6" xfId="43369"/>
    <cellStyle name="入力 3 5 3" xfId="13976"/>
    <cellStyle name="入力 3 5 3 2" xfId="18300"/>
    <cellStyle name="入力 3 5 3 2 2" xfId="31665"/>
    <cellStyle name="入力 3 5 3 2 3" xfId="43376"/>
    <cellStyle name="入力 3 5 3 3" xfId="31664"/>
    <cellStyle name="入力 3 5 3 4" xfId="43375"/>
    <cellStyle name="入力 3 5 4" xfId="13977"/>
    <cellStyle name="入力 3 5 4 2" xfId="19670"/>
    <cellStyle name="入力 3 5 4 2 2" xfId="31667"/>
    <cellStyle name="入力 3 5 4 2 3" xfId="43378"/>
    <cellStyle name="入力 3 5 4 3" xfId="31666"/>
    <cellStyle name="入力 3 5 4 4" xfId="43377"/>
    <cellStyle name="入力 3 5 5" xfId="10000"/>
    <cellStyle name="入力 3 5 5 2" xfId="31668"/>
    <cellStyle name="入力 3 5 5 3" xfId="43379"/>
    <cellStyle name="入力 3 5 6" xfId="31657"/>
    <cellStyle name="入力 3 5 7" xfId="43368"/>
    <cellStyle name="入力 3 6" xfId="5430"/>
    <cellStyle name="入力 3 6 2" xfId="13978"/>
    <cellStyle name="入力 3 6 2 2" xfId="13979"/>
    <cellStyle name="入力 3 6 2 2 2" xfId="19668"/>
    <cellStyle name="入力 3 6 2 2 2 2" xfId="31672"/>
    <cellStyle name="入力 3 6 2 2 2 3" xfId="43383"/>
    <cellStyle name="入力 3 6 2 2 3" xfId="31671"/>
    <cellStyle name="入力 3 6 2 2 4" xfId="43382"/>
    <cellStyle name="入力 3 6 2 3" xfId="13980"/>
    <cellStyle name="入力 3 6 2 3 2" xfId="6844"/>
    <cellStyle name="入力 3 6 2 3 2 2" xfId="31674"/>
    <cellStyle name="入力 3 6 2 3 2 3" xfId="43385"/>
    <cellStyle name="入力 3 6 2 3 3" xfId="31673"/>
    <cellStyle name="入力 3 6 2 3 4" xfId="43384"/>
    <cellStyle name="入力 3 6 2 4" xfId="19669"/>
    <cellStyle name="入力 3 6 2 4 2" xfId="31675"/>
    <cellStyle name="入力 3 6 2 4 3" xfId="43386"/>
    <cellStyle name="入力 3 6 2 5" xfId="31670"/>
    <cellStyle name="入力 3 6 2 6" xfId="43381"/>
    <cellStyle name="入力 3 6 3" xfId="13981"/>
    <cellStyle name="入力 3 6 3 2" xfId="21224"/>
    <cellStyle name="入力 3 6 3 2 2" xfId="31677"/>
    <cellStyle name="入力 3 6 3 2 3" xfId="43388"/>
    <cellStyle name="入力 3 6 3 3" xfId="31676"/>
    <cellStyle name="入力 3 6 3 4" xfId="43387"/>
    <cellStyle name="入力 3 6 4" xfId="13982"/>
    <cellStyle name="入力 3 6 4 2" xfId="19667"/>
    <cellStyle name="入力 3 6 4 2 2" xfId="31679"/>
    <cellStyle name="入力 3 6 4 2 3" xfId="43390"/>
    <cellStyle name="入力 3 6 4 3" xfId="31678"/>
    <cellStyle name="入力 3 6 4 4" xfId="43389"/>
    <cellStyle name="入力 3 6 5" xfId="10001"/>
    <cellStyle name="入力 3 6 5 2" xfId="31680"/>
    <cellStyle name="入力 3 6 5 3" xfId="43391"/>
    <cellStyle name="入力 3 6 6" xfId="31669"/>
    <cellStyle name="入力 3 6 7" xfId="43380"/>
    <cellStyle name="入力 3 7" xfId="10002"/>
    <cellStyle name="入力 3 7 2" xfId="13983"/>
    <cellStyle name="入力 3 7 2 2" xfId="13984"/>
    <cellStyle name="入力 3 7 2 2 2" xfId="19665"/>
    <cellStyle name="入力 3 7 2 2 2 2" xfId="31684"/>
    <cellStyle name="入力 3 7 2 2 2 3" xfId="43395"/>
    <cellStyle name="入力 3 7 2 2 3" xfId="31683"/>
    <cellStyle name="入力 3 7 2 2 4" xfId="43394"/>
    <cellStyle name="入力 3 7 2 3" xfId="13985"/>
    <cellStyle name="入力 3 7 2 3 2" xfId="6845"/>
    <cellStyle name="入力 3 7 2 3 2 2" xfId="31686"/>
    <cellStyle name="入力 3 7 2 3 2 3" xfId="43397"/>
    <cellStyle name="入力 3 7 2 3 3" xfId="31685"/>
    <cellStyle name="入力 3 7 2 3 4" xfId="43396"/>
    <cellStyle name="入力 3 7 2 4" xfId="19666"/>
    <cellStyle name="入力 3 7 2 4 2" xfId="31687"/>
    <cellStyle name="入力 3 7 2 4 3" xfId="43398"/>
    <cellStyle name="入力 3 7 2 5" xfId="31682"/>
    <cellStyle name="入力 3 7 2 6" xfId="43393"/>
    <cellStyle name="入力 3 7 3" xfId="13986"/>
    <cellStyle name="入力 3 7 3 2" xfId="6846"/>
    <cellStyle name="入力 3 7 3 2 2" xfId="31689"/>
    <cellStyle name="入力 3 7 3 2 3" xfId="43400"/>
    <cellStyle name="入力 3 7 3 3" xfId="31688"/>
    <cellStyle name="入力 3 7 3 4" xfId="43399"/>
    <cellStyle name="入力 3 7 4" xfId="13987"/>
    <cellStyle name="入力 3 7 4 2" xfId="19664"/>
    <cellStyle name="入力 3 7 4 2 2" xfId="31691"/>
    <cellStyle name="入力 3 7 4 2 3" xfId="43402"/>
    <cellStyle name="入力 3 7 4 3" xfId="31690"/>
    <cellStyle name="入力 3 7 4 4" xfId="43401"/>
    <cellStyle name="入力 3 7 5" xfId="31692"/>
    <cellStyle name="入力 3 7 5 2" xfId="43403"/>
    <cellStyle name="入力 3 7 6" xfId="31681"/>
    <cellStyle name="入力 3 7 7" xfId="43392"/>
    <cellStyle name="入力 3 8" xfId="10003"/>
    <cellStyle name="入力 3 8 2" xfId="13988"/>
    <cellStyle name="入力 3 8 2 2" xfId="13989"/>
    <cellStyle name="入力 3 8 2 2 2" xfId="19663"/>
    <cellStyle name="入力 3 8 2 2 2 2" xfId="31696"/>
    <cellStyle name="入力 3 8 2 2 2 3" xfId="43407"/>
    <cellStyle name="入力 3 8 2 2 3" xfId="31695"/>
    <cellStyle name="入力 3 8 2 2 4" xfId="43406"/>
    <cellStyle name="入力 3 8 2 3" xfId="6847"/>
    <cellStyle name="入力 3 8 2 3 2" xfId="31697"/>
    <cellStyle name="入力 3 8 2 3 3" xfId="43408"/>
    <cellStyle name="入力 3 8 2 4" xfId="31694"/>
    <cellStyle name="入力 3 8 2 5" xfId="43405"/>
    <cellStyle name="入力 3 8 3" xfId="13990"/>
    <cellStyle name="入力 3 8 3 2" xfId="21223"/>
    <cellStyle name="入力 3 8 3 2 2" xfId="31699"/>
    <cellStyle name="入力 3 8 3 2 3" xfId="43410"/>
    <cellStyle name="入力 3 8 3 3" xfId="31698"/>
    <cellStyle name="入力 3 8 3 4" xfId="43409"/>
    <cellStyle name="入力 3 8 4" xfId="31700"/>
    <cellStyle name="入力 3 8 4 2" xfId="43411"/>
    <cellStyle name="入力 3 8 5" xfId="31693"/>
    <cellStyle name="入力 3 8 6" xfId="43404"/>
    <cellStyle name="入力 3 9" xfId="13991"/>
    <cellStyle name="入力 3 9 2" xfId="13992"/>
    <cellStyle name="入力 3 9 2 2" xfId="19662"/>
    <cellStyle name="入力 3 9 2 2 2" xfId="31703"/>
    <cellStyle name="入力 3 9 2 2 3" xfId="43414"/>
    <cellStyle name="入力 3 9 2 3" xfId="31702"/>
    <cellStyle name="入力 3 9 2 4" xfId="43413"/>
    <cellStyle name="入力 3 9 3" xfId="13993"/>
    <cellStyle name="入力 3 9 3 2" xfId="19661"/>
    <cellStyle name="入力 3 9 3 2 2" xfId="31705"/>
    <cellStyle name="入力 3 9 3 2 3" xfId="43416"/>
    <cellStyle name="入力 3 9 3 3" xfId="31704"/>
    <cellStyle name="入力 3 9 3 4" xfId="43415"/>
    <cellStyle name="入力 3 9 4" xfId="18299"/>
    <cellStyle name="入力 3 9 4 2" xfId="31706"/>
    <cellStyle name="入力 3 9 4 3" xfId="43417"/>
    <cellStyle name="入力 3 9 5" xfId="31701"/>
    <cellStyle name="入力 3 9 6" xfId="43412"/>
    <cellStyle name="入力 4" xfId="5431"/>
    <cellStyle name="入力 4 10" xfId="13994"/>
    <cellStyle name="入力 4 10 2" xfId="19660"/>
    <cellStyle name="入力 4 10 2 2" xfId="31709"/>
    <cellStyle name="入力 4 10 2 3" xfId="43419"/>
    <cellStyle name="入力 4 10 3" xfId="31708"/>
    <cellStyle name="入力 4 10 4" xfId="43418"/>
    <cellStyle name="入力 4 11" xfId="13995"/>
    <cellStyle name="入力 4 11 2" xfId="20894"/>
    <cellStyle name="入力 4 11 2 2" xfId="31711"/>
    <cellStyle name="入力 4 11 2 3" xfId="43421"/>
    <cellStyle name="入力 4 11 3" xfId="31710"/>
    <cellStyle name="入力 4 11 4" xfId="43420"/>
    <cellStyle name="入力 4 12" xfId="10004"/>
    <cellStyle name="入力 4 12 2" xfId="31713"/>
    <cellStyle name="入力 4 12 2 2" xfId="43423"/>
    <cellStyle name="入力 4 12 3" xfId="31712"/>
    <cellStyle name="入力 4 12 4" xfId="43422"/>
    <cellStyle name="入力 4 13" xfId="31714"/>
    <cellStyle name="入力 4 13 2" xfId="43424"/>
    <cellStyle name="入力 4 14" xfId="31707"/>
    <cellStyle name="入力 4 15" xfId="61086"/>
    <cellStyle name="入力 4 2" xfId="5432"/>
    <cellStyle name="入力 4 2 10" xfId="31715"/>
    <cellStyle name="入力 4 2 11" xfId="61087"/>
    <cellStyle name="入力 4 2 2" xfId="5433"/>
    <cellStyle name="入力 4 2 2 2" xfId="5434"/>
    <cellStyle name="入力 4 2 2 2 2" xfId="13997"/>
    <cellStyle name="入力 4 2 2 2 2 2" xfId="18298"/>
    <cellStyle name="入力 4 2 2 2 2 2 2" xfId="31719"/>
    <cellStyle name="入力 4 2 2 2 2 2 3" xfId="43426"/>
    <cellStyle name="入力 4 2 2 2 2 3" xfId="31718"/>
    <cellStyle name="入力 4 2 2 2 2 4" xfId="43425"/>
    <cellStyle name="入力 4 2 2 2 3" xfId="13998"/>
    <cellStyle name="入力 4 2 2 2 3 2" xfId="19658"/>
    <cellStyle name="入力 4 2 2 2 3 2 2" xfId="31721"/>
    <cellStyle name="入力 4 2 2 2 3 2 3" xfId="43428"/>
    <cellStyle name="入力 4 2 2 2 3 3" xfId="31720"/>
    <cellStyle name="入力 4 2 2 2 3 4" xfId="43427"/>
    <cellStyle name="入力 4 2 2 2 4" xfId="13996"/>
    <cellStyle name="入力 4 2 2 2 4 2" xfId="31722"/>
    <cellStyle name="入力 4 2 2 2 4 3" xfId="43429"/>
    <cellStyle name="入力 4 2 2 2 5" xfId="19659"/>
    <cellStyle name="入力 4 2 2 2 6" xfId="31717"/>
    <cellStyle name="入力 4 2 2 3" xfId="5435"/>
    <cellStyle name="入力 4 2 2 3 2" xfId="13999"/>
    <cellStyle name="入力 4 2 2 3 2 2" xfId="31724"/>
    <cellStyle name="入力 4 2 2 3 2 2 2" xfId="60704"/>
    <cellStyle name="入力 4 2 2 3 2 2 3" xfId="60705"/>
    <cellStyle name="入力 4 2 2 3 2 3" xfId="43430"/>
    <cellStyle name="入力 4 2 2 3 2 4" xfId="60706"/>
    <cellStyle name="入力 4 2 2 3 3" xfId="19657"/>
    <cellStyle name="入力 4 2 2 3 3 2" xfId="60707"/>
    <cellStyle name="入力 4 2 2 3 3 3" xfId="60708"/>
    <cellStyle name="入力 4 2 2 3 4" xfId="31723"/>
    <cellStyle name="入力 4 2 2 3 5" xfId="60709"/>
    <cellStyle name="入力 4 2 2 4" xfId="14000"/>
    <cellStyle name="入力 4 2 2 4 2" xfId="6848"/>
    <cellStyle name="入力 4 2 2 4 2 2" xfId="31726"/>
    <cellStyle name="入力 4 2 2 4 2 3" xfId="43432"/>
    <cellStyle name="入力 4 2 2 4 3" xfId="31725"/>
    <cellStyle name="入力 4 2 2 4 4" xfId="43431"/>
    <cellStyle name="入力 4 2 2 5" xfId="10006"/>
    <cellStyle name="入力 4 2 2 5 2" xfId="31727"/>
    <cellStyle name="入力 4 2 2 5 3" xfId="43433"/>
    <cellStyle name="入力 4 2 2 6" xfId="31716"/>
    <cellStyle name="入力 4 2 3" xfId="5436"/>
    <cellStyle name="入力 4 2 3 2" xfId="14001"/>
    <cellStyle name="入力 4 2 3 2 2" xfId="14002"/>
    <cellStyle name="入力 4 2 3 2 2 2" xfId="19655"/>
    <cellStyle name="入力 4 2 3 2 2 2 2" xfId="31731"/>
    <cellStyle name="入力 4 2 3 2 2 2 3" xfId="43436"/>
    <cellStyle name="入力 4 2 3 2 2 3" xfId="31730"/>
    <cellStyle name="入力 4 2 3 2 2 4" xfId="43435"/>
    <cellStyle name="入力 4 2 3 2 3" xfId="14003"/>
    <cellStyle name="入力 4 2 3 2 3 2" xfId="21222"/>
    <cellStyle name="入力 4 2 3 2 3 2 2" xfId="31733"/>
    <cellStyle name="入力 4 2 3 2 3 2 3" xfId="43438"/>
    <cellStyle name="入力 4 2 3 2 3 3" xfId="31732"/>
    <cellStyle name="入力 4 2 3 2 3 4" xfId="43437"/>
    <cellStyle name="入力 4 2 3 2 4" xfId="19656"/>
    <cellStyle name="入力 4 2 3 2 4 2" xfId="31734"/>
    <cellStyle name="入力 4 2 3 2 4 3" xfId="43439"/>
    <cellStyle name="入力 4 2 3 2 5" xfId="31729"/>
    <cellStyle name="入力 4 2 3 2 6" xfId="43434"/>
    <cellStyle name="入力 4 2 3 3" xfId="14004"/>
    <cellStyle name="入力 4 2 3 3 2" xfId="21221"/>
    <cellStyle name="入力 4 2 3 3 2 2" xfId="31736"/>
    <cellStyle name="入力 4 2 3 3 2 3" xfId="43441"/>
    <cellStyle name="入力 4 2 3 3 3" xfId="31735"/>
    <cellStyle name="入力 4 2 3 3 4" xfId="43440"/>
    <cellStyle name="入力 4 2 3 4" xfId="14005"/>
    <cellStyle name="入力 4 2 3 4 2" xfId="6849"/>
    <cellStyle name="入力 4 2 3 4 2 2" xfId="31738"/>
    <cellStyle name="入力 4 2 3 4 2 3" xfId="43443"/>
    <cellStyle name="入力 4 2 3 4 3" xfId="31737"/>
    <cellStyle name="入力 4 2 3 4 4" xfId="43442"/>
    <cellStyle name="入力 4 2 3 5" xfId="10007"/>
    <cellStyle name="入力 4 2 3 5 2" xfId="31739"/>
    <cellStyle name="入力 4 2 3 5 3" xfId="43444"/>
    <cellStyle name="入力 4 2 3 6" xfId="31728"/>
    <cellStyle name="入力 4 2 4" xfId="5437"/>
    <cellStyle name="入力 4 2 4 2" xfId="14006"/>
    <cellStyle name="入力 4 2 4 2 2" xfId="14007"/>
    <cellStyle name="入力 4 2 4 2 2 2" xfId="19654"/>
    <cellStyle name="入力 4 2 4 2 2 2 2" xfId="31743"/>
    <cellStyle name="入力 4 2 4 2 2 2 3" xfId="43447"/>
    <cellStyle name="入力 4 2 4 2 2 3" xfId="31742"/>
    <cellStyle name="入力 4 2 4 2 2 4" xfId="43446"/>
    <cellStyle name="入力 4 2 4 2 3" xfId="14008"/>
    <cellStyle name="入力 4 2 4 2 3 2" xfId="19653"/>
    <cellStyle name="入力 4 2 4 2 3 2 2" xfId="31745"/>
    <cellStyle name="入力 4 2 4 2 3 2 3" xfId="43449"/>
    <cellStyle name="入力 4 2 4 2 3 3" xfId="31744"/>
    <cellStyle name="入力 4 2 4 2 3 4" xfId="43448"/>
    <cellStyle name="入力 4 2 4 2 4" xfId="18297"/>
    <cellStyle name="入力 4 2 4 2 4 2" xfId="31746"/>
    <cellStyle name="入力 4 2 4 2 4 3" xfId="43450"/>
    <cellStyle name="入力 4 2 4 2 5" xfId="31741"/>
    <cellStyle name="入力 4 2 4 2 6" xfId="43445"/>
    <cellStyle name="入力 4 2 4 3" xfId="14009"/>
    <cellStyle name="入力 4 2 4 3 2" xfId="19652"/>
    <cellStyle name="入力 4 2 4 3 2 2" xfId="31748"/>
    <cellStyle name="入力 4 2 4 3 2 3" xfId="43452"/>
    <cellStyle name="入力 4 2 4 3 3" xfId="31747"/>
    <cellStyle name="入力 4 2 4 3 4" xfId="43451"/>
    <cellStyle name="入力 4 2 4 4" xfId="14010"/>
    <cellStyle name="入力 4 2 4 4 2" xfId="6850"/>
    <cellStyle name="入力 4 2 4 4 2 2" xfId="31750"/>
    <cellStyle name="入力 4 2 4 4 2 3" xfId="43454"/>
    <cellStyle name="入力 4 2 4 4 3" xfId="31749"/>
    <cellStyle name="入力 4 2 4 4 4" xfId="43453"/>
    <cellStyle name="入力 4 2 4 5" xfId="10008"/>
    <cellStyle name="入力 4 2 4 5 2" xfId="31751"/>
    <cellStyle name="入力 4 2 4 5 3" xfId="43455"/>
    <cellStyle name="入力 4 2 4 6" xfId="31740"/>
    <cellStyle name="入力 4 2 5" xfId="10009"/>
    <cellStyle name="入力 4 2 5 2" xfId="14011"/>
    <cellStyle name="入力 4 2 5 2 2" xfId="14012"/>
    <cellStyle name="入力 4 2 5 2 2 2" xfId="18688"/>
    <cellStyle name="入力 4 2 5 2 2 2 2" xfId="31755"/>
    <cellStyle name="入力 4 2 5 2 2 2 3" xfId="43459"/>
    <cellStyle name="入力 4 2 5 2 2 3" xfId="31754"/>
    <cellStyle name="入力 4 2 5 2 2 4" xfId="43458"/>
    <cellStyle name="入力 4 2 5 2 3" xfId="14013"/>
    <cellStyle name="入力 4 2 5 2 3 2" xfId="18296"/>
    <cellStyle name="入力 4 2 5 2 3 2 2" xfId="31757"/>
    <cellStyle name="入力 4 2 5 2 3 2 3" xfId="43461"/>
    <cellStyle name="入力 4 2 5 2 3 3" xfId="31756"/>
    <cellStyle name="入力 4 2 5 2 3 4" xfId="43460"/>
    <cellStyle name="入力 4 2 5 2 4" xfId="19651"/>
    <cellStyle name="入力 4 2 5 2 4 2" xfId="31758"/>
    <cellStyle name="入力 4 2 5 2 4 3" xfId="43462"/>
    <cellStyle name="入力 4 2 5 2 5" xfId="31753"/>
    <cellStyle name="入力 4 2 5 2 6" xfId="43457"/>
    <cellStyle name="入力 4 2 5 3" xfId="14014"/>
    <cellStyle name="入力 4 2 5 3 2" xfId="18295"/>
    <cellStyle name="入力 4 2 5 3 2 2" xfId="31760"/>
    <cellStyle name="入力 4 2 5 3 2 3" xfId="43464"/>
    <cellStyle name="入力 4 2 5 3 3" xfId="31759"/>
    <cellStyle name="入力 4 2 5 3 4" xfId="43463"/>
    <cellStyle name="入力 4 2 5 4" xfId="14015"/>
    <cellStyle name="入力 4 2 5 4 2" xfId="6851"/>
    <cellStyle name="入力 4 2 5 4 2 2" xfId="31762"/>
    <cellStyle name="入力 4 2 5 4 2 3" xfId="43466"/>
    <cellStyle name="入力 4 2 5 4 3" xfId="31761"/>
    <cellStyle name="入力 4 2 5 4 4" xfId="43465"/>
    <cellStyle name="入力 4 2 5 5" xfId="31763"/>
    <cellStyle name="入力 4 2 5 5 2" xfId="43467"/>
    <cellStyle name="入力 4 2 5 6" xfId="31752"/>
    <cellStyle name="入力 4 2 5 7" xfId="43456"/>
    <cellStyle name="入力 4 2 6" xfId="14016"/>
    <cellStyle name="入力 4 2 6 2" xfId="14017"/>
    <cellStyle name="入力 4 2 6 2 2" xfId="19649"/>
    <cellStyle name="入力 4 2 6 2 2 2" xfId="31766"/>
    <cellStyle name="入力 4 2 6 2 2 3" xfId="43470"/>
    <cellStyle name="入力 4 2 6 2 3" xfId="31765"/>
    <cellStyle name="入力 4 2 6 2 4" xfId="43469"/>
    <cellStyle name="入力 4 2 6 3" xfId="14018"/>
    <cellStyle name="入力 4 2 6 3 2" xfId="19648"/>
    <cellStyle name="入力 4 2 6 3 2 2" xfId="31768"/>
    <cellStyle name="入力 4 2 6 3 2 3" xfId="43472"/>
    <cellStyle name="入力 4 2 6 3 3" xfId="31767"/>
    <cellStyle name="入力 4 2 6 3 4" xfId="43471"/>
    <cellStyle name="入力 4 2 6 4" xfId="19650"/>
    <cellStyle name="入力 4 2 6 4 2" xfId="31769"/>
    <cellStyle name="入力 4 2 6 4 3" xfId="43473"/>
    <cellStyle name="入力 4 2 6 5" xfId="31764"/>
    <cellStyle name="入力 4 2 6 6" xfId="43468"/>
    <cellStyle name="入力 4 2 7" xfId="14019"/>
    <cellStyle name="入力 4 2 7 2" xfId="21220"/>
    <cellStyle name="入力 4 2 7 2 2" xfId="31771"/>
    <cellStyle name="入力 4 2 7 2 3" xfId="43475"/>
    <cellStyle name="入力 4 2 7 3" xfId="31770"/>
    <cellStyle name="入力 4 2 7 4" xfId="43474"/>
    <cellStyle name="入力 4 2 8" xfId="14020"/>
    <cellStyle name="入力 4 2 8 2" xfId="19647"/>
    <cellStyle name="入力 4 2 8 2 2" xfId="31773"/>
    <cellStyle name="入力 4 2 8 2 3" xfId="43477"/>
    <cellStyle name="入力 4 2 8 3" xfId="31772"/>
    <cellStyle name="入力 4 2 8 4" xfId="43476"/>
    <cellStyle name="入力 4 2 9" xfId="10005"/>
    <cellStyle name="入力 4 2 9 2" xfId="31774"/>
    <cellStyle name="入力 4 2 9 3" xfId="43478"/>
    <cellStyle name="入力 4 3" xfId="5438"/>
    <cellStyle name="入力 4 3 10" xfId="31775"/>
    <cellStyle name="入力 4 3 2" xfId="5439"/>
    <cellStyle name="入力 4 3 2 2" xfId="5440"/>
    <cellStyle name="入力 4 3 2 2 2" xfId="14022"/>
    <cellStyle name="入力 4 3 2 2 2 2" xfId="19645"/>
    <cellStyle name="入力 4 3 2 2 2 2 2" xfId="31779"/>
    <cellStyle name="入力 4 3 2 2 2 2 3" xfId="43480"/>
    <cellStyle name="入力 4 3 2 2 2 3" xfId="31778"/>
    <cellStyle name="入力 4 3 2 2 2 4" xfId="43479"/>
    <cellStyle name="入力 4 3 2 2 3" xfId="14023"/>
    <cellStyle name="入力 4 3 2 2 3 2" xfId="19644"/>
    <cellStyle name="入力 4 3 2 2 3 2 2" xfId="31781"/>
    <cellStyle name="入力 4 3 2 2 3 2 3" xfId="43482"/>
    <cellStyle name="入力 4 3 2 2 3 3" xfId="31780"/>
    <cellStyle name="入力 4 3 2 2 3 4" xfId="43481"/>
    <cellStyle name="入力 4 3 2 2 4" xfId="14021"/>
    <cellStyle name="入力 4 3 2 2 4 2" xfId="31782"/>
    <cellStyle name="入力 4 3 2 2 4 3" xfId="43483"/>
    <cellStyle name="入力 4 3 2 2 5" xfId="19646"/>
    <cellStyle name="入力 4 3 2 2 6" xfId="31777"/>
    <cellStyle name="入力 4 3 2 3" xfId="5441"/>
    <cellStyle name="入力 4 3 2 3 2" xfId="14024"/>
    <cellStyle name="入力 4 3 2 3 2 2" xfId="31784"/>
    <cellStyle name="入力 4 3 2 3 2 2 2" xfId="60710"/>
    <cellStyle name="入力 4 3 2 3 2 2 3" xfId="60711"/>
    <cellStyle name="入力 4 3 2 3 2 3" xfId="43484"/>
    <cellStyle name="入力 4 3 2 3 2 4" xfId="60712"/>
    <cellStyle name="入力 4 3 2 3 3" xfId="6852"/>
    <cellStyle name="入力 4 3 2 3 3 2" xfId="60713"/>
    <cellStyle name="入力 4 3 2 3 3 3" xfId="60714"/>
    <cellStyle name="入力 4 3 2 3 4" xfId="31783"/>
    <cellStyle name="入力 4 3 2 3 5" xfId="60715"/>
    <cellStyle name="入力 4 3 2 4" xfId="14025"/>
    <cellStyle name="入力 4 3 2 4 2" xfId="19643"/>
    <cellStyle name="入力 4 3 2 4 2 2" xfId="31786"/>
    <cellStyle name="入力 4 3 2 4 2 3" xfId="43486"/>
    <cellStyle name="入力 4 3 2 4 3" xfId="31785"/>
    <cellStyle name="入力 4 3 2 4 4" xfId="43485"/>
    <cellStyle name="入力 4 3 2 5" xfId="10011"/>
    <cellStyle name="入力 4 3 2 5 2" xfId="31787"/>
    <cellStyle name="入力 4 3 2 5 3" xfId="43487"/>
    <cellStyle name="入力 4 3 2 6" xfId="31776"/>
    <cellStyle name="入力 4 3 3" xfId="5442"/>
    <cellStyle name="入力 4 3 3 2" xfId="14026"/>
    <cellStyle name="入力 4 3 3 2 2" xfId="14027"/>
    <cellStyle name="入力 4 3 3 2 2 2" xfId="18294"/>
    <cellStyle name="入力 4 3 3 2 2 2 2" xfId="31791"/>
    <cellStyle name="入力 4 3 3 2 2 2 3" xfId="43490"/>
    <cellStyle name="入力 4 3 3 2 2 3" xfId="31790"/>
    <cellStyle name="入力 4 3 3 2 2 4" xfId="43489"/>
    <cellStyle name="入力 4 3 3 2 3" xfId="14028"/>
    <cellStyle name="入力 4 3 3 2 3 2" xfId="19642"/>
    <cellStyle name="入力 4 3 3 2 3 2 2" xfId="31793"/>
    <cellStyle name="入力 4 3 3 2 3 2 3" xfId="43492"/>
    <cellStyle name="入力 4 3 3 2 3 3" xfId="31792"/>
    <cellStyle name="入力 4 3 3 2 3 4" xfId="43491"/>
    <cellStyle name="入力 4 3 3 2 4" xfId="21219"/>
    <cellStyle name="入力 4 3 3 2 4 2" xfId="31794"/>
    <cellStyle name="入力 4 3 3 2 4 3" xfId="43493"/>
    <cellStyle name="入力 4 3 3 2 5" xfId="31789"/>
    <cellStyle name="入力 4 3 3 2 6" xfId="43488"/>
    <cellStyle name="入力 4 3 3 3" xfId="14029"/>
    <cellStyle name="入力 4 3 3 3 2" xfId="6853"/>
    <cellStyle name="入力 4 3 3 3 2 2" xfId="31796"/>
    <cellStyle name="入力 4 3 3 3 2 3" xfId="43495"/>
    <cellStyle name="入力 4 3 3 3 3" xfId="31795"/>
    <cellStyle name="入力 4 3 3 3 4" xfId="43494"/>
    <cellStyle name="入力 4 3 3 4" xfId="14030"/>
    <cellStyle name="入力 4 3 3 4 2" xfId="19641"/>
    <cellStyle name="入力 4 3 3 4 2 2" xfId="31798"/>
    <cellStyle name="入力 4 3 3 4 2 3" xfId="43497"/>
    <cellStyle name="入力 4 3 3 4 3" xfId="31797"/>
    <cellStyle name="入力 4 3 3 4 4" xfId="43496"/>
    <cellStyle name="入力 4 3 3 5" xfId="10012"/>
    <cellStyle name="入力 4 3 3 5 2" xfId="31799"/>
    <cellStyle name="入力 4 3 3 5 3" xfId="43498"/>
    <cellStyle name="入力 4 3 3 6" xfId="31788"/>
    <cellStyle name="入力 4 3 4" xfId="5443"/>
    <cellStyle name="入力 4 3 4 2" xfId="14031"/>
    <cellStyle name="入力 4 3 4 2 2" xfId="14032"/>
    <cellStyle name="入力 4 3 4 2 2 2" xfId="19639"/>
    <cellStyle name="入力 4 3 4 2 2 2 2" xfId="31803"/>
    <cellStyle name="入力 4 3 4 2 2 2 3" xfId="43501"/>
    <cellStyle name="入力 4 3 4 2 2 3" xfId="31802"/>
    <cellStyle name="入力 4 3 4 2 2 4" xfId="43500"/>
    <cellStyle name="入力 4 3 4 2 3" xfId="14033"/>
    <cellStyle name="入力 4 3 4 2 3 2" xfId="18293"/>
    <cellStyle name="入力 4 3 4 2 3 2 2" xfId="31805"/>
    <cellStyle name="入力 4 3 4 2 3 2 3" xfId="43503"/>
    <cellStyle name="入力 4 3 4 2 3 3" xfId="31804"/>
    <cellStyle name="入力 4 3 4 2 3 4" xfId="43502"/>
    <cellStyle name="入力 4 3 4 2 4" xfId="19640"/>
    <cellStyle name="入力 4 3 4 2 4 2" xfId="31806"/>
    <cellStyle name="入力 4 3 4 2 4 3" xfId="43504"/>
    <cellStyle name="入力 4 3 4 2 5" xfId="31801"/>
    <cellStyle name="入力 4 3 4 2 6" xfId="43499"/>
    <cellStyle name="入力 4 3 4 3" xfId="14034"/>
    <cellStyle name="入力 4 3 4 3 2" xfId="6854"/>
    <cellStyle name="入力 4 3 4 3 2 2" xfId="31808"/>
    <cellStyle name="入力 4 3 4 3 2 3" xfId="43506"/>
    <cellStyle name="入力 4 3 4 3 3" xfId="31807"/>
    <cellStyle name="入力 4 3 4 3 4" xfId="43505"/>
    <cellStyle name="入力 4 3 4 4" xfId="14035"/>
    <cellStyle name="入力 4 3 4 4 2" xfId="19638"/>
    <cellStyle name="入力 4 3 4 4 2 2" xfId="31810"/>
    <cellStyle name="入力 4 3 4 4 2 3" xfId="43508"/>
    <cellStyle name="入力 4 3 4 4 3" xfId="31809"/>
    <cellStyle name="入力 4 3 4 4 4" xfId="43507"/>
    <cellStyle name="入力 4 3 4 5" xfId="10013"/>
    <cellStyle name="入力 4 3 4 5 2" xfId="31811"/>
    <cellStyle name="入力 4 3 4 5 3" xfId="43509"/>
    <cellStyle name="入力 4 3 4 6" xfId="31800"/>
    <cellStyle name="入力 4 3 5" xfId="10014"/>
    <cellStyle name="入力 4 3 5 2" xfId="14036"/>
    <cellStyle name="入力 4 3 5 2 2" xfId="14037"/>
    <cellStyle name="入力 4 3 5 2 2 2" xfId="19636"/>
    <cellStyle name="入力 4 3 5 2 2 2 2" xfId="31815"/>
    <cellStyle name="入力 4 3 5 2 2 2 3" xfId="43513"/>
    <cellStyle name="入力 4 3 5 2 2 3" xfId="31814"/>
    <cellStyle name="入力 4 3 5 2 2 4" xfId="43512"/>
    <cellStyle name="入力 4 3 5 2 3" xfId="14038"/>
    <cellStyle name="入力 4 3 5 2 3 2" xfId="19635"/>
    <cellStyle name="入力 4 3 5 2 3 2 2" xfId="31817"/>
    <cellStyle name="入力 4 3 5 2 3 2 3" xfId="43515"/>
    <cellStyle name="入力 4 3 5 2 3 3" xfId="31816"/>
    <cellStyle name="入力 4 3 5 2 3 4" xfId="43514"/>
    <cellStyle name="入力 4 3 5 2 4" xfId="19637"/>
    <cellStyle name="入力 4 3 5 2 4 2" xfId="31818"/>
    <cellStyle name="入力 4 3 5 2 4 3" xfId="43516"/>
    <cellStyle name="入力 4 3 5 2 5" xfId="31813"/>
    <cellStyle name="入力 4 3 5 2 6" xfId="43511"/>
    <cellStyle name="入力 4 3 5 3" xfId="14039"/>
    <cellStyle name="入力 4 3 5 3 2" xfId="6855"/>
    <cellStyle name="入力 4 3 5 3 2 2" xfId="31820"/>
    <cellStyle name="入力 4 3 5 3 2 3" xfId="43518"/>
    <cellStyle name="入力 4 3 5 3 3" xfId="31819"/>
    <cellStyle name="入力 4 3 5 3 4" xfId="43517"/>
    <cellStyle name="入力 4 3 5 4" xfId="14040"/>
    <cellStyle name="入力 4 3 5 4 2" xfId="6856"/>
    <cellStyle name="入力 4 3 5 4 2 2" xfId="31822"/>
    <cellStyle name="入力 4 3 5 4 2 3" xfId="43520"/>
    <cellStyle name="入力 4 3 5 4 3" xfId="31821"/>
    <cellStyle name="入力 4 3 5 4 4" xfId="43519"/>
    <cellStyle name="入力 4 3 5 5" xfId="31823"/>
    <cellStyle name="入力 4 3 5 5 2" xfId="43521"/>
    <cellStyle name="入力 4 3 5 6" xfId="31812"/>
    <cellStyle name="入力 4 3 5 7" xfId="43510"/>
    <cellStyle name="入力 4 3 6" xfId="14041"/>
    <cellStyle name="入力 4 3 6 2" xfId="14042"/>
    <cellStyle name="入力 4 3 6 2 2" xfId="21217"/>
    <cellStyle name="入力 4 3 6 2 2 2" xfId="31826"/>
    <cellStyle name="入力 4 3 6 2 2 3" xfId="43524"/>
    <cellStyle name="入力 4 3 6 2 3" xfId="31825"/>
    <cellStyle name="入力 4 3 6 2 4" xfId="43523"/>
    <cellStyle name="入力 4 3 6 3" xfId="14043"/>
    <cellStyle name="入力 4 3 6 3 2" xfId="18292"/>
    <cellStyle name="入力 4 3 6 3 2 2" xfId="31828"/>
    <cellStyle name="入力 4 3 6 3 2 3" xfId="43526"/>
    <cellStyle name="入力 4 3 6 3 3" xfId="31827"/>
    <cellStyle name="入力 4 3 6 3 4" xfId="43525"/>
    <cellStyle name="入力 4 3 6 4" xfId="21218"/>
    <cellStyle name="入力 4 3 6 4 2" xfId="31829"/>
    <cellStyle name="入力 4 3 6 4 3" xfId="43527"/>
    <cellStyle name="入力 4 3 6 5" xfId="31824"/>
    <cellStyle name="入力 4 3 6 6" xfId="43522"/>
    <cellStyle name="入力 4 3 7" xfId="14044"/>
    <cellStyle name="入力 4 3 7 2" xfId="19634"/>
    <cellStyle name="入力 4 3 7 2 2" xfId="31831"/>
    <cellStyle name="入力 4 3 7 2 3" xfId="43529"/>
    <cellStyle name="入力 4 3 7 3" xfId="31830"/>
    <cellStyle name="入力 4 3 7 4" xfId="43528"/>
    <cellStyle name="入力 4 3 8" xfId="14045"/>
    <cellStyle name="入力 4 3 8 2" xfId="19633"/>
    <cellStyle name="入力 4 3 8 2 2" xfId="31833"/>
    <cellStyle name="入力 4 3 8 2 3" xfId="43531"/>
    <cellStyle name="入力 4 3 8 3" xfId="31832"/>
    <cellStyle name="入力 4 3 8 4" xfId="43530"/>
    <cellStyle name="入力 4 3 9" xfId="10010"/>
    <cellStyle name="入力 4 3 9 2" xfId="31834"/>
    <cellStyle name="入力 4 3 9 3" xfId="43532"/>
    <cellStyle name="入力 4 4" xfId="5444"/>
    <cellStyle name="入力 4 4 2" xfId="5445"/>
    <cellStyle name="入力 4 4 2 2" xfId="14047"/>
    <cellStyle name="入力 4 4 2 2 2" xfId="19631"/>
    <cellStyle name="入力 4 4 2 2 2 2" xfId="31838"/>
    <cellStyle name="入力 4 4 2 2 2 3" xfId="43534"/>
    <cellStyle name="入力 4 4 2 2 3" xfId="31837"/>
    <cellStyle name="入力 4 4 2 2 4" xfId="43533"/>
    <cellStyle name="入力 4 4 2 3" xfId="14048"/>
    <cellStyle name="入力 4 4 2 3 2" xfId="6857"/>
    <cellStyle name="入力 4 4 2 3 2 2" xfId="31840"/>
    <cellStyle name="入力 4 4 2 3 2 3" xfId="43536"/>
    <cellStyle name="入力 4 4 2 3 3" xfId="31839"/>
    <cellStyle name="入力 4 4 2 3 4" xfId="43535"/>
    <cellStyle name="入力 4 4 2 4" xfId="14046"/>
    <cellStyle name="入力 4 4 2 4 2" xfId="31841"/>
    <cellStyle name="入力 4 4 2 4 3" xfId="43537"/>
    <cellStyle name="入力 4 4 2 5" xfId="19632"/>
    <cellStyle name="入力 4 4 2 6" xfId="31836"/>
    <cellStyle name="入力 4 4 3" xfId="5446"/>
    <cellStyle name="入力 4 4 3 2" xfId="14049"/>
    <cellStyle name="入力 4 4 3 2 2" xfId="31843"/>
    <cellStyle name="入力 4 4 3 2 2 2" xfId="60716"/>
    <cellStyle name="入力 4 4 3 2 2 3" xfId="60717"/>
    <cellStyle name="入力 4 4 3 2 3" xfId="43538"/>
    <cellStyle name="入力 4 4 3 2 4" xfId="60718"/>
    <cellStyle name="入力 4 4 3 3" xfId="21216"/>
    <cellStyle name="入力 4 4 3 3 2" xfId="60719"/>
    <cellStyle name="入力 4 4 3 3 3" xfId="60720"/>
    <cellStyle name="入力 4 4 3 4" xfId="31842"/>
    <cellStyle name="入力 4 4 3 5" xfId="60721"/>
    <cellStyle name="入力 4 4 4" xfId="14050"/>
    <cellStyle name="入力 4 4 4 2" xfId="18291"/>
    <cellStyle name="入力 4 4 4 2 2" xfId="31845"/>
    <cellStyle name="入力 4 4 4 2 3" xfId="43540"/>
    <cellStyle name="入力 4 4 4 3" xfId="31844"/>
    <cellStyle name="入力 4 4 4 4" xfId="43539"/>
    <cellStyle name="入力 4 4 5" xfId="10015"/>
    <cellStyle name="入力 4 4 5 2" xfId="31846"/>
    <cellStyle name="入力 4 4 5 3" xfId="43541"/>
    <cellStyle name="入力 4 4 6" xfId="31835"/>
    <cellStyle name="入力 4 5" xfId="5447"/>
    <cellStyle name="入力 4 5 2" xfId="14051"/>
    <cellStyle name="入力 4 5 2 2" xfId="14052"/>
    <cellStyle name="入力 4 5 2 2 2" xfId="19630"/>
    <cellStyle name="入力 4 5 2 2 2 2" xfId="31850"/>
    <cellStyle name="入力 4 5 2 2 2 3" xfId="43544"/>
    <cellStyle name="入力 4 5 2 2 3" xfId="31849"/>
    <cellStyle name="入力 4 5 2 2 4" xfId="43543"/>
    <cellStyle name="入力 4 5 2 3" xfId="14053"/>
    <cellStyle name="入力 4 5 2 3 2" xfId="20893"/>
    <cellStyle name="入力 4 5 2 3 2 2" xfId="31852"/>
    <cellStyle name="入力 4 5 2 3 2 3" xfId="43546"/>
    <cellStyle name="入力 4 5 2 3 3" xfId="31851"/>
    <cellStyle name="入力 4 5 2 3 4" xfId="43545"/>
    <cellStyle name="入力 4 5 2 4" xfId="18290"/>
    <cellStyle name="入力 4 5 2 4 2" xfId="31853"/>
    <cellStyle name="入力 4 5 2 4 3" xfId="43547"/>
    <cellStyle name="入力 4 5 2 5" xfId="31848"/>
    <cellStyle name="入力 4 5 2 6" xfId="43542"/>
    <cellStyle name="入力 4 5 3" xfId="14054"/>
    <cellStyle name="入力 4 5 3 2" xfId="19629"/>
    <cellStyle name="入力 4 5 3 2 2" xfId="31855"/>
    <cellStyle name="入力 4 5 3 2 3" xfId="43549"/>
    <cellStyle name="入力 4 5 3 3" xfId="31854"/>
    <cellStyle name="入力 4 5 3 4" xfId="43548"/>
    <cellStyle name="入力 4 5 4" xfId="14055"/>
    <cellStyle name="入力 4 5 4 2" xfId="19628"/>
    <cellStyle name="入力 4 5 4 2 2" xfId="31857"/>
    <cellStyle name="入力 4 5 4 2 3" xfId="43551"/>
    <cellStyle name="入力 4 5 4 3" xfId="31856"/>
    <cellStyle name="入力 4 5 4 4" xfId="43550"/>
    <cellStyle name="入力 4 5 5" xfId="10016"/>
    <cellStyle name="入力 4 5 5 2" xfId="31858"/>
    <cellStyle name="入力 4 5 5 3" xfId="43552"/>
    <cellStyle name="入力 4 5 6" xfId="31847"/>
    <cellStyle name="入力 4 6" xfId="5448"/>
    <cellStyle name="入力 4 6 2" xfId="14056"/>
    <cellStyle name="入力 4 6 2 2" xfId="14057"/>
    <cellStyle name="入力 4 6 2 2 2" xfId="19627"/>
    <cellStyle name="入力 4 6 2 2 2 2" xfId="31862"/>
    <cellStyle name="入力 4 6 2 2 2 3" xfId="43555"/>
    <cellStyle name="入力 4 6 2 2 3" xfId="31861"/>
    <cellStyle name="入力 4 6 2 2 4" xfId="43554"/>
    <cellStyle name="入力 4 6 2 3" xfId="14058"/>
    <cellStyle name="入力 4 6 2 3 2" xfId="18597"/>
    <cellStyle name="入力 4 6 2 3 2 2" xfId="31864"/>
    <cellStyle name="入力 4 6 2 3 2 3" xfId="43557"/>
    <cellStyle name="入力 4 6 2 3 3" xfId="31863"/>
    <cellStyle name="入力 4 6 2 3 4" xfId="43556"/>
    <cellStyle name="入力 4 6 2 4" xfId="18687"/>
    <cellStyle name="入力 4 6 2 4 2" xfId="31865"/>
    <cellStyle name="入力 4 6 2 4 3" xfId="43558"/>
    <cellStyle name="入力 4 6 2 5" xfId="31860"/>
    <cellStyle name="入力 4 6 2 6" xfId="43553"/>
    <cellStyle name="入力 4 6 3" xfId="14059"/>
    <cellStyle name="入力 4 6 3 2" xfId="19626"/>
    <cellStyle name="入力 4 6 3 2 2" xfId="31867"/>
    <cellStyle name="入力 4 6 3 2 3" xfId="43560"/>
    <cellStyle name="入力 4 6 3 3" xfId="31866"/>
    <cellStyle name="入力 4 6 3 4" xfId="43559"/>
    <cellStyle name="入力 4 6 4" xfId="14060"/>
    <cellStyle name="入力 4 6 4 2" xfId="19625"/>
    <cellStyle name="入力 4 6 4 2 2" xfId="31869"/>
    <cellStyle name="入力 4 6 4 2 3" xfId="43562"/>
    <cellStyle name="入力 4 6 4 3" xfId="31868"/>
    <cellStyle name="入力 4 6 4 4" xfId="43561"/>
    <cellStyle name="入力 4 6 5" xfId="10017"/>
    <cellStyle name="入力 4 6 5 2" xfId="31870"/>
    <cellStyle name="入力 4 6 5 3" xfId="43563"/>
    <cellStyle name="入力 4 6 6" xfId="31859"/>
    <cellStyle name="入力 4 7" xfId="10018"/>
    <cellStyle name="入力 4 7 2" xfId="14061"/>
    <cellStyle name="入力 4 7 2 2" xfId="14062"/>
    <cellStyle name="入力 4 7 2 2 2" xfId="19623"/>
    <cellStyle name="入力 4 7 2 2 2 2" xfId="31874"/>
    <cellStyle name="入力 4 7 2 2 2 3" xfId="43567"/>
    <cellStyle name="入力 4 7 2 2 3" xfId="31873"/>
    <cellStyle name="入力 4 7 2 2 4" xfId="43566"/>
    <cellStyle name="入力 4 7 2 3" xfId="14063"/>
    <cellStyle name="入力 4 7 2 3 2" xfId="6858"/>
    <cellStyle name="入力 4 7 2 3 2 2" xfId="31876"/>
    <cellStyle name="入力 4 7 2 3 2 3" xfId="43569"/>
    <cellStyle name="入力 4 7 2 3 3" xfId="31875"/>
    <cellStyle name="入力 4 7 2 3 4" xfId="43568"/>
    <cellStyle name="入力 4 7 2 4" xfId="19624"/>
    <cellStyle name="入力 4 7 2 4 2" xfId="31877"/>
    <cellStyle name="入力 4 7 2 4 3" xfId="43570"/>
    <cellStyle name="入力 4 7 2 5" xfId="31872"/>
    <cellStyle name="入力 4 7 2 6" xfId="43565"/>
    <cellStyle name="入力 4 7 3" xfId="14064"/>
    <cellStyle name="入力 4 7 3 2" xfId="21215"/>
    <cellStyle name="入力 4 7 3 2 2" xfId="31879"/>
    <cellStyle name="入力 4 7 3 2 3" xfId="43572"/>
    <cellStyle name="入力 4 7 3 3" xfId="31878"/>
    <cellStyle name="入力 4 7 3 4" xfId="43571"/>
    <cellStyle name="入力 4 7 4" xfId="14065"/>
    <cellStyle name="入力 4 7 4 2" xfId="18289"/>
    <cellStyle name="入力 4 7 4 2 2" xfId="31881"/>
    <cellStyle name="入力 4 7 4 2 3" xfId="43574"/>
    <cellStyle name="入力 4 7 4 3" xfId="31880"/>
    <cellStyle name="入力 4 7 4 4" xfId="43573"/>
    <cellStyle name="入力 4 7 5" xfId="31882"/>
    <cellStyle name="入力 4 7 5 2" xfId="43575"/>
    <cellStyle name="入力 4 7 6" xfId="31871"/>
    <cellStyle name="入力 4 7 7" xfId="43564"/>
    <cellStyle name="入力 4 8" xfId="10019"/>
    <cellStyle name="入力 4 8 2" xfId="14066"/>
    <cellStyle name="入力 4 8 2 2" xfId="14067"/>
    <cellStyle name="入力 4 8 2 2 2" xfId="19621"/>
    <cellStyle name="入力 4 8 2 2 2 2" xfId="31886"/>
    <cellStyle name="入力 4 8 2 2 2 3" xfId="43579"/>
    <cellStyle name="入力 4 8 2 2 3" xfId="31885"/>
    <cellStyle name="入力 4 8 2 2 4" xfId="43578"/>
    <cellStyle name="入力 4 8 2 3" xfId="19622"/>
    <cellStyle name="入力 4 8 2 3 2" xfId="31887"/>
    <cellStyle name="入力 4 8 2 3 3" xfId="43580"/>
    <cellStyle name="入力 4 8 2 4" xfId="31884"/>
    <cellStyle name="入力 4 8 2 5" xfId="43577"/>
    <cellStyle name="入力 4 8 3" xfId="14068"/>
    <cellStyle name="入力 4 8 3 2" xfId="6859"/>
    <cellStyle name="入力 4 8 3 2 2" xfId="31889"/>
    <cellStyle name="入力 4 8 3 2 3" xfId="43582"/>
    <cellStyle name="入力 4 8 3 3" xfId="31888"/>
    <cellStyle name="入力 4 8 3 4" xfId="43581"/>
    <cellStyle name="入力 4 8 4" xfId="31890"/>
    <cellStyle name="入力 4 8 4 2" xfId="43583"/>
    <cellStyle name="入力 4 8 5" xfId="31883"/>
    <cellStyle name="入力 4 8 6" xfId="43576"/>
    <cellStyle name="入力 4 9" xfId="14069"/>
    <cellStyle name="入力 4 9 2" xfId="14070"/>
    <cellStyle name="入力 4 9 2 2" xfId="19620"/>
    <cellStyle name="入力 4 9 2 2 2" xfId="31893"/>
    <cellStyle name="入力 4 9 2 2 3" xfId="43586"/>
    <cellStyle name="入力 4 9 2 3" xfId="31892"/>
    <cellStyle name="入力 4 9 2 4" xfId="43585"/>
    <cellStyle name="入力 4 9 3" xfId="14071"/>
    <cellStyle name="入力 4 9 3 2" xfId="6861"/>
    <cellStyle name="入力 4 9 3 2 2" xfId="31895"/>
    <cellStyle name="入力 4 9 3 2 3" xfId="43588"/>
    <cellStyle name="入力 4 9 3 3" xfId="31894"/>
    <cellStyle name="入力 4 9 3 4" xfId="43587"/>
    <cellStyle name="入力 4 9 4" xfId="6860"/>
    <cellStyle name="入力 4 9 4 2" xfId="31896"/>
    <cellStyle name="入力 4 9 4 3" xfId="43589"/>
    <cellStyle name="入力 4 9 5" xfId="31891"/>
    <cellStyle name="入力 4 9 6" xfId="43584"/>
    <cellStyle name="入力 5" xfId="10020"/>
    <cellStyle name="入力 5 2" xfId="14072"/>
    <cellStyle name="入力 5 2 2" xfId="14073"/>
    <cellStyle name="入力 5 2 2 2" xfId="20892"/>
    <cellStyle name="入力 5 2 2 2 2" xfId="31900"/>
    <cellStyle name="入力 5 2 2 2 3" xfId="43593"/>
    <cellStyle name="入力 5 2 2 3" xfId="31899"/>
    <cellStyle name="入力 5 2 2 4" xfId="43592"/>
    <cellStyle name="入力 5 2 3" xfId="6862"/>
    <cellStyle name="入力 5 2 3 2" xfId="31901"/>
    <cellStyle name="入力 5 2 3 3" xfId="43594"/>
    <cellStyle name="入力 5 2 4" xfId="31898"/>
    <cellStyle name="入力 5 2 5" xfId="43591"/>
    <cellStyle name="入力 5 3" xfId="14074"/>
    <cellStyle name="入力 5 3 2" xfId="6863"/>
    <cellStyle name="入力 5 3 2 2" xfId="31903"/>
    <cellStyle name="入力 5 3 2 3" xfId="43596"/>
    <cellStyle name="入力 5 3 3" xfId="31902"/>
    <cellStyle name="入力 5 3 4" xfId="43595"/>
    <cellStyle name="入力 5 4" xfId="31904"/>
    <cellStyle name="入力 5 4 2" xfId="43597"/>
    <cellStyle name="入力 5 5" xfId="31897"/>
    <cellStyle name="入力 5 6" xfId="43590"/>
    <cellStyle name="入力 5 7" xfId="61088"/>
    <cellStyle name="入力 6" xfId="14075"/>
    <cellStyle name="入力 6 2" xfId="6864"/>
    <cellStyle name="入力 6 2 2" xfId="31906"/>
    <cellStyle name="入力 6 2 3" xfId="43599"/>
    <cellStyle name="入力 6 3" xfId="31905"/>
    <cellStyle name="入力 6 4" xfId="43598"/>
    <cellStyle name="入力 7" xfId="9970"/>
    <cellStyle name="入力 7 2" xfId="31908"/>
    <cellStyle name="入力 7 2 2" xfId="43601"/>
    <cellStyle name="入力 7 3" xfId="31907"/>
    <cellStyle name="入力 7 4" xfId="43600"/>
    <cellStyle name="入力 8" xfId="31909"/>
    <cellStyle name="入力 8 2" xfId="60722"/>
    <cellStyle name="入力 8 3" xfId="60723"/>
    <cellStyle name="入力 9" xfId="31910"/>
    <cellStyle name="入力 9 2" xfId="43602"/>
    <cellStyle name="入力 9 3" xfId="60724"/>
    <cellStyle name="入力_培训名单通知" xfId="10021"/>
    <cellStyle name="适中 2" xfId="686"/>
    <cellStyle name="适中 2 2" xfId="5449"/>
    <cellStyle name="适中 2 2 2" xfId="5450"/>
    <cellStyle name="适中 2 2 2 2" xfId="10024"/>
    <cellStyle name="适中 2 2 2 3" xfId="60725"/>
    <cellStyle name="适中 2 2 2 4" xfId="60726"/>
    <cellStyle name="适中 2 2 3" xfId="5451"/>
    <cellStyle name="适中 2 2 4" xfId="10023"/>
    <cellStyle name="适中 2 2 5" xfId="60727"/>
    <cellStyle name="适中 2 3" xfId="5452"/>
    <cellStyle name="适中 2 3 2" xfId="10025"/>
    <cellStyle name="适中 2 3 3" xfId="60728"/>
    <cellStyle name="适中 2 4" xfId="60729"/>
    <cellStyle name="适中 2 5" xfId="60730"/>
    <cellStyle name="适中 2 6" xfId="60731"/>
    <cellStyle name="适中 2 7" xfId="60732"/>
    <cellStyle name="适中 2 8" xfId="767"/>
    <cellStyle name="适中 3" xfId="5453"/>
    <cellStyle name="适中 3 2" xfId="10027"/>
    <cellStyle name="适中 3 3" xfId="10026"/>
    <cellStyle name="适中 3 4" xfId="60733"/>
    <cellStyle name="适中 4" xfId="10028"/>
    <cellStyle name="适中 4 2" xfId="10029"/>
    <cellStyle name="适中 5" xfId="60734"/>
    <cellStyle name="适中 6" xfId="60735"/>
    <cellStyle name="输出 10" xfId="10030"/>
    <cellStyle name="输出 10 2" xfId="10031"/>
    <cellStyle name="输出 10 2 2" xfId="14076"/>
    <cellStyle name="输出 10 2 2 2" xfId="14077"/>
    <cellStyle name="输出 10 2 2 2 2" xfId="6866"/>
    <cellStyle name="输出 10 2 2 2 2 2" xfId="31915"/>
    <cellStyle name="输出 10 2 2 2 3" xfId="31914"/>
    <cellStyle name="输出 10 2 2 3" xfId="14078"/>
    <cellStyle name="输出 10 2 2 3 2" xfId="6867"/>
    <cellStyle name="输出 10 2 2 3 2 2" xfId="31917"/>
    <cellStyle name="输出 10 2 2 3 3" xfId="31916"/>
    <cellStyle name="输出 10 2 2 4" xfId="6865"/>
    <cellStyle name="输出 10 2 2 4 2" xfId="31918"/>
    <cellStyle name="输出 10 2 2 5" xfId="31913"/>
    <cellStyle name="输出 10 2 3" xfId="14079"/>
    <cellStyle name="输出 10 2 3 2" xfId="20891"/>
    <cellStyle name="输出 10 2 3 2 2" xfId="31920"/>
    <cellStyle name="输出 10 2 3 3" xfId="31919"/>
    <cellStyle name="输出 10 2 4" xfId="31921"/>
    <cellStyle name="输出 10 2 5" xfId="31912"/>
    <cellStyle name="输出 10 3" xfId="10032"/>
    <cellStyle name="输出 10 3 2" xfId="14080"/>
    <cellStyle name="输出 10 3 2 2" xfId="14081"/>
    <cellStyle name="输出 10 3 2 2 2" xfId="6869"/>
    <cellStyle name="输出 10 3 2 2 2 2" xfId="31925"/>
    <cellStyle name="输出 10 3 2 2 3" xfId="31924"/>
    <cellStyle name="输出 10 3 2 3" xfId="14082"/>
    <cellStyle name="输出 10 3 2 3 2" xfId="6870"/>
    <cellStyle name="输出 10 3 2 3 2 2" xfId="31927"/>
    <cellStyle name="输出 10 3 2 3 3" xfId="31926"/>
    <cellStyle name="输出 10 3 2 4" xfId="6868"/>
    <cellStyle name="输出 10 3 2 4 2" xfId="31928"/>
    <cellStyle name="输出 10 3 2 5" xfId="31923"/>
    <cellStyle name="输出 10 3 3" xfId="14083"/>
    <cellStyle name="输出 10 3 3 2" xfId="6871"/>
    <cellStyle name="输出 10 3 3 2 2" xfId="31930"/>
    <cellStyle name="输出 10 3 3 3" xfId="31929"/>
    <cellStyle name="输出 10 3 4" xfId="31931"/>
    <cellStyle name="输出 10 3 5" xfId="31922"/>
    <cellStyle name="输出 10 4" xfId="10033"/>
    <cellStyle name="输出 10 4 2" xfId="14084"/>
    <cellStyle name="输出 10 4 2 2" xfId="14085"/>
    <cellStyle name="输出 10 4 2 2 2" xfId="20890"/>
    <cellStyle name="输出 10 4 2 2 2 2" xfId="31935"/>
    <cellStyle name="输出 10 4 2 2 3" xfId="31934"/>
    <cellStyle name="输出 10 4 2 3" xfId="14086"/>
    <cellStyle name="输出 10 4 2 3 2" xfId="6873"/>
    <cellStyle name="输出 10 4 2 3 2 2" xfId="31937"/>
    <cellStyle name="输出 10 4 2 3 3" xfId="31936"/>
    <cellStyle name="输出 10 4 2 4" xfId="6872"/>
    <cellStyle name="输出 10 4 2 4 2" xfId="31938"/>
    <cellStyle name="输出 10 4 2 5" xfId="31933"/>
    <cellStyle name="输出 10 4 3" xfId="14087"/>
    <cellStyle name="输出 10 4 3 2" xfId="6874"/>
    <cellStyle name="输出 10 4 3 2 2" xfId="31940"/>
    <cellStyle name="输出 10 4 3 3" xfId="31939"/>
    <cellStyle name="输出 10 4 4" xfId="31941"/>
    <cellStyle name="输出 10 4 5" xfId="31932"/>
    <cellStyle name="输出 10 5" xfId="10034"/>
    <cellStyle name="输出 10 5 2" xfId="14088"/>
    <cellStyle name="输出 10 5 2 2" xfId="14089"/>
    <cellStyle name="输出 10 5 2 2 2" xfId="6876"/>
    <cellStyle name="输出 10 5 2 2 2 2" xfId="31945"/>
    <cellStyle name="输出 10 5 2 2 3" xfId="31944"/>
    <cellStyle name="输出 10 5 2 3" xfId="14090"/>
    <cellStyle name="输出 10 5 2 3 2" xfId="6877"/>
    <cellStyle name="输出 10 5 2 3 2 2" xfId="31947"/>
    <cellStyle name="输出 10 5 2 3 3" xfId="31946"/>
    <cellStyle name="输出 10 5 2 4" xfId="6875"/>
    <cellStyle name="输出 10 5 2 4 2" xfId="31948"/>
    <cellStyle name="输出 10 5 2 5" xfId="31943"/>
    <cellStyle name="输出 10 5 3" xfId="14091"/>
    <cellStyle name="输出 10 5 3 2" xfId="6878"/>
    <cellStyle name="输出 10 5 3 2 2" xfId="31950"/>
    <cellStyle name="输出 10 5 3 3" xfId="31949"/>
    <cellStyle name="输出 10 5 4" xfId="31951"/>
    <cellStyle name="输出 10 5 5" xfId="31942"/>
    <cellStyle name="输出 10 6" xfId="14092"/>
    <cellStyle name="输出 10 6 2" xfId="14093"/>
    <cellStyle name="输出 10 6 2 2" xfId="6880"/>
    <cellStyle name="输出 10 6 2 2 2" xfId="31954"/>
    <cellStyle name="输出 10 6 2 3" xfId="31953"/>
    <cellStyle name="输出 10 6 3" xfId="14094"/>
    <cellStyle name="输出 10 6 3 2" xfId="6881"/>
    <cellStyle name="输出 10 6 3 2 2" xfId="31956"/>
    <cellStyle name="输出 10 6 3 3" xfId="31955"/>
    <cellStyle name="输出 10 6 4" xfId="6879"/>
    <cellStyle name="输出 10 6 4 2" xfId="31957"/>
    <cellStyle name="输出 10 6 5" xfId="31952"/>
    <cellStyle name="输出 10 7" xfId="14095"/>
    <cellStyle name="输出 10 7 2" xfId="6882"/>
    <cellStyle name="输出 10 7 2 2" xfId="31959"/>
    <cellStyle name="输出 10 7 3" xfId="31958"/>
    <cellStyle name="输出 10 8" xfId="31960"/>
    <cellStyle name="输出 10 9" xfId="31911"/>
    <cellStyle name="输出 11" xfId="31961"/>
    <cellStyle name="输出 2" xfId="684"/>
    <cellStyle name="输出 2 10" xfId="10036"/>
    <cellStyle name="输出 2 10 2" xfId="10037"/>
    <cellStyle name="输出 2 10 2 2" xfId="14096"/>
    <cellStyle name="输出 2 10 2 2 2" xfId="14097"/>
    <cellStyle name="输出 2 10 2 2 2 2" xfId="20888"/>
    <cellStyle name="输出 2 10 2 2 2 2 2" xfId="31966"/>
    <cellStyle name="输出 2 10 2 2 2 3" xfId="31965"/>
    <cellStyle name="输出 2 10 2 2 3" xfId="14098"/>
    <cellStyle name="输出 2 10 2 2 3 2" xfId="6883"/>
    <cellStyle name="输出 2 10 2 2 3 2 2" xfId="31968"/>
    <cellStyle name="输出 2 10 2 2 3 3" xfId="31967"/>
    <cellStyle name="输出 2 10 2 2 4" xfId="20889"/>
    <cellStyle name="输出 2 10 2 2 4 2" xfId="31969"/>
    <cellStyle name="输出 2 10 2 2 5" xfId="31964"/>
    <cellStyle name="输出 2 10 2 3" xfId="14099"/>
    <cellStyle name="输出 2 10 2 3 2" xfId="6884"/>
    <cellStyle name="输出 2 10 2 3 2 2" xfId="31971"/>
    <cellStyle name="输出 2 10 2 3 3" xfId="31970"/>
    <cellStyle name="输出 2 10 2 4" xfId="31972"/>
    <cellStyle name="输出 2 10 2 5" xfId="31963"/>
    <cellStyle name="输出 2 10 3" xfId="10038"/>
    <cellStyle name="输出 2 10 3 2" xfId="14100"/>
    <cellStyle name="输出 2 10 3 2 2" xfId="14101"/>
    <cellStyle name="输出 2 10 3 2 2 2" xfId="6886"/>
    <cellStyle name="输出 2 10 3 2 2 2 2" xfId="31976"/>
    <cellStyle name="输出 2 10 3 2 2 3" xfId="31975"/>
    <cellStyle name="输出 2 10 3 2 3" xfId="14102"/>
    <cellStyle name="输出 2 10 3 2 3 2" xfId="6887"/>
    <cellStyle name="输出 2 10 3 2 3 2 2" xfId="31978"/>
    <cellStyle name="输出 2 10 3 2 3 3" xfId="31977"/>
    <cellStyle name="输出 2 10 3 2 4" xfId="6885"/>
    <cellStyle name="输出 2 10 3 2 4 2" xfId="31979"/>
    <cellStyle name="输出 2 10 3 2 5" xfId="31974"/>
    <cellStyle name="输出 2 10 3 3" xfId="14103"/>
    <cellStyle name="输出 2 10 3 3 2" xfId="18596"/>
    <cellStyle name="输出 2 10 3 3 2 2" xfId="31981"/>
    <cellStyle name="输出 2 10 3 3 3" xfId="31980"/>
    <cellStyle name="输出 2 10 3 4" xfId="31982"/>
    <cellStyle name="输出 2 10 3 5" xfId="31973"/>
    <cellStyle name="输出 2 10 4" xfId="10039"/>
    <cellStyle name="输出 2 10 4 2" xfId="14104"/>
    <cellStyle name="输出 2 10 4 2 2" xfId="14105"/>
    <cellStyle name="输出 2 10 4 2 2 2" xfId="6889"/>
    <cellStyle name="输出 2 10 4 2 2 2 2" xfId="31986"/>
    <cellStyle name="输出 2 10 4 2 2 3" xfId="31985"/>
    <cellStyle name="输出 2 10 4 2 3" xfId="14106"/>
    <cellStyle name="输出 2 10 4 2 3 2" xfId="6890"/>
    <cellStyle name="输出 2 10 4 2 3 2 2" xfId="31988"/>
    <cellStyle name="输出 2 10 4 2 3 3" xfId="31987"/>
    <cellStyle name="输出 2 10 4 2 4" xfId="6888"/>
    <cellStyle name="输出 2 10 4 2 4 2" xfId="31989"/>
    <cellStyle name="输出 2 10 4 2 5" xfId="31984"/>
    <cellStyle name="输出 2 10 4 3" xfId="14107"/>
    <cellStyle name="输出 2 10 4 3 2" xfId="6891"/>
    <cellStyle name="输出 2 10 4 3 2 2" xfId="31991"/>
    <cellStyle name="输出 2 10 4 3 3" xfId="31990"/>
    <cellStyle name="输出 2 10 4 4" xfId="31992"/>
    <cellStyle name="输出 2 10 4 5" xfId="31983"/>
    <cellStyle name="输出 2 10 5" xfId="10040"/>
    <cellStyle name="输出 2 10 5 2" xfId="14108"/>
    <cellStyle name="输出 2 10 5 2 2" xfId="14109"/>
    <cellStyle name="输出 2 10 5 2 2 2" xfId="18595"/>
    <cellStyle name="输出 2 10 5 2 2 2 2" xfId="31996"/>
    <cellStyle name="输出 2 10 5 2 2 3" xfId="31995"/>
    <cellStyle name="输出 2 10 5 2 3" xfId="14110"/>
    <cellStyle name="输出 2 10 5 2 3 2" xfId="6893"/>
    <cellStyle name="输出 2 10 5 2 3 2 2" xfId="31998"/>
    <cellStyle name="输出 2 10 5 2 3 3" xfId="31997"/>
    <cellStyle name="输出 2 10 5 2 4" xfId="6892"/>
    <cellStyle name="输出 2 10 5 2 4 2" xfId="31999"/>
    <cellStyle name="输出 2 10 5 2 5" xfId="31994"/>
    <cellStyle name="输出 2 10 5 3" xfId="14111"/>
    <cellStyle name="输出 2 10 5 3 2" xfId="6894"/>
    <cellStyle name="输出 2 10 5 3 2 2" xfId="32001"/>
    <cellStyle name="输出 2 10 5 3 3" xfId="32000"/>
    <cellStyle name="输出 2 10 5 4" xfId="32002"/>
    <cellStyle name="输出 2 10 5 5" xfId="31993"/>
    <cellStyle name="输出 2 10 6" xfId="14112"/>
    <cellStyle name="输出 2 10 6 2" xfId="14113"/>
    <cellStyle name="输出 2 10 6 2 2" xfId="6896"/>
    <cellStyle name="输出 2 10 6 2 2 2" xfId="32005"/>
    <cellStyle name="输出 2 10 6 2 3" xfId="32004"/>
    <cellStyle name="输出 2 10 6 3" xfId="14114"/>
    <cellStyle name="输出 2 10 6 3 2" xfId="6897"/>
    <cellStyle name="输出 2 10 6 3 2 2" xfId="32007"/>
    <cellStyle name="输出 2 10 6 3 3" xfId="32006"/>
    <cellStyle name="输出 2 10 6 4" xfId="6895"/>
    <cellStyle name="输出 2 10 6 4 2" xfId="32008"/>
    <cellStyle name="输出 2 10 6 5" xfId="32003"/>
    <cellStyle name="输出 2 10 7" xfId="14115"/>
    <cellStyle name="输出 2 10 7 2" xfId="20887"/>
    <cellStyle name="输出 2 10 7 2 2" xfId="32010"/>
    <cellStyle name="输出 2 10 7 3" xfId="32009"/>
    <cellStyle name="输出 2 10 8" xfId="32011"/>
    <cellStyle name="输出 2 10 9" xfId="31962"/>
    <cellStyle name="输出 2 11" xfId="10041"/>
    <cellStyle name="输出 2 11 2" xfId="10042"/>
    <cellStyle name="输出 2 11 2 2" xfId="14116"/>
    <cellStyle name="输出 2 11 2 2 2" xfId="14117"/>
    <cellStyle name="输出 2 11 2 2 2 2" xfId="6900"/>
    <cellStyle name="输出 2 11 2 2 2 2 2" xfId="32016"/>
    <cellStyle name="输出 2 11 2 2 2 3" xfId="32015"/>
    <cellStyle name="输出 2 11 2 2 3" xfId="14118"/>
    <cellStyle name="输出 2 11 2 2 3 2" xfId="6901"/>
    <cellStyle name="输出 2 11 2 2 3 2 2" xfId="32018"/>
    <cellStyle name="输出 2 11 2 2 3 3" xfId="32017"/>
    <cellStyle name="输出 2 11 2 2 4" xfId="6898"/>
    <cellStyle name="输出 2 11 2 2 4 2" xfId="32019"/>
    <cellStyle name="输出 2 11 2 2 5" xfId="32014"/>
    <cellStyle name="输出 2 11 2 3" xfId="14119"/>
    <cellStyle name="输出 2 11 2 3 2" xfId="6902"/>
    <cellStyle name="输出 2 11 2 3 2 2" xfId="32021"/>
    <cellStyle name="输出 2 11 2 3 3" xfId="32020"/>
    <cellStyle name="输出 2 11 2 4" xfId="32022"/>
    <cellStyle name="输出 2 11 2 5" xfId="32013"/>
    <cellStyle name="输出 2 11 3" xfId="10043"/>
    <cellStyle name="输出 2 11 3 2" xfId="14120"/>
    <cellStyle name="输出 2 11 3 2 2" xfId="14121"/>
    <cellStyle name="输出 2 11 3 2 2 2" xfId="6904"/>
    <cellStyle name="输出 2 11 3 2 2 2 2" xfId="32026"/>
    <cellStyle name="输出 2 11 3 2 2 3" xfId="32025"/>
    <cellStyle name="输出 2 11 3 2 3" xfId="14122"/>
    <cellStyle name="输出 2 11 3 2 3 2" xfId="6905"/>
    <cellStyle name="输出 2 11 3 2 3 2 2" xfId="32028"/>
    <cellStyle name="输出 2 11 3 2 3 3" xfId="32027"/>
    <cellStyle name="输出 2 11 3 2 4" xfId="6903"/>
    <cellStyle name="输出 2 11 3 2 4 2" xfId="32029"/>
    <cellStyle name="输出 2 11 3 2 5" xfId="32024"/>
    <cellStyle name="输出 2 11 3 3" xfId="14123"/>
    <cellStyle name="输出 2 11 3 3 2" xfId="6906"/>
    <cellStyle name="输出 2 11 3 3 2 2" xfId="32031"/>
    <cellStyle name="输出 2 11 3 3 3" xfId="32030"/>
    <cellStyle name="输出 2 11 3 4" xfId="32032"/>
    <cellStyle name="输出 2 11 3 5" xfId="32023"/>
    <cellStyle name="输出 2 11 4" xfId="10044"/>
    <cellStyle name="输出 2 11 4 2" xfId="14124"/>
    <cellStyle name="输出 2 11 4 2 2" xfId="14125"/>
    <cellStyle name="输出 2 11 4 2 2 2" xfId="20886"/>
    <cellStyle name="输出 2 11 4 2 2 2 2" xfId="32036"/>
    <cellStyle name="输出 2 11 4 2 2 3" xfId="32035"/>
    <cellStyle name="输出 2 11 4 2 3" xfId="14126"/>
    <cellStyle name="输出 2 11 4 2 3 2" xfId="20885"/>
    <cellStyle name="输出 2 11 4 2 3 2 2" xfId="32038"/>
    <cellStyle name="输出 2 11 4 2 3 3" xfId="32037"/>
    <cellStyle name="输出 2 11 4 2 4" xfId="6907"/>
    <cellStyle name="输出 2 11 4 2 4 2" xfId="32039"/>
    <cellStyle name="输出 2 11 4 2 5" xfId="32034"/>
    <cellStyle name="输出 2 11 4 3" xfId="14127"/>
    <cellStyle name="输出 2 11 4 3 2" xfId="6908"/>
    <cellStyle name="输出 2 11 4 3 2 2" xfId="32041"/>
    <cellStyle name="输出 2 11 4 3 3" xfId="32040"/>
    <cellStyle name="输出 2 11 4 4" xfId="32042"/>
    <cellStyle name="输出 2 11 4 5" xfId="32033"/>
    <cellStyle name="输出 2 11 5" xfId="10045"/>
    <cellStyle name="输出 2 11 5 2" xfId="14128"/>
    <cellStyle name="输出 2 11 5 2 2" xfId="14129"/>
    <cellStyle name="输出 2 11 5 2 2 2" xfId="6910"/>
    <cellStyle name="输出 2 11 5 2 2 2 2" xfId="32046"/>
    <cellStyle name="输出 2 11 5 2 2 3" xfId="32045"/>
    <cellStyle name="输出 2 11 5 2 3" xfId="14130"/>
    <cellStyle name="输出 2 11 5 2 3 2" xfId="6911"/>
    <cellStyle name="输出 2 11 5 2 3 2 2" xfId="32048"/>
    <cellStyle name="输出 2 11 5 2 3 3" xfId="32047"/>
    <cellStyle name="输出 2 11 5 2 4" xfId="6909"/>
    <cellStyle name="输出 2 11 5 2 4 2" xfId="32049"/>
    <cellStyle name="输出 2 11 5 2 5" xfId="32044"/>
    <cellStyle name="输出 2 11 5 3" xfId="14131"/>
    <cellStyle name="输出 2 11 5 3 2" xfId="6912"/>
    <cellStyle name="输出 2 11 5 3 2 2" xfId="32051"/>
    <cellStyle name="输出 2 11 5 3 3" xfId="32050"/>
    <cellStyle name="输出 2 11 5 4" xfId="32052"/>
    <cellStyle name="输出 2 11 5 5" xfId="32043"/>
    <cellStyle name="输出 2 11 6" xfId="14132"/>
    <cellStyle name="输出 2 11 6 2" xfId="14133"/>
    <cellStyle name="输出 2 11 6 2 2" xfId="6913"/>
    <cellStyle name="输出 2 11 6 2 2 2" xfId="32055"/>
    <cellStyle name="输出 2 11 6 2 3" xfId="32054"/>
    <cellStyle name="输出 2 11 6 3" xfId="14134"/>
    <cellStyle name="输出 2 11 6 3 2" xfId="6914"/>
    <cellStyle name="输出 2 11 6 3 2 2" xfId="32057"/>
    <cellStyle name="输出 2 11 6 3 3" xfId="32056"/>
    <cellStyle name="输出 2 11 6 4" xfId="20884"/>
    <cellStyle name="输出 2 11 6 4 2" xfId="32058"/>
    <cellStyle name="输出 2 11 6 5" xfId="32053"/>
    <cellStyle name="输出 2 11 7" xfId="14135"/>
    <cellStyle name="输出 2 11 7 2" xfId="6915"/>
    <cellStyle name="输出 2 11 7 2 2" xfId="32060"/>
    <cellStyle name="输出 2 11 7 3" xfId="32059"/>
    <cellStyle name="输出 2 11 8" xfId="32061"/>
    <cellStyle name="输出 2 11 9" xfId="32012"/>
    <cellStyle name="输出 2 12" xfId="10046"/>
    <cellStyle name="输出 2 12 2" xfId="10047"/>
    <cellStyle name="输出 2 12 2 2" xfId="14136"/>
    <cellStyle name="输出 2 12 2 2 2" xfId="14137"/>
    <cellStyle name="输出 2 12 2 2 2 2" xfId="6917"/>
    <cellStyle name="输出 2 12 2 2 2 2 2" xfId="32066"/>
    <cellStyle name="输出 2 12 2 2 2 3" xfId="32065"/>
    <cellStyle name="输出 2 12 2 2 3" xfId="14138"/>
    <cellStyle name="输出 2 12 2 2 3 2" xfId="18594"/>
    <cellStyle name="输出 2 12 2 2 3 2 2" xfId="32068"/>
    <cellStyle name="输出 2 12 2 2 3 3" xfId="32067"/>
    <cellStyle name="输出 2 12 2 2 4" xfId="6916"/>
    <cellStyle name="输出 2 12 2 2 4 2" xfId="32069"/>
    <cellStyle name="输出 2 12 2 2 5" xfId="32064"/>
    <cellStyle name="输出 2 12 2 3" xfId="14139"/>
    <cellStyle name="输出 2 12 2 3 2" xfId="6918"/>
    <cellStyle name="输出 2 12 2 3 2 2" xfId="32071"/>
    <cellStyle name="输出 2 12 2 3 3" xfId="32070"/>
    <cellStyle name="输出 2 12 2 4" xfId="32072"/>
    <cellStyle name="输出 2 12 2 5" xfId="32063"/>
    <cellStyle name="输出 2 12 3" xfId="10048"/>
    <cellStyle name="输出 2 12 3 2" xfId="14140"/>
    <cellStyle name="输出 2 12 3 2 2" xfId="14141"/>
    <cellStyle name="输出 2 12 3 2 2 2" xfId="6920"/>
    <cellStyle name="输出 2 12 3 2 2 2 2" xfId="32076"/>
    <cellStyle name="输出 2 12 3 2 2 3" xfId="32075"/>
    <cellStyle name="输出 2 12 3 2 3" xfId="14142"/>
    <cellStyle name="输出 2 12 3 2 3 2" xfId="6921"/>
    <cellStyle name="输出 2 12 3 2 3 2 2" xfId="32078"/>
    <cellStyle name="输出 2 12 3 2 3 3" xfId="32077"/>
    <cellStyle name="输出 2 12 3 2 4" xfId="6919"/>
    <cellStyle name="输出 2 12 3 2 4 2" xfId="32079"/>
    <cellStyle name="输出 2 12 3 2 5" xfId="32074"/>
    <cellStyle name="输出 2 12 3 3" xfId="14143"/>
    <cellStyle name="输出 2 12 3 3 2" xfId="6922"/>
    <cellStyle name="输出 2 12 3 3 2 2" xfId="32081"/>
    <cellStyle name="输出 2 12 3 3 3" xfId="32080"/>
    <cellStyle name="输出 2 12 3 4" xfId="32082"/>
    <cellStyle name="输出 2 12 3 5" xfId="32073"/>
    <cellStyle name="输出 2 12 4" xfId="10049"/>
    <cellStyle name="输出 2 12 4 2" xfId="14144"/>
    <cellStyle name="输出 2 12 4 2 2" xfId="14145"/>
    <cellStyle name="输出 2 12 4 2 2 2" xfId="6923"/>
    <cellStyle name="输出 2 12 4 2 2 2 2" xfId="32086"/>
    <cellStyle name="输出 2 12 4 2 2 3" xfId="32085"/>
    <cellStyle name="输出 2 12 4 2 3" xfId="14146"/>
    <cellStyle name="输出 2 12 4 2 3 2" xfId="6924"/>
    <cellStyle name="输出 2 12 4 2 3 2 2" xfId="32088"/>
    <cellStyle name="输出 2 12 4 2 3 3" xfId="32087"/>
    <cellStyle name="输出 2 12 4 2 4" xfId="20883"/>
    <cellStyle name="输出 2 12 4 2 4 2" xfId="32089"/>
    <cellStyle name="输出 2 12 4 2 5" xfId="32084"/>
    <cellStyle name="输出 2 12 4 3" xfId="14147"/>
    <cellStyle name="输出 2 12 4 3 2" xfId="6925"/>
    <cellStyle name="输出 2 12 4 3 2 2" xfId="32091"/>
    <cellStyle name="输出 2 12 4 3 3" xfId="32090"/>
    <cellStyle name="输出 2 12 4 4" xfId="32092"/>
    <cellStyle name="输出 2 12 4 5" xfId="32083"/>
    <cellStyle name="输出 2 12 5" xfId="10050"/>
    <cellStyle name="输出 2 12 5 2" xfId="14148"/>
    <cellStyle name="输出 2 12 5 2 2" xfId="14149"/>
    <cellStyle name="输出 2 12 5 2 2 2" xfId="6927"/>
    <cellStyle name="输出 2 12 5 2 2 2 2" xfId="32096"/>
    <cellStyle name="输出 2 12 5 2 2 3" xfId="32095"/>
    <cellStyle name="输出 2 12 5 2 3" xfId="14150"/>
    <cellStyle name="输出 2 12 5 2 3 2" xfId="6928"/>
    <cellStyle name="输出 2 12 5 2 3 2 2" xfId="32098"/>
    <cellStyle name="输出 2 12 5 2 3 3" xfId="32097"/>
    <cellStyle name="输出 2 12 5 2 4" xfId="6926"/>
    <cellStyle name="输出 2 12 5 2 4 2" xfId="32099"/>
    <cellStyle name="输出 2 12 5 2 5" xfId="32094"/>
    <cellStyle name="输出 2 12 5 3" xfId="14151"/>
    <cellStyle name="输出 2 12 5 3 2" xfId="6929"/>
    <cellStyle name="输出 2 12 5 3 2 2" xfId="32101"/>
    <cellStyle name="输出 2 12 5 3 3" xfId="32100"/>
    <cellStyle name="输出 2 12 5 4" xfId="32102"/>
    <cellStyle name="输出 2 12 5 5" xfId="32093"/>
    <cellStyle name="输出 2 12 6" xfId="14152"/>
    <cellStyle name="输出 2 12 6 2" xfId="14153"/>
    <cellStyle name="输出 2 12 6 2 2" xfId="6931"/>
    <cellStyle name="输出 2 12 6 2 2 2" xfId="32105"/>
    <cellStyle name="输出 2 12 6 2 3" xfId="32104"/>
    <cellStyle name="输出 2 12 6 3" xfId="14154"/>
    <cellStyle name="输出 2 12 6 3 2" xfId="6932"/>
    <cellStyle name="输出 2 12 6 3 2 2" xfId="32107"/>
    <cellStyle name="输出 2 12 6 3 3" xfId="32106"/>
    <cellStyle name="输出 2 12 6 4" xfId="6930"/>
    <cellStyle name="输出 2 12 6 4 2" xfId="32108"/>
    <cellStyle name="输出 2 12 6 5" xfId="32103"/>
    <cellStyle name="输出 2 12 7" xfId="14155"/>
    <cellStyle name="输出 2 12 7 2" xfId="20882"/>
    <cellStyle name="输出 2 12 7 2 2" xfId="32110"/>
    <cellStyle name="输出 2 12 7 3" xfId="32109"/>
    <cellStyle name="输出 2 12 8" xfId="32111"/>
    <cellStyle name="输出 2 12 9" xfId="32062"/>
    <cellStyle name="输出 2 13" xfId="10051"/>
    <cellStyle name="输出 2 13 2" xfId="10052"/>
    <cellStyle name="输出 2 13 2 2" xfId="14156"/>
    <cellStyle name="输出 2 13 2 2 2" xfId="14157"/>
    <cellStyle name="输出 2 13 2 2 2 2" xfId="6933"/>
    <cellStyle name="输出 2 13 2 2 2 2 2" xfId="32116"/>
    <cellStyle name="输出 2 13 2 2 2 3" xfId="32115"/>
    <cellStyle name="输出 2 13 2 2 3" xfId="14158"/>
    <cellStyle name="输出 2 13 2 2 3 2" xfId="6934"/>
    <cellStyle name="输出 2 13 2 2 3 2 2" xfId="32118"/>
    <cellStyle name="输出 2 13 2 2 3 3" xfId="32117"/>
    <cellStyle name="输出 2 13 2 2 4" xfId="20881"/>
    <cellStyle name="输出 2 13 2 2 4 2" xfId="32119"/>
    <cellStyle name="输出 2 13 2 2 5" xfId="32114"/>
    <cellStyle name="输出 2 13 2 3" xfId="14159"/>
    <cellStyle name="输出 2 13 2 3 2" xfId="6935"/>
    <cellStyle name="输出 2 13 2 3 2 2" xfId="32121"/>
    <cellStyle name="输出 2 13 2 3 3" xfId="32120"/>
    <cellStyle name="输出 2 13 2 4" xfId="32122"/>
    <cellStyle name="输出 2 13 2 5" xfId="32113"/>
    <cellStyle name="输出 2 13 3" xfId="10053"/>
    <cellStyle name="输出 2 13 3 2" xfId="14160"/>
    <cellStyle name="输出 2 13 3 2 2" xfId="14161"/>
    <cellStyle name="输出 2 13 3 2 2 2" xfId="6937"/>
    <cellStyle name="输出 2 13 3 2 2 2 2" xfId="32126"/>
    <cellStyle name="输出 2 13 3 2 2 3" xfId="32125"/>
    <cellStyle name="输出 2 13 3 2 3" xfId="14162"/>
    <cellStyle name="输出 2 13 3 2 3 2" xfId="20880"/>
    <cellStyle name="输出 2 13 3 2 3 2 2" xfId="32128"/>
    <cellStyle name="输出 2 13 3 2 3 3" xfId="32127"/>
    <cellStyle name="输出 2 13 3 2 4" xfId="6936"/>
    <cellStyle name="输出 2 13 3 2 4 2" xfId="32129"/>
    <cellStyle name="输出 2 13 3 2 5" xfId="32124"/>
    <cellStyle name="输出 2 13 3 3" xfId="14163"/>
    <cellStyle name="输出 2 13 3 3 2" xfId="6938"/>
    <cellStyle name="输出 2 13 3 3 2 2" xfId="32131"/>
    <cellStyle name="输出 2 13 3 3 3" xfId="32130"/>
    <cellStyle name="输出 2 13 3 4" xfId="32132"/>
    <cellStyle name="输出 2 13 3 5" xfId="32123"/>
    <cellStyle name="输出 2 13 4" xfId="10054"/>
    <cellStyle name="输出 2 13 4 2" xfId="14164"/>
    <cellStyle name="输出 2 13 4 2 2" xfId="14165"/>
    <cellStyle name="输出 2 13 4 2 2 2" xfId="6940"/>
    <cellStyle name="输出 2 13 4 2 2 2 2" xfId="32136"/>
    <cellStyle name="输出 2 13 4 2 2 3" xfId="32135"/>
    <cellStyle name="输出 2 13 4 2 3" xfId="14166"/>
    <cellStyle name="输出 2 13 4 2 3 2" xfId="19619"/>
    <cellStyle name="输出 2 13 4 2 3 2 2" xfId="32138"/>
    <cellStyle name="输出 2 13 4 2 3 3" xfId="32137"/>
    <cellStyle name="输出 2 13 4 2 4" xfId="6939"/>
    <cellStyle name="输出 2 13 4 2 4 2" xfId="32139"/>
    <cellStyle name="输出 2 13 4 2 5" xfId="32134"/>
    <cellStyle name="输出 2 13 4 3" xfId="14167"/>
    <cellStyle name="输出 2 13 4 3 2" xfId="18288"/>
    <cellStyle name="输出 2 13 4 3 2 2" xfId="32141"/>
    <cellStyle name="输出 2 13 4 3 3" xfId="32140"/>
    <cellStyle name="输出 2 13 4 4" xfId="32142"/>
    <cellStyle name="输出 2 13 4 5" xfId="32133"/>
    <cellStyle name="输出 2 13 5" xfId="10055"/>
    <cellStyle name="输出 2 13 5 2" xfId="14168"/>
    <cellStyle name="输出 2 13 5 2 2" xfId="14169"/>
    <cellStyle name="输出 2 13 5 2 2 2" xfId="6941"/>
    <cellStyle name="输出 2 13 5 2 2 2 2" xfId="32146"/>
    <cellStyle name="输出 2 13 5 2 2 3" xfId="32145"/>
    <cellStyle name="输出 2 13 5 2 3" xfId="14170"/>
    <cellStyle name="输出 2 13 5 2 3 2" xfId="6942"/>
    <cellStyle name="输出 2 13 5 2 3 2 2" xfId="32148"/>
    <cellStyle name="输出 2 13 5 2 3 3" xfId="32147"/>
    <cellStyle name="输出 2 13 5 2 4" xfId="19618"/>
    <cellStyle name="输出 2 13 5 2 4 2" xfId="32149"/>
    <cellStyle name="输出 2 13 5 2 5" xfId="32144"/>
    <cellStyle name="输出 2 13 5 3" xfId="14171"/>
    <cellStyle name="输出 2 13 5 3 2" xfId="20879"/>
    <cellStyle name="输出 2 13 5 3 2 2" xfId="32151"/>
    <cellStyle name="输出 2 13 5 3 3" xfId="32150"/>
    <cellStyle name="输出 2 13 5 4" xfId="32152"/>
    <cellStyle name="输出 2 13 5 5" xfId="32143"/>
    <cellStyle name="输出 2 13 6" xfId="14172"/>
    <cellStyle name="输出 2 13 6 2" xfId="14173"/>
    <cellStyle name="输出 2 13 6 2 2" xfId="19616"/>
    <cellStyle name="输出 2 13 6 2 2 2" xfId="32155"/>
    <cellStyle name="输出 2 13 6 2 3" xfId="32154"/>
    <cellStyle name="输出 2 13 6 3" xfId="14174"/>
    <cellStyle name="输出 2 13 6 3 2" xfId="19615"/>
    <cellStyle name="输出 2 13 6 3 2 2" xfId="32157"/>
    <cellStyle name="输出 2 13 6 3 3" xfId="32156"/>
    <cellStyle name="输出 2 13 6 4" xfId="19617"/>
    <cellStyle name="输出 2 13 6 4 2" xfId="32158"/>
    <cellStyle name="输出 2 13 6 5" xfId="32153"/>
    <cellStyle name="输出 2 13 7" xfId="14175"/>
    <cellStyle name="输出 2 13 7 2" xfId="6943"/>
    <cellStyle name="输出 2 13 7 2 2" xfId="32160"/>
    <cellStyle name="输出 2 13 7 3" xfId="32159"/>
    <cellStyle name="输出 2 13 8" xfId="32161"/>
    <cellStyle name="输出 2 13 9" xfId="32112"/>
    <cellStyle name="输出 2 14" xfId="10056"/>
    <cellStyle name="输出 2 14 2" xfId="10057"/>
    <cellStyle name="输出 2 14 2 2" xfId="14176"/>
    <cellStyle name="输出 2 14 2 2 2" xfId="14177"/>
    <cellStyle name="输出 2 14 2 2 2 2" xfId="6945"/>
    <cellStyle name="输出 2 14 2 2 2 2 2" xfId="32166"/>
    <cellStyle name="输出 2 14 2 2 2 3" xfId="32165"/>
    <cellStyle name="输出 2 14 2 2 3" xfId="14178"/>
    <cellStyle name="输出 2 14 2 2 3 2" xfId="6946"/>
    <cellStyle name="输出 2 14 2 2 3 2 2" xfId="32168"/>
    <cellStyle name="输出 2 14 2 2 3 3" xfId="32167"/>
    <cellStyle name="输出 2 14 2 2 4" xfId="6944"/>
    <cellStyle name="输出 2 14 2 2 4 2" xfId="32169"/>
    <cellStyle name="输出 2 14 2 2 5" xfId="32164"/>
    <cellStyle name="输出 2 14 2 3" xfId="14179"/>
    <cellStyle name="输出 2 14 2 3 2" xfId="6947"/>
    <cellStyle name="输出 2 14 2 3 2 2" xfId="32171"/>
    <cellStyle name="输出 2 14 2 3 3" xfId="32170"/>
    <cellStyle name="输出 2 14 2 4" xfId="32172"/>
    <cellStyle name="输出 2 14 2 5" xfId="32163"/>
    <cellStyle name="输出 2 14 3" xfId="10058"/>
    <cellStyle name="输出 2 14 3 2" xfId="14180"/>
    <cellStyle name="输出 2 14 3 2 2" xfId="14181"/>
    <cellStyle name="输出 2 14 3 2 2 2" xfId="6948"/>
    <cellStyle name="输出 2 14 3 2 2 2 2" xfId="32176"/>
    <cellStyle name="输出 2 14 3 2 2 3" xfId="32175"/>
    <cellStyle name="输出 2 14 3 2 3" xfId="14182"/>
    <cellStyle name="输出 2 14 3 2 3 2" xfId="6949"/>
    <cellStyle name="输出 2 14 3 2 3 2 2" xfId="32178"/>
    <cellStyle name="输出 2 14 3 2 3 3" xfId="32177"/>
    <cellStyle name="输出 2 14 3 2 4" xfId="18593"/>
    <cellStyle name="输出 2 14 3 2 4 2" xfId="32179"/>
    <cellStyle name="输出 2 14 3 2 5" xfId="32174"/>
    <cellStyle name="输出 2 14 3 3" xfId="14183"/>
    <cellStyle name="输出 2 14 3 3 2" xfId="6950"/>
    <cellStyle name="输出 2 14 3 3 2 2" xfId="32181"/>
    <cellStyle name="输出 2 14 3 3 3" xfId="32180"/>
    <cellStyle name="输出 2 14 3 4" xfId="32182"/>
    <cellStyle name="输出 2 14 3 5" xfId="32173"/>
    <cellStyle name="输出 2 14 4" xfId="10059"/>
    <cellStyle name="输出 2 14 4 2" xfId="14184"/>
    <cellStyle name="输出 2 14 4 2 2" xfId="14185"/>
    <cellStyle name="输出 2 14 4 2 2 2" xfId="6952"/>
    <cellStyle name="输出 2 14 4 2 2 2 2" xfId="32186"/>
    <cellStyle name="输出 2 14 4 2 2 3" xfId="32185"/>
    <cellStyle name="输出 2 14 4 2 3" xfId="14186"/>
    <cellStyle name="输出 2 14 4 2 3 2" xfId="6953"/>
    <cellStyle name="输出 2 14 4 2 3 2 2" xfId="32188"/>
    <cellStyle name="输出 2 14 4 2 3 3" xfId="32187"/>
    <cellStyle name="输出 2 14 4 2 4" xfId="6951"/>
    <cellStyle name="输出 2 14 4 2 4 2" xfId="32189"/>
    <cellStyle name="输出 2 14 4 2 5" xfId="32184"/>
    <cellStyle name="输出 2 14 4 3" xfId="14187"/>
    <cellStyle name="输出 2 14 4 3 2" xfId="6954"/>
    <cellStyle name="输出 2 14 4 3 2 2" xfId="32191"/>
    <cellStyle name="输出 2 14 4 3 3" xfId="32190"/>
    <cellStyle name="输出 2 14 4 4" xfId="32192"/>
    <cellStyle name="输出 2 14 4 5" xfId="32183"/>
    <cellStyle name="输出 2 14 5" xfId="10060"/>
    <cellStyle name="输出 2 14 5 2" xfId="14188"/>
    <cellStyle name="输出 2 14 5 2 2" xfId="14189"/>
    <cellStyle name="输出 2 14 5 2 2 2" xfId="6956"/>
    <cellStyle name="输出 2 14 5 2 2 2 2" xfId="32196"/>
    <cellStyle name="输出 2 14 5 2 2 3" xfId="32195"/>
    <cellStyle name="输出 2 14 5 2 3" xfId="14190"/>
    <cellStyle name="输出 2 14 5 2 3 2" xfId="6957"/>
    <cellStyle name="输出 2 14 5 2 3 2 2" xfId="32198"/>
    <cellStyle name="输出 2 14 5 2 3 3" xfId="32197"/>
    <cellStyle name="输出 2 14 5 2 4" xfId="6955"/>
    <cellStyle name="输出 2 14 5 2 4 2" xfId="32199"/>
    <cellStyle name="输出 2 14 5 2 5" xfId="32194"/>
    <cellStyle name="输出 2 14 5 3" xfId="14191"/>
    <cellStyle name="输出 2 14 5 3 2" xfId="20878"/>
    <cellStyle name="输出 2 14 5 3 2 2" xfId="32201"/>
    <cellStyle name="输出 2 14 5 3 3" xfId="32200"/>
    <cellStyle name="输出 2 14 5 4" xfId="32202"/>
    <cellStyle name="输出 2 14 5 5" xfId="32193"/>
    <cellStyle name="输出 2 14 6" xfId="14192"/>
    <cellStyle name="输出 2 14 6 2" xfId="14193"/>
    <cellStyle name="输出 2 14 6 2 2" xfId="6958"/>
    <cellStyle name="输出 2 14 6 2 2 2" xfId="32205"/>
    <cellStyle name="输出 2 14 6 2 3" xfId="32204"/>
    <cellStyle name="输出 2 14 6 3" xfId="14194"/>
    <cellStyle name="输出 2 14 6 3 2" xfId="6959"/>
    <cellStyle name="输出 2 14 6 3 2 2" xfId="32207"/>
    <cellStyle name="输出 2 14 6 3 3" xfId="32206"/>
    <cellStyle name="输出 2 14 6 4" xfId="20877"/>
    <cellStyle name="输出 2 14 6 4 2" xfId="32208"/>
    <cellStyle name="输出 2 14 6 5" xfId="32203"/>
    <cellStyle name="输出 2 14 7" xfId="14195"/>
    <cellStyle name="输出 2 14 7 2" xfId="6960"/>
    <cellStyle name="输出 2 14 7 2 2" xfId="32210"/>
    <cellStyle name="输出 2 14 7 3" xfId="32209"/>
    <cellStyle name="输出 2 14 8" xfId="32211"/>
    <cellStyle name="输出 2 14 9" xfId="32162"/>
    <cellStyle name="输出 2 15" xfId="10061"/>
    <cellStyle name="输出 2 15 2" xfId="10062"/>
    <cellStyle name="输出 2 15 2 2" xfId="14196"/>
    <cellStyle name="输出 2 15 2 2 2" xfId="14197"/>
    <cellStyle name="输出 2 15 2 2 2 2" xfId="6962"/>
    <cellStyle name="输出 2 15 2 2 2 2 2" xfId="32216"/>
    <cellStyle name="输出 2 15 2 2 2 3" xfId="32215"/>
    <cellStyle name="输出 2 15 2 2 3" xfId="14198"/>
    <cellStyle name="输出 2 15 2 2 3 2" xfId="20876"/>
    <cellStyle name="输出 2 15 2 2 3 2 2" xfId="32218"/>
    <cellStyle name="输出 2 15 2 2 3 3" xfId="32217"/>
    <cellStyle name="输出 2 15 2 2 4" xfId="6961"/>
    <cellStyle name="输出 2 15 2 2 4 2" xfId="32219"/>
    <cellStyle name="输出 2 15 2 2 5" xfId="32214"/>
    <cellStyle name="输出 2 15 2 3" xfId="14199"/>
    <cellStyle name="输出 2 15 2 3 2" xfId="6963"/>
    <cellStyle name="输出 2 15 2 3 2 2" xfId="32221"/>
    <cellStyle name="输出 2 15 2 3 3" xfId="32220"/>
    <cellStyle name="输出 2 15 2 4" xfId="32222"/>
    <cellStyle name="输出 2 15 2 5" xfId="32213"/>
    <cellStyle name="输出 2 15 3" xfId="10063"/>
    <cellStyle name="输出 2 15 3 2" xfId="14200"/>
    <cellStyle name="输出 2 15 3 2 2" xfId="14201"/>
    <cellStyle name="输出 2 15 3 2 2 2" xfId="6965"/>
    <cellStyle name="输出 2 15 3 2 2 2 2" xfId="32226"/>
    <cellStyle name="输出 2 15 3 2 2 3" xfId="32225"/>
    <cellStyle name="输出 2 15 3 2 3" xfId="14202"/>
    <cellStyle name="输出 2 15 3 2 3 2" xfId="6966"/>
    <cellStyle name="输出 2 15 3 2 3 2 2" xfId="32228"/>
    <cellStyle name="输出 2 15 3 2 3 3" xfId="32227"/>
    <cellStyle name="输出 2 15 3 2 4" xfId="6964"/>
    <cellStyle name="输出 2 15 3 2 4 2" xfId="32229"/>
    <cellStyle name="输出 2 15 3 2 5" xfId="32224"/>
    <cellStyle name="输出 2 15 3 3" xfId="14203"/>
    <cellStyle name="输出 2 15 3 3 2" xfId="6967"/>
    <cellStyle name="输出 2 15 3 3 2 2" xfId="32231"/>
    <cellStyle name="输出 2 15 3 3 3" xfId="32230"/>
    <cellStyle name="输出 2 15 3 4" xfId="32232"/>
    <cellStyle name="输出 2 15 3 5" xfId="32223"/>
    <cellStyle name="输出 2 15 4" xfId="10064"/>
    <cellStyle name="输出 2 15 4 2" xfId="14204"/>
    <cellStyle name="输出 2 15 4 2 2" xfId="14205"/>
    <cellStyle name="输出 2 15 4 2 2 2" xfId="6968"/>
    <cellStyle name="输出 2 15 4 2 2 2 2" xfId="32236"/>
    <cellStyle name="输出 2 15 4 2 2 3" xfId="32235"/>
    <cellStyle name="输出 2 15 4 2 3" xfId="14206"/>
    <cellStyle name="输出 2 15 4 2 3 2" xfId="6969"/>
    <cellStyle name="输出 2 15 4 2 3 2 2" xfId="32238"/>
    <cellStyle name="输出 2 15 4 2 3 3" xfId="32237"/>
    <cellStyle name="输出 2 15 4 2 4" xfId="20875"/>
    <cellStyle name="输出 2 15 4 2 4 2" xfId="32239"/>
    <cellStyle name="输出 2 15 4 2 5" xfId="32234"/>
    <cellStyle name="输出 2 15 4 3" xfId="14207"/>
    <cellStyle name="输出 2 15 4 3 2" xfId="6970"/>
    <cellStyle name="输出 2 15 4 3 2 2" xfId="32241"/>
    <cellStyle name="输出 2 15 4 3 3" xfId="32240"/>
    <cellStyle name="输出 2 15 4 4" xfId="32242"/>
    <cellStyle name="输出 2 15 4 5" xfId="32233"/>
    <cellStyle name="输出 2 15 5" xfId="10065"/>
    <cellStyle name="输出 2 15 5 2" xfId="14208"/>
    <cellStyle name="输出 2 15 5 2 2" xfId="14209"/>
    <cellStyle name="输出 2 15 5 2 2 2" xfId="6973"/>
    <cellStyle name="输出 2 15 5 2 2 2 2" xfId="32246"/>
    <cellStyle name="输出 2 15 5 2 2 3" xfId="32245"/>
    <cellStyle name="输出 2 15 5 2 3" xfId="14210"/>
    <cellStyle name="输出 2 15 5 2 3 2" xfId="20874"/>
    <cellStyle name="输出 2 15 5 2 3 2 2" xfId="32248"/>
    <cellStyle name="输出 2 15 5 2 3 3" xfId="32247"/>
    <cellStyle name="输出 2 15 5 2 4" xfId="6971"/>
    <cellStyle name="输出 2 15 5 2 4 2" xfId="32249"/>
    <cellStyle name="输出 2 15 5 2 5" xfId="32244"/>
    <cellStyle name="输出 2 15 5 3" xfId="14211"/>
    <cellStyle name="输出 2 15 5 3 2" xfId="6974"/>
    <cellStyle name="输出 2 15 5 3 2 2" xfId="32251"/>
    <cellStyle name="输出 2 15 5 3 3" xfId="32250"/>
    <cellStyle name="输出 2 15 5 4" xfId="32252"/>
    <cellStyle name="输出 2 15 5 5" xfId="32243"/>
    <cellStyle name="输出 2 15 6" xfId="14212"/>
    <cellStyle name="输出 2 15 6 2" xfId="14213"/>
    <cellStyle name="输出 2 15 6 2 2" xfId="21214"/>
    <cellStyle name="输出 2 15 6 2 2 2" xfId="32255"/>
    <cellStyle name="输出 2 15 6 2 3" xfId="32254"/>
    <cellStyle name="输出 2 15 6 3" xfId="14214"/>
    <cellStyle name="输出 2 15 6 3 2" xfId="21213"/>
    <cellStyle name="输出 2 15 6 3 2 2" xfId="32257"/>
    <cellStyle name="输出 2 15 6 3 3" xfId="32256"/>
    <cellStyle name="输出 2 15 6 4" xfId="6975"/>
    <cellStyle name="输出 2 15 6 4 2" xfId="32258"/>
    <cellStyle name="输出 2 15 6 5" xfId="32253"/>
    <cellStyle name="输出 2 15 7" xfId="14215"/>
    <cellStyle name="输出 2 15 7 2" xfId="18287"/>
    <cellStyle name="输出 2 15 7 2 2" xfId="32260"/>
    <cellStyle name="输出 2 15 7 3" xfId="32259"/>
    <cellStyle name="输出 2 15 8" xfId="32261"/>
    <cellStyle name="输出 2 15 9" xfId="32212"/>
    <cellStyle name="输出 2 16" xfId="10066"/>
    <cellStyle name="输出 2 16 2" xfId="10067"/>
    <cellStyle name="输出 2 16 2 2" xfId="14216"/>
    <cellStyle name="输出 2 16 2 2 2" xfId="14217"/>
    <cellStyle name="输出 2 16 2 2 2 2" xfId="6977"/>
    <cellStyle name="输出 2 16 2 2 2 2 2" xfId="32266"/>
    <cellStyle name="输出 2 16 2 2 2 3" xfId="32265"/>
    <cellStyle name="输出 2 16 2 2 3" xfId="14218"/>
    <cellStyle name="输出 2 16 2 2 3 2" xfId="6978"/>
    <cellStyle name="输出 2 16 2 2 3 2 2" xfId="32268"/>
    <cellStyle name="输出 2 16 2 2 3 3" xfId="32267"/>
    <cellStyle name="输出 2 16 2 2 4" xfId="6976"/>
    <cellStyle name="输出 2 16 2 2 4 2" xfId="32269"/>
    <cellStyle name="输出 2 16 2 2 5" xfId="32264"/>
    <cellStyle name="输出 2 16 2 3" xfId="14219"/>
    <cellStyle name="输出 2 16 2 3 2" xfId="6979"/>
    <cellStyle name="输出 2 16 2 3 2 2" xfId="32271"/>
    <cellStyle name="输出 2 16 2 3 3" xfId="32270"/>
    <cellStyle name="输出 2 16 2 4" xfId="32272"/>
    <cellStyle name="输出 2 16 2 5" xfId="32263"/>
    <cellStyle name="输出 2 16 3" xfId="10068"/>
    <cellStyle name="输出 2 16 3 2" xfId="14220"/>
    <cellStyle name="输出 2 16 3 2 2" xfId="14221"/>
    <cellStyle name="输出 2 16 3 2 2 2" xfId="6981"/>
    <cellStyle name="输出 2 16 3 2 2 2 2" xfId="32276"/>
    <cellStyle name="输出 2 16 3 2 2 3" xfId="32275"/>
    <cellStyle name="输出 2 16 3 2 3" xfId="14222"/>
    <cellStyle name="输出 2 16 3 2 3 2" xfId="6982"/>
    <cellStyle name="输出 2 16 3 2 3 2 2" xfId="32278"/>
    <cellStyle name="输出 2 16 3 2 3 3" xfId="32277"/>
    <cellStyle name="输出 2 16 3 2 4" xfId="6980"/>
    <cellStyle name="输出 2 16 3 2 4 2" xfId="32279"/>
    <cellStyle name="输出 2 16 3 2 5" xfId="32274"/>
    <cellStyle name="输出 2 16 3 3" xfId="14223"/>
    <cellStyle name="输出 2 16 3 3 2" xfId="6983"/>
    <cellStyle name="输出 2 16 3 3 2 2" xfId="32281"/>
    <cellStyle name="输出 2 16 3 3 3" xfId="32280"/>
    <cellStyle name="输出 2 16 3 4" xfId="32282"/>
    <cellStyle name="输出 2 16 3 5" xfId="32273"/>
    <cellStyle name="输出 2 16 4" xfId="10069"/>
    <cellStyle name="输出 2 16 4 2" xfId="14224"/>
    <cellStyle name="输出 2 16 4 2 2" xfId="14225"/>
    <cellStyle name="输出 2 16 4 2 2 2" xfId="6984"/>
    <cellStyle name="输出 2 16 4 2 2 2 2" xfId="32286"/>
    <cellStyle name="输出 2 16 4 2 2 3" xfId="32285"/>
    <cellStyle name="输出 2 16 4 2 3" xfId="14226"/>
    <cellStyle name="输出 2 16 4 2 3 2" xfId="6985"/>
    <cellStyle name="输出 2 16 4 2 3 2 2" xfId="32288"/>
    <cellStyle name="输出 2 16 4 2 3 3" xfId="32287"/>
    <cellStyle name="输出 2 16 4 2 4" xfId="18592"/>
    <cellStyle name="输出 2 16 4 2 4 2" xfId="32289"/>
    <cellStyle name="输出 2 16 4 2 5" xfId="32284"/>
    <cellStyle name="输出 2 16 4 3" xfId="14227"/>
    <cellStyle name="输出 2 16 4 3 2" xfId="6986"/>
    <cellStyle name="输出 2 16 4 3 2 2" xfId="32291"/>
    <cellStyle name="输出 2 16 4 3 3" xfId="32290"/>
    <cellStyle name="输出 2 16 4 4" xfId="32292"/>
    <cellStyle name="输出 2 16 4 5" xfId="32283"/>
    <cellStyle name="输出 2 16 5" xfId="10070"/>
    <cellStyle name="输出 2 16 5 2" xfId="14228"/>
    <cellStyle name="输出 2 16 5 2 2" xfId="14229"/>
    <cellStyle name="输出 2 16 5 2 2 2" xfId="6988"/>
    <cellStyle name="输出 2 16 5 2 2 2 2" xfId="32296"/>
    <cellStyle name="输出 2 16 5 2 2 3" xfId="32295"/>
    <cellStyle name="输出 2 16 5 2 3" xfId="14230"/>
    <cellStyle name="输出 2 16 5 2 3 2" xfId="20873"/>
    <cellStyle name="输出 2 16 5 2 3 2 2" xfId="32298"/>
    <cellStyle name="输出 2 16 5 2 3 3" xfId="32297"/>
    <cellStyle name="输出 2 16 5 2 4" xfId="6987"/>
    <cellStyle name="输出 2 16 5 2 4 2" xfId="32299"/>
    <cellStyle name="输出 2 16 5 2 5" xfId="32294"/>
    <cellStyle name="输出 2 16 5 3" xfId="14231"/>
    <cellStyle name="输出 2 16 5 3 2" xfId="20872"/>
    <cellStyle name="输出 2 16 5 3 2 2" xfId="32301"/>
    <cellStyle name="输出 2 16 5 3 3" xfId="32300"/>
    <cellStyle name="输出 2 16 5 4" xfId="32302"/>
    <cellStyle name="输出 2 16 5 5" xfId="32293"/>
    <cellStyle name="输出 2 16 6" xfId="14232"/>
    <cellStyle name="输出 2 16 6 2" xfId="14233"/>
    <cellStyle name="输出 2 16 6 2 2" xfId="6989"/>
    <cellStyle name="输出 2 16 6 2 2 2" xfId="32305"/>
    <cellStyle name="输出 2 16 6 2 3" xfId="32304"/>
    <cellStyle name="输出 2 16 6 3" xfId="14234"/>
    <cellStyle name="输出 2 16 6 3 2" xfId="6991"/>
    <cellStyle name="输出 2 16 6 3 2 2" xfId="32307"/>
    <cellStyle name="输出 2 16 6 3 3" xfId="32306"/>
    <cellStyle name="输出 2 16 6 4" xfId="20871"/>
    <cellStyle name="输出 2 16 6 4 2" xfId="32308"/>
    <cellStyle name="输出 2 16 6 5" xfId="32303"/>
    <cellStyle name="输出 2 16 7" xfId="14235"/>
    <cellStyle name="输出 2 16 7 2" xfId="6992"/>
    <cellStyle name="输出 2 16 7 2 2" xfId="32310"/>
    <cellStyle name="输出 2 16 7 3" xfId="32309"/>
    <cellStyle name="输出 2 16 8" xfId="32311"/>
    <cellStyle name="输出 2 16 9" xfId="32262"/>
    <cellStyle name="输出 2 17" xfId="10071"/>
    <cellStyle name="输出 2 17 2" xfId="10072"/>
    <cellStyle name="输出 2 17 2 2" xfId="14236"/>
    <cellStyle name="输出 2 17 2 2 2" xfId="14237"/>
    <cellStyle name="输出 2 17 2 2 2 2" xfId="20870"/>
    <cellStyle name="输出 2 17 2 2 2 2 2" xfId="32316"/>
    <cellStyle name="输出 2 17 2 2 2 3" xfId="32315"/>
    <cellStyle name="输出 2 17 2 2 3" xfId="14238"/>
    <cellStyle name="输出 2 17 2 2 3 2" xfId="6994"/>
    <cellStyle name="输出 2 17 2 2 3 2 2" xfId="32318"/>
    <cellStyle name="输出 2 17 2 2 3 3" xfId="32317"/>
    <cellStyle name="输出 2 17 2 2 4" xfId="6993"/>
    <cellStyle name="输出 2 17 2 2 4 2" xfId="32319"/>
    <cellStyle name="输出 2 17 2 2 5" xfId="32314"/>
    <cellStyle name="输出 2 17 2 3" xfId="14239"/>
    <cellStyle name="输出 2 17 2 3 2" xfId="6995"/>
    <cellStyle name="输出 2 17 2 3 2 2" xfId="32321"/>
    <cellStyle name="输出 2 17 2 3 3" xfId="32320"/>
    <cellStyle name="输出 2 17 2 4" xfId="32322"/>
    <cellStyle name="输出 2 17 2 5" xfId="32313"/>
    <cellStyle name="输出 2 17 3" xfId="10073"/>
    <cellStyle name="输出 2 17 3 2" xfId="14240"/>
    <cellStyle name="输出 2 17 3 2 2" xfId="14241"/>
    <cellStyle name="输出 2 17 3 2 2 2" xfId="6997"/>
    <cellStyle name="输出 2 17 3 2 2 2 2" xfId="32326"/>
    <cellStyle name="输出 2 17 3 2 2 3" xfId="32325"/>
    <cellStyle name="输出 2 17 3 2 3" xfId="14242"/>
    <cellStyle name="输出 2 17 3 2 3 2" xfId="6998"/>
    <cellStyle name="输出 2 17 3 2 3 2 2" xfId="32328"/>
    <cellStyle name="输出 2 17 3 2 3 3" xfId="32327"/>
    <cellStyle name="输出 2 17 3 2 4" xfId="6996"/>
    <cellStyle name="输出 2 17 3 2 4 2" xfId="32329"/>
    <cellStyle name="输出 2 17 3 2 5" xfId="32324"/>
    <cellStyle name="输出 2 17 3 3" xfId="14243"/>
    <cellStyle name="输出 2 17 3 3 2" xfId="20869"/>
    <cellStyle name="输出 2 17 3 3 2 2" xfId="32331"/>
    <cellStyle name="输出 2 17 3 3 3" xfId="32330"/>
    <cellStyle name="输出 2 17 3 4" xfId="32332"/>
    <cellStyle name="输出 2 17 3 5" xfId="32323"/>
    <cellStyle name="输出 2 17 4" xfId="10074"/>
    <cellStyle name="输出 2 17 4 2" xfId="14244"/>
    <cellStyle name="输出 2 17 4 2 2" xfId="14245"/>
    <cellStyle name="输出 2 17 4 2 2 2" xfId="7000"/>
    <cellStyle name="输出 2 17 4 2 2 2 2" xfId="32336"/>
    <cellStyle name="输出 2 17 4 2 2 3" xfId="32335"/>
    <cellStyle name="输出 2 17 4 2 3" xfId="14246"/>
    <cellStyle name="输出 2 17 4 2 3 2" xfId="7001"/>
    <cellStyle name="输出 2 17 4 2 3 2 2" xfId="32338"/>
    <cellStyle name="输出 2 17 4 2 3 3" xfId="32337"/>
    <cellStyle name="输出 2 17 4 2 4" xfId="6999"/>
    <cellStyle name="输出 2 17 4 2 4 2" xfId="32339"/>
    <cellStyle name="输出 2 17 4 2 5" xfId="32334"/>
    <cellStyle name="输出 2 17 4 3" xfId="14247"/>
    <cellStyle name="输出 2 17 4 3 2" xfId="7002"/>
    <cellStyle name="输出 2 17 4 3 2 2" xfId="32341"/>
    <cellStyle name="输出 2 17 4 3 3" xfId="32340"/>
    <cellStyle name="输出 2 17 4 4" xfId="32342"/>
    <cellStyle name="输出 2 17 4 5" xfId="32333"/>
    <cellStyle name="输出 2 17 5" xfId="10075"/>
    <cellStyle name="输出 2 17 5 2" xfId="14248"/>
    <cellStyle name="输出 2 17 5 2 2" xfId="14249"/>
    <cellStyle name="输出 2 17 5 2 2 2" xfId="18591"/>
    <cellStyle name="输出 2 17 5 2 2 2 2" xfId="32346"/>
    <cellStyle name="输出 2 17 5 2 2 3" xfId="32345"/>
    <cellStyle name="输出 2 17 5 2 3" xfId="14250"/>
    <cellStyle name="输出 2 17 5 2 3 2" xfId="7004"/>
    <cellStyle name="输出 2 17 5 2 3 2 2" xfId="32348"/>
    <cellStyle name="输出 2 17 5 2 3 3" xfId="32347"/>
    <cellStyle name="输出 2 17 5 2 4" xfId="7003"/>
    <cellStyle name="输出 2 17 5 2 4 2" xfId="32349"/>
    <cellStyle name="输出 2 17 5 2 5" xfId="32344"/>
    <cellStyle name="输出 2 17 5 3" xfId="14251"/>
    <cellStyle name="输出 2 17 5 3 2" xfId="7005"/>
    <cellStyle name="输出 2 17 5 3 2 2" xfId="32351"/>
    <cellStyle name="输出 2 17 5 3 3" xfId="32350"/>
    <cellStyle name="输出 2 17 5 4" xfId="32352"/>
    <cellStyle name="输出 2 17 5 5" xfId="32343"/>
    <cellStyle name="输出 2 17 6" xfId="14252"/>
    <cellStyle name="输出 2 17 6 2" xfId="14253"/>
    <cellStyle name="输出 2 17 6 2 2" xfId="7007"/>
    <cellStyle name="输出 2 17 6 2 2 2" xfId="32355"/>
    <cellStyle name="输出 2 17 6 2 3" xfId="32354"/>
    <cellStyle name="输出 2 17 6 3" xfId="14254"/>
    <cellStyle name="输出 2 17 6 3 2" xfId="7008"/>
    <cellStyle name="输出 2 17 6 3 2 2" xfId="32357"/>
    <cellStyle name="输出 2 17 6 3 3" xfId="32356"/>
    <cellStyle name="输出 2 17 6 4" xfId="7006"/>
    <cellStyle name="输出 2 17 6 4 2" xfId="32358"/>
    <cellStyle name="输出 2 17 6 5" xfId="32353"/>
    <cellStyle name="输出 2 17 7" xfId="14255"/>
    <cellStyle name="输出 2 17 7 2" xfId="7009"/>
    <cellStyle name="输出 2 17 7 2 2" xfId="32360"/>
    <cellStyle name="输出 2 17 7 3" xfId="32359"/>
    <cellStyle name="输出 2 17 8" xfId="32361"/>
    <cellStyle name="输出 2 17 9" xfId="32312"/>
    <cellStyle name="输出 2 18" xfId="10076"/>
    <cellStyle name="输出 2 18 2" xfId="10077"/>
    <cellStyle name="输出 2 18 2 2" xfId="14256"/>
    <cellStyle name="输出 2 18 2 2 2" xfId="14257"/>
    <cellStyle name="输出 2 18 2 2 2 2" xfId="7011"/>
    <cellStyle name="输出 2 18 2 2 2 2 2" xfId="32366"/>
    <cellStyle name="输出 2 18 2 2 2 3" xfId="32365"/>
    <cellStyle name="输出 2 18 2 2 3" xfId="14258"/>
    <cellStyle name="输出 2 18 2 2 3 2" xfId="7012"/>
    <cellStyle name="输出 2 18 2 2 3 2 2" xfId="32368"/>
    <cellStyle name="输出 2 18 2 2 3 3" xfId="32367"/>
    <cellStyle name="输出 2 18 2 2 4" xfId="7010"/>
    <cellStyle name="输出 2 18 2 2 4 2" xfId="32369"/>
    <cellStyle name="输出 2 18 2 2 5" xfId="32364"/>
    <cellStyle name="输出 2 18 2 3" xfId="14259"/>
    <cellStyle name="输出 2 18 2 3 2" xfId="7013"/>
    <cellStyle name="输出 2 18 2 3 2 2" xfId="32371"/>
    <cellStyle name="输出 2 18 2 3 3" xfId="32370"/>
    <cellStyle name="输出 2 18 2 4" xfId="32372"/>
    <cellStyle name="输出 2 18 2 5" xfId="32363"/>
    <cellStyle name="输出 2 18 3" xfId="10078"/>
    <cellStyle name="输出 2 18 3 2" xfId="14260"/>
    <cellStyle name="输出 2 18 3 2 2" xfId="14261"/>
    <cellStyle name="输出 2 18 3 2 2 2" xfId="20867"/>
    <cellStyle name="输出 2 18 3 2 2 2 2" xfId="32376"/>
    <cellStyle name="输出 2 18 3 2 2 3" xfId="32375"/>
    <cellStyle name="输出 2 18 3 2 3" xfId="14262"/>
    <cellStyle name="输出 2 18 3 2 3 2" xfId="7014"/>
    <cellStyle name="输出 2 18 3 2 3 2 2" xfId="32378"/>
    <cellStyle name="输出 2 18 3 2 3 3" xfId="32377"/>
    <cellStyle name="输出 2 18 3 2 4" xfId="20868"/>
    <cellStyle name="输出 2 18 3 2 4 2" xfId="32379"/>
    <cellStyle name="输出 2 18 3 2 5" xfId="32374"/>
    <cellStyle name="输出 2 18 3 3" xfId="14263"/>
    <cellStyle name="输出 2 18 3 3 2" xfId="7015"/>
    <cellStyle name="输出 2 18 3 3 2 2" xfId="32381"/>
    <cellStyle name="输出 2 18 3 3 3" xfId="32380"/>
    <cellStyle name="输出 2 18 3 4" xfId="32382"/>
    <cellStyle name="输出 2 18 3 5" xfId="32373"/>
    <cellStyle name="输出 2 18 4" xfId="10079"/>
    <cellStyle name="输出 2 18 4 2" xfId="14264"/>
    <cellStyle name="输出 2 18 4 2 2" xfId="14265"/>
    <cellStyle name="输出 2 18 4 2 2 2" xfId="7017"/>
    <cellStyle name="输出 2 18 4 2 2 2 2" xfId="32386"/>
    <cellStyle name="输出 2 18 4 2 2 3" xfId="32385"/>
    <cellStyle name="输出 2 18 4 2 3" xfId="14266"/>
    <cellStyle name="输出 2 18 4 2 3 2" xfId="7018"/>
    <cellStyle name="输出 2 18 4 2 3 2 2" xfId="32388"/>
    <cellStyle name="输出 2 18 4 2 3 3" xfId="32387"/>
    <cellStyle name="输出 2 18 4 2 4" xfId="7016"/>
    <cellStyle name="输出 2 18 4 2 4 2" xfId="32389"/>
    <cellStyle name="输出 2 18 4 2 5" xfId="32384"/>
    <cellStyle name="输出 2 18 4 3" xfId="14267"/>
    <cellStyle name="输出 2 18 4 3 2" xfId="20866"/>
    <cellStyle name="输出 2 18 4 3 2 2" xfId="32391"/>
    <cellStyle name="输出 2 18 4 3 3" xfId="32390"/>
    <cellStyle name="输出 2 18 4 4" xfId="32392"/>
    <cellStyle name="输出 2 18 4 5" xfId="32383"/>
    <cellStyle name="输出 2 18 5" xfId="10080"/>
    <cellStyle name="输出 2 18 5 2" xfId="14268"/>
    <cellStyle name="输出 2 18 5 2 2" xfId="14269"/>
    <cellStyle name="输出 2 18 5 2 2 2" xfId="7020"/>
    <cellStyle name="输出 2 18 5 2 2 2 2" xfId="32396"/>
    <cellStyle name="输出 2 18 5 2 2 3" xfId="32395"/>
    <cellStyle name="输出 2 18 5 2 3" xfId="14270"/>
    <cellStyle name="输出 2 18 5 2 3 2" xfId="7021"/>
    <cellStyle name="输出 2 18 5 2 3 2 2" xfId="32398"/>
    <cellStyle name="输出 2 18 5 2 3 3" xfId="32397"/>
    <cellStyle name="输出 2 18 5 2 4" xfId="7019"/>
    <cellStyle name="输出 2 18 5 2 4 2" xfId="32399"/>
    <cellStyle name="输出 2 18 5 2 5" xfId="32394"/>
    <cellStyle name="输出 2 18 5 3" xfId="14271"/>
    <cellStyle name="输出 2 18 5 3 2" xfId="19614"/>
    <cellStyle name="输出 2 18 5 3 2 2" xfId="32401"/>
    <cellStyle name="输出 2 18 5 3 3" xfId="32400"/>
    <cellStyle name="输出 2 18 5 4" xfId="32402"/>
    <cellStyle name="输出 2 18 5 5" xfId="32393"/>
    <cellStyle name="输出 2 18 6" xfId="14272"/>
    <cellStyle name="输出 2 18 6 2" xfId="14273"/>
    <cellStyle name="输出 2 18 6 2 2" xfId="19612"/>
    <cellStyle name="输出 2 18 6 2 2 2" xfId="32405"/>
    <cellStyle name="输出 2 18 6 2 3" xfId="32404"/>
    <cellStyle name="输出 2 18 6 3" xfId="14274"/>
    <cellStyle name="输出 2 18 6 3 2" xfId="7023"/>
    <cellStyle name="输出 2 18 6 3 2 2" xfId="32407"/>
    <cellStyle name="输出 2 18 6 3 3" xfId="32406"/>
    <cellStyle name="输出 2 18 6 4" xfId="19613"/>
    <cellStyle name="输出 2 18 6 4 2" xfId="32408"/>
    <cellStyle name="输出 2 18 6 5" xfId="32403"/>
    <cellStyle name="输出 2 18 7" xfId="14275"/>
    <cellStyle name="输出 2 18 7 2" xfId="20865"/>
    <cellStyle name="输出 2 18 7 2 2" xfId="32410"/>
    <cellStyle name="输出 2 18 7 3" xfId="32409"/>
    <cellStyle name="输出 2 18 8" xfId="32411"/>
    <cellStyle name="输出 2 18 9" xfId="32362"/>
    <cellStyle name="输出 2 19" xfId="10081"/>
    <cellStyle name="输出 2 19 2" xfId="14276"/>
    <cellStyle name="输出 2 19 2 2" xfId="14277"/>
    <cellStyle name="输出 2 19 2 2 2" xfId="7025"/>
    <cellStyle name="输出 2 19 2 2 2 2" xfId="32415"/>
    <cellStyle name="输出 2 19 2 2 3" xfId="32414"/>
    <cellStyle name="输出 2 19 2 3" xfId="14278"/>
    <cellStyle name="输出 2 19 2 3 2" xfId="7026"/>
    <cellStyle name="输出 2 19 2 3 2 2" xfId="32417"/>
    <cellStyle name="输出 2 19 2 3 3" xfId="32416"/>
    <cellStyle name="输出 2 19 2 4" xfId="7024"/>
    <cellStyle name="输出 2 19 2 4 2" xfId="32418"/>
    <cellStyle name="输出 2 19 2 5" xfId="32413"/>
    <cellStyle name="输出 2 19 3" xfId="14279"/>
    <cellStyle name="输出 2 19 3 2" xfId="7027"/>
    <cellStyle name="输出 2 19 3 2 2" xfId="32420"/>
    <cellStyle name="输出 2 19 3 3" xfId="32419"/>
    <cellStyle name="输出 2 19 4" xfId="32421"/>
    <cellStyle name="输出 2 19 5" xfId="32412"/>
    <cellStyle name="输出 2 2" xfId="5454"/>
    <cellStyle name="输出 2 2 10" xfId="10083"/>
    <cellStyle name="输出 2 2 10 2" xfId="10084"/>
    <cellStyle name="输出 2 2 10 2 2" xfId="14280"/>
    <cellStyle name="输出 2 2 10 2 2 2" xfId="14281"/>
    <cellStyle name="输出 2 2 10 2 2 2 2" xfId="20864"/>
    <cellStyle name="输出 2 2 10 2 2 2 2 2" xfId="32427"/>
    <cellStyle name="输出 2 2 10 2 2 2 3" xfId="32426"/>
    <cellStyle name="输出 2 2 10 2 2 3" xfId="14282"/>
    <cellStyle name="输出 2 2 10 2 2 3 2" xfId="7029"/>
    <cellStyle name="输出 2 2 10 2 2 3 2 2" xfId="32429"/>
    <cellStyle name="输出 2 2 10 2 2 3 3" xfId="32428"/>
    <cellStyle name="输出 2 2 10 2 2 4" xfId="7028"/>
    <cellStyle name="输出 2 2 10 2 2 4 2" xfId="32430"/>
    <cellStyle name="输出 2 2 10 2 2 5" xfId="32425"/>
    <cellStyle name="输出 2 2 10 2 3" xfId="14283"/>
    <cellStyle name="输出 2 2 10 2 3 2" xfId="7030"/>
    <cellStyle name="输出 2 2 10 2 3 2 2" xfId="32432"/>
    <cellStyle name="输出 2 2 10 2 3 3" xfId="32431"/>
    <cellStyle name="输出 2 2 10 2 4" xfId="32433"/>
    <cellStyle name="输出 2 2 10 2 5" xfId="32424"/>
    <cellStyle name="输出 2 2 10 3" xfId="10085"/>
    <cellStyle name="输出 2 2 10 3 2" xfId="14284"/>
    <cellStyle name="输出 2 2 10 3 2 2" xfId="14285"/>
    <cellStyle name="输出 2 2 10 3 2 2 2" xfId="7032"/>
    <cellStyle name="输出 2 2 10 3 2 2 2 2" xfId="32437"/>
    <cellStyle name="输出 2 2 10 3 2 2 3" xfId="32436"/>
    <cellStyle name="输出 2 2 10 3 2 3" xfId="14286"/>
    <cellStyle name="输出 2 2 10 3 2 3 2" xfId="7033"/>
    <cellStyle name="输出 2 2 10 3 2 3 2 2" xfId="32439"/>
    <cellStyle name="输出 2 2 10 3 2 3 3" xfId="32438"/>
    <cellStyle name="输出 2 2 10 3 2 4" xfId="7031"/>
    <cellStyle name="输出 2 2 10 3 2 4 2" xfId="32440"/>
    <cellStyle name="输出 2 2 10 3 2 5" xfId="32435"/>
    <cellStyle name="输出 2 2 10 3 3" xfId="14287"/>
    <cellStyle name="输出 2 2 10 3 3 2" xfId="7034"/>
    <cellStyle name="输出 2 2 10 3 3 2 2" xfId="32442"/>
    <cellStyle name="输出 2 2 10 3 3 3" xfId="32441"/>
    <cellStyle name="输出 2 2 10 3 4" xfId="32443"/>
    <cellStyle name="输出 2 2 10 3 5" xfId="32434"/>
    <cellStyle name="输出 2 2 10 4" xfId="10086"/>
    <cellStyle name="输出 2 2 10 4 2" xfId="14288"/>
    <cellStyle name="输出 2 2 10 4 2 2" xfId="14289"/>
    <cellStyle name="输出 2 2 10 4 2 2 2" xfId="7036"/>
    <cellStyle name="输出 2 2 10 4 2 2 2 2" xfId="32447"/>
    <cellStyle name="输出 2 2 10 4 2 2 3" xfId="32446"/>
    <cellStyle name="输出 2 2 10 4 2 3" xfId="14290"/>
    <cellStyle name="输出 2 2 10 4 2 3 2" xfId="7037"/>
    <cellStyle name="输出 2 2 10 4 2 3 2 2" xfId="32449"/>
    <cellStyle name="输出 2 2 10 4 2 3 3" xfId="32448"/>
    <cellStyle name="输出 2 2 10 4 2 4" xfId="7035"/>
    <cellStyle name="输出 2 2 10 4 2 4 2" xfId="32450"/>
    <cellStyle name="输出 2 2 10 4 2 5" xfId="32445"/>
    <cellStyle name="输出 2 2 10 4 3" xfId="14291"/>
    <cellStyle name="输出 2 2 10 4 3 2" xfId="7038"/>
    <cellStyle name="输出 2 2 10 4 3 2 2" xfId="32452"/>
    <cellStyle name="输出 2 2 10 4 3 3" xfId="32451"/>
    <cellStyle name="输出 2 2 10 4 4" xfId="32453"/>
    <cellStyle name="输出 2 2 10 4 5" xfId="32444"/>
    <cellStyle name="输出 2 2 10 5" xfId="10087"/>
    <cellStyle name="输出 2 2 10 5 2" xfId="14292"/>
    <cellStyle name="输出 2 2 10 5 2 2" xfId="14293"/>
    <cellStyle name="输出 2 2 10 5 2 2 2" xfId="7039"/>
    <cellStyle name="输出 2 2 10 5 2 2 2 2" xfId="32457"/>
    <cellStyle name="输出 2 2 10 5 2 2 3" xfId="32456"/>
    <cellStyle name="输出 2 2 10 5 2 3" xfId="14294"/>
    <cellStyle name="输出 2 2 10 5 2 3 2" xfId="7040"/>
    <cellStyle name="输出 2 2 10 5 2 3 2 2" xfId="32459"/>
    <cellStyle name="输出 2 2 10 5 2 3 3" xfId="32458"/>
    <cellStyle name="输出 2 2 10 5 2 4" xfId="18590"/>
    <cellStyle name="输出 2 2 10 5 2 4 2" xfId="32460"/>
    <cellStyle name="输出 2 2 10 5 2 5" xfId="32455"/>
    <cellStyle name="输出 2 2 10 5 3" xfId="14295"/>
    <cellStyle name="输出 2 2 10 5 3 2" xfId="7041"/>
    <cellStyle name="输出 2 2 10 5 3 2 2" xfId="32462"/>
    <cellStyle name="输出 2 2 10 5 3 3" xfId="32461"/>
    <cellStyle name="输出 2 2 10 5 4" xfId="32463"/>
    <cellStyle name="输出 2 2 10 5 5" xfId="32454"/>
    <cellStyle name="输出 2 2 10 6" xfId="14296"/>
    <cellStyle name="输出 2 2 10 6 2" xfId="14297"/>
    <cellStyle name="输出 2 2 10 6 2 2" xfId="7043"/>
    <cellStyle name="输出 2 2 10 6 2 2 2" xfId="32466"/>
    <cellStyle name="输出 2 2 10 6 2 3" xfId="32465"/>
    <cellStyle name="输出 2 2 10 6 3" xfId="14298"/>
    <cellStyle name="输出 2 2 10 6 3 2" xfId="18589"/>
    <cellStyle name="输出 2 2 10 6 3 2 2" xfId="32468"/>
    <cellStyle name="输出 2 2 10 6 3 3" xfId="32467"/>
    <cellStyle name="输出 2 2 10 6 4" xfId="7042"/>
    <cellStyle name="输出 2 2 10 6 4 2" xfId="32469"/>
    <cellStyle name="输出 2 2 10 6 5" xfId="32464"/>
    <cellStyle name="输出 2 2 10 7" xfId="14299"/>
    <cellStyle name="输出 2 2 10 7 2" xfId="7044"/>
    <cellStyle name="输出 2 2 10 7 2 2" xfId="32471"/>
    <cellStyle name="输出 2 2 10 7 3" xfId="32470"/>
    <cellStyle name="输出 2 2 10 8" xfId="32472"/>
    <cellStyle name="输出 2 2 10 9" xfId="32423"/>
    <cellStyle name="输出 2 2 11" xfId="10088"/>
    <cellStyle name="输出 2 2 11 2" xfId="10089"/>
    <cellStyle name="输出 2 2 11 2 2" xfId="14300"/>
    <cellStyle name="输出 2 2 11 2 2 2" xfId="14301"/>
    <cellStyle name="输出 2 2 11 2 2 2 2" xfId="7046"/>
    <cellStyle name="输出 2 2 11 2 2 2 2 2" xfId="32477"/>
    <cellStyle name="输出 2 2 11 2 2 2 3" xfId="32476"/>
    <cellStyle name="输出 2 2 11 2 2 3" xfId="14302"/>
    <cellStyle name="输出 2 2 11 2 2 3 2" xfId="7047"/>
    <cellStyle name="输出 2 2 11 2 2 3 2 2" xfId="32479"/>
    <cellStyle name="输出 2 2 11 2 2 3 3" xfId="32478"/>
    <cellStyle name="输出 2 2 11 2 2 4" xfId="7045"/>
    <cellStyle name="输出 2 2 11 2 2 4 2" xfId="32480"/>
    <cellStyle name="输出 2 2 11 2 2 5" xfId="32475"/>
    <cellStyle name="输出 2 2 11 2 3" xfId="14303"/>
    <cellStyle name="输出 2 2 11 2 3 2" xfId="7048"/>
    <cellStyle name="输出 2 2 11 2 3 2 2" xfId="32482"/>
    <cellStyle name="输出 2 2 11 2 3 3" xfId="32481"/>
    <cellStyle name="输出 2 2 11 2 4" xfId="32483"/>
    <cellStyle name="输出 2 2 11 2 5" xfId="32474"/>
    <cellStyle name="输出 2 2 11 3" xfId="10090"/>
    <cellStyle name="输出 2 2 11 3 2" xfId="14304"/>
    <cellStyle name="输出 2 2 11 3 2 2" xfId="14305"/>
    <cellStyle name="输出 2 2 11 3 2 2 2" xfId="7049"/>
    <cellStyle name="输出 2 2 11 3 2 2 2 2" xfId="32487"/>
    <cellStyle name="输出 2 2 11 3 2 2 3" xfId="32486"/>
    <cellStyle name="输出 2 2 11 3 2 3" xfId="14306"/>
    <cellStyle name="输出 2 2 11 3 2 3 2" xfId="7050"/>
    <cellStyle name="输出 2 2 11 3 2 3 2 2" xfId="32489"/>
    <cellStyle name="输出 2 2 11 3 2 3 3" xfId="32488"/>
    <cellStyle name="输出 2 2 11 3 2 4" xfId="20863"/>
    <cellStyle name="输出 2 2 11 3 2 4 2" xfId="32490"/>
    <cellStyle name="输出 2 2 11 3 2 5" xfId="32485"/>
    <cellStyle name="输出 2 2 11 3 3" xfId="14307"/>
    <cellStyle name="输出 2 2 11 3 3 2" xfId="7051"/>
    <cellStyle name="输出 2 2 11 3 3 2 2" xfId="32492"/>
    <cellStyle name="输出 2 2 11 3 3 3" xfId="32491"/>
    <cellStyle name="输出 2 2 11 3 4" xfId="32493"/>
    <cellStyle name="输出 2 2 11 3 5" xfId="32484"/>
    <cellStyle name="输出 2 2 11 4" xfId="10091"/>
    <cellStyle name="输出 2 2 11 4 2" xfId="14308"/>
    <cellStyle name="输出 2 2 11 4 2 2" xfId="14309"/>
    <cellStyle name="输出 2 2 11 4 2 2 2" xfId="7053"/>
    <cellStyle name="输出 2 2 11 4 2 2 2 2" xfId="32497"/>
    <cellStyle name="输出 2 2 11 4 2 2 3" xfId="32496"/>
    <cellStyle name="输出 2 2 11 4 2 3" xfId="14310"/>
    <cellStyle name="输出 2 2 11 4 2 3 2" xfId="20862"/>
    <cellStyle name="输出 2 2 11 4 2 3 2 2" xfId="32499"/>
    <cellStyle name="输出 2 2 11 4 2 3 3" xfId="32498"/>
    <cellStyle name="输出 2 2 11 4 2 4" xfId="7052"/>
    <cellStyle name="输出 2 2 11 4 2 4 2" xfId="32500"/>
    <cellStyle name="输出 2 2 11 4 2 5" xfId="32495"/>
    <cellStyle name="输出 2 2 11 4 3" xfId="14311"/>
    <cellStyle name="输出 2 2 11 4 3 2" xfId="7054"/>
    <cellStyle name="输出 2 2 11 4 3 2 2" xfId="32502"/>
    <cellStyle name="输出 2 2 11 4 3 3" xfId="32501"/>
    <cellStyle name="输出 2 2 11 4 4" xfId="32503"/>
    <cellStyle name="输出 2 2 11 4 5" xfId="32494"/>
    <cellStyle name="输出 2 2 11 5" xfId="10092"/>
    <cellStyle name="输出 2 2 11 5 2" xfId="14312"/>
    <cellStyle name="输出 2 2 11 5 2 2" xfId="14313"/>
    <cellStyle name="输出 2 2 11 5 2 2 2" xfId="7055"/>
    <cellStyle name="输出 2 2 11 5 2 2 2 2" xfId="32507"/>
    <cellStyle name="输出 2 2 11 5 2 2 3" xfId="32506"/>
    <cellStyle name="输出 2 2 11 5 2 3" xfId="14314"/>
    <cellStyle name="输出 2 2 11 5 2 3 2" xfId="7056"/>
    <cellStyle name="输出 2 2 11 5 2 3 2 2" xfId="32509"/>
    <cellStyle name="输出 2 2 11 5 2 3 3" xfId="32508"/>
    <cellStyle name="输出 2 2 11 5 2 4" xfId="19611"/>
    <cellStyle name="输出 2 2 11 5 2 4 2" xfId="32510"/>
    <cellStyle name="输出 2 2 11 5 2 5" xfId="32505"/>
    <cellStyle name="输出 2 2 11 5 3" xfId="14315"/>
    <cellStyle name="输出 2 2 11 5 3 2" xfId="7057"/>
    <cellStyle name="输出 2 2 11 5 3 2 2" xfId="32512"/>
    <cellStyle name="输出 2 2 11 5 3 3" xfId="32511"/>
    <cellStyle name="输出 2 2 11 5 4" xfId="32513"/>
    <cellStyle name="输出 2 2 11 5 5" xfId="32504"/>
    <cellStyle name="输出 2 2 11 6" xfId="14316"/>
    <cellStyle name="输出 2 2 11 6 2" xfId="14317"/>
    <cellStyle name="输出 2 2 11 6 2 2" xfId="20861"/>
    <cellStyle name="输出 2 2 11 6 2 2 2" xfId="32516"/>
    <cellStyle name="输出 2 2 11 6 2 3" xfId="32515"/>
    <cellStyle name="输出 2 2 11 6 3" xfId="14318"/>
    <cellStyle name="输出 2 2 11 6 3 2" xfId="7059"/>
    <cellStyle name="输出 2 2 11 6 3 2 2" xfId="32518"/>
    <cellStyle name="输出 2 2 11 6 3 3" xfId="32517"/>
    <cellStyle name="输出 2 2 11 6 4" xfId="7058"/>
    <cellStyle name="输出 2 2 11 6 4 2" xfId="32519"/>
    <cellStyle name="输出 2 2 11 6 5" xfId="32514"/>
    <cellStyle name="输出 2 2 11 7" xfId="14319"/>
    <cellStyle name="输出 2 2 11 7 2" xfId="7060"/>
    <cellStyle name="输出 2 2 11 7 2 2" xfId="32521"/>
    <cellStyle name="输出 2 2 11 7 3" xfId="32520"/>
    <cellStyle name="输出 2 2 11 8" xfId="32522"/>
    <cellStyle name="输出 2 2 11 9" xfId="32473"/>
    <cellStyle name="输出 2 2 12" xfId="10093"/>
    <cellStyle name="输出 2 2 12 2" xfId="14320"/>
    <cellStyle name="输出 2 2 12 2 2" xfId="14321"/>
    <cellStyle name="输出 2 2 12 2 2 2" xfId="7062"/>
    <cellStyle name="输出 2 2 12 2 2 2 2" xfId="32526"/>
    <cellStyle name="输出 2 2 12 2 2 3" xfId="32525"/>
    <cellStyle name="输出 2 2 12 2 3" xfId="14322"/>
    <cellStyle name="输出 2 2 12 2 3 2" xfId="7063"/>
    <cellStyle name="输出 2 2 12 2 3 2 2" xfId="32528"/>
    <cellStyle name="输出 2 2 12 2 3 3" xfId="32527"/>
    <cellStyle name="输出 2 2 12 2 4" xfId="7061"/>
    <cellStyle name="输出 2 2 12 2 4 2" xfId="32529"/>
    <cellStyle name="输出 2 2 12 2 5" xfId="32524"/>
    <cellStyle name="输出 2 2 12 3" xfId="14323"/>
    <cellStyle name="输出 2 2 12 3 2" xfId="7064"/>
    <cellStyle name="输出 2 2 12 3 2 2" xfId="32531"/>
    <cellStyle name="输出 2 2 12 3 3" xfId="32530"/>
    <cellStyle name="输出 2 2 12 4" xfId="32532"/>
    <cellStyle name="输出 2 2 12 5" xfId="32523"/>
    <cellStyle name="输出 2 2 13" xfId="10094"/>
    <cellStyle name="输出 2 2 13 2" xfId="14324"/>
    <cellStyle name="输出 2 2 13 2 2" xfId="14325"/>
    <cellStyle name="输出 2 2 13 2 2 2" xfId="7066"/>
    <cellStyle name="输出 2 2 13 2 2 2 2" xfId="32536"/>
    <cellStyle name="输出 2 2 13 2 2 3" xfId="32535"/>
    <cellStyle name="输出 2 2 13 2 3" xfId="14326"/>
    <cellStyle name="输出 2 2 13 2 3 2" xfId="20860"/>
    <cellStyle name="输出 2 2 13 2 3 2 2" xfId="32538"/>
    <cellStyle name="输出 2 2 13 2 3 3" xfId="32537"/>
    <cellStyle name="输出 2 2 13 2 4" xfId="7065"/>
    <cellStyle name="输出 2 2 13 2 4 2" xfId="32539"/>
    <cellStyle name="输出 2 2 13 2 5" xfId="32534"/>
    <cellStyle name="输出 2 2 13 3" xfId="14327"/>
    <cellStyle name="输出 2 2 13 3 2" xfId="18588"/>
    <cellStyle name="输出 2 2 13 3 2 2" xfId="32541"/>
    <cellStyle name="输出 2 2 13 3 3" xfId="32540"/>
    <cellStyle name="输出 2 2 13 4" xfId="32542"/>
    <cellStyle name="输出 2 2 13 5" xfId="32533"/>
    <cellStyle name="输出 2 2 14" xfId="10095"/>
    <cellStyle name="输出 2 2 14 2" xfId="14328"/>
    <cellStyle name="输出 2 2 14 2 2" xfId="14329"/>
    <cellStyle name="输出 2 2 14 2 2 2" xfId="7067"/>
    <cellStyle name="输出 2 2 14 2 2 2 2" xfId="32546"/>
    <cellStyle name="输出 2 2 14 2 2 3" xfId="32545"/>
    <cellStyle name="输出 2 2 14 2 3" xfId="14330"/>
    <cellStyle name="输出 2 2 14 2 3 2" xfId="7068"/>
    <cellStyle name="输出 2 2 14 2 3 2 2" xfId="32548"/>
    <cellStyle name="输出 2 2 14 2 3 3" xfId="32547"/>
    <cellStyle name="输出 2 2 14 2 4" xfId="20859"/>
    <cellStyle name="输出 2 2 14 2 4 2" xfId="32549"/>
    <cellStyle name="输出 2 2 14 2 5" xfId="32544"/>
    <cellStyle name="输出 2 2 14 3" xfId="14331"/>
    <cellStyle name="输出 2 2 14 3 2" xfId="7069"/>
    <cellStyle name="输出 2 2 14 3 2 2" xfId="32551"/>
    <cellStyle name="输出 2 2 14 3 3" xfId="32550"/>
    <cellStyle name="输出 2 2 14 4" xfId="32552"/>
    <cellStyle name="输出 2 2 14 5" xfId="32543"/>
    <cellStyle name="输出 2 2 15" xfId="10096"/>
    <cellStyle name="输出 2 2 15 2" xfId="14332"/>
    <cellStyle name="输出 2 2 15 2 2" xfId="14333"/>
    <cellStyle name="输出 2 2 15 2 2 2" xfId="7071"/>
    <cellStyle name="输出 2 2 15 2 2 2 2" xfId="32556"/>
    <cellStyle name="输出 2 2 15 2 2 3" xfId="32555"/>
    <cellStyle name="输出 2 2 15 2 3" xfId="14334"/>
    <cellStyle name="输出 2 2 15 2 3 2" xfId="20858"/>
    <cellStyle name="输出 2 2 15 2 3 2 2" xfId="32558"/>
    <cellStyle name="输出 2 2 15 2 3 3" xfId="32557"/>
    <cellStyle name="输出 2 2 15 2 4" xfId="7070"/>
    <cellStyle name="输出 2 2 15 2 4 2" xfId="32559"/>
    <cellStyle name="输出 2 2 15 2 5" xfId="32554"/>
    <cellStyle name="输出 2 2 15 3" xfId="14335"/>
    <cellStyle name="输出 2 2 15 3 2" xfId="7072"/>
    <cellStyle name="输出 2 2 15 3 2 2" xfId="32561"/>
    <cellStyle name="输出 2 2 15 3 3" xfId="32560"/>
    <cellStyle name="输出 2 2 15 4" xfId="32562"/>
    <cellStyle name="输出 2 2 15 5" xfId="32553"/>
    <cellStyle name="输出 2 2 16" xfId="10097"/>
    <cellStyle name="输出 2 2 16 2" xfId="14336"/>
    <cellStyle name="输出 2 2 16 2 2" xfId="14337"/>
    <cellStyle name="输出 2 2 16 2 2 2" xfId="7074"/>
    <cellStyle name="输出 2 2 16 2 2 2 2" xfId="32566"/>
    <cellStyle name="输出 2 2 16 2 2 3" xfId="32565"/>
    <cellStyle name="输出 2 2 16 2 3" xfId="7073"/>
    <cellStyle name="输出 2 2 16 2 3 2" xfId="32567"/>
    <cellStyle name="输出 2 2 16 2 4" xfId="32564"/>
    <cellStyle name="输出 2 2 16 3" xfId="14338"/>
    <cellStyle name="输出 2 2 16 3 2" xfId="7075"/>
    <cellStyle name="输出 2 2 16 3 2 2" xfId="32569"/>
    <cellStyle name="输出 2 2 16 3 3" xfId="32568"/>
    <cellStyle name="输出 2 2 16 4" xfId="32570"/>
    <cellStyle name="输出 2 2 16 5" xfId="32563"/>
    <cellStyle name="输出 2 2 17" xfId="14339"/>
    <cellStyle name="输出 2 2 17 2" xfId="14340"/>
    <cellStyle name="输出 2 2 17 2 2" xfId="20857"/>
    <cellStyle name="输出 2 2 17 2 2 2" xfId="32573"/>
    <cellStyle name="输出 2 2 17 2 3" xfId="32572"/>
    <cellStyle name="输出 2 2 17 3" xfId="14341"/>
    <cellStyle name="输出 2 2 17 3 2" xfId="7077"/>
    <cellStyle name="输出 2 2 17 3 2 2" xfId="32575"/>
    <cellStyle name="输出 2 2 17 3 3" xfId="32574"/>
    <cellStyle name="输出 2 2 17 4" xfId="7076"/>
    <cellStyle name="输出 2 2 17 4 2" xfId="32576"/>
    <cellStyle name="输出 2 2 17 5" xfId="32571"/>
    <cellStyle name="输出 2 2 18" xfId="14342"/>
    <cellStyle name="输出 2 2 18 2" xfId="7078"/>
    <cellStyle name="输出 2 2 18 2 2" xfId="32578"/>
    <cellStyle name="输出 2 2 18 3" xfId="32577"/>
    <cellStyle name="输出 2 2 19" xfId="10082"/>
    <cellStyle name="输出 2 2 19 2" xfId="32580"/>
    <cellStyle name="输出 2 2 19 3" xfId="32579"/>
    <cellStyle name="输出 2 2 2" xfId="5455"/>
    <cellStyle name="输出 2 2 2 10" xfId="10099"/>
    <cellStyle name="输出 2 2 2 10 2" xfId="10100"/>
    <cellStyle name="输出 2 2 2 10 2 2" xfId="14343"/>
    <cellStyle name="输出 2 2 2 10 2 2 2" xfId="14344"/>
    <cellStyle name="输出 2 2 2 10 2 2 2 2" xfId="7080"/>
    <cellStyle name="输出 2 2 2 10 2 2 2 2 2" xfId="32586"/>
    <cellStyle name="输出 2 2 2 10 2 2 2 3" xfId="32585"/>
    <cellStyle name="输出 2 2 2 10 2 2 3" xfId="14345"/>
    <cellStyle name="输出 2 2 2 10 2 2 3 2" xfId="7081"/>
    <cellStyle name="输出 2 2 2 10 2 2 3 2 2" xfId="32588"/>
    <cellStyle name="输出 2 2 2 10 2 2 3 3" xfId="32587"/>
    <cellStyle name="输出 2 2 2 10 2 2 4" xfId="7079"/>
    <cellStyle name="输出 2 2 2 10 2 2 4 2" xfId="32589"/>
    <cellStyle name="输出 2 2 2 10 2 2 5" xfId="32584"/>
    <cellStyle name="输出 2 2 2 10 2 3" xfId="14346"/>
    <cellStyle name="输出 2 2 2 10 2 3 2" xfId="20856"/>
    <cellStyle name="输出 2 2 2 10 2 3 2 2" xfId="32591"/>
    <cellStyle name="输出 2 2 2 10 2 3 3" xfId="32590"/>
    <cellStyle name="输出 2 2 2 10 2 4" xfId="32592"/>
    <cellStyle name="输出 2 2 2 10 2 5" xfId="32583"/>
    <cellStyle name="输出 2 2 2 10 3" xfId="10101"/>
    <cellStyle name="输出 2 2 2 10 3 2" xfId="14347"/>
    <cellStyle name="输出 2 2 2 10 3 2 2" xfId="14348"/>
    <cellStyle name="输出 2 2 2 10 3 2 2 2" xfId="7083"/>
    <cellStyle name="输出 2 2 2 10 3 2 2 2 2" xfId="32596"/>
    <cellStyle name="输出 2 2 2 10 3 2 2 3" xfId="32595"/>
    <cellStyle name="输出 2 2 2 10 3 2 3" xfId="14349"/>
    <cellStyle name="输出 2 2 2 10 3 2 3 2" xfId="7084"/>
    <cellStyle name="输出 2 2 2 10 3 2 3 2 2" xfId="32598"/>
    <cellStyle name="输出 2 2 2 10 3 2 3 3" xfId="32597"/>
    <cellStyle name="输出 2 2 2 10 3 2 4" xfId="7082"/>
    <cellStyle name="输出 2 2 2 10 3 2 4 2" xfId="32599"/>
    <cellStyle name="输出 2 2 2 10 3 2 5" xfId="32594"/>
    <cellStyle name="输出 2 2 2 10 3 3" xfId="14350"/>
    <cellStyle name="输出 2 2 2 10 3 3 2" xfId="7085"/>
    <cellStyle name="输出 2 2 2 10 3 3 2 2" xfId="32601"/>
    <cellStyle name="输出 2 2 2 10 3 3 3" xfId="32600"/>
    <cellStyle name="输出 2 2 2 10 3 4" xfId="32602"/>
    <cellStyle name="输出 2 2 2 10 3 5" xfId="32593"/>
    <cellStyle name="输出 2 2 2 10 4" xfId="10102"/>
    <cellStyle name="输出 2 2 2 10 4 2" xfId="14351"/>
    <cellStyle name="输出 2 2 2 10 4 2 2" xfId="14352"/>
    <cellStyle name="输出 2 2 2 10 4 2 2 2" xfId="7087"/>
    <cellStyle name="输出 2 2 2 10 4 2 2 2 2" xfId="32606"/>
    <cellStyle name="输出 2 2 2 10 4 2 2 3" xfId="32605"/>
    <cellStyle name="输出 2 2 2 10 4 2 3" xfId="14353"/>
    <cellStyle name="输出 2 2 2 10 4 2 3 2" xfId="7088"/>
    <cellStyle name="输出 2 2 2 10 4 2 3 2 2" xfId="32608"/>
    <cellStyle name="输出 2 2 2 10 4 2 3 3" xfId="32607"/>
    <cellStyle name="输出 2 2 2 10 4 2 4" xfId="7086"/>
    <cellStyle name="输出 2 2 2 10 4 2 4 2" xfId="32609"/>
    <cellStyle name="输出 2 2 2 10 4 2 5" xfId="32604"/>
    <cellStyle name="输出 2 2 2 10 4 3" xfId="14354"/>
    <cellStyle name="输出 2 2 2 10 4 3 2" xfId="7089"/>
    <cellStyle name="输出 2 2 2 10 4 3 2 2" xfId="32611"/>
    <cellStyle name="输出 2 2 2 10 4 3 3" xfId="32610"/>
    <cellStyle name="输出 2 2 2 10 4 4" xfId="32612"/>
    <cellStyle name="输出 2 2 2 10 4 5" xfId="32603"/>
    <cellStyle name="输出 2 2 2 10 5" xfId="10103"/>
    <cellStyle name="输出 2 2 2 10 5 2" xfId="14355"/>
    <cellStyle name="输出 2 2 2 10 5 2 2" xfId="14356"/>
    <cellStyle name="输出 2 2 2 10 5 2 2 2" xfId="7091"/>
    <cellStyle name="输出 2 2 2 10 5 2 2 2 2" xfId="32616"/>
    <cellStyle name="输出 2 2 2 10 5 2 2 3" xfId="32615"/>
    <cellStyle name="输出 2 2 2 10 5 2 3" xfId="14357"/>
    <cellStyle name="输出 2 2 2 10 5 2 3 2" xfId="20855"/>
    <cellStyle name="输出 2 2 2 10 5 2 3 2 2" xfId="32618"/>
    <cellStyle name="输出 2 2 2 10 5 2 3 3" xfId="32617"/>
    <cellStyle name="输出 2 2 2 10 5 2 4" xfId="7090"/>
    <cellStyle name="输出 2 2 2 10 5 2 4 2" xfId="32619"/>
    <cellStyle name="输出 2 2 2 10 5 2 5" xfId="32614"/>
    <cellStyle name="输出 2 2 2 10 5 3" xfId="14358"/>
    <cellStyle name="输出 2 2 2 10 5 3 2" xfId="7092"/>
    <cellStyle name="输出 2 2 2 10 5 3 2 2" xfId="32621"/>
    <cellStyle name="输出 2 2 2 10 5 3 3" xfId="32620"/>
    <cellStyle name="输出 2 2 2 10 5 4" xfId="32622"/>
    <cellStyle name="输出 2 2 2 10 5 5" xfId="32613"/>
    <cellStyle name="输出 2 2 2 10 6" xfId="14359"/>
    <cellStyle name="输出 2 2 2 10 6 2" xfId="14360"/>
    <cellStyle name="输出 2 2 2 10 6 2 2" xfId="7094"/>
    <cellStyle name="输出 2 2 2 10 6 2 2 2" xfId="32625"/>
    <cellStyle name="输出 2 2 2 10 6 2 3" xfId="32624"/>
    <cellStyle name="输出 2 2 2 10 6 3" xfId="14361"/>
    <cellStyle name="输出 2 2 2 10 6 3 2" xfId="7095"/>
    <cellStyle name="输出 2 2 2 10 6 3 2 2" xfId="32627"/>
    <cellStyle name="输出 2 2 2 10 6 3 3" xfId="32626"/>
    <cellStyle name="输出 2 2 2 10 6 4" xfId="7093"/>
    <cellStyle name="输出 2 2 2 10 6 4 2" xfId="32628"/>
    <cellStyle name="输出 2 2 2 10 6 5" xfId="32623"/>
    <cellStyle name="输出 2 2 2 10 7" xfId="14362"/>
    <cellStyle name="输出 2 2 2 10 7 2" xfId="7096"/>
    <cellStyle name="输出 2 2 2 10 7 2 2" xfId="32630"/>
    <cellStyle name="输出 2 2 2 10 7 3" xfId="32629"/>
    <cellStyle name="输出 2 2 2 10 8" xfId="32631"/>
    <cellStyle name="输出 2 2 2 10 9" xfId="32582"/>
    <cellStyle name="输出 2 2 2 11" xfId="10104"/>
    <cellStyle name="输出 2 2 2 11 2" xfId="14363"/>
    <cellStyle name="输出 2 2 2 11 2 2" xfId="14364"/>
    <cellStyle name="输出 2 2 2 11 2 2 2" xfId="7097"/>
    <cellStyle name="输出 2 2 2 11 2 2 2 2" xfId="32635"/>
    <cellStyle name="输出 2 2 2 11 2 2 3" xfId="32634"/>
    <cellStyle name="输出 2 2 2 11 2 3" xfId="14365"/>
    <cellStyle name="输出 2 2 2 11 2 3 2" xfId="7098"/>
    <cellStyle name="输出 2 2 2 11 2 3 2 2" xfId="32637"/>
    <cellStyle name="输出 2 2 2 11 2 3 3" xfId="32636"/>
    <cellStyle name="输出 2 2 2 11 2 4" xfId="18587"/>
    <cellStyle name="输出 2 2 2 11 2 4 2" xfId="32638"/>
    <cellStyle name="输出 2 2 2 11 2 5" xfId="32633"/>
    <cellStyle name="输出 2 2 2 11 3" xfId="14366"/>
    <cellStyle name="输出 2 2 2 11 3 2" xfId="7099"/>
    <cellStyle name="输出 2 2 2 11 3 2 2" xfId="32640"/>
    <cellStyle name="输出 2 2 2 11 3 3" xfId="32639"/>
    <cellStyle name="输出 2 2 2 11 4" xfId="32641"/>
    <cellStyle name="输出 2 2 2 11 5" xfId="32632"/>
    <cellStyle name="输出 2 2 2 12" xfId="10105"/>
    <cellStyle name="输出 2 2 2 12 2" xfId="14367"/>
    <cellStyle name="输出 2 2 2 12 2 2" xfId="14368"/>
    <cellStyle name="输出 2 2 2 12 2 2 2" xfId="7101"/>
    <cellStyle name="输出 2 2 2 12 2 2 2 2" xfId="32645"/>
    <cellStyle name="输出 2 2 2 12 2 2 3" xfId="32644"/>
    <cellStyle name="输出 2 2 2 12 2 3" xfId="14369"/>
    <cellStyle name="输出 2 2 2 12 2 3 2" xfId="20854"/>
    <cellStyle name="输出 2 2 2 12 2 3 2 2" xfId="32647"/>
    <cellStyle name="输出 2 2 2 12 2 3 3" xfId="32646"/>
    <cellStyle name="输出 2 2 2 12 2 4" xfId="7100"/>
    <cellStyle name="输出 2 2 2 12 2 4 2" xfId="32648"/>
    <cellStyle name="输出 2 2 2 12 2 5" xfId="32643"/>
    <cellStyle name="输出 2 2 2 12 3" xfId="14370"/>
    <cellStyle name="输出 2 2 2 12 3 2" xfId="7102"/>
    <cellStyle name="输出 2 2 2 12 3 2 2" xfId="32650"/>
    <cellStyle name="输出 2 2 2 12 3 3" xfId="32649"/>
    <cellStyle name="输出 2 2 2 12 4" xfId="32651"/>
    <cellStyle name="输出 2 2 2 12 5" xfId="32642"/>
    <cellStyle name="输出 2 2 2 13" xfId="10106"/>
    <cellStyle name="输出 2 2 2 13 2" xfId="14371"/>
    <cellStyle name="输出 2 2 2 13 2 2" xfId="14372"/>
    <cellStyle name="输出 2 2 2 13 2 2 2" xfId="7104"/>
    <cellStyle name="输出 2 2 2 13 2 2 2 2" xfId="32655"/>
    <cellStyle name="输出 2 2 2 13 2 2 3" xfId="32654"/>
    <cellStyle name="输出 2 2 2 13 2 3" xfId="14373"/>
    <cellStyle name="输出 2 2 2 13 2 3 2" xfId="7105"/>
    <cellStyle name="输出 2 2 2 13 2 3 2 2" xfId="32657"/>
    <cellStyle name="输出 2 2 2 13 2 3 3" xfId="32656"/>
    <cellStyle name="输出 2 2 2 13 2 4" xfId="7103"/>
    <cellStyle name="输出 2 2 2 13 2 4 2" xfId="32658"/>
    <cellStyle name="输出 2 2 2 13 2 5" xfId="32653"/>
    <cellStyle name="输出 2 2 2 13 3" xfId="14374"/>
    <cellStyle name="输出 2 2 2 13 3 2" xfId="7106"/>
    <cellStyle name="输出 2 2 2 13 3 2 2" xfId="32660"/>
    <cellStyle name="输出 2 2 2 13 3 3" xfId="32659"/>
    <cellStyle name="输出 2 2 2 13 4" xfId="32661"/>
    <cellStyle name="输出 2 2 2 13 5" xfId="32652"/>
    <cellStyle name="输出 2 2 2 14" xfId="10107"/>
    <cellStyle name="输出 2 2 2 14 2" xfId="14375"/>
    <cellStyle name="输出 2 2 2 14 2 2" xfId="14376"/>
    <cellStyle name="输出 2 2 2 14 2 2 2" xfId="7107"/>
    <cellStyle name="输出 2 2 2 14 2 2 2 2" xfId="32665"/>
    <cellStyle name="输出 2 2 2 14 2 2 3" xfId="32664"/>
    <cellStyle name="输出 2 2 2 14 2 3" xfId="14377"/>
    <cellStyle name="输出 2 2 2 14 2 3 2" xfId="7108"/>
    <cellStyle name="输出 2 2 2 14 2 3 2 2" xfId="32667"/>
    <cellStyle name="输出 2 2 2 14 2 3 3" xfId="32666"/>
    <cellStyle name="输出 2 2 2 14 2 4" xfId="20853"/>
    <cellStyle name="输出 2 2 2 14 2 4 2" xfId="32668"/>
    <cellStyle name="输出 2 2 2 14 2 5" xfId="32663"/>
    <cellStyle name="输出 2 2 2 14 3" xfId="14378"/>
    <cellStyle name="输出 2 2 2 14 3 2" xfId="7109"/>
    <cellStyle name="输出 2 2 2 14 3 2 2" xfId="32670"/>
    <cellStyle name="输出 2 2 2 14 3 3" xfId="32669"/>
    <cellStyle name="输出 2 2 2 14 4" xfId="32671"/>
    <cellStyle name="输出 2 2 2 14 5" xfId="32662"/>
    <cellStyle name="输出 2 2 2 15" xfId="14379"/>
    <cellStyle name="输出 2 2 2 15 2" xfId="14380"/>
    <cellStyle name="输出 2 2 2 15 2 2" xfId="7111"/>
    <cellStyle name="输出 2 2 2 15 2 2 2" xfId="32674"/>
    <cellStyle name="输出 2 2 2 15 2 3" xfId="32673"/>
    <cellStyle name="输出 2 2 2 15 3" xfId="14381"/>
    <cellStyle name="输出 2 2 2 15 3 2" xfId="7112"/>
    <cellStyle name="输出 2 2 2 15 3 2 2" xfId="32676"/>
    <cellStyle name="输出 2 2 2 15 3 3" xfId="32675"/>
    <cellStyle name="输出 2 2 2 15 4" xfId="7110"/>
    <cellStyle name="输出 2 2 2 15 4 2" xfId="32677"/>
    <cellStyle name="输出 2 2 2 15 5" xfId="32672"/>
    <cellStyle name="输出 2 2 2 16" xfId="14382"/>
    <cellStyle name="输出 2 2 2 16 2" xfId="7113"/>
    <cellStyle name="输出 2 2 2 16 2 2" xfId="32679"/>
    <cellStyle name="输出 2 2 2 16 3" xfId="32678"/>
    <cellStyle name="输出 2 2 2 17" xfId="10098"/>
    <cellStyle name="输出 2 2 2 17 2" xfId="32680"/>
    <cellStyle name="输出 2 2 2 18" xfId="32581"/>
    <cellStyle name="输出 2 2 2 2" xfId="5456"/>
    <cellStyle name="输出 2 2 2 2 2" xfId="10109"/>
    <cellStyle name="输出 2 2 2 2 2 2" xfId="14383"/>
    <cellStyle name="输出 2 2 2 2 2 2 2" xfId="14384"/>
    <cellStyle name="输出 2 2 2 2 2 2 2 2" xfId="7115"/>
    <cellStyle name="输出 2 2 2 2 2 2 2 2 2" xfId="32685"/>
    <cellStyle name="输出 2 2 2 2 2 2 2 3" xfId="32684"/>
    <cellStyle name="输出 2 2 2 2 2 2 3" xfId="14385"/>
    <cellStyle name="输出 2 2 2 2 2 2 3 2" xfId="7116"/>
    <cellStyle name="输出 2 2 2 2 2 2 3 2 2" xfId="32687"/>
    <cellStyle name="输出 2 2 2 2 2 2 3 3" xfId="32686"/>
    <cellStyle name="输出 2 2 2 2 2 2 4" xfId="7114"/>
    <cellStyle name="输出 2 2 2 2 2 2 4 2" xfId="32688"/>
    <cellStyle name="输出 2 2 2 2 2 2 5" xfId="32683"/>
    <cellStyle name="输出 2 2 2 2 2 3" xfId="14386"/>
    <cellStyle name="输出 2 2 2 2 2 3 2" xfId="20852"/>
    <cellStyle name="输出 2 2 2 2 2 3 2 2" xfId="32690"/>
    <cellStyle name="输出 2 2 2 2 2 3 3" xfId="32689"/>
    <cellStyle name="输出 2 2 2 2 2 4" xfId="32691"/>
    <cellStyle name="输出 2 2 2 2 2 5" xfId="32682"/>
    <cellStyle name="输出 2 2 2 2 3" xfId="10110"/>
    <cellStyle name="输出 2 2 2 2 3 2" xfId="14387"/>
    <cellStyle name="输出 2 2 2 2 3 2 2" xfId="14388"/>
    <cellStyle name="输出 2 2 2 2 3 2 2 2" xfId="21212"/>
    <cellStyle name="输出 2 2 2 2 3 2 2 2 2" xfId="32695"/>
    <cellStyle name="输出 2 2 2 2 3 2 2 3" xfId="32694"/>
    <cellStyle name="输出 2 2 2 2 3 2 3" xfId="14389"/>
    <cellStyle name="输出 2 2 2 2 3 2 3 2" xfId="7117"/>
    <cellStyle name="输出 2 2 2 2 3 2 3 2 2" xfId="32697"/>
    <cellStyle name="输出 2 2 2 2 3 2 3 3" xfId="32696"/>
    <cellStyle name="输出 2 2 2 2 3 2 4" xfId="20851"/>
    <cellStyle name="输出 2 2 2 2 3 2 4 2" xfId="32698"/>
    <cellStyle name="输出 2 2 2 2 3 2 5" xfId="32693"/>
    <cellStyle name="输出 2 2 2 2 3 3" xfId="14390"/>
    <cellStyle name="输出 2 2 2 2 3 3 2" xfId="7118"/>
    <cellStyle name="输出 2 2 2 2 3 3 2 2" xfId="32700"/>
    <cellStyle name="输出 2 2 2 2 3 3 3" xfId="32699"/>
    <cellStyle name="输出 2 2 2 2 3 4" xfId="32701"/>
    <cellStyle name="输出 2 2 2 2 3 5" xfId="32692"/>
    <cellStyle name="输出 2 2 2 2 4" xfId="10111"/>
    <cellStyle name="输出 2 2 2 2 4 2" xfId="14391"/>
    <cellStyle name="输出 2 2 2 2 4 2 2" xfId="14392"/>
    <cellStyle name="输出 2 2 2 2 4 2 2 2" xfId="7120"/>
    <cellStyle name="输出 2 2 2 2 4 2 2 2 2" xfId="32705"/>
    <cellStyle name="输出 2 2 2 2 4 2 2 3" xfId="32704"/>
    <cellStyle name="输出 2 2 2 2 4 2 3" xfId="14393"/>
    <cellStyle name="输出 2 2 2 2 4 2 3 2" xfId="7121"/>
    <cellStyle name="输出 2 2 2 2 4 2 3 2 2" xfId="32707"/>
    <cellStyle name="输出 2 2 2 2 4 2 3 3" xfId="32706"/>
    <cellStyle name="输出 2 2 2 2 4 2 4" xfId="7119"/>
    <cellStyle name="输出 2 2 2 2 4 2 4 2" xfId="32708"/>
    <cellStyle name="输出 2 2 2 2 4 2 5" xfId="32703"/>
    <cellStyle name="输出 2 2 2 2 4 3" xfId="14394"/>
    <cellStyle name="输出 2 2 2 2 4 3 2" xfId="20850"/>
    <cellStyle name="输出 2 2 2 2 4 3 2 2" xfId="32710"/>
    <cellStyle name="输出 2 2 2 2 4 3 3" xfId="32709"/>
    <cellStyle name="输出 2 2 2 2 4 4" xfId="32711"/>
    <cellStyle name="输出 2 2 2 2 4 5" xfId="32702"/>
    <cellStyle name="输出 2 2 2 2 5" xfId="10112"/>
    <cellStyle name="输出 2 2 2 2 5 2" xfId="14395"/>
    <cellStyle name="输出 2 2 2 2 5 2 2" xfId="14396"/>
    <cellStyle name="输出 2 2 2 2 5 2 2 2" xfId="7123"/>
    <cellStyle name="输出 2 2 2 2 5 2 2 2 2" xfId="32715"/>
    <cellStyle name="输出 2 2 2 2 5 2 2 3" xfId="32714"/>
    <cellStyle name="输出 2 2 2 2 5 2 3" xfId="14397"/>
    <cellStyle name="输出 2 2 2 2 5 2 3 2" xfId="7124"/>
    <cellStyle name="输出 2 2 2 2 5 2 3 2 2" xfId="32717"/>
    <cellStyle name="输出 2 2 2 2 5 2 3 3" xfId="32716"/>
    <cellStyle name="输出 2 2 2 2 5 2 4" xfId="7122"/>
    <cellStyle name="输出 2 2 2 2 5 2 4 2" xfId="32718"/>
    <cellStyle name="输出 2 2 2 2 5 2 5" xfId="32713"/>
    <cellStyle name="输出 2 2 2 2 5 3" xfId="14398"/>
    <cellStyle name="输出 2 2 2 2 5 3 2" xfId="7125"/>
    <cellStyle name="输出 2 2 2 2 5 3 2 2" xfId="32720"/>
    <cellStyle name="输出 2 2 2 2 5 3 3" xfId="32719"/>
    <cellStyle name="输出 2 2 2 2 5 4" xfId="32721"/>
    <cellStyle name="输出 2 2 2 2 5 5" xfId="32712"/>
    <cellStyle name="输出 2 2 2 2 6" xfId="14399"/>
    <cellStyle name="输出 2 2 2 2 6 2" xfId="14400"/>
    <cellStyle name="输出 2 2 2 2 6 2 2" xfId="18586"/>
    <cellStyle name="输出 2 2 2 2 6 2 2 2" xfId="32724"/>
    <cellStyle name="输出 2 2 2 2 6 2 3" xfId="32723"/>
    <cellStyle name="输出 2 2 2 2 6 3" xfId="14401"/>
    <cellStyle name="输出 2 2 2 2 6 3 2" xfId="7129"/>
    <cellStyle name="输出 2 2 2 2 6 3 2 2" xfId="32726"/>
    <cellStyle name="输出 2 2 2 2 6 3 3" xfId="32725"/>
    <cellStyle name="输出 2 2 2 2 6 4" xfId="7128"/>
    <cellStyle name="输出 2 2 2 2 6 4 2" xfId="32727"/>
    <cellStyle name="输出 2 2 2 2 6 5" xfId="32722"/>
    <cellStyle name="输出 2 2 2 2 7" xfId="14402"/>
    <cellStyle name="输出 2 2 2 2 7 2" xfId="7130"/>
    <cellStyle name="输出 2 2 2 2 7 2 2" xfId="32729"/>
    <cellStyle name="输出 2 2 2 2 7 3" xfId="32728"/>
    <cellStyle name="输出 2 2 2 2 8" xfId="10108"/>
    <cellStyle name="输出 2 2 2 2 8 2" xfId="32730"/>
    <cellStyle name="输出 2 2 2 2 9" xfId="32681"/>
    <cellStyle name="输出 2 2 2 3" xfId="10113"/>
    <cellStyle name="输出 2 2 2 3 2" xfId="10114"/>
    <cellStyle name="输出 2 2 2 3 2 2" xfId="14403"/>
    <cellStyle name="输出 2 2 2 3 2 2 2" xfId="14404"/>
    <cellStyle name="输出 2 2 2 3 2 2 2 2" xfId="7134"/>
    <cellStyle name="输出 2 2 2 3 2 2 2 2 2" xfId="32735"/>
    <cellStyle name="输出 2 2 2 3 2 2 2 3" xfId="32734"/>
    <cellStyle name="输出 2 2 2 3 2 2 3" xfId="14405"/>
    <cellStyle name="输出 2 2 2 3 2 2 3 2" xfId="7135"/>
    <cellStyle name="输出 2 2 2 3 2 2 3 2 2" xfId="32737"/>
    <cellStyle name="输出 2 2 2 3 2 2 3 3" xfId="32736"/>
    <cellStyle name="输出 2 2 2 3 2 2 4" xfId="7133"/>
    <cellStyle name="输出 2 2 2 3 2 2 4 2" xfId="32738"/>
    <cellStyle name="输出 2 2 2 3 2 2 5" xfId="32733"/>
    <cellStyle name="输出 2 2 2 3 2 3" xfId="14406"/>
    <cellStyle name="输出 2 2 2 3 2 3 2" xfId="20849"/>
    <cellStyle name="输出 2 2 2 3 2 3 2 2" xfId="32740"/>
    <cellStyle name="输出 2 2 2 3 2 3 3" xfId="32739"/>
    <cellStyle name="输出 2 2 2 3 2 4" xfId="32741"/>
    <cellStyle name="输出 2 2 2 3 2 5" xfId="32732"/>
    <cellStyle name="输出 2 2 2 3 3" xfId="10115"/>
    <cellStyle name="输出 2 2 2 3 3 2" xfId="14407"/>
    <cellStyle name="输出 2 2 2 3 3 2 2" xfId="14408"/>
    <cellStyle name="输出 2 2 2 3 3 2 2 2" xfId="7137"/>
    <cellStyle name="输出 2 2 2 3 3 2 2 2 2" xfId="32745"/>
    <cellStyle name="输出 2 2 2 3 3 2 2 3" xfId="32744"/>
    <cellStyle name="输出 2 2 2 3 3 2 3" xfId="14409"/>
    <cellStyle name="输出 2 2 2 3 3 2 3 2" xfId="7138"/>
    <cellStyle name="输出 2 2 2 3 3 2 3 2 2" xfId="32747"/>
    <cellStyle name="输出 2 2 2 3 3 2 3 3" xfId="32746"/>
    <cellStyle name="输出 2 2 2 3 3 2 4" xfId="7136"/>
    <cellStyle name="输出 2 2 2 3 3 2 4 2" xfId="32748"/>
    <cellStyle name="输出 2 2 2 3 3 2 5" xfId="32743"/>
    <cellStyle name="输出 2 2 2 3 3 3" xfId="14410"/>
    <cellStyle name="输出 2 2 2 3 3 3 2" xfId="7139"/>
    <cellStyle name="输出 2 2 2 3 3 3 2 2" xfId="32750"/>
    <cellStyle name="输出 2 2 2 3 3 3 3" xfId="32749"/>
    <cellStyle name="输出 2 2 2 3 3 4" xfId="32751"/>
    <cellStyle name="输出 2 2 2 3 3 5" xfId="32742"/>
    <cellStyle name="输出 2 2 2 3 4" xfId="10116"/>
    <cellStyle name="输出 2 2 2 3 4 2" xfId="14411"/>
    <cellStyle name="输出 2 2 2 3 4 2 2" xfId="14412"/>
    <cellStyle name="输出 2 2 2 3 4 2 2 2" xfId="7141"/>
    <cellStyle name="输出 2 2 2 3 4 2 2 2 2" xfId="32755"/>
    <cellStyle name="输出 2 2 2 3 4 2 2 3" xfId="32754"/>
    <cellStyle name="输出 2 2 2 3 4 2 3" xfId="14413"/>
    <cellStyle name="输出 2 2 2 3 4 2 3 2" xfId="7142"/>
    <cellStyle name="输出 2 2 2 3 4 2 3 2 2" xfId="32757"/>
    <cellStyle name="输出 2 2 2 3 4 2 3 3" xfId="32756"/>
    <cellStyle name="输出 2 2 2 3 4 2 4" xfId="7140"/>
    <cellStyle name="输出 2 2 2 3 4 2 4 2" xfId="32758"/>
    <cellStyle name="输出 2 2 2 3 4 2 5" xfId="32753"/>
    <cellStyle name="输出 2 2 2 3 4 3" xfId="14414"/>
    <cellStyle name="输出 2 2 2 3 4 3 2" xfId="7143"/>
    <cellStyle name="输出 2 2 2 3 4 3 2 2" xfId="32760"/>
    <cellStyle name="输出 2 2 2 3 4 3 3" xfId="32759"/>
    <cellStyle name="输出 2 2 2 3 4 4" xfId="32761"/>
    <cellStyle name="输出 2 2 2 3 4 5" xfId="32752"/>
    <cellStyle name="输出 2 2 2 3 5" xfId="10117"/>
    <cellStyle name="输出 2 2 2 3 5 2" xfId="14415"/>
    <cellStyle name="输出 2 2 2 3 5 2 2" xfId="14416"/>
    <cellStyle name="输出 2 2 2 3 5 2 2 2" xfId="7145"/>
    <cellStyle name="输出 2 2 2 3 5 2 2 2 2" xfId="32765"/>
    <cellStyle name="输出 2 2 2 3 5 2 2 3" xfId="32764"/>
    <cellStyle name="输出 2 2 2 3 5 2 3" xfId="14417"/>
    <cellStyle name="输出 2 2 2 3 5 2 3 2" xfId="20848"/>
    <cellStyle name="输出 2 2 2 3 5 2 3 2 2" xfId="32767"/>
    <cellStyle name="输出 2 2 2 3 5 2 3 3" xfId="32766"/>
    <cellStyle name="输出 2 2 2 3 5 2 4" xfId="7144"/>
    <cellStyle name="输出 2 2 2 3 5 2 4 2" xfId="32768"/>
    <cellStyle name="输出 2 2 2 3 5 2 5" xfId="32763"/>
    <cellStyle name="输出 2 2 2 3 5 3" xfId="14418"/>
    <cellStyle name="输出 2 2 2 3 5 3 2" xfId="20847"/>
    <cellStyle name="输出 2 2 2 3 5 3 2 2" xfId="32770"/>
    <cellStyle name="输出 2 2 2 3 5 3 3" xfId="32769"/>
    <cellStyle name="输出 2 2 2 3 5 4" xfId="32771"/>
    <cellStyle name="输出 2 2 2 3 5 5" xfId="32762"/>
    <cellStyle name="输出 2 2 2 3 6" xfId="14419"/>
    <cellStyle name="输出 2 2 2 3 6 2" xfId="14420"/>
    <cellStyle name="输出 2 2 2 3 6 2 2" xfId="7147"/>
    <cellStyle name="输出 2 2 2 3 6 2 2 2" xfId="32774"/>
    <cellStyle name="输出 2 2 2 3 6 2 3" xfId="32773"/>
    <cellStyle name="输出 2 2 2 3 6 3" xfId="14421"/>
    <cellStyle name="输出 2 2 2 3 6 3 2" xfId="7148"/>
    <cellStyle name="输出 2 2 2 3 6 3 2 2" xfId="32776"/>
    <cellStyle name="输出 2 2 2 3 6 3 3" xfId="32775"/>
    <cellStyle name="输出 2 2 2 3 6 4" xfId="7146"/>
    <cellStyle name="输出 2 2 2 3 6 4 2" xfId="32777"/>
    <cellStyle name="输出 2 2 2 3 6 5" xfId="32772"/>
    <cellStyle name="输出 2 2 2 3 7" xfId="14422"/>
    <cellStyle name="输出 2 2 2 3 7 2" xfId="7149"/>
    <cellStyle name="输出 2 2 2 3 7 2 2" xfId="32779"/>
    <cellStyle name="输出 2 2 2 3 7 3" xfId="32778"/>
    <cellStyle name="输出 2 2 2 3 8" xfId="32780"/>
    <cellStyle name="输出 2 2 2 3 9" xfId="32731"/>
    <cellStyle name="输出 2 2 2 4" xfId="10118"/>
    <cellStyle name="输出 2 2 2 4 2" xfId="10119"/>
    <cellStyle name="输出 2 2 2 4 2 2" xfId="14423"/>
    <cellStyle name="输出 2 2 2 4 2 2 2" xfId="14424"/>
    <cellStyle name="输出 2 2 2 4 2 2 2 2" xfId="20846"/>
    <cellStyle name="输出 2 2 2 4 2 2 2 2 2" xfId="32785"/>
    <cellStyle name="输出 2 2 2 4 2 2 2 3" xfId="32784"/>
    <cellStyle name="输出 2 2 2 4 2 2 3" xfId="14425"/>
    <cellStyle name="输出 2 2 2 4 2 2 3 2" xfId="7153"/>
    <cellStyle name="输出 2 2 2 4 2 2 3 2 2" xfId="32787"/>
    <cellStyle name="输出 2 2 2 4 2 2 3 3" xfId="32786"/>
    <cellStyle name="输出 2 2 2 4 2 2 4" xfId="7150"/>
    <cellStyle name="输出 2 2 2 4 2 2 4 2" xfId="32788"/>
    <cellStyle name="输出 2 2 2 4 2 2 5" xfId="32783"/>
    <cellStyle name="输出 2 2 2 4 2 3" xfId="14426"/>
    <cellStyle name="输出 2 2 2 4 2 3 2" xfId="7154"/>
    <cellStyle name="输出 2 2 2 4 2 3 2 2" xfId="32790"/>
    <cellStyle name="输出 2 2 2 4 2 3 3" xfId="32789"/>
    <cellStyle name="输出 2 2 2 4 2 4" xfId="32791"/>
    <cellStyle name="输出 2 2 2 4 2 5" xfId="32782"/>
    <cellStyle name="输出 2 2 2 4 3" xfId="10120"/>
    <cellStyle name="输出 2 2 2 4 3 2" xfId="14427"/>
    <cellStyle name="输出 2 2 2 4 3 2 2" xfId="14428"/>
    <cellStyle name="输出 2 2 2 4 3 2 2 2" xfId="7161"/>
    <cellStyle name="输出 2 2 2 4 3 2 2 2 2" xfId="32795"/>
    <cellStyle name="输出 2 2 2 4 3 2 2 3" xfId="32794"/>
    <cellStyle name="输出 2 2 2 4 3 2 3" xfId="14429"/>
    <cellStyle name="输出 2 2 2 4 3 2 3 2" xfId="7162"/>
    <cellStyle name="输出 2 2 2 4 3 2 3 2 2" xfId="32797"/>
    <cellStyle name="输出 2 2 2 4 3 2 3 3" xfId="32796"/>
    <cellStyle name="输出 2 2 2 4 3 2 4" xfId="7155"/>
    <cellStyle name="输出 2 2 2 4 3 2 4 2" xfId="32798"/>
    <cellStyle name="输出 2 2 2 4 3 2 5" xfId="32793"/>
    <cellStyle name="输出 2 2 2 4 3 3" xfId="14430"/>
    <cellStyle name="输出 2 2 2 4 3 3 2" xfId="20845"/>
    <cellStyle name="输出 2 2 2 4 3 3 2 2" xfId="32800"/>
    <cellStyle name="输出 2 2 2 4 3 3 3" xfId="32799"/>
    <cellStyle name="输出 2 2 2 4 3 4" xfId="32801"/>
    <cellStyle name="输出 2 2 2 4 3 5" xfId="32792"/>
    <cellStyle name="输出 2 2 2 4 4" xfId="10121"/>
    <cellStyle name="输出 2 2 2 4 4 2" xfId="14431"/>
    <cellStyle name="输出 2 2 2 4 4 2 2" xfId="14432"/>
    <cellStyle name="输出 2 2 2 4 4 2 2 2" xfId="7164"/>
    <cellStyle name="输出 2 2 2 4 4 2 2 2 2" xfId="32805"/>
    <cellStyle name="输出 2 2 2 4 4 2 2 3" xfId="32804"/>
    <cellStyle name="输出 2 2 2 4 4 2 3" xfId="14433"/>
    <cellStyle name="输出 2 2 2 4 4 2 3 2" xfId="7165"/>
    <cellStyle name="输出 2 2 2 4 4 2 3 2 2" xfId="32807"/>
    <cellStyle name="输出 2 2 2 4 4 2 3 3" xfId="32806"/>
    <cellStyle name="输出 2 2 2 4 4 2 4" xfId="7163"/>
    <cellStyle name="输出 2 2 2 4 4 2 4 2" xfId="32808"/>
    <cellStyle name="输出 2 2 2 4 4 2 5" xfId="32803"/>
    <cellStyle name="输出 2 2 2 4 4 3" xfId="14434"/>
    <cellStyle name="输出 2 2 2 4 4 3 2" xfId="7166"/>
    <cellStyle name="输出 2 2 2 4 4 3 2 2" xfId="32810"/>
    <cellStyle name="输出 2 2 2 4 4 3 3" xfId="32809"/>
    <cellStyle name="输出 2 2 2 4 4 4" xfId="32811"/>
    <cellStyle name="输出 2 2 2 4 4 5" xfId="32802"/>
    <cellStyle name="输出 2 2 2 4 5" xfId="10122"/>
    <cellStyle name="输出 2 2 2 4 5 2" xfId="14435"/>
    <cellStyle name="输出 2 2 2 4 5 2 2" xfId="14436"/>
    <cellStyle name="输出 2 2 2 4 5 2 2 2" xfId="18585"/>
    <cellStyle name="输出 2 2 2 4 5 2 2 2 2" xfId="32815"/>
    <cellStyle name="输出 2 2 2 4 5 2 2 3" xfId="32814"/>
    <cellStyle name="输出 2 2 2 4 5 2 3" xfId="14437"/>
    <cellStyle name="输出 2 2 2 4 5 2 3 2" xfId="7168"/>
    <cellStyle name="输出 2 2 2 4 5 2 3 2 2" xfId="32817"/>
    <cellStyle name="输出 2 2 2 4 5 2 3 3" xfId="32816"/>
    <cellStyle name="输出 2 2 2 4 5 2 4" xfId="7167"/>
    <cellStyle name="输出 2 2 2 4 5 2 4 2" xfId="32818"/>
    <cellStyle name="输出 2 2 2 4 5 2 5" xfId="32813"/>
    <cellStyle name="输出 2 2 2 4 5 3" xfId="14438"/>
    <cellStyle name="输出 2 2 2 4 5 3 2" xfId="7169"/>
    <cellStyle name="输出 2 2 2 4 5 3 2 2" xfId="32820"/>
    <cellStyle name="输出 2 2 2 4 5 3 3" xfId="32819"/>
    <cellStyle name="输出 2 2 2 4 5 4" xfId="32821"/>
    <cellStyle name="输出 2 2 2 4 5 5" xfId="32812"/>
    <cellStyle name="输出 2 2 2 4 6" xfId="14439"/>
    <cellStyle name="输出 2 2 2 4 6 2" xfId="14440"/>
    <cellStyle name="输出 2 2 2 4 6 2 2" xfId="7171"/>
    <cellStyle name="输出 2 2 2 4 6 2 2 2" xfId="32824"/>
    <cellStyle name="输出 2 2 2 4 6 2 3" xfId="32823"/>
    <cellStyle name="输出 2 2 2 4 6 3" xfId="14441"/>
    <cellStyle name="输出 2 2 2 4 6 3 2" xfId="7172"/>
    <cellStyle name="输出 2 2 2 4 6 3 2 2" xfId="32826"/>
    <cellStyle name="输出 2 2 2 4 6 3 3" xfId="32825"/>
    <cellStyle name="输出 2 2 2 4 6 4" xfId="7170"/>
    <cellStyle name="输出 2 2 2 4 6 4 2" xfId="32827"/>
    <cellStyle name="输出 2 2 2 4 6 5" xfId="32822"/>
    <cellStyle name="输出 2 2 2 4 7" xfId="14442"/>
    <cellStyle name="输出 2 2 2 4 7 2" xfId="7173"/>
    <cellStyle name="输出 2 2 2 4 7 2 2" xfId="32829"/>
    <cellStyle name="输出 2 2 2 4 7 3" xfId="32828"/>
    <cellStyle name="输出 2 2 2 4 8" xfId="32830"/>
    <cellStyle name="输出 2 2 2 4 9" xfId="32781"/>
    <cellStyle name="输出 2 2 2 5" xfId="10123"/>
    <cellStyle name="输出 2 2 2 5 2" xfId="10124"/>
    <cellStyle name="输出 2 2 2 5 2 2" xfId="14443"/>
    <cellStyle name="输出 2 2 2 5 2 2 2" xfId="14444"/>
    <cellStyle name="输出 2 2 2 5 2 2 2 2" xfId="7175"/>
    <cellStyle name="输出 2 2 2 5 2 2 2 2 2" xfId="32835"/>
    <cellStyle name="输出 2 2 2 5 2 2 2 3" xfId="32834"/>
    <cellStyle name="输出 2 2 2 5 2 2 3" xfId="14445"/>
    <cellStyle name="输出 2 2 2 5 2 2 3 2" xfId="7176"/>
    <cellStyle name="输出 2 2 2 5 2 2 3 2 2" xfId="32837"/>
    <cellStyle name="输出 2 2 2 5 2 2 3 3" xfId="32836"/>
    <cellStyle name="输出 2 2 2 5 2 2 4" xfId="7174"/>
    <cellStyle name="输出 2 2 2 5 2 2 4 2" xfId="32838"/>
    <cellStyle name="输出 2 2 2 5 2 2 5" xfId="32833"/>
    <cellStyle name="输出 2 2 2 5 2 3" xfId="14446"/>
    <cellStyle name="输出 2 2 2 5 2 3 2" xfId="7177"/>
    <cellStyle name="输出 2 2 2 5 2 3 2 2" xfId="32840"/>
    <cellStyle name="输出 2 2 2 5 2 3 3" xfId="32839"/>
    <cellStyle name="输出 2 2 2 5 2 4" xfId="32841"/>
    <cellStyle name="输出 2 2 2 5 2 5" xfId="32832"/>
    <cellStyle name="输出 2 2 2 5 3" xfId="10125"/>
    <cellStyle name="输出 2 2 2 5 3 2" xfId="14447"/>
    <cellStyle name="输出 2 2 2 5 3 2 2" xfId="14448"/>
    <cellStyle name="输出 2 2 2 5 3 2 2 2" xfId="20843"/>
    <cellStyle name="输出 2 2 2 5 3 2 2 2 2" xfId="32845"/>
    <cellStyle name="输出 2 2 2 5 3 2 2 3" xfId="32844"/>
    <cellStyle name="输出 2 2 2 5 3 2 3" xfId="14449"/>
    <cellStyle name="输出 2 2 2 5 3 2 3 2" xfId="7178"/>
    <cellStyle name="输出 2 2 2 5 3 2 3 2 2" xfId="32847"/>
    <cellStyle name="输出 2 2 2 5 3 2 3 3" xfId="32846"/>
    <cellStyle name="输出 2 2 2 5 3 2 4" xfId="20844"/>
    <cellStyle name="输出 2 2 2 5 3 2 4 2" xfId="32848"/>
    <cellStyle name="输出 2 2 2 5 3 2 5" xfId="32843"/>
    <cellStyle name="输出 2 2 2 5 3 3" xfId="14450"/>
    <cellStyle name="输出 2 2 2 5 3 3 2" xfId="7179"/>
    <cellStyle name="输出 2 2 2 5 3 3 2 2" xfId="32850"/>
    <cellStyle name="输出 2 2 2 5 3 3 3" xfId="32849"/>
    <cellStyle name="输出 2 2 2 5 3 4" xfId="32851"/>
    <cellStyle name="输出 2 2 2 5 3 5" xfId="32842"/>
    <cellStyle name="输出 2 2 2 5 4" xfId="10126"/>
    <cellStyle name="输出 2 2 2 5 4 2" xfId="14451"/>
    <cellStyle name="输出 2 2 2 5 4 2 2" xfId="14452"/>
    <cellStyle name="输出 2 2 2 5 4 2 2 2" xfId="7181"/>
    <cellStyle name="输出 2 2 2 5 4 2 2 2 2" xfId="32855"/>
    <cellStyle name="输出 2 2 2 5 4 2 2 3" xfId="32854"/>
    <cellStyle name="输出 2 2 2 5 4 2 3" xfId="14453"/>
    <cellStyle name="输出 2 2 2 5 4 2 3 2" xfId="7182"/>
    <cellStyle name="输出 2 2 2 5 4 2 3 2 2" xfId="32857"/>
    <cellStyle name="输出 2 2 2 5 4 2 3 3" xfId="32856"/>
    <cellStyle name="输出 2 2 2 5 4 2 4" xfId="7180"/>
    <cellStyle name="输出 2 2 2 5 4 2 4 2" xfId="32858"/>
    <cellStyle name="输出 2 2 2 5 4 2 5" xfId="32853"/>
    <cellStyle name="输出 2 2 2 5 4 3" xfId="14454"/>
    <cellStyle name="输出 2 2 2 5 4 3 2" xfId="20842"/>
    <cellStyle name="输出 2 2 2 5 4 3 2 2" xfId="32860"/>
    <cellStyle name="输出 2 2 2 5 4 3 3" xfId="32859"/>
    <cellStyle name="输出 2 2 2 5 4 4" xfId="32861"/>
    <cellStyle name="输出 2 2 2 5 4 5" xfId="32852"/>
    <cellStyle name="输出 2 2 2 5 5" xfId="10127"/>
    <cellStyle name="输出 2 2 2 5 5 2" xfId="14455"/>
    <cellStyle name="输出 2 2 2 5 5 2 2" xfId="14456"/>
    <cellStyle name="输出 2 2 2 5 5 2 2 2" xfId="7184"/>
    <cellStyle name="输出 2 2 2 5 5 2 2 2 2" xfId="32865"/>
    <cellStyle name="输出 2 2 2 5 5 2 2 3" xfId="32864"/>
    <cellStyle name="输出 2 2 2 5 5 2 3" xfId="14457"/>
    <cellStyle name="输出 2 2 2 5 5 2 3 2" xfId="7185"/>
    <cellStyle name="输出 2 2 2 5 5 2 3 2 2" xfId="32867"/>
    <cellStyle name="输出 2 2 2 5 5 2 3 3" xfId="32866"/>
    <cellStyle name="输出 2 2 2 5 5 2 4" xfId="7183"/>
    <cellStyle name="输出 2 2 2 5 5 2 4 2" xfId="32868"/>
    <cellStyle name="输出 2 2 2 5 5 2 5" xfId="32863"/>
    <cellStyle name="输出 2 2 2 5 5 3" xfId="14458"/>
    <cellStyle name="输出 2 2 2 5 5 3 2" xfId="7186"/>
    <cellStyle name="输出 2 2 2 5 5 3 2 2" xfId="32870"/>
    <cellStyle name="输出 2 2 2 5 5 3 3" xfId="32869"/>
    <cellStyle name="输出 2 2 2 5 5 4" xfId="32871"/>
    <cellStyle name="输出 2 2 2 5 5 5" xfId="32862"/>
    <cellStyle name="输出 2 2 2 5 6" xfId="14459"/>
    <cellStyle name="输出 2 2 2 5 6 2" xfId="14460"/>
    <cellStyle name="输出 2 2 2 5 6 2 2" xfId="20841"/>
    <cellStyle name="输出 2 2 2 5 6 2 2 2" xfId="32874"/>
    <cellStyle name="输出 2 2 2 5 6 2 3" xfId="32873"/>
    <cellStyle name="输出 2 2 2 5 6 3" xfId="14461"/>
    <cellStyle name="输出 2 2 2 5 6 3 2" xfId="7190"/>
    <cellStyle name="输出 2 2 2 5 6 3 2 2" xfId="32876"/>
    <cellStyle name="输出 2 2 2 5 6 3 3" xfId="32875"/>
    <cellStyle name="输出 2 2 2 5 6 4" xfId="7187"/>
    <cellStyle name="输出 2 2 2 5 6 4 2" xfId="32877"/>
    <cellStyle name="输出 2 2 2 5 6 5" xfId="32872"/>
    <cellStyle name="输出 2 2 2 5 7" xfId="14462"/>
    <cellStyle name="输出 2 2 2 5 7 2" xfId="7191"/>
    <cellStyle name="输出 2 2 2 5 7 2 2" xfId="32879"/>
    <cellStyle name="输出 2 2 2 5 7 3" xfId="32878"/>
    <cellStyle name="输出 2 2 2 5 8" xfId="32880"/>
    <cellStyle name="输出 2 2 2 5 9" xfId="32831"/>
    <cellStyle name="输出 2 2 2 6" xfId="10128"/>
    <cellStyle name="输出 2 2 2 6 2" xfId="10129"/>
    <cellStyle name="输出 2 2 2 6 2 2" xfId="14463"/>
    <cellStyle name="输出 2 2 2 6 2 2 2" xfId="14464"/>
    <cellStyle name="输出 2 2 2 6 2 2 2 2" xfId="7195"/>
    <cellStyle name="输出 2 2 2 6 2 2 2 2 2" xfId="32885"/>
    <cellStyle name="输出 2 2 2 6 2 2 2 3" xfId="32884"/>
    <cellStyle name="输出 2 2 2 6 2 2 3" xfId="14465"/>
    <cellStyle name="输出 2 2 2 6 2 2 3 2" xfId="7196"/>
    <cellStyle name="输出 2 2 2 6 2 2 3 2 2" xfId="32887"/>
    <cellStyle name="输出 2 2 2 6 2 2 3 3" xfId="32886"/>
    <cellStyle name="输出 2 2 2 6 2 2 4" xfId="7192"/>
    <cellStyle name="输出 2 2 2 6 2 2 4 2" xfId="32888"/>
    <cellStyle name="输出 2 2 2 6 2 2 5" xfId="32883"/>
    <cellStyle name="输出 2 2 2 6 2 3" xfId="14466"/>
    <cellStyle name="输出 2 2 2 6 2 3 2" xfId="18584"/>
    <cellStyle name="输出 2 2 2 6 2 3 2 2" xfId="32890"/>
    <cellStyle name="输出 2 2 2 6 2 3 3" xfId="32889"/>
    <cellStyle name="输出 2 2 2 6 2 4" xfId="32891"/>
    <cellStyle name="输出 2 2 2 6 2 5" xfId="32882"/>
    <cellStyle name="输出 2 2 2 6 3" xfId="10130"/>
    <cellStyle name="输出 2 2 2 6 3 2" xfId="14467"/>
    <cellStyle name="输出 2 2 2 6 3 2 2" xfId="14468"/>
    <cellStyle name="输出 2 2 2 6 3 2 2 2" xfId="7198"/>
    <cellStyle name="输出 2 2 2 6 3 2 2 2 2" xfId="32895"/>
    <cellStyle name="输出 2 2 2 6 3 2 2 3" xfId="32894"/>
    <cellStyle name="输出 2 2 2 6 3 2 3" xfId="14469"/>
    <cellStyle name="输出 2 2 2 6 3 2 3 2" xfId="7201"/>
    <cellStyle name="输出 2 2 2 6 3 2 3 2 2" xfId="32897"/>
    <cellStyle name="输出 2 2 2 6 3 2 3 3" xfId="32896"/>
    <cellStyle name="输出 2 2 2 6 3 2 4" xfId="7197"/>
    <cellStyle name="输出 2 2 2 6 3 2 4 2" xfId="32898"/>
    <cellStyle name="输出 2 2 2 6 3 2 5" xfId="32893"/>
    <cellStyle name="输出 2 2 2 6 3 3" xfId="14470"/>
    <cellStyle name="输出 2 2 2 6 3 3 2" xfId="7202"/>
    <cellStyle name="输出 2 2 2 6 3 3 2 2" xfId="32900"/>
    <cellStyle name="输出 2 2 2 6 3 3 3" xfId="32899"/>
    <cellStyle name="输出 2 2 2 6 3 4" xfId="32901"/>
    <cellStyle name="输出 2 2 2 6 3 5" xfId="32892"/>
    <cellStyle name="输出 2 2 2 6 4" xfId="10131"/>
    <cellStyle name="输出 2 2 2 6 4 2" xfId="14471"/>
    <cellStyle name="输出 2 2 2 6 4 2 2" xfId="14472"/>
    <cellStyle name="输出 2 2 2 6 4 2 2 2" xfId="7209"/>
    <cellStyle name="输出 2 2 2 6 4 2 2 2 2" xfId="32905"/>
    <cellStyle name="输出 2 2 2 6 4 2 2 3" xfId="32904"/>
    <cellStyle name="输出 2 2 2 6 4 2 3" xfId="14473"/>
    <cellStyle name="输出 2 2 2 6 4 2 3 2" xfId="7210"/>
    <cellStyle name="输出 2 2 2 6 4 2 3 2 2" xfId="32907"/>
    <cellStyle name="输出 2 2 2 6 4 2 3 3" xfId="32906"/>
    <cellStyle name="输出 2 2 2 6 4 2 4" xfId="7203"/>
    <cellStyle name="输出 2 2 2 6 4 2 4 2" xfId="32908"/>
    <cellStyle name="输出 2 2 2 6 4 2 5" xfId="32903"/>
    <cellStyle name="输出 2 2 2 6 4 3" xfId="14474"/>
    <cellStyle name="输出 2 2 2 6 4 3 2" xfId="7213"/>
    <cellStyle name="输出 2 2 2 6 4 3 2 2" xfId="32910"/>
    <cellStyle name="输出 2 2 2 6 4 3 3" xfId="32909"/>
    <cellStyle name="输出 2 2 2 6 4 4" xfId="32911"/>
    <cellStyle name="输出 2 2 2 6 4 5" xfId="32902"/>
    <cellStyle name="输出 2 2 2 6 5" xfId="10132"/>
    <cellStyle name="输出 2 2 2 6 5 2" xfId="14475"/>
    <cellStyle name="输出 2 2 2 6 5 2 2" xfId="14476"/>
    <cellStyle name="输出 2 2 2 6 5 2 2 2" xfId="7215"/>
    <cellStyle name="输出 2 2 2 6 5 2 2 2 2" xfId="32915"/>
    <cellStyle name="输出 2 2 2 6 5 2 2 3" xfId="32914"/>
    <cellStyle name="输出 2 2 2 6 5 2 3" xfId="14477"/>
    <cellStyle name="输出 2 2 2 6 5 2 3 2" xfId="18583"/>
    <cellStyle name="输出 2 2 2 6 5 2 3 2 2" xfId="32917"/>
    <cellStyle name="输出 2 2 2 6 5 2 3 3" xfId="32916"/>
    <cellStyle name="输出 2 2 2 6 5 2 4" xfId="7214"/>
    <cellStyle name="输出 2 2 2 6 5 2 4 2" xfId="32918"/>
    <cellStyle name="输出 2 2 2 6 5 2 5" xfId="32913"/>
    <cellStyle name="输出 2 2 2 6 5 3" xfId="14478"/>
    <cellStyle name="输出 2 2 2 6 5 3 2" xfId="18582"/>
    <cellStyle name="输出 2 2 2 6 5 3 2 2" xfId="32920"/>
    <cellStyle name="输出 2 2 2 6 5 3 3" xfId="32919"/>
    <cellStyle name="输出 2 2 2 6 5 4" xfId="32921"/>
    <cellStyle name="输出 2 2 2 6 5 5" xfId="32912"/>
    <cellStyle name="输出 2 2 2 6 6" xfId="14479"/>
    <cellStyle name="输出 2 2 2 6 6 2" xfId="14480"/>
    <cellStyle name="输出 2 2 2 6 6 2 2" xfId="7217"/>
    <cellStyle name="输出 2 2 2 6 6 2 2 2" xfId="32924"/>
    <cellStyle name="输出 2 2 2 6 6 2 3" xfId="32923"/>
    <cellStyle name="输出 2 2 2 6 6 3" xfId="14481"/>
    <cellStyle name="输出 2 2 2 6 6 3 2" xfId="7218"/>
    <cellStyle name="输出 2 2 2 6 6 3 2 2" xfId="32926"/>
    <cellStyle name="输出 2 2 2 6 6 3 3" xfId="32925"/>
    <cellStyle name="输出 2 2 2 6 6 4" xfId="7216"/>
    <cellStyle name="输出 2 2 2 6 6 4 2" xfId="32927"/>
    <cellStyle name="输出 2 2 2 6 6 5" xfId="32922"/>
    <cellStyle name="输出 2 2 2 6 7" xfId="14482"/>
    <cellStyle name="输出 2 2 2 6 7 2" xfId="7219"/>
    <cellStyle name="输出 2 2 2 6 7 2 2" xfId="32929"/>
    <cellStyle name="输出 2 2 2 6 7 3" xfId="32928"/>
    <cellStyle name="输出 2 2 2 6 8" xfId="32930"/>
    <cellStyle name="输出 2 2 2 6 9" xfId="32881"/>
    <cellStyle name="输出 2 2 2 7" xfId="10133"/>
    <cellStyle name="输出 2 2 2 7 2" xfId="10134"/>
    <cellStyle name="输出 2 2 2 7 2 2" xfId="14483"/>
    <cellStyle name="输出 2 2 2 7 2 2 2" xfId="14484"/>
    <cellStyle name="输出 2 2 2 7 2 2 2 2" xfId="18581"/>
    <cellStyle name="输出 2 2 2 7 2 2 2 2 2" xfId="32935"/>
    <cellStyle name="输出 2 2 2 7 2 2 2 3" xfId="32934"/>
    <cellStyle name="输出 2 2 2 7 2 2 3" xfId="14485"/>
    <cellStyle name="输出 2 2 2 7 2 2 3 2" xfId="7221"/>
    <cellStyle name="输出 2 2 2 7 2 2 3 2 2" xfId="32937"/>
    <cellStyle name="输出 2 2 2 7 2 2 3 3" xfId="32936"/>
    <cellStyle name="输出 2 2 2 7 2 2 4" xfId="7220"/>
    <cellStyle name="输出 2 2 2 7 2 2 4 2" xfId="32938"/>
    <cellStyle name="输出 2 2 2 7 2 2 5" xfId="32933"/>
    <cellStyle name="输出 2 2 2 7 2 3" xfId="14486"/>
    <cellStyle name="输出 2 2 2 7 2 3 2" xfId="7222"/>
    <cellStyle name="输出 2 2 2 7 2 3 2 2" xfId="32940"/>
    <cellStyle name="输出 2 2 2 7 2 3 3" xfId="32939"/>
    <cellStyle name="输出 2 2 2 7 2 4" xfId="32941"/>
    <cellStyle name="输出 2 2 2 7 2 5" xfId="32932"/>
    <cellStyle name="输出 2 2 2 7 3" xfId="10135"/>
    <cellStyle name="输出 2 2 2 7 3 2" xfId="14487"/>
    <cellStyle name="输出 2 2 2 7 3 2 2" xfId="14488"/>
    <cellStyle name="输出 2 2 2 7 3 2 2 2" xfId="7224"/>
    <cellStyle name="输出 2 2 2 7 3 2 2 2 2" xfId="32945"/>
    <cellStyle name="输出 2 2 2 7 3 2 2 3" xfId="32944"/>
    <cellStyle name="输出 2 2 2 7 3 2 3" xfId="14489"/>
    <cellStyle name="输出 2 2 2 7 3 2 3 2" xfId="7225"/>
    <cellStyle name="输出 2 2 2 7 3 2 3 2 2" xfId="32947"/>
    <cellStyle name="输出 2 2 2 7 3 2 3 3" xfId="32946"/>
    <cellStyle name="输出 2 2 2 7 3 2 4" xfId="7223"/>
    <cellStyle name="输出 2 2 2 7 3 2 4 2" xfId="32948"/>
    <cellStyle name="输出 2 2 2 7 3 2 5" xfId="32943"/>
    <cellStyle name="输出 2 2 2 7 3 3" xfId="14490"/>
    <cellStyle name="输出 2 2 2 7 3 3 2" xfId="20840"/>
    <cellStyle name="输出 2 2 2 7 3 3 2 2" xfId="32950"/>
    <cellStyle name="输出 2 2 2 7 3 3 3" xfId="32949"/>
    <cellStyle name="输出 2 2 2 7 3 4" xfId="32951"/>
    <cellStyle name="输出 2 2 2 7 3 5" xfId="32942"/>
    <cellStyle name="输出 2 2 2 7 4" xfId="10136"/>
    <cellStyle name="输出 2 2 2 7 4 2" xfId="14491"/>
    <cellStyle name="输出 2 2 2 7 4 2 2" xfId="14492"/>
    <cellStyle name="输出 2 2 2 7 4 2 2 2" xfId="7227"/>
    <cellStyle name="输出 2 2 2 7 4 2 2 2 2" xfId="32955"/>
    <cellStyle name="输出 2 2 2 7 4 2 2 3" xfId="32954"/>
    <cellStyle name="输出 2 2 2 7 4 2 3" xfId="14493"/>
    <cellStyle name="输出 2 2 2 7 4 2 3 2" xfId="7228"/>
    <cellStyle name="输出 2 2 2 7 4 2 3 2 2" xfId="32957"/>
    <cellStyle name="输出 2 2 2 7 4 2 3 3" xfId="32956"/>
    <cellStyle name="输出 2 2 2 7 4 2 4" xfId="7226"/>
    <cellStyle name="输出 2 2 2 7 4 2 4 2" xfId="32958"/>
    <cellStyle name="输出 2 2 2 7 4 2 5" xfId="32953"/>
    <cellStyle name="输出 2 2 2 7 4 3" xfId="14494"/>
    <cellStyle name="输出 2 2 2 7 4 3 2" xfId="7229"/>
    <cellStyle name="输出 2 2 2 7 4 3 2 2" xfId="32960"/>
    <cellStyle name="输出 2 2 2 7 4 3 3" xfId="32959"/>
    <cellStyle name="输出 2 2 2 7 4 4" xfId="32961"/>
    <cellStyle name="输出 2 2 2 7 4 5" xfId="32952"/>
    <cellStyle name="输出 2 2 2 7 5" xfId="10137"/>
    <cellStyle name="输出 2 2 2 7 5 2" xfId="14495"/>
    <cellStyle name="输出 2 2 2 7 5 2 2" xfId="14496"/>
    <cellStyle name="输出 2 2 2 7 5 2 2 2" xfId="20839"/>
    <cellStyle name="输出 2 2 2 7 5 2 2 2 2" xfId="32965"/>
    <cellStyle name="输出 2 2 2 7 5 2 2 3" xfId="32964"/>
    <cellStyle name="输出 2 2 2 7 5 2 3" xfId="14497"/>
    <cellStyle name="输出 2 2 2 7 5 2 3 2" xfId="7231"/>
    <cellStyle name="输出 2 2 2 7 5 2 3 2 2" xfId="32967"/>
    <cellStyle name="输出 2 2 2 7 5 2 3 3" xfId="32966"/>
    <cellStyle name="输出 2 2 2 7 5 2 4" xfId="7230"/>
    <cellStyle name="输出 2 2 2 7 5 2 4 2" xfId="32968"/>
    <cellStyle name="输出 2 2 2 7 5 2 5" xfId="32963"/>
    <cellStyle name="输出 2 2 2 7 5 3" xfId="14498"/>
    <cellStyle name="输出 2 2 2 7 5 3 2" xfId="7232"/>
    <cellStyle name="输出 2 2 2 7 5 3 2 2" xfId="32970"/>
    <cellStyle name="输出 2 2 2 7 5 3 3" xfId="32969"/>
    <cellStyle name="输出 2 2 2 7 5 4" xfId="32971"/>
    <cellStyle name="输出 2 2 2 7 5 5" xfId="32962"/>
    <cellStyle name="输出 2 2 2 7 6" xfId="14499"/>
    <cellStyle name="输出 2 2 2 7 6 2" xfId="14500"/>
    <cellStyle name="输出 2 2 2 7 6 2 2" xfId="7234"/>
    <cellStyle name="输出 2 2 2 7 6 2 2 2" xfId="32974"/>
    <cellStyle name="输出 2 2 2 7 6 2 3" xfId="32973"/>
    <cellStyle name="输出 2 2 2 7 6 3" xfId="14501"/>
    <cellStyle name="输出 2 2 2 7 6 3 2" xfId="7235"/>
    <cellStyle name="输出 2 2 2 7 6 3 2 2" xfId="32976"/>
    <cellStyle name="输出 2 2 2 7 6 3 3" xfId="32975"/>
    <cellStyle name="输出 2 2 2 7 6 4" xfId="7233"/>
    <cellStyle name="输出 2 2 2 7 6 4 2" xfId="32977"/>
    <cellStyle name="输出 2 2 2 7 6 5" xfId="32972"/>
    <cellStyle name="输出 2 2 2 7 7" xfId="14502"/>
    <cellStyle name="输出 2 2 2 7 7 2" xfId="7236"/>
    <cellStyle name="输出 2 2 2 7 7 2 2" xfId="32979"/>
    <cellStyle name="输出 2 2 2 7 7 3" xfId="32978"/>
    <cellStyle name="输出 2 2 2 7 8" xfId="32980"/>
    <cellStyle name="输出 2 2 2 7 9" xfId="32931"/>
    <cellStyle name="输出 2 2 2 8" xfId="10138"/>
    <cellStyle name="输出 2 2 2 8 2" xfId="10139"/>
    <cellStyle name="输出 2 2 2 8 2 2" xfId="14503"/>
    <cellStyle name="输出 2 2 2 8 2 2 2" xfId="14504"/>
    <cellStyle name="输出 2 2 2 8 2 2 2 2" xfId="7238"/>
    <cellStyle name="输出 2 2 2 8 2 2 2 2 2" xfId="32985"/>
    <cellStyle name="输出 2 2 2 8 2 2 2 3" xfId="32984"/>
    <cellStyle name="输出 2 2 2 8 2 2 3" xfId="14505"/>
    <cellStyle name="输出 2 2 2 8 2 2 3 2" xfId="7239"/>
    <cellStyle name="输出 2 2 2 8 2 2 3 2 2" xfId="32987"/>
    <cellStyle name="输出 2 2 2 8 2 2 3 3" xfId="32986"/>
    <cellStyle name="输出 2 2 2 8 2 2 4" xfId="7237"/>
    <cellStyle name="输出 2 2 2 8 2 2 4 2" xfId="32988"/>
    <cellStyle name="输出 2 2 2 8 2 2 5" xfId="32983"/>
    <cellStyle name="输出 2 2 2 8 2 3" xfId="14506"/>
    <cellStyle name="输出 2 2 2 8 2 3 2" xfId="7240"/>
    <cellStyle name="输出 2 2 2 8 2 3 2 2" xfId="32990"/>
    <cellStyle name="输出 2 2 2 8 2 3 3" xfId="32989"/>
    <cellStyle name="输出 2 2 2 8 2 4" xfId="32991"/>
    <cellStyle name="输出 2 2 2 8 2 5" xfId="32982"/>
    <cellStyle name="输出 2 2 2 8 3" xfId="10140"/>
    <cellStyle name="输出 2 2 2 8 3 2" xfId="14507"/>
    <cellStyle name="输出 2 2 2 8 3 2 2" xfId="14508"/>
    <cellStyle name="输出 2 2 2 8 3 2 2 2" xfId="20837"/>
    <cellStyle name="输出 2 2 2 8 3 2 2 2 2" xfId="32995"/>
    <cellStyle name="输出 2 2 2 8 3 2 2 3" xfId="32994"/>
    <cellStyle name="输出 2 2 2 8 3 2 3" xfId="14509"/>
    <cellStyle name="输出 2 2 2 8 3 2 3 2" xfId="7241"/>
    <cellStyle name="输出 2 2 2 8 3 2 3 2 2" xfId="32997"/>
    <cellStyle name="输出 2 2 2 8 3 2 3 3" xfId="32996"/>
    <cellStyle name="输出 2 2 2 8 3 2 4" xfId="20838"/>
    <cellStyle name="输出 2 2 2 8 3 2 4 2" xfId="32998"/>
    <cellStyle name="输出 2 2 2 8 3 2 5" xfId="32993"/>
    <cellStyle name="输出 2 2 2 8 3 3" xfId="14510"/>
    <cellStyle name="输出 2 2 2 8 3 3 2" xfId="7242"/>
    <cellStyle name="输出 2 2 2 8 3 3 2 2" xfId="33000"/>
    <cellStyle name="输出 2 2 2 8 3 3 3" xfId="32999"/>
    <cellStyle name="输出 2 2 2 8 3 4" xfId="33001"/>
    <cellStyle name="输出 2 2 2 8 3 5" xfId="32992"/>
    <cellStyle name="输出 2 2 2 8 4" xfId="10141"/>
    <cellStyle name="输出 2 2 2 8 4 2" xfId="14511"/>
    <cellStyle name="输出 2 2 2 8 4 2 2" xfId="14512"/>
    <cellStyle name="输出 2 2 2 8 4 2 2 2" xfId="7244"/>
    <cellStyle name="输出 2 2 2 8 4 2 2 2 2" xfId="33005"/>
    <cellStyle name="输出 2 2 2 8 4 2 2 3" xfId="33004"/>
    <cellStyle name="输出 2 2 2 8 4 2 3" xfId="14513"/>
    <cellStyle name="输出 2 2 2 8 4 2 3 2" xfId="20836"/>
    <cellStyle name="输出 2 2 2 8 4 2 3 2 2" xfId="33007"/>
    <cellStyle name="输出 2 2 2 8 4 2 3 3" xfId="33006"/>
    <cellStyle name="输出 2 2 2 8 4 2 4" xfId="7243"/>
    <cellStyle name="输出 2 2 2 8 4 2 4 2" xfId="33008"/>
    <cellStyle name="输出 2 2 2 8 4 2 5" xfId="33003"/>
    <cellStyle name="输出 2 2 2 8 4 3" xfId="14514"/>
    <cellStyle name="输出 2 2 2 8 4 3 2" xfId="7246"/>
    <cellStyle name="输出 2 2 2 8 4 3 2 2" xfId="33010"/>
    <cellStyle name="输出 2 2 2 8 4 3 3" xfId="33009"/>
    <cellStyle name="输出 2 2 2 8 4 4" xfId="33011"/>
    <cellStyle name="输出 2 2 2 8 4 5" xfId="33002"/>
    <cellStyle name="输出 2 2 2 8 5" xfId="10142"/>
    <cellStyle name="输出 2 2 2 8 5 2" xfId="14515"/>
    <cellStyle name="输出 2 2 2 8 5 2 2" xfId="14516"/>
    <cellStyle name="输出 2 2 2 8 5 2 2 2" xfId="7248"/>
    <cellStyle name="输出 2 2 2 8 5 2 2 2 2" xfId="33015"/>
    <cellStyle name="输出 2 2 2 8 5 2 2 3" xfId="33014"/>
    <cellStyle name="输出 2 2 2 8 5 2 3" xfId="14517"/>
    <cellStyle name="输出 2 2 2 8 5 2 3 2" xfId="7249"/>
    <cellStyle name="输出 2 2 2 8 5 2 3 2 2" xfId="33017"/>
    <cellStyle name="输出 2 2 2 8 5 2 3 3" xfId="33016"/>
    <cellStyle name="输出 2 2 2 8 5 2 4" xfId="7247"/>
    <cellStyle name="输出 2 2 2 8 5 2 4 2" xfId="33018"/>
    <cellStyle name="输出 2 2 2 8 5 2 5" xfId="33013"/>
    <cellStyle name="输出 2 2 2 8 5 3" xfId="14518"/>
    <cellStyle name="输出 2 2 2 8 5 3 2" xfId="7250"/>
    <cellStyle name="输出 2 2 2 8 5 3 2 2" xfId="33020"/>
    <cellStyle name="输出 2 2 2 8 5 3 3" xfId="33019"/>
    <cellStyle name="输出 2 2 2 8 5 4" xfId="33021"/>
    <cellStyle name="输出 2 2 2 8 5 5" xfId="33012"/>
    <cellStyle name="输出 2 2 2 8 6" xfId="14519"/>
    <cellStyle name="输出 2 2 2 8 6 2" xfId="14520"/>
    <cellStyle name="输出 2 2 2 8 6 2 2" xfId="7251"/>
    <cellStyle name="输出 2 2 2 8 6 2 2 2" xfId="33024"/>
    <cellStyle name="输出 2 2 2 8 6 2 3" xfId="33023"/>
    <cellStyle name="输出 2 2 2 8 6 3" xfId="14521"/>
    <cellStyle name="输出 2 2 2 8 6 3 2" xfId="7252"/>
    <cellStyle name="输出 2 2 2 8 6 3 2 2" xfId="33026"/>
    <cellStyle name="输出 2 2 2 8 6 3 3" xfId="33025"/>
    <cellStyle name="输出 2 2 2 8 6 4" xfId="20835"/>
    <cellStyle name="输出 2 2 2 8 6 4 2" xfId="33027"/>
    <cellStyle name="输出 2 2 2 8 6 5" xfId="33022"/>
    <cellStyle name="输出 2 2 2 8 7" xfId="14522"/>
    <cellStyle name="输出 2 2 2 8 7 2" xfId="7253"/>
    <cellStyle name="输出 2 2 2 8 7 2 2" xfId="33029"/>
    <cellStyle name="输出 2 2 2 8 7 3" xfId="33028"/>
    <cellStyle name="输出 2 2 2 8 8" xfId="33030"/>
    <cellStyle name="输出 2 2 2 8 9" xfId="32981"/>
    <cellStyle name="输出 2 2 2 9" xfId="10143"/>
    <cellStyle name="输出 2 2 2 9 2" xfId="10144"/>
    <cellStyle name="输出 2 2 2 9 2 2" xfId="14523"/>
    <cellStyle name="输出 2 2 2 9 2 2 2" xfId="14524"/>
    <cellStyle name="输出 2 2 2 9 2 2 2 2" xfId="7261"/>
    <cellStyle name="输出 2 2 2 9 2 2 2 2 2" xfId="33035"/>
    <cellStyle name="输出 2 2 2 9 2 2 2 3" xfId="33034"/>
    <cellStyle name="输出 2 2 2 9 2 2 3" xfId="14525"/>
    <cellStyle name="输出 2 2 2 9 2 2 3 2" xfId="20834"/>
    <cellStyle name="输出 2 2 2 9 2 2 3 2 2" xfId="33037"/>
    <cellStyle name="输出 2 2 2 9 2 2 3 3" xfId="33036"/>
    <cellStyle name="输出 2 2 2 9 2 2 4" xfId="7254"/>
    <cellStyle name="输出 2 2 2 9 2 2 4 2" xfId="33038"/>
    <cellStyle name="输出 2 2 2 9 2 2 5" xfId="33033"/>
    <cellStyle name="输出 2 2 2 9 2 3" xfId="14526"/>
    <cellStyle name="输出 2 2 2 9 2 3 2" xfId="7262"/>
    <cellStyle name="输出 2 2 2 9 2 3 2 2" xfId="33040"/>
    <cellStyle name="输出 2 2 2 9 2 3 3" xfId="33039"/>
    <cellStyle name="输出 2 2 2 9 2 4" xfId="33041"/>
    <cellStyle name="输出 2 2 2 9 2 5" xfId="33032"/>
    <cellStyle name="输出 2 2 2 9 3" xfId="10145"/>
    <cellStyle name="输出 2 2 2 9 3 2" xfId="14527"/>
    <cellStyle name="输出 2 2 2 9 3 2 2" xfId="14528"/>
    <cellStyle name="输出 2 2 2 9 3 2 2 2" xfId="7264"/>
    <cellStyle name="输出 2 2 2 9 3 2 2 2 2" xfId="33045"/>
    <cellStyle name="输出 2 2 2 9 3 2 2 3" xfId="33044"/>
    <cellStyle name="输出 2 2 2 9 3 2 3" xfId="14529"/>
    <cellStyle name="输出 2 2 2 9 3 2 3 2" xfId="7265"/>
    <cellStyle name="输出 2 2 2 9 3 2 3 2 2" xfId="33047"/>
    <cellStyle name="输出 2 2 2 9 3 2 3 3" xfId="33046"/>
    <cellStyle name="输出 2 2 2 9 3 2 4" xfId="7263"/>
    <cellStyle name="输出 2 2 2 9 3 2 4 2" xfId="33048"/>
    <cellStyle name="输出 2 2 2 9 3 2 5" xfId="33043"/>
    <cellStyle name="输出 2 2 2 9 3 3" xfId="14530"/>
    <cellStyle name="输出 2 2 2 9 3 3 2" xfId="7266"/>
    <cellStyle name="输出 2 2 2 9 3 3 2 2" xfId="33050"/>
    <cellStyle name="输出 2 2 2 9 3 3 3" xfId="33049"/>
    <cellStyle name="输出 2 2 2 9 3 4" xfId="33051"/>
    <cellStyle name="输出 2 2 2 9 3 5" xfId="33042"/>
    <cellStyle name="输出 2 2 2 9 4" xfId="10146"/>
    <cellStyle name="输出 2 2 2 9 4 2" xfId="14531"/>
    <cellStyle name="输出 2 2 2 9 4 2 2" xfId="14532"/>
    <cellStyle name="输出 2 2 2 9 4 2 2 2" xfId="7268"/>
    <cellStyle name="输出 2 2 2 9 4 2 2 2 2" xfId="33055"/>
    <cellStyle name="输出 2 2 2 9 4 2 2 3" xfId="33054"/>
    <cellStyle name="输出 2 2 2 9 4 2 3" xfId="14533"/>
    <cellStyle name="输出 2 2 2 9 4 2 3 2" xfId="7269"/>
    <cellStyle name="输出 2 2 2 9 4 2 3 2 2" xfId="33057"/>
    <cellStyle name="输出 2 2 2 9 4 2 3 3" xfId="33056"/>
    <cellStyle name="输出 2 2 2 9 4 2 4" xfId="7267"/>
    <cellStyle name="输出 2 2 2 9 4 2 4 2" xfId="33058"/>
    <cellStyle name="输出 2 2 2 9 4 2 5" xfId="33053"/>
    <cellStyle name="输出 2 2 2 9 4 3" xfId="14534"/>
    <cellStyle name="输出 2 2 2 9 4 3 2" xfId="7270"/>
    <cellStyle name="输出 2 2 2 9 4 3 2 2" xfId="33060"/>
    <cellStyle name="输出 2 2 2 9 4 3 3" xfId="33059"/>
    <cellStyle name="输出 2 2 2 9 4 4" xfId="33061"/>
    <cellStyle name="输出 2 2 2 9 4 5" xfId="33052"/>
    <cellStyle name="输出 2 2 2 9 5" xfId="10147"/>
    <cellStyle name="输出 2 2 2 9 5 2" xfId="14535"/>
    <cellStyle name="输出 2 2 2 9 5 2 2" xfId="14536"/>
    <cellStyle name="输出 2 2 2 9 5 2 2 2" xfId="20833"/>
    <cellStyle name="输出 2 2 2 9 5 2 2 2 2" xfId="33065"/>
    <cellStyle name="输出 2 2 2 9 5 2 2 3" xfId="33064"/>
    <cellStyle name="输出 2 2 2 9 5 2 3" xfId="14537"/>
    <cellStyle name="输出 2 2 2 9 5 2 3 2" xfId="20832"/>
    <cellStyle name="输出 2 2 2 9 5 2 3 2 2" xfId="33067"/>
    <cellStyle name="输出 2 2 2 9 5 2 3 3" xfId="33066"/>
    <cellStyle name="输出 2 2 2 9 5 2 4" xfId="7271"/>
    <cellStyle name="输出 2 2 2 9 5 2 4 2" xfId="33068"/>
    <cellStyle name="输出 2 2 2 9 5 2 5" xfId="33063"/>
    <cellStyle name="输出 2 2 2 9 5 3" xfId="14538"/>
    <cellStyle name="输出 2 2 2 9 5 3 2" xfId="7272"/>
    <cellStyle name="输出 2 2 2 9 5 3 2 2" xfId="33070"/>
    <cellStyle name="输出 2 2 2 9 5 3 3" xfId="33069"/>
    <cellStyle name="输出 2 2 2 9 5 4" xfId="33071"/>
    <cellStyle name="输出 2 2 2 9 5 5" xfId="33062"/>
    <cellStyle name="输出 2 2 2 9 6" xfId="14539"/>
    <cellStyle name="输出 2 2 2 9 6 2" xfId="14540"/>
    <cellStyle name="输出 2 2 2 9 6 2 2" xfId="7274"/>
    <cellStyle name="输出 2 2 2 9 6 2 2 2" xfId="33074"/>
    <cellStyle name="输出 2 2 2 9 6 2 3" xfId="33073"/>
    <cellStyle name="输出 2 2 2 9 6 3" xfId="14541"/>
    <cellStyle name="输出 2 2 2 9 6 3 2" xfId="7275"/>
    <cellStyle name="输出 2 2 2 9 6 3 2 2" xfId="33076"/>
    <cellStyle name="输出 2 2 2 9 6 3 3" xfId="33075"/>
    <cellStyle name="输出 2 2 2 9 6 4" xfId="7273"/>
    <cellStyle name="输出 2 2 2 9 6 4 2" xfId="33077"/>
    <cellStyle name="输出 2 2 2 9 6 5" xfId="33072"/>
    <cellStyle name="输出 2 2 2 9 7" xfId="14542"/>
    <cellStyle name="输出 2 2 2 9 7 2" xfId="7276"/>
    <cellStyle name="输出 2 2 2 9 7 2 2" xfId="33079"/>
    <cellStyle name="输出 2 2 2 9 7 3" xfId="33078"/>
    <cellStyle name="输出 2 2 2 9 8" xfId="33080"/>
    <cellStyle name="输出 2 2 2 9 9" xfId="33031"/>
    <cellStyle name="输出 2 2 20" xfId="33081"/>
    <cellStyle name="输出 2 2 21" xfId="32422"/>
    <cellStyle name="输出 2 2 3" xfId="5457"/>
    <cellStyle name="输出 2 2 3 2" xfId="10149"/>
    <cellStyle name="输出 2 2 3 2 2" xfId="14543"/>
    <cellStyle name="输出 2 2 3 2 2 2" xfId="14544"/>
    <cellStyle name="输出 2 2 3 2 2 2 2" xfId="7277"/>
    <cellStyle name="输出 2 2 3 2 2 2 2 2" xfId="33086"/>
    <cellStyle name="输出 2 2 3 2 2 2 3" xfId="33085"/>
    <cellStyle name="输出 2 2 3 2 2 3" xfId="14545"/>
    <cellStyle name="输出 2 2 3 2 2 3 2" xfId="7278"/>
    <cellStyle name="输出 2 2 3 2 2 3 2 2" xfId="33088"/>
    <cellStyle name="输出 2 2 3 2 2 3 3" xfId="33087"/>
    <cellStyle name="输出 2 2 3 2 2 4" xfId="20831"/>
    <cellStyle name="输出 2 2 3 2 2 4 2" xfId="33089"/>
    <cellStyle name="输出 2 2 3 2 2 5" xfId="33084"/>
    <cellStyle name="输出 2 2 3 2 3" xfId="14546"/>
    <cellStyle name="输出 2 2 3 2 3 2" xfId="7279"/>
    <cellStyle name="输出 2 2 3 2 3 2 2" xfId="33091"/>
    <cellStyle name="输出 2 2 3 2 3 3" xfId="33090"/>
    <cellStyle name="输出 2 2 3 2 4" xfId="33092"/>
    <cellStyle name="输出 2 2 3 2 5" xfId="33083"/>
    <cellStyle name="输出 2 2 3 3" xfId="10150"/>
    <cellStyle name="输出 2 2 3 3 2" xfId="14547"/>
    <cellStyle name="输出 2 2 3 3 2 2" xfId="14548"/>
    <cellStyle name="输出 2 2 3 3 2 2 2" xfId="7281"/>
    <cellStyle name="输出 2 2 3 3 2 2 2 2" xfId="33096"/>
    <cellStyle name="输出 2 2 3 3 2 2 3" xfId="33095"/>
    <cellStyle name="输出 2 2 3 3 2 3" xfId="14549"/>
    <cellStyle name="输出 2 2 3 3 2 3 2" xfId="18580"/>
    <cellStyle name="输出 2 2 3 3 2 3 2 2" xfId="33098"/>
    <cellStyle name="输出 2 2 3 3 2 3 3" xfId="33097"/>
    <cellStyle name="输出 2 2 3 3 2 4" xfId="7280"/>
    <cellStyle name="输出 2 2 3 3 2 4 2" xfId="33099"/>
    <cellStyle name="输出 2 2 3 3 2 5" xfId="33094"/>
    <cellStyle name="输出 2 2 3 3 3" xfId="14550"/>
    <cellStyle name="输出 2 2 3 3 3 2" xfId="7282"/>
    <cellStyle name="输出 2 2 3 3 3 2 2" xfId="33101"/>
    <cellStyle name="输出 2 2 3 3 3 3" xfId="33100"/>
    <cellStyle name="输出 2 2 3 3 4" xfId="33102"/>
    <cellStyle name="输出 2 2 3 3 5" xfId="33093"/>
    <cellStyle name="输出 2 2 3 4" xfId="10151"/>
    <cellStyle name="输出 2 2 3 4 2" xfId="14551"/>
    <cellStyle name="输出 2 2 3 4 2 2" xfId="14552"/>
    <cellStyle name="输出 2 2 3 4 2 2 2" xfId="7284"/>
    <cellStyle name="输出 2 2 3 4 2 2 2 2" xfId="33106"/>
    <cellStyle name="输出 2 2 3 4 2 2 3" xfId="33105"/>
    <cellStyle name="输出 2 2 3 4 2 3" xfId="14553"/>
    <cellStyle name="输出 2 2 3 4 2 3 2" xfId="7285"/>
    <cellStyle name="输出 2 2 3 4 2 3 2 2" xfId="33108"/>
    <cellStyle name="输出 2 2 3 4 2 3 3" xfId="33107"/>
    <cellStyle name="输出 2 2 3 4 2 4" xfId="7283"/>
    <cellStyle name="输出 2 2 3 4 2 4 2" xfId="33109"/>
    <cellStyle name="输出 2 2 3 4 2 5" xfId="33104"/>
    <cellStyle name="输出 2 2 3 4 3" xfId="14554"/>
    <cellStyle name="输出 2 2 3 4 3 2" xfId="7286"/>
    <cellStyle name="输出 2 2 3 4 3 2 2" xfId="33111"/>
    <cellStyle name="输出 2 2 3 4 3 3" xfId="33110"/>
    <cellStyle name="输出 2 2 3 4 4" xfId="33112"/>
    <cellStyle name="输出 2 2 3 4 5" xfId="33103"/>
    <cellStyle name="输出 2 2 3 5" xfId="10152"/>
    <cellStyle name="输出 2 2 3 5 2" xfId="14555"/>
    <cellStyle name="输出 2 2 3 5 2 2" xfId="14556"/>
    <cellStyle name="输出 2 2 3 5 2 2 2" xfId="7287"/>
    <cellStyle name="输出 2 2 3 5 2 2 2 2" xfId="33116"/>
    <cellStyle name="输出 2 2 3 5 2 2 3" xfId="33115"/>
    <cellStyle name="输出 2 2 3 5 2 3" xfId="14557"/>
    <cellStyle name="输出 2 2 3 5 2 3 2" xfId="7288"/>
    <cellStyle name="输出 2 2 3 5 2 3 2 2" xfId="33118"/>
    <cellStyle name="输出 2 2 3 5 2 3 3" xfId="33117"/>
    <cellStyle name="输出 2 2 3 5 2 4" xfId="20830"/>
    <cellStyle name="输出 2 2 3 5 2 4 2" xfId="33119"/>
    <cellStyle name="输出 2 2 3 5 2 5" xfId="33114"/>
    <cellStyle name="输出 2 2 3 5 3" xfId="14558"/>
    <cellStyle name="输出 2 2 3 5 3 2" xfId="7289"/>
    <cellStyle name="输出 2 2 3 5 3 2 2" xfId="33121"/>
    <cellStyle name="输出 2 2 3 5 3 3" xfId="33120"/>
    <cellStyle name="输出 2 2 3 5 4" xfId="33122"/>
    <cellStyle name="输出 2 2 3 5 5" xfId="33113"/>
    <cellStyle name="输出 2 2 3 6" xfId="14559"/>
    <cellStyle name="输出 2 2 3 6 2" xfId="14560"/>
    <cellStyle name="输出 2 2 3 6 2 2" xfId="18285"/>
    <cellStyle name="输出 2 2 3 6 2 2 2" xfId="33125"/>
    <cellStyle name="输出 2 2 3 6 2 3" xfId="33124"/>
    <cellStyle name="输出 2 2 3 6 3" xfId="14561"/>
    <cellStyle name="输出 2 2 3 6 3 2" xfId="19610"/>
    <cellStyle name="输出 2 2 3 6 3 2 2" xfId="33127"/>
    <cellStyle name="输出 2 2 3 6 3 3" xfId="33126"/>
    <cellStyle name="输出 2 2 3 6 4" xfId="18286"/>
    <cellStyle name="输出 2 2 3 6 4 2" xfId="33128"/>
    <cellStyle name="输出 2 2 3 6 5" xfId="33123"/>
    <cellStyle name="输出 2 2 3 7" xfId="14562"/>
    <cellStyle name="输出 2 2 3 7 2" xfId="19609"/>
    <cellStyle name="输出 2 2 3 7 2 2" xfId="33130"/>
    <cellStyle name="输出 2 2 3 7 3" xfId="33129"/>
    <cellStyle name="输出 2 2 3 8" xfId="10148"/>
    <cellStyle name="输出 2 2 3 8 2" xfId="33131"/>
    <cellStyle name="输出 2 2 3 9" xfId="33082"/>
    <cellStyle name="输出 2 2 4" xfId="5458"/>
    <cellStyle name="输出 2 2 4 2" xfId="10154"/>
    <cellStyle name="输出 2 2 4 2 2" xfId="14563"/>
    <cellStyle name="输出 2 2 4 2 2 2" xfId="14564"/>
    <cellStyle name="输出 2 2 4 2 2 2 2" xfId="7291"/>
    <cellStyle name="输出 2 2 4 2 2 2 2 2" xfId="33136"/>
    <cellStyle name="输出 2 2 4 2 2 2 3" xfId="33135"/>
    <cellStyle name="输出 2 2 4 2 2 3" xfId="14565"/>
    <cellStyle name="输出 2 2 4 2 2 3 2" xfId="7292"/>
    <cellStyle name="输出 2 2 4 2 2 3 2 2" xfId="33138"/>
    <cellStyle name="输出 2 2 4 2 2 3 3" xfId="33137"/>
    <cellStyle name="输出 2 2 4 2 2 4" xfId="7290"/>
    <cellStyle name="输出 2 2 4 2 2 4 2" xfId="33139"/>
    <cellStyle name="输出 2 2 4 2 2 5" xfId="33134"/>
    <cellStyle name="输出 2 2 4 2 3" xfId="14566"/>
    <cellStyle name="输出 2 2 4 2 3 2" xfId="19608"/>
    <cellStyle name="输出 2 2 4 2 3 2 2" xfId="33141"/>
    <cellStyle name="输出 2 2 4 2 3 3" xfId="33140"/>
    <cellStyle name="输出 2 2 4 2 4" xfId="33142"/>
    <cellStyle name="输出 2 2 4 2 5" xfId="33133"/>
    <cellStyle name="输出 2 2 4 3" xfId="10155"/>
    <cellStyle name="输出 2 2 4 3 2" xfId="14567"/>
    <cellStyle name="输出 2 2 4 3 2 2" xfId="14568"/>
    <cellStyle name="输出 2 2 4 3 2 2 2" xfId="19607"/>
    <cellStyle name="输出 2 2 4 3 2 2 2 2" xfId="33146"/>
    <cellStyle name="输出 2 2 4 3 2 2 3" xfId="33145"/>
    <cellStyle name="输出 2 2 4 3 2 3" xfId="14569"/>
    <cellStyle name="输出 2 2 4 3 2 3 2" xfId="7293"/>
    <cellStyle name="输出 2 2 4 3 2 3 2 2" xfId="33148"/>
    <cellStyle name="输出 2 2 4 3 2 3 3" xfId="33147"/>
    <cellStyle name="输出 2 2 4 3 2 4" xfId="21211"/>
    <cellStyle name="输出 2 2 4 3 2 4 2" xfId="33149"/>
    <cellStyle name="输出 2 2 4 3 2 5" xfId="33144"/>
    <cellStyle name="输出 2 2 4 3 3" xfId="14570"/>
    <cellStyle name="输出 2 2 4 3 3 2" xfId="7294"/>
    <cellStyle name="输出 2 2 4 3 3 2 2" xfId="33151"/>
    <cellStyle name="输出 2 2 4 3 3 3" xfId="33150"/>
    <cellStyle name="输出 2 2 4 3 4" xfId="33152"/>
    <cellStyle name="输出 2 2 4 3 5" xfId="33143"/>
    <cellStyle name="输出 2 2 4 4" xfId="10156"/>
    <cellStyle name="输出 2 2 4 4 2" xfId="14571"/>
    <cellStyle name="输出 2 2 4 4 2 2" xfId="14572"/>
    <cellStyle name="输出 2 2 4 4 2 2 2" xfId="7296"/>
    <cellStyle name="输出 2 2 4 4 2 2 2 2" xfId="33156"/>
    <cellStyle name="输出 2 2 4 4 2 2 3" xfId="33155"/>
    <cellStyle name="输出 2 2 4 4 2 3" xfId="14573"/>
    <cellStyle name="输出 2 2 4 4 2 3 2" xfId="20829"/>
    <cellStyle name="输出 2 2 4 4 2 3 2 2" xfId="33158"/>
    <cellStyle name="输出 2 2 4 4 2 3 3" xfId="33157"/>
    <cellStyle name="输出 2 2 4 4 2 4" xfId="7295"/>
    <cellStyle name="输出 2 2 4 4 2 4 2" xfId="33159"/>
    <cellStyle name="输出 2 2 4 4 2 5" xfId="33154"/>
    <cellStyle name="输出 2 2 4 4 3" xfId="14574"/>
    <cellStyle name="输出 2 2 4 4 3 2" xfId="20828"/>
    <cellStyle name="输出 2 2 4 4 3 2 2" xfId="33161"/>
    <cellStyle name="输出 2 2 4 4 3 3" xfId="33160"/>
    <cellStyle name="输出 2 2 4 4 4" xfId="33162"/>
    <cellStyle name="输出 2 2 4 4 5" xfId="33153"/>
    <cellStyle name="输出 2 2 4 5" xfId="10157"/>
    <cellStyle name="输出 2 2 4 5 2" xfId="14575"/>
    <cellStyle name="输出 2 2 4 5 2 2" xfId="14576"/>
    <cellStyle name="输出 2 2 4 5 2 2 2" xfId="19606"/>
    <cellStyle name="输出 2 2 4 5 2 2 2 2" xfId="33166"/>
    <cellStyle name="输出 2 2 4 5 2 2 3" xfId="33165"/>
    <cellStyle name="输出 2 2 4 5 2 3" xfId="14577"/>
    <cellStyle name="输出 2 2 4 5 2 3 2" xfId="17871"/>
    <cellStyle name="输出 2 2 4 5 2 3 2 2" xfId="33168"/>
    <cellStyle name="输出 2 2 4 5 2 3 3" xfId="33167"/>
    <cellStyle name="输出 2 2 4 5 2 4" xfId="7297"/>
    <cellStyle name="输出 2 2 4 5 2 4 2" xfId="33169"/>
    <cellStyle name="输出 2 2 4 5 2 5" xfId="33164"/>
    <cellStyle name="输出 2 2 4 5 3" xfId="14578"/>
    <cellStyle name="输出 2 2 4 5 3 2" xfId="19605"/>
    <cellStyle name="输出 2 2 4 5 3 2 2" xfId="33171"/>
    <cellStyle name="输出 2 2 4 5 3 3" xfId="33170"/>
    <cellStyle name="输出 2 2 4 5 4" xfId="33172"/>
    <cellStyle name="输出 2 2 4 5 5" xfId="33163"/>
    <cellStyle name="输出 2 2 4 6" xfId="14579"/>
    <cellStyle name="输出 2 2 4 6 2" xfId="14580"/>
    <cellStyle name="输出 2 2 4 6 2 2" xfId="19603"/>
    <cellStyle name="输出 2 2 4 6 2 2 2" xfId="33175"/>
    <cellStyle name="输出 2 2 4 6 2 3" xfId="33174"/>
    <cellStyle name="输出 2 2 4 6 3" xfId="14581"/>
    <cellStyle name="输出 2 2 4 6 3 2" xfId="7298"/>
    <cellStyle name="输出 2 2 4 6 3 2 2" xfId="33177"/>
    <cellStyle name="输出 2 2 4 6 3 3" xfId="33176"/>
    <cellStyle name="输出 2 2 4 6 4" xfId="19604"/>
    <cellStyle name="输出 2 2 4 6 4 2" xfId="33178"/>
    <cellStyle name="输出 2 2 4 6 5" xfId="33173"/>
    <cellStyle name="输出 2 2 4 7" xfId="14582"/>
    <cellStyle name="输出 2 2 4 7 2" xfId="7303"/>
    <cellStyle name="输出 2 2 4 7 2 2" xfId="33180"/>
    <cellStyle name="输出 2 2 4 7 3" xfId="33179"/>
    <cellStyle name="输出 2 2 4 8" xfId="10153"/>
    <cellStyle name="输出 2 2 4 8 2" xfId="33181"/>
    <cellStyle name="输出 2 2 4 9" xfId="33132"/>
    <cellStyle name="输出 2 2 5" xfId="10158"/>
    <cellStyle name="输出 2 2 5 2" xfId="10159"/>
    <cellStyle name="输出 2 2 5 2 2" xfId="14583"/>
    <cellStyle name="输出 2 2 5 2 2 2" xfId="14584"/>
    <cellStyle name="输出 2 2 5 2 2 2 2" xfId="7310"/>
    <cellStyle name="输出 2 2 5 2 2 2 2 2" xfId="33186"/>
    <cellStyle name="输出 2 2 5 2 2 2 3" xfId="33185"/>
    <cellStyle name="输出 2 2 5 2 2 3" xfId="14585"/>
    <cellStyle name="输出 2 2 5 2 2 3 2" xfId="20827"/>
    <cellStyle name="输出 2 2 5 2 2 3 2 2" xfId="33188"/>
    <cellStyle name="输出 2 2 5 2 2 3 3" xfId="33187"/>
    <cellStyle name="输出 2 2 5 2 2 4" xfId="7309"/>
    <cellStyle name="输出 2 2 5 2 2 4 2" xfId="33189"/>
    <cellStyle name="输出 2 2 5 2 2 5" xfId="33184"/>
    <cellStyle name="输出 2 2 5 2 3" xfId="14586"/>
    <cellStyle name="输出 2 2 5 2 3 2" xfId="21210"/>
    <cellStyle name="输出 2 2 5 2 3 2 2" xfId="33191"/>
    <cellStyle name="输出 2 2 5 2 3 3" xfId="33190"/>
    <cellStyle name="输出 2 2 5 2 4" xfId="33192"/>
    <cellStyle name="输出 2 2 5 2 5" xfId="33183"/>
    <cellStyle name="输出 2 2 5 3" xfId="10160"/>
    <cellStyle name="输出 2 2 5 3 2" xfId="14587"/>
    <cellStyle name="输出 2 2 5 3 2 2" xfId="14588"/>
    <cellStyle name="输出 2 2 5 3 2 2 2" xfId="19602"/>
    <cellStyle name="输出 2 2 5 3 2 2 2 2" xfId="33196"/>
    <cellStyle name="输出 2 2 5 3 2 2 3" xfId="33195"/>
    <cellStyle name="输出 2 2 5 3 2 3" xfId="14589"/>
    <cellStyle name="输出 2 2 5 3 2 3 2" xfId="19601"/>
    <cellStyle name="输出 2 2 5 3 2 3 2 2" xfId="33198"/>
    <cellStyle name="输出 2 2 5 3 2 3 3" xfId="33197"/>
    <cellStyle name="输出 2 2 5 3 2 4" xfId="18284"/>
    <cellStyle name="输出 2 2 5 3 2 4 2" xfId="33199"/>
    <cellStyle name="输出 2 2 5 3 2 5" xfId="33194"/>
    <cellStyle name="输出 2 2 5 3 3" xfId="14590"/>
    <cellStyle name="输出 2 2 5 3 3 2" xfId="19600"/>
    <cellStyle name="输出 2 2 5 3 3 2 2" xfId="33201"/>
    <cellStyle name="输出 2 2 5 3 3 3" xfId="33200"/>
    <cellStyle name="输出 2 2 5 3 4" xfId="33202"/>
    <cellStyle name="输出 2 2 5 3 5" xfId="33193"/>
    <cellStyle name="输出 2 2 5 4" xfId="10161"/>
    <cellStyle name="输出 2 2 5 4 2" xfId="14591"/>
    <cellStyle name="输出 2 2 5 4 2 2" xfId="14592"/>
    <cellStyle name="输出 2 2 5 4 2 2 2" xfId="7311"/>
    <cellStyle name="输出 2 2 5 4 2 2 2 2" xfId="33206"/>
    <cellStyle name="输出 2 2 5 4 2 2 3" xfId="33205"/>
    <cellStyle name="输出 2 2 5 4 2 3" xfId="14593"/>
    <cellStyle name="输出 2 2 5 4 2 3 2" xfId="18283"/>
    <cellStyle name="输出 2 2 5 4 2 3 2 2" xfId="33208"/>
    <cellStyle name="输出 2 2 5 4 2 3 3" xfId="33207"/>
    <cellStyle name="输出 2 2 5 4 2 4" xfId="19599"/>
    <cellStyle name="输出 2 2 5 4 2 4 2" xfId="33209"/>
    <cellStyle name="输出 2 2 5 4 2 5" xfId="33204"/>
    <cellStyle name="输出 2 2 5 4 3" xfId="14594"/>
    <cellStyle name="输出 2 2 5 4 3 2" xfId="19598"/>
    <cellStyle name="输出 2 2 5 4 3 2 2" xfId="33211"/>
    <cellStyle name="输出 2 2 5 4 3 3" xfId="33210"/>
    <cellStyle name="输出 2 2 5 4 4" xfId="33212"/>
    <cellStyle name="输出 2 2 5 4 5" xfId="33203"/>
    <cellStyle name="输出 2 2 5 5" xfId="10162"/>
    <cellStyle name="输出 2 2 5 5 2" xfId="14595"/>
    <cellStyle name="输出 2 2 5 5 2 2" xfId="14596"/>
    <cellStyle name="输出 2 2 5 5 2 2 2" xfId="7312"/>
    <cellStyle name="输出 2 2 5 5 2 2 2 2" xfId="33216"/>
    <cellStyle name="输出 2 2 5 5 2 2 3" xfId="33215"/>
    <cellStyle name="输出 2 2 5 5 2 3" xfId="14597"/>
    <cellStyle name="输出 2 2 5 5 2 3 2" xfId="7313"/>
    <cellStyle name="输出 2 2 5 5 2 3 2 2" xfId="33218"/>
    <cellStyle name="输出 2 2 5 5 2 3 3" xfId="33217"/>
    <cellStyle name="输出 2 2 5 5 2 4" xfId="19597"/>
    <cellStyle name="输出 2 2 5 5 2 4 2" xfId="33219"/>
    <cellStyle name="输出 2 2 5 5 2 5" xfId="33214"/>
    <cellStyle name="输出 2 2 5 5 3" xfId="14598"/>
    <cellStyle name="输出 2 2 5 5 3 2" xfId="7314"/>
    <cellStyle name="输出 2 2 5 5 3 2 2" xfId="33221"/>
    <cellStyle name="输出 2 2 5 5 3 3" xfId="33220"/>
    <cellStyle name="输出 2 2 5 5 4" xfId="33222"/>
    <cellStyle name="输出 2 2 5 5 5" xfId="33213"/>
    <cellStyle name="输出 2 2 5 6" xfId="14599"/>
    <cellStyle name="输出 2 2 5 6 2" xfId="14600"/>
    <cellStyle name="输出 2 2 5 6 2 2" xfId="20826"/>
    <cellStyle name="输出 2 2 5 6 2 2 2" xfId="33225"/>
    <cellStyle name="输出 2 2 5 6 2 3" xfId="33224"/>
    <cellStyle name="输出 2 2 5 6 3" xfId="14601"/>
    <cellStyle name="输出 2 2 5 6 3 2" xfId="7316"/>
    <cellStyle name="输出 2 2 5 6 3 2 2" xfId="33227"/>
    <cellStyle name="输出 2 2 5 6 3 3" xfId="33226"/>
    <cellStyle name="输出 2 2 5 6 4" xfId="7315"/>
    <cellStyle name="输出 2 2 5 6 4 2" xfId="33228"/>
    <cellStyle name="输出 2 2 5 6 5" xfId="33223"/>
    <cellStyle name="输出 2 2 5 7" xfId="14602"/>
    <cellStyle name="输出 2 2 5 7 2" xfId="7317"/>
    <cellStyle name="输出 2 2 5 7 2 2" xfId="33230"/>
    <cellStyle name="输出 2 2 5 7 3" xfId="33229"/>
    <cellStyle name="输出 2 2 5 8" xfId="33231"/>
    <cellStyle name="输出 2 2 5 9" xfId="33182"/>
    <cellStyle name="输出 2 2 6" xfId="10163"/>
    <cellStyle name="输出 2 2 6 2" xfId="10164"/>
    <cellStyle name="输出 2 2 6 2 2" xfId="14603"/>
    <cellStyle name="输出 2 2 6 2 2 2" xfId="14604"/>
    <cellStyle name="输出 2 2 6 2 2 2 2" xfId="7319"/>
    <cellStyle name="输出 2 2 6 2 2 2 2 2" xfId="33236"/>
    <cellStyle name="输出 2 2 6 2 2 2 3" xfId="33235"/>
    <cellStyle name="输出 2 2 6 2 2 3" xfId="14605"/>
    <cellStyle name="输出 2 2 6 2 2 3 2" xfId="7320"/>
    <cellStyle name="输出 2 2 6 2 2 3 2 2" xfId="33238"/>
    <cellStyle name="输出 2 2 6 2 2 3 3" xfId="33237"/>
    <cellStyle name="输出 2 2 6 2 2 4" xfId="7318"/>
    <cellStyle name="输出 2 2 6 2 2 4 2" xfId="33239"/>
    <cellStyle name="输出 2 2 6 2 2 5" xfId="33234"/>
    <cellStyle name="输出 2 2 6 2 3" xfId="14606"/>
    <cellStyle name="输出 2 2 6 2 3 2" xfId="18579"/>
    <cellStyle name="输出 2 2 6 2 3 2 2" xfId="33241"/>
    <cellStyle name="输出 2 2 6 2 3 3" xfId="33240"/>
    <cellStyle name="输出 2 2 6 2 4" xfId="33242"/>
    <cellStyle name="输出 2 2 6 2 5" xfId="33233"/>
    <cellStyle name="输出 2 2 6 3" xfId="10165"/>
    <cellStyle name="输出 2 2 6 3 2" xfId="14607"/>
    <cellStyle name="输出 2 2 6 3 2 2" xfId="14608"/>
    <cellStyle name="输出 2 2 6 3 2 2 2" xfId="7322"/>
    <cellStyle name="输出 2 2 6 3 2 2 2 2" xfId="33246"/>
    <cellStyle name="输出 2 2 6 3 2 2 3" xfId="33245"/>
    <cellStyle name="输出 2 2 6 3 2 3" xfId="14609"/>
    <cellStyle name="输出 2 2 6 3 2 3 2" xfId="7325"/>
    <cellStyle name="输出 2 2 6 3 2 3 2 2" xfId="33248"/>
    <cellStyle name="输出 2 2 6 3 2 3 3" xfId="33247"/>
    <cellStyle name="输出 2 2 6 3 2 4" xfId="7321"/>
    <cellStyle name="输出 2 2 6 3 2 4 2" xfId="33249"/>
    <cellStyle name="输出 2 2 6 3 2 5" xfId="33244"/>
    <cellStyle name="输出 2 2 6 3 3" xfId="14610"/>
    <cellStyle name="输出 2 2 6 3 3 2" xfId="7326"/>
    <cellStyle name="输出 2 2 6 3 3 2 2" xfId="33251"/>
    <cellStyle name="输出 2 2 6 3 3 3" xfId="33250"/>
    <cellStyle name="输出 2 2 6 3 4" xfId="33252"/>
    <cellStyle name="输出 2 2 6 3 5" xfId="33243"/>
    <cellStyle name="输出 2 2 6 4" xfId="10166"/>
    <cellStyle name="输出 2 2 6 4 2" xfId="14611"/>
    <cellStyle name="输出 2 2 6 4 2 2" xfId="14612"/>
    <cellStyle name="输出 2 2 6 4 2 2 2" xfId="7330"/>
    <cellStyle name="输出 2 2 6 4 2 2 2 2" xfId="33256"/>
    <cellStyle name="输出 2 2 6 4 2 2 3" xfId="33255"/>
    <cellStyle name="输出 2 2 6 4 2 3" xfId="14613"/>
    <cellStyle name="输出 2 2 6 4 2 3 2" xfId="7331"/>
    <cellStyle name="输出 2 2 6 4 2 3 2 2" xfId="33258"/>
    <cellStyle name="输出 2 2 6 4 2 3 3" xfId="33257"/>
    <cellStyle name="输出 2 2 6 4 2 4" xfId="7327"/>
    <cellStyle name="输出 2 2 6 4 2 4 2" xfId="33259"/>
    <cellStyle name="输出 2 2 6 4 2 5" xfId="33254"/>
    <cellStyle name="输出 2 2 6 4 3" xfId="14614"/>
    <cellStyle name="输出 2 2 6 4 3 2" xfId="7332"/>
    <cellStyle name="输出 2 2 6 4 3 2 2" xfId="33261"/>
    <cellStyle name="输出 2 2 6 4 3 3" xfId="33260"/>
    <cellStyle name="输出 2 2 6 4 4" xfId="33262"/>
    <cellStyle name="输出 2 2 6 4 5" xfId="33253"/>
    <cellStyle name="输出 2 2 6 5" xfId="10167"/>
    <cellStyle name="输出 2 2 6 5 2" xfId="14615"/>
    <cellStyle name="输出 2 2 6 5 2 2" xfId="14616"/>
    <cellStyle name="输出 2 2 6 5 2 2 2" xfId="7334"/>
    <cellStyle name="输出 2 2 6 5 2 2 2 2" xfId="33266"/>
    <cellStyle name="输出 2 2 6 5 2 2 3" xfId="33265"/>
    <cellStyle name="输出 2 2 6 5 2 3" xfId="14617"/>
    <cellStyle name="输出 2 2 6 5 2 3 2" xfId="20825"/>
    <cellStyle name="输出 2 2 6 5 2 3 2 2" xfId="33268"/>
    <cellStyle name="输出 2 2 6 5 2 3 3" xfId="33267"/>
    <cellStyle name="输出 2 2 6 5 2 4" xfId="7333"/>
    <cellStyle name="输出 2 2 6 5 2 4 2" xfId="33269"/>
    <cellStyle name="输出 2 2 6 5 2 5" xfId="33264"/>
    <cellStyle name="输出 2 2 6 5 3" xfId="14618"/>
    <cellStyle name="输出 2 2 6 5 3 2" xfId="20824"/>
    <cellStyle name="输出 2 2 6 5 3 2 2" xfId="33271"/>
    <cellStyle name="输出 2 2 6 5 3 3" xfId="33270"/>
    <cellStyle name="输出 2 2 6 5 4" xfId="33272"/>
    <cellStyle name="输出 2 2 6 5 5" xfId="33263"/>
    <cellStyle name="输出 2 2 6 6" xfId="14619"/>
    <cellStyle name="输出 2 2 6 6 2" xfId="14620"/>
    <cellStyle name="输出 2 2 6 6 2 2" xfId="7336"/>
    <cellStyle name="输出 2 2 6 6 2 2 2" xfId="33275"/>
    <cellStyle name="输出 2 2 6 6 2 3" xfId="33274"/>
    <cellStyle name="输出 2 2 6 6 3" xfId="14621"/>
    <cellStyle name="输出 2 2 6 6 3 2" xfId="7337"/>
    <cellStyle name="输出 2 2 6 6 3 2 2" xfId="33277"/>
    <cellStyle name="输出 2 2 6 6 3 3" xfId="33276"/>
    <cellStyle name="输出 2 2 6 6 4" xfId="7335"/>
    <cellStyle name="输出 2 2 6 6 4 2" xfId="33278"/>
    <cellStyle name="输出 2 2 6 6 5" xfId="33273"/>
    <cellStyle name="输出 2 2 6 7" xfId="14622"/>
    <cellStyle name="输出 2 2 6 7 2" xfId="7338"/>
    <cellStyle name="输出 2 2 6 7 2 2" xfId="33280"/>
    <cellStyle name="输出 2 2 6 7 3" xfId="33279"/>
    <cellStyle name="输出 2 2 6 8" xfId="33281"/>
    <cellStyle name="输出 2 2 6 9" xfId="33232"/>
    <cellStyle name="输出 2 2 7" xfId="10168"/>
    <cellStyle name="输出 2 2 7 2" xfId="10169"/>
    <cellStyle name="输出 2 2 7 2 2" xfId="14623"/>
    <cellStyle name="输出 2 2 7 2 2 2" xfId="14624"/>
    <cellStyle name="输出 2 2 7 2 2 2 2" xfId="20823"/>
    <cellStyle name="输出 2 2 7 2 2 2 2 2" xfId="33286"/>
    <cellStyle name="输出 2 2 7 2 2 2 3" xfId="33285"/>
    <cellStyle name="输出 2 2 7 2 2 3" xfId="14625"/>
    <cellStyle name="输出 2 2 7 2 2 3 2" xfId="7340"/>
    <cellStyle name="输出 2 2 7 2 2 3 2 2" xfId="33288"/>
    <cellStyle name="输出 2 2 7 2 2 3 3" xfId="33287"/>
    <cellStyle name="输出 2 2 7 2 2 4" xfId="7339"/>
    <cellStyle name="输出 2 2 7 2 2 4 2" xfId="33289"/>
    <cellStyle name="输出 2 2 7 2 2 5" xfId="33284"/>
    <cellStyle name="输出 2 2 7 2 3" xfId="14626"/>
    <cellStyle name="输出 2 2 7 2 3 2" xfId="7341"/>
    <cellStyle name="输出 2 2 7 2 3 2 2" xfId="33291"/>
    <cellStyle name="输出 2 2 7 2 3 3" xfId="33290"/>
    <cellStyle name="输出 2 2 7 2 4" xfId="33292"/>
    <cellStyle name="输出 2 2 7 2 5" xfId="33283"/>
    <cellStyle name="输出 2 2 7 3" xfId="10170"/>
    <cellStyle name="输出 2 2 7 3 2" xfId="14627"/>
    <cellStyle name="输出 2 2 7 3 2 2" xfId="14628"/>
    <cellStyle name="输出 2 2 7 3 2 2 2" xfId="7343"/>
    <cellStyle name="输出 2 2 7 3 2 2 2 2" xfId="33296"/>
    <cellStyle name="输出 2 2 7 3 2 2 3" xfId="33295"/>
    <cellStyle name="输出 2 2 7 3 2 3" xfId="14629"/>
    <cellStyle name="输出 2 2 7 3 2 3 2" xfId="7344"/>
    <cellStyle name="输出 2 2 7 3 2 3 2 2" xfId="33298"/>
    <cellStyle name="输出 2 2 7 3 2 3 3" xfId="33297"/>
    <cellStyle name="输出 2 2 7 3 2 4" xfId="7342"/>
    <cellStyle name="输出 2 2 7 3 2 4 2" xfId="33299"/>
    <cellStyle name="输出 2 2 7 3 2 5" xfId="33294"/>
    <cellStyle name="输出 2 2 7 3 3" xfId="14630"/>
    <cellStyle name="输出 2 2 7 3 3 2" xfId="20822"/>
    <cellStyle name="输出 2 2 7 3 3 2 2" xfId="33301"/>
    <cellStyle name="输出 2 2 7 3 3 3" xfId="33300"/>
    <cellStyle name="输出 2 2 7 3 4" xfId="33302"/>
    <cellStyle name="输出 2 2 7 3 5" xfId="33293"/>
    <cellStyle name="输出 2 2 7 4" xfId="10171"/>
    <cellStyle name="输出 2 2 7 4 2" xfId="14631"/>
    <cellStyle name="输出 2 2 7 4 2 2" xfId="14632"/>
    <cellStyle name="输出 2 2 7 4 2 2 2" xfId="7346"/>
    <cellStyle name="输出 2 2 7 4 2 2 2 2" xfId="33306"/>
    <cellStyle name="输出 2 2 7 4 2 2 3" xfId="33305"/>
    <cellStyle name="输出 2 2 7 4 2 3" xfId="14633"/>
    <cellStyle name="输出 2 2 7 4 2 3 2" xfId="7347"/>
    <cellStyle name="输出 2 2 7 4 2 3 2 2" xfId="33308"/>
    <cellStyle name="输出 2 2 7 4 2 3 3" xfId="33307"/>
    <cellStyle name="输出 2 2 7 4 2 4" xfId="7345"/>
    <cellStyle name="输出 2 2 7 4 2 4 2" xfId="33309"/>
    <cellStyle name="输出 2 2 7 4 2 5" xfId="33304"/>
    <cellStyle name="输出 2 2 7 4 3" xfId="14634"/>
    <cellStyle name="输出 2 2 7 4 3 2" xfId="7348"/>
    <cellStyle name="输出 2 2 7 4 3 2 2" xfId="33311"/>
    <cellStyle name="输出 2 2 7 4 3 3" xfId="33310"/>
    <cellStyle name="输出 2 2 7 4 4" xfId="33312"/>
    <cellStyle name="输出 2 2 7 4 5" xfId="33303"/>
    <cellStyle name="输出 2 2 7 5" xfId="10172"/>
    <cellStyle name="输出 2 2 7 5 2" xfId="14635"/>
    <cellStyle name="输出 2 2 7 5 2 2" xfId="14636"/>
    <cellStyle name="输出 2 2 7 5 2 2 2" xfId="20821"/>
    <cellStyle name="输出 2 2 7 5 2 2 2 2" xfId="33316"/>
    <cellStyle name="输出 2 2 7 5 2 2 3" xfId="33315"/>
    <cellStyle name="输出 2 2 7 5 2 3" xfId="14637"/>
    <cellStyle name="输出 2 2 7 5 2 3 2" xfId="7350"/>
    <cellStyle name="输出 2 2 7 5 2 3 2 2" xfId="33318"/>
    <cellStyle name="输出 2 2 7 5 2 3 3" xfId="33317"/>
    <cellStyle name="输出 2 2 7 5 2 4" xfId="7349"/>
    <cellStyle name="输出 2 2 7 5 2 4 2" xfId="33319"/>
    <cellStyle name="输出 2 2 7 5 2 5" xfId="33314"/>
    <cellStyle name="输出 2 2 7 5 3" xfId="14638"/>
    <cellStyle name="输出 2 2 7 5 3 2" xfId="7351"/>
    <cellStyle name="输出 2 2 7 5 3 2 2" xfId="33321"/>
    <cellStyle name="输出 2 2 7 5 3 3" xfId="33320"/>
    <cellStyle name="输出 2 2 7 5 4" xfId="33322"/>
    <cellStyle name="输出 2 2 7 5 5" xfId="33313"/>
    <cellStyle name="输出 2 2 7 6" xfId="14639"/>
    <cellStyle name="输出 2 2 7 6 2" xfId="14640"/>
    <cellStyle name="输出 2 2 7 6 2 2" xfId="19596"/>
    <cellStyle name="输出 2 2 7 6 2 2 2" xfId="33325"/>
    <cellStyle name="输出 2 2 7 6 2 3" xfId="33324"/>
    <cellStyle name="输出 2 2 7 6 3" xfId="14641"/>
    <cellStyle name="输出 2 2 7 6 3 2" xfId="19595"/>
    <cellStyle name="输出 2 2 7 6 3 2 2" xfId="33327"/>
    <cellStyle name="输出 2 2 7 6 3 3" xfId="33326"/>
    <cellStyle name="输出 2 2 7 6 4" xfId="7352"/>
    <cellStyle name="输出 2 2 7 6 4 2" xfId="33328"/>
    <cellStyle name="输出 2 2 7 6 5" xfId="33323"/>
    <cellStyle name="输出 2 2 7 7" xfId="14642"/>
    <cellStyle name="输出 2 2 7 7 2" xfId="21209"/>
    <cellStyle name="输出 2 2 7 7 2 2" xfId="33330"/>
    <cellStyle name="输出 2 2 7 7 3" xfId="33329"/>
    <cellStyle name="输出 2 2 7 8" xfId="33331"/>
    <cellStyle name="输出 2 2 7 9" xfId="33282"/>
    <cellStyle name="输出 2 2 8" xfId="10173"/>
    <cellStyle name="输出 2 2 8 2" xfId="10174"/>
    <cellStyle name="输出 2 2 8 2 2" xfId="14643"/>
    <cellStyle name="输出 2 2 8 2 2 2" xfId="14644"/>
    <cellStyle name="输出 2 2 8 2 2 2 2" xfId="21208"/>
    <cellStyle name="输出 2 2 8 2 2 2 2 2" xfId="33336"/>
    <cellStyle name="输出 2 2 8 2 2 2 3" xfId="33335"/>
    <cellStyle name="输出 2 2 8 2 2 3" xfId="14645"/>
    <cellStyle name="输出 2 2 8 2 2 3 2" xfId="18282"/>
    <cellStyle name="输出 2 2 8 2 2 3 2 2" xfId="33338"/>
    <cellStyle name="输出 2 2 8 2 2 3 3" xfId="33337"/>
    <cellStyle name="输出 2 2 8 2 2 4" xfId="7353"/>
    <cellStyle name="输出 2 2 8 2 2 4 2" xfId="33339"/>
    <cellStyle name="输出 2 2 8 2 2 5" xfId="33334"/>
    <cellStyle name="输出 2 2 8 2 3" xfId="14646"/>
    <cellStyle name="输出 2 2 8 2 3 2" xfId="19594"/>
    <cellStyle name="输出 2 2 8 2 3 2 2" xfId="33341"/>
    <cellStyle name="输出 2 2 8 2 3 3" xfId="33340"/>
    <cellStyle name="输出 2 2 8 2 4" xfId="33342"/>
    <cellStyle name="输出 2 2 8 2 5" xfId="33333"/>
    <cellStyle name="输出 2 2 8 3" xfId="10175"/>
    <cellStyle name="输出 2 2 8 3 2" xfId="14647"/>
    <cellStyle name="输出 2 2 8 3 2 2" xfId="14648"/>
    <cellStyle name="输出 2 2 8 3 2 2 2" xfId="18872"/>
    <cellStyle name="输出 2 2 8 3 2 2 2 2" xfId="33346"/>
    <cellStyle name="输出 2 2 8 3 2 2 3" xfId="33345"/>
    <cellStyle name="输出 2 2 8 3 2 3" xfId="14649"/>
    <cellStyle name="输出 2 2 8 3 2 3 2" xfId="10515"/>
    <cellStyle name="输出 2 2 8 3 2 3 2 2" xfId="33348"/>
    <cellStyle name="输出 2 2 8 3 2 3 3" xfId="33347"/>
    <cellStyle name="输出 2 2 8 3 2 4" xfId="7354"/>
    <cellStyle name="输出 2 2 8 3 2 4 2" xfId="33349"/>
    <cellStyle name="输出 2 2 8 3 2 5" xfId="33344"/>
    <cellStyle name="输出 2 2 8 3 3" xfId="14650"/>
    <cellStyle name="输出 2 2 8 3 3 2" xfId="10521"/>
    <cellStyle name="输出 2 2 8 3 3 2 2" xfId="33351"/>
    <cellStyle name="输出 2 2 8 3 3 3" xfId="33350"/>
    <cellStyle name="输出 2 2 8 3 4" xfId="33352"/>
    <cellStyle name="输出 2 2 8 3 5" xfId="33343"/>
    <cellStyle name="输出 2 2 8 4" xfId="10176"/>
    <cellStyle name="输出 2 2 8 4 2" xfId="14651"/>
    <cellStyle name="输出 2 2 8 4 2 2" xfId="14652"/>
    <cellStyle name="输出 2 2 8 4 2 2 2" xfId="7356"/>
    <cellStyle name="输出 2 2 8 4 2 2 2 2" xfId="33356"/>
    <cellStyle name="输出 2 2 8 4 2 2 3" xfId="33355"/>
    <cellStyle name="输出 2 2 8 4 2 3" xfId="14653"/>
    <cellStyle name="输出 2 2 8 4 2 3 2" xfId="19593"/>
    <cellStyle name="输出 2 2 8 4 2 3 2 2" xfId="33358"/>
    <cellStyle name="输出 2 2 8 4 2 3 3" xfId="33357"/>
    <cellStyle name="输出 2 2 8 4 2 4" xfId="7355"/>
    <cellStyle name="输出 2 2 8 4 2 4 2" xfId="33359"/>
    <cellStyle name="输出 2 2 8 4 2 5" xfId="33354"/>
    <cellStyle name="输出 2 2 8 4 3" xfId="14654"/>
    <cellStyle name="输出 2 2 8 4 3 2" xfId="19592"/>
    <cellStyle name="输出 2 2 8 4 3 2 2" xfId="33361"/>
    <cellStyle name="输出 2 2 8 4 3 3" xfId="33360"/>
    <cellStyle name="输出 2 2 8 4 4" xfId="33362"/>
    <cellStyle name="输出 2 2 8 4 5" xfId="33353"/>
    <cellStyle name="输出 2 2 8 5" xfId="10177"/>
    <cellStyle name="输出 2 2 8 5 2" xfId="14655"/>
    <cellStyle name="输出 2 2 8 5 2 2" xfId="14656"/>
    <cellStyle name="输出 2 2 8 5 2 2 2" xfId="18578"/>
    <cellStyle name="输出 2 2 8 5 2 2 2 2" xfId="33366"/>
    <cellStyle name="输出 2 2 8 5 2 2 3" xfId="33365"/>
    <cellStyle name="输出 2 2 8 5 2 3" xfId="14657"/>
    <cellStyle name="输出 2 2 8 5 2 3 2" xfId="21207"/>
    <cellStyle name="输出 2 2 8 5 2 3 2 2" xfId="33368"/>
    <cellStyle name="输出 2 2 8 5 2 3 3" xfId="33367"/>
    <cellStyle name="输出 2 2 8 5 2 4" xfId="19591"/>
    <cellStyle name="输出 2 2 8 5 2 4 2" xfId="33369"/>
    <cellStyle name="输出 2 2 8 5 2 5" xfId="33364"/>
    <cellStyle name="输出 2 2 8 5 3" xfId="14658"/>
    <cellStyle name="输出 2 2 8 5 3 2" xfId="20820"/>
    <cellStyle name="输出 2 2 8 5 3 2 2" xfId="33371"/>
    <cellStyle name="输出 2 2 8 5 3 3" xfId="33370"/>
    <cellStyle name="输出 2 2 8 5 4" xfId="33372"/>
    <cellStyle name="输出 2 2 8 5 5" xfId="33363"/>
    <cellStyle name="输出 2 2 8 6" xfId="14659"/>
    <cellStyle name="输出 2 2 8 6 2" xfId="14660"/>
    <cellStyle name="输出 2 2 8 6 2 2" xfId="7357"/>
    <cellStyle name="输出 2 2 8 6 2 2 2" xfId="33375"/>
    <cellStyle name="输出 2 2 8 6 2 3" xfId="33374"/>
    <cellStyle name="输出 2 2 8 6 3" xfId="14661"/>
    <cellStyle name="输出 2 2 8 6 3 2" xfId="18280"/>
    <cellStyle name="输出 2 2 8 6 3 2 2" xfId="33377"/>
    <cellStyle name="输出 2 2 8 6 3 3" xfId="33376"/>
    <cellStyle name="输出 2 2 8 6 4" xfId="18281"/>
    <cellStyle name="输出 2 2 8 6 4 2" xfId="33378"/>
    <cellStyle name="输出 2 2 8 6 5" xfId="33373"/>
    <cellStyle name="输出 2 2 8 7" xfId="14662"/>
    <cellStyle name="输出 2 2 8 7 2" xfId="7358"/>
    <cellStyle name="输出 2 2 8 7 2 2" xfId="33380"/>
    <cellStyle name="输出 2 2 8 7 3" xfId="33379"/>
    <cellStyle name="输出 2 2 8 8" xfId="33381"/>
    <cellStyle name="输出 2 2 8 9" xfId="33332"/>
    <cellStyle name="输出 2 2 9" xfId="10178"/>
    <cellStyle name="输出 2 2 9 2" xfId="10179"/>
    <cellStyle name="输出 2 2 9 2 2" xfId="14663"/>
    <cellStyle name="输出 2 2 9 2 2 2" xfId="14664"/>
    <cellStyle name="输出 2 2 9 2 2 2 2" xfId="7359"/>
    <cellStyle name="输出 2 2 9 2 2 2 2 2" xfId="33386"/>
    <cellStyle name="输出 2 2 9 2 2 2 3" xfId="33385"/>
    <cellStyle name="输出 2 2 9 2 2 3" xfId="14665"/>
    <cellStyle name="输出 2 2 9 2 2 3 2" xfId="19590"/>
    <cellStyle name="输出 2 2 9 2 2 3 2 2" xfId="33388"/>
    <cellStyle name="输出 2 2 9 2 2 3 3" xfId="33387"/>
    <cellStyle name="输出 2 2 9 2 2 4" xfId="18279"/>
    <cellStyle name="输出 2 2 9 2 2 4 2" xfId="33389"/>
    <cellStyle name="输出 2 2 9 2 2 5" xfId="33384"/>
    <cellStyle name="输出 2 2 9 2 3" xfId="14666"/>
    <cellStyle name="输出 2 2 9 2 3 2" xfId="7360"/>
    <cellStyle name="输出 2 2 9 2 3 2 2" xfId="33391"/>
    <cellStyle name="输出 2 2 9 2 3 3" xfId="33390"/>
    <cellStyle name="输出 2 2 9 2 4" xfId="33392"/>
    <cellStyle name="输出 2 2 9 2 5" xfId="33383"/>
    <cellStyle name="输出 2 2 9 3" xfId="10180"/>
    <cellStyle name="输出 2 2 9 3 2" xfId="14667"/>
    <cellStyle name="输出 2 2 9 3 2 2" xfId="14668"/>
    <cellStyle name="输出 2 2 9 3 2 2 2" xfId="7361"/>
    <cellStyle name="输出 2 2 9 3 2 2 2 2" xfId="33396"/>
    <cellStyle name="输出 2 2 9 3 2 2 3" xfId="33395"/>
    <cellStyle name="输出 2 2 9 3 2 3" xfId="14669"/>
    <cellStyle name="输出 2 2 9 3 2 3 2" xfId="21206"/>
    <cellStyle name="输出 2 2 9 3 2 3 2 2" xfId="33398"/>
    <cellStyle name="输出 2 2 9 3 2 3 3" xfId="33397"/>
    <cellStyle name="输出 2 2 9 3 2 4" xfId="19589"/>
    <cellStyle name="输出 2 2 9 3 2 4 2" xfId="33399"/>
    <cellStyle name="输出 2 2 9 3 2 5" xfId="33394"/>
    <cellStyle name="输出 2 2 9 3 3" xfId="14670"/>
    <cellStyle name="输出 2 2 9 3 3 2" xfId="20819"/>
    <cellStyle name="输出 2 2 9 3 3 2 2" xfId="33401"/>
    <cellStyle name="输出 2 2 9 3 3 3" xfId="33400"/>
    <cellStyle name="输出 2 2 9 3 4" xfId="33402"/>
    <cellStyle name="输出 2 2 9 3 5" xfId="33393"/>
    <cellStyle name="输出 2 2 9 4" xfId="10181"/>
    <cellStyle name="输出 2 2 9 4 2" xfId="14671"/>
    <cellStyle name="输出 2 2 9 4 2 2" xfId="14672"/>
    <cellStyle name="输出 2 2 9 4 2 2 2" xfId="7362"/>
    <cellStyle name="输出 2 2 9 4 2 2 2 2" xfId="33406"/>
    <cellStyle name="输出 2 2 9 4 2 2 3" xfId="33405"/>
    <cellStyle name="输出 2 2 9 4 2 3" xfId="14673"/>
    <cellStyle name="输出 2 2 9 4 2 3 2" xfId="19587"/>
    <cellStyle name="输出 2 2 9 4 2 3 2 2" xfId="33408"/>
    <cellStyle name="输出 2 2 9 4 2 3 3" xfId="33407"/>
    <cellStyle name="输出 2 2 9 4 2 4" xfId="19588"/>
    <cellStyle name="输出 2 2 9 4 2 4 2" xfId="33409"/>
    <cellStyle name="输出 2 2 9 4 2 5" xfId="33404"/>
    <cellStyle name="输出 2 2 9 4 3" xfId="14674"/>
    <cellStyle name="输出 2 2 9 4 3 2" xfId="7363"/>
    <cellStyle name="输出 2 2 9 4 3 2 2" xfId="33411"/>
    <cellStyle name="输出 2 2 9 4 3 3" xfId="33410"/>
    <cellStyle name="输出 2 2 9 4 4" xfId="33412"/>
    <cellStyle name="输出 2 2 9 4 5" xfId="33403"/>
    <cellStyle name="输出 2 2 9 5" xfId="10182"/>
    <cellStyle name="输出 2 2 9 5 2" xfId="14675"/>
    <cellStyle name="输出 2 2 9 5 2 2" xfId="14676"/>
    <cellStyle name="输出 2 2 9 5 2 2 2" xfId="7365"/>
    <cellStyle name="输出 2 2 9 5 2 2 2 2" xfId="33416"/>
    <cellStyle name="输出 2 2 9 5 2 2 3" xfId="33415"/>
    <cellStyle name="输出 2 2 9 5 2 3" xfId="14677"/>
    <cellStyle name="输出 2 2 9 5 2 3 2" xfId="7366"/>
    <cellStyle name="输出 2 2 9 5 2 3 2 2" xfId="33418"/>
    <cellStyle name="输出 2 2 9 5 2 3 3" xfId="33417"/>
    <cellStyle name="输出 2 2 9 5 2 4" xfId="7364"/>
    <cellStyle name="输出 2 2 9 5 2 4 2" xfId="33419"/>
    <cellStyle name="输出 2 2 9 5 2 5" xfId="33414"/>
    <cellStyle name="输出 2 2 9 5 3" xfId="14678"/>
    <cellStyle name="输出 2 2 9 5 3 2" xfId="20818"/>
    <cellStyle name="输出 2 2 9 5 3 2 2" xfId="33421"/>
    <cellStyle name="输出 2 2 9 5 3 3" xfId="33420"/>
    <cellStyle name="输出 2 2 9 5 4" xfId="33422"/>
    <cellStyle name="输出 2 2 9 5 5" xfId="33413"/>
    <cellStyle name="输出 2 2 9 6" xfId="14679"/>
    <cellStyle name="输出 2 2 9 6 2" xfId="14680"/>
    <cellStyle name="输出 2 2 9 6 2 2" xfId="7368"/>
    <cellStyle name="输出 2 2 9 6 2 2 2" xfId="33425"/>
    <cellStyle name="输出 2 2 9 6 2 3" xfId="33424"/>
    <cellStyle name="输出 2 2 9 6 3" xfId="14681"/>
    <cellStyle name="输出 2 2 9 6 3 2" xfId="7369"/>
    <cellStyle name="输出 2 2 9 6 3 2 2" xfId="33427"/>
    <cellStyle name="输出 2 2 9 6 3 3" xfId="33426"/>
    <cellStyle name="输出 2 2 9 6 4" xfId="7367"/>
    <cellStyle name="输出 2 2 9 6 4 2" xfId="33428"/>
    <cellStyle name="输出 2 2 9 6 5" xfId="33423"/>
    <cellStyle name="输出 2 2 9 7" xfId="14682"/>
    <cellStyle name="输出 2 2 9 7 2" xfId="7370"/>
    <cellStyle name="输出 2 2 9 7 2 2" xfId="33430"/>
    <cellStyle name="输出 2 2 9 7 3" xfId="33429"/>
    <cellStyle name="输出 2 2 9 8" xfId="33431"/>
    <cellStyle name="输出 2 2 9 9" xfId="33382"/>
    <cellStyle name="输出 2 20" xfId="10183"/>
    <cellStyle name="输出 2 20 2" xfId="14683"/>
    <cellStyle name="输出 2 20 2 2" xfId="14684"/>
    <cellStyle name="输出 2 20 2 2 2" xfId="20817"/>
    <cellStyle name="输出 2 20 2 2 2 2" xfId="33435"/>
    <cellStyle name="输出 2 20 2 2 3" xfId="33434"/>
    <cellStyle name="输出 2 20 2 3" xfId="14685"/>
    <cellStyle name="输出 2 20 2 3 2" xfId="7374"/>
    <cellStyle name="输出 2 20 2 3 2 2" xfId="33437"/>
    <cellStyle name="输出 2 20 2 3 3" xfId="33436"/>
    <cellStyle name="输出 2 20 2 4" xfId="7371"/>
    <cellStyle name="输出 2 20 2 4 2" xfId="33438"/>
    <cellStyle name="输出 2 20 2 5" xfId="33433"/>
    <cellStyle name="输出 2 20 3" xfId="14686"/>
    <cellStyle name="输出 2 20 3 2" xfId="7375"/>
    <cellStyle name="输出 2 20 3 2 2" xfId="33440"/>
    <cellStyle name="输出 2 20 3 3" xfId="33439"/>
    <cellStyle name="输出 2 20 4" xfId="33441"/>
    <cellStyle name="输出 2 20 5" xfId="33432"/>
    <cellStyle name="输出 2 21" xfId="10184"/>
    <cellStyle name="输出 2 21 2" xfId="14687"/>
    <cellStyle name="输出 2 21 2 2" xfId="14688"/>
    <cellStyle name="输出 2 21 2 2 2" xfId="7377"/>
    <cellStyle name="输出 2 21 2 2 2 2" xfId="33445"/>
    <cellStyle name="输出 2 21 2 2 3" xfId="33444"/>
    <cellStyle name="输出 2 21 2 3" xfId="14689"/>
    <cellStyle name="输出 2 21 2 3 2" xfId="7378"/>
    <cellStyle name="输出 2 21 2 3 2 2" xfId="33447"/>
    <cellStyle name="输出 2 21 2 3 3" xfId="33446"/>
    <cellStyle name="输出 2 21 2 4" xfId="7376"/>
    <cellStyle name="输出 2 21 2 4 2" xfId="33448"/>
    <cellStyle name="输出 2 21 2 5" xfId="33443"/>
    <cellStyle name="输出 2 21 3" xfId="14690"/>
    <cellStyle name="输出 2 21 3 2" xfId="7379"/>
    <cellStyle name="输出 2 21 3 2 2" xfId="33450"/>
    <cellStyle name="输出 2 21 3 3" xfId="33449"/>
    <cellStyle name="输出 2 21 4" xfId="33451"/>
    <cellStyle name="输出 2 21 5" xfId="33442"/>
    <cellStyle name="输出 2 22" xfId="10185"/>
    <cellStyle name="输出 2 22 2" xfId="14691"/>
    <cellStyle name="输出 2 22 2 2" xfId="14692"/>
    <cellStyle name="输出 2 22 2 2 2" xfId="7381"/>
    <cellStyle name="输出 2 22 2 2 2 2" xfId="33455"/>
    <cellStyle name="输出 2 22 2 2 3" xfId="33454"/>
    <cellStyle name="输出 2 22 2 3" xfId="14693"/>
    <cellStyle name="输出 2 22 2 3 2" xfId="7382"/>
    <cellStyle name="输出 2 22 2 3 2 2" xfId="33457"/>
    <cellStyle name="输出 2 22 2 3 3" xfId="33456"/>
    <cellStyle name="输出 2 22 2 4" xfId="7380"/>
    <cellStyle name="输出 2 22 2 4 2" xfId="33458"/>
    <cellStyle name="输出 2 22 2 5" xfId="33453"/>
    <cellStyle name="输出 2 22 3" xfId="14694"/>
    <cellStyle name="输出 2 22 3 2" xfId="19586"/>
    <cellStyle name="输出 2 22 3 2 2" xfId="33460"/>
    <cellStyle name="输出 2 22 3 3" xfId="33459"/>
    <cellStyle name="输出 2 22 4" xfId="33461"/>
    <cellStyle name="输出 2 22 5" xfId="33452"/>
    <cellStyle name="输出 2 23" xfId="10186"/>
    <cellStyle name="输出 2 23 2" xfId="14695"/>
    <cellStyle name="输出 2 23 2 2" xfId="14696"/>
    <cellStyle name="输出 2 23 2 2 2" xfId="20816"/>
    <cellStyle name="输出 2 23 2 2 2 2" xfId="33465"/>
    <cellStyle name="输出 2 23 2 2 3" xfId="33464"/>
    <cellStyle name="输出 2 23 2 3" xfId="7383"/>
    <cellStyle name="输出 2 23 2 3 2" xfId="33466"/>
    <cellStyle name="输出 2 23 2 4" xfId="33463"/>
    <cellStyle name="输出 2 23 3" xfId="14697"/>
    <cellStyle name="输出 2 23 3 2" xfId="18577"/>
    <cellStyle name="输出 2 23 3 2 2" xfId="33468"/>
    <cellStyle name="输出 2 23 3 3" xfId="33467"/>
    <cellStyle name="输出 2 23 4" xfId="33469"/>
    <cellStyle name="输出 2 23 5" xfId="33462"/>
    <cellStyle name="输出 2 24" xfId="14698"/>
    <cellStyle name="输出 2 24 2" xfId="7384"/>
    <cellStyle name="输出 2 24 2 2" xfId="33471"/>
    <cellStyle name="输出 2 24 3" xfId="33470"/>
    <cellStyle name="输出 2 25" xfId="10035"/>
    <cellStyle name="输出 2 25 2" xfId="33473"/>
    <cellStyle name="输出 2 25 3" xfId="33472"/>
    <cellStyle name="输出 2 26" xfId="33474"/>
    <cellStyle name="输出 2 27" xfId="33475"/>
    <cellStyle name="输出 2 28" xfId="768"/>
    <cellStyle name="输出 2 29" xfId="61089"/>
    <cellStyle name="输出 2 3" xfId="5459"/>
    <cellStyle name="输出 2 3 2" xfId="5460"/>
    <cellStyle name="输出 2 3 2 2" xfId="14699"/>
    <cellStyle name="输出 2 3 2 2 2" xfId="14700"/>
    <cellStyle name="输出 2 3 2 2 2 2" xfId="7386"/>
    <cellStyle name="输出 2 3 2 2 2 2 2" xfId="33480"/>
    <cellStyle name="输出 2 3 2 2 2 3" xfId="33479"/>
    <cellStyle name="输出 2 3 2 2 3" xfId="14701"/>
    <cellStyle name="输出 2 3 2 2 3 2" xfId="7387"/>
    <cellStyle name="输出 2 3 2 2 3 2 2" xfId="33482"/>
    <cellStyle name="输出 2 3 2 2 3 3" xfId="33481"/>
    <cellStyle name="输出 2 3 2 2 4" xfId="7385"/>
    <cellStyle name="输出 2 3 2 2 4 2" xfId="33483"/>
    <cellStyle name="输出 2 3 2 2 5" xfId="33478"/>
    <cellStyle name="输出 2 3 2 3" xfId="14702"/>
    <cellStyle name="输出 2 3 2 3 2" xfId="7388"/>
    <cellStyle name="输出 2 3 2 3 2 2" xfId="33485"/>
    <cellStyle name="输出 2 3 2 3 3" xfId="33484"/>
    <cellStyle name="输出 2 3 2 4" xfId="10188"/>
    <cellStyle name="输出 2 3 2 4 2" xfId="33486"/>
    <cellStyle name="输出 2 3 2 5" xfId="33477"/>
    <cellStyle name="输出 2 3 3" xfId="10189"/>
    <cellStyle name="输出 2 3 3 2" xfId="14703"/>
    <cellStyle name="输出 2 3 3 2 2" xfId="14704"/>
    <cellStyle name="输出 2 3 3 2 2 2" xfId="7389"/>
    <cellStyle name="输出 2 3 3 2 2 2 2" xfId="33490"/>
    <cellStyle name="输出 2 3 3 2 2 3" xfId="33489"/>
    <cellStyle name="输出 2 3 3 2 3" xfId="14705"/>
    <cellStyle name="输出 2 3 3 2 3 2" xfId="7390"/>
    <cellStyle name="输出 2 3 3 2 3 2 2" xfId="33492"/>
    <cellStyle name="输出 2 3 3 2 3 3" xfId="33491"/>
    <cellStyle name="输出 2 3 3 2 4" xfId="18576"/>
    <cellStyle name="输出 2 3 3 2 4 2" xfId="33493"/>
    <cellStyle name="输出 2 3 3 2 5" xfId="33488"/>
    <cellStyle name="输出 2 3 3 3" xfId="14706"/>
    <cellStyle name="输出 2 3 3 3 2" xfId="7391"/>
    <cellStyle name="输出 2 3 3 3 2 2" xfId="33495"/>
    <cellStyle name="输出 2 3 3 3 3" xfId="33494"/>
    <cellStyle name="输出 2 3 3 4" xfId="33496"/>
    <cellStyle name="输出 2 3 3 5" xfId="33487"/>
    <cellStyle name="输出 2 3 4" xfId="10190"/>
    <cellStyle name="输出 2 3 4 2" xfId="14707"/>
    <cellStyle name="输出 2 3 4 2 2" xfId="14708"/>
    <cellStyle name="输出 2 3 4 2 2 2" xfId="7392"/>
    <cellStyle name="输出 2 3 4 2 2 2 2" xfId="33500"/>
    <cellStyle name="输出 2 3 4 2 2 3" xfId="33499"/>
    <cellStyle name="输出 2 3 4 2 3" xfId="14709"/>
    <cellStyle name="输出 2 3 4 2 3 2" xfId="7393"/>
    <cellStyle name="输出 2 3 4 2 3 2 2" xfId="33502"/>
    <cellStyle name="输出 2 3 4 2 3 3" xfId="33501"/>
    <cellStyle name="输出 2 3 4 2 4" xfId="19585"/>
    <cellStyle name="输出 2 3 4 2 4 2" xfId="33503"/>
    <cellStyle name="输出 2 3 4 2 5" xfId="33498"/>
    <cellStyle name="输出 2 3 4 3" xfId="14710"/>
    <cellStyle name="输出 2 3 4 3 2" xfId="19584"/>
    <cellStyle name="输出 2 3 4 3 2 2" xfId="33505"/>
    <cellStyle name="输出 2 3 4 3 3" xfId="33504"/>
    <cellStyle name="输出 2 3 4 4" xfId="33506"/>
    <cellStyle name="输出 2 3 4 5" xfId="33497"/>
    <cellStyle name="输出 2 3 5" xfId="10191"/>
    <cellStyle name="输出 2 3 5 2" xfId="14711"/>
    <cellStyle name="输出 2 3 5 2 2" xfId="14712"/>
    <cellStyle name="输出 2 3 5 2 2 2" xfId="7394"/>
    <cellStyle name="输出 2 3 5 2 2 2 2" xfId="33510"/>
    <cellStyle name="输出 2 3 5 2 2 3" xfId="33509"/>
    <cellStyle name="输出 2 3 5 2 3" xfId="14713"/>
    <cellStyle name="输出 2 3 5 2 3 2" xfId="18686"/>
    <cellStyle name="输出 2 3 5 2 3 2 2" xfId="33512"/>
    <cellStyle name="输出 2 3 5 2 3 3" xfId="33511"/>
    <cellStyle name="输出 2 3 5 2 4" xfId="20815"/>
    <cellStyle name="输出 2 3 5 2 4 2" xfId="33513"/>
    <cellStyle name="输出 2 3 5 2 5" xfId="33508"/>
    <cellStyle name="输出 2 3 5 3" xfId="14714"/>
    <cellStyle name="输出 2 3 5 3 2" xfId="7395"/>
    <cellStyle name="输出 2 3 5 3 2 2" xfId="33515"/>
    <cellStyle name="输出 2 3 5 3 3" xfId="33514"/>
    <cellStyle name="输出 2 3 5 4" xfId="33516"/>
    <cellStyle name="输出 2 3 5 5" xfId="33507"/>
    <cellStyle name="输出 2 3 6" xfId="14715"/>
    <cellStyle name="输出 2 3 6 2" xfId="14716"/>
    <cellStyle name="输出 2 3 6 2 2" xfId="7397"/>
    <cellStyle name="输出 2 3 6 2 2 2" xfId="33519"/>
    <cellStyle name="输出 2 3 6 2 3" xfId="33518"/>
    <cellStyle name="输出 2 3 6 3" xfId="14717"/>
    <cellStyle name="输出 2 3 6 3 2" xfId="7398"/>
    <cellStyle name="输出 2 3 6 3 2 2" xfId="33521"/>
    <cellStyle name="输出 2 3 6 3 3" xfId="33520"/>
    <cellStyle name="输出 2 3 6 4" xfId="7396"/>
    <cellStyle name="输出 2 3 6 4 2" xfId="33522"/>
    <cellStyle name="输出 2 3 6 5" xfId="33517"/>
    <cellStyle name="输出 2 3 7" xfId="14718"/>
    <cellStyle name="输出 2 3 7 2" xfId="20814"/>
    <cellStyle name="输出 2 3 7 2 2" xfId="33524"/>
    <cellStyle name="输出 2 3 7 3" xfId="33523"/>
    <cellStyle name="输出 2 3 8" xfId="10187"/>
    <cellStyle name="输出 2 3 8 2" xfId="33525"/>
    <cellStyle name="输出 2 3 9" xfId="33476"/>
    <cellStyle name="输出 2 4" xfId="5461"/>
    <cellStyle name="输出 2 4 2" xfId="10193"/>
    <cellStyle name="输出 2 4 2 2" xfId="14719"/>
    <cellStyle name="输出 2 4 2 2 2" xfId="14720"/>
    <cellStyle name="输出 2 4 2 2 2 2" xfId="7400"/>
    <cellStyle name="输出 2 4 2 2 2 2 2" xfId="33530"/>
    <cellStyle name="输出 2 4 2 2 2 3" xfId="33529"/>
    <cellStyle name="输出 2 4 2 2 3" xfId="14721"/>
    <cellStyle name="输出 2 4 2 2 3 2" xfId="7401"/>
    <cellStyle name="输出 2 4 2 2 3 2 2" xfId="33532"/>
    <cellStyle name="输出 2 4 2 2 3 3" xfId="33531"/>
    <cellStyle name="输出 2 4 2 2 4" xfId="7399"/>
    <cellStyle name="输出 2 4 2 2 4 2" xfId="33533"/>
    <cellStyle name="输出 2 4 2 2 5" xfId="33528"/>
    <cellStyle name="输出 2 4 2 3" xfId="14722"/>
    <cellStyle name="输出 2 4 2 3 2" xfId="7402"/>
    <cellStyle name="输出 2 4 2 3 2 2" xfId="33535"/>
    <cellStyle name="输出 2 4 2 3 3" xfId="33534"/>
    <cellStyle name="输出 2 4 2 4" xfId="33536"/>
    <cellStyle name="输出 2 4 2 5" xfId="33527"/>
    <cellStyle name="输出 2 4 3" xfId="10194"/>
    <cellStyle name="输出 2 4 3 2" xfId="14723"/>
    <cellStyle name="输出 2 4 3 2 2" xfId="14724"/>
    <cellStyle name="输出 2 4 3 2 2 2" xfId="7404"/>
    <cellStyle name="输出 2 4 3 2 2 2 2" xfId="33540"/>
    <cellStyle name="输出 2 4 3 2 2 3" xfId="33539"/>
    <cellStyle name="输出 2 4 3 2 3" xfId="14725"/>
    <cellStyle name="输出 2 4 3 2 3 2" xfId="7405"/>
    <cellStyle name="输出 2 4 3 2 3 2 2" xfId="33542"/>
    <cellStyle name="输出 2 4 3 2 3 3" xfId="33541"/>
    <cellStyle name="输出 2 4 3 2 4" xfId="7403"/>
    <cellStyle name="输出 2 4 3 2 4 2" xfId="33543"/>
    <cellStyle name="输出 2 4 3 2 5" xfId="33538"/>
    <cellStyle name="输出 2 4 3 3" xfId="14726"/>
    <cellStyle name="输出 2 4 3 3 2" xfId="7406"/>
    <cellStyle name="输出 2 4 3 3 2 2" xfId="33545"/>
    <cellStyle name="输出 2 4 3 3 3" xfId="33544"/>
    <cellStyle name="输出 2 4 3 4" xfId="33546"/>
    <cellStyle name="输出 2 4 3 5" xfId="33537"/>
    <cellStyle name="输出 2 4 4" xfId="10195"/>
    <cellStyle name="输出 2 4 4 2" xfId="14727"/>
    <cellStyle name="输出 2 4 4 2 2" xfId="14728"/>
    <cellStyle name="输出 2 4 4 2 2 2" xfId="7408"/>
    <cellStyle name="输出 2 4 4 2 2 2 2" xfId="33550"/>
    <cellStyle name="输出 2 4 4 2 2 3" xfId="33549"/>
    <cellStyle name="输出 2 4 4 2 3" xfId="14729"/>
    <cellStyle name="输出 2 4 4 2 3 2" xfId="20813"/>
    <cellStyle name="输出 2 4 4 2 3 2 2" xfId="33552"/>
    <cellStyle name="输出 2 4 4 2 3 3" xfId="33551"/>
    <cellStyle name="输出 2 4 4 2 4" xfId="7407"/>
    <cellStyle name="输出 2 4 4 2 4 2" xfId="33553"/>
    <cellStyle name="输出 2 4 4 2 5" xfId="33548"/>
    <cellStyle name="输出 2 4 4 3" xfId="14730"/>
    <cellStyle name="输出 2 4 4 3 2" xfId="20812"/>
    <cellStyle name="输出 2 4 4 3 2 2" xfId="33555"/>
    <cellStyle name="输出 2 4 4 3 3" xfId="33554"/>
    <cellStyle name="输出 2 4 4 4" xfId="33556"/>
    <cellStyle name="输出 2 4 4 5" xfId="33547"/>
    <cellStyle name="输出 2 4 5" xfId="10196"/>
    <cellStyle name="输出 2 4 5 2" xfId="14731"/>
    <cellStyle name="输出 2 4 5 2 2" xfId="14732"/>
    <cellStyle name="输出 2 4 5 2 2 2" xfId="7410"/>
    <cellStyle name="输出 2 4 5 2 2 2 2" xfId="33560"/>
    <cellStyle name="输出 2 4 5 2 2 3" xfId="33559"/>
    <cellStyle name="输出 2 4 5 2 3" xfId="14733"/>
    <cellStyle name="输出 2 4 5 2 3 2" xfId="7411"/>
    <cellStyle name="输出 2 4 5 2 3 2 2" xfId="33562"/>
    <cellStyle name="输出 2 4 5 2 3 3" xfId="33561"/>
    <cellStyle name="输出 2 4 5 2 4" xfId="7409"/>
    <cellStyle name="输出 2 4 5 2 4 2" xfId="33563"/>
    <cellStyle name="输出 2 4 5 2 5" xfId="33558"/>
    <cellStyle name="输出 2 4 5 3" xfId="14734"/>
    <cellStyle name="输出 2 4 5 3 2" xfId="7412"/>
    <cellStyle name="输出 2 4 5 3 2 2" xfId="33565"/>
    <cellStyle name="输出 2 4 5 3 3" xfId="33564"/>
    <cellStyle name="输出 2 4 5 4" xfId="33566"/>
    <cellStyle name="输出 2 4 5 5" xfId="33557"/>
    <cellStyle name="输出 2 4 6" xfId="14735"/>
    <cellStyle name="输出 2 4 6 2" xfId="14736"/>
    <cellStyle name="输出 2 4 6 2 2" xfId="20811"/>
    <cellStyle name="输出 2 4 6 2 2 2" xfId="33569"/>
    <cellStyle name="输出 2 4 6 2 3" xfId="33568"/>
    <cellStyle name="输出 2 4 6 3" xfId="14737"/>
    <cellStyle name="输出 2 4 6 3 2" xfId="7414"/>
    <cellStyle name="输出 2 4 6 3 2 2" xfId="33571"/>
    <cellStyle name="输出 2 4 6 3 3" xfId="33570"/>
    <cellStyle name="输出 2 4 6 4" xfId="7413"/>
    <cellStyle name="输出 2 4 6 4 2" xfId="33572"/>
    <cellStyle name="输出 2 4 6 5" xfId="33567"/>
    <cellStyle name="输出 2 4 7" xfId="14738"/>
    <cellStyle name="输出 2 4 7 2" xfId="7415"/>
    <cellStyle name="输出 2 4 7 2 2" xfId="33574"/>
    <cellStyle name="输出 2 4 7 3" xfId="33573"/>
    <cellStyle name="输出 2 4 8" xfId="10192"/>
    <cellStyle name="输出 2 4 8 2" xfId="33575"/>
    <cellStyle name="输出 2 4 9" xfId="33526"/>
    <cellStyle name="输出 2 5" xfId="10197"/>
    <cellStyle name="输出 2 5 2" xfId="10198"/>
    <cellStyle name="输出 2 5 2 2" xfId="14739"/>
    <cellStyle name="输出 2 5 2 2 2" xfId="14740"/>
    <cellStyle name="输出 2 5 2 2 2 2" xfId="7417"/>
    <cellStyle name="输出 2 5 2 2 2 2 2" xfId="33580"/>
    <cellStyle name="输出 2 5 2 2 2 3" xfId="33579"/>
    <cellStyle name="输出 2 5 2 2 3" xfId="14741"/>
    <cellStyle name="输出 2 5 2 2 3 2" xfId="7418"/>
    <cellStyle name="输出 2 5 2 2 3 2 2" xfId="33582"/>
    <cellStyle name="输出 2 5 2 2 3 3" xfId="33581"/>
    <cellStyle name="输出 2 5 2 2 4" xfId="7416"/>
    <cellStyle name="输出 2 5 2 2 4 2" xfId="33583"/>
    <cellStyle name="输出 2 5 2 2 5" xfId="33578"/>
    <cellStyle name="输出 2 5 2 3" xfId="14742"/>
    <cellStyle name="输出 2 5 2 3 2" xfId="20810"/>
    <cellStyle name="输出 2 5 2 3 2 2" xfId="33585"/>
    <cellStyle name="输出 2 5 2 3 3" xfId="33584"/>
    <cellStyle name="输出 2 5 2 4" xfId="33586"/>
    <cellStyle name="输出 2 5 2 5" xfId="33577"/>
    <cellStyle name="输出 2 5 3" xfId="10199"/>
    <cellStyle name="输出 2 5 3 2" xfId="14743"/>
    <cellStyle name="输出 2 5 3 2 2" xfId="14744"/>
    <cellStyle name="输出 2 5 3 2 2 2" xfId="7420"/>
    <cellStyle name="输出 2 5 3 2 2 2 2" xfId="33590"/>
    <cellStyle name="输出 2 5 3 2 2 3" xfId="33589"/>
    <cellStyle name="输出 2 5 3 2 3" xfId="14745"/>
    <cellStyle name="输出 2 5 3 2 3 2" xfId="7421"/>
    <cellStyle name="输出 2 5 3 2 3 2 2" xfId="33592"/>
    <cellStyle name="输出 2 5 3 2 3 3" xfId="33591"/>
    <cellStyle name="输出 2 5 3 2 4" xfId="7419"/>
    <cellStyle name="输出 2 5 3 2 4 2" xfId="33593"/>
    <cellStyle name="输出 2 5 3 2 5" xfId="33588"/>
    <cellStyle name="输出 2 5 3 3" xfId="14746"/>
    <cellStyle name="输出 2 5 3 3 2" xfId="7422"/>
    <cellStyle name="输出 2 5 3 3 2 2" xfId="33595"/>
    <cellStyle name="输出 2 5 3 3 3" xfId="33594"/>
    <cellStyle name="输出 2 5 3 4" xfId="33596"/>
    <cellStyle name="输出 2 5 3 5" xfId="33587"/>
    <cellStyle name="输出 2 5 4" xfId="10200"/>
    <cellStyle name="输出 2 5 4 2" xfId="14747"/>
    <cellStyle name="输出 2 5 4 2 2" xfId="14748"/>
    <cellStyle name="输出 2 5 4 2 2 2" xfId="20809"/>
    <cellStyle name="输出 2 5 4 2 2 2 2" xfId="33600"/>
    <cellStyle name="输出 2 5 4 2 2 3" xfId="33599"/>
    <cellStyle name="输出 2 5 4 2 3" xfId="14749"/>
    <cellStyle name="输出 2 5 4 2 3 2" xfId="7424"/>
    <cellStyle name="输出 2 5 4 2 3 2 2" xfId="33602"/>
    <cellStyle name="输出 2 5 4 2 3 3" xfId="33601"/>
    <cellStyle name="输出 2 5 4 2 4" xfId="7423"/>
    <cellStyle name="输出 2 5 4 2 4 2" xfId="33603"/>
    <cellStyle name="输出 2 5 4 2 5" xfId="33598"/>
    <cellStyle name="输出 2 5 4 3" xfId="14750"/>
    <cellStyle name="输出 2 5 4 3 2" xfId="7425"/>
    <cellStyle name="输出 2 5 4 3 2 2" xfId="33605"/>
    <cellStyle name="输出 2 5 4 3 3" xfId="33604"/>
    <cellStyle name="输出 2 5 4 4" xfId="33606"/>
    <cellStyle name="输出 2 5 4 5" xfId="33597"/>
    <cellStyle name="输出 2 5 5" xfId="10201"/>
    <cellStyle name="输出 2 5 5 2" xfId="14751"/>
    <cellStyle name="输出 2 5 5 2 2" xfId="14752"/>
    <cellStyle name="输出 2 5 5 2 2 2" xfId="7427"/>
    <cellStyle name="输出 2 5 5 2 2 2 2" xfId="33610"/>
    <cellStyle name="输出 2 5 5 2 2 3" xfId="33609"/>
    <cellStyle name="输出 2 5 5 2 3" xfId="14753"/>
    <cellStyle name="输出 2 5 5 2 3 2" xfId="7428"/>
    <cellStyle name="输出 2 5 5 2 3 2 2" xfId="33612"/>
    <cellStyle name="输出 2 5 5 2 3 3" xfId="33611"/>
    <cellStyle name="输出 2 5 5 2 4" xfId="7426"/>
    <cellStyle name="输出 2 5 5 2 4 2" xfId="33613"/>
    <cellStyle name="输出 2 5 5 2 5" xfId="33608"/>
    <cellStyle name="输出 2 5 5 3" xfId="14754"/>
    <cellStyle name="输出 2 5 5 3 2" xfId="7429"/>
    <cellStyle name="输出 2 5 5 3 2 2" xfId="33615"/>
    <cellStyle name="输出 2 5 5 3 3" xfId="33614"/>
    <cellStyle name="输出 2 5 5 4" xfId="33616"/>
    <cellStyle name="输出 2 5 5 5" xfId="33607"/>
    <cellStyle name="输出 2 5 6" xfId="14755"/>
    <cellStyle name="输出 2 5 6 2" xfId="14756"/>
    <cellStyle name="输出 2 5 6 2 2" xfId="7431"/>
    <cellStyle name="输出 2 5 6 2 2 2" xfId="33619"/>
    <cellStyle name="输出 2 5 6 2 3" xfId="33618"/>
    <cellStyle name="输出 2 5 6 3" xfId="14757"/>
    <cellStyle name="输出 2 5 6 3 2" xfId="19403"/>
    <cellStyle name="输出 2 5 6 3 2 2" xfId="33621"/>
    <cellStyle name="输出 2 5 6 3 3" xfId="33620"/>
    <cellStyle name="输出 2 5 6 4" xfId="7430"/>
    <cellStyle name="输出 2 5 6 4 2" xfId="33622"/>
    <cellStyle name="输出 2 5 6 5" xfId="33617"/>
    <cellStyle name="输出 2 5 7" xfId="14758"/>
    <cellStyle name="输出 2 5 7 2" xfId="19402"/>
    <cellStyle name="输出 2 5 7 2 2" xfId="33624"/>
    <cellStyle name="输出 2 5 7 3" xfId="33623"/>
    <cellStyle name="输出 2 5 8" xfId="33625"/>
    <cellStyle name="输出 2 5 9" xfId="33576"/>
    <cellStyle name="输出 2 6" xfId="10202"/>
    <cellStyle name="输出 2 6 2" xfId="10203"/>
    <cellStyle name="输出 2 6 2 2" xfId="14759"/>
    <cellStyle name="输出 2 6 2 2 2" xfId="14760"/>
    <cellStyle name="输出 2 6 2 2 2 2" xfId="20807"/>
    <cellStyle name="输出 2 6 2 2 2 2 2" xfId="33630"/>
    <cellStyle name="输出 2 6 2 2 2 3" xfId="33629"/>
    <cellStyle name="输出 2 6 2 2 3" xfId="14761"/>
    <cellStyle name="输出 2 6 2 2 3 2" xfId="7432"/>
    <cellStyle name="输出 2 6 2 2 3 2 2" xfId="33632"/>
    <cellStyle name="输出 2 6 2 2 3 3" xfId="33631"/>
    <cellStyle name="输出 2 6 2 2 4" xfId="20808"/>
    <cellStyle name="输出 2 6 2 2 4 2" xfId="33633"/>
    <cellStyle name="输出 2 6 2 2 5" xfId="33628"/>
    <cellStyle name="输出 2 6 2 3" xfId="14762"/>
    <cellStyle name="输出 2 6 2 3 2" xfId="7433"/>
    <cellStyle name="输出 2 6 2 3 2 2" xfId="33635"/>
    <cellStyle name="输出 2 6 2 3 3" xfId="33634"/>
    <cellStyle name="输出 2 6 2 4" xfId="33636"/>
    <cellStyle name="输出 2 6 2 5" xfId="33627"/>
    <cellStyle name="输出 2 6 3" xfId="10204"/>
    <cellStyle name="输出 2 6 3 2" xfId="14763"/>
    <cellStyle name="输出 2 6 3 2 2" xfId="14764"/>
    <cellStyle name="输出 2 6 3 2 2 2" xfId="7435"/>
    <cellStyle name="输出 2 6 3 2 2 2 2" xfId="33640"/>
    <cellStyle name="输出 2 6 3 2 2 3" xfId="33639"/>
    <cellStyle name="输出 2 6 3 2 3" xfId="14765"/>
    <cellStyle name="输出 2 6 3 2 3 2" xfId="7436"/>
    <cellStyle name="输出 2 6 3 2 3 2 2" xfId="33642"/>
    <cellStyle name="输出 2 6 3 2 3 3" xfId="33641"/>
    <cellStyle name="输出 2 6 3 2 4" xfId="7434"/>
    <cellStyle name="输出 2 6 3 2 4 2" xfId="33643"/>
    <cellStyle name="输出 2 6 3 2 5" xfId="33638"/>
    <cellStyle name="输出 2 6 3 3" xfId="14766"/>
    <cellStyle name="输出 2 6 3 3 2" xfId="20806"/>
    <cellStyle name="输出 2 6 3 3 2 2" xfId="33645"/>
    <cellStyle name="输出 2 6 3 3 3" xfId="33644"/>
    <cellStyle name="输出 2 6 3 4" xfId="33646"/>
    <cellStyle name="输出 2 6 3 5" xfId="33637"/>
    <cellStyle name="输出 2 6 4" xfId="10205"/>
    <cellStyle name="输出 2 6 4 2" xfId="14767"/>
    <cellStyle name="输出 2 6 4 2 2" xfId="14768"/>
    <cellStyle name="输出 2 6 4 2 2 2" xfId="7438"/>
    <cellStyle name="输出 2 6 4 2 2 2 2" xfId="33650"/>
    <cellStyle name="输出 2 6 4 2 2 3" xfId="33649"/>
    <cellStyle name="输出 2 6 4 2 3" xfId="14769"/>
    <cellStyle name="输出 2 6 4 2 3 2" xfId="7439"/>
    <cellStyle name="输出 2 6 4 2 3 2 2" xfId="33652"/>
    <cellStyle name="输出 2 6 4 2 3 3" xfId="33651"/>
    <cellStyle name="输出 2 6 4 2 4" xfId="7437"/>
    <cellStyle name="输出 2 6 4 2 4 2" xfId="33653"/>
    <cellStyle name="输出 2 6 4 2 5" xfId="33648"/>
    <cellStyle name="输出 2 6 4 3" xfId="14770"/>
    <cellStyle name="输出 2 6 4 3 2" xfId="7440"/>
    <cellStyle name="输出 2 6 4 3 2 2" xfId="33655"/>
    <cellStyle name="输出 2 6 4 3 3" xfId="33654"/>
    <cellStyle name="输出 2 6 4 4" xfId="33656"/>
    <cellStyle name="输出 2 6 4 5" xfId="33647"/>
    <cellStyle name="输出 2 6 5" xfId="10206"/>
    <cellStyle name="输出 2 6 5 2" xfId="14771"/>
    <cellStyle name="输出 2 6 5 2 2" xfId="14772"/>
    <cellStyle name="输出 2 6 5 2 2 2" xfId="18575"/>
    <cellStyle name="输出 2 6 5 2 2 2 2" xfId="33660"/>
    <cellStyle name="输出 2 6 5 2 2 3" xfId="33659"/>
    <cellStyle name="输出 2 6 5 2 3" xfId="14773"/>
    <cellStyle name="输出 2 6 5 2 3 2" xfId="7442"/>
    <cellStyle name="输出 2 6 5 2 3 2 2" xfId="33662"/>
    <cellStyle name="输出 2 6 5 2 3 3" xfId="33661"/>
    <cellStyle name="输出 2 6 5 2 4" xfId="7441"/>
    <cellStyle name="输出 2 6 5 2 4 2" xfId="33663"/>
    <cellStyle name="输出 2 6 5 2 5" xfId="33658"/>
    <cellStyle name="输出 2 6 5 3" xfId="14774"/>
    <cellStyle name="输出 2 6 5 3 2" xfId="7443"/>
    <cellStyle name="输出 2 6 5 3 2 2" xfId="33665"/>
    <cellStyle name="输出 2 6 5 3 3" xfId="33664"/>
    <cellStyle name="输出 2 6 5 4" xfId="33666"/>
    <cellStyle name="输出 2 6 5 5" xfId="33657"/>
    <cellStyle name="输出 2 6 6" xfId="14775"/>
    <cellStyle name="输出 2 6 6 2" xfId="14776"/>
    <cellStyle name="输出 2 6 6 2 2" xfId="7445"/>
    <cellStyle name="输出 2 6 6 2 2 2" xfId="33669"/>
    <cellStyle name="输出 2 6 6 2 3" xfId="33668"/>
    <cellStyle name="输出 2 6 6 3" xfId="14777"/>
    <cellStyle name="输出 2 6 6 3 2" xfId="19401"/>
    <cellStyle name="输出 2 6 6 3 2 2" xfId="33671"/>
    <cellStyle name="输出 2 6 6 3 3" xfId="33670"/>
    <cellStyle name="输出 2 6 6 4" xfId="7444"/>
    <cellStyle name="输出 2 6 6 4 2" xfId="33672"/>
    <cellStyle name="输出 2 6 6 5" xfId="33667"/>
    <cellStyle name="输出 2 6 7" xfId="14778"/>
    <cellStyle name="输出 2 6 7 2" xfId="20805"/>
    <cellStyle name="输出 2 6 7 2 2" xfId="33674"/>
    <cellStyle name="输出 2 6 7 3" xfId="33673"/>
    <cellStyle name="输出 2 6 8" xfId="33675"/>
    <cellStyle name="输出 2 6 9" xfId="33626"/>
    <cellStyle name="输出 2 7" xfId="10207"/>
    <cellStyle name="输出 2 7 2" xfId="10208"/>
    <cellStyle name="输出 2 7 2 2" xfId="14779"/>
    <cellStyle name="输出 2 7 2 2 2" xfId="14780"/>
    <cellStyle name="输出 2 7 2 2 2 2" xfId="7447"/>
    <cellStyle name="输出 2 7 2 2 2 2 2" xfId="33680"/>
    <cellStyle name="输出 2 7 2 2 2 3" xfId="33679"/>
    <cellStyle name="输出 2 7 2 2 3" xfId="14781"/>
    <cellStyle name="输出 2 7 2 2 3 2" xfId="7448"/>
    <cellStyle name="输出 2 7 2 2 3 2 2" xfId="33682"/>
    <cellStyle name="输出 2 7 2 2 3 3" xfId="33681"/>
    <cellStyle name="输出 2 7 2 2 4" xfId="7446"/>
    <cellStyle name="输出 2 7 2 2 4 2" xfId="33683"/>
    <cellStyle name="输出 2 7 2 2 5" xfId="33678"/>
    <cellStyle name="输出 2 7 2 3" xfId="14782"/>
    <cellStyle name="输出 2 7 2 3 2" xfId="7449"/>
    <cellStyle name="输出 2 7 2 3 2 2" xfId="33685"/>
    <cellStyle name="输出 2 7 2 3 3" xfId="33684"/>
    <cellStyle name="输出 2 7 2 4" xfId="33686"/>
    <cellStyle name="输出 2 7 2 5" xfId="33677"/>
    <cellStyle name="输出 2 7 3" xfId="10209"/>
    <cellStyle name="输出 2 7 3 2" xfId="14783"/>
    <cellStyle name="输出 2 7 3 2 2" xfId="14784"/>
    <cellStyle name="输出 2 7 3 2 2 2" xfId="7451"/>
    <cellStyle name="输出 2 7 3 2 2 2 2" xfId="33690"/>
    <cellStyle name="输出 2 7 3 2 2 3" xfId="33689"/>
    <cellStyle name="输出 2 7 3 2 3" xfId="14785"/>
    <cellStyle name="输出 2 7 3 2 3 2" xfId="7452"/>
    <cellStyle name="输出 2 7 3 2 3 2 2" xfId="33692"/>
    <cellStyle name="输出 2 7 3 2 3 3" xfId="33691"/>
    <cellStyle name="输出 2 7 3 2 4" xfId="7450"/>
    <cellStyle name="输出 2 7 3 2 4 2" xfId="33693"/>
    <cellStyle name="输出 2 7 3 2 5" xfId="33688"/>
    <cellStyle name="输出 2 7 3 3" xfId="14786"/>
    <cellStyle name="输出 2 7 3 3 2" xfId="7453"/>
    <cellStyle name="输出 2 7 3 3 2 2" xfId="33695"/>
    <cellStyle name="输出 2 7 3 3 3" xfId="33694"/>
    <cellStyle name="输出 2 7 3 4" xfId="33696"/>
    <cellStyle name="输出 2 7 3 5" xfId="33687"/>
    <cellStyle name="输出 2 7 4" xfId="10210"/>
    <cellStyle name="输出 2 7 4 2" xfId="14787"/>
    <cellStyle name="输出 2 7 4 2 2" xfId="14788"/>
    <cellStyle name="输出 2 7 4 2 2 2" xfId="7455"/>
    <cellStyle name="输出 2 7 4 2 2 2 2" xfId="33700"/>
    <cellStyle name="输出 2 7 4 2 2 3" xfId="33699"/>
    <cellStyle name="输出 2 7 4 2 3" xfId="14789"/>
    <cellStyle name="输出 2 7 4 2 3 2" xfId="20804"/>
    <cellStyle name="输出 2 7 4 2 3 2 2" xfId="33702"/>
    <cellStyle name="输出 2 7 4 2 3 3" xfId="33701"/>
    <cellStyle name="输出 2 7 4 2 4" xfId="7454"/>
    <cellStyle name="输出 2 7 4 2 4 2" xfId="33703"/>
    <cellStyle name="输出 2 7 4 2 5" xfId="33698"/>
    <cellStyle name="输出 2 7 4 3" xfId="14790"/>
    <cellStyle name="输出 2 7 4 3 2" xfId="20803"/>
    <cellStyle name="输出 2 7 4 3 2 2" xfId="33705"/>
    <cellStyle name="输出 2 7 4 3 3" xfId="33704"/>
    <cellStyle name="输出 2 7 4 4" xfId="33706"/>
    <cellStyle name="输出 2 7 4 5" xfId="33697"/>
    <cellStyle name="输出 2 7 5" xfId="10211"/>
    <cellStyle name="输出 2 7 5 2" xfId="14791"/>
    <cellStyle name="输出 2 7 5 2 2" xfId="14792"/>
    <cellStyle name="输出 2 7 5 2 2 2" xfId="7457"/>
    <cellStyle name="输出 2 7 5 2 2 2 2" xfId="33710"/>
    <cellStyle name="输出 2 7 5 2 2 3" xfId="33709"/>
    <cellStyle name="输出 2 7 5 2 3" xfId="14793"/>
    <cellStyle name="输出 2 7 5 2 3 2" xfId="7458"/>
    <cellStyle name="输出 2 7 5 2 3 2 2" xfId="33712"/>
    <cellStyle name="输出 2 7 5 2 3 3" xfId="33711"/>
    <cellStyle name="输出 2 7 5 2 4" xfId="7456"/>
    <cellStyle name="输出 2 7 5 2 4 2" xfId="33713"/>
    <cellStyle name="输出 2 7 5 2 5" xfId="33708"/>
    <cellStyle name="输出 2 7 5 3" xfId="14794"/>
    <cellStyle name="输出 2 7 5 3 2" xfId="7459"/>
    <cellStyle name="输出 2 7 5 3 2 2" xfId="33715"/>
    <cellStyle name="输出 2 7 5 3 3" xfId="33714"/>
    <cellStyle name="输出 2 7 5 4" xfId="33716"/>
    <cellStyle name="输出 2 7 5 5" xfId="33707"/>
    <cellStyle name="输出 2 7 6" xfId="14795"/>
    <cellStyle name="输出 2 7 6 2" xfId="14796"/>
    <cellStyle name="输出 2 7 6 2 2" xfId="20802"/>
    <cellStyle name="输出 2 7 6 2 2 2" xfId="33719"/>
    <cellStyle name="输出 2 7 6 2 3" xfId="33718"/>
    <cellStyle name="输出 2 7 6 3" xfId="14797"/>
    <cellStyle name="输出 2 7 6 3 2" xfId="7461"/>
    <cellStyle name="输出 2 7 6 3 2 2" xfId="33721"/>
    <cellStyle name="输出 2 7 6 3 3" xfId="33720"/>
    <cellStyle name="输出 2 7 6 4" xfId="7460"/>
    <cellStyle name="输出 2 7 6 4 2" xfId="33722"/>
    <cellStyle name="输出 2 7 6 5" xfId="33717"/>
    <cellStyle name="输出 2 7 7" xfId="14798"/>
    <cellStyle name="输出 2 7 7 2" xfId="7462"/>
    <cellStyle name="输出 2 7 7 2 2" xfId="33724"/>
    <cellStyle name="输出 2 7 7 3" xfId="33723"/>
    <cellStyle name="输出 2 7 8" xfId="33725"/>
    <cellStyle name="输出 2 7 9" xfId="33676"/>
    <cellStyle name="输出 2 8" xfId="10212"/>
    <cellStyle name="输出 2 8 2" xfId="10213"/>
    <cellStyle name="输出 2 8 2 2" xfId="14799"/>
    <cellStyle name="输出 2 8 2 2 2" xfId="14800"/>
    <cellStyle name="输出 2 8 2 2 2 2" xfId="7464"/>
    <cellStyle name="输出 2 8 2 2 2 2 2" xfId="33730"/>
    <cellStyle name="输出 2 8 2 2 2 3" xfId="33729"/>
    <cellStyle name="输出 2 8 2 2 3" xfId="14801"/>
    <cellStyle name="输出 2 8 2 2 3 2" xfId="7465"/>
    <cellStyle name="输出 2 8 2 2 3 2 2" xfId="33732"/>
    <cellStyle name="输出 2 8 2 2 3 3" xfId="33731"/>
    <cellStyle name="输出 2 8 2 2 4" xfId="7463"/>
    <cellStyle name="输出 2 8 2 2 4 2" xfId="33733"/>
    <cellStyle name="输出 2 8 2 2 5" xfId="33728"/>
    <cellStyle name="输出 2 8 2 3" xfId="14802"/>
    <cellStyle name="输出 2 8 2 3 2" xfId="20801"/>
    <cellStyle name="输出 2 8 2 3 2 2" xfId="33735"/>
    <cellStyle name="输出 2 8 2 3 3" xfId="33734"/>
    <cellStyle name="输出 2 8 2 4" xfId="33736"/>
    <cellStyle name="输出 2 8 2 5" xfId="33727"/>
    <cellStyle name="输出 2 8 3" xfId="10214"/>
    <cellStyle name="输出 2 8 3 2" xfId="14803"/>
    <cellStyle name="输出 2 8 3 2 2" xfId="14804"/>
    <cellStyle name="输出 2 8 3 2 2 2" xfId="7467"/>
    <cellStyle name="输出 2 8 3 2 2 2 2" xfId="33740"/>
    <cellStyle name="输出 2 8 3 2 2 3" xfId="33739"/>
    <cellStyle name="输出 2 8 3 2 3" xfId="14805"/>
    <cellStyle name="输出 2 8 3 2 3 2" xfId="7468"/>
    <cellStyle name="输出 2 8 3 2 3 2 2" xfId="33742"/>
    <cellStyle name="输出 2 8 3 2 3 3" xfId="33741"/>
    <cellStyle name="输出 2 8 3 2 4" xfId="7466"/>
    <cellStyle name="输出 2 8 3 2 4 2" xfId="33743"/>
    <cellStyle name="输出 2 8 3 2 5" xfId="33738"/>
    <cellStyle name="输出 2 8 3 3" xfId="14806"/>
    <cellStyle name="输出 2 8 3 3 2" xfId="7469"/>
    <cellStyle name="输出 2 8 3 3 2 2" xfId="33745"/>
    <cellStyle name="输出 2 8 3 3 3" xfId="33744"/>
    <cellStyle name="输出 2 8 3 4" xfId="33746"/>
    <cellStyle name="输出 2 8 3 5" xfId="33737"/>
    <cellStyle name="输出 2 8 4" xfId="10215"/>
    <cellStyle name="输出 2 8 4 2" xfId="14807"/>
    <cellStyle name="输出 2 8 4 2 2" xfId="14808"/>
    <cellStyle name="输出 2 8 4 2 2 2" xfId="18574"/>
    <cellStyle name="输出 2 8 4 2 2 2 2" xfId="33750"/>
    <cellStyle name="输出 2 8 4 2 2 3" xfId="33749"/>
    <cellStyle name="输出 2 8 4 2 3" xfId="14809"/>
    <cellStyle name="输出 2 8 4 2 3 2" xfId="7471"/>
    <cellStyle name="输出 2 8 4 2 3 2 2" xfId="33752"/>
    <cellStyle name="输出 2 8 4 2 3 3" xfId="33751"/>
    <cellStyle name="输出 2 8 4 2 4" xfId="7470"/>
    <cellStyle name="输出 2 8 4 2 4 2" xfId="33753"/>
    <cellStyle name="输出 2 8 4 2 5" xfId="33748"/>
    <cellStyle name="输出 2 8 4 3" xfId="14810"/>
    <cellStyle name="输出 2 8 4 3 2" xfId="7472"/>
    <cellStyle name="输出 2 8 4 3 2 2" xfId="33755"/>
    <cellStyle name="输出 2 8 4 3 3" xfId="33754"/>
    <cellStyle name="输出 2 8 4 4" xfId="33756"/>
    <cellStyle name="输出 2 8 4 5" xfId="33747"/>
    <cellStyle name="输出 2 8 5" xfId="10216"/>
    <cellStyle name="输出 2 8 5 2" xfId="14811"/>
    <cellStyle name="输出 2 8 5 2 2" xfId="14812"/>
    <cellStyle name="输出 2 8 5 2 2 2" xfId="7474"/>
    <cellStyle name="输出 2 8 5 2 2 2 2" xfId="33760"/>
    <cellStyle name="输出 2 8 5 2 2 3" xfId="33759"/>
    <cellStyle name="输出 2 8 5 2 3" xfId="14813"/>
    <cellStyle name="输出 2 8 5 2 3 2" xfId="7475"/>
    <cellStyle name="输出 2 8 5 2 3 2 2" xfId="33762"/>
    <cellStyle name="输出 2 8 5 2 3 3" xfId="33761"/>
    <cellStyle name="输出 2 8 5 2 4" xfId="7473"/>
    <cellStyle name="输出 2 8 5 2 4 2" xfId="33763"/>
    <cellStyle name="输出 2 8 5 2 5" xfId="33758"/>
    <cellStyle name="输出 2 8 5 3" xfId="14814"/>
    <cellStyle name="输出 2 8 5 3 2" xfId="7476"/>
    <cellStyle name="输出 2 8 5 3 2 2" xfId="33765"/>
    <cellStyle name="输出 2 8 5 3 3" xfId="33764"/>
    <cellStyle name="输出 2 8 5 4" xfId="33766"/>
    <cellStyle name="输出 2 8 5 5" xfId="33757"/>
    <cellStyle name="输出 2 8 6" xfId="14815"/>
    <cellStyle name="输出 2 8 6 2" xfId="14816"/>
    <cellStyle name="输出 2 8 6 2 2" xfId="7478"/>
    <cellStyle name="输出 2 8 6 2 2 2" xfId="33769"/>
    <cellStyle name="输出 2 8 6 2 3" xfId="33768"/>
    <cellStyle name="输出 2 8 6 3" xfId="14817"/>
    <cellStyle name="输出 2 8 6 3 2" xfId="7479"/>
    <cellStyle name="输出 2 8 6 3 2 2" xfId="33771"/>
    <cellStyle name="输出 2 8 6 3 3" xfId="33770"/>
    <cellStyle name="输出 2 8 6 4" xfId="7477"/>
    <cellStyle name="输出 2 8 6 4 2" xfId="33772"/>
    <cellStyle name="输出 2 8 6 5" xfId="33767"/>
    <cellStyle name="输出 2 8 7" xfId="14818"/>
    <cellStyle name="输出 2 8 7 2" xfId="7480"/>
    <cellStyle name="输出 2 8 7 2 2" xfId="33774"/>
    <cellStyle name="输出 2 8 7 3" xfId="33773"/>
    <cellStyle name="输出 2 8 8" xfId="33775"/>
    <cellStyle name="输出 2 8 9" xfId="33726"/>
    <cellStyle name="输出 2 9" xfId="10217"/>
    <cellStyle name="输出 2 9 2" xfId="10218"/>
    <cellStyle name="输出 2 9 2 2" xfId="14819"/>
    <cellStyle name="输出 2 9 2 2 2" xfId="14820"/>
    <cellStyle name="输出 2 9 2 2 2 2" xfId="20799"/>
    <cellStyle name="输出 2 9 2 2 2 2 2" xfId="33780"/>
    <cellStyle name="输出 2 9 2 2 2 3" xfId="33779"/>
    <cellStyle name="输出 2 9 2 2 3" xfId="14821"/>
    <cellStyle name="输出 2 9 2 2 3 2" xfId="7481"/>
    <cellStyle name="输出 2 9 2 2 3 2 2" xfId="33782"/>
    <cellStyle name="输出 2 9 2 2 3 3" xfId="33781"/>
    <cellStyle name="输出 2 9 2 2 4" xfId="20800"/>
    <cellStyle name="输出 2 9 2 2 4 2" xfId="33783"/>
    <cellStyle name="输出 2 9 2 2 5" xfId="33778"/>
    <cellStyle name="输出 2 9 2 3" xfId="14822"/>
    <cellStyle name="输出 2 9 2 3 2" xfId="7482"/>
    <cellStyle name="输出 2 9 2 3 2 2" xfId="33785"/>
    <cellStyle name="输出 2 9 2 3 3" xfId="33784"/>
    <cellStyle name="输出 2 9 2 4" xfId="33786"/>
    <cellStyle name="输出 2 9 2 5" xfId="33777"/>
    <cellStyle name="输出 2 9 3" xfId="10219"/>
    <cellStyle name="输出 2 9 3 2" xfId="14823"/>
    <cellStyle name="输出 2 9 3 2 2" xfId="14824"/>
    <cellStyle name="输出 2 9 3 2 2 2" xfId="7484"/>
    <cellStyle name="输出 2 9 3 2 2 2 2" xfId="33790"/>
    <cellStyle name="输出 2 9 3 2 2 3" xfId="33789"/>
    <cellStyle name="输出 2 9 3 2 3" xfId="14825"/>
    <cellStyle name="输出 2 9 3 2 3 2" xfId="7485"/>
    <cellStyle name="输出 2 9 3 2 3 2 2" xfId="33792"/>
    <cellStyle name="输出 2 9 3 2 3 3" xfId="33791"/>
    <cellStyle name="输出 2 9 3 2 4" xfId="7483"/>
    <cellStyle name="输出 2 9 3 2 4 2" xfId="33793"/>
    <cellStyle name="输出 2 9 3 2 5" xfId="33788"/>
    <cellStyle name="输出 2 9 3 3" xfId="14826"/>
    <cellStyle name="输出 2 9 3 3 2" xfId="20798"/>
    <cellStyle name="输出 2 9 3 3 2 2" xfId="33795"/>
    <cellStyle name="输出 2 9 3 3 3" xfId="33794"/>
    <cellStyle name="输出 2 9 3 4" xfId="33796"/>
    <cellStyle name="输出 2 9 3 5" xfId="33787"/>
    <cellStyle name="输出 2 9 4" xfId="10220"/>
    <cellStyle name="输出 2 9 4 2" xfId="14827"/>
    <cellStyle name="输出 2 9 4 2 2" xfId="14828"/>
    <cellStyle name="输出 2 9 4 2 2 2" xfId="7487"/>
    <cellStyle name="输出 2 9 4 2 2 2 2" xfId="33800"/>
    <cellStyle name="输出 2 9 4 2 2 3" xfId="33799"/>
    <cellStyle name="输出 2 9 4 2 3" xfId="14829"/>
    <cellStyle name="输出 2 9 4 2 3 2" xfId="7488"/>
    <cellStyle name="输出 2 9 4 2 3 2 2" xfId="33802"/>
    <cellStyle name="输出 2 9 4 2 3 3" xfId="33801"/>
    <cellStyle name="输出 2 9 4 2 4" xfId="7486"/>
    <cellStyle name="输出 2 9 4 2 4 2" xfId="33803"/>
    <cellStyle name="输出 2 9 4 2 5" xfId="33798"/>
    <cellStyle name="输出 2 9 4 3" xfId="14830"/>
    <cellStyle name="输出 2 9 4 3 2" xfId="7489"/>
    <cellStyle name="输出 2 9 4 3 2 2" xfId="33805"/>
    <cellStyle name="输出 2 9 4 3 3" xfId="33804"/>
    <cellStyle name="输出 2 9 4 4" xfId="33806"/>
    <cellStyle name="输出 2 9 4 5" xfId="33797"/>
    <cellStyle name="输出 2 9 5" xfId="10221"/>
    <cellStyle name="输出 2 9 5 2" xfId="14831"/>
    <cellStyle name="输出 2 9 5 2 2" xfId="14832"/>
    <cellStyle name="输出 2 9 5 2 2 2" xfId="20797"/>
    <cellStyle name="输出 2 9 5 2 2 2 2" xfId="33810"/>
    <cellStyle name="输出 2 9 5 2 2 3" xfId="33809"/>
    <cellStyle name="输出 2 9 5 2 3" xfId="14833"/>
    <cellStyle name="输出 2 9 5 2 3 2" xfId="7491"/>
    <cellStyle name="输出 2 9 5 2 3 2 2" xfId="33812"/>
    <cellStyle name="输出 2 9 5 2 3 3" xfId="33811"/>
    <cellStyle name="输出 2 9 5 2 4" xfId="7490"/>
    <cellStyle name="输出 2 9 5 2 4 2" xfId="33813"/>
    <cellStyle name="输出 2 9 5 2 5" xfId="33808"/>
    <cellStyle name="输出 2 9 5 3" xfId="14834"/>
    <cellStyle name="输出 2 9 5 3 2" xfId="7492"/>
    <cellStyle name="输出 2 9 5 3 2 2" xfId="33815"/>
    <cellStyle name="输出 2 9 5 3 3" xfId="33814"/>
    <cellStyle name="输出 2 9 5 4" xfId="33816"/>
    <cellStyle name="输出 2 9 5 5" xfId="33807"/>
    <cellStyle name="输出 2 9 6" xfId="14835"/>
    <cellStyle name="输出 2 9 6 2" xfId="14836"/>
    <cellStyle name="输出 2 9 6 2 2" xfId="7494"/>
    <cellStyle name="输出 2 9 6 2 2 2" xfId="33819"/>
    <cellStyle name="输出 2 9 6 2 3" xfId="33818"/>
    <cellStyle name="输出 2 9 6 3" xfId="14837"/>
    <cellStyle name="输出 2 9 6 3 2" xfId="7495"/>
    <cellStyle name="输出 2 9 6 3 2 2" xfId="33821"/>
    <cellStyle name="输出 2 9 6 3 3" xfId="33820"/>
    <cellStyle name="输出 2 9 6 4" xfId="7493"/>
    <cellStyle name="输出 2 9 6 4 2" xfId="33822"/>
    <cellStyle name="输出 2 9 6 5" xfId="33817"/>
    <cellStyle name="输出 2 9 7" xfId="14838"/>
    <cellStyle name="输出 2 9 7 2" xfId="20796"/>
    <cellStyle name="输出 2 9 7 2 2" xfId="33824"/>
    <cellStyle name="输出 2 9 7 3" xfId="33823"/>
    <cellStyle name="输出 2 9 8" xfId="33825"/>
    <cellStyle name="输出 2 9 9" xfId="33776"/>
    <cellStyle name="输出 2_培训名单通知" xfId="10222"/>
    <cellStyle name="输出 3" xfId="5462"/>
    <cellStyle name="输出 3 10" xfId="33826"/>
    <cellStyle name="输出 3 11" xfId="60736"/>
    <cellStyle name="输出 3 2" xfId="5463"/>
    <cellStyle name="输出 3 2 2" xfId="10225"/>
    <cellStyle name="输出 3 2 2 2" xfId="14839"/>
    <cellStyle name="输出 3 2 2 2 2" xfId="14840"/>
    <cellStyle name="输出 3 2 2 2 2 2" xfId="7497"/>
    <cellStyle name="输出 3 2 2 2 2 2 2" xfId="33831"/>
    <cellStyle name="输出 3 2 2 2 2 3" xfId="33830"/>
    <cellStyle name="输出 3 2 2 2 3" xfId="7496"/>
    <cellStyle name="输出 3 2 2 2 3 2" xfId="33832"/>
    <cellStyle name="输出 3 2 2 2 4" xfId="33829"/>
    <cellStyle name="输出 3 2 2 3" xfId="14841"/>
    <cellStyle name="输出 3 2 2 3 2" xfId="7498"/>
    <cellStyle name="输出 3 2 2 3 2 2" xfId="33834"/>
    <cellStyle name="输出 3 2 2 3 3" xfId="33833"/>
    <cellStyle name="输出 3 2 2 4" xfId="33835"/>
    <cellStyle name="输出 3 2 2 5" xfId="33828"/>
    <cellStyle name="输出 3 2 3" xfId="14842"/>
    <cellStyle name="输出 3 2 3 2" xfId="7499"/>
    <cellStyle name="输出 3 2 3 2 2" xfId="33837"/>
    <cellStyle name="输出 3 2 3 3" xfId="33836"/>
    <cellStyle name="输出 3 2 4" xfId="10224"/>
    <cellStyle name="输出 3 2 4 2" xfId="33839"/>
    <cellStyle name="输出 3 2 4 3" xfId="33838"/>
    <cellStyle name="输出 3 2 5" xfId="33840"/>
    <cellStyle name="输出 3 2 6" xfId="33827"/>
    <cellStyle name="输出 3 3" xfId="10226"/>
    <cellStyle name="输出 3 3 2" xfId="14843"/>
    <cellStyle name="输出 3 3 2 2" xfId="14844"/>
    <cellStyle name="输出 3 3 2 2 2" xfId="7501"/>
    <cellStyle name="输出 3 3 2 2 2 2" xfId="33844"/>
    <cellStyle name="输出 3 3 2 2 3" xfId="33843"/>
    <cellStyle name="输出 3 3 2 3" xfId="14845"/>
    <cellStyle name="输出 3 3 2 3 2" xfId="7502"/>
    <cellStyle name="输出 3 3 2 3 2 2" xfId="33846"/>
    <cellStyle name="输出 3 3 2 3 3" xfId="33845"/>
    <cellStyle name="输出 3 3 2 4" xfId="7500"/>
    <cellStyle name="输出 3 3 2 4 2" xfId="33847"/>
    <cellStyle name="输出 3 3 2 5" xfId="33842"/>
    <cellStyle name="输出 3 3 3" xfId="14846"/>
    <cellStyle name="输出 3 3 3 2" xfId="7503"/>
    <cellStyle name="输出 3 3 3 2 2" xfId="33849"/>
    <cellStyle name="输出 3 3 3 3" xfId="33848"/>
    <cellStyle name="输出 3 3 4" xfId="33850"/>
    <cellStyle name="输出 3 3 5" xfId="33841"/>
    <cellStyle name="输出 3 4" xfId="10227"/>
    <cellStyle name="输出 3 4 2" xfId="14847"/>
    <cellStyle name="输出 3 4 2 2" xfId="14848"/>
    <cellStyle name="输出 3 4 2 2 2" xfId="7505"/>
    <cellStyle name="输出 3 4 2 2 2 2" xfId="33854"/>
    <cellStyle name="输出 3 4 2 2 3" xfId="33853"/>
    <cellStyle name="输出 3 4 2 3" xfId="14849"/>
    <cellStyle name="输出 3 4 2 3 2" xfId="18573"/>
    <cellStyle name="输出 3 4 2 3 2 2" xfId="33856"/>
    <cellStyle name="输出 3 4 2 3 3" xfId="33855"/>
    <cellStyle name="输出 3 4 2 4" xfId="7504"/>
    <cellStyle name="输出 3 4 2 4 2" xfId="33857"/>
    <cellStyle name="输出 3 4 2 5" xfId="33852"/>
    <cellStyle name="输出 3 4 3" xfId="14850"/>
    <cellStyle name="输出 3 4 3 2" xfId="20795"/>
    <cellStyle name="输出 3 4 3 2 2" xfId="33859"/>
    <cellStyle name="输出 3 4 3 3" xfId="33858"/>
    <cellStyle name="输出 3 4 4" xfId="33860"/>
    <cellStyle name="输出 3 4 5" xfId="33851"/>
    <cellStyle name="输出 3 5" xfId="10228"/>
    <cellStyle name="输出 3 5 2" xfId="14851"/>
    <cellStyle name="输出 3 5 2 2" xfId="14852"/>
    <cellStyle name="输出 3 5 2 2 2" xfId="7507"/>
    <cellStyle name="输出 3 5 2 2 2 2" xfId="33864"/>
    <cellStyle name="输出 3 5 2 2 3" xfId="33863"/>
    <cellStyle name="输出 3 5 2 3" xfId="14853"/>
    <cellStyle name="输出 3 5 2 3 2" xfId="7508"/>
    <cellStyle name="输出 3 5 2 3 2 2" xfId="33866"/>
    <cellStyle name="输出 3 5 2 3 3" xfId="33865"/>
    <cellStyle name="输出 3 5 2 4" xfId="7506"/>
    <cellStyle name="输出 3 5 2 4 2" xfId="33867"/>
    <cellStyle name="输出 3 5 2 5" xfId="33862"/>
    <cellStyle name="输出 3 5 3" xfId="14854"/>
    <cellStyle name="输出 3 5 3 2" xfId="7509"/>
    <cellStyle name="输出 3 5 3 2 2" xfId="33869"/>
    <cellStyle name="输出 3 5 3 3" xfId="33868"/>
    <cellStyle name="输出 3 5 4" xfId="33870"/>
    <cellStyle name="输出 3 5 5" xfId="33861"/>
    <cellStyle name="输出 3 6" xfId="10229"/>
    <cellStyle name="输出 3 6 2" xfId="14855"/>
    <cellStyle name="输出 3 6 2 2" xfId="14856"/>
    <cellStyle name="输出 3 6 2 2 2" xfId="20794"/>
    <cellStyle name="输出 3 6 2 2 2 2" xfId="33874"/>
    <cellStyle name="输出 3 6 2 2 3" xfId="33873"/>
    <cellStyle name="输出 3 6 2 3" xfId="7510"/>
    <cellStyle name="输出 3 6 2 3 2" xfId="33875"/>
    <cellStyle name="输出 3 6 2 4" xfId="33872"/>
    <cellStyle name="输出 3 6 3" xfId="14857"/>
    <cellStyle name="输出 3 6 3 2" xfId="7511"/>
    <cellStyle name="输出 3 6 3 2 2" xfId="33877"/>
    <cellStyle name="输出 3 6 3 3" xfId="33876"/>
    <cellStyle name="输出 3 6 4" xfId="33878"/>
    <cellStyle name="输出 3 6 5" xfId="33871"/>
    <cellStyle name="输出 3 7" xfId="14858"/>
    <cellStyle name="输出 3 7 2" xfId="7512"/>
    <cellStyle name="输出 3 7 2 2" xfId="33880"/>
    <cellStyle name="输出 3 7 3" xfId="33879"/>
    <cellStyle name="输出 3 8" xfId="10223"/>
    <cellStyle name="输出 3 8 2" xfId="33882"/>
    <cellStyle name="输出 3 8 3" xfId="33881"/>
    <cellStyle name="输出 3 9" xfId="33883"/>
    <cellStyle name="输出 3 9 2" xfId="60737"/>
    <cellStyle name="输出 3 9 3" xfId="60738"/>
    <cellStyle name="输出 4" xfId="10230"/>
    <cellStyle name="输出 4 10" xfId="33884"/>
    <cellStyle name="输出 4 2" xfId="10231"/>
    <cellStyle name="输出 4 2 2" xfId="14859"/>
    <cellStyle name="输出 4 2 2 2" xfId="14860"/>
    <cellStyle name="输出 4 2 2 2 2" xfId="7514"/>
    <cellStyle name="输出 4 2 2 2 2 2" xfId="33888"/>
    <cellStyle name="输出 4 2 2 2 3" xfId="33887"/>
    <cellStyle name="输出 4 2 2 3" xfId="14861"/>
    <cellStyle name="输出 4 2 2 3 2" xfId="7515"/>
    <cellStyle name="输出 4 2 2 3 2 2" xfId="33890"/>
    <cellStyle name="输出 4 2 2 3 3" xfId="33889"/>
    <cellStyle name="输出 4 2 2 4" xfId="7513"/>
    <cellStyle name="输出 4 2 2 4 2" xfId="33891"/>
    <cellStyle name="输出 4 2 2 5" xfId="33886"/>
    <cellStyle name="输出 4 2 3" xfId="14862"/>
    <cellStyle name="输出 4 2 3 2" xfId="20793"/>
    <cellStyle name="输出 4 2 3 2 2" xfId="33893"/>
    <cellStyle name="输出 4 2 3 3" xfId="33892"/>
    <cellStyle name="输出 4 2 4" xfId="33894"/>
    <cellStyle name="输出 4 2 5" xfId="33885"/>
    <cellStyle name="输出 4 3" xfId="10232"/>
    <cellStyle name="输出 4 3 2" xfId="14863"/>
    <cellStyle name="输出 4 3 2 2" xfId="14864"/>
    <cellStyle name="输出 4 3 2 2 2" xfId="7517"/>
    <cellStyle name="输出 4 3 2 2 2 2" xfId="33898"/>
    <cellStyle name="输出 4 3 2 2 3" xfId="33897"/>
    <cellStyle name="输出 4 3 2 3" xfId="14865"/>
    <cellStyle name="输出 4 3 2 3 2" xfId="7518"/>
    <cellStyle name="输出 4 3 2 3 2 2" xfId="33900"/>
    <cellStyle name="输出 4 3 2 3 3" xfId="33899"/>
    <cellStyle name="输出 4 3 2 4" xfId="7516"/>
    <cellStyle name="输出 4 3 2 4 2" xfId="33901"/>
    <cellStyle name="输出 4 3 2 5" xfId="33896"/>
    <cellStyle name="输出 4 3 3" xfId="14866"/>
    <cellStyle name="输出 4 3 3 2" xfId="7519"/>
    <cellStyle name="输出 4 3 3 2 2" xfId="33903"/>
    <cellStyle name="输出 4 3 3 3" xfId="33902"/>
    <cellStyle name="输出 4 3 4" xfId="33904"/>
    <cellStyle name="输出 4 3 5" xfId="33895"/>
    <cellStyle name="输出 4 4" xfId="10233"/>
    <cellStyle name="输出 4 4 2" xfId="14867"/>
    <cellStyle name="输出 4 4 2 2" xfId="14868"/>
    <cellStyle name="输出 4 4 2 2 2" xfId="20792"/>
    <cellStyle name="输出 4 4 2 2 2 2" xfId="33908"/>
    <cellStyle name="输出 4 4 2 2 3" xfId="33907"/>
    <cellStyle name="输出 4 4 2 3" xfId="14869"/>
    <cellStyle name="输出 4 4 2 3 2" xfId="7521"/>
    <cellStyle name="输出 4 4 2 3 2 2" xfId="33910"/>
    <cellStyle name="输出 4 4 2 3 3" xfId="33909"/>
    <cellStyle name="输出 4 4 2 4" xfId="7520"/>
    <cellStyle name="输出 4 4 2 4 2" xfId="33911"/>
    <cellStyle name="输出 4 4 2 5" xfId="33906"/>
    <cellStyle name="输出 4 4 3" xfId="14870"/>
    <cellStyle name="输出 4 4 3 2" xfId="7522"/>
    <cellStyle name="输出 4 4 3 2 2" xfId="33913"/>
    <cellStyle name="输出 4 4 3 3" xfId="33912"/>
    <cellStyle name="输出 4 4 4" xfId="33914"/>
    <cellStyle name="输出 4 4 5" xfId="33905"/>
    <cellStyle name="输出 4 5" xfId="10234"/>
    <cellStyle name="输出 4 5 2" xfId="14871"/>
    <cellStyle name="输出 4 5 2 2" xfId="14872"/>
    <cellStyle name="输出 4 5 2 2 2" xfId="7524"/>
    <cellStyle name="输出 4 5 2 2 2 2" xfId="33918"/>
    <cellStyle name="输出 4 5 2 2 3" xfId="33917"/>
    <cellStyle name="输出 4 5 2 3" xfId="14873"/>
    <cellStyle name="输出 4 5 2 3 2" xfId="7525"/>
    <cellStyle name="输出 4 5 2 3 2 2" xfId="33920"/>
    <cellStyle name="输出 4 5 2 3 3" xfId="33919"/>
    <cellStyle name="输出 4 5 2 4" xfId="7523"/>
    <cellStyle name="输出 4 5 2 4 2" xfId="33921"/>
    <cellStyle name="输出 4 5 2 5" xfId="33916"/>
    <cellStyle name="输出 4 5 3" xfId="14874"/>
    <cellStyle name="输出 4 5 3 2" xfId="7526"/>
    <cellStyle name="输出 4 5 3 2 2" xfId="33923"/>
    <cellStyle name="输出 4 5 3 3" xfId="33922"/>
    <cellStyle name="输出 4 5 4" xfId="33924"/>
    <cellStyle name="输出 4 5 5" xfId="33915"/>
    <cellStyle name="输出 4 6" xfId="10235"/>
    <cellStyle name="输出 4 6 2" xfId="14875"/>
    <cellStyle name="输出 4 6 2 2" xfId="14876"/>
    <cellStyle name="输出 4 6 2 2 2" xfId="19400"/>
    <cellStyle name="输出 4 6 2 2 2 2" xfId="33928"/>
    <cellStyle name="输出 4 6 2 2 3" xfId="33927"/>
    <cellStyle name="输出 4 6 2 3" xfId="7527"/>
    <cellStyle name="输出 4 6 2 3 2" xfId="33929"/>
    <cellStyle name="输出 4 6 2 4" xfId="33926"/>
    <cellStyle name="输出 4 6 3" xfId="14877"/>
    <cellStyle name="输出 4 6 3 2" xfId="7528"/>
    <cellStyle name="输出 4 6 3 2 2" xfId="33931"/>
    <cellStyle name="输出 4 6 3 3" xfId="33930"/>
    <cellStyle name="输出 4 6 4" xfId="33932"/>
    <cellStyle name="输出 4 6 5" xfId="33925"/>
    <cellStyle name="输出 4 7" xfId="14878"/>
    <cellStyle name="输出 4 7 2" xfId="7529"/>
    <cellStyle name="输出 4 7 2 2" xfId="33934"/>
    <cellStyle name="输出 4 7 3" xfId="33933"/>
    <cellStyle name="输出 4 8" xfId="33935"/>
    <cellStyle name="输出 4 8 2" xfId="33936"/>
    <cellStyle name="输出 4 9" xfId="33937"/>
    <cellStyle name="输出 5" xfId="10236"/>
    <cellStyle name="输出 5 10" xfId="33939"/>
    <cellStyle name="输出 5 11" xfId="33938"/>
    <cellStyle name="输出 5 2" xfId="10237"/>
    <cellStyle name="输出 5 2 2" xfId="14879"/>
    <cellStyle name="输出 5 2 2 2" xfId="14880"/>
    <cellStyle name="输出 5 2 2 2 2" xfId="7530"/>
    <cellStyle name="输出 5 2 2 2 2 2" xfId="33943"/>
    <cellStyle name="输出 5 2 2 2 3" xfId="33942"/>
    <cellStyle name="输出 5 2 2 3" xfId="14881"/>
    <cellStyle name="输出 5 2 2 3 2" xfId="7531"/>
    <cellStyle name="输出 5 2 2 3 2 2" xfId="33945"/>
    <cellStyle name="输出 5 2 2 3 3" xfId="33944"/>
    <cellStyle name="输出 5 2 2 4" xfId="20791"/>
    <cellStyle name="输出 5 2 2 4 2" xfId="33946"/>
    <cellStyle name="输出 5 2 2 5" xfId="33941"/>
    <cellStyle name="输出 5 2 3" xfId="14882"/>
    <cellStyle name="输出 5 2 3 2" xfId="7532"/>
    <cellStyle name="输出 5 2 3 2 2" xfId="33948"/>
    <cellStyle name="输出 5 2 3 3" xfId="33947"/>
    <cellStyle name="输出 5 2 4" xfId="33949"/>
    <cellStyle name="输出 5 2 5" xfId="33940"/>
    <cellStyle name="输出 5 3" xfId="10238"/>
    <cellStyle name="输出 5 3 2" xfId="14883"/>
    <cellStyle name="输出 5 3 2 2" xfId="14884"/>
    <cellStyle name="输出 5 3 2 2 2" xfId="7534"/>
    <cellStyle name="输出 5 3 2 2 2 2" xfId="33953"/>
    <cellStyle name="输出 5 3 2 2 3" xfId="33952"/>
    <cellStyle name="输出 5 3 2 3" xfId="14885"/>
    <cellStyle name="输出 5 3 2 3 2" xfId="18572"/>
    <cellStyle name="输出 5 3 2 3 2 2" xfId="33955"/>
    <cellStyle name="输出 5 3 2 3 3" xfId="33954"/>
    <cellStyle name="输出 5 3 2 4" xfId="7533"/>
    <cellStyle name="输出 5 3 2 4 2" xfId="33956"/>
    <cellStyle name="输出 5 3 2 5" xfId="33951"/>
    <cellStyle name="输出 5 3 3" xfId="14886"/>
    <cellStyle name="输出 5 3 3 2" xfId="7535"/>
    <cellStyle name="输出 5 3 3 2 2" xfId="33958"/>
    <cellStyle name="输出 5 3 3 3" xfId="33957"/>
    <cellStyle name="输出 5 3 4" xfId="33959"/>
    <cellStyle name="输出 5 3 5" xfId="33950"/>
    <cellStyle name="输出 5 4" xfId="10239"/>
    <cellStyle name="输出 5 4 2" xfId="14887"/>
    <cellStyle name="输出 5 4 2 2" xfId="14888"/>
    <cellStyle name="输出 5 4 2 2 2" xfId="7537"/>
    <cellStyle name="输出 5 4 2 2 2 2" xfId="33963"/>
    <cellStyle name="输出 5 4 2 2 3" xfId="33962"/>
    <cellStyle name="输出 5 4 2 3" xfId="14889"/>
    <cellStyle name="输出 5 4 2 3 2" xfId="7538"/>
    <cellStyle name="输出 5 4 2 3 2 2" xfId="33965"/>
    <cellStyle name="输出 5 4 2 3 3" xfId="33964"/>
    <cellStyle name="输出 5 4 2 4" xfId="7536"/>
    <cellStyle name="输出 5 4 2 4 2" xfId="33966"/>
    <cellStyle name="输出 5 4 2 5" xfId="33961"/>
    <cellStyle name="输出 5 4 3" xfId="14890"/>
    <cellStyle name="输出 5 4 3 2" xfId="7539"/>
    <cellStyle name="输出 5 4 3 2 2" xfId="33968"/>
    <cellStyle name="输出 5 4 3 3" xfId="33967"/>
    <cellStyle name="输出 5 4 4" xfId="33969"/>
    <cellStyle name="输出 5 4 5" xfId="33960"/>
    <cellStyle name="输出 5 5" xfId="10240"/>
    <cellStyle name="输出 5 5 2" xfId="14891"/>
    <cellStyle name="输出 5 5 2 2" xfId="14892"/>
    <cellStyle name="输出 5 5 2 2 2" xfId="7540"/>
    <cellStyle name="输出 5 5 2 2 2 2" xfId="33973"/>
    <cellStyle name="输出 5 5 2 2 3" xfId="33972"/>
    <cellStyle name="输出 5 5 2 3" xfId="14893"/>
    <cellStyle name="输出 5 5 2 3 2" xfId="7541"/>
    <cellStyle name="输出 5 5 2 3 2 2" xfId="33975"/>
    <cellStyle name="输出 5 5 2 3 3" xfId="33974"/>
    <cellStyle name="输出 5 5 2 4" xfId="18571"/>
    <cellStyle name="输出 5 5 2 4 2" xfId="33976"/>
    <cellStyle name="输出 5 5 2 5" xfId="33971"/>
    <cellStyle name="输出 5 5 3" xfId="14894"/>
    <cellStyle name="输出 5 5 3 2" xfId="7542"/>
    <cellStyle name="输出 5 5 3 2 2" xfId="33978"/>
    <cellStyle name="输出 5 5 3 3" xfId="33977"/>
    <cellStyle name="输出 5 5 4" xfId="33979"/>
    <cellStyle name="输出 5 5 5" xfId="33970"/>
    <cellStyle name="输出 5 6" xfId="10241"/>
    <cellStyle name="输出 5 6 2" xfId="14895"/>
    <cellStyle name="输出 5 6 2 2" xfId="14896"/>
    <cellStyle name="输出 5 6 2 2 2" xfId="7544"/>
    <cellStyle name="输出 5 6 2 2 2 2" xfId="33983"/>
    <cellStyle name="输出 5 6 2 2 3" xfId="33982"/>
    <cellStyle name="输出 5 6 2 3" xfId="7543"/>
    <cellStyle name="输出 5 6 2 3 2" xfId="33984"/>
    <cellStyle name="输出 5 6 2 4" xfId="33981"/>
    <cellStyle name="输出 5 6 3" xfId="14897"/>
    <cellStyle name="输出 5 6 3 2" xfId="20790"/>
    <cellStyle name="输出 5 6 3 2 2" xfId="33986"/>
    <cellStyle name="输出 5 6 3 3" xfId="33985"/>
    <cellStyle name="输出 5 6 4" xfId="33987"/>
    <cellStyle name="输出 5 6 5" xfId="33980"/>
    <cellStyle name="输出 5 7" xfId="14898"/>
    <cellStyle name="输出 5 7 2" xfId="14899"/>
    <cellStyle name="输出 5 7 2 2" xfId="7546"/>
    <cellStyle name="输出 5 7 2 2 2" xfId="33990"/>
    <cellStyle name="输出 5 7 2 3" xfId="33989"/>
    <cellStyle name="输出 5 7 3" xfId="14900"/>
    <cellStyle name="输出 5 7 3 2" xfId="7547"/>
    <cellStyle name="输出 5 7 3 2 2" xfId="33992"/>
    <cellStyle name="输出 5 7 3 3" xfId="33991"/>
    <cellStyle name="输出 5 7 4" xfId="7545"/>
    <cellStyle name="输出 5 7 4 2" xfId="33993"/>
    <cellStyle name="输出 5 7 5" xfId="33988"/>
    <cellStyle name="输出 5 8" xfId="14901"/>
    <cellStyle name="输出 5 8 2" xfId="7548"/>
    <cellStyle name="输出 5 8 2 2" xfId="33995"/>
    <cellStyle name="输出 5 8 3" xfId="33994"/>
    <cellStyle name="输出 5 9" xfId="33996"/>
    <cellStyle name="输出 5 9 2" xfId="33997"/>
    <cellStyle name="输出 6" xfId="10242"/>
    <cellStyle name="输出 6 2" xfId="10243"/>
    <cellStyle name="输出 6 2 2" xfId="14902"/>
    <cellStyle name="输出 6 2 2 2" xfId="14903"/>
    <cellStyle name="输出 6 2 2 2 2" xfId="20788"/>
    <cellStyle name="输出 6 2 2 2 2 2" xfId="34002"/>
    <cellStyle name="输出 6 2 2 2 3" xfId="34001"/>
    <cellStyle name="输出 6 2 2 3" xfId="14904"/>
    <cellStyle name="输出 6 2 2 3 2" xfId="7549"/>
    <cellStyle name="输出 6 2 2 3 2 2" xfId="34004"/>
    <cellStyle name="输出 6 2 2 3 3" xfId="34003"/>
    <cellStyle name="输出 6 2 2 4" xfId="20789"/>
    <cellStyle name="输出 6 2 2 4 2" xfId="34005"/>
    <cellStyle name="输出 6 2 2 5" xfId="34000"/>
    <cellStyle name="输出 6 2 3" xfId="14905"/>
    <cellStyle name="输出 6 2 3 2" xfId="7550"/>
    <cellStyle name="输出 6 2 3 2 2" xfId="34007"/>
    <cellStyle name="输出 6 2 3 3" xfId="34006"/>
    <cellStyle name="输出 6 2 4" xfId="34008"/>
    <cellStyle name="输出 6 2 5" xfId="33999"/>
    <cellStyle name="输出 6 3" xfId="10244"/>
    <cellStyle name="输出 6 3 2" xfId="14906"/>
    <cellStyle name="输出 6 3 2 2" xfId="14907"/>
    <cellStyle name="输出 6 3 2 2 2" xfId="7552"/>
    <cellStyle name="输出 6 3 2 2 2 2" xfId="34012"/>
    <cellStyle name="输出 6 3 2 2 3" xfId="34011"/>
    <cellStyle name="输出 6 3 2 3" xfId="14908"/>
    <cellStyle name="输出 6 3 2 3 2" xfId="7553"/>
    <cellStyle name="输出 6 3 2 3 2 2" xfId="34014"/>
    <cellStyle name="输出 6 3 2 3 3" xfId="34013"/>
    <cellStyle name="输出 6 3 2 4" xfId="7551"/>
    <cellStyle name="输出 6 3 2 4 2" xfId="34015"/>
    <cellStyle name="输出 6 3 2 5" xfId="34010"/>
    <cellStyle name="输出 6 3 3" xfId="14909"/>
    <cellStyle name="输出 6 3 3 2" xfId="20787"/>
    <cellStyle name="输出 6 3 3 2 2" xfId="34017"/>
    <cellStyle name="输出 6 3 3 3" xfId="34016"/>
    <cellStyle name="输出 6 3 4" xfId="34018"/>
    <cellStyle name="输出 6 3 5" xfId="34009"/>
    <cellStyle name="输出 6 4" xfId="10245"/>
    <cellStyle name="输出 6 4 2" xfId="14910"/>
    <cellStyle name="输出 6 4 2 2" xfId="14911"/>
    <cellStyle name="输出 6 4 2 2 2" xfId="7555"/>
    <cellStyle name="输出 6 4 2 2 2 2" xfId="34022"/>
    <cellStyle name="输出 6 4 2 2 3" xfId="34021"/>
    <cellStyle name="输出 6 4 2 3" xfId="14912"/>
    <cellStyle name="输出 6 4 2 3 2" xfId="7556"/>
    <cellStyle name="输出 6 4 2 3 2 2" xfId="34024"/>
    <cellStyle name="输出 6 4 2 3 3" xfId="34023"/>
    <cellStyle name="输出 6 4 2 4" xfId="7554"/>
    <cellStyle name="输出 6 4 2 4 2" xfId="34025"/>
    <cellStyle name="输出 6 4 2 5" xfId="34020"/>
    <cellStyle name="输出 6 4 3" xfId="14913"/>
    <cellStyle name="输出 6 4 3 2" xfId="7557"/>
    <cellStyle name="输出 6 4 3 2 2" xfId="34027"/>
    <cellStyle name="输出 6 4 3 3" xfId="34026"/>
    <cellStyle name="输出 6 4 4" xfId="34028"/>
    <cellStyle name="输出 6 4 5" xfId="34019"/>
    <cellStyle name="输出 6 5" xfId="10246"/>
    <cellStyle name="输出 6 5 2" xfId="14914"/>
    <cellStyle name="输出 6 5 2 2" xfId="14915"/>
    <cellStyle name="输出 6 5 2 2 2" xfId="20786"/>
    <cellStyle name="输出 6 5 2 2 2 2" xfId="34032"/>
    <cellStyle name="输出 6 5 2 2 3" xfId="34031"/>
    <cellStyle name="输出 6 5 2 3" xfId="14916"/>
    <cellStyle name="输出 6 5 2 3 2" xfId="7559"/>
    <cellStyle name="输出 6 5 2 3 2 2" xfId="34034"/>
    <cellStyle name="输出 6 5 2 3 3" xfId="34033"/>
    <cellStyle name="输出 6 5 2 4" xfId="7558"/>
    <cellStyle name="输出 6 5 2 4 2" xfId="34035"/>
    <cellStyle name="输出 6 5 2 5" xfId="34030"/>
    <cellStyle name="输出 6 5 3" xfId="14917"/>
    <cellStyle name="输出 6 5 3 2" xfId="7560"/>
    <cellStyle name="输出 6 5 3 2 2" xfId="34037"/>
    <cellStyle name="输出 6 5 3 3" xfId="34036"/>
    <cellStyle name="输出 6 5 4" xfId="34038"/>
    <cellStyle name="输出 6 5 5" xfId="34029"/>
    <cellStyle name="输出 6 6" xfId="14918"/>
    <cellStyle name="输出 6 6 2" xfId="14919"/>
    <cellStyle name="输出 6 6 2 2" xfId="7563"/>
    <cellStyle name="输出 6 6 2 2 2" xfId="34041"/>
    <cellStyle name="输出 6 6 2 3" xfId="34040"/>
    <cellStyle name="输出 6 6 3" xfId="14920"/>
    <cellStyle name="输出 6 6 3 2" xfId="7564"/>
    <cellStyle name="输出 6 6 3 2 2" xfId="34043"/>
    <cellStyle name="输出 6 6 3 3" xfId="34042"/>
    <cellStyle name="输出 6 6 4" xfId="7562"/>
    <cellStyle name="输出 6 6 4 2" xfId="34044"/>
    <cellStyle name="输出 6 6 5" xfId="34039"/>
    <cellStyle name="输出 6 7" xfId="14921"/>
    <cellStyle name="输出 6 7 2" xfId="20785"/>
    <cellStyle name="输出 6 7 2 2" xfId="34046"/>
    <cellStyle name="输出 6 7 3" xfId="34045"/>
    <cellStyle name="输出 6 8" xfId="34047"/>
    <cellStyle name="输出 6 9" xfId="33998"/>
    <cellStyle name="输出 7" xfId="10247"/>
    <cellStyle name="输出 7 2" xfId="10248"/>
    <cellStyle name="输出 7 2 2" xfId="14922"/>
    <cellStyle name="输出 7 2 2 2" xfId="14923"/>
    <cellStyle name="输出 7 2 2 2 2" xfId="7566"/>
    <cellStyle name="输出 7 2 2 2 2 2" xfId="34052"/>
    <cellStyle name="输出 7 2 2 2 3" xfId="34051"/>
    <cellStyle name="输出 7 2 2 3" xfId="14924"/>
    <cellStyle name="输出 7 2 2 3 2" xfId="7567"/>
    <cellStyle name="输出 7 2 2 3 2 2" xfId="34054"/>
    <cellStyle name="输出 7 2 2 3 3" xfId="34053"/>
    <cellStyle name="输出 7 2 2 4" xfId="7565"/>
    <cellStyle name="输出 7 2 2 4 2" xfId="34055"/>
    <cellStyle name="输出 7 2 2 5" xfId="34050"/>
    <cellStyle name="输出 7 2 3" xfId="14925"/>
    <cellStyle name="输出 7 2 3 2" xfId="7568"/>
    <cellStyle name="输出 7 2 3 2 2" xfId="34057"/>
    <cellStyle name="输出 7 2 3 3" xfId="34056"/>
    <cellStyle name="输出 7 2 4" xfId="34058"/>
    <cellStyle name="输出 7 2 5" xfId="34049"/>
    <cellStyle name="输出 7 3" xfId="10249"/>
    <cellStyle name="输出 7 3 2" xfId="14926"/>
    <cellStyle name="输出 7 3 2 2" xfId="14927"/>
    <cellStyle name="输出 7 3 2 2 2" xfId="7570"/>
    <cellStyle name="输出 7 3 2 2 2 2" xfId="34062"/>
    <cellStyle name="输出 7 3 2 2 3" xfId="34061"/>
    <cellStyle name="输出 7 3 2 3" xfId="14928"/>
    <cellStyle name="输出 7 3 2 3 2" xfId="7571"/>
    <cellStyle name="输出 7 3 2 3 2 2" xfId="34064"/>
    <cellStyle name="输出 7 3 2 3 3" xfId="34063"/>
    <cellStyle name="输出 7 3 2 4" xfId="7569"/>
    <cellStyle name="输出 7 3 2 4 2" xfId="34065"/>
    <cellStyle name="输出 7 3 2 5" xfId="34060"/>
    <cellStyle name="输出 7 3 3" xfId="14929"/>
    <cellStyle name="输出 7 3 3 2" xfId="7572"/>
    <cellStyle name="输出 7 3 3 2 2" xfId="34067"/>
    <cellStyle name="输出 7 3 3 3" xfId="34066"/>
    <cellStyle name="输出 7 3 4" xfId="34068"/>
    <cellStyle name="输出 7 3 5" xfId="34059"/>
    <cellStyle name="输出 7 4" xfId="10250"/>
    <cellStyle name="输出 7 4 2" xfId="14930"/>
    <cellStyle name="输出 7 4 2 2" xfId="14931"/>
    <cellStyle name="输出 7 4 2 2 2" xfId="7574"/>
    <cellStyle name="输出 7 4 2 2 2 2" xfId="34072"/>
    <cellStyle name="输出 7 4 2 2 3" xfId="34071"/>
    <cellStyle name="输出 7 4 2 3" xfId="14932"/>
    <cellStyle name="输出 7 4 2 3 2" xfId="20784"/>
    <cellStyle name="输出 7 4 2 3 2 2" xfId="34074"/>
    <cellStyle name="输出 7 4 2 3 3" xfId="34073"/>
    <cellStyle name="输出 7 4 2 4" xfId="7573"/>
    <cellStyle name="输出 7 4 2 4 2" xfId="34075"/>
    <cellStyle name="输出 7 4 2 5" xfId="34070"/>
    <cellStyle name="输出 7 4 3" xfId="14933"/>
    <cellStyle name="输出 7 4 3 2" xfId="20783"/>
    <cellStyle name="输出 7 4 3 2 2" xfId="34077"/>
    <cellStyle name="输出 7 4 3 3" xfId="34076"/>
    <cellStyle name="输出 7 4 4" xfId="34078"/>
    <cellStyle name="输出 7 4 5" xfId="34069"/>
    <cellStyle name="输出 7 5" xfId="10251"/>
    <cellStyle name="输出 7 5 2" xfId="14934"/>
    <cellStyle name="输出 7 5 2 2" xfId="14935"/>
    <cellStyle name="输出 7 5 2 2 2" xfId="7576"/>
    <cellStyle name="输出 7 5 2 2 2 2" xfId="34082"/>
    <cellStyle name="输出 7 5 2 2 3" xfId="34081"/>
    <cellStyle name="输出 7 5 2 3" xfId="14936"/>
    <cellStyle name="输出 7 5 2 3 2" xfId="7577"/>
    <cellStyle name="输出 7 5 2 3 2 2" xfId="34084"/>
    <cellStyle name="输出 7 5 2 3 3" xfId="34083"/>
    <cellStyle name="输出 7 5 2 4" xfId="7575"/>
    <cellStyle name="输出 7 5 2 4 2" xfId="34085"/>
    <cellStyle name="输出 7 5 2 5" xfId="34080"/>
    <cellStyle name="输出 7 5 3" xfId="14937"/>
    <cellStyle name="输出 7 5 3 2" xfId="7578"/>
    <cellStyle name="输出 7 5 3 2 2" xfId="34087"/>
    <cellStyle name="输出 7 5 3 3" xfId="34086"/>
    <cellStyle name="输出 7 5 4" xfId="34088"/>
    <cellStyle name="输出 7 5 5" xfId="34079"/>
    <cellStyle name="输出 7 6" xfId="14938"/>
    <cellStyle name="输出 7 6 2" xfId="14939"/>
    <cellStyle name="输出 7 6 2 2" xfId="20782"/>
    <cellStyle name="输出 7 6 2 2 2" xfId="34091"/>
    <cellStyle name="输出 7 6 2 3" xfId="34090"/>
    <cellStyle name="输出 7 6 3" xfId="14940"/>
    <cellStyle name="输出 7 6 3 2" xfId="7580"/>
    <cellStyle name="输出 7 6 3 2 2" xfId="34093"/>
    <cellStyle name="输出 7 6 3 3" xfId="34092"/>
    <cellStyle name="输出 7 6 4" xfId="7579"/>
    <cellStyle name="输出 7 6 4 2" xfId="34094"/>
    <cellStyle name="输出 7 6 5" xfId="34089"/>
    <cellStyle name="输出 7 7" xfId="14941"/>
    <cellStyle name="输出 7 7 2" xfId="7582"/>
    <cellStyle name="输出 7 7 2 2" xfId="34096"/>
    <cellStyle name="输出 7 7 3" xfId="34095"/>
    <cellStyle name="输出 7 8" xfId="34097"/>
    <cellStyle name="输出 7 9" xfId="34048"/>
    <cellStyle name="输出 8" xfId="10252"/>
    <cellStyle name="输出 8 2" xfId="10253"/>
    <cellStyle name="输出 8 2 2" xfId="14942"/>
    <cellStyle name="输出 8 2 2 2" xfId="14943"/>
    <cellStyle name="输出 8 2 2 2 2" xfId="7584"/>
    <cellStyle name="输出 8 2 2 2 2 2" xfId="34102"/>
    <cellStyle name="输出 8 2 2 2 3" xfId="34101"/>
    <cellStyle name="输出 8 2 2 3" xfId="14944"/>
    <cellStyle name="输出 8 2 2 3 2" xfId="7585"/>
    <cellStyle name="输出 8 2 2 3 2 2" xfId="34104"/>
    <cellStyle name="输出 8 2 2 3 3" xfId="34103"/>
    <cellStyle name="输出 8 2 2 4" xfId="7583"/>
    <cellStyle name="输出 8 2 2 4 2" xfId="34105"/>
    <cellStyle name="输出 8 2 2 5" xfId="34100"/>
    <cellStyle name="输出 8 2 3" xfId="14945"/>
    <cellStyle name="输出 8 2 3 2" xfId="20781"/>
    <cellStyle name="输出 8 2 3 2 2" xfId="34107"/>
    <cellStyle name="输出 8 2 3 3" xfId="34106"/>
    <cellStyle name="输出 8 2 4" xfId="34108"/>
    <cellStyle name="输出 8 2 5" xfId="34099"/>
    <cellStyle name="输出 8 3" xfId="10254"/>
    <cellStyle name="输出 8 3 2" xfId="14946"/>
    <cellStyle name="输出 8 3 2 2" xfId="14947"/>
    <cellStyle name="输出 8 3 2 2 2" xfId="7587"/>
    <cellStyle name="输出 8 3 2 2 2 2" xfId="34112"/>
    <cellStyle name="输出 8 3 2 2 3" xfId="34111"/>
    <cellStyle name="输出 8 3 2 3" xfId="14948"/>
    <cellStyle name="输出 8 3 2 3 2" xfId="7588"/>
    <cellStyle name="输出 8 3 2 3 2 2" xfId="34114"/>
    <cellStyle name="输出 8 3 2 3 3" xfId="34113"/>
    <cellStyle name="输出 8 3 2 4" xfId="7586"/>
    <cellStyle name="输出 8 3 2 4 2" xfId="34115"/>
    <cellStyle name="输出 8 3 2 5" xfId="34110"/>
    <cellStyle name="输出 8 3 3" xfId="14949"/>
    <cellStyle name="输出 8 3 3 2" xfId="7589"/>
    <cellStyle name="输出 8 3 3 2 2" xfId="34117"/>
    <cellStyle name="输出 8 3 3 3" xfId="34116"/>
    <cellStyle name="输出 8 3 4" xfId="34118"/>
    <cellStyle name="输出 8 3 5" xfId="34109"/>
    <cellStyle name="输出 8 4" xfId="10255"/>
    <cellStyle name="输出 8 4 2" xfId="14950"/>
    <cellStyle name="输出 8 4 2 2" xfId="14951"/>
    <cellStyle name="输出 8 4 2 2 2" xfId="18570"/>
    <cellStyle name="输出 8 4 2 2 2 2" xfId="34122"/>
    <cellStyle name="输出 8 4 2 2 3" xfId="34121"/>
    <cellStyle name="输出 8 4 2 3" xfId="14952"/>
    <cellStyle name="输出 8 4 2 3 2" xfId="7591"/>
    <cellStyle name="输出 8 4 2 3 2 2" xfId="34124"/>
    <cellStyle name="输出 8 4 2 3 3" xfId="34123"/>
    <cellStyle name="输出 8 4 2 4" xfId="7590"/>
    <cellStyle name="输出 8 4 2 4 2" xfId="34125"/>
    <cellStyle name="输出 8 4 2 5" xfId="34120"/>
    <cellStyle name="输出 8 4 3" xfId="14953"/>
    <cellStyle name="输出 8 4 3 2" xfId="7592"/>
    <cellStyle name="输出 8 4 3 2 2" xfId="34127"/>
    <cellStyle name="输出 8 4 3 3" xfId="34126"/>
    <cellStyle name="输出 8 4 4" xfId="34128"/>
    <cellStyle name="输出 8 4 5" xfId="34119"/>
    <cellStyle name="输出 8 5" xfId="10256"/>
    <cellStyle name="输出 8 5 2" xfId="14954"/>
    <cellStyle name="输出 8 5 2 2" xfId="14955"/>
    <cellStyle name="输出 8 5 2 2 2" xfId="7594"/>
    <cellStyle name="输出 8 5 2 2 2 2" xfId="34132"/>
    <cellStyle name="输出 8 5 2 2 3" xfId="34131"/>
    <cellStyle name="输出 8 5 2 3" xfId="14956"/>
    <cellStyle name="输出 8 5 2 3 2" xfId="7595"/>
    <cellStyle name="输出 8 5 2 3 2 2" xfId="34134"/>
    <cellStyle name="输出 8 5 2 3 3" xfId="34133"/>
    <cellStyle name="输出 8 5 2 4" xfId="7593"/>
    <cellStyle name="输出 8 5 2 4 2" xfId="34135"/>
    <cellStyle name="输出 8 5 2 5" xfId="34130"/>
    <cellStyle name="输出 8 5 3" xfId="14957"/>
    <cellStyle name="输出 8 5 3 2" xfId="7596"/>
    <cellStyle name="输出 8 5 3 2 2" xfId="34137"/>
    <cellStyle name="输出 8 5 3 3" xfId="34136"/>
    <cellStyle name="输出 8 5 4" xfId="34138"/>
    <cellStyle name="输出 8 5 5" xfId="34129"/>
    <cellStyle name="输出 8 6" xfId="14958"/>
    <cellStyle name="输出 8 6 2" xfId="14959"/>
    <cellStyle name="输出 8 6 2 2" xfId="7598"/>
    <cellStyle name="输出 8 6 2 2 2" xfId="34141"/>
    <cellStyle name="输出 8 6 2 3" xfId="34140"/>
    <cellStyle name="输出 8 6 3" xfId="14960"/>
    <cellStyle name="输出 8 6 3 2" xfId="7599"/>
    <cellStyle name="输出 8 6 3 2 2" xfId="34143"/>
    <cellStyle name="输出 8 6 3 3" xfId="34142"/>
    <cellStyle name="输出 8 6 4" xfId="7597"/>
    <cellStyle name="输出 8 6 4 2" xfId="34144"/>
    <cellStyle name="输出 8 6 5" xfId="34139"/>
    <cellStyle name="输出 8 7" xfId="14961"/>
    <cellStyle name="输出 8 7 2" xfId="7600"/>
    <cellStyle name="输出 8 7 2 2" xfId="34146"/>
    <cellStyle name="输出 8 7 3" xfId="34145"/>
    <cellStyle name="输出 8 8" xfId="34147"/>
    <cellStyle name="输出 8 9" xfId="34098"/>
    <cellStyle name="输出 9" xfId="10257"/>
    <cellStyle name="输出 9 2" xfId="10258"/>
    <cellStyle name="输出 9 2 2" xfId="14962"/>
    <cellStyle name="输出 9 2 2 2" xfId="14963"/>
    <cellStyle name="输出 9 2 2 2 2" xfId="20779"/>
    <cellStyle name="输出 9 2 2 2 2 2" xfId="34152"/>
    <cellStyle name="输出 9 2 2 2 3" xfId="34151"/>
    <cellStyle name="输出 9 2 2 3" xfId="14964"/>
    <cellStyle name="输出 9 2 2 3 2" xfId="7601"/>
    <cellStyle name="输出 9 2 2 3 2 2" xfId="34154"/>
    <cellStyle name="输出 9 2 2 3 3" xfId="34153"/>
    <cellStyle name="输出 9 2 2 4" xfId="20780"/>
    <cellStyle name="输出 9 2 2 4 2" xfId="34155"/>
    <cellStyle name="输出 9 2 2 5" xfId="34150"/>
    <cellStyle name="输出 9 2 3" xfId="14965"/>
    <cellStyle name="输出 9 2 3 2" xfId="7602"/>
    <cellStyle name="输出 9 2 3 2 2" xfId="34157"/>
    <cellStyle name="输出 9 2 3 3" xfId="34156"/>
    <cellStyle name="输出 9 2 4" xfId="34158"/>
    <cellStyle name="输出 9 2 5" xfId="34149"/>
    <cellStyle name="输出 9 3" xfId="10259"/>
    <cellStyle name="输出 9 3 2" xfId="14966"/>
    <cellStyle name="输出 9 3 2 2" xfId="14967"/>
    <cellStyle name="输出 9 3 2 2 2" xfId="7613"/>
    <cellStyle name="输出 9 3 2 2 2 2" xfId="34162"/>
    <cellStyle name="输出 9 3 2 2 3" xfId="34161"/>
    <cellStyle name="输出 9 3 2 3" xfId="14968"/>
    <cellStyle name="输出 9 3 2 3 2" xfId="7614"/>
    <cellStyle name="输出 9 3 2 3 2 2" xfId="34164"/>
    <cellStyle name="输出 9 3 2 3 3" xfId="34163"/>
    <cellStyle name="输出 9 3 2 4" xfId="7611"/>
    <cellStyle name="输出 9 3 2 4 2" xfId="34165"/>
    <cellStyle name="输出 9 3 2 5" xfId="34160"/>
    <cellStyle name="输出 9 3 3" xfId="14969"/>
    <cellStyle name="输出 9 3 3 2" xfId="20778"/>
    <cellStyle name="输出 9 3 3 2 2" xfId="34167"/>
    <cellStyle name="输出 9 3 3 3" xfId="34166"/>
    <cellStyle name="输出 9 3 4" xfId="34168"/>
    <cellStyle name="输出 9 3 5" xfId="34159"/>
    <cellStyle name="输出 9 4" xfId="10260"/>
    <cellStyle name="输出 9 4 2" xfId="14970"/>
    <cellStyle name="输出 9 4 2 2" xfId="14971"/>
    <cellStyle name="输出 9 4 2 2 2" xfId="7617"/>
    <cellStyle name="输出 9 4 2 2 2 2" xfId="34172"/>
    <cellStyle name="输出 9 4 2 2 3" xfId="34171"/>
    <cellStyle name="输出 9 4 2 3" xfId="14972"/>
    <cellStyle name="输出 9 4 2 3 2" xfId="7624"/>
    <cellStyle name="输出 9 4 2 3 2 2" xfId="34174"/>
    <cellStyle name="输出 9 4 2 3 3" xfId="34173"/>
    <cellStyle name="输出 9 4 2 4" xfId="7615"/>
    <cellStyle name="输出 9 4 2 4 2" xfId="34175"/>
    <cellStyle name="输出 9 4 2 5" xfId="34170"/>
    <cellStyle name="输出 9 4 3" xfId="14973"/>
    <cellStyle name="输出 9 4 3 2" xfId="7637"/>
    <cellStyle name="输出 9 4 3 2 2" xfId="34177"/>
    <cellStyle name="输出 9 4 3 3" xfId="34176"/>
    <cellStyle name="输出 9 4 4" xfId="34178"/>
    <cellStyle name="输出 9 4 5" xfId="34169"/>
    <cellStyle name="输出 9 5" xfId="10261"/>
    <cellStyle name="输出 9 5 2" xfId="14974"/>
    <cellStyle name="输出 9 5 2 2" xfId="14975"/>
    <cellStyle name="输出 9 5 2 2 2" xfId="20777"/>
    <cellStyle name="输出 9 5 2 2 2 2" xfId="34182"/>
    <cellStyle name="输出 9 5 2 2 3" xfId="34181"/>
    <cellStyle name="输出 9 5 2 3" xfId="14976"/>
    <cellStyle name="输出 9 5 2 3 2" xfId="7651"/>
    <cellStyle name="输出 9 5 2 3 2 2" xfId="34184"/>
    <cellStyle name="输出 9 5 2 3 3" xfId="34183"/>
    <cellStyle name="输出 9 5 2 4" xfId="7640"/>
    <cellStyle name="输出 9 5 2 4 2" xfId="34185"/>
    <cellStyle name="输出 9 5 2 5" xfId="34180"/>
    <cellStyle name="输出 9 5 3" xfId="14977"/>
    <cellStyle name="输出 9 5 3 2" xfId="7653"/>
    <cellStyle name="输出 9 5 3 2 2" xfId="34187"/>
    <cellStyle name="输出 9 5 3 3" xfId="34186"/>
    <cellStyle name="输出 9 5 4" xfId="34188"/>
    <cellStyle name="输出 9 5 5" xfId="34179"/>
    <cellStyle name="输出 9 6" xfId="14978"/>
    <cellStyle name="输出 9 6 2" xfId="14979"/>
    <cellStyle name="输出 9 6 2 2" xfId="7669"/>
    <cellStyle name="输出 9 6 2 2 2" xfId="34191"/>
    <cellStyle name="输出 9 6 2 3" xfId="34190"/>
    <cellStyle name="输出 9 6 3" xfId="14980"/>
    <cellStyle name="输出 9 6 3 2" xfId="7672"/>
    <cellStyle name="输出 9 6 3 2 2" xfId="34193"/>
    <cellStyle name="输出 9 6 3 3" xfId="34192"/>
    <cellStyle name="输出 9 6 4" xfId="7668"/>
    <cellStyle name="输出 9 6 4 2" xfId="34194"/>
    <cellStyle name="输出 9 6 5" xfId="34189"/>
    <cellStyle name="输出 9 7" xfId="14981"/>
    <cellStyle name="输出 9 7 2" xfId="20776"/>
    <cellStyle name="输出 9 7 2 2" xfId="34196"/>
    <cellStyle name="输出 9 7 3" xfId="34195"/>
    <cellStyle name="输出 9 8" xfId="34197"/>
    <cellStyle name="输出 9 9" xfId="34148"/>
    <cellStyle name="输入 10" xfId="10262"/>
    <cellStyle name="输入 10 10" xfId="34198"/>
    <cellStyle name="输入 10 11" xfId="43603"/>
    <cellStyle name="输入 10 2" xfId="10263"/>
    <cellStyle name="输入 10 2 2" xfId="14982"/>
    <cellStyle name="输入 10 2 2 2" xfId="14983"/>
    <cellStyle name="输入 10 2 2 2 2" xfId="7734"/>
    <cellStyle name="输入 10 2 2 2 2 2" xfId="34202"/>
    <cellStyle name="输入 10 2 2 2 2 3" xfId="43607"/>
    <cellStyle name="输入 10 2 2 2 3" xfId="34201"/>
    <cellStyle name="输入 10 2 2 2 4" xfId="43606"/>
    <cellStyle name="输入 10 2 2 3" xfId="14984"/>
    <cellStyle name="输入 10 2 2 3 2" xfId="7799"/>
    <cellStyle name="输入 10 2 2 3 2 2" xfId="34204"/>
    <cellStyle name="输入 10 2 2 3 2 3" xfId="43609"/>
    <cellStyle name="输入 10 2 2 3 3" xfId="34203"/>
    <cellStyle name="输入 10 2 2 3 4" xfId="43608"/>
    <cellStyle name="输入 10 2 2 4" xfId="7733"/>
    <cellStyle name="输入 10 2 2 4 2" xfId="34205"/>
    <cellStyle name="输入 10 2 2 4 3" xfId="43610"/>
    <cellStyle name="输入 10 2 2 5" xfId="34200"/>
    <cellStyle name="输入 10 2 2 6" xfId="43605"/>
    <cellStyle name="输入 10 2 3" xfId="14985"/>
    <cellStyle name="输入 10 2 3 2" xfId="7905"/>
    <cellStyle name="输入 10 2 3 2 2" xfId="34207"/>
    <cellStyle name="输入 10 2 3 2 3" xfId="43612"/>
    <cellStyle name="输入 10 2 3 3" xfId="34206"/>
    <cellStyle name="输入 10 2 3 4" xfId="43611"/>
    <cellStyle name="输入 10 2 4" xfId="14986"/>
    <cellStyle name="输入 10 2 4 2" xfId="7965"/>
    <cellStyle name="输入 10 2 4 2 2" xfId="34209"/>
    <cellStyle name="输入 10 2 4 2 3" xfId="43614"/>
    <cellStyle name="输入 10 2 4 3" xfId="34208"/>
    <cellStyle name="输入 10 2 4 4" xfId="43613"/>
    <cellStyle name="输入 10 2 5" xfId="34210"/>
    <cellStyle name="输入 10 2 5 2" xfId="43615"/>
    <cellStyle name="输入 10 2 6" xfId="34199"/>
    <cellStyle name="输入 10 2 7" xfId="43604"/>
    <cellStyle name="输入 10 3" xfId="10264"/>
    <cellStyle name="输入 10 3 2" xfId="14987"/>
    <cellStyle name="输入 10 3 2 2" xfId="14988"/>
    <cellStyle name="输入 10 3 2 2 2" xfId="7969"/>
    <cellStyle name="输入 10 3 2 2 2 2" xfId="34214"/>
    <cellStyle name="输入 10 3 2 2 2 3" xfId="43619"/>
    <cellStyle name="输入 10 3 2 2 3" xfId="34213"/>
    <cellStyle name="输入 10 3 2 2 4" xfId="43618"/>
    <cellStyle name="输入 10 3 2 3" xfId="14989"/>
    <cellStyle name="输入 10 3 2 3 2" xfId="7971"/>
    <cellStyle name="输入 10 3 2 3 2 2" xfId="34216"/>
    <cellStyle name="输入 10 3 2 3 2 3" xfId="43621"/>
    <cellStyle name="输入 10 3 2 3 3" xfId="34215"/>
    <cellStyle name="输入 10 3 2 3 4" xfId="43620"/>
    <cellStyle name="输入 10 3 2 4" xfId="7966"/>
    <cellStyle name="输入 10 3 2 4 2" xfId="34217"/>
    <cellStyle name="输入 10 3 2 4 3" xfId="43622"/>
    <cellStyle name="输入 10 3 2 5" xfId="34212"/>
    <cellStyle name="输入 10 3 2 6" xfId="43617"/>
    <cellStyle name="输入 10 3 3" xfId="14990"/>
    <cellStyle name="输入 10 3 3 2" xfId="7972"/>
    <cellStyle name="输入 10 3 3 2 2" xfId="34219"/>
    <cellStyle name="输入 10 3 3 2 3" xfId="43624"/>
    <cellStyle name="输入 10 3 3 3" xfId="34218"/>
    <cellStyle name="输入 10 3 3 4" xfId="43623"/>
    <cellStyle name="输入 10 3 4" xfId="14991"/>
    <cellStyle name="输入 10 3 4 2" xfId="7973"/>
    <cellStyle name="输入 10 3 4 2 2" xfId="34221"/>
    <cellStyle name="输入 10 3 4 2 3" xfId="43626"/>
    <cellStyle name="输入 10 3 4 3" xfId="34220"/>
    <cellStyle name="输入 10 3 4 4" xfId="43625"/>
    <cellStyle name="输入 10 3 5" xfId="34222"/>
    <cellStyle name="输入 10 3 5 2" xfId="43627"/>
    <cellStyle name="输入 10 3 6" xfId="34211"/>
    <cellStyle name="输入 10 3 7" xfId="43616"/>
    <cellStyle name="输入 10 4" xfId="10265"/>
    <cellStyle name="输入 10 4 2" xfId="14992"/>
    <cellStyle name="输入 10 4 2 2" xfId="14993"/>
    <cellStyle name="输入 10 4 2 2 2" xfId="20775"/>
    <cellStyle name="输入 10 4 2 2 2 2" xfId="34226"/>
    <cellStyle name="输入 10 4 2 2 2 3" xfId="43631"/>
    <cellStyle name="输入 10 4 2 2 3" xfId="34225"/>
    <cellStyle name="输入 10 4 2 2 4" xfId="43630"/>
    <cellStyle name="输入 10 4 2 3" xfId="14994"/>
    <cellStyle name="输入 10 4 2 3 2" xfId="7974"/>
    <cellStyle name="输入 10 4 2 3 2 2" xfId="34228"/>
    <cellStyle name="输入 10 4 2 3 2 3" xfId="43633"/>
    <cellStyle name="输入 10 4 2 3 3" xfId="34227"/>
    <cellStyle name="输入 10 4 2 3 4" xfId="43632"/>
    <cellStyle name="输入 10 4 2 4" xfId="18569"/>
    <cellStyle name="输入 10 4 2 4 2" xfId="34229"/>
    <cellStyle name="输入 10 4 2 4 3" xfId="43634"/>
    <cellStyle name="输入 10 4 2 5" xfId="34224"/>
    <cellStyle name="输入 10 4 2 6" xfId="43629"/>
    <cellStyle name="输入 10 4 3" xfId="14995"/>
    <cellStyle name="输入 10 4 3 2" xfId="7975"/>
    <cellStyle name="输入 10 4 3 2 2" xfId="34231"/>
    <cellStyle name="输入 10 4 3 2 3" xfId="43636"/>
    <cellStyle name="输入 10 4 3 3" xfId="34230"/>
    <cellStyle name="输入 10 4 3 4" xfId="43635"/>
    <cellStyle name="输入 10 4 4" xfId="14996"/>
    <cellStyle name="输入 10 4 4 2" xfId="7976"/>
    <cellStyle name="输入 10 4 4 2 2" xfId="34233"/>
    <cellStyle name="输入 10 4 4 2 3" xfId="43638"/>
    <cellStyle name="输入 10 4 4 3" xfId="34232"/>
    <cellStyle name="输入 10 4 4 4" xfId="43637"/>
    <cellStyle name="输入 10 4 5" xfId="34234"/>
    <cellStyle name="输入 10 4 5 2" xfId="43639"/>
    <cellStyle name="输入 10 4 6" xfId="34223"/>
    <cellStyle name="输入 10 4 7" xfId="43628"/>
    <cellStyle name="输入 10 5" xfId="10266"/>
    <cellStyle name="输入 10 5 2" xfId="14997"/>
    <cellStyle name="输入 10 5 2 2" xfId="14998"/>
    <cellStyle name="输入 10 5 2 2 2" xfId="7978"/>
    <cellStyle name="输入 10 5 2 2 2 2" xfId="34238"/>
    <cellStyle name="输入 10 5 2 2 2 3" xfId="43643"/>
    <cellStyle name="输入 10 5 2 2 3" xfId="34237"/>
    <cellStyle name="输入 10 5 2 2 4" xfId="43642"/>
    <cellStyle name="输入 10 5 2 3" xfId="14999"/>
    <cellStyle name="输入 10 5 2 3 2" xfId="20774"/>
    <cellStyle name="输入 10 5 2 3 2 2" xfId="34240"/>
    <cellStyle name="输入 10 5 2 3 2 3" xfId="43645"/>
    <cellStyle name="输入 10 5 2 3 3" xfId="34239"/>
    <cellStyle name="输入 10 5 2 3 4" xfId="43644"/>
    <cellStyle name="输入 10 5 2 4" xfId="7977"/>
    <cellStyle name="输入 10 5 2 4 2" xfId="34241"/>
    <cellStyle name="输入 10 5 2 4 3" xfId="43646"/>
    <cellStyle name="输入 10 5 2 5" xfId="34236"/>
    <cellStyle name="输入 10 5 2 6" xfId="43641"/>
    <cellStyle name="输入 10 5 3" xfId="15000"/>
    <cellStyle name="输入 10 5 3 2" xfId="7982"/>
    <cellStyle name="输入 10 5 3 2 2" xfId="34243"/>
    <cellStyle name="输入 10 5 3 2 3" xfId="43648"/>
    <cellStyle name="输入 10 5 3 3" xfId="34242"/>
    <cellStyle name="输入 10 5 3 4" xfId="43647"/>
    <cellStyle name="输入 10 5 4" xfId="15001"/>
    <cellStyle name="输入 10 5 4 2" xfId="7983"/>
    <cellStyle name="输入 10 5 4 2 2" xfId="34245"/>
    <cellStyle name="输入 10 5 4 2 3" xfId="43650"/>
    <cellStyle name="输入 10 5 4 3" xfId="34244"/>
    <cellStyle name="输入 10 5 4 4" xfId="43649"/>
    <cellStyle name="输入 10 5 5" xfId="34246"/>
    <cellStyle name="输入 10 5 5 2" xfId="43651"/>
    <cellStyle name="输入 10 5 6" xfId="34235"/>
    <cellStyle name="输入 10 5 7" xfId="43640"/>
    <cellStyle name="输入 10 6" xfId="15002"/>
    <cellStyle name="输入 10 6 2" xfId="15003"/>
    <cellStyle name="输入 10 6 2 2" xfId="8053"/>
    <cellStyle name="输入 10 6 2 2 2" xfId="34249"/>
    <cellStyle name="输入 10 6 2 2 3" xfId="43654"/>
    <cellStyle name="输入 10 6 2 3" xfId="34248"/>
    <cellStyle name="输入 10 6 2 4" xfId="43653"/>
    <cellStyle name="输入 10 6 3" xfId="15004"/>
    <cellStyle name="输入 10 6 3 2" xfId="8054"/>
    <cellStyle name="输入 10 6 3 2 2" xfId="34251"/>
    <cellStyle name="输入 10 6 3 2 3" xfId="43656"/>
    <cellStyle name="输入 10 6 3 3" xfId="34250"/>
    <cellStyle name="输入 10 6 3 4" xfId="43655"/>
    <cellStyle name="输入 10 6 4" xfId="8013"/>
    <cellStyle name="输入 10 6 4 2" xfId="34252"/>
    <cellStyle name="输入 10 6 4 3" xfId="43657"/>
    <cellStyle name="输入 10 6 5" xfId="34247"/>
    <cellStyle name="输入 10 6 6" xfId="43652"/>
    <cellStyle name="输入 10 7" xfId="15005"/>
    <cellStyle name="输入 10 7 2" xfId="20773"/>
    <cellStyle name="输入 10 7 2 2" xfId="34254"/>
    <cellStyle name="输入 10 7 2 3" xfId="43659"/>
    <cellStyle name="输入 10 7 3" xfId="34253"/>
    <cellStyle name="输入 10 7 4" xfId="43658"/>
    <cellStyle name="输入 10 8" xfId="15006"/>
    <cellStyle name="输入 10 8 2" xfId="8078"/>
    <cellStyle name="输入 10 8 2 2" xfId="34256"/>
    <cellStyle name="输入 10 8 2 3" xfId="43661"/>
    <cellStyle name="输入 10 8 3" xfId="34255"/>
    <cellStyle name="输入 10 8 4" xfId="43660"/>
    <cellStyle name="输入 10 9" xfId="34257"/>
    <cellStyle name="输入 10 9 2" xfId="43662"/>
    <cellStyle name="输入 11" xfId="10267"/>
    <cellStyle name="输入 11 10" xfId="34258"/>
    <cellStyle name="输入 11 11" xfId="43663"/>
    <cellStyle name="输入 11 2" xfId="10268"/>
    <cellStyle name="输入 11 2 2" xfId="15007"/>
    <cellStyle name="输入 11 2 2 2" xfId="15008"/>
    <cellStyle name="输入 11 2 2 2 2" xfId="8160"/>
    <cellStyle name="输入 11 2 2 2 2 2" xfId="34262"/>
    <cellStyle name="输入 11 2 2 2 2 3" xfId="43667"/>
    <cellStyle name="输入 11 2 2 2 3" xfId="34261"/>
    <cellStyle name="输入 11 2 2 2 4" xfId="43666"/>
    <cellStyle name="输入 11 2 2 3" xfId="15009"/>
    <cellStyle name="输入 11 2 2 3 2" xfId="8161"/>
    <cellStyle name="输入 11 2 2 3 2 2" xfId="34264"/>
    <cellStyle name="输入 11 2 2 3 2 3" xfId="43669"/>
    <cellStyle name="输入 11 2 2 3 3" xfId="34263"/>
    <cellStyle name="输入 11 2 2 3 4" xfId="43668"/>
    <cellStyle name="输入 11 2 2 4" xfId="8137"/>
    <cellStyle name="输入 11 2 2 4 2" xfId="34265"/>
    <cellStyle name="输入 11 2 2 4 3" xfId="43670"/>
    <cellStyle name="输入 11 2 2 5" xfId="34260"/>
    <cellStyle name="输入 11 2 2 6" xfId="43665"/>
    <cellStyle name="输入 11 2 3" xfId="15010"/>
    <cellStyle name="输入 11 2 3 2" xfId="8162"/>
    <cellStyle name="输入 11 2 3 2 2" xfId="34267"/>
    <cellStyle name="输入 11 2 3 2 3" xfId="43672"/>
    <cellStyle name="输入 11 2 3 3" xfId="34266"/>
    <cellStyle name="输入 11 2 3 4" xfId="43671"/>
    <cellStyle name="输入 11 2 4" xfId="15011"/>
    <cellStyle name="输入 11 2 4 2" xfId="20772"/>
    <cellStyle name="输入 11 2 4 2 2" xfId="34269"/>
    <cellStyle name="输入 11 2 4 2 3" xfId="43674"/>
    <cellStyle name="输入 11 2 4 3" xfId="34268"/>
    <cellStyle name="输入 11 2 4 4" xfId="43673"/>
    <cellStyle name="输入 11 2 5" xfId="34270"/>
    <cellStyle name="输入 11 2 5 2" xfId="43675"/>
    <cellStyle name="输入 11 2 6" xfId="34259"/>
    <cellStyle name="输入 11 2 7" xfId="43664"/>
    <cellStyle name="输入 11 3" xfId="10269"/>
    <cellStyle name="输入 11 3 2" xfId="15012"/>
    <cellStyle name="输入 11 3 2 2" xfId="15013"/>
    <cellStyle name="输入 11 3 2 2 2" xfId="8169"/>
    <cellStyle name="输入 11 3 2 2 2 2" xfId="34274"/>
    <cellStyle name="输入 11 3 2 2 2 3" xfId="43679"/>
    <cellStyle name="输入 11 3 2 2 3" xfId="34273"/>
    <cellStyle name="输入 11 3 2 2 4" xfId="43678"/>
    <cellStyle name="输入 11 3 2 3" xfId="15014"/>
    <cellStyle name="输入 11 3 2 3 2" xfId="19583"/>
    <cellStyle name="输入 11 3 2 3 2 2" xfId="34276"/>
    <cellStyle name="输入 11 3 2 3 2 3" xfId="43681"/>
    <cellStyle name="输入 11 3 2 3 3" xfId="34275"/>
    <cellStyle name="输入 11 3 2 3 4" xfId="43680"/>
    <cellStyle name="输入 11 3 2 4" xfId="8168"/>
    <cellStyle name="输入 11 3 2 4 2" xfId="34277"/>
    <cellStyle name="输入 11 3 2 4 3" xfId="43682"/>
    <cellStyle name="输入 11 3 2 5" xfId="34272"/>
    <cellStyle name="输入 11 3 2 6" xfId="43677"/>
    <cellStyle name="输入 11 3 3" xfId="15015"/>
    <cellStyle name="输入 11 3 3 2" xfId="8186"/>
    <cellStyle name="输入 11 3 3 2 2" xfId="34279"/>
    <cellStyle name="输入 11 3 3 2 3" xfId="43684"/>
    <cellStyle name="输入 11 3 3 3" xfId="34278"/>
    <cellStyle name="输入 11 3 3 4" xfId="43683"/>
    <cellStyle name="输入 11 3 4" xfId="15016"/>
    <cellStyle name="输入 11 3 4 2" xfId="8187"/>
    <cellStyle name="输入 11 3 4 2 2" xfId="34281"/>
    <cellStyle name="输入 11 3 4 2 3" xfId="43686"/>
    <cellStyle name="输入 11 3 4 3" xfId="34280"/>
    <cellStyle name="输入 11 3 4 4" xfId="43685"/>
    <cellStyle name="输入 11 3 5" xfId="34282"/>
    <cellStyle name="输入 11 3 5 2" xfId="43687"/>
    <cellStyle name="输入 11 3 6" xfId="34271"/>
    <cellStyle name="输入 11 3 7" xfId="43676"/>
    <cellStyle name="输入 11 4" xfId="10270"/>
    <cellStyle name="输入 11 4 2" xfId="15017"/>
    <cellStyle name="输入 11 4 2 2" xfId="15018"/>
    <cellStyle name="输入 11 4 2 2 2" xfId="8189"/>
    <cellStyle name="输入 11 4 2 2 2 2" xfId="34286"/>
    <cellStyle name="输入 11 4 2 2 2 3" xfId="43691"/>
    <cellStyle name="输入 11 4 2 2 3" xfId="34285"/>
    <cellStyle name="输入 11 4 2 2 4" xfId="43690"/>
    <cellStyle name="输入 11 4 2 3" xfId="15019"/>
    <cellStyle name="输入 11 4 2 3 2" xfId="8190"/>
    <cellStyle name="输入 11 4 2 3 2 2" xfId="34288"/>
    <cellStyle name="输入 11 4 2 3 2 3" xfId="43693"/>
    <cellStyle name="输入 11 4 2 3 3" xfId="34287"/>
    <cellStyle name="输入 11 4 2 3 4" xfId="43692"/>
    <cellStyle name="输入 11 4 2 4" xfId="8188"/>
    <cellStyle name="输入 11 4 2 4 2" xfId="34289"/>
    <cellStyle name="输入 11 4 2 4 3" xfId="43694"/>
    <cellStyle name="输入 11 4 2 5" xfId="34284"/>
    <cellStyle name="输入 11 4 2 6" xfId="43689"/>
    <cellStyle name="输入 11 4 3" xfId="15020"/>
    <cellStyle name="输入 11 4 3 2" xfId="8191"/>
    <cellStyle name="输入 11 4 3 2 2" xfId="34291"/>
    <cellStyle name="输入 11 4 3 2 3" xfId="43696"/>
    <cellStyle name="输入 11 4 3 3" xfId="34290"/>
    <cellStyle name="输入 11 4 3 4" xfId="43695"/>
    <cellStyle name="输入 11 4 4" xfId="15021"/>
    <cellStyle name="输入 11 4 4 2" xfId="8246"/>
    <cellStyle name="输入 11 4 4 2 2" xfId="34293"/>
    <cellStyle name="输入 11 4 4 2 3" xfId="43698"/>
    <cellStyle name="输入 11 4 4 3" xfId="34292"/>
    <cellStyle name="输入 11 4 4 4" xfId="43697"/>
    <cellStyle name="输入 11 4 5" xfId="34294"/>
    <cellStyle name="输入 11 4 5 2" xfId="43699"/>
    <cellStyle name="输入 11 4 6" xfId="34283"/>
    <cellStyle name="输入 11 4 7" xfId="43688"/>
    <cellStyle name="输入 11 5" xfId="10271"/>
    <cellStyle name="输入 11 5 2" xfId="15022"/>
    <cellStyle name="输入 11 5 2 2" xfId="15023"/>
    <cellStyle name="输入 11 5 2 2 2" xfId="20771"/>
    <cellStyle name="输入 11 5 2 2 2 2" xfId="34298"/>
    <cellStyle name="输入 11 5 2 2 2 3" xfId="43703"/>
    <cellStyle name="输入 11 5 2 2 3" xfId="34297"/>
    <cellStyle name="输入 11 5 2 2 4" xfId="43702"/>
    <cellStyle name="输入 11 5 2 3" xfId="15024"/>
    <cellStyle name="输入 11 5 2 3 2" xfId="18568"/>
    <cellStyle name="输入 11 5 2 3 2 2" xfId="34300"/>
    <cellStyle name="输入 11 5 2 3 2 3" xfId="43705"/>
    <cellStyle name="输入 11 5 2 3 3" xfId="34299"/>
    <cellStyle name="输入 11 5 2 3 4" xfId="43704"/>
    <cellStyle name="输入 11 5 2 4" xfId="8247"/>
    <cellStyle name="输入 11 5 2 4 2" xfId="34301"/>
    <cellStyle name="输入 11 5 2 4 3" xfId="43706"/>
    <cellStyle name="输入 11 5 2 5" xfId="34296"/>
    <cellStyle name="输入 11 5 2 6" xfId="43701"/>
    <cellStyle name="输入 11 5 3" xfId="15025"/>
    <cellStyle name="输入 11 5 3 2" xfId="8248"/>
    <cellStyle name="输入 11 5 3 2 2" xfId="34303"/>
    <cellStyle name="输入 11 5 3 2 3" xfId="43708"/>
    <cellStyle name="输入 11 5 3 3" xfId="34302"/>
    <cellStyle name="输入 11 5 3 4" xfId="43707"/>
    <cellStyle name="输入 11 5 4" xfId="15026"/>
    <cellStyle name="输入 11 5 4 2" xfId="8250"/>
    <cellStyle name="输入 11 5 4 2 2" xfId="34305"/>
    <cellStyle name="输入 11 5 4 2 3" xfId="43710"/>
    <cellStyle name="输入 11 5 4 3" xfId="34304"/>
    <cellStyle name="输入 11 5 4 4" xfId="43709"/>
    <cellStyle name="输入 11 5 5" xfId="34306"/>
    <cellStyle name="输入 11 5 5 2" xfId="43711"/>
    <cellStyle name="输入 11 5 6" xfId="34295"/>
    <cellStyle name="输入 11 5 7" xfId="43700"/>
    <cellStyle name="输入 11 6" xfId="15027"/>
    <cellStyle name="输入 11 6 2" xfId="15028"/>
    <cellStyle name="输入 11 6 2 2" xfId="8252"/>
    <cellStyle name="输入 11 6 2 2 2" xfId="34309"/>
    <cellStyle name="输入 11 6 2 2 3" xfId="43714"/>
    <cellStyle name="输入 11 6 2 3" xfId="34308"/>
    <cellStyle name="输入 11 6 2 4" xfId="43713"/>
    <cellStyle name="输入 11 6 3" xfId="15029"/>
    <cellStyle name="输入 11 6 3 2" xfId="8254"/>
    <cellStyle name="输入 11 6 3 2 2" xfId="34311"/>
    <cellStyle name="输入 11 6 3 2 3" xfId="43716"/>
    <cellStyle name="输入 11 6 3 3" xfId="34310"/>
    <cellStyle name="输入 11 6 3 4" xfId="43715"/>
    <cellStyle name="输入 11 6 4" xfId="8251"/>
    <cellStyle name="输入 11 6 4 2" xfId="34312"/>
    <cellStyle name="输入 11 6 4 3" xfId="43717"/>
    <cellStyle name="输入 11 6 5" xfId="34307"/>
    <cellStyle name="输入 11 6 6" xfId="43712"/>
    <cellStyle name="输入 11 7" xfId="15030"/>
    <cellStyle name="输入 11 7 2" xfId="20770"/>
    <cellStyle name="输入 11 7 2 2" xfId="34314"/>
    <cellStyle name="输入 11 7 2 3" xfId="43719"/>
    <cellStyle name="输入 11 7 3" xfId="34313"/>
    <cellStyle name="输入 11 7 4" xfId="43718"/>
    <cellStyle name="输入 11 8" xfId="15031"/>
    <cellStyle name="输入 11 8 2" xfId="8255"/>
    <cellStyle name="输入 11 8 2 2" xfId="34316"/>
    <cellStyle name="输入 11 8 2 3" xfId="43721"/>
    <cellStyle name="输入 11 8 3" xfId="34315"/>
    <cellStyle name="输入 11 8 4" xfId="43720"/>
    <cellStyle name="输入 11 9" xfId="34317"/>
    <cellStyle name="输入 11 9 2" xfId="43722"/>
    <cellStyle name="输入 12" xfId="34318"/>
    <cellStyle name="输入 12 2" xfId="43723"/>
    <cellStyle name="输入 2" xfId="685"/>
    <cellStyle name="输入 2 10" xfId="10273"/>
    <cellStyle name="输入 2 10 10" xfId="34320"/>
    <cellStyle name="输入 2 10 11" xfId="43724"/>
    <cellStyle name="输入 2 10 2" xfId="10274"/>
    <cellStyle name="输入 2 10 2 2" xfId="15032"/>
    <cellStyle name="输入 2 10 2 2 2" xfId="15033"/>
    <cellStyle name="输入 2 10 2 2 2 2" xfId="8263"/>
    <cellStyle name="输入 2 10 2 2 2 2 2" xfId="34324"/>
    <cellStyle name="输入 2 10 2 2 2 2 3" xfId="43728"/>
    <cellStyle name="输入 2 10 2 2 2 3" xfId="34323"/>
    <cellStyle name="输入 2 10 2 2 2 4" xfId="43727"/>
    <cellStyle name="输入 2 10 2 2 3" xfId="15034"/>
    <cellStyle name="输入 2 10 2 2 3 2" xfId="8267"/>
    <cellStyle name="输入 2 10 2 2 3 2 2" xfId="34326"/>
    <cellStyle name="输入 2 10 2 2 3 2 3" xfId="43730"/>
    <cellStyle name="输入 2 10 2 2 3 3" xfId="34325"/>
    <cellStyle name="输入 2 10 2 2 3 4" xfId="43729"/>
    <cellStyle name="输入 2 10 2 2 4" xfId="8256"/>
    <cellStyle name="输入 2 10 2 2 4 2" xfId="34327"/>
    <cellStyle name="输入 2 10 2 2 4 3" xfId="43731"/>
    <cellStyle name="输入 2 10 2 2 5" xfId="34322"/>
    <cellStyle name="输入 2 10 2 2 6" xfId="43726"/>
    <cellStyle name="输入 2 10 2 3" xfId="15035"/>
    <cellStyle name="输入 2 10 2 3 2" xfId="19399"/>
    <cellStyle name="输入 2 10 2 3 2 2" xfId="34329"/>
    <cellStyle name="输入 2 10 2 3 2 3" xfId="43733"/>
    <cellStyle name="输入 2 10 2 3 3" xfId="34328"/>
    <cellStyle name="输入 2 10 2 3 4" xfId="43732"/>
    <cellStyle name="输入 2 10 2 4" xfId="15036"/>
    <cellStyle name="输入 2 10 2 4 2" xfId="20769"/>
    <cellStyle name="输入 2 10 2 4 2 2" xfId="34331"/>
    <cellStyle name="输入 2 10 2 4 2 3" xfId="43735"/>
    <cellStyle name="输入 2 10 2 4 3" xfId="34330"/>
    <cellStyle name="输入 2 10 2 4 4" xfId="43734"/>
    <cellStyle name="输入 2 10 2 5" xfId="34332"/>
    <cellStyle name="输入 2 10 2 5 2" xfId="43736"/>
    <cellStyle name="输入 2 10 2 6" xfId="34321"/>
    <cellStyle name="输入 2 10 2 7" xfId="43725"/>
    <cellStyle name="输入 2 10 3" xfId="10275"/>
    <cellStyle name="输入 2 10 3 2" xfId="15037"/>
    <cellStyle name="输入 2 10 3 2 2" xfId="15038"/>
    <cellStyle name="输入 2 10 3 2 2 2" xfId="19397"/>
    <cellStyle name="输入 2 10 3 2 2 2 2" xfId="34336"/>
    <cellStyle name="输入 2 10 3 2 2 2 3" xfId="43740"/>
    <cellStyle name="输入 2 10 3 2 2 3" xfId="34335"/>
    <cellStyle name="输入 2 10 3 2 2 4" xfId="43739"/>
    <cellStyle name="输入 2 10 3 2 3" xfId="15039"/>
    <cellStyle name="输入 2 10 3 2 3 2" xfId="19396"/>
    <cellStyle name="输入 2 10 3 2 3 2 2" xfId="34338"/>
    <cellStyle name="输入 2 10 3 2 3 2 3" xfId="43742"/>
    <cellStyle name="输入 2 10 3 2 3 3" xfId="34337"/>
    <cellStyle name="输入 2 10 3 2 3 4" xfId="43741"/>
    <cellStyle name="输入 2 10 3 2 4" xfId="19398"/>
    <cellStyle name="输入 2 10 3 2 4 2" xfId="34339"/>
    <cellStyle name="输入 2 10 3 2 4 3" xfId="43743"/>
    <cellStyle name="输入 2 10 3 2 5" xfId="34334"/>
    <cellStyle name="输入 2 10 3 2 6" xfId="43738"/>
    <cellStyle name="输入 2 10 3 3" xfId="15040"/>
    <cellStyle name="输入 2 10 3 3 2" xfId="19395"/>
    <cellStyle name="输入 2 10 3 3 2 2" xfId="34341"/>
    <cellStyle name="输入 2 10 3 3 2 3" xfId="43745"/>
    <cellStyle name="输入 2 10 3 3 3" xfId="34340"/>
    <cellStyle name="输入 2 10 3 3 4" xfId="43744"/>
    <cellStyle name="输入 2 10 3 4" xfId="15041"/>
    <cellStyle name="输入 2 10 3 4 2" xfId="19394"/>
    <cellStyle name="输入 2 10 3 4 2 2" xfId="34343"/>
    <cellStyle name="输入 2 10 3 4 2 3" xfId="43747"/>
    <cellStyle name="输入 2 10 3 4 3" xfId="34342"/>
    <cellStyle name="输入 2 10 3 4 4" xfId="43746"/>
    <cellStyle name="输入 2 10 3 5" xfId="34344"/>
    <cellStyle name="输入 2 10 3 5 2" xfId="43748"/>
    <cellStyle name="输入 2 10 3 6" xfId="34333"/>
    <cellStyle name="输入 2 10 3 7" xfId="43737"/>
    <cellStyle name="输入 2 10 4" xfId="10276"/>
    <cellStyle name="输入 2 10 4 2" xfId="15042"/>
    <cellStyle name="输入 2 10 4 2 2" xfId="15043"/>
    <cellStyle name="输入 2 10 4 2 2 2" xfId="19393"/>
    <cellStyle name="输入 2 10 4 2 2 2 2" xfId="34348"/>
    <cellStyle name="输入 2 10 4 2 2 2 3" xfId="43752"/>
    <cellStyle name="输入 2 10 4 2 2 3" xfId="34347"/>
    <cellStyle name="输入 2 10 4 2 2 4" xfId="43751"/>
    <cellStyle name="输入 2 10 4 2 3" xfId="15044"/>
    <cellStyle name="输入 2 10 4 2 3 2" xfId="19392"/>
    <cellStyle name="输入 2 10 4 2 3 2 2" xfId="34350"/>
    <cellStyle name="输入 2 10 4 2 3 2 3" xfId="43754"/>
    <cellStyle name="输入 2 10 4 2 3 3" xfId="34349"/>
    <cellStyle name="输入 2 10 4 2 3 4" xfId="43753"/>
    <cellStyle name="输入 2 10 4 2 4" xfId="20768"/>
    <cellStyle name="输入 2 10 4 2 4 2" xfId="34351"/>
    <cellStyle name="输入 2 10 4 2 4 3" xfId="43755"/>
    <cellStyle name="输入 2 10 4 2 5" xfId="34346"/>
    <cellStyle name="输入 2 10 4 2 6" xfId="43750"/>
    <cellStyle name="输入 2 10 4 3" xfId="15045"/>
    <cellStyle name="输入 2 10 4 3 2" xfId="19391"/>
    <cellStyle name="输入 2 10 4 3 2 2" xfId="34353"/>
    <cellStyle name="输入 2 10 4 3 2 3" xfId="43757"/>
    <cellStyle name="输入 2 10 4 3 3" xfId="34352"/>
    <cellStyle name="输入 2 10 4 3 4" xfId="43756"/>
    <cellStyle name="输入 2 10 4 4" xfId="15046"/>
    <cellStyle name="输入 2 10 4 4 2" xfId="19390"/>
    <cellStyle name="输入 2 10 4 4 2 2" xfId="34355"/>
    <cellStyle name="输入 2 10 4 4 2 3" xfId="43759"/>
    <cellStyle name="输入 2 10 4 4 3" xfId="34354"/>
    <cellStyle name="输入 2 10 4 4 4" xfId="43758"/>
    <cellStyle name="输入 2 10 4 5" xfId="34356"/>
    <cellStyle name="输入 2 10 4 5 2" xfId="43760"/>
    <cellStyle name="输入 2 10 4 6" xfId="34345"/>
    <cellStyle name="输入 2 10 4 7" xfId="43749"/>
    <cellStyle name="输入 2 10 5" xfId="10277"/>
    <cellStyle name="输入 2 10 5 2" xfId="15047"/>
    <cellStyle name="输入 2 10 5 2 2" xfId="15048"/>
    <cellStyle name="输入 2 10 5 2 2 2" xfId="19389"/>
    <cellStyle name="输入 2 10 5 2 2 2 2" xfId="34360"/>
    <cellStyle name="输入 2 10 5 2 2 2 3" xfId="43764"/>
    <cellStyle name="输入 2 10 5 2 2 3" xfId="34359"/>
    <cellStyle name="输入 2 10 5 2 2 4" xfId="43763"/>
    <cellStyle name="输入 2 10 5 2 3" xfId="15049"/>
    <cellStyle name="输入 2 10 5 2 3 2" xfId="19388"/>
    <cellStyle name="输入 2 10 5 2 3 2 2" xfId="34362"/>
    <cellStyle name="输入 2 10 5 2 3 2 3" xfId="43766"/>
    <cellStyle name="输入 2 10 5 2 3 3" xfId="34361"/>
    <cellStyle name="输入 2 10 5 2 3 4" xfId="43765"/>
    <cellStyle name="输入 2 10 5 2 4" xfId="8268"/>
    <cellStyle name="输入 2 10 5 2 4 2" xfId="34363"/>
    <cellStyle name="输入 2 10 5 2 4 3" xfId="43767"/>
    <cellStyle name="输入 2 10 5 2 5" xfId="34358"/>
    <cellStyle name="输入 2 10 5 2 6" xfId="43762"/>
    <cellStyle name="输入 2 10 5 3" xfId="15050"/>
    <cellStyle name="输入 2 10 5 3 2" xfId="19387"/>
    <cellStyle name="输入 2 10 5 3 2 2" xfId="34365"/>
    <cellStyle name="输入 2 10 5 3 2 3" xfId="43769"/>
    <cellStyle name="输入 2 10 5 3 3" xfId="34364"/>
    <cellStyle name="输入 2 10 5 3 4" xfId="43768"/>
    <cellStyle name="输入 2 10 5 4" xfId="15051"/>
    <cellStyle name="输入 2 10 5 4 2" xfId="19386"/>
    <cellStyle name="输入 2 10 5 4 2 2" xfId="34367"/>
    <cellStyle name="输入 2 10 5 4 2 3" xfId="43771"/>
    <cellStyle name="输入 2 10 5 4 3" xfId="34366"/>
    <cellStyle name="输入 2 10 5 4 4" xfId="43770"/>
    <cellStyle name="输入 2 10 5 5" xfId="34368"/>
    <cellStyle name="输入 2 10 5 5 2" xfId="43772"/>
    <cellStyle name="输入 2 10 5 6" xfId="34357"/>
    <cellStyle name="输入 2 10 5 7" xfId="43761"/>
    <cellStyle name="输入 2 10 6" xfId="15052"/>
    <cellStyle name="输入 2 10 6 2" xfId="15053"/>
    <cellStyle name="输入 2 10 6 2 2" xfId="20767"/>
    <cellStyle name="输入 2 10 6 2 2 2" xfId="34371"/>
    <cellStyle name="输入 2 10 6 2 2 3" xfId="43775"/>
    <cellStyle name="输入 2 10 6 2 3" xfId="34370"/>
    <cellStyle name="输入 2 10 6 2 4" xfId="43774"/>
    <cellStyle name="输入 2 10 6 3" xfId="15054"/>
    <cellStyle name="输入 2 10 6 3 2" xfId="20766"/>
    <cellStyle name="输入 2 10 6 3 2 2" xfId="34373"/>
    <cellStyle name="输入 2 10 6 3 2 3" xfId="43777"/>
    <cellStyle name="输入 2 10 6 3 3" xfId="34372"/>
    <cellStyle name="输入 2 10 6 3 4" xfId="43776"/>
    <cellStyle name="输入 2 10 6 4" xfId="19385"/>
    <cellStyle name="输入 2 10 6 4 2" xfId="34374"/>
    <cellStyle name="输入 2 10 6 4 3" xfId="43778"/>
    <cellStyle name="输入 2 10 6 5" xfId="34369"/>
    <cellStyle name="输入 2 10 6 6" xfId="43773"/>
    <cellStyle name="输入 2 10 7" xfId="15055"/>
    <cellStyle name="输入 2 10 7 2" xfId="8272"/>
    <cellStyle name="输入 2 10 7 2 2" xfId="34376"/>
    <cellStyle name="输入 2 10 7 2 3" xfId="43780"/>
    <cellStyle name="输入 2 10 7 3" xfId="34375"/>
    <cellStyle name="输入 2 10 7 4" xfId="43779"/>
    <cellStyle name="输入 2 10 8" xfId="15056"/>
    <cellStyle name="输入 2 10 8 2" xfId="19384"/>
    <cellStyle name="输入 2 10 8 2 2" xfId="34378"/>
    <cellStyle name="输入 2 10 8 2 3" xfId="43782"/>
    <cellStyle name="输入 2 10 8 3" xfId="34377"/>
    <cellStyle name="输入 2 10 8 4" xfId="43781"/>
    <cellStyle name="输入 2 10 9" xfId="34379"/>
    <cellStyle name="输入 2 10 9 2" xfId="43783"/>
    <cellStyle name="输入 2 11" xfId="10278"/>
    <cellStyle name="输入 2 11 10" xfId="34380"/>
    <cellStyle name="输入 2 11 11" xfId="43784"/>
    <cellStyle name="输入 2 11 2" xfId="10279"/>
    <cellStyle name="输入 2 11 2 2" xfId="15057"/>
    <cellStyle name="输入 2 11 2 2 2" xfId="15058"/>
    <cellStyle name="输入 2 11 2 2 2 2" xfId="19382"/>
    <cellStyle name="输入 2 11 2 2 2 2 2" xfId="34384"/>
    <cellStyle name="输入 2 11 2 2 2 2 3" xfId="43788"/>
    <cellStyle name="输入 2 11 2 2 2 3" xfId="34383"/>
    <cellStyle name="输入 2 11 2 2 2 4" xfId="43787"/>
    <cellStyle name="输入 2 11 2 2 3" xfId="15059"/>
    <cellStyle name="输入 2 11 2 2 3 2" xfId="19381"/>
    <cellStyle name="输入 2 11 2 2 3 2 2" xfId="34386"/>
    <cellStyle name="输入 2 11 2 2 3 2 3" xfId="43790"/>
    <cellStyle name="输入 2 11 2 2 3 3" xfId="34385"/>
    <cellStyle name="输入 2 11 2 2 3 4" xfId="43789"/>
    <cellStyle name="输入 2 11 2 2 4" xfId="19383"/>
    <cellStyle name="输入 2 11 2 2 4 2" xfId="34387"/>
    <cellStyle name="输入 2 11 2 2 4 3" xfId="43791"/>
    <cellStyle name="输入 2 11 2 2 5" xfId="34382"/>
    <cellStyle name="输入 2 11 2 2 6" xfId="43786"/>
    <cellStyle name="输入 2 11 2 3" xfId="15060"/>
    <cellStyle name="输入 2 11 2 3 2" xfId="18567"/>
    <cellStyle name="输入 2 11 2 3 2 2" xfId="34389"/>
    <cellStyle name="输入 2 11 2 3 2 3" xfId="43793"/>
    <cellStyle name="输入 2 11 2 3 3" xfId="34388"/>
    <cellStyle name="输入 2 11 2 3 4" xfId="43792"/>
    <cellStyle name="输入 2 11 2 4" xfId="15061"/>
    <cellStyle name="输入 2 11 2 4 2" xfId="19380"/>
    <cellStyle name="输入 2 11 2 4 2 2" xfId="34391"/>
    <cellStyle name="输入 2 11 2 4 2 3" xfId="43795"/>
    <cellStyle name="输入 2 11 2 4 3" xfId="34390"/>
    <cellStyle name="输入 2 11 2 4 4" xfId="43794"/>
    <cellStyle name="输入 2 11 2 5" xfId="34392"/>
    <cellStyle name="输入 2 11 2 5 2" xfId="43796"/>
    <cellStyle name="输入 2 11 2 6" xfId="34381"/>
    <cellStyle name="输入 2 11 2 7" xfId="43785"/>
    <cellStyle name="输入 2 11 3" xfId="10280"/>
    <cellStyle name="输入 2 11 3 2" xfId="15062"/>
    <cellStyle name="输入 2 11 3 2 2" xfId="15063"/>
    <cellStyle name="输入 2 11 3 2 2 2" xfId="19379"/>
    <cellStyle name="输入 2 11 3 2 2 2 2" xfId="34396"/>
    <cellStyle name="输入 2 11 3 2 2 2 3" xfId="43800"/>
    <cellStyle name="输入 2 11 3 2 2 3" xfId="34395"/>
    <cellStyle name="输入 2 11 3 2 2 4" xfId="43799"/>
    <cellStyle name="输入 2 11 3 2 3" xfId="15064"/>
    <cellStyle name="输入 2 11 3 2 3 2" xfId="19378"/>
    <cellStyle name="输入 2 11 3 2 3 2 2" xfId="34398"/>
    <cellStyle name="输入 2 11 3 2 3 2 3" xfId="43802"/>
    <cellStyle name="输入 2 11 3 2 3 3" xfId="34397"/>
    <cellStyle name="输入 2 11 3 2 3 4" xfId="43801"/>
    <cellStyle name="输入 2 11 3 2 4" xfId="8273"/>
    <cellStyle name="输入 2 11 3 2 4 2" xfId="34399"/>
    <cellStyle name="输入 2 11 3 2 4 3" xfId="43803"/>
    <cellStyle name="输入 2 11 3 2 5" xfId="34394"/>
    <cellStyle name="输入 2 11 3 2 6" xfId="43798"/>
    <cellStyle name="输入 2 11 3 3" xfId="15065"/>
    <cellStyle name="输入 2 11 3 3 2" xfId="19377"/>
    <cellStyle name="输入 2 11 3 3 2 2" xfId="34401"/>
    <cellStyle name="输入 2 11 3 3 2 3" xfId="43805"/>
    <cellStyle name="输入 2 11 3 3 3" xfId="34400"/>
    <cellStyle name="输入 2 11 3 3 4" xfId="43804"/>
    <cellStyle name="输入 2 11 3 4" xfId="15066"/>
    <cellStyle name="输入 2 11 3 4 2" xfId="18566"/>
    <cellStyle name="输入 2 11 3 4 2 2" xfId="34403"/>
    <cellStyle name="输入 2 11 3 4 2 3" xfId="43807"/>
    <cellStyle name="输入 2 11 3 4 3" xfId="34402"/>
    <cellStyle name="输入 2 11 3 4 4" xfId="43806"/>
    <cellStyle name="输入 2 11 3 5" xfId="34404"/>
    <cellStyle name="输入 2 11 3 5 2" xfId="43808"/>
    <cellStyle name="输入 2 11 3 6" xfId="34393"/>
    <cellStyle name="输入 2 11 3 7" xfId="43797"/>
    <cellStyle name="输入 2 11 4" xfId="10281"/>
    <cellStyle name="输入 2 11 4 2" xfId="15067"/>
    <cellStyle name="输入 2 11 4 2 2" xfId="15068"/>
    <cellStyle name="输入 2 11 4 2 2 2" xfId="19375"/>
    <cellStyle name="输入 2 11 4 2 2 2 2" xfId="34408"/>
    <cellStyle name="输入 2 11 4 2 2 2 3" xfId="43812"/>
    <cellStyle name="输入 2 11 4 2 2 3" xfId="34407"/>
    <cellStyle name="输入 2 11 4 2 2 4" xfId="43811"/>
    <cellStyle name="输入 2 11 4 2 3" xfId="15069"/>
    <cellStyle name="输入 2 11 4 2 3 2" xfId="8274"/>
    <cellStyle name="输入 2 11 4 2 3 2 2" xfId="34410"/>
    <cellStyle name="输入 2 11 4 2 3 2 3" xfId="43814"/>
    <cellStyle name="输入 2 11 4 2 3 3" xfId="34409"/>
    <cellStyle name="输入 2 11 4 2 3 4" xfId="43813"/>
    <cellStyle name="输入 2 11 4 2 4" xfId="19376"/>
    <cellStyle name="输入 2 11 4 2 4 2" xfId="34411"/>
    <cellStyle name="输入 2 11 4 2 4 3" xfId="43815"/>
    <cellStyle name="输入 2 11 4 2 5" xfId="34406"/>
    <cellStyle name="输入 2 11 4 2 6" xfId="43810"/>
    <cellStyle name="输入 2 11 4 3" xfId="15070"/>
    <cellStyle name="输入 2 11 4 3 2" xfId="8275"/>
    <cellStyle name="输入 2 11 4 3 2 2" xfId="34413"/>
    <cellStyle name="输入 2 11 4 3 2 3" xfId="43817"/>
    <cellStyle name="输入 2 11 4 3 3" xfId="34412"/>
    <cellStyle name="输入 2 11 4 3 4" xfId="43816"/>
    <cellStyle name="输入 2 11 4 4" xfId="15071"/>
    <cellStyle name="输入 2 11 4 4 2" xfId="8276"/>
    <cellStyle name="输入 2 11 4 4 2 2" xfId="34415"/>
    <cellStyle name="输入 2 11 4 4 2 3" xfId="43819"/>
    <cellStyle name="输入 2 11 4 4 3" xfId="34414"/>
    <cellStyle name="输入 2 11 4 4 4" xfId="43818"/>
    <cellStyle name="输入 2 11 4 5" xfId="34416"/>
    <cellStyle name="输入 2 11 4 5 2" xfId="43820"/>
    <cellStyle name="输入 2 11 4 6" xfId="34405"/>
    <cellStyle name="输入 2 11 4 7" xfId="43809"/>
    <cellStyle name="输入 2 11 5" xfId="10282"/>
    <cellStyle name="输入 2 11 5 2" xfId="15072"/>
    <cellStyle name="输入 2 11 5 2 2" xfId="15073"/>
    <cellStyle name="输入 2 11 5 2 2 2" xfId="8277"/>
    <cellStyle name="输入 2 11 5 2 2 2 2" xfId="34420"/>
    <cellStyle name="输入 2 11 5 2 2 2 3" xfId="43824"/>
    <cellStyle name="输入 2 11 5 2 2 3" xfId="34419"/>
    <cellStyle name="输入 2 11 5 2 2 4" xfId="43823"/>
    <cellStyle name="输入 2 11 5 2 3" xfId="15074"/>
    <cellStyle name="输入 2 11 5 2 3 2" xfId="8278"/>
    <cellStyle name="输入 2 11 5 2 3 2 2" xfId="34422"/>
    <cellStyle name="输入 2 11 5 2 3 2 3" xfId="43826"/>
    <cellStyle name="输入 2 11 5 2 3 3" xfId="34421"/>
    <cellStyle name="输入 2 11 5 2 3 4" xfId="43825"/>
    <cellStyle name="输入 2 11 5 2 4" xfId="20765"/>
    <cellStyle name="输入 2 11 5 2 4 2" xfId="34423"/>
    <cellStyle name="输入 2 11 5 2 4 3" xfId="43827"/>
    <cellStyle name="输入 2 11 5 2 5" xfId="34418"/>
    <cellStyle name="输入 2 11 5 2 6" xfId="43822"/>
    <cellStyle name="输入 2 11 5 3" xfId="15075"/>
    <cellStyle name="输入 2 11 5 3 2" xfId="8279"/>
    <cellStyle name="输入 2 11 5 3 2 2" xfId="34425"/>
    <cellStyle name="输入 2 11 5 3 2 3" xfId="43829"/>
    <cellStyle name="输入 2 11 5 3 3" xfId="34424"/>
    <cellStyle name="输入 2 11 5 3 4" xfId="43828"/>
    <cellStyle name="输入 2 11 5 4" xfId="15076"/>
    <cellStyle name="输入 2 11 5 4 2" xfId="8280"/>
    <cellStyle name="输入 2 11 5 4 2 2" xfId="34427"/>
    <cellStyle name="输入 2 11 5 4 2 3" xfId="43831"/>
    <cellStyle name="输入 2 11 5 4 3" xfId="34426"/>
    <cellStyle name="输入 2 11 5 4 4" xfId="43830"/>
    <cellStyle name="输入 2 11 5 5" xfId="34428"/>
    <cellStyle name="输入 2 11 5 5 2" xfId="43832"/>
    <cellStyle name="输入 2 11 5 6" xfId="34417"/>
    <cellStyle name="输入 2 11 5 7" xfId="43821"/>
    <cellStyle name="输入 2 11 6" xfId="15077"/>
    <cellStyle name="输入 2 11 6 2" xfId="15078"/>
    <cellStyle name="输入 2 11 6 2 2" xfId="8282"/>
    <cellStyle name="输入 2 11 6 2 2 2" xfId="34431"/>
    <cellStyle name="输入 2 11 6 2 2 3" xfId="43835"/>
    <cellStyle name="输入 2 11 6 2 3" xfId="34430"/>
    <cellStyle name="输入 2 11 6 2 4" xfId="43834"/>
    <cellStyle name="输入 2 11 6 3" xfId="15079"/>
    <cellStyle name="输入 2 11 6 3 2" xfId="8283"/>
    <cellStyle name="输入 2 11 6 3 2 2" xfId="34433"/>
    <cellStyle name="输入 2 11 6 3 2 3" xfId="43837"/>
    <cellStyle name="输入 2 11 6 3 3" xfId="34432"/>
    <cellStyle name="输入 2 11 6 3 4" xfId="43836"/>
    <cellStyle name="输入 2 11 6 4" xfId="8281"/>
    <cellStyle name="输入 2 11 6 4 2" xfId="34434"/>
    <cellStyle name="输入 2 11 6 4 3" xfId="43838"/>
    <cellStyle name="输入 2 11 6 5" xfId="34429"/>
    <cellStyle name="输入 2 11 6 6" xfId="43833"/>
    <cellStyle name="输入 2 11 7" xfId="15080"/>
    <cellStyle name="输入 2 11 7 2" xfId="8284"/>
    <cellStyle name="输入 2 11 7 2 2" xfId="34436"/>
    <cellStyle name="输入 2 11 7 2 3" xfId="43840"/>
    <cellStyle name="输入 2 11 7 3" xfId="34435"/>
    <cellStyle name="输入 2 11 7 4" xfId="43839"/>
    <cellStyle name="输入 2 11 8" xfId="15081"/>
    <cellStyle name="输入 2 11 8 2" xfId="8285"/>
    <cellStyle name="输入 2 11 8 2 2" xfId="34438"/>
    <cellStyle name="输入 2 11 8 2 3" xfId="43842"/>
    <cellStyle name="输入 2 11 8 3" xfId="34437"/>
    <cellStyle name="输入 2 11 8 4" xfId="43841"/>
    <cellStyle name="输入 2 11 9" xfId="34439"/>
    <cellStyle name="输入 2 11 9 2" xfId="43843"/>
    <cellStyle name="输入 2 12" xfId="10283"/>
    <cellStyle name="输入 2 12 10" xfId="34440"/>
    <cellStyle name="输入 2 12 11" xfId="43844"/>
    <cellStyle name="输入 2 12 2" xfId="10284"/>
    <cellStyle name="输入 2 12 2 2" xfId="15082"/>
    <cellStyle name="输入 2 12 2 2 2" xfId="15083"/>
    <cellStyle name="输入 2 12 2 2 2 2" xfId="20764"/>
    <cellStyle name="输入 2 12 2 2 2 2 2" xfId="34444"/>
    <cellStyle name="输入 2 12 2 2 2 2 3" xfId="43848"/>
    <cellStyle name="输入 2 12 2 2 2 3" xfId="34443"/>
    <cellStyle name="输入 2 12 2 2 2 4" xfId="43847"/>
    <cellStyle name="输入 2 12 2 2 3" xfId="15084"/>
    <cellStyle name="输入 2 12 2 2 3 2" xfId="20763"/>
    <cellStyle name="输入 2 12 2 2 3 2 2" xfId="34446"/>
    <cellStyle name="输入 2 12 2 2 3 2 3" xfId="43850"/>
    <cellStyle name="输入 2 12 2 2 3 3" xfId="34445"/>
    <cellStyle name="输入 2 12 2 2 3 4" xfId="43849"/>
    <cellStyle name="输入 2 12 2 2 4" xfId="8286"/>
    <cellStyle name="输入 2 12 2 2 4 2" xfId="34447"/>
    <cellStyle name="输入 2 12 2 2 4 3" xfId="43851"/>
    <cellStyle name="输入 2 12 2 2 5" xfId="34442"/>
    <cellStyle name="输入 2 12 2 2 6" xfId="43846"/>
    <cellStyle name="输入 2 12 2 3" xfId="15085"/>
    <cellStyle name="输入 2 12 2 3 2" xfId="8287"/>
    <cellStyle name="输入 2 12 2 3 2 2" xfId="34449"/>
    <cellStyle name="输入 2 12 2 3 2 3" xfId="43853"/>
    <cellStyle name="输入 2 12 2 3 3" xfId="34448"/>
    <cellStyle name="输入 2 12 2 3 4" xfId="43852"/>
    <cellStyle name="输入 2 12 2 4" xfId="15086"/>
    <cellStyle name="输入 2 12 2 4 2" xfId="8288"/>
    <cellStyle name="输入 2 12 2 4 2 2" xfId="34451"/>
    <cellStyle name="输入 2 12 2 4 2 3" xfId="43855"/>
    <cellStyle name="输入 2 12 2 4 3" xfId="34450"/>
    <cellStyle name="输入 2 12 2 4 4" xfId="43854"/>
    <cellStyle name="输入 2 12 2 5" xfId="34452"/>
    <cellStyle name="输入 2 12 2 5 2" xfId="43856"/>
    <cellStyle name="输入 2 12 2 6" xfId="34441"/>
    <cellStyle name="输入 2 12 2 7" xfId="43845"/>
    <cellStyle name="输入 2 12 3" xfId="10285"/>
    <cellStyle name="输入 2 12 3 2" xfId="15087"/>
    <cellStyle name="输入 2 12 3 2 2" xfId="15088"/>
    <cellStyle name="输入 2 12 3 2 2 2" xfId="8290"/>
    <cellStyle name="输入 2 12 3 2 2 2 2" xfId="34456"/>
    <cellStyle name="输入 2 12 3 2 2 2 3" xfId="43860"/>
    <cellStyle name="输入 2 12 3 2 2 3" xfId="34455"/>
    <cellStyle name="输入 2 12 3 2 2 4" xfId="43859"/>
    <cellStyle name="输入 2 12 3 2 3" xfId="15089"/>
    <cellStyle name="输入 2 12 3 2 3 2" xfId="8291"/>
    <cellStyle name="输入 2 12 3 2 3 2 2" xfId="34458"/>
    <cellStyle name="输入 2 12 3 2 3 2 3" xfId="43862"/>
    <cellStyle name="输入 2 12 3 2 3 3" xfId="34457"/>
    <cellStyle name="输入 2 12 3 2 3 4" xfId="43861"/>
    <cellStyle name="输入 2 12 3 2 4" xfId="8289"/>
    <cellStyle name="输入 2 12 3 2 4 2" xfId="34459"/>
    <cellStyle name="输入 2 12 3 2 4 3" xfId="43863"/>
    <cellStyle name="输入 2 12 3 2 5" xfId="34454"/>
    <cellStyle name="输入 2 12 3 2 6" xfId="43858"/>
    <cellStyle name="输入 2 12 3 3" xfId="15090"/>
    <cellStyle name="输入 2 12 3 3 2" xfId="20762"/>
    <cellStyle name="输入 2 12 3 3 2 2" xfId="34461"/>
    <cellStyle name="输入 2 12 3 3 2 3" xfId="43865"/>
    <cellStyle name="输入 2 12 3 3 3" xfId="34460"/>
    <cellStyle name="输入 2 12 3 3 4" xfId="43864"/>
    <cellStyle name="输入 2 12 3 4" xfId="15091"/>
    <cellStyle name="输入 2 12 3 4 2" xfId="8292"/>
    <cellStyle name="输入 2 12 3 4 2 2" xfId="34463"/>
    <cellStyle name="输入 2 12 3 4 2 3" xfId="43867"/>
    <cellStyle name="输入 2 12 3 4 3" xfId="34462"/>
    <cellStyle name="输入 2 12 3 4 4" xfId="43866"/>
    <cellStyle name="输入 2 12 3 5" xfId="34464"/>
    <cellStyle name="输入 2 12 3 5 2" xfId="43868"/>
    <cellStyle name="输入 2 12 3 6" xfId="34453"/>
    <cellStyle name="输入 2 12 3 7" xfId="43857"/>
    <cellStyle name="输入 2 12 4" xfId="10286"/>
    <cellStyle name="输入 2 12 4 2" xfId="15092"/>
    <cellStyle name="输入 2 12 4 2 2" xfId="15093"/>
    <cellStyle name="输入 2 12 4 2 2 2" xfId="8294"/>
    <cellStyle name="输入 2 12 4 2 2 2 2" xfId="34468"/>
    <cellStyle name="输入 2 12 4 2 2 2 3" xfId="43872"/>
    <cellStyle name="输入 2 12 4 2 2 3" xfId="34467"/>
    <cellStyle name="输入 2 12 4 2 2 4" xfId="43871"/>
    <cellStyle name="输入 2 12 4 2 3" xfId="15094"/>
    <cellStyle name="输入 2 12 4 2 3 2" xfId="8295"/>
    <cellStyle name="输入 2 12 4 2 3 2 2" xfId="34470"/>
    <cellStyle name="输入 2 12 4 2 3 2 3" xfId="43874"/>
    <cellStyle name="输入 2 12 4 2 3 3" xfId="34469"/>
    <cellStyle name="输入 2 12 4 2 3 4" xfId="43873"/>
    <cellStyle name="输入 2 12 4 2 4" xfId="8293"/>
    <cellStyle name="输入 2 12 4 2 4 2" xfId="34471"/>
    <cellStyle name="输入 2 12 4 2 4 3" xfId="43875"/>
    <cellStyle name="输入 2 12 4 2 5" xfId="34466"/>
    <cellStyle name="输入 2 12 4 2 6" xfId="43870"/>
    <cellStyle name="输入 2 12 4 3" xfId="15095"/>
    <cellStyle name="输入 2 12 4 3 2" xfId="8296"/>
    <cellStyle name="输入 2 12 4 3 2 2" xfId="34473"/>
    <cellStyle name="输入 2 12 4 3 2 3" xfId="43877"/>
    <cellStyle name="输入 2 12 4 3 3" xfId="34472"/>
    <cellStyle name="输入 2 12 4 3 4" xfId="43876"/>
    <cellStyle name="输入 2 12 4 4" xfId="15096"/>
    <cellStyle name="输入 2 12 4 4 2" xfId="20761"/>
    <cellStyle name="输入 2 12 4 4 2 2" xfId="34475"/>
    <cellStyle name="输入 2 12 4 4 2 3" xfId="43879"/>
    <cellStyle name="输入 2 12 4 4 3" xfId="34474"/>
    <cellStyle name="输入 2 12 4 4 4" xfId="43878"/>
    <cellStyle name="输入 2 12 4 5" xfId="34476"/>
    <cellStyle name="输入 2 12 4 5 2" xfId="43880"/>
    <cellStyle name="输入 2 12 4 6" xfId="34465"/>
    <cellStyle name="输入 2 12 4 7" xfId="43869"/>
    <cellStyle name="输入 2 12 5" xfId="10287"/>
    <cellStyle name="输入 2 12 5 2" xfId="15097"/>
    <cellStyle name="输入 2 12 5 2 2" xfId="15098"/>
    <cellStyle name="输入 2 12 5 2 2 2" xfId="8298"/>
    <cellStyle name="输入 2 12 5 2 2 2 2" xfId="34480"/>
    <cellStyle name="输入 2 12 5 2 2 2 3" xfId="43884"/>
    <cellStyle name="输入 2 12 5 2 2 3" xfId="34479"/>
    <cellStyle name="输入 2 12 5 2 2 4" xfId="43883"/>
    <cellStyle name="输入 2 12 5 2 3" xfId="15099"/>
    <cellStyle name="输入 2 12 5 2 3 2" xfId="8299"/>
    <cellStyle name="输入 2 12 5 2 3 2 2" xfId="34482"/>
    <cellStyle name="输入 2 12 5 2 3 2 3" xfId="43886"/>
    <cellStyle name="输入 2 12 5 2 3 3" xfId="34481"/>
    <cellStyle name="输入 2 12 5 2 3 4" xfId="43885"/>
    <cellStyle name="输入 2 12 5 2 4" xfId="8297"/>
    <cellStyle name="输入 2 12 5 2 4 2" xfId="34483"/>
    <cellStyle name="输入 2 12 5 2 4 3" xfId="43887"/>
    <cellStyle name="输入 2 12 5 2 5" xfId="34478"/>
    <cellStyle name="输入 2 12 5 2 6" xfId="43882"/>
    <cellStyle name="输入 2 12 5 3" xfId="15100"/>
    <cellStyle name="输入 2 12 5 3 2" xfId="8300"/>
    <cellStyle name="输入 2 12 5 3 2 2" xfId="34485"/>
    <cellStyle name="输入 2 12 5 3 2 3" xfId="43889"/>
    <cellStyle name="输入 2 12 5 3 3" xfId="34484"/>
    <cellStyle name="输入 2 12 5 3 4" xfId="43888"/>
    <cellStyle name="输入 2 12 5 4" xfId="15101"/>
    <cellStyle name="输入 2 12 5 4 2" xfId="19374"/>
    <cellStyle name="输入 2 12 5 4 2 2" xfId="34487"/>
    <cellStyle name="输入 2 12 5 4 2 3" xfId="43891"/>
    <cellStyle name="输入 2 12 5 4 3" xfId="34486"/>
    <cellStyle name="输入 2 12 5 4 4" xfId="43890"/>
    <cellStyle name="输入 2 12 5 5" xfId="34488"/>
    <cellStyle name="输入 2 12 5 5 2" xfId="43892"/>
    <cellStyle name="输入 2 12 5 6" xfId="34477"/>
    <cellStyle name="输入 2 12 5 7" xfId="43881"/>
    <cellStyle name="输入 2 12 6" xfId="15102"/>
    <cellStyle name="输入 2 12 6 2" xfId="15103"/>
    <cellStyle name="输入 2 12 6 2 2" xfId="19373"/>
    <cellStyle name="输入 2 12 6 2 2 2" xfId="34491"/>
    <cellStyle name="输入 2 12 6 2 2 3" xfId="43895"/>
    <cellStyle name="输入 2 12 6 2 3" xfId="34490"/>
    <cellStyle name="输入 2 12 6 2 4" xfId="43894"/>
    <cellStyle name="输入 2 12 6 3" xfId="15104"/>
    <cellStyle name="输入 2 12 6 3 2" xfId="19372"/>
    <cellStyle name="输入 2 12 6 3 2 2" xfId="34493"/>
    <cellStyle name="输入 2 12 6 3 2 3" xfId="43897"/>
    <cellStyle name="输入 2 12 6 3 3" xfId="34492"/>
    <cellStyle name="输入 2 12 6 3 4" xfId="43896"/>
    <cellStyle name="输入 2 12 6 4" xfId="20760"/>
    <cellStyle name="输入 2 12 6 4 2" xfId="34494"/>
    <cellStyle name="输入 2 12 6 4 3" xfId="43898"/>
    <cellStyle name="输入 2 12 6 5" xfId="34489"/>
    <cellStyle name="输入 2 12 6 6" xfId="43893"/>
    <cellStyle name="输入 2 12 7" xfId="15105"/>
    <cellStyle name="输入 2 12 7 2" xfId="8301"/>
    <cellStyle name="输入 2 12 7 2 2" xfId="34496"/>
    <cellStyle name="输入 2 12 7 2 3" xfId="43900"/>
    <cellStyle name="输入 2 12 7 3" xfId="34495"/>
    <cellStyle name="输入 2 12 7 4" xfId="43899"/>
    <cellStyle name="输入 2 12 8" xfId="15106"/>
    <cellStyle name="输入 2 12 8 2" xfId="8302"/>
    <cellStyle name="输入 2 12 8 2 2" xfId="34498"/>
    <cellStyle name="输入 2 12 8 2 3" xfId="43902"/>
    <cellStyle name="输入 2 12 8 3" xfId="34497"/>
    <cellStyle name="输入 2 12 8 4" xfId="43901"/>
    <cellStyle name="输入 2 12 9" xfId="34499"/>
    <cellStyle name="输入 2 12 9 2" xfId="43903"/>
    <cellStyle name="输入 2 13" xfId="10288"/>
    <cellStyle name="输入 2 13 10" xfId="34500"/>
    <cellStyle name="输入 2 13 11" xfId="43904"/>
    <cellStyle name="输入 2 13 2" xfId="10289"/>
    <cellStyle name="输入 2 13 2 2" xfId="15107"/>
    <cellStyle name="输入 2 13 2 2 2" xfId="15108"/>
    <cellStyle name="输入 2 13 2 2 2 2" xfId="8304"/>
    <cellStyle name="输入 2 13 2 2 2 2 2" xfId="34504"/>
    <cellStyle name="输入 2 13 2 2 2 2 3" xfId="43908"/>
    <cellStyle name="输入 2 13 2 2 2 3" xfId="34503"/>
    <cellStyle name="输入 2 13 2 2 2 4" xfId="43907"/>
    <cellStyle name="输入 2 13 2 2 3" xfId="15109"/>
    <cellStyle name="输入 2 13 2 2 3 2" xfId="8305"/>
    <cellStyle name="输入 2 13 2 2 3 2 2" xfId="34506"/>
    <cellStyle name="输入 2 13 2 2 3 2 3" xfId="43910"/>
    <cellStyle name="输入 2 13 2 2 3 3" xfId="34505"/>
    <cellStyle name="输入 2 13 2 2 3 4" xfId="43909"/>
    <cellStyle name="输入 2 13 2 2 4" xfId="8303"/>
    <cellStyle name="输入 2 13 2 2 4 2" xfId="34507"/>
    <cellStyle name="输入 2 13 2 2 4 3" xfId="43911"/>
    <cellStyle name="输入 2 13 2 2 5" xfId="34502"/>
    <cellStyle name="输入 2 13 2 2 6" xfId="43906"/>
    <cellStyle name="输入 2 13 2 3" xfId="15110"/>
    <cellStyle name="输入 2 13 2 3 2" xfId="8306"/>
    <cellStyle name="输入 2 13 2 3 2 2" xfId="34509"/>
    <cellStyle name="输入 2 13 2 3 2 3" xfId="43913"/>
    <cellStyle name="输入 2 13 2 3 3" xfId="34508"/>
    <cellStyle name="输入 2 13 2 3 4" xfId="43912"/>
    <cellStyle name="输入 2 13 2 4" xfId="15111"/>
    <cellStyle name="输入 2 13 2 4 2" xfId="8307"/>
    <cellStyle name="输入 2 13 2 4 2 2" xfId="34511"/>
    <cellStyle name="输入 2 13 2 4 2 3" xfId="43915"/>
    <cellStyle name="输入 2 13 2 4 3" xfId="34510"/>
    <cellStyle name="输入 2 13 2 4 4" xfId="43914"/>
    <cellStyle name="输入 2 13 2 5" xfId="34512"/>
    <cellStyle name="输入 2 13 2 5 2" xfId="43916"/>
    <cellStyle name="输入 2 13 2 6" xfId="34501"/>
    <cellStyle name="输入 2 13 2 7" xfId="43905"/>
    <cellStyle name="输入 2 13 3" xfId="10290"/>
    <cellStyle name="输入 2 13 3 2" xfId="15112"/>
    <cellStyle name="输入 2 13 3 2 2" xfId="15113"/>
    <cellStyle name="输入 2 13 3 2 2 2" xfId="20759"/>
    <cellStyle name="输入 2 13 3 2 2 2 2" xfId="34516"/>
    <cellStyle name="输入 2 13 3 2 2 2 3" xfId="43920"/>
    <cellStyle name="输入 2 13 3 2 2 3" xfId="34515"/>
    <cellStyle name="输入 2 13 3 2 2 4" xfId="43919"/>
    <cellStyle name="输入 2 13 3 2 3" xfId="15114"/>
    <cellStyle name="输入 2 13 3 2 3 2" xfId="20758"/>
    <cellStyle name="输入 2 13 3 2 3 2 2" xfId="34518"/>
    <cellStyle name="输入 2 13 3 2 3 2 3" xfId="43922"/>
    <cellStyle name="输入 2 13 3 2 3 3" xfId="34517"/>
    <cellStyle name="输入 2 13 3 2 3 4" xfId="43921"/>
    <cellStyle name="输入 2 13 3 2 4" xfId="8308"/>
    <cellStyle name="输入 2 13 3 2 4 2" xfId="34519"/>
    <cellStyle name="输入 2 13 3 2 4 3" xfId="43923"/>
    <cellStyle name="输入 2 13 3 2 5" xfId="34514"/>
    <cellStyle name="输入 2 13 3 2 6" xfId="43918"/>
    <cellStyle name="输入 2 13 3 3" xfId="15115"/>
    <cellStyle name="输入 2 13 3 3 2" xfId="20757"/>
    <cellStyle name="输入 2 13 3 3 2 2" xfId="34521"/>
    <cellStyle name="输入 2 13 3 3 2 3" xfId="43925"/>
    <cellStyle name="输入 2 13 3 3 3" xfId="34520"/>
    <cellStyle name="输入 2 13 3 3 4" xfId="43924"/>
    <cellStyle name="输入 2 13 3 4" xfId="15116"/>
    <cellStyle name="输入 2 13 3 4 2" xfId="20756"/>
    <cellStyle name="输入 2 13 3 4 2 2" xfId="34523"/>
    <cellStyle name="输入 2 13 3 4 2 3" xfId="43927"/>
    <cellStyle name="输入 2 13 3 4 3" xfId="34522"/>
    <cellStyle name="输入 2 13 3 4 4" xfId="43926"/>
    <cellStyle name="输入 2 13 3 5" xfId="34524"/>
    <cellStyle name="输入 2 13 3 5 2" xfId="43928"/>
    <cellStyle name="输入 2 13 3 6" xfId="34513"/>
    <cellStyle name="输入 2 13 3 7" xfId="43917"/>
    <cellStyle name="输入 2 13 4" xfId="10291"/>
    <cellStyle name="输入 2 13 4 2" xfId="15117"/>
    <cellStyle name="输入 2 13 4 2 2" xfId="15118"/>
    <cellStyle name="输入 2 13 4 2 2 2" xfId="8310"/>
    <cellStyle name="输入 2 13 4 2 2 2 2" xfId="34528"/>
    <cellStyle name="输入 2 13 4 2 2 2 3" xfId="43932"/>
    <cellStyle name="输入 2 13 4 2 2 3" xfId="34527"/>
    <cellStyle name="输入 2 13 4 2 2 4" xfId="43931"/>
    <cellStyle name="输入 2 13 4 2 3" xfId="15119"/>
    <cellStyle name="输入 2 13 4 2 3 2" xfId="8311"/>
    <cellStyle name="输入 2 13 4 2 3 2 2" xfId="34530"/>
    <cellStyle name="输入 2 13 4 2 3 2 3" xfId="43934"/>
    <cellStyle name="输入 2 13 4 2 3 3" xfId="34529"/>
    <cellStyle name="输入 2 13 4 2 3 4" xfId="43933"/>
    <cellStyle name="输入 2 13 4 2 4" xfId="8309"/>
    <cellStyle name="输入 2 13 4 2 4 2" xfId="34531"/>
    <cellStyle name="输入 2 13 4 2 4 3" xfId="43935"/>
    <cellStyle name="输入 2 13 4 2 5" xfId="34526"/>
    <cellStyle name="输入 2 13 4 2 6" xfId="43930"/>
    <cellStyle name="输入 2 13 4 3" xfId="15120"/>
    <cellStyle name="输入 2 13 4 3 2" xfId="8312"/>
    <cellStyle name="输入 2 13 4 3 2 2" xfId="34533"/>
    <cellStyle name="输入 2 13 4 3 2 3" xfId="43937"/>
    <cellStyle name="输入 2 13 4 3 3" xfId="34532"/>
    <cellStyle name="输入 2 13 4 3 4" xfId="43936"/>
    <cellStyle name="输入 2 13 4 4" xfId="15121"/>
    <cellStyle name="输入 2 13 4 4 2" xfId="18565"/>
    <cellStyle name="输入 2 13 4 4 2 2" xfId="34535"/>
    <cellStyle name="输入 2 13 4 4 2 3" xfId="43939"/>
    <cellStyle name="输入 2 13 4 4 3" xfId="34534"/>
    <cellStyle name="输入 2 13 4 4 4" xfId="43938"/>
    <cellStyle name="输入 2 13 4 5" xfId="34536"/>
    <cellStyle name="输入 2 13 4 5 2" xfId="43940"/>
    <cellStyle name="输入 2 13 4 6" xfId="34525"/>
    <cellStyle name="输入 2 13 4 7" xfId="43929"/>
    <cellStyle name="输入 2 13 5" xfId="10292"/>
    <cellStyle name="输入 2 13 5 2" xfId="15122"/>
    <cellStyle name="输入 2 13 5 2 2" xfId="15123"/>
    <cellStyle name="输入 2 13 5 2 2 2" xfId="8314"/>
    <cellStyle name="输入 2 13 5 2 2 2 2" xfId="34540"/>
    <cellStyle name="输入 2 13 5 2 2 2 3" xfId="43944"/>
    <cellStyle name="输入 2 13 5 2 2 3" xfId="34539"/>
    <cellStyle name="输入 2 13 5 2 2 4" xfId="43943"/>
    <cellStyle name="输入 2 13 5 2 3" xfId="15124"/>
    <cellStyle name="输入 2 13 5 2 3 2" xfId="8315"/>
    <cellStyle name="输入 2 13 5 2 3 2 2" xfId="34542"/>
    <cellStyle name="输入 2 13 5 2 3 2 3" xfId="43946"/>
    <cellStyle name="输入 2 13 5 2 3 3" xfId="34541"/>
    <cellStyle name="输入 2 13 5 2 3 4" xfId="43945"/>
    <cellStyle name="输入 2 13 5 2 4" xfId="8313"/>
    <cellStyle name="输入 2 13 5 2 4 2" xfId="34543"/>
    <cellStyle name="输入 2 13 5 2 4 3" xfId="43947"/>
    <cellStyle name="输入 2 13 5 2 5" xfId="34538"/>
    <cellStyle name="输入 2 13 5 2 6" xfId="43942"/>
    <cellStyle name="输入 2 13 5 3" xfId="15125"/>
    <cellStyle name="输入 2 13 5 3 2" xfId="8316"/>
    <cellStyle name="输入 2 13 5 3 2 2" xfId="34545"/>
    <cellStyle name="输入 2 13 5 3 2 3" xfId="43949"/>
    <cellStyle name="输入 2 13 5 3 3" xfId="34544"/>
    <cellStyle name="输入 2 13 5 3 4" xfId="43948"/>
    <cellStyle name="输入 2 13 5 4" xfId="15126"/>
    <cellStyle name="输入 2 13 5 4 2" xfId="8317"/>
    <cellStyle name="输入 2 13 5 4 2 2" xfId="34547"/>
    <cellStyle name="输入 2 13 5 4 2 3" xfId="43951"/>
    <cellStyle name="输入 2 13 5 4 3" xfId="34546"/>
    <cellStyle name="输入 2 13 5 4 4" xfId="43950"/>
    <cellStyle name="输入 2 13 5 5" xfId="34548"/>
    <cellStyle name="输入 2 13 5 5 2" xfId="43952"/>
    <cellStyle name="输入 2 13 5 6" xfId="34537"/>
    <cellStyle name="输入 2 13 5 7" xfId="43941"/>
    <cellStyle name="输入 2 13 6" xfId="15127"/>
    <cellStyle name="输入 2 13 6 2" xfId="15128"/>
    <cellStyle name="输入 2 13 6 2 2" xfId="8318"/>
    <cellStyle name="输入 2 13 6 2 2 2" xfId="34551"/>
    <cellStyle name="输入 2 13 6 2 2 3" xfId="43955"/>
    <cellStyle name="输入 2 13 6 2 3" xfId="34550"/>
    <cellStyle name="输入 2 13 6 2 4" xfId="43954"/>
    <cellStyle name="输入 2 13 6 3" xfId="15129"/>
    <cellStyle name="输入 2 13 6 3 2" xfId="19371"/>
    <cellStyle name="输入 2 13 6 3 2 2" xfId="34553"/>
    <cellStyle name="输入 2 13 6 3 2 3" xfId="43957"/>
    <cellStyle name="输入 2 13 6 3 3" xfId="34552"/>
    <cellStyle name="输入 2 13 6 3 4" xfId="43956"/>
    <cellStyle name="输入 2 13 6 4" xfId="20755"/>
    <cellStyle name="输入 2 13 6 4 2" xfId="34554"/>
    <cellStyle name="输入 2 13 6 4 3" xfId="43958"/>
    <cellStyle name="输入 2 13 6 5" xfId="34549"/>
    <cellStyle name="输入 2 13 6 6" xfId="43953"/>
    <cellStyle name="输入 2 13 7" xfId="15130"/>
    <cellStyle name="输入 2 13 7 2" xfId="19370"/>
    <cellStyle name="输入 2 13 7 2 2" xfId="34556"/>
    <cellStyle name="输入 2 13 7 2 3" xfId="43960"/>
    <cellStyle name="输入 2 13 7 3" xfId="34555"/>
    <cellStyle name="输入 2 13 7 4" xfId="43959"/>
    <cellStyle name="输入 2 13 8" xfId="15131"/>
    <cellStyle name="输入 2 13 8 2" xfId="19369"/>
    <cellStyle name="输入 2 13 8 2 2" xfId="34558"/>
    <cellStyle name="输入 2 13 8 2 3" xfId="43962"/>
    <cellStyle name="输入 2 13 8 3" xfId="34557"/>
    <cellStyle name="输入 2 13 8 4" xfId="43961"/>
    <cellStyle name="输入 2 13 9" xfId="34559"/>
    <cellStyle name="输入 2 13 9 2" xfId="43963"/>
    <cellStyle name="输入 2 14" xfId="10293"/>
    <cellStyle name="输入 2 14 10" xfId="34560"/>
    <cellStyle name="输入 2 14 11" xfId="43964"/>
    <cellStyle name="输入 2 14 2" xfId="10294"/>
    <cellStyle name="输入 2 14 2 2" xfId="15132"/>
    <cellStyle name="输入 2 14 2 2 2" xfId="15133"/>
    <cellStyle name="输入 2 14 2 2 2 2" xfId="20754"/>
    <cellStyle name="输入 2 14 2 2 2 2 2" xfId="34564"/>
    <cellStyle name="输入 2 14 2 2 2 2 3" xfId="43968"/>
    <cellStyle name="输入 2 14 2 2 2 3" xfId="34563"/>
    <cellStyle name="输入 2 14 2 2 2 4" xfId="43967"/>
    <cellStyle name="输入 2 14 2 2 3" xfId="15134"/>
    <cellStyle name="输入 2 14 2 2 3 2" xfId="8320"/>
    <cellStyle name="输入 2 14 2 2 3 2 2" xfId="34566"/>
    <cellStyle name="输入 2 14 2 2 3 2 3" xfId="43970"/>
    <cellStyle name="输入 2 14 2 2 3 3" xfId="34565"/>
    <cellStyle name="输入 2 14 2 2 3 4" xfId="43969"/>
    <cellStyle name="输入 2 14 2 2 4" xfId="8319"/>
    <cellStyle name="输入 2 14 2 2 4 2" xfId="34567"/>
    <cellStyle name="输入 2 14 2 2 4 3" xfId="43971"/>
    <cellStyle name="输入 2 14 2 2 5" xfId="34562"/>
    <cellStyle name="输入 2 14 2 2 6" xfId="43966"/>
    <cellStyle name="输入 2 14 2 3" xfId="15135"/>
    <cellStyle name="输入 2 14 2 3 2" xfId="19368"/>
    <cellStyle name="输入 2 14 2 3 2 2" xfId="34569"/>
    <cellStyle name="输入 2 14 2 3 2 3" xfId="43973"/>
    <cellStyle name="输入 2 14 2 3 3" xfId="34568"/>
    <cellStyle name="输入 2 14 2 3 4" xfId="43972"/>
    <cellStyle name="输入 2 14 2 4" xfId="15136"/>
    <cellStyle name="输入 2 14 2 4 2" xfId="19367"/>
    <cellStyle name="输入 2 14 2 4 2 2" xfId="34571"/>
    <cellStyle name="输入 2 14 2 4 2 3" xfId="43975"/>
    <cellStyle name="输入 2 14 2 4 3" xfId="34570"/>
    <cellStyle name="输入 2 14 2 4 4" xfId="43974"/>
    <cellStyle name="输入 2 14 2 5" xfId="34572"/>
    <cellStyle name="输入 2 14 2 5 2" xfId="43976"/>
    <cellStyle name="输入 2 14 2 6" xfId="34561"/>
    <cellStyle name="输入 2 14 2 7" xfId="43965"/>
    <cellStyle name="输入 2 14 3" xfId="10295"/>
    <cellStyle name="输入 2 14 3 2" xfId="15137"/>
    <cellStyle name="输入 2 14 3 2 2" xfId="15138"/>
    <cellStyle name="输入 2 14 3 2 2 2" xfId="8321"/>
    <cellStyle name="输入 2 14 3 2 2 2 2" xfId="34576"/>
    <cellStyle name="输入 2 14 3 2 2 2 3" xfId="43980"/>
    <cellStyle name="输入 2 14 3 2 2 3" xfId="34575"/>
    <cellStyle name="输入 2 14 3 2 2 4" xfId="43979"/>
    <cellStyle name="输入 2 14 3 2 3" xfId="15139"/>
    <cellStyle name="输入 2 14 3 2 3 2" xfId="20753"/>
    <cellStyle name="输入 2 14 3 2 3 2 2" xfId="34578"/>
    <cellStyle name="输入 2 14 3 2 3 2 3" xfId="43982"/>
    <cellStyle name="输入 2 14 3 2 3 3" xfId="34577"/>
    <cellStyle name="输入 2 14 3 2 3 4" xfId="43981"/>
    <cellStyle name="输入 2 14 3 2 4" xfId="19366"/>
    <cellStyle name="输入 2 14 3 2 4 2" xfId="34579"/>
    <cellStyle name="输入 2 14 3 2 4 3" xfId="43983"/>
    <cellStyle name="输入 2 14 3 2 5" xfId="34574"/>
    <cellStyle name="输入 2 14 3 2 6" xfId="43978"/>
    <cellStyle name="输入 2 14 3 3" xfId="15140"/>
    <cellStyle name="输入 2 14 3 3 2" xfId="8322"/>
    <cellStyle name="输入 2 14 3 3 2 2" xfId="34581"/>
    <cellStyle name="输入 2 14 3 3 2 3" xfId="43985"/>
    <cellStyle name="输入 2 14 3 3 3" xfId="34580"/>
    <cellStyle name="输入 2 14 3 3 4" xfId="43984"/>
    <cellStyle name="输入 2 14 3 4" xfId="15141"/>
    <cellStyle name="输入 2 14 3 4 2" xfId="8323"/>
    <cellStyle name="输入 2 14 3 4 2 2" xfId="34583"/>
    <cellStyle name="输入 2 14 3 4 2 3" xfId="43987"/>
    <cellStyle name="输入 2 14 3 4 3" xfId="34582"/>
    <cellStyle name="输入 2 14 3 4 4" xfId="43986"/>
    <cellStyle name="输入 2 14 3 5" xfId="34584"/>
    <cellStyle name="输入 2 14 3 5 2" xfId="43988"/>
    <cellStyle name="输入 2 14 3 6" xfId="34573"/>
    <cellStyle name="输入 2 14 3 7" xfId="43977"/>
    <cellStyle name="输入 2 14 4" xfId="10296"/>
    <cellStyle name="输入 2 14 4 2" xfId="15142"/>
    <cellStyle name="输入 2 14 4 2 2" xfId="15143"/>
    <cellStyle name="输入 2 14 4 2 2 2" xfId="8325"/>
    <cellStyle name="输入 2 14 4 2 2 2 2" xfId="34588"/>
    <cellStyle name="输入 2 14 4 2 2 2 3" xfId="43992"/>
    <cellStyle name="输入 2 14 4 2 2 3" xfId="34587"/>
    <cellStyle name="输入 2 14 4 2 2 4" xfId="43991"/>
    <cellStyle name="输入 2 14 4 2 3" xfId="15144"/>
    <cellStyle name="输入 2 14 4 2 3 2" xfId="20752"/>
    <cellStyle name="输入 2 14 4 2 3 2 2" xfId="34590"/>
    <cellStyle name="输入 2 14 4 2 3 2 3" xfId="43994"/>
    <cellStyle name="输入 2 14 4 2 3 3" xfId="34589"/>
    <cellStyle name="输入 2 14 4 2 3 4" xfId="43993"/>
    <cellStyle name="输入 2 14 4 2 4" xfId="8324"/>
    <cellStyle name="输入 2 14 4 2 4 2" xfId="34591"/>
    <cellStyle name="输入 2 14 4 2 4 3" xfId="43995"/>
    <cellStyle name="输入 2 14 4 2 5" xfId="34586"/>
    <cellStyle name="输入 2 14 4 2 6" xfId="43990"/>
    <cellStyle name="输入 2 14 4 3" xfId="15145"/>
    <cellStyle name="输入 2 14 4 3 2" xfId="20751"/>
    <cellStyle name="输入 2 14 4 3 2 2" xfId="34593"/>
    <cellStyle name="输入 2 14 4 3 2 3" xfId="43997"/>
    <cellStyle name="输入 2 14 4 3 3" xfId="34592"/>
    <cellStyle name="输入 2 14 4 3 4" xfId="43996"/>
    <cellStyle name="输入 2 14 4 4" xfId="15146"/>
    <cellStyle name="输入 2 14 4 4 2" xfId="8326"/>
    <cellStyle name="输入 2 14 4 4 2 2" xfId="34595"/>
    <cellStyle name="输入 2 14 4 4 2 3" xfId="43999"/>
    <cellStyle name="输入 2 14 4 4 3" xfId="34594"/>
    <cellStyle name="输入 2 14 4 4 4" xfId="43998"/>
    <cellStyle name="输入 2 14 4 5" xfId="34596"/>
    <cellStyle name="输入 2 14 4 5 2" xfId="44000"/>
    <cellStyle name="输入 2 14 4 6" xfId="34585"/>
    <cellStyle name="输入 2 14 4 7" xfId="43989"/>
    <cellStyle name="输入 2 14 5" xfId="10297"/>
    <cellStyle name="输入 2 14 5 2" xfId="15147"/>
    <cellStyle name="输入 2 14 5 2 2" xfId="15148"/>
    <cellStyle name="输入 2 14 5 2 2 2" xfId="8328"/>
    <cellStyle name="输入 2 14 5 2 2 2 2" xfId="34600"/>
    <cellStyle name="输入 2 14 5 2 2 2 3" xfId="44004"/>
    <cellStyle name="输入 2 14 5 2 2 3" xfId="34599"/>
    <cellStyle name="输入 2 14 5 2 2 4" xfId="44003"/>
    <cellStyle name="输入 2 14 5 2 3" xfId="15149"/>
    <cellStyle name="输入 2 14 5 2 3 2" xfId="8329"/>
    <cellStyle name="输入 2 14 5 2 3 2 2" xfId="34602"/>
    <cellStyle name="输入 2 14 5 2 3 2 3" xfId="44006"/>
    <cellStyle name="输入 2 14 5 2 3 3" xfId="34601"/>
    <cellStyle name="输入 2 14 5 2 3 4" xfId="44005"/>
    <cellStyle name="输入 2 14 5 2 4" xfId="8327"/>
    <cellStyle name="输入 2 14 5 2 4 2" xfId="34603"/>
    <cellStyle name="输入 2 14 5 2 4 3" xfId="44007"/>
    <cellStyle name="输入 2 14 5 2 5" xfId="34598"/>
    <cellStyle name="输入 2 14 5 2 6" xfId="44002"/>
    <cellStyle name="输入 2 14 5 3" xfId="15150"/>
    <cellStyle name="输入 2 14 5 3 2" xfId="8330"/>
    <cellStyle name="输入 2 14 5 3 2 2" xfId="34605"/>
    <cellStyle name="输入 2 14 5 3 2 3" xfId="44009"/>
    <cellStyle name="输入 2 14 5 3 3" xfId="34604"/>
    <cellStyle name="输入 2 14 5 3 4" xfId="44008"/>
    <cellStyle name="输入 2 14 5 4" xfId="15151"/>
    <cellStyle name="输入 2 14 5 4 2" xfId="18564"/>
    <cellStyle name="输入 2 14 5 4 2 2" xfId="34607"/>
    <cellStyle name="输入 2 14 5 4 2 3" xfId="44011"/>
    <cellStyle name="输入 2 14 5 4 3" xfId="34606"/>
    <cellStyle name="输入 2 14 5 4 4" xfId="44010"/>
    <cellStyle name="输入 2 14 5 5" xfId="34608"/>
    <cellStyle name="输入 2 14 5 5 2" xfId="44012"/>
    <cellStyle name="输入 2 14 5 6" xfId="34597"/>
    <cellStyle name="输入 2 14 5 7" xfId="44001"/>
    <cellStyle name="输入 2 14 6" xfId="15152"/>
    <cellStyle name="输入 2 14 6 2" xfId="15153"/>
    <cellStyle name="输入 2 14 6 2 2" xfId="8332"/>
    <cellStyle name="输入 2 14 6 2 2 2" xfId="34611"/>
    <cellStyle name="输入 2 14 6 2 2 3" xfId="44015"/>
    <cellStyle name="输入 2 14 6 2 3" xfId="34610"/>
    <cellStyle name="输入 2 14 6 2 4" xfId="44014"/>
    <cellStyle name="输入 2 14 6 3" xfId="15154"/>
    <cellStyle name="输入 2 14 6 3 2" xfId="8333"/>
    <cellStyle name="输入 2 14 6 3 2 2" xfId="34613"/>
    <cellStyle name="输入 2 14 6 3 2 3" xfId="44017"/>
    <cellStyle name="输入 2 14 6 3 3" xfId="34612"/>
    <cellStyle name="输入 2 14 6 3 4" xfId="44016"/>
    <cellStyle name="输入 2 14 6 4" xfId="8331"/>
    <cellStyle name="输入 2 14 6 4 2" xfId="34614"/>
    <cellStyle name="输入 2 14 6 4 3" xfId="44018"/>
    <cellStyle name="输入 2 14 6 5" xfId="34609"/>
    <cellStyle name="输入 2 14 6 6" xfId="44013"/>
    <cellStyle name="输入 2 14 7" xfId="15155"/>
    <cellStyle name="输入 2 14 7 2" xfId="8334"/>
    <cellStyle name="输入 2 14 7 2 2" xfId="34616"/>
    <cellStyle name="输入 2 14 7 2 3" xfId="44020"/>
    <cellStyle name="输入 2 14 7 3" xfId="34615"/>
    <cellStyle name="输入 2 14 7 4" xfId="44019"/>
    <cellStyle name="输入 2 14 8" xfId="15156"/>
    <cellStyle name="输入 2 14 8 2" xfId="8335"/>
    <cellStyle name="输入 2 14 8 2 2" xfId="34618"/>
    <cellStyle name="输入 2 14 8 2 3" xfId="44022"/>
    <cellStyle name="输入 2 14 8 3" xfId="34617"/>
    <cellStyle name="输入 2 14 8 4" xfId="44021"/>
    <cellStyle name="输入 2 14 9" xfId="34619"/>
    <cellStyle name="输入 2 14 9 2" xfId="44023"/>
    <cellStyle name="输入 2 15" xfId="10298"/>
    <cellStyle name="输入 2 15 10" xfId="34620"/>
    <cellStyle name="输入 2 15 11" xfId="44024"/>
    <cellStyle name="输入 2 15 2" xfId="10299"/>
    <cellStyle name="输入 2 15 2 2" xfId="15157"/>
    <cellStyle name="输入 2 15 2 2 2" xfId="15158"/>
    <cellStyle name="输入 2 15 2 2 2 2" xfId="8336"/>
    <cellStyle name="输入 2 15 2 2 2 2 2" xfId="34624"/>
    <cellStyle name="输入 2 15 2 2 2 2 3" xfId="44028"/>
    <cellStyle name="输入 2 15 2 2 2 3" xfId="34623"/>
    <cellStyle name="输入 2 15 2 2 2 4" xfId="44027"/>
    <cellStyle name="输入 2 15 2 2 3" xfId="15159"/>
    <cellStyle name="输入 2 15 2 2 3 2" xfId="8337"/>
    <cellStyle name="输入 2 15 2 2 3 2 2" xfId="34626"/>
    <cellStyle name="输入 2 15 2 2 3 2 3" xfId="44030"/>
    <cellStyle name="输入 2 15 2 2 3 3" xfId="34625"/>
    <cellStyle name="输入 2 15 2 2 3 4" xfId="44029"/>
    <cellStyle name="输入 2 15 2 2 4" xfId="20750"/>
    <cellStyle name="输入 2 15 2 2 4 2" xfId="34627"/>
    <cellStyle name="输入 2 15 2 2 4 3" xfId="44031"/>
    <cellStyle name="输入 2 15 2 2 5" xfId="34622"/>
    <cellStyle name="输入 2 15 2 2 6" xfId="44026"/>
    <cellStyle name="输入 2 15 2 3" xfId="15160"/>
    <cellStyle name="输入 2 15 2 3 2" xfId="8338"/>
    <cellStyle name="输入 2 15 2 3 2 2" xfId="34629"/>
    <cellStyle name="输入 2 15 2 3 2 3" xfId="44033"/>
    <cellStyle name="输入 2 15 2 3 3" xfId="34628"/>
    <cellStyle name="输入 2 15 2 3 4" xfId="44032"/>
    <cellStyle name="输入 2 15 2 4" xfId="15161"/>
    <cellStyle name="输入 2 15 2 4 2" xfId="19365"/>
    <cellStyle name="输入 2 15 2 4 2 2" xfId="34631"/>
    <cellStyle name="输入 2 15 2 4 2 3" xfId="44035"/>
    <cellStyle name="输入 2 15 2 4 3" xfId="34630"/>
    <cellStyle name="输入 2 15 2 4 4" xfId="44034"/>
    <cellStyle name="输入 2 15 2 5" xfId="34632"/>
    <cellStyle name="输入 2 15 2 5 2" xfId="44036"/>
    <cellStyle name="输入 2 15 2 6" xfId="34621"/>
    <cellStyle name="输入 2 15 2 7" xfId="44025"/>
    <cellStyle name="输入 2 15 3" xfId="10300"/>
    <cellStyle name="输入 2 15 3 2" xfId="15162"/>
    <cellStyle name="输入 2 15 3 2 2" xfId="15163"/>
    <cellStyle name="输入 2 15 3 2 2 2" xfId="20749"/>
    <cellStyle name="输入 2 15 3 2 2 2 2" xfId="34636"/>
    <cellStyle name="输入 2 15 3 2 2 2 3" xfId="44040"/>
    <cellStyle name="输入 2 15 3 2 2 3" xfId="34635"/>
    <cellStyle name="输入 2 15 3 2 2 4" xfId="44039"/>
    <cellStyle name="输入 2 15 3 2 3" xfId="15164"/>
    <cellStyle name="输入 2 15 3 2 3 2" xfId="19363"/>
    <cellStyle name="输入 2 15 3 2 3 2 2" xfId="34638"/>
    <cellStyle name="输入 2 15 3 2 3 2 3" xfId="44042"/>
    <cellStyle name="输入 2 15 3 2 3 3" xfId="34637"/>
    <cellStyle name="输入 2 15 3 2 3 4" xfId="44041"/>
    <cellStyle name="输入 2 15 3 2 4" xfId="19364"/>
    <cellStyle name="输入 2 15 3 2 4 2" xfId="34639"/>
    <cellStyle name="输入 2 15 3 2 4 3" xfId="44043"/>
    <cellStyle name="输入 2 15 3 2 5" xfId="34634"/>
    <cellStyle name="输入 2 15 3 2 6" xfId="44038"/>
    <cellStyle name="输入 2 15 3 3" xfId="15165"/>
    <cellStyle name="输入 2 15 3 3 2" xfId="19362"/>
    <cellStyle name="输入 2 15 3 3 2 2" xfId="34641"/>
    <cellStyle name="输入 2 15 3 3 2 3" xfId="44045"/>
    <cellStyle name="输入 2 15 3 3 3" xfId="34640"/>
    <cellStyle name="输入 2 15 3 3 4" xfId="44044"/>
    <cellStyle name="输入 2 15 3 4" xfId="15166"/>
    <cellStyle name="输入 2 15 3 4 2" xfId="8339"/>
    <cellStyle name="输入 2 15 3 4 2 2" xfId="34643"/>
    <cellStyle name="输入 2 15 3 4 2 3" xfId="44047"/>
    <cellStyle name="输入 2 15 3 4 3" xfId="34642"/>
    <cellStyle name="输入 2 15 3 4 4" xfId="44046"/>
    <cellStyle name="输入 2 15 3 5" xfId="34644"/>
    <cellStyle name="输入 2 15 3 5 2" xfId="44048"/>
    <cellStyle name="输入 2 15 3 6" xfId="34633"/>
    <cellStyle name="输入 2 15 3 7" xfId="44037"/>
    <cellStyle name="输入 2 15 4" xfId="10301"/>
    <cellStyle name="输入 2 15 4 2" xfId="15167"/>
    <cellStyle name="输入 2 15 4 2 2" xfId="15168"/>
    <cellStyle name="输入 2 15 4 2 2 2" xfId="19360"/>
    <cellStyle name="输入 2 15 4 2 2 2 2" xfId="34648"/>
    <cellStyle name="输入 2 15 4 2 2 2 3" xfId="44052"/>
    <cellStyle name="输入 2 15 4 2 2 3" xfId="34647"/>
    <cellStyle name="输入 2 15 4 2 2 4" xfId="44051"/>
    <cellStyle name="输入 2 15 4 2 3" xfId="15169"/>
    <cellStyle name="输入 2 15 4 2 3 2" xfId="20748"/>
    <cellStyle name="输入 2 15 4 2 3 2 2" xfId="34650"/>
    <cellStyle name="输入 2 15 4 2 3 2 3" xfId="44054"/>
    <cellStyle name="输入 2 15 4 2 3 3" xfId="34649"/>
    <cellStyle name="输入 2 15 4 2 3 4" xfId="44053"/>
    <cellStyle name="输入 2 15 4 2 4" xfId="19361"/>
    <cellStyle name="输入 2 15 4 2 4 2" xfId="34651"/>
    <cellStyle name="输入 2 15 4 2 4 3" xfId="44055"/>
    <cellStyle name="输入 2 15 4 2 5" xfId="34646"/>
    <cellStyle name="输入 2 15 4 2 6" xfId="44050"/>
    <cellStyle name="输入 2 15 4 3" xfId="15170"/>
    <cellStyle name="输入 2 15 4 3 2" xfId="19359"/>
    <cellStyle name="输入 2 15 4 3 2 2" xfId="34653"/>
    <cellStyle name="输入 2 15 4 3 2 3" xfId="44057"/>
    <cellStyle name="输入 2 15 4 3 3" xfId="34652"/>
    <cellStyle name="输入 2 15 4 3 4" xfId="44056"/>
    <cellStyle name="输入 2 15 4 4" xfId="15171"/>
    <cellStyle name="输入 2 15 4 4 2" xfId="19358"/>
    <cellStyle name="输入 2 15 4 4 2 2" xfId="34655"/>
    <cellStyle name="输入 2 15 4 4 2 3" xfId="44059"/>
    <cellStyle name="输入 2 15 4 4 3" xfId="34654"/>
    <cellStyle name="输入 2 15 4 4 4" xfId="44058"/>
    <cellStyle name="输入 2 15 4 5" xfId="34656"/>
    <cellStyle name="输入 2 15 4 5 2" xfId="44060"/>
    <cellStyle name="输入 2 15 4 6" xfId="34645"/>
    <cellStyle name="输入 2 15 4 7" xfId="44049"/>
    <cellStyle name="输入 2 15 5" xfId="10302"/>
    <cellStyle name="输入 2 15 5 2" xfId="15172"/>
    <cellStyle name="输入 2 15 5 2 2" xfId="15173"/>
    <cellStyle name="输入 2 15 5 2 2 2" xfId="19356"/>
    <cellStyle name="输入 2 15 5 2 2 2 2" xfId="34660"/>
    <cellStyle name="输入 2 15 5 2 2 2 3" xfId="44064"/>
    <cellStyle name="输入 2 15 5 2 2 3" xfId="34659"/>
    <cellStyle name="输入 2 15 5 2 2 4" xfId="44063"/>
    <cellStyle name="输入 2 15 5 2 3" xfId="15174"/>
    <cellStyle name="输入 2 15 5 2 3 2" xfId="20747"/>
    <cellStyle name="输入 2 15 5 2 3 2 2" xfId="34662"/>
    <cellStyle name="输入 2 15 5 2 3 2 3" xfId="44066"/>
    <cellStyle name="输入 2 15 5 2 3 3" xfId="34661"/>
    <cellStyle name="输入 2 15 5 2 3 4" xfId="44065"/>
    <cellStyle name="输入 2 15 5 2 4" xfId="19357"/>
    <cellStyle name="输入 2 15 5 2 4 2" xfId="34663"/>
    <cellStyle name="输入 2 15 5 2 4 3" xfId="44067"/>
    <cellStyle name="输入 2 15 5 2 5" xfId="34658"/>
    <cellStyle name="输入 2 15 5 2 6" xfId="44062"/>
    <cellStyle name="输入 2 15 5 3" xfId="15175"/>
    <cellStyle name="输入 2 15 5 3 2" xfId="20746"/>
    <cellStyle name="输入 2 15 5 3 2 2" xfId="34665"/>
    <cellStyle name="输入 2 15 5 3 2 3" xfId="44069"/>
    <cellStyle name="输入 2 15 5 3 3" xfId="34664"/>
    <cellStyle name="输入 2 15 5 3 4" xfId="44068"/>
    <cellStyle name="输入 2 15 5 4" xfId="15176"/>
    <cellStyle name="输入 2 15 5 4 2" xfId="19355"/>
    <cellStyle name="输入 2 15 5 4 2 2" xfId="34667"/>
    <cellStyle name="输入 2 15 5 4 2 3" xfId="44071"/>
    <cellStyle name="输入 2 15 5 4 3" xfId="34666"/>
    <cellStyle name="输入 2 15 5 4 4" xfId="44070"/>
    <cellStyle name="输入 2 15 5 5" xfId="34668"/>
    <cellStyle name="输入 2 15 5 5 2" xfId="44072"/>
    <cellStyle name="输入 2 15 5 6" xfId="34657"/>
    <cellStyle name="输入 2 15 5 7" xfId="44061"/>
    <cellStyle name="输入 2 15 6" xfId="15177"/>
    <cellStyle name="输入 2 15 6 2" xfId="15178"/>
    <cellStyle name="输入 2 15 6 2 2" xfId="19353"/>
    <cellStyle name="输入 2 15 6 2 2 2" xfId="34671"/>
    <cellStyle name="输入 2 15 6 2 2 3" xfId="44075"/>
    <cellStyle name="输入 2 15 6 2 3" xfId="34670"/>
    <cellStyle name="输入 2 15 6 2 4" xfId="44074"/>
    <cellStyle name="输入 2 15 6 3" xfId="15179"/>
    <cellStyle name="输入 2 15 6 3 2" xfId="19352"/>
    <cellStyle name="输入 2 15 6 3 2 2" xfId="34673"/>
    <cellStyle name="输入 2 15 6 3 2 3" xfId="44077"/>
    <cellStyle name="输入 2 15 6 3 3" xfId="34672"/>
    <cellStyle name="输入 2 15 6 3 4" xfId="44076"/>
    <cellStyle name="输入 2 15 6 4" xfId="19354"/>
    <cellStyle name="输入 2 15 6 4 2" xfId="34674"/>
    <cellStyle name="输入 2 15 6 4 3" xfId="44078"/>
    <cellStyle name="输入 2 15 6 5" xfId="34669"/>
    <cellStyle name="输入 2 15 6 6" xfId="44073"/>
    <cellStyle name="输入 2 15 7" xfId="15180"/>
    <cellStyle name="输入 2 15 7 2" xfId="8340"/>
    <cellStyle name="输入 2 15 7 2 2" xfId="34676"/>
    <cellStyle name="输入 2 15 7 2 3" xfId="44080"/>
    <cellStyle name="输入 2 15 7 3" xfId="34675"/>
    <cellStyle name="输入 2 15 7 4" xfId="44079"/>
    <cellStyle name="输入 2 15 8" xfId="15181"/>
    <cellStyle name="输入 2 15 8 2" xfId="18563"/>
    <cellStyle name="输入 2 15 8 2 2" xfId="34678"/>
    <cellStyle name="输入 2 15 8 2 3" xfId="44082"/>
    <cellStyle name="输入 2 15 8 3" xfId="34677"/>
    <cellStyle name="输入 2 15 8 4" xfId="44081"/>
    <cellStyle name="输入 2 15 9" xfId="34679"/>
    <cellStyle name="输入 2 15 9 2" xfId="44083"/>
    <cellStyle name="输入 2 16" xfId="10303"/>
    <cellStyle name="输入 2 16 10" xfId="34680"/>
    <cellStyle name="输入 2 16 11" xfId="44084"/>
    <cellStyle name="输入 2 16 2" xfId="10304"/>
    <cellStyle name="输入 2 16 2 2" xfId="15182"/>
    <cellStyle name="输入 2 16 2 2 2" xfId="15183"/>
    <cellStyle name="输入 2 16 2 2 2 2" xfId="19350"/>
    <cellStyle name="输入 2 16 2 2 2 2 2" xfId="34684"/>
    <cellStyle name="输入 2 16 2 2 2 2 3" xfId="44088"/>
    <cellStyle name="输入 2 16 2 2 2 3" xfId="34683"/>
    <cellStyle name="输入 2 16 2 2 2 4" xfId="44087"/>
    <cellStyle name="输入 2 16 2 2 3" xfId="15184"/>
    <cellStyle name="输入 2 16 2 2 3 2" xfId="19349"/>
    <cellStyle name="输入 2 16 2 2 3 2 2" xfId="34686"/>
    <cellStyle name="输入 2 16 2 2 3 2 3" xfId="44090"/>
    <cellStyle name="输入 2 16 2 2 3 3" xfId="34685"/>
    <cellStyle name="输入 2 16 2 2 3 4" xfId="44089"/>
    <cellStyle name="输入 2 16 2 2 4" xfId="19351"/>
    <cellStyle name="输入 2 16 2 2 4 2" xfId="34687"/>
    <cellStyle name="输入 2 16 2 2 4 3" xfId="44091"/>
    <cellStyle name="输入 2 16 2 2 5" xfId="34682"/>
    <cellStyle name="输入 2 16 2 2 6" xfId="44086"/>
    <cellStyle name="输入 2 16 2 3" xfId="15185"/>
    <cellStyle name="输入 2 16 2 3 2" xfId="19348"/>
    <cellStyle name="输入 2 16 2 3 2 2" xfId="34689"/>
    <cellStyle name="输入 2 16 2 3 2 3" xfId="44093"/>
    <cellStyle name="输入 2 16 2 3 3" xfId="34688"/>
    <cellStyle name="输入 2 16 2 3 4" xfId="44092"/>
    <cellStyle name="输入 2 16 2 4" xfId="15186"/>
    <cellStyle name="输入 2 16 2 4 2" xfId="19347"/>
    <cellStyle name="输入 2 16 2 4 2 2" xfId="34691"/>
    <cellStyle name="输入 2 16 2 4 2 3" xfId="44095"/>
    <cellStyle name="输入 2 16 2 4 3" xfId="34690"/>
    <cellStyle name="输入 2 16 2 4 4" xfId="44094"/>
    <cellStyle name="输入 2 16 2 5" xfId="34692"/>
    <cellStyle name="输入 2 16 2 5 2" xfId="44096"/>
    <cellStyle name="输入 2 16 2 6" xfId="34681"/>
    <cellStyle name="输入 2 16 2 7" xfId="44085"/>
    <cellStyle name="输入 2 16 3" xfId="10305"/>
    <cellStyle name="输入 2 16 3 2" xfId="15187"/>
    <cellStyle name="输入 2 16 3 2 2" xfId="15188"/>
    <cellStyle name="输入 2 16 3 2 2 2" xfId="8341"/>
    <cellStyle name="输入 2 16 3 2 2 2 2" xfId="34696"/>
    <cellStyle name="输入 2 16 3 2 2 2 3" xfId="44100"/>
    <cellStyle name="输入 2 16 3 2 2 3" xfId="34695"/>
    <cellStyle name="输入 2 16 3 2 2 4" xfId="44099"/>
    <cellStyle name="输入 2 16 3 2 3" xfId="15189"/>
    <cellStyle name="输入 2 16 3 2 3 2" xfId="19346"/>
    <cellStyle name="输入 2 16 3 2 3 2 2" xfId="34698"/>
    <cellStyle name="输入 2 16 3 2 3 2 3" xfId="44102"/>
    <cellStyle name="输入 2 16 3 2 3 3" xfId="34697"/>
    <cellStyle name="输入 2 16 3 2 3 4" xfId="44101"/>
    <cellStyle name="输入 2 16 3 2 4" xfId="20745"/>
    <cellStyle name="输入 2 16 3 2 4 2" xfId="34699"/>
    <cellStyle name="输入 2 16 3 2 4 3" xfId="44103"/>
    <cellStyle name="输入 2 16 3 2 5" xfId="34694"/>
    <cellStyle name="输入 2 16 3 2 6" xfId="44098"/>
    <cellStyle name="输入 2 16 3 3" xfId="15190"/>
    <cellStyle name="输入 2 16 3 3 2" xfId="19345"/>
    <cellStyle name="输入 2 16 3 3 2 2" xfId="34701"/>
    <cellStyle name="输入 2 16 3 3 2 3" xfId="44105"/>
    <cellStyle name="输入 2 16 3 3 3" xfId="34700"/>
    <cellStyle name="输入 2 16 3 3 4" xfId="44104"/>
    <cellStyle name="输入 2 16 3 4" xfId="15191"/>
    <cellStyle name="输入 2 16 3 4 2" xfId="19344"/>
    <cellStyle name="输入 2 16 3 4 2 2" xfId="34703"/>
    <cellStyle name="输入 2 16 3 4 2 3" xfId="44107"/>
    <cellStyle name="输入 2 16 3 4 3" xfId="34702"/>
    <cellStyle name="输入 2 16 3 4 4" xfId="44106"/>
    <cellStyle name="输入 2 16 3 5" xfId="34704"/>
    <cellStyle name="输入 2 16 3 5 2" xfId="44108"/>
    <cellStyle name="输入 2 16 3 6" xfId="34693"/>
    <cellStyle name="输入 2 16 3 7" xfId="44097"/>
    <cellStyle name="输入 2 16 4" xfId="10306"/>
    <cellStyle name="输入 2 16 4 2" xfId="15192"/>
    <cellStyle name="输入 2 16 4 2 2" xfId="15193"/>
    <cellStyle name="输入 2 16 4 2 2 2" xfId="20744"/>
    <cellStyle name="输入 2 16 4 2 2 2 2" xfId="34708"/>
    <cellStyle name="输入 2 16 4 2 2 2 3" xfId="44112"/>
    <cellStyle name="输入 2 16 4 2 2 3" xfId="34707"/>
    <cellStyle name="输入 2 16 4 2 2 4" xfId="44111"/>
    <cellStyle name="输入 2 16 4 2 3" xfId="15194"/>
    <cellStyle name="输入 2 16 4 2 3 2" xfId="19342"/>
    <cellStyle name="输入 2 16 4 2 3 2 2" xfId="34710"/>
    <cellStyle name="输入 2 16 4 2 3 2 3" xfId="44114"/>
    <cellStyle name="输入 2 16 4 2 3 3" xfId="34709"/>
    <cellStyle name="输入 2 16 4 2 3 4" xfId="44113"/>
    <cellStyle name="输入 2 16 4 2 4" xfId="19343"/>
    <cellStyle name="输入 2 16 4 2 4 2" xfId="34711"/>
    <cellStyle name="输入 2 16 4 2 4 3" xfId="44115"/>
    <cellStyle name="输入 2 16 4 2 5" xfId="34706"/>
    <cellStyle name="输入 2 16 4 2 6" xfId="44110"/>
    <cellStyle name="输入 2 16 4 3" xfId="15195"/>
    <cellStyle name="输入 2 16 4 3 2" xfId="8342"/>
    <cellStyle name="输入 2 16 4 3 2 2" xfId="34713"/>
    <cellStyle name="输入 2 16 4 3 2 3" xfId="44117"/>
    <cellStyle name="输入 2 16 4 3 3" xfId="34712"/>
    <cellStyle name="输入 2 16 4 3 4" xfId="44116"/>
    <cellStyle name="输入 2 16 4 4" xfId="15196"/>
    <cellStyle name="输入 2 16 4 4 2" xfId="19341"/>
    <cellStyle name="输入 2 16 4 4 2 2" xfId="34715"/>
    <cellStyle name="输入 2 16 4 4 2 3" xfId="44119"/>
    <cellStyle name="输入 2 16 4 4 3" xfId="34714"/>
    <cellStyle name="输入 2 16 4 4 4" xfId="44118"/>
    <cellStyle name="输入 2 16 4 5" xfId="34716"/>
    <cellStyle name="输入 2 16 4 5 2" xfId="44120"/>
    <cellStyle name="输入 2 16 4 6" xfId="34705"/>
    <cellStyle name="输入 2 16 4 7" xfId="44109"/>
    <cellStyle name="输入 2 16 5" xfId="10307"/>
    <cellStyle name="输入 2 16 5 2" xfId="15197"/>
    <cellStyle name="输入 2 16 5 2 2" xfId="15198"/>
    <cellStyle name="输入 2 16 5 2 2 2" xfId="19339"/>
    <cellStyle name="输入 2 16 5 2 2 2 2" xfId="34720"/>
    <cellStyle name="输入 2 16 5 2 2 2 3" xfId="44124"/>
    <cellStyle name="输入 2 16 5 2 2 3" xfId="34719"/>
    <cellStyle name="输入 2 16 5 2 2 4" xfId="44123"/>
    <cellStyle name="输入 2 16 5 2 3" xfId="15199"/>
    <cellStyle name="输入 2 16 5 2 3 2" xfId="20743"/>
    <cellStyle name="输入 2 16 5 2 3 2 2" xfId="34722"/>
    <cellStyle name="输入 2 16 5 2 3 2 3" xfId="44126"/>
    <cellStyle name="输入 2 16 5 2 3 3" xfId="34721"/>
    <cellStyle name="输入 2 16 5 2 3 4" xfId="44125"/>
    <cellStyle name="输入 2 16 5 2 4" xfId="19340"/>
    <cellStyle name="输入 2 16 5 2 4 2" xfId="34723"/>
    <cellStyle name="输入 2 16 5 2 4 3" xfId="44127"/>
    <cellStyle name="输入 2 16 5 2 5" xfId="34718"/>
    <cellStyle name="输入 2 16 5 2 6" xfId="44122"/>
    <cellStyle name="输入 2 16 5 3" xfId="15200"/>
    <cellStyle name="输入 2 16 5 3 2" xfId="19338"/>
    <cellStyle name="输入 2 16 5 3 2 2" xfId="34725"/>
    <cellStyle name="输入 2 16 5 3 2 3" xfId="44129"/>
    <cellStyle name="输入 2 16 5 3 3" xfId="34724"/>
    <cellStyle name="输入 2 16 5 3 4" xfId="44128"/>
    <cellStyle name="输入 2 16 5 4" xfId="15201"/>
    <cellStyle name="输入 2 16 5 4 2" xfId="19337"/>
    <cellStyle name="输入 2 16 5 4 2 2" xfId="34727"/>
    <cellStyle name="输入 2 16 5 4 2 3" xfId="44131"/>
    <cellStyle name="输入 2 16 5 4 3" xfId="34726"/>
    <cellStyle name="输入 2 16 5 4 4" xfId="44130"/>
    <cellStyle name="输入 2 16 5 5" xfId="34728"/>
    <cellStyle name="输入 2 16 5 5 2" xfId="44132"/>
    <cellStyle name="输入 2 16 5 6" xfId="34717"/>
    <cellStyle name="输入 2 16 5 7" xfId="44121"/>
    <cellStyle name="输入 2 16 6" xfId="15202"/>
    <cellStyle name="输入 2 16 6 2" xfId="15203"/>
    <cellStyle name="输入 2 16 6 2 2" xfId="8344"/>
    <cellStyle name="输入 2 16 6 2 2 2" xfId="34731"/>
    <cellStyle name="输入 2 16 6 2 2 3" xfId="44135"/>
    <cellStyle name="输入 2 16 6 2 3" xfId="34730"/>
    <cellStyle name="输入 2 16 6 2 4" xfId="44134"/>
    <cellStyle name="输入 2 16 6 3" xfId="15204"/>
    <cellStyle name="输入 2 16 6 3 2" xfId="20742"/>
    <cellStyle name="输入 2 16 6 3 2 2" xfId="34733"/>
    <cellStyle name="输入 2 16 6 3 2 3" xfId="44137"/>
    <cellStyle name="输入 2 16 6 3 3" xfId="34732"/>
    <cellStyle name="输入 2 16 6 3 4" xfId="44136"/>
    <cellStyle name="输入 2 16 6 4" xfId="8343"/>
    <cellStyle name="输入 2 16 6 4 2" xfId="34734"/>
    <cellStyle name="输入 2 16 6 4 3" xfId="44138"/>
    <cellStyle name="输入 2 16 6 5" xfId="34729"/>
    <cellStyle name="输入 2 16 6 6" xfId="44133"/>
    <cellStyle name="输入 2 16 7" xfId="15205"/>
    <cellStyle name="输入 2 16 7 2" xfId="20741"/>
    <cellStyle name="输入 2 16 7 2 2" xfId="34736"/>
    <cellStyle name="输入 2 16 7 2 3" xfId="44140"/>
    <cellStyle name="输入 2 16 7 3" xfId="34735"/>
    <cellStyle name="输入 2 16 7 4" xfId="44139"/>
    <cellStyle name="输入 2 16 8" xfId="15206"/>
    <cellStyle name="输入 2 16 8 2" xfId="19336"/>
    <cellStyle name="输入 2 16 8 2 2" xfId="34738"/>
    <cellStyle name="输入 2 16 8 2 3" xfId="44142"/>
    <cellStyle name="输入 2 16 8 3" xfId="34737"/>
    <cellStyle name="输入 2 16 8 4" xfId="44141"/>
    <cellStyle name="输入 2 16 9" xfId="34739"/>
    <cellStyle name="输入 2 16 9 2" xfId="44143"/>
    <cellStyle name="输入 2 17" xfId="10308"/>
    <cellStyle name="输入 2 17 10" xfId="34740"/>
    <cellStyle name="输入 2 17 11" xfId="44144"/>
    <cellStyle name="输入 2 17 2" xfId="10309"/>
    <cellStyle name="输入 2 17 2 2" xfId="15207"/>
    <cellStyle name="输入 2 17 2 2 2" xfId="15208"/>
    <cellStyle name="输入 2 17 2 2 2 2" xfId="19334"/>
    <cellStyle name="输入 2 17 2 2 2 2 2" xfId="34744"/>
    <cellStyle name="输入 2 17 2 2 2 2 3" xfId="44148"/>
    <cellStyle name="输入 2 17 2 2 2 3" xfId="34743"/>
    <cellStyle name="输入 2 17 2 2 2 4" xfId="44147"/>
    <cellStyle name="输入 2 17 2 2 3" xfId="15209"/>
    <cellStyle name="输入 2 17 2 2 3 2" xfId="19333"/>
    <cellStyle name="输入 2 17 2 2 3 2 2" xfId="34746"/>
    <cellStyle name="输入 2 17 2 2 3 2 3" xfId="44150"/>
    <cellStyle name="输入 2 17 2 2 3 3" xfId="34745"/>
    <cellStyle name="输入 2 17 2 2 3 4" xfId="44149"/>
    <cellStyle name="输入 2 17 2 2 4" xfId="19335"/>
    <cellStyle name="输入 2 17 2 2 4 2" xfId="34747"/>
    <cellStyle name="输入 2 17 2 2 4 3" xfId="44151"/>
    <cellStyle name="输入 2 17 2 2 5" xfId="34742"/>
    <cellStyle name="输入 2 17 2 2 6" xfId="44146"/>
    <cellStyle name="输入 2 17 2 3" xfId="15210"/>
    <cellStyle name="输入 2 17 2 3 2" xfId="19332"/>
    <cellStyle name="输入 2 17 2 3 2 2" xfId="34749"/>
    <cellStyle name="输入 2 17 2 3 2 3" xfId="44153"/>
    <cellStyle name="输入 2 17 2 3 3" xfId="34748"/>
    <cellStyle name="输入 2 17 2 3 4" xfId="44152"/>
    <cellStyle name="输入 2 17 2 4" xfId="15211"/>
    <cellStyle name="输入 2 17 2 4 2" xfId="18562"/>
    <cellStyle name="输入 2 17 2 4 2 2" xfId="34751"/>
    <cellStyle name="输入 2 17 2 4 2 3" xfId="44155"/>
    <cellStyle name="输入 2 17 2 4 3" xfId="34750"/>
    <cellStyle name="输入 2 17 2 4 4" xfId="44154"/>
    <cellStyle name="输入 2 17 2 5" xfId="34752"/>
    <cellStyle name="输入 2 17 2 5 2" xfId="44156"/>
    <cellStyle name="输入 2 17 2 6" xfId="34741"/>
    <cellStyle name="输入 2 17 2 7" xfId="44145"/>
    <cellStyle name="输入 2 17 3" xfId="10310"/>
    <cellStyle name="输入 2 17 3 2" xfId="15212"/>
    <cellStyle name="输入 2 17 3 2 2" xfId="15213"/>
    <cellStyle name="输入 2 17 3 2 2 2" xfId="19330"/>
    <cellStyle name="输入 2 17 3 2 2 2 2" xfId="34756"/>
    <cellStyle name="输入 2 17 3 2 2 2 3" xfId="44160"/>
    <cellStyle name="输入 2 17 3 2 2 3" xfId="34755"/>
    <cellStyle name="输入 2 17 3 2 2 4" xfId="44159"/>
    <cellStyle name="输入 2 17 3 2 3" xfId="15214"/>
    <cellStyle name="输入 2 17 3 2 3 2" xfId="19329"/>
    <cellStyle name="输入 2 17 3 2 3 2 2" xfId="34758"/>
    <cellStyle name="输入 2 17 3 2 3 2 3" xfId="44162"/>
    <cellStyle name="输入 2 17 3 2 3 3" xfId="34757"/>
    <cellStyle name="输入 2 17 3 2 3 4" xfId="44161"/>
    <cellStyle name="输入 2 17 3 2 4" xfId="19331"/>
    <cellStyle name="输入 2 17 3 2 4 2" xfId="34759"/>
    <cellStyle name="输入 2 17 3 2 4 3" xfId="44163"/>
    <cellStyle name="输入 2 17 3 2 5" xfId="34754"/>
    <cellStyle name="输入 2 17 3 2 6" xfId="44158"/>
    <cellStyle name="输入 2 17 3 3" xfId="15215"/>
    <cellStyle name="输入 2 17 3 3 2" xfId="19328"/>
    <cellStyle name="输入 2 17 3 3 2 2" xfId="34761"/>
    <cellStyle name="输入 2 17 3 3 2 3" xfId="44165"/>
    <cellStyle name="输入 2 17 3 3 3" xfId="34760"/>
    <cellStyle name="输入 2 17 3 3 4" xfId="44164"/>
    <cellStyle name="输入 2 17 3 4" xfId="15216"/>
    <cellStyle name="输入 2 17 3 4 2" xfId="19327"/>
    <cellStyle name="输入 2 17 3 4 2 2" xfId="34763"/>
    <cellStyle name="输入 2 17 3 4 2 3" xfId="44167"/>
    <cellStyle name="输入 2 17 3 4 3" xfId="34762"/>
    <cellStyle name="输入 2 17 3 4 4" xfId="44166"/>
    <cellStyle name="输入 2 17 3 5" xfId="34764"/>
    <cellStyle name="输入 2 17 3 5 2" xfId="44168"/>
    <cellStyle name="输入 2 17 3 6" xfId="34753"/>
    <cellStyle name="输入 2 17 3 7" xfId="44157"/>
    <cellStyle name="输入 2 17 4" xfId="10311"/>
    <cellStyle name="输入 2 17 4 2" xfId="15217"/>
    <cellStyle name="输入 2 17 4 2 2" xfId="15218"/>
    <cellStyle name="输入 2 17 4 2 2 2" xfId="8345"/>
    <cellStyle name="输入 2 17 4 2 2 2 2" xfId="34768"/>
    <cellStyle name="输入 2 17 4 2 2 2 3" xfId="44172"/>
    <cellStyle name="输入 2 17 4 2 2 3" xfId="34767"/>
    <cellStyle name="输入 2 17 4 2 2 4" xfId="44171"/>
    <cellStyle name="输入 2 17 4 2 3" xfId="15219"/>
    <cellStyle name="输入 2 17 4 2 3 2" xfId="19326"/>
    <cellStyle name="输入 2 17 4 2 3 2 2" xfId="34770"/>
    <cellStyle name="输入 2 17 4 2 3 2 3" xfId="44174"/>
    <cellStyle name="输入 2 17 4 2 3 3" xfId="34769"/>
    <cellStyle name="输入 2 17 4 2 3 4" xfId="44173"/>
    <cellStyle name="输入 2 17 4 2 4" xfId="18561"/>
    <cellStyle name="输入 2 17 4 2 4 2" xfId="34771"/>
    <cellStyle name="输入 2 17 4 2 4 3" xfId="44175"/>
    <cellStyle name="输入 2 17 4 2 5" xfId="34766"/>
    <cellStyle name="输入 2 17 4 2 6" xfId="44170"/>
    <cellStyle name="输入 2 17 4 3" xfId="15220"/>
    <cellStyle name="输入 2 17 4 3 2" xfId="19325"/>
    <cellStyle name="输入 2 17 4 3 2 2" xfId="34773"/>
    <cellStyle name="输入 2 17 4 3 2 3" xfId="44177"/>
    <cellStyle name="输入 2 17 4 3 3" xfId="34772"/>
    <cellStyle name="输入 2 17 4 3 4" xfId="44176"/>
    <cellStyle name="输入 2 17 4 4" xfId="15221"/>
    <cellStyle name="输入 2 17 4 4 2" xfId="19324"/>
    <cellStyle name="输入 2 17 4 4 2 2" xfId="34775"/>
    <cellStyle name="输入 2 17 4 4 2 3" xfId="44179"/>
    <cellStyle name="输入 2 17 4 4 3" xfId="34774"/>
    <cellStyle name="输入 2 17 4 4 4" xfId="44178"/>
    <cellStyle name="输入 2 17 4 5" xfId="34776"/>
    <cellStyle name="输入 2 17 4 5 2" xfId="44180"/>
    <cellStyle name="输入 2 17 4 6" xfId="34765"/>
    <cellStyle name="输入 2 17 4 7" xfId="44169"/>
    <cellStyle name="输入 2 17 5" xfId="10312"/>
    <cellStyle name="输入 2 17 5 2" xfId="15222"/>
    <cellStyle name="输入 2 17 5 2 2" xfId="15223"/>
    <cellStyle name="输入 2 17 5 2 2 2" xfId="20740"/>
    <cellStyle name="输入 2 17 5 2 2 2 2" xfId="34780"/>
    <cellStyle name="输入 2 17 5 2 2 2 3" xfId="44184"/>
    <cellStyle name="输入 2 17 5 2 2 3" xfId="34779"/>
    <cellStyle name="输入 2 17 5 2 2 4" xfId="44183"/>
    <cellStyle name="输入 2 17 5 2 3" xfId="15224"/>
    <cellStyle name="输入 2 17 5 2 3 2" xfId="19322"/>
    <cellStyle name="输入 2 17 5 2 3 2 2" xfId="34782"/>
    <cellStyle name="输入 2 17 5 2 3 2 3" xfId="44186"/>
    <cellStyle name="输入 2 17 5 2 3 3" xfId="34781"/>
    <cellStyle name="输入 2 17 5 2 3 4" xfId="44185"/>
    <cellStyle name="输入 2 17 5 2 4" xfId="19323"/>
    <cellStyle name="输入 2 17 5 2 4 2" xfId="34783"/>
    <cellStyle name="输入 2 17 5 2 4 3" xfId="44187"/>
    <cellStyle name="输入 2 17 5 2 5" xfId="34778"/>
    <cellStyle name="输入 2 17 5 2 6" xfId="44182"/>
    <cellStyle name="输入 2 17 5 3" xfId="15225"/>
    <cellStyle name="输入 2 17 5 3 2" xfId="8346"/>
    <cellStyle name="输入 2 17 5 3 2 2" xfId="34785"/>
    <cellStyle name="输入 2 17 5 3 2 3" xfId="44189"/>
    <cellStyle name="输入 2 17 5 3 3" xfId="34784"/>
    <cellStyle name="输入 2 17 5 3 4" xfId="44188"/>
    <cellStyle name="输入 2 17 5 4" xfId="15226"/>
    <cellStyle name="输入 2 17 5 4 2" xfId="19321"/>
    <cellStyle name="输入 2 17 5 4 2 2" xfId="34787"/>
    <cellStyle name="输入 2 17 5 4 2 3" xfId="44191"/>
    <cellStyle name="输入 2 17 5 4 3" xfId="34786"/>
    <cellStyle name="输入 2 17 5 4 4" xfId="44190"/>
    <cellStyle name="输入 2 17 5 5" xfId="34788"/>
    <cellStyle name="输入 2 17 5 5 2" xfId="44192"/>
    <cellStyle name="输入 2 17 5 6" xfId="34777"/>
    <cellStyle name="输入 2 17 5 7" xfId="44181"/>
    <cellStyle name="输入 2 17 6" xfId="15227"/>
    <cellStyle name="输入 2 17 6 2" xfId="15228"/>
    <cellStyle name="输入 2 17 6 2 2" xfId="19319"/>
    <cellStyle name="输入 2 17 6 2 2 2" xfId="34791"/>
    <cellStyle name="输入 2 17 6 2 2 3" xfId="44195"/>
    <cellStyle name="输入 2 17 6 2 3" xfId="34790"/>
    <cellStyle name="输入 2 17 6 2 4" xfId="44194"/>
    <cellStyle name="输入 2 17 6 3" xfId="15229"/>
    <cellStyle name="输入 2 17 6 3 2" xfId="19318"/>
    <cellStyle name="输入 2 17 6 3 2 2" xfId="34793"/>
    <cellStyle name="输入 2 17 6 3 2 3" xfId="44197"/>
    <cellStyle name="输入 2 17 6 3 3" xfId="34792"/>
    <cellStyle name="输入 2 17 6 3 4" xfId="44196"/>
    <cellStyle name="输入 2 17 6 4" xfId="19320"/>
    <cellStyle name="输入 2 17 6 4 2" xfId="34794"/>
    <cellStyle name="输入 2 17 6 4 3" xfId="44198"/>
    <cellStyle name="输入 2 17 6 5" xfId="34789"/>
    <cellStyle name="输入 2 17 6 6" xfId="44193"/>
    <cellStyle name="输入 2 17 7" xfId="15230"/>
    <cellStyle name="输入 2 17 7 2" xfId="19317"/>
    <cellStyle name="输入 2 17 7 2 2" xfId="34796"/>
    <cellStyle name="输入 2 17 7 2 3" xfId="44200"/>
    <cellStyle name="输入 2 17 7 3" xfId="34795"/>
    <cellStyle name="输入 2 17 7 4" xfId="44199"/>
    <cellStyle name="输入 2 17 8" xfId="15231"/>
    <cellStyle name="输入 2 17 8 2" xfId="8347"/>
    <cellStyle name="输入 2 17 8 2 2" xfId="34798"/>
    <cellStyle name="输入 2 17 8 2 3" xfId="44202"/>
    <cellStyle name="输入 2 17 8 3" xfId="34797"/>
    <cellStyle name="输入 2 17 8 4" xfId="44201"/>
    <cellStyle name="输入 2 17 9" xfId="34799"/>
    <cellStyle name="输入 2 17 9 2" xfId="44203"/>
    <cellStyle name="输入 2 18" xfId="10313"/>
    <cellStyle name="输入 2 18 10" xfId="34800"/>
    <cellStyle name="输入 2 18 11" xfId="44204"/>
    <cellStyle name="输入 2 18 2" xfId="10314"/>
    <cellStyle name="输入 2 18 2 2" xfId="15232"/>
    <cellStyle name="输入 2 18 2 2 2" xfId="15233"/>
    <cellStyle name="输入 2 18 2 2 2 2" xfId="19315"/>
    <cellStyle name="输入 2 18 2 2 2 2 2" xfId="34804"/>
    <cellStyle name="输入 2 18 2 2 2 2 3" xfId="44208"/>
    <cellStyle name="输入 2 18 2 2 2 3" xfId="34803"/>
    <cellStyle name="输入 2 18 2 2 2 4" xfId="44207"/>
    <cellStyle name="输入 2 18 2 2 3" xfId="15234"/>
    <cellStyle name="输入 2 18 2 2 3 2" xfId="20739"/>
    <cellStyle name="输入 2 18 2 2 3 2 2" xfId="34806"/>
    <cellStyle name="输入 2 18 2 2 3 2 3" xfId="44210"/>
    <cellStyle name="输入 2 18 2 2 3 3" xfId="34805"/>
    <cellStyle name="输入 2 18 2 2 3 4" xfId="44209"/>
    <cellStyle name="输入 2 18 2 2 4" xfId="19316"/>
    <cellStyle name="输入 2 18 2 2 4 2" xfId="34807"/>
    <cellStyle name="输入 2 18 2 2 4 3" xfId="44211"/>
    <cellStyle name="输入 2 18 2 2 5" xfId="34802"/>
    <cellStyle name="输入 2 18 2 2 6" xfId="44206"/>
    <cellStyle name="输入 2 18 2 3" xfId="15235"/>
    <cellStyle name="输入 2 18 2 3 2" xfId="20738"/>
    <cellStyle name="输入 2 18 2 3 2 2" xfId="34809"/>
    <cellStyle name="输入 2 18 2 3 2 3" xfId="44213"/>
    <cellStyle name="输入 2 18 2 3 3" xfId="34808"/>
    <cellStyle name="输入 2 18 2 3 4" xfId="44212"/>
    <cellStyle name="输入 2 18 2 4" xfId="15236"/>
    <cellStyle name="输入 2 18 2 4 2" xfId="19314"/>
    <cellStyle name="输入 2 18 2 4 2 2" xfId="34811"/>
    <cellStyle name="输入 2 18 2 4 2 3" xfId="44215"/>
    <cellStyle name="输入 2 18 2 4 3" xfId="34810"/>
    <cellStyle name="输入 2 18 2 4 4" xfId="44214"/>
    <cellStyle name="输入 2 18 2 5" xfId="34812"/>
    <cellStyle name="输入 2 18 2 5 2" xfId="44216"/>
    <cellStyle name="输入 2 18 2 6" xfId="34801"/>
    <cellStyle name="输入 2 18 2 7" xfId="44205"/>
    <cellStyle name="输入 2 18 3" xfId="10315"/>
    <cellStyle name="输入 2 18 3 2" xfId="15237"/>
    <cellStyle name="输入 2 18 3 2 2" xfId="15238"/>
    <cellStyle name="输入 2 18 3 2 2 2" xfId="19312"/>
    <cellStyle name="输入 2 18 3 2 2 2 2" xfId="34816"/>
    <cellStyle name="输入 2 18 3 2 2 2 3" xfId="44220"/>
    <cellStyle name="输入 2 18 3 2 2 3" xfId="34815"/>
    <cellStyle name="输入 2 18 3 2 2 4" xfId="44219"/>
    <cellStyle name="输入 2 18 3 2 3" xfId="15239"/>
    <cellStyle name="输入 2 18 3 2 3 2" xfId="8348"/>
    <cellStyle name="输入 2 18 3 2 3 2 2" xfId="34818"/>
    <cellStyle name="输入 2 18 3 2 3 2 3" xfId="44222"/>
    <cellStyle name="输入 2 18 3 2 3 3" xfId="34817"/>
    <cellStyle name="输入 2 18 3 2 3 4" xfId="44221"/>
    <cellStyle name="输入 2 18 3 2 4" xfId="19313"/>
    <cellStyle name="输入 2 18 3 2 4 2" xfId="34819"/>
    <cellStyle name="输入 2 18 3 2 4 3" xfId="44223"/>
    <cellStyle name="输入 2 18 3 2 5" xfId="34814"/>
    <cellStyle name="输入 2 18 3 2 6" xfId="44218"/>
    <cellStyle name="输入 2 18 3 3" xfId="15240"/>
    <cellStyle name="输入 2 18 3 3 2" xfId="8349"/>
    <cellStyle name="输入 2 18 3 3 2 2" xfId="34821"/>
    <cellStyle name="输入 2 18 3 3 2 3" xfId="44225"/>
    <cellStyle name="输入 2 18 3 3 3" xfId="34820"/>
    <cellStyle name="输入 2 18 3 3 4" xfId="44224"/>
    <cellStyle name="输入 2 18 3 4" xfId="15241"/>
    <cellStyle name="输入 2 18 3 4 2" xfId="20737"/>
    <cellStyle name="输入 2 18 3 4 2 2" xfId="34823"/>
    <cellStyle name="输入 2 18 3 4 2 3" xfId="44227"/>
    <cellStyle name="输入 2 18 3 4 3" xfId="34822"/>
    <cellStyle name="输入 2 18 3 4 4" xfId="44226"/>
    <cellStyle name="输入 2 18 3 5" xfId="34824"/>
    <cellStyle name="输入 2 18 3 5 2" xfId="44228"/>
    <cellStyle name="输入 2 18 3 6" xfId="34813"/>
    <cellStyle name="输入 2 18 3 7" xfId="44217"/>
    <cellStyle name="输入 2 18 4" xfId="10316"/>
    <cellStyle name="输入 2 18 4 2" xfId="15242"/>
    <cellStyle name="输入 2 18 4 2 2" xfId="15243"/>
    <cellStyle name="输入 2 18 4 2 2 2" xfId="19310"/>
    <cellStyle name="输入 2 18 4 2 2 2 2" xfId="34828"/>
    <cellStyle name="输入 2 18 4 2 2 2 3" xfId="44232"/>
    <cellStyle name="输入 2 18 4 2 2 3" xfId="34827"/>
    <cellStyle name="输入 2 18 4 2 2 4" xfId="44231"/>
    <cellStyle name="输入 2 18 4 2 3" xfId="15244"/>
    <cellStyle name="输入 2 18 4 2 3 2" xfId="19309"/>
    <cellStyle name="输入 2 18 4 2 3 2 2" xfId="34830"/>
    <cellStyle name="输入 2 18 4 2 3 2 3" xfId="44234"/>
    <cellStyle name="输入 2 18 4 2 3 3" xfId="34829"/>
    <cellStyle name="输入 2 18 4 2 3 4" xfId="44233"/>
    <cellStyle name="输入 2 18 4 2 4" xfId="19311"/>
    <cellStyle name="输入 2 18 4 2 4 2" xfId="34831"/>
    <cellStyle name="输入 2 18 4 2 4 3" xfId="44235"/>
    <cellStyle name="输入 2 18 4 2 5" xfId="34826"/>
    <cellStyle name="输入 2 18 4 2 6" xfId="44230"/>
    <cellStyle name="输入 2 18 4 3" xfId="15245"/>
    <cellStyle name="输入 2 18 4 3 2" xfId="19308"/>
    <cellStyle name="输入 2 18 4 3 2 2" xfId="34833"/>
    <cellStyle name="输入 2 18 4 3 2 3" xfId="44237"/>
    <cellStyle name="输入 2 18 4 3 3" xfId="34832"/>
    <cellStyle name="输入 2 18 4 3 4" xfId="44236"/>
    <cellStyle name="输入 2 18 4 4" xfId="15246"/>
    <cellStyle name="输入 2 18 4 4 2" xfId="19307"/>
    <cellStyle name="输入 2 18 4 4 2 2" xfId="34835"/>
    <cellStyle name="输入 2 18 4 4 2 3" xfId="44239"/>
    <cellStyle name="输入 2 18 4 4 3" xfId="34834"/>
    <cellStyle name="输入 2 18 4 4 4" xfId="44238"/>
    <cellStyle name="输入 2 18 4 5" xfId="34836"/>
    <cellStyle name="输入 2 18 4 5 2" xfId="44240"/>
    <cellStyle name="输入 2 18 4 6" xfId="34825"/>
    <cellStyle name="输入 2 18 4 7" xfId="44229"/>
    <cellStyle name="输入 2 18 5" xfId="10317"/>
    <cellStyle name="输入 2 18 5 2" xfId="15247"/>
    <cellStyle name="输入 2 18 5 2 2" xfId="15248"/>
    <cellStyle name="输入 2 18 5 2 2 2" xfId="19306"/>
    <cellStyle name="输入 2 18 5 2 2 2 2" xfId="34840"/>
    <cellStyle name="输入 2 18 5 2 2 2 3" xfId="44244"/>
    <cellStyle name="输入 2 18 5 2 2 3" xfId="34839"/>
    <cellStyle name="输入 2 18 5 2 2 4" xfId="44243"/>
    <cellStyle name="输入 2 18 5 2 3" xfId="15249"/>
    <cellStyle name="输入 2 18 5 2 3 2" xfId="19305"/>
    <cellStyle name="输入 2 18 5 2 3 2 2" xfId="34842"/>
    <cellStyle name="输入 2 18 5 2 3 2 3" xfId="44246"/>
    <cellStyle name="输入 2 18 5 2 3 3" xfId="34841"/>
    <cellStyle name="输入 2 18 5 2 3 4" xfId="44245"/>
    <cellStyle name="输入 2 18 5 2 4" xfId="20736"/>
    <cellStyle name="输入 2 18 5 2 4 2" xfId="34843"/>
    <cellStyle name="输入 2 18 5 2 4 3" xfId="44247"/>
    <cellStyle name="输入 2 18 5 2 5" xfId="34838"/>
    <cellStyle name="输入 2 18 5 2 6" xfId="44242"/>
    <cellStyle name="输入 2 18 5 3" xfId="15250"/>
    <cellStyle name="输入 2 18 5 3 2" xfId="19304"/>
    <cellStyle name="输入 2 18 5 3 2 2" xfId="34845"/>
    <cellStyle name="输入 2 18 5 3 2 3" xfId="44249"/>
    <cellStyle name="输入 2 18 5 3 3" xfId="34844"/>
    <cellStyle name="输入 2 18 5 3 4" xfId="44248"/>
    <cellStyle name="输入 2 18 5 4" xfId="15251"/>
    <cellStyle name="输入 2 18 5 4 2" xfId="19303"/>
    <cellStyle name="输入 2 18 5 4 2 2" xfId="34847"/>
    <cellStyle name="输入 2 18 5 4 2 3" xfId="44251"/>
    <cellStyle name="输入 2 18 5 4 3" xfId="34846"/>
    <cellStyle name="输入 2 18 5 4 4" xfId="44250"/>
    <cellStyle name="输入 2 18 5 5" xfId="34848"/>
    <cellStyle name="输入 2 18 5 5 2" xfId="44252"/>
    <cellStyle name="输入 2 18 5 6" xfId="34837"/>
    <cellStyle name="输入 2 18 5 7" xfId="44241"/>
    <cellStyle name="输入 2 18 6" xfId="15252"/>
    <cellStyle name="输入 2 18 6 2" xfId="15253"/>
    <cellStyle name="输入 2 18 6 2 2" xfId="20735"/>
    <cellStyle name="输入 2 18 6 2 2 2" xfId="34851"/>
    <cellStyle name="输入 2 18 6 2 2 3" xfId="44255"/>
    <cellStyle name="输入 2 18 6 2 3" xfId="34850"/>
    <cellStyle name="输入 2 18 6 2 4" xfId="44254"/>
    <cellStyle name="输入 2 18 6 3" xfId="15254"/>
    <cellStyle name="输入 2 18 6 3 2" xfId="8350"/>
    <cellStyle name="输入 2 18 6 3 2 2" xfId="34853"/>
    <cellStyle name="输入 2 18 6 3 2 3" xfId="44257"/>
    <cellStyle name="输入 2 18 6 3 3" xfId="34852"/>
    <cellStyle name="输入 2 18 6 3 4" xfId="44256"/>
    <cellStyle name="输入 2 18 6 4" xfId="19302"/>
    <cellStyle name="输入 2 18 6 4 2" xfId="34854"/>
    <cellStyle name="输入 2 18 6 4 3" xfId="44258"/>
    <cellStyle name="输入 2 18 6 5" xfId="34849"/>
    <cellStyle name="输入 2 18 6 6" xfId="44253"/>
    <cellStyle name="输入 2 18 7" xfId="15255"/>
    <cellStyle name="输入 2 18 7 2" xfId="19301"/>
    <cellStyle name="输入 2 18 7 2 2" xfId="34856"/>
    <cellStyle name="输入 2 18 7 2 3" xfId="44260"/>
    <cellStyle name="输入 2 18 7 3" xfId="34855"/>
    <cellStyle name="输入 2 18 7 4" xfId="44259"/>
    <cellStyle name="输入 2 18 8" xfId="15256"/>
    <cellStyle name="输入 2 18 8 2" xfId="19300"/>
    <cellStyle name="输入 2 18 8 2 2" xfId="34858"/>
    <cellStyle name="输入 2 18 8 2 3" xfId="44262"/>
    <cellStyle name="输入 2 18 8 3" xfId="34857"/>
    <cellStyle name="输入 2 18 8 4" xfId="44261"/>
    <cellStyle name="输入 2 18 9" xfId="34859"/>
    <cellStyle name="输入 2 18 9 2" xfId="44263"/>
    <cellStyle name="输入 2 19" xfId="10318"/>
    <cellStyle name="输入 2 19 2" xfId="15257"/>
    <cellStyle name="输入 2 19 2 2" xfId="15258"/>
    <cellStyle name="输入 2 19 2 2 2" xfId="19298"/>
    <cellStyle name="输入 2 19 2 2 2 2" xfId="34863"/>
    <cellStyle name="输入 2 19 2 2 2 3" xfId="44267"/>
    <cellStyle name="输入 2 19 2 2 3" xfId="34862"/>
    <cellStyle name="输入 2 19 2 2 4" xfId="44266"/>
    <cellStyle name="输入 2 19 2 3" xfId="15259"/>
    <cellStyle name="输入 2 19 2 3 2" xfId="19297"/>
    <cellStyle name="输入 2 19 2 3 2 2" xfId="34865"/>
    <cellStyle name="输入 2 19 2 3 2 3" xfId="44269"/>
    <cellStyle name="输入 2 19 2 3 3" xfId="34864"/>
    <cellStyle name="输入 2 19 2 3 4" xfId="44268"/>
    <cellStyle name="输入 2 19 2 4" xfId="19299"/>
    <cellStyle name="输入 2 19 2 4 2" xfId="34866"/>
    <cellStyle name="输入 2 19 2 4 3" xfId="44270"/>
    <cellStyle name="输入 2 19 2 5" xfId="34861"/>
    <cellStyle name="输入 2 19 2 6" xfId="44265"/>
    <cellStyle name="输入 2 19 3" xfId="15260"/>
    <cellStyle name="输入 2 19 3 2" xfId="8351"/>
    <cellStyle name="输入 2 19 3 2 2" xfId="34868"/>
    <cellStyle name="输入 2 19 3 2 3" xfId="44272"/>
    <cellStyle name="输入 2 19 3 3" xfId="34867"/>
    <cellStyle name="输入 2 19 3 4" xfId="44271"/>
    <cellStyle name="输入 2 19 4" xfId="15261"/>
    <cellStyle name="输入 2 19 4 2" xfId="19296"/>
    <cellStyle name="输入 2 19 4 2 2" xfId="34870"/>
    <cellStyle name="输入 2 19 4 2 3" xfId="44274"/>
    <cellStyle name="输入 2 19 4 3" xfId="34869"/>
    <cellStyle name="输入 2 19 4 4" xfId="44273"/>
    <cellStyle name="输入 2 19 5" xfId="34871"/>
    <cellStyle name="输入 2 19 5 2" xfId="44275"/>
    <cellStyle name="输入 2 19 6" xfId="34860"/>
    <cellStyle name="输入 2 19 7" xfId="44264"/>
    <cellStyle name="输入 2 2" xfId="5464"/>
    <cellStyle name="输入 2 2 10" xfId="10320"/>
    <cellStyle name="输入 2 2 10 10" xfId="34873"/>
    <cellStyle name="输入 2 2 10 11" xfId="44277"/>
    <cellStyle name="输入 2 2 10 2" xfId="10321"/>
    <cellStyle name="输入 2 2 10 2 2" xfId="15262"/>
    <cellStyle name="输入 2 2 10 2 2 2" xfId="15263"/>
    <cellStyle name="输入 2 2 10 2 2 2 2" xfId="19294"/>
    <cellStyle name="输入 2 2 10 2 2 2 2 2" xfId="34877"/>
    <cellStyle name="输入 2 2 10 2 2 2 2 3" xfId="44281"/>
    <cellStyle name="输入 2 2 10 2 2 2 3" xfId="34876"/>
    <cellStyle name="输入 2 2 10 2 2 2 4" xfId="44280"/>
    <cellStyle name="输入 2 2 10 2 2 3" xfId="15264"/>
    <cellStyle name="输入 2 2 10 2 2 3 2" xfId="20734"/>
    <cellStyle name="输入 2 2 10 2 2 3 2 2" xfId="34879"/>
    <cellStyle name="输入 2 2 10 2 2 3 2 3" xfId="44283"/>
    <cellStyle name="输入 2 2 10 2 2 3 3" xfId="34878"/>
    <cellStyle name="输入 2 2 10 2 2 3 4" xfId="44282"/>
    <cellStyle name="输入 2 2 10 2 2 4" xfId="19295"/>
    <cellStyle name="输入 2 2 10 2 2 4 2" xfId="34880"/>
    <cellStyle name="输入 2 2 10 2 2 4 3" xfId="44284"/>
    <cellStyle name="输入 2 2 10 2 2 5" xfId="34875"/>
    <cellStyle name="输入 2 2 10 2 2 6" xfId="44279"/>
    <cellStyle name="输入 2 2 10 2 3" xfId="15265"/>
    <cellStyle name="输入 2 2 10 2 3 2" xfId="20733"/>
    <cellStyle name="输入 2 2 10 2 3 2 2" xfId="34882"/>
    <cellStyle name="输入 2 2 10 2 3 2 3" xfId="44286"/>
    <cellStyle name="输入 2 2 10 2 3 3" xfId="34881"/>
    <cellStyle name="输入 2 2 10 2 3 4" xfId="44285"/>
    <cellStyle name="输入 2 2 10 2 4" xfId="15266"/>
    <cellStyle name="输入 2 2 10 2 4 2" xfId="19293"/>
    <cellStyle name="输入 2 2 10 2 4 2 2" xfId="34884"/>
    <cellStyle name="输入 2 2 10 2 4 2 3" xfId="44288"/>
    <cellStyle name="输入 2 2 10 2 4 3" xfId="34883"/>
    <cellStyle name="输入 2 2 10 2 4 4" xfId="44287"/>
    <cellStyle name="输入 2 2 10 2 5" xfId="34885"/>
    <cellStyle name="输入 2 2 10 2 5 2" xfId="44289"/>
    <cellStyle name="输入 2 2 10 2 6" xfId="34874"/>
    <cellStyle name="输入 2 2 10 2 7" xfId="44278"/>
    <cellStyle name="输入 2 2 10 3" xfId="10322"/>
    <cellStyle name="输入 2 2 10 3 2" xfId="15267"/>
    <cellStyle name="输入 2 2 10 3 2 2" xfId="15268"/>
    <cellStyle name="输入 2 2 10 3 2 2 2" xfId="8352"/>
    <cellStyle name="输入 2 2 10 3 2 2 2 2" xfId="34889"/>
    <cellStyle name="输入 2 2 10 3 2 2 2 3" xfId="44293"/>
    <cellStyle name="输入 2 2 10 3 2 2 3" xfId="34888"/>
    <cellStyle name="输入 2 2 10 3 2 2 4" xfId="44292"/>
    <cellStyle name="输入 2 2 10 3 2 3" xfId="15269"/>
    <cellStyle name="输入 2 2 10 3 2 3 2" xfId="19291"/>
    <cellStyle name="输入 2 2 10 3 2 3 2 2" xfId="34891"/>
    <cellStyle name="输入 2 2 10 3 2 3 2 3" xfId="44295"/>
    <cellStyle name="输入 2 2 10 3 2 3 3" xfId="34890"/>
    <cellStyle name="输入 2 2 10 3 2 3 4" xfId="44294"/>
    <cellStyle name="输入 2 2 10 3 2 4" xfId="19292"/>
    <cellStyle name="输入 2 2 10 3 2 4 2" xfId="34892"/>
    <cellStyle name="输入 2 2 10 3 2 4 3" xfId="44296"/>
    <cellStyle name="输入 2 2 10 3 2 5" xfId="34887"/>
    <cellStyle name="输入 2 2 10 3 2 6" xfId="44291"/>
    <cellStyle name="输入 2 2 10 3 3" xfId="15270"/>
    <cellStyle name="输入 2 2 10 3 3 2" xfId="19290"/>
    <cellStyle name="输入 2 2 10 3 3 2 2" xfId="34894"/>
    <cellStyle name="输入 2 2 10 3 3 2 3" xfId="44298"/>
    <cellStyle name="输入 2 2 10 3 3 3" xfId="34893"/>
    <cellStyle name="输入 2 2 10 3 3 4" xfId="44297"/>
    <cellStyle name="输入 2 2 10 3 4" xfId="15271"/>
    <cellStyle name="输入 2 2 10 3 4 2" xfId="20732"/>
    <cellStyle name="输入 2 2 10 3 4 2 2" xfId="34896"/>
    <cellStyle name="输入 2 2 10 3 4 2 3" xfId="44300"/>
    <cellStyle name="输入 2 2 10 3 4 3" xfId="34895"/>
    <cellStyle name="输入 2 2 10 3 4 4" xfId="44299"/>
    <cellStyle name="输入 2 2 10 3 5" xfId="34897"/>
    <cellStyle name="输入 2 2 10 3 5 2" xfId="44301"/>
    <cellStyle name="输入 2 2 10 3 6" xfId="34886"/>
    <cellStyle name="输入 2 2 10 3 7" xfId="44290"/>
    <cellStyle name="输入 2 2 10 4" xfId="10323"/>
    <cellStyle name="输入 2 2 10 4 2" xfId="15272"/>
    <cellStyle name="输入 2 2 10 4 2 2" xfId="15273"/>
    <cellStyle name="输入 2 2 10 4 2 2 2" xfId="19288"/>
    <cellStyle name="输入 2 2 10 4 2 2 2 2" xfId="34901"/>
    <cellStyle name="输入 2 2 10 4 2 2 2 3" xfId="44305"/>
    <cellStyle name="输入 2 2 10 4 2 2 3" xfId="34900"/>
    <cellStyle name="输入 2 2 10 4 2 2 4" xfId="44304"/>
    <cellStyle name="输入 2 2 10 4 2 3" xfId="15274"/>
    <cellStyle name="输入 2 2 10 4 2 3 2" xfId="19287"/>
    <cellStyle name="输入 2 2 10 4 2 3 2 2" xfId="34903"/>
    <cellStyle name="输入 2 2 10 4 2 3 2 3" xfId="44307"/>
    <cellStyle name="输入 2 2 10 4 2 3 3" xfId="34902"/>
    <cellStyle name="输入 2 2 10 4 2 3 4" xfId="44306"/>
    <cellStyle name="输入 2 2 10 4 2 4" xfId="19289"/>
    <cellStyle name="输入 2 2 10 4 2 4 2" xfId="34904"/>
    <cellStyle name="输入 2 2 10 4 2 4 3" xfId="44308"/>
    <cellStyle name="输入 2 2 10 4 2 5" xfId="34899"/>
    <cellStyle name="输入 2 2 10 4 2 6" xfId="44303"/>
    <cellStyle name="输入 2 2 10 4 3" xfId="15275"/>
    <cellStyle name="输入 2 2 10 4 3 2" xfId="8353"/>
    <cellStyle name="输入 2 2 10 4 3 2 2" xfId="34906"/>
    <cellStyle name="输入 2 2 10 4 3 2 3" xfId="44310"/>
    <cellStyle name="输入 2 2 10 4 3 3" xfId="34905"/>
    <cellStyle name="输入 2 2 10 4 3 4" xfId="44309"/>
    <cellStyle name="输入 2 2 10 4 4" xfId="15276"/>
    <cellStyle name="输入 2 2 10 4 4 2" xfId="8354"/>
    <cellStyle name="输入 2 2 10 4 4 2 2" xfId="34908"/>
    <cellStyle name="输入 2 2 10 4 4 2 3" xfId="44312"/>
    <cellStyle name="输入 2 2 10 4 4 3" xfId="34907"/>
    <cellStyle name="输入 2 2 10 4 4 4" xfId="44311"/>
    <cellStyle name="输入 2 2 10 4 5" xfId="34909"/>
    <cellStyle name="输入 2 2 10 4 5 2" xfId="44313"/>
    <cellStyle name="输入 2 2 10 4 6" xfId="34898"/>
    <cellStyle name="输入 2 2 10 4 7" xfId="44302"/>
    <cellStyle name="输入 2 2 10 5" xfId="10324"/>
    <cellStyle name="输入 2 2 10 5 2" xfId="15277"/>
    <cellStyle name="输入 2 2 10 5 2 2" xfId="15278"/>
    <cellStyle name="输入 2 2 10 5 2 2 2" xfId="19286"/>
    <cellStyle name="输入 2 2 10 5 2 2 2 2" xfId="34913"/>
    <cellStyle name="输入 2 2 10 5 2 2 2 3" xfId="44317"/>
    <cellStyle name="输入 2 2 10 5 2 2 3" xfId="34912"/>
    <cellStyle name="输入 2 2 10 5 2 2 4" xfId="44316"/>
    <cellStyle name="输入 2 2 10 5 2 3" xfId="15279"/>
    <cellStyle name="输入 2 2 10 5 2 3 2" xfId="19285"/>
    <cellStyle name="输入 2 2 10 5 2 3 2 2" xfId="34915"/>
    <cellStyle name="输入 2 2 10 5 2 3 2 3" xfId="44319"/>
    <cellStyle name="输入 2 2 10 5 2 3 3" xfId="34914"/>
    <cellStyle name="输入 2 2 10 5 2 3 4" xfId="44318"/>
    <cellStyle name="输入 2 2 10 5 2 4" xfId="20731"/>
    <cellStyle name="输入 2 2 10 5 2 4 2" xfId="34916"/>
    <cellStyle name="输入 2 2 10 5 2 4 3" xfId="44320"/>
    <cellStyle name="输入 2 2 10 5 2 5" xfId="34911"/>
    <cellStyle name="输入 2 2 10 5 2 6" xfId="44315"/>
    <cellStyle name="输入 2 2 10 5 3" xfId="15280"/>
    <cellStyle name="输入 2 2 10 5 3 2" xfId="19284"/>
    <cellStyle name="输入 2 2 10 5 3 2 2" xfId="34918"/>
    <cellStyle name="输入 2 2 10 5 3 2 3" xfId="44322"/>
    <cellStyle name="输入 2 2 10 5 3 3" xfId="34917"/>
    <cellStyle name="输入 2 2 10 5 3 4" xfId="44321"/>
    <cellStyle name="输入 2 2 10 5 4" xfId="15281"/>
    <cellStyle name="输入 2 2 10 5 4 2" xfId="19283"/>
    <cellStyle name="输入 2 2 10 5 4 2 2" xfId="34920"/>
    <cellStyle name="输入 2 2 10 5 4 2 3" xfId="44324"/>
    <cellStyle name="输入 2 2 10 5 4 3" xfId="34919"/>
    <cellStyle name="输入 2 2 10 5 4 4" xfId="44323"/>
    <cellStyle name="输入 2 2 10 5 5" xfId="34921"/>
    <cellStyle name="输入 2 2 10 5 5 2" xfId="44325"/>
    <cellStyle name="输入 2 2 10 5 6" xfId="34910"/>
    <cellStyle name="输入 2 2 10 5 7" xfId="44314"/>
    <cellStyle name="输入 2 2 10 6" xfId="15282"/>
    <cellStyle name="输入 2 2 10 6 2" xfId="15283"/>
    <cellStyle name="输入 2 2 10 6 2 2" xfId="18560"/>
    <cellStyle name="输入 2 2 10 6 2 2 2" xfId="34924"/>
    <cellStyle name="输入 2 2 10 6 2 2 3" xfId="44328"/>
    <cellStyle name="输入 2 2 10 6 2 3" xfId="34923"/>
    <cellStyle name="输入 2 2 10 6 2 4" xfId="44327"/>
    <cellStyle name="输入 2 2 10 6 3" xfId="15284"/>
    <cellStyle name="输入 2 2 10 6 3 2" xfId="19281"/>
    <cellStyle name="输入 2 2 10 6 3 2 2" xfId="34926"/>
    <cellStyle name="输入 2 2 10 6 3 2 3" xfId="44330"/>
    <cellStyle name="输入 2 2 10 6 3 3" xfId="34925"/>
    <cellStyle name="输入 2 2 10 6 3 4" xfId="44329"/>
    <cellStyle name="输入 2 2 10 6 4" xfId="19282"/>
    <cellStyle name="输入 2 2 10 6 4 2" xfId="34927"/>
    <cellStyle name="输入 2 2 10 6 4 3" xfId="44331"/>
    <cellStyle name="输入 2 2 10 6 5" xfId="34922"/>
    <cellStyle name="输入 2 2 10 6 6" xfId="44326"/>
    <cellStyle name="输入 2 2 10 7" xfId="15285"/>
    <cellStyle name="输入 2 2 10 7 2" xfId="19280"/>
    <cellStyle name="输入 2 2 10 7 2 2" xfId="34929"/>
    <cellStyle name="输入 2 2 10 7 2 3" xfId="44333"/>
    <cellStyle name="输入 2 2 10 7 3" xfId="34928"/>
    <cellStyle name="输入 2 2 10 7 4" xfId="44332"/>
    <cellStyle name="输入 2 2 10 8" xfId="15286"/>
    <cellStyle name="输入 2 2 10 8 2" xfId="19279"/>
    <cellStyle name="输入 2 2 10 8 2 2" xfId="34931"/>
    <cellStyle name="输入 2 2 10 8 2 3" xfId="44335"/>
    <cellStyle name="输入 2 2 10 8 3" xfId="34930"/>
    <cellStyle name="输入 2 2 10 8 4" xfId="44334"/>
    <cellStyle name="输入 2 2 10 9" xfId="34932"/>
    <cellStyle name="输入 2 2 10 9 2" xfId="44336"/>
    <cellStyle name="输入 2 2 11" xfId="10325"/>
    <cellStyle name="输入 2 2 11 10" xfId="34933"/>
    <cellStyle name="输入 2 2 11 11" xfId="44337"/>
    <cellStyle name="输入 2 2 11 2" xfId="10326"/>
    <cellStyle name="输入 2 2 11 2 2" xfId="15287"/>
    <cellStyle name="输入 2 2 11 2 2 2" xfId="15288"/>
    <cellStyle name="输入 2 2 11 2 2 2 2" xfId="19278"/>
    <cellStyle name="输入 2 2 11 2 2 2 2 2" xfId="34937"/>
    <cellStyle name="输入 2 2 11 2 2 2 2 3" xfId="44341"/>
    <cellStyle name="输入 2 2 11 2 2 2 3" xfId="34936"/>
    <cellStyle name="输入 2 2 11 2 2 2 4" xfId="44340"/>
    <cellStyle name="输入 2 2 11 2 2 3" xfId="15289"/>
    <cellStyle name="输入 2 2 11 2 2 3 2" xfId="19277"/>
    <cellStyle name="输入 2 2 11 2 2 3 2 2" xfId="34939"/>
    <cellStyle name="输入 2 2 11 2 2 3 2 3" xfId="44343"/>
    <cellStyle name="输入 2 2 11 2 2 3 3" xfId="34938"/>
    <cellStyle name="输入 2 2 11 2 2 3 4" xfId="44342"/>
    <cellStyle name="输入 2 2 11 2 2 4" xfId="8355"/>
    <cellStyle name="输入 2 2 11 2 2 4 2" xfId="34940"/>
    <cellStyle name="输入 2 2 11 2 2 4 3" xfId="44344"/>
    <cellStyle name="输入 2 2 11 2 2 5" xfId="34935"/>
    <cellStyle name="输入 2 2 11 2 2 6" xfId="44339"/>
    <cellStyle name="输入 2 2 11 2 3" xfId="15290"/>
    <cellStyle name="输入 2 2 11 2 3 2" xfId="19276"/>
    <cellStyle name="输入 2 2 11 2 3 2 2" xfId="34942"/>
    <cellStyle name="输入 2 2 11 2 3 2 3" xfId="44346"/>
    <cellStyle name="输入 2 2 11 2 3 3" xfId="34941"/>
    <cellStyle name="输入 2 2 11 2 3 4" xfId="44345"/>
    <cellStyle name="输入 2 2 11 2 4" xfId="15291"/>
    <cellStyle name="输入 2 2 11 2 4 2" xfId="19275"/>
    <cellStyle name="输入 2 2 11 2 4 2 2" xfId="34944"/>
    <cellStyle name="输入 2 2 11 2 4 2 3" xfId="44348"/>
    <cellStyle name="输入 2 2 11 2 4 3" xfId="34943"/>
    <cellStyle name="输入 2 2 11 2 4 4" xfId="44347"/>
    <cellStyle name="输入 2 2 11 2 5" xfId="34945"/>
    <cellStyle name="输入 2 2 11 2 5 2" xfId="44349"/>
    <cellStyle name="输入 2 2 11 2 6" xfId="34934"/>
    <cellStyle name="输入 2 2 11 2 7" xfId="44338"/>
    <cellStyle name="输入 2 2 11 3" xfId="10327"/>
    <cellStyle name="输入 2 2 11 3 2" xfId="15292"/>
    <cellStyle name="输入 2 2 11 3 2 2" xfId="15293"/>
    <cellStyle name="输入 2 2 11 3 2 2 2" xfId="8356"/>
    <cellStyle name="输入 2 2 11 3 2 2 2 2" xfId="34949"/>
    <cellStyle name="输入 2 2 11 3 2 2 2 3" xfId="44353"/>
    <cellStyle name="输入 2 2 11 3 2 2 3" xfId="34948"/>
    <cellStyle name="输入 2 2 11 3 2 2 4" xfId="44352"/>
    <cellStyle name="输入 2 2 11 3 2 3" xfId="15294"/>
    <cellStyle name="输入 2 2 11 3 2 3 2" xfId="20730"/>
    <cellStyle name="输入 2 2 11 3 2 3 2 2" xfId="34951"/>
    <cellStyle name="输入 2 2 11 3 2 3 2 3" xfId="44355"/>
    <cellStyle name="输入 2 2 11 3 2 3 3" xfId="34950"/>
    <cellStyle name="输入 2 2 11 3 2 3 4" xfId="44354"/>
    <cellStyle name="输入 2 2 11 3 2 4" xfId="19274"/>
    <cellStyle name="输入 2 2 11 3 2 4 2" xfId="34952"/>
    <cellStyle name="输入 2 2 11 3 2 4 3" xfId="44356"/>
    <cellStyle name="输入 2 2 11 3 2 5" xfId="34947"/>
    <cellStyle name="输入 2 2 11 3 2 6" xfId="44351"/>
    <cellStyle name="输入 2 2 11 3 3" xfId="15295"/>
    <cellStyle name="输入 2 2 11 3 3 2" xfId="20729"/>
    <cellStyle name="输入 2 2 11 3 3 2 2" xfId="34954"/>
    <cellStyle name="输入 2 2 11 3 3 2 3" xfId="44358"/>
    <cellStyle name="输入 2 2 11 3 3 3" xfId="34953"/>
    <cellStyle name="输入 2 2 11 3 3 4" xfId="44357"/>
    <cellStyle name="输入 2 2 11 3 4" xfId="15296"/>
    <cellStyle name="输入 2 2 11 3 4 2" xfId="19273"/>
    <cellStyle name="输入 2 2 11 3 4 2 2" xfId="34956"/>
    <cellStyle name="输入 2 2 11 3 4 2 3" xfId="44360"/>
    <cellStyle name="输入 2 2 11 3 4 3" xfId="34955"/>
    <cellStyle name="输入 2 2 11 3 4 4" xfId="44359"/>
    <cellStyle name="输入 2 2 11 3 5" xfId="34957"/>
    <cellStyle name="输入 2 2 11 3 5 2" xfId="44361"/>
    <cellStyle name="输入 2 2 11 3 6" xfId="34946"/>
    <cellStyle name="输入 2 2 11 3 7" xfId="44350"/>
    <cellStyle name="输入 2 2 11 4" xfId="10328"/>
    <cellStyle name="输入 2 2 11 4 2" xfId="15297"/>
    <cellStyle name="输入 2 2 11 4 2 2" xfId="15298"/>
    <cellStyle name="输入 2 2 11 4 2 2 2" xfId="19271"/>
    <cellStyle name="输入 2 2 11 4 2 2 2 2" xfId="34961"/>
    <cellStyle name="输入 2 2 11 4 2 2 2 3" xfId="44365"/>
    <cellStyle name="输入 2 2 11 4 2 2 3" xfId="34960"/>
    <cellStyle name="输入 2 2 11 4 2 2 4" xfId="44364"/>
    <cellStyle name="输入 2 2 11 4 2 3" xfId="15299"/>
    <cellStyle name="输入 2 2 11 4 2 3 2" xfId="19270"/>
    <cellStyle name="输入 2 2 11 4 2 3 2 2" xfId="34963"/>
    <cellStyle name="输入 2 2 11 4 2 3 2 3" xfId="44367"/>
    <cellStyle name="输入 2 2 11 4 2 3 3" xfId="34962"/>
    <cellStyle name="输入 2 2 11 4 2 3 4" xfId="44366"/>
    <cellStyle name="输入 2 2 11 4 2 4" xfId="19272"/>
    <cellStyle name="输入 2 2 11 4 2 4 2" xfId="34964"/>
    <cellStyle name="输入 2 2 11 4 2 4 3" xfId="44368"/>
    <cellStyle name="输入 2 2 11 4 2 5" xfId="34959"/>
    <cellStyle name="输入 2 2 11 4 2 6" xfId="44363"/>
    <cellStyle name="输入 2 2 11 4 3" xfId="15300"/>
    <cellStyle name="输入 2 2 11 4 3 2" xfId="19269"/>
    <cellStyle name="输入 2 2 11 4 3 2 2" xfId="34966"/>
    <cellStyle name="输入 2 2 11 4 3 2 3" xfId="44370"/>
    <cellStyle name="输入 2 2 11 4 3 3" xfId="34965"/>
    <cellStyle name="输入 2 2 11 4 3 4" xfId="44369"/>
    <cellStyle name="输入 2 2 11 4 4" xfId="15301"/>
    <cellStyle name="输入 2 2 11 4 4 2" xfId="20728"/>
    <cellStyle name="输入 2 2 11 4 4 2 2" xfId="34968"/>
    <cellStyle name="输入 2 2 11 4 4 2 3" xfId="44372"/>
    <cellStyle name="输入 2 2 11 4 4 3" xfId="34967"/>
    <cellStyle name="输入 2 2 11 4 4 4" xfId="44371"/>
    <cellStyle name="输入 2 2 11 4 5" xfId="34969"/>
    <cellStyle name="输入 2 2 11 4 5 2" xfId="44373"/>
    <cellStyle name="输入 2 2 11 4 6" xfId="34958"/>
    <cellStyle name="输入 2 2 11 4 7" xfId="44362"/>
    <cellStyle name="输入 2 2 11 5" xfId="10329"/>
    <cellStyle name="输入 2 2 11 5 2" xfId="15302"/>
    <cellStyle name="输入 2 2 11 5 2 2" xfId="15303"/>
    <cellStyle name="输入 2 2 11 5 2 2 2" xfId="19268"/>
    <cellStyle name="输入 2 2 11 5 2 2 2 2" xfId="34973"/>
    <cellStyle name="输入 2 2 11 5 2 2 2 3" xfId="44377"/>
    <cellStyle name="输入 2 2 11 5 2 2 3" xfId="34972"/>
    <cellStyle name="输入 2 2 11 5 2 2 4" xfId="44376"/>
    <cellStyle name="输入 2 2 11 5 2 3" xfId="15304"/>
    <cellStyle name="输入 2 2 11 5 2 3 2" xfId="19267"/>
    <cellStyle name="输入 2 2 11 5 2 3 2 2" xfId="34975"/>
    <cellStyle name="输入 2 2 11 5 2 3 2 3" xfId="44379"/>
    <cellStyle name="输入 2 2 11 5 2 3 3" xfId="34974"/>
    <cellStyle name="输入 2 2 11 5 2 3 4" xfId="44378"/>
    <cellStyle name="输入 2 2 11 5 2 4" xfId="8357"/>
    <cellStyle name="输入 2 2 11 5 2 4 2" xfId="34976"/>
    <cellStyle name="输入 2 2 11 5 2 4 3" xfId="44380"/>
    <cellStyle name="输入 2 2 11 5 2 5" xfId="34971"/>
    <cellStyle name="输入 2 2 11 5 2 6" xfId="44375"/>
    <cellStyle name="输入 2 2 11 5 3" xfId="15305"/>
    <cellStyle name="输入 2 2 11 5 3 2" xfId="19266"/>
    <cellStyle name="输入 2 2 11 5 3 2 2" xfId="34978"/>
    <cellStyle name="输入 2 2 11 5 3 2 3" xfId="44382"/>
    <cellStyle name="输入 2 2 11 5 3 3" xfId="34977"/>
    <cellStyle name="输入 2 2 11 5 3 4" xfId="44381"/>
    <cellStyle name="输入 2 2 11 5 4" xfId="15306"/>
    <cellStyle name="输入 2 2 11 5 4 2" xfId="19265"/>
    <cellStyle name="输入 2 2 11 5 4 2 2" xfId="34980"/>
    <cellStyle name="输入 2 2 11 5 4 2 3" xfId="44384"/>
    <cellStyle name="输入 2 2 11 5 4 3" xfId="34979"/>
    <cellStyle name="输入 2 2 11 5 4 4" xfId="44383"/>
    <cellStyle name="输入 2 2 11 5 5" xfId="34981"/>
    <cellStyle name="输入 2 2 11 5 5 2" xfId="44385"/>
    <cellStyle name="输入 2 2 11 5 6" xfId="34970"/>
    <cellStyle name="输入 2 2 11 5 7" xfId="44374"/>
    <cellStyle name="输入 2 2 11 6" xfId="15307"/>
    <cellStyle name="输入 2 2 11 6 2" xfId="15308"/>
    <cellStyle name="输入 2 2 11 6 2 2" xfId="19264"/>
    <cellStyle name="输入 2 2 11 6 2 2 2" xfId="34984"/>
    <cellStyle name="输入 2 2 11 6 2 2 3" xfId="44388"/>
    <cellStyle name="输入 2 2 11 6 2 3" xfId="34983"/>
    <cellStyle name="输入 2 2 11 6 2 4" xfId="44387"/>
    <cellStyle name="输入 2 2 11 6 3" xfId="15309"/>
    <cellStyle name="输入 2 2 11 6 3 2" xfId="8358"/>
    <cellStyle name="输入 2 2 11 6 3 2 2" xfId="34986"/>
    <cellStyle name="输入 2 2 11 6 3 2 3" xfId="44390"/>
    <cellStyle name="输入 2 2 11 6 3 3" xfId="34985"/>
    <cellStyle name="输入 2 2 11 6 3 4" xfId="44389"/>
    <cellStyle name="输入 2 2 11 6 4" xfId="20727"/>
    <cellStyle name="输入 2 2 11 6 4 2" xfId="34987"/>
    <cellStyle name="输入 2 2 11 6 4 3" xfId="44391"/>
    <cellStyle name="输入 2 2 11 6 5" xfId="34982"/>
    <cellStyle name="输入 2 2 11 6 6" xfId="44386"/>
    <cellStyle name="输入 2 2 11 7" xfId="15310"/>
    <cellStyle name="输入 2 2 11 7 2" xfId="19263"/>
    <cellStyle name="输入 2 2 11 7 2 2" xfId="34989"/>
    <cellStyle name="输入 2 2 11 7 2 3" xfId="44393"/>
    <cellStyle name="输入 2 2 11 7 3" xfId="34988"/>
    <cellStyle name="输入 2 2 11 7 4" xfId="44392"/>
    <cellStyle name="输入 2 2 11 8" xfId="15311"/>
    <cellStyle name="输入 2 2 11 8 2" xfId="19262"/>
    <cellStyle name="输入 2 2 11 8 2 2" xfId="34991"/>
    <cellStyle name="输入 2 2 11 8 2 3" xfId="44395"/>
    <cellStyle name="输入 2 2 11 8 3" xfId="34990"/>
    <cellStyle name="输入 2 2 11 8 4" xfId="44394"/>
    <cellStyle name="输入 2 2 11 9" xfId="34992"/>
    <cellStyle name="输入 2 2 11 9 2" xfId="44396"/>
    <cellStyle name="输入 2 2 12" xfId="10330"/>
    <cellStyle name="输入 2 2 12 2" xfId="15312"/>
    <cellStyle name="输入 2 2 12 2 2" xfId="15313"/>
    <cellStyle name="输入 2 2 12 2 2 2" xfId="20726"/>
    <cellStyle name="输入 2 2 12 2 2 2 2" xfId="34996"/>
    <cellStyle name="输入 2 2 12 2 2 2 3" xfId="44400"/>
    <cellStyle name="输入 2 2 12 2 2 3" xfId="34995"/>
    <cellStyle name="输入 2 2 12 2 2 4" xfId="44399"/>
    <cellStyle name="输入 2 2 12 2 3" xfId="15314"/>
    <cellStyle name="输入 2 2 12 2 3 2" xfId="19260"/>
    <cellStyle name="输入 2 2 12 2 3 2 2" xfId="34998"/>
    <cellStyle name="输入 2 2 12 2 3 2 3" xfId="44402"/>
    <cellStyle name="输入 2 2 12 2 3 3" xfId="34997"/>
    <cellStyle name="输入 2 2 12 2 3 4" xfId="44401"/>
    <cellStyle name="输入 2 2 12 2 4" xfId="19261"/>
    <cellStyle name="输入 2 2 12 2 4 2" xfId="34999"/>
    <cellStyle name="输入 2 2 12 2 4 3" xfId="44403"/>
    <cellStyle name="输入 2 2 12 2 5" xfId="34994"/>
    <cellStyle name="输入 2 2 12 2 6" xfId="44398"/>
    <cellStyle name="输入 2 2 12 3" xfId="15315"/>
    <cellStyle name="输入 2 2 12 3 2" xfId="19259"/>
    <cellStyle name="输入 2 2 12 3 2 2" xfId="35001"/>
    <cellStyle name="输入 2 2 12 3 2 3" xfId="44405"/>
    <cellStyle name="输入 2 2 12 3 3" xfId="35000"/>
    <cellStyle name="输入 2 2 12 3 4" xfId="44404"/>
    <cellStyle name="输入 2 2 12 4" xfId="15316"/>
    <cellStyle name="输入 2 2 12 4 2" xfId="8359"/>
    <cellStyle name="输入 2 2 12 4 2 2" xfId="35003"/>
    <cellStyle name="输入 2 2 12 4 2 3" xfId="44407"/>
    <cellStyle name="输入 2 2 12 4 3" xfId="35002"/>
    <cellStyle name="输入 2 2 12 4 4" xfId="44406"/>
    <cellStyle name="输入 2 2 12 5" xfId="35004"/>
    <cellStyle name="输入 2 2 12 5 2" xfId="44408"/>
    <cellStyle name="输入 2 2 12 6" xfId="34993"/>
    <cellStyle name="输入 2 2 12 7" xfId="44397"/>
    <cellStyle name="输入 2 2 13" xfId="10331"/>
    <cellStyle name="输入 2 2 13 2" xfId="15317"/>
    <cellStyle name="输入 2 2 13 2 2" xfId="15318"/>
    <cellStyle name="输入 2 2 13 2 2 2" xfId="19258"/>
    <cellStyle name="输入 2 2 13 2 2 2 2" xfId="35008"/>
    <cellStyle name="输入 2 2 13 2 2 2 3" xfId="44412"/>
    <cellStyle name="输入 2 2 13 2 2 3" xfId="35007"/>
    <cellStyle name="输入 2 2 13 2 2 4" xfId="44411"/>
    <cellStyle name="输入 2 2 13 2 3" xfId="15319"/>
    <cellStyle name="输入 2 2 13 2 3 2" xfId="19257"/>
    <cellStyle name="输入 2 2 13 2 3 2 2" xfId="35010"/>
    <cellStyle name="输入 2 2 13 2 3 2 3" xfId="44414"/>
    <cellStyle name="输入 2 2 13 2 3 3" xfId="35009"/>
    <cellStyle name="输入 2 2 13 2 3 4" xfId="44413"/>
    <cellStyle name="输入 2 2 13 2 4" xfId="8360"/>
    <cellStyle name="输入 2 2 13 2 4 2" xfId="35011"/>
    <cellStyle name="输入 2 2 13 2 4 3" xfId="44415"/>
    <cellStyle name="输入 2 2 13 2 5" xfId="35006"/>
    <cellStyle name="输入 2 2 13 2 6" xfId="44410"/>
    <cellStyle name="输入 2 2 13 3" xfId="15320"/>
    <cellStyle name="输入 2 2 13 3 2" xfId="19256"/>
    <cellStyle name="输入 2 2 13 3 2 2" xfId="35013"/>
    <cellStyle name="输入 2 2 13 3 2 3" xfId="44417"/>
    <cellStyle name="输入 2 2 13 3 3" xfId="35012"/>
    <cellStyle name="输入 2 2 13 3 4" xfId="44416"/>
    <cellStyle name="输入 2 2 13 4" xfId="15321"/>
    <cellStyle name="输入 2 2 13 4 2" xfId="19255"/>
    <cellStyle name="输入 2 2 13 4 2 2" xfId="35015"/>
    <cellStyle name="输入 2 2 13 4 2 3" xfId="44419"/>
    <cellStyle name="输入 2 2 13 4 3" xfId="35014"/>
    <cellStyle name="输入 2 2 13 4 4" xfId="44418"/>
    <cellStyle name="输入 2 2 13 5" xfId="35016"/>
    <cellStyle name="输入 2 2 13 5 2" xfId="44420"/>
    <cellStyle name="输入 2 2 13 6" xfId="35005"/>
    <cellStyle name="输入 2 2 13 7" xfId="44409"/>
    <cellStyle name="输入 2 2 14" xfId="10332"/>
    <cellStyle name="输入 2 2 14 2" xfId="15322"/>
    <cellStyle name="输入 2 2 14 2 2" xfId="15323"/>
    <cellStyle name="输入 2 2 14 2 2 2" xfId="19253"/>
    <cellStyle name="输入 2 2 14 2 2 2 2" xfId="35020"/>
    <cellStyle name="输入 2 2 14 2 2 2 3" xfId="44424"/>
    <cellStyle name="输入 2 2 14 2 2 3" xfId="35019"/>
    <cellStyle name="输入 2 2 14 2 2 4" xfId="44423"/>
    <cellStyle name="输入 2 2 14 2 3" xfId="15324"/>
    <cellStyle name="输入 2 2 14 2 3 2" xfId="18559"/>
    <cellStyle name="输入 2 2 14 2 3 2 2" xfId="35022"/>
    <cellStyle name="输入 2 2 14 2 3 2 3" xfId="44426"/>
    <cellStyle name="输入 2 2 14 2 3 3" xfId="35021"/>
    <cellStyle name="输入 2 2 14 2 3 4" xfId="44425"/>
    <cellStyle name="输入 2 2 14 2 4" xfId="19254"/>
    <cellStyle name="输入 2 2 14 2 4 2" xfId="35023"/>
    <cellStyle name="输入 2 2 14 2 4 3" xfId="44427"/>
    <cellStyle name="输入 2 2 14 2 5" xfId="35018"/>
    <cellStyle name="输入 2 2 14 2 6" xfId="44422"/>
    <cellStyle name="输入 2 2 14 3" xfId="15325"/>
    <cellStyle name="输入 2 2 14 3 2" xfId="20725"/>
    <cellStyle name="输入 2 2 14 3 2 2" xfId="35025"/>
    <cellStyle name="输入 2 2 14 3 2 3" xfId="44429"/>
    <cellStyle name="输入 2 2 14 3 3" xfId="35024"/>
    <cellStyle name="输入 2 2 14 3 4" xfId="44428"/>
    <cellStyle name="输入 2 2 14 4" xfId="15326"/>
    <cellStyle name="输入 2 2 14 4 2" xfId="19252"/>
    <cellStyle name="输入 2 2 14 4 2 2" xfId="35027"/>
    <cellStyle name="输入 2 2 14 4 2 3" xfId="44431"/>
    <cellStyle name="输入 2 2 14 4 3" xfId="35026"/>
    <cellStyle name="输入 2 2 14 4 4" xfId="44430"/>
    <cellStyle name="输入 2 2 14 5" xfId="35028"/>
    <cellStyle name="输入 2 2 14 5 2" xfId="44432"/>
    <cellStyle name="输入 2 2 14 6" xfId="35017"/>
    <cellStyle name="输入 2 2 14 7" xfId="44421"/>
    <cellStyle name="输入 2 2 15" xfId="10333"/>
    <cellStyle name="输入 2 2 15 2" xfId="15327"/>
    <cellStyle name="输入 2 2 15 2 2" xfId="15328"/>
    <cellStyle name="输入 2 2 15 2 2 2" xfId="8361"/>
    <cellStyle name="输入 2 2 15 2 2 2 2" xfId="35032"/>
    <cellStyle name="输入 2 2 15 2 2 2 3" xfId="44436"/>
    <cellStyle name="输入 2 2 15 2 2 3" xfId="35031"/>
    <cellStyle name="输入 2 2 15 2 2 4" xfId="44435"/>
    <cellStyle name="输入 2 2 15 2 3" xfId="15329"/>
    <cellStyle name="输入 2 2 15 2 3 2" xfId="19250"/>
    <cellStyle name="输入 2 2 15 2 3 2 2" xfId="35034"/>
    <cellStyle name="输入 2 2 15 2 3 2 3" xfId="44438"/>
    <cellStyle name="输入 2 2 15 2 3 3" xfId="35033"/>
    <cellStyle name="输入 2 2 15 2 3 4" xfId="44437"/>
    <cellStyle name="输入 2 2 15 2 4" xfId="19251"/>
    <cellStyle name="输入 2 2 15 2 4 2" xfId="35035"/>
    <cellStyle name="输入 2 2 15 2 4 3" xfId="44439"/>
    <cellStyle name="输入 2 2 15 2 5" xfId="35030"/>
    <cellStyle name="输入 2 2 15 2 6" xfId="44434"/>
    <cellStyle name="输入 2 2 15 3" xfId="15330"/>
    <cellStyle name="输入 2 2 15 3 2" xfId="20724"/>
    <cellStyle name="输入 2 2 15 3 2 2" xfId="35037"/>
    <cellStyle name="输入 2 2 15 3 2 3" xfId="44441"/>
    <cellStyle name="输入 2 2 15 3 3" xfId="35036"/>
    <cellStyle name="输入 2 2 15 3 4" xfId="44440"/>
    <cellStyle name="输入 2 2 15 4" xfId="15331"/>
    <cellStyle name="输入 2 2 15 4 2" xfId="19249"/>
    <cellStyle name="输入 2 2 15 4 2 2" xfId="35039"/>
    <cellStyle name="输入 2 2 15 4 2 3" xfId="44443"/>
    <cellStyle name="输入 2 2 15 4 3" xfId="35038"/>
    <cellStyle name="输入 2 2 15 4 4" xfId="44442"/>
    <cellStyle name="输入 2 2 15 5" xfId="35040"/>
    <cellStyle name="输入 2 2 15 5 2" xfId="44444"/>
    <cellStyle name="输入 2 2 15 6" xfId="35029"/>
    <cellStyle name="输入 2 2 15 7" xfId="44433"/>
    <cellStyle name="输入 2 2 16" xfId="10334"/>
    <cellStyle name="输入 2 2 16 2" xfId="15332"/>
    <cellStyle name="输入 2 2 16 2 2" xfId="15333"/>
    <cellStyle name="输入 2 2 16 2 2 2" xfId="19247"/>
    <cellStyle name="输入 2 2 16 2 2 2 2" xfId="35044"/>
    <cellStyle name="输入 2 2 16 2 2 2 3" xfId="44448"/>
    <cellStyle name="输入 2 2 16 2 2 3" xfId="35043"/>
    <cellStyle name="输入 2 2 16 2 2 4" xfId="44447"/>
    <cellStyle name="输入 2 2 16 2 3" xfId="19248"/>
    <cellStyle name="输入 2 2 16 2 3 2" xfId="35045"/>
    <cellStyle name="输入 2 2 16 2 3 3" xfId="44449"/>
    <cellStyle name="输入 2 2 16 2 4" xfId="35042"/>
    <cellStyle name="输入 2 2 16 2 5" xfId="44446"/>
    <cellStyle name="输入 2 2 16 3" xfId="15334"/>
    <cellStyle name="输入 2 2 16 3 2" xfId="19246"/>
    <cellStyle name="输入 2 2 16 3 2 2" xfId="35047"/>
    <cellStyle name="输入 2 2 16 3 2 3" xfId="44451"/>
    <cellStyle name="输入 2 2 16 3 3" xfId="35046"/>
    <cellStyle name="输入 2 2 16 3 4" xfId="44450"/>
    <cellStyle name="输入 2 2 16 4" xfId="35048"/>
    <cellStyle name="输入 2 2 16 4 2" xfId="44452"/>
    <cellStyle name="输入 2 2 16 5" xfId="35041"/>
    <cellStyle name="输入 2 2 16 6" xfId="44445"/>
    <cellStyle name="输入 2 2 17" xfId="15335"/>
    <cellStyle name="输入 2 2 17 2" xfId="15336"/>
    <cellStyle name="输入 2 2 17 2 2" xfId="8362"/>
    <cellStyle name="输入 2 2 17 2 2 2" xfId="35051"/>
    <cellStyle name="输入 2 2 17 2 2 3" xfId="44455"/>
    <cellStyle name="输入 2 2 17 2 3" xfId="35050"/>
    <cellStyle name="输入 2 2 17 2 4" xfId="44454"/>
    <cellStyle name="输入 2 2 17 3" xfId="15337"/>
    <cellStyle name="输入 2 2 17 3 2" xfId="19245"/>
    <cellStyle name="输入 2 2 17 3 2 2" xfId="35053"/>
    <cellStyle name="输入 2 2 17 3 2 3" xfId="44457"/>
    <cellStyle name="输入 2 2 17 3 3" xfId="35052"/>
    <cellStyle name="输入 2 2 17 3 4" xfId="44456"/>
    <cellStyle name="输入 2 2 17 4" xfId="20723"/>
    <cellStyle name="输入 2 2 17 4 2" xfId="35054"/>
    <cellStyle name="输入 2 2 17 4 3" xfId="44458"/>
    <cellStyle name="输入 2 2 17 5" xfId="35049"/>
    <cellStyle name="输入 2 2 17 6" xfId="44453"/>
    <cellStyle name="输入 2 2 18" xfId="15338"/>
    <cellStyle name="输入 2 2 18 2" xfId="19244"/>
    <cellStyle name="输入 2 2 18 2 2" xfId="35056"/>
    <cellStyle name="输入 2 2 18 2 3" xfId="44460"/>
    <cellStyle name="输入 2 2 18 3" xfId="35055"/>
    <cellStyle name="输入 2 2 18 4" xfId="44459"/>
    <cellStyle name="输入 2 2 19" xfId="15339"/>
    <cellStyle name="输入 2 2 19 2" xfId="19243"/>
    <cellStyle name="输入 2 2 19 2 2" xfId="35058"/>
    <cellStyle name="输入 2 2 19 2 3" xfId="44462"/>
    <cellStyle name="输入 2 2 19 3" xfId="35057"/>
    <cellStyle name="输入 2 2 19 4" xfId="44461"/>
    <cellStyle name="输入 2 2 2" xfId="5465"/>
    <cellStyle name="输入 2 2 2 10" xfId="10336"/>
    <cellStyle name="输入 2 2 2 10 10" xfId="35060"/>
    <cellStyle name="输入 2 2 2 10 11" xfId="44464"/>
    <cellStyle name="输入 2 2 2 10 2" xfId="10337"/>
    <cellStyle name="输入 2 2 2 10 2 2" xfId="15340"/>
    <cellStyle name="输入 2 2 2 10 2 2 2" xfId="15341"/>
    <cellStyle name="输入 2 2 2 10 2 2 2 2" xfId="19242"/>
    <cellStyle name="输入 2 2 2 10 2 2 2 2 2" xfId="35064"/>
    <cellStyle name="输入 2 2 2 10 2 2 2 2 3" xfId="44468"/>
    <cellStyle name="输入 2 2 2 10 2 2 2 3" xfId="35063"/>
    <cellStyle name="输入 2 2 2 10 2 2 2 4" xfId="44467"/>
    <cellStyle name="输入 2 2 2 10 2 2 3" xfId="15342"/>
    <cellStyle name="输入 2 2 2 10 2 2 3 2" xfId="19241"/>
    <cellStyle name="输入 2 2 2 10 2 2 3 2 2" xfId="35066"/>
    <cellStyle name="输入 2 2 2 10 2 2 3 2 3" xfId="44470"/>
    <cellStyle name="输入 2 2 2 10 2 2 3 3" xfId="35065"/>
    <cellStyle name="输入 2 2 2 10 2 2 3 4" xfId="44469"/>
    <cellStyle name="输入 2 2 2 10 2 2 4" xfId="20722"/>
    <cellStyle name="输入 2 2 2 10 2 2 4 2" xfId="35067"/>
    <cellStyle name="输入 2 2 2 10 2 2 4 3" xfId="44471"/>
    <cellStyle name="输入 2 2 2 10 2 2 5" xfId="35062"/>
    <cellStyle name="输入 2 2 2 10 2 2 6" xfId="44466"/>
    <cellStyle name="输入 2 2 2 10 2 3" xfId="15343"/>
    <cellStyle name="输入 2 2 2 10 2 3 2" xfId="8363"/>
    <cellStyle name="输入 2 2 2 10 2 3 2 2" xfId="35069"/>
    <cellStyle name="输入 2 2 2 10 2 3 2 3" xfId="44473"/>
    <cellStyle name="输入 2 2 2 10 2 3 3" xfId="35068"/>
    <cellStyle name="输入 2 2 2 10 2 3 4" xfId="44472"/>
    <cellStyle name="输入 2 2 2 10 2 4" xfId="15344"/>
    <cellStyle name="输入 2 2 2 10 2 4 2" xfId="19240"/>
    <cellStyle name="输入 2 2 2 10 2 4 2 2" xfId="35071"/>
    <cellStyle name="输入 2 2 2 10 2 4 2 3" xfId="44475"/>
    <cellStyle name="输入 2 2 2 10 2 4 3" xfId="35070"/>
    <cellStyle name="输入 2 2 2 10 2 4 4" xfId="44474"/>
    <cellStyle name="输入 2 2 2 10 2 5" xfId="35072"/>
    <cellStyle name="输入 2 2 2 10 2 5 2" xfId="44476"/>
    <cellStyle name="输入 2 2 2 10 2 6" xfId="35061"/>
    <cellStyle name="输入 2 2 2 10 2 7" xfId="44465"/>
    <cellStyle name="输入 2 2 2 10 3" xfId="10338"/>
    <cellStyle name="输入 2 2 2 10 3 2" xfId="15345"/>
    <cellStyle name="输入 2 2 2 10 3 2 2" xfId="15346"/>
    <cellStyle name="输入 2 2 2 10 3 2 2 2" xfId="19238"/>
    <cellStyle name="输入 2 2 2 10 3 2 2 2 2" xfId="35076"/>
    <cellStyle name="输入 2 2 2 10 3 2 2 2 3" xfId="44480"/>
    <cellStyle name="输入 2 2 2 10 3 2 2 3" xfId="35075"/>
    <cellStyle name="输入 2 2 2 10 3 2 2 4" xfId="44479"/>
    <cellStyle name="输入 2 2 2 10 3 2 3" xfId="15347"/>
    <cellStyle name="输入 2 2 2 10 3 2 3 2" xfId="19237"/>
    <cellStyle name="输入 2 2 2 10 3 2 3 2 2" xfId="35078"/>
    <cellStyle name="输入 2 2 2 10 3 2 3 2 3" xfId="44482"/>
    <cellStyle name="输入 2 2 2 10 3 2 3 3" xfId="35077"/>
    <cellStyle name="输入 2 2 2 10 3 2 3 4" xfId="44481"/>
    <cellStyle name="输入 2 2 2 10 3 2 4" xfId="19239"/>
    <cellStyle name="输入 2 2 2 10 3 2 4 2" xfId="35079"/>
    <cellStyle name="输入 2 2 2 10 3 2 4 3" xfId="44483"/>
    <cellStyle name="输入 2 2 2 10 3 2 5" xfId="35074"/>
    <cellStyle name="输入 2 2 2 10 3 2 6" xfId="44478"/>
    <cellStyle name="输入 2 2 2 10 3 3" xfId="15348"/>
    <cellStyle name="输入 2 2 2 10 3 3 2" xfId="19236"/>
    <cellStyle name="输入 2 2 2 10 3 3 2 2" xfId="35081"/>
    <cellStyle name="输入 2 2 2 10 3 3 2 3" xfId="44485"/>
    <cellStyle name="输入 2 2 2 10 3 3 3" xfId="35080"/>
    <cellStyle name="输入 2 2 2 10 3 3 4" xfId="44484"/>
    <cellStyle name="输入 2 2 2 10 3 4" xfId="15349"/>
    <cellStyle name="输入 2 2 2 10 3 4 2" xfId="20721"/>
    <cellStyle name="输入 2 2 2 10 3 4 2 2" xfId="35083"/>
    <cellStyle name="输入 2 2 2 10 3 4 2 3" xfId="44487"/>
    <cellStyle name="输入 2 2 2 10 3 4 3" xfId="35082"/>
    <cellStyle name="输入 2 2 2 10 3 4 4" xfId="44486"/>
    <cellStyle name="输入 2 2 2 10 3 5" xfId="35084"/>
    <cellStyle name="输入 2 2 2 10 3 5 2" xfId="44488"/>
    <cellStyle name="输入 2 2 2 10 3 6" xfId="35073"/>
    <cellStyle name="输入 2 2 2 10 3 7" xfId="44477"/>
    <cellStyle name="输入 2 2 2 10 4" xfId="10339"/>
    <cellStyle name="输入 2 2 2 10 4 2" xfId="15350"/>
    <cellStyle name="输入 2 2 2 10 4 2 2" xfId="15351"/>
    <cellStyle name="输入 2 2 2 10 4 2 2 2" xfId="8364"/>
    <cellStyle name="输入 2 2 2 10 4 2 2 2 2" xfId="35088"/>
    <cellStyle name="输入 2 2 2 10 4 2 2 2 3" xfId="44492"/>
    <cellStyle name="输入 2 2 2 10 4 2 2 3" xfId="35087"/>
    <cellStyle name="输入 2 2 2 10 4 2 2 4" xfId="44491"/>
    <cellStyle name="输入 2 2 2 10 4 2 3" xfId="15352"/>
    <cellStyle name="输入 2 2 2 10 4 2 3 2" xfId="19235"/>
    <cellStyle name="输入 2 2 2 10 4 2 3 2 2" xfId="35090"/>
    <cellStyle name="输入 2 2 2 10 4 2 3 2 3" xfId="44494"/>
    <cellStyle name="输入 2 2 2 10 4 2 3 3" xfId="35089"/>
    <cellStyle name="输入 2 2 2 10 4 2 3 4" xfId="44493"/>
    <cellStyle name="输入 2 2 2 10 4 2 4" xfId="18558"/>
    <cellStyle name="输入 2 2 2 10 4 2 4 2" xfId="35091"/>
    <cellStyle name="输入 2 2 2 10 4 2 4 3" xfId="44495"/>
    <cellStyle name="输入 2 2 2 10 4 2 5" xfId="35086"/>
    <cellStyle name="输入 2 2 2 10 4 2 6" xfId="44490"/>
    <cellStyle name="输入 2 2 2 10 4 3" xfId="15353"/>
    <cellStyle name="输入 2 2 2 10 4 3 2" xfId="19234"/>
    <cellStyle name="输入 2 2 2 10 4 3 2 2" xfId="35093"/>
    <cellStyle name="输入 2 2 2 10 4 3 2 3" xfId="44497"/>
    <cellStyle name="输入 2 2 2 10 4 3 3" xfId="35092"/>
    <cellStyle name="输入 2 2 2 10 4 3 4" xfId="44496"/>
    <cellStyle name="输入 2 2 2 10 4 4" xfId="15354"/>
    <cellStyle name="输入 2 2 2 10 4 4 2" xfId="19233"/>
    <cellStyle name="输入 2 2 2 10 4 4 2 2" xfId="35095"/>
    <cellStyle name="输入 2 2 2 10 4 4 2 3" xfId="44499"/>
    <cellStyle name="输入 2 2 2 10 4 4 3" xfId="35094"/>
    <cellStyle name="输入 2 2 2 10 4 4 4" xfId="44498"/>
    <cellStyle name="输入 2 2 2 10 4 5" xfId="35096"/>
    <cellStyle name="输入 2 2 2 10 4 5 2" xfId="44500"/>
    <cellStyle name="输入 2 2 2 10 4 6" xfId="35085"/>
    <cellStyle name="输入 2 2 2 10 4 7" xfId="44489"/>
    <cellStyle name="输入 2 2 2 10 5" xfId="10340"/>
    <cellStyle name="输入 2 2 2 10 5 2" xfId="15355"/>
    <cellStyle name="输入 2 2 2 10 5 2 2" xfId="15356"/>
    <cellStyle name="输入 2 2 2 10 5 2 2 2" xfId="20720"/>
    <cellStyle name="输入 2 2 2 10 5 2 2 2 2" xfId="35100"/>
    <cellStyle name="输入 2 2 2 10 5 2 2 2 3" xfId="44504"/>
    <cellStyle name="输入 2 2 2 10 5 2 2 3" xfId="35099"/>
    <cellStyle name="输入 2 2 2 10 5 2 2 4" xfId="44503"/>
    <cellStyle name="输入 2 2 2 10 5 2 3" xfId="15357"/>
    <cellStyle name="输入 2 2 2 10 5 2 3 2" xfId="19231"/>
    <cellStyle name="输入 2 2 2 10 5 2 3 2 2" xfId="35102"/>
    <cellStyle name="输入 2 2 2 10 5 2 3 2 3" xfId="44506"/>
    <cellStyle name="输入 2 2 2 10 5 2 3 3" xfId="35101"/>
    <cellStyle name="输入 2 2 2 10 5 2 3 4" xfId="44505"/>
    <cellStyle name="输入 2 2 2 10 5 2 4" xfId="19232"/>
    <cellStyle name="输入 2 2 2 10 5 2 4 2" xfId="35103"/>
    <cellStyle name="输入 2 2 2 10 5 2 4 3" xfId="44507"/>
    <cellStyle name="输入 2 2 2 10 5 2 5" xfId="35098"/>
    <cellStyle name="输入 2 2 2 10 5 2 6" xfId="44502"/>
    <cellStyle name="输入 2 2 2 10 5 3" xfId="15358"/>
    <cellStyle name="输入 2 2 2 10 5 3 2" xfId="8365"/>
    <cellStyle name="输入 2 2 2 10 5 3 2 2" xfId="35105"/>
    <cellStyle name="输入 2 2 2 10 5 3 2 3" xfId="44509"/>
    <cellStyle name="输入 2 2 2 10 5 3 3" xfId="35104"/>
    <cellStyle name="输入 2 2 2 10 5 3 4" xfId="44508"/>
    <cellStyle name="输入 2 2 2 10 5 4" xfId="15359"/>
    <cellStyle name="输入 2 2 2 10 5 4 2" xfId="8366"/>
    <cellStyle name="输入 2 2 2 10 5 4 2 2" xfId="35107"/>
    <cellStyle name="输入 2 2 2 10 5 4 2 3" xfId="44511"/>
    <cellStyle name="输入 2 2 2 10 5 4 3" xfId="35106"/>
    <cellStyle name="输入 2 2 2 10 5 4 4" xfId="44510"/>
    <cellStyle name="输入 2 2 2 10 5 5" xfId="35108"/>
    <cellStyle name="输入 2 2 2 10 5 5 2" xfId="44512"/>
    <cellStyle name="输入 2 2 2 10 5 6" xfId="35097"/>
    <cellStyle name="输入 2 2 2 10 5 7" xfId="44501"/>
    <cellStyle name="输入 2 2 2 10 6" xfId="15360"/>
    <cellStyle name="输入 2 2 2 10 6 2" xfId="15361"/>
    <cellStyle name="输入 2 2 2 10 6 2 2" xfId="8368"/>
    <cellStyle name="输入 2 2 2 10 6 2 2 2" xfId="35111"/>
    <cellStyle name="输入 2 2 2 10 6 2 2 3" xfId="44515"/>
    <cellStyle name="输入 2 2 2 10 6 2 3" xfId="35110"/>
    <cellStyle name="输入 2 2 2 10 6 2 4" xfId="44514"/>
    <cellStyle name="输入 2 2 2 10 6 3" xfId="15362"/>
    <cellStyle name="输入 2 2 2 10 6 3 2" xfId="20719"/>
    <cellStyle name="输入 2 2 2 10 6 3 2 2" xfId="35113"/>
    <cellStyle name="输入 2 2 2 10 6 3 2 3" xfId="44517"/>
    <cellStyle name="输入 2 2 2 10 6 3 3" xfId="35112"/>
    <cellStyle name="输入 2 2 2 10 6 3 4" xfId="44516"/>
    <cellStyle name="输入 2 2 2 10 6 4" xfId="8367"/>
    <cellStyle name="输入 2 2 2 10 6 4 2" xfId="35114"/>
    <cellStyle name="输入 2 2 2 10 6 4 3" xfId="44518"/>
    <cellStyle name="输入 2 2 2 10 6 5" xfId="35109"/>
    <cellStyle name="输入 2 2 2 10 6 6" xfId="44513"/>
    <cellStyle name="输入 2 2 2 10 7" xfId="15363"/>
    <cellStyle name="输入 2 2 2 10 7 2" xfId="8369"/>
    <cellStyle name="输入 2 2 2 10 7 2 2" xfId="35116"/>
    <cellStyle name="输入 2 2 2 10 7 2 3" xfId="44520"/>
    <cellStyle name="输入 2 2 2 10 7 3" xfId="35115"/>
    <cellStyle name="输入 2 2 2 10 7 4" xfId="44519"/>
    <cellStyle name="输入 2 2 2 10 8" xfId="15364"/>
    <cellStyle name="输入 2 2 2 10 8 2" xfId="8370"/>
    <cellStyle name="输入 2 2 2 10 8 2 2" xfId="35118"/>
    <cellStyle name="输入 2 2 2 10 8 2 3" xfId="44522"/>
    <cellStyle name="输入 2 2 2 10 8 3" xfId="35117"/>
    <cellStyle name="输入 2 2 2 10 8 4" xfId="44521"/>
    <cellStyle name="输入 2 2 2 10 9" xfId="35119"/>
    <cellStyle name="输入 2 2 2 10 9 2" xfId="44523"/>
    <cellStyle name="输入 2 2 2 11" xfId="10341"/>
    <cellStyle name="输入 2 2 2 11 2" xfId="15365"/>
    <cellStyle name="输入 2 2 2 11 2 2" xfId="15366"/>
    <cellStyle name="输入 2 2 2 11 2 2 2" xfId="8372"/>
    <cellStyle name="输入 2 2 2 11 2 2 2 2" xfId="35123"/>
    <cellStyle name="输入 2 2 2 11 2 2 2 3" xfId="44527"/>
    <cellStyle name="输入 2 2 2 11 2 2 3" xfId="35122"/>
    <cellStyle name="输入 2 2 2 11 2 2 4" xfId="44526"/>
    <cellStyle name="输入 2 2 2 11 2 3" xfId="15367"/>
    <cellStyle name="输入 2 2 2 11 2 3 2" xfId="8373"/>
    <cellStyle name="输入 2 2 2 11 2 3 2 2" xfId="35125"/>
    <cellStyle name="输入 2 2 2 11 2 3 2 3" xfId="44529"/>
    <cellStyle name="输入 2 2 2 11 2 3 3" xfId="35124"/>
    <cellStyle name="输入 2 2 2 11 2 3 4" xfId="44528"/>
    <cellStyle name="输入 2 2 2 11 2 4" xfId="8371"/>
    <cellStyle name="输入 2 2 2 11 2 4 2" xfId="35126"/>
    <cellStyle name="输入 2 2 2 11 2 4 3" xfId="44530"/>
    <cellStyle name="输入 2 2 2 11 2 5" xfId="35121"/>
    <cellStyle name="输入 2 2 2 11 2 6" xfId="44525"/>
    <cellStyle name="输入 2 2 2 11 3" xfId="15368"/>
    <cellStyle name="输入 2 2 2 11 3 2" xfId="20718"/>
    <cellStyle name="输入 2 2 2 11 3 2 2" xfId="35128"/>
    <cellStyle name="输入 2 2 2 11 3 2 3" xfId="44532"/>
    <cellStyle name="输入 2 2 2 11 3 3" xfId="35127"/>
    <cellStyle name="输入 2 2 2 11 3 4" xfId="44531"/>
    <cellStyle name="输入 2 2 2 11 4" xfId="15369"/>
    <cellStyle name="输入 2 2 2 11 4 2" xfId="8374"/>
    <cellStyle name="输入 2 2 2 11 4 2 2" xfId="35130"/>
    <cellStyle name="输入 2 2 2 11 4 2 3" xfId="44534"/>
    <cellStyle name="输入 2 2 2 11 4 3" xfId="35129"/>
    <cellStyle name="输入 2 2 2 11 4 4" xfId="44533"/>
    <cellStyle name="输入 2 2 2 11 5" xfId="35131"/>
    <cellStyle name="输入 2 2 2 11 5 2" xfId="44535"/>
    <cellStyle name="输入 2 2 2 11 6" xfId="35120"/>
    <cellStyle name="输入 2 2 2 11 7" xfId="44524"/>
    <cellStyle name="输入 2 2 2 12" xfId="10342"/>
    <cellStyle name="输入 2 2 2 12 2" xfId="15370"/>
    <cellStyle name="输入 2 2 2 12 2 2" xfId="15371"/>
    <cellStyle name="输入 2 2 2 12 2 2 2" xfId="8376"/>
    <cellStyle name="输入 2 2 2 12 2 2 2 2" xfId="35135"/>
    <cellStyle name="输入 2 2 2 12 2 2 2 3" xfId="44539"/>
    <cellStyle name="输入 2 2 2 12 2 2 3" xfId="35134"/>
    <cellStyle name="输入 2 2 2 12 2 2 4" xfId="44538"/>
    <cellStyle name="输入 2 2 2 12 2 3" xfId="15372"/>
    <cellStyle name="输入 2 2 2 12 2 3 2" xfId="8377"/>
    <cellStyle name="输入 2 2 2 12 2 3 2 2" xfId="35137"/>
    <cellStyle name="输入 2 2 2 12 2 3 2 3" xfId="44541"/>
    <cellStyle name="输入 2 2 2 12 2 3 3" xfId="35136"/>
    <cellStyle name="输入 2 2 2 12 2 3 4" xfId="44540"/>
    <cellStyle name="输入 2 2 2 12 2 4" xfId="8375"/>
    <cellStyle name="输入 2 2 2 12 2 4 2" xfId="35138"/>
    <cellStyle name="输入 2 2 2 12 2 4 3" xfId="44542"/>
    <cellStyle name="输入 2 2 2 12 2 5" xfId="35133"/>
    <cellStyle name="输入 2 2 2 12 2 6" xfId="44537"/>
    <cellStyle name="输入 2 2 2 12 3" xfId="15373"/>
    <cellStyle name="输入 2 2 2 12 3 2" xfId="8378"/>
    <cellStyle name="输入 2 2 2 12 3 2 2" xfId="35140"/>
    <cellStyle name="输入 2 2 2 12 3 2 3" xfId="44544"/>
    <cellStyle name="输入 2 2 2 12 3 3" xfId="35139"/>
    <cellStyle name="输入 2 2 2 12 3 4" xfId="44543"/>
    <cellStyle name="输入 2 2 2 12 4" xfId="15374"/>
    <cellStyle name="输入 2 2 2 12 4 2" xfId="8379"/>
    <cellStyle name="输入 2 2 2 12 4 2 2" xfId="35142"/>
    <cellStyle name="输入 2 2 2 12 4 2 3" xfId="44546"/>
    <cellStyle name="输入 2 2 2 12 4 3" xfId="35141"/>
    <cellStyle name="输入 2 2 2 12 4 4" xfId="44545"/>
    <cellStyle name="输入 2 2 2 12 5" xfId="35143"/>
    <cellStyle name="输入 2 2 2 12 5 2" xfId="44547"/>
    <cellStyle name="输入 2 2 2 12 6" xfId="35132"/>
    <cellStyle name="输入 2 2 2 12 7" xfId="44536"/>
    <cellStyle name="输入 2 2 2 13" xfId="10343"/>
    <cellStyle name="输入 2 2 2 13 2" xfId="15375"/>
    <cellStyle name="输入 2 2 2 13 2 2" xfId="15376"/>
    <cellStyle name="输入 2 2 2 13 2 2 2" xfId="8381"/>
    <cellStyle name="输入 2 2 2 13 2 2 2 2" xfId="35147"/>
    <cellStyle name="输入 2 2 2 13 2 2 2 3" xfId="44551"/>
    <cellStyle name="输入 2 2 2 13 2 2 3" xfId="35146"/>
    <cellStyle name="输入 2 2 2 13 2 2 4" xfId="44550"/>
    <cellStyle name="输入 2 2 2 13 2 3" xfId="15377"/>
    <cellStyle name="输入 2 2 2 13 2 3 2" xfId="8382"/>
    <cellStyle name="输入 2 2 2 13 2 3 2 2" xfId="35149"/>
    <cellStyle name="输入 2 2 2 13 2 3 2 3" xfId="44553"/>
    <cellStyle name="输入 2 2 2 13 2 3 3" xfId="35148"/>
    <cellStyle name="输入 2 2 2 13 2 3 4" xfId="44552"/>
    <cellStyle name="输入 2 2 2 13 2 4" xfId="8380"/>
    <cellStyle name="输入 2 2 2 13 2 4 2" xfId="35150"/>
    <cellStyle name="输入 2 2 2 13 2 4 3" xfId="44554"/>
    <cellStyle name="输入 2 2 2 13 2 5" xfId="35145"/>
    <cellStyle name="输入 2 2 2 13 2 6" xfId="44549"/>
    <cellStyle name="输入 2 2 2 13 3" xfId="15378"/>
    <cellStyle name="输入 2 2 2 13 3 2" xfId="8383"/>
    <cellStyle name="输入 2 2 2 13 3 2 2" xfId="35152"/>
    <cellStyle name="输入 2 2 2 13 3 2 3" xfId="44556"/>
    <cellStyle name="输入 2 2 2 13 3 3" xfId="35151"/>
    <cellStyle name="输入 2 2 2 13 3 4" xfId="44555"/>
    <cellStyle name="输入 2 2 2 13 4" xfId="15379"/>
    <cellStyle name="输入 2 2 2 13 4 2" xfId="20717"/>
    <cellStyle name="输入 2 2 2 13 4 2 2" xfId="35154"/>
    <cellStyle name="输入 2 2 2 13 4 2 3" xfId="44558"/>
    <cellStyle name="输入 2 2 2 13 4 3" xfId="35153"/>
    <cellStyle name="输入 2 2 2 13 4 4" xfId="44557"/>
    <cellStyle name="输入 2 2 2 13 5" xfId="35155"/>
    <cellStyle name="输入 2 2 2 13 5 2" xfId="44559"/>
    <cellStyle name="输入 2 2 2 13 6" xfId="35144"/>
    <cellStyle name="输入 2 2 2 13 7" xfId="44548"/>
    <cellStyle name="输入 2 2 2 14" xfId="10344"/>
    <cellStyle name="输入 2 2 2 14 2" xfId="15380"/>
    <cellStyle name="输入 2 2 2 14 2 2" xfId="15381"/>
    <cellStyle name="输入 2 2 2 14 2 2 2" xfId="18557"/>
    <cellStyle name="输入 2 2 2 14 2 2 2 2" xfId="35159"/>
    <cellStyle name="输入 2 2 2 14 2 2 2 3" xfId="44563"/>
    <cellStyle name="输入 2 2 2 14 2 2 3" xfId="35158"/>
    <cellStyle name="输入 2 2 2 14 2 2 4" xfId="44562"/>
    <cellStyle name="输入 2 2 2 14 2 3" xfId="15382"/>
    <cellStyle name="输入 2 2 2 14 2 3 2" xfId="18556"/>
    <cellStyle name="输入 2 2 2 14 2 3 2 2" xfId="35161"/>
    <cellStyle name="输入 2 2 2 14 2 3 2 3" xfId="44565"/>
    <cellStyle name="输入 2 2 2 14 2 3 3" xfId="35160"/>
    <cellStyle name="输入 2 2 2 14 2 3 4" xfId="44564"/>
    <cellStyle name="输入 2 2 2 14 2 4" xfId="20716"/>
    <cellStyle name="输入 2 2 2 14 2 4 2" xfId="35162"/>
    <cellStyle name="输入 2 2 2 14 2 4 3" xfId="44566"/>
    <cellStyle name="输入 2 2 2 14 2 5" xfId="35157"/>
    <cellStyle name="输入 2 2 2 14 2 6" xfId="44561"/>
    <cellStyle name="输入 2 2 2 14 3" xfId="15383"/>
    <cellStyle name="输入 2 2 2 14 3 2" xfId="20715"/>
    <cellStyle name="输入 2 2 2 14 3 2 2" xfId="35164"/>
    <cellStyle name="输入 2 2 2 14 3 2 3" xfId="44568"/>
    <cellStyle name="输入 2 2 2 14 3 3" xfId="35163"/>
    <cellStyle name="输入 2 2 2 14 3 4" xfId="44567"/>
    <cellStyle name="输入 2 2 2 14 4" xfId="15384"/>
    <cellStyle name="输入 2 2 2 14 4 2" xfId="20714"/>
    <cellStyle name="输入 2 2 2 14 4 2 2" xfId="35166"/>
    <cellStyle name="输入 2 2 2 14 4 2 3" xfId="44570"/>
    <cellStyle name="输入 2 2 2 14 4 3" xfId="35165"/>
    <cellStyle name="输入 2 2 2 14 4 4" xfId="44569"/>
    <cellStyle name="输入 2 2 2 14 5" xfId="35167"/>
    <cellStyle name="输入 2 2 2 14 5 2" xfId="44571"/>
    <cellStyle name="输入 2 2 2 14 6" xfId="35156"/>
    <cellStyle name="输入 2 2 2 14 7" xfId="44560"/>
    <cellStyle name="输入 2 2 2 15" xfId="15385"/>
    <cellStyle name="输入 2 2 2 15 2" xfId="15386"/>
    <cellStyle name="输入 2 2 2 15 2 2" xfId="20712"/>
    <cellStyle name="输入 2 2 2 15 2 2 2" xfId="35170"/>
    <cellStyle name="输入 2 2 2 15 2 2 3" xfId="44574"/>
    <cellStyle name="输入 2 2 2 15 2 3" xfId="35169"/>
    <cellStyle name="输入 2 2 2 15 2 4" xfId="44573"/>
    <cellStyle name="输入 2 2 2 15 3" xfId="15387"/>
    <cellStyle name="输入 2 2 2 15 3 2" xfId="20711"/>
    <cellStyle name="输入 2 2 2 15 3 2 2" xfId="35172"/>
    <cellStyle name="输入 2 2 2 15 3 2 3" xfId="44576"/>
    <cellStyle name="输入 2 2 2 15 3 3" xfId="35171"/>
    <cellStyle name="输入 2 2 2 15 3 4" xfId="44575"/>
    <cellStyle name="输入 2 2 2 15 4" xfId="20713"/>
    <cellStyle name="输入 2 2 2 15 4 2" xfId="35173"/>
    <cellStyle name="输入 2 2 2 15 4 3" xfId="44577"/>
    <cellStyle name="输入 2 2 2 15 5" xfId="35168"/>
    <cellStyle name="输入 2 2 2 15 6" xfId="44572"/>
    <cellStyle name="输入 2 2 2 16" xfId="15388"/>
    <cellStyle name="输入 2 2 2 16 2" xfId="20710"/>
    <cellStyle name="输入 2 2 2 16 2 2" xfId="35175"/>
    <cellStyle name="输入 2 2 2 16 2 3" xfId="44579"/>
    <cellStyle name="输入 2 2 2 16 3" xfId="35174"/>
    <cellStyle name="输入 2 2 2 16 4" xfId="44578"/>
    <cellStyle name="输入 2 2 2 17" xfId="15389"/>
    <cellStyle name="输入 2 2 2 17 2" xfId="20709"/>
    <cellStyle name="输入 2 2 2 17 2 2" xfId="35177"/>
    <cellStyle name="输入 2 2 2 17 2 3" xfId="44581"/>
    <cellStyle name="输入 2 2 2 17 3" xfId="35176"/>
    <cellStyle name="输入 2 2 2 17 4" xfId="44580"/>
    <cellStyle name="输入 2 2 2 18" xfId="10335"/>
    <cellStyle name="输入 2 2 2 18 2" xfId="35178"/>
    <cellStyle name="输入 2 2 2 18 3" xfId="44582"/>
    <cellStyle name="输入 2 2 2 19" xfId="35059"/>
    <cellStyle name="输入 2 2 2 2" xfId="5466"/>
    <cellStyle name="输入 2 2 2 2 10" xfId="35179"/>
    <cellStyle name="输入 2 2 2 2 11" xfId="44583"/>
    <cellStyle name="输入 2 2 2 2 2" xfId="10346"/>
    <cellStyle name="输入 2 2 2 2 2 2" xfId="15390"/>
    <cellStyle name="输入 2 2 2 2 2 2 2" xfId="15391"/>
    <cellStyle name="输入 2 2 2 2 2 2 2 2" xfId="20707"/>
    <cellStyle name="输入 2 2 2 2 2 2 2 2 2" xfId="35183"/>
    <cellStyle name="输入 2 2 2 2 2 2 2 2 3" xfId="44587"/>
    <cellStyle name="输入 2 2 2 2 2 2 2 3" xfId="35182"/>
    <cellStyle name="输入 2 2 2 2 2 2 2 4" xfId="44586"/>
    <cellStyle name="输入 2 2 2 2 2 2 3" xfId="15392"/>
    <cellStyle name="输入 2 2 2 2 2 2 3 2" xfId="20706"/>
    <cellStyle name="输入 2 2 2 2 2 2 3 2 2" xfId="35185"/>
    <cellStyle name="输入 2 2 2 2 2 2 3 2 3" xfId="44589"/>
    <cellStyle name="输入 2 2 2 2 2 2 3 3" xfId="35184"/>
    <cellStyle name="输入 2 2 2 2 2 2 3 4" xfId="44588"/>
    <cellStyle name="输入 2 2 2 2 2 2 4" xfId="20708"/>
    <cellStyle name="输入 2 2 2 2 2 2 4 2" xfId="35186"/>
    <cellStyle name="输入 2 2 2 2 2 2 4 3" xfId="44590"/>
    <cellStyle name="输入 2 2 2 2 2 2 5" xfId="35181"/>
    <cellStyle name="输入 2 2 2 2 2 2 6" xfId="44585"/>
    <cellStyle name="输入 2 2 2 2 2 3" xfId="15393"/>
    <cellStyle name="输入 2 2 2 2 2 3 2" xfId="18555"/>
    <cellStyle name="输入 2 2 2 2 2 3 2 2" xfId="35188"/>
    <cellStyle name="输入 2 2 2 2 2 3 2 3" xfId="44592"/>
    <cellStyle name="输入 2 2 2 2 2 3 3" xfId="35187"/>
    <cellStyle name="输入 2 2 2 2 2 3 4" xfId="44591"/>
    <cellStyle name="输入 2 2 2 2 2 4" xfId="15394"/>
    <cellStyle name="输入 2 2 2 2 2 4 2" xfId="20705"/>
    <cellStyle name="输入 2 2 2 2 2 4 2 2" xfId="35190"/>
    <cellStyle name="输入 2 2 2 2 2 4 2 3" xfId="44594"/>
    <cellStyle name="输入 2 2 2 2 2 4 3" xfId="35189"/>
    <cellStyle name="输入 2 2 2 2 2 4 4" xfId="44593"/>
    <cellStyle name="输入 2 2 2 2 2 5" xfId="35191"/>
    <cellStyle name="输入 2 2 2 2 2 5 2" xfId="44595"/>
    <cellStyle name="输入 2 2 2 2 2 6" xfId="35180"/>
    <cellStyle name="输入 2 2 2 2 2 7" xfId="44584"/>
    <cellStyle name="输入 2 2 2 2 3" xfId="10347"/>
    <cellStyle name="输入 2 2 2 2 3 2" xfId="15395"/>
    <cellStyle name="输入 2 2 2 2 3 2 2" xfId="15396"/>
    <cellStyle name="输入 2 2 2 2 3 2 2 2" xfId="20703"/>
    <cellStyle name="输入 2 2 2 2 3 2 2 2 2" xfId="35195"/>
    <cellStyle name="输入 2 2 2 2 3 2 2 2 3" xfId="44599"/>
    <cellStyle name="输入 2 2 2 2 3 2 2 3" xfId="35194"/>
    <cellStyle name="输入 2 2 2 2 3 2 2 4" xfId="44598"/>
    <cellStyle name="输入 2 2 2 2 3 2 3" xfId="15397"/>
    <cellStyle name="输入 2 2 2 2 3 2 3 2" xfId="20702"/>
    <cellStyle name="输入 2 2 2 2 3 2 3 2 2" xfId="35197"/>
    <cellStyle name="输入 2 2 2 2 3 2 3 2 3" xfId="44601"/>
    <cellStyle name="输入 2 2 2 2 3 2 3 3" xfId="35196"/>
    <cellStyle name="输入 2 2 2 2 3 2 3 4" xfId="44600"/>
    <cellStyle name="输入 2 2 2 2 3 2 4" xfId="20704"/>
    <cellStyle name="输入 2 2 2 2 3 2 4 2" xfId="35198"/>
    <cellStyle name="输入 2 2 2 2 3 2 4 3" xfId="44602"/>
    <cellStyle name="输入 2 2 2 2 3 2 5" xfId="35193"/>
    <cellStyle name="输入 2 2 2 2 3 2 6" xfId="44597"/>
    <cellStyle name="输入 2 2 2 2 3 3" xfId="15398"/>
    <cellStyle name="输入 2 2 2 2 3 3 2" xfId="20701"/>
    <cellStyle name="输入 2 2 2 2 3 3 2 2" xfId="35200"/>
    <cellStyle name="输入 2 2 2 2 3 3 2 3" xfId="44604"/>
    <cellStyle name="输入 2 2 2 2 3 3 3" xfId="35199"/>
    <cellStyle name="输入 2 2 2 2 3 3 4" xfId="44603"/>
    <cellStyle name="输入 2 2 2 2 3 4" xfId="15399"/>
    <cellStyle name="输入 2 2 2 2 3 4 2" xfId="18554"/>
    <cellStyle name="输入 2 2 2 2 3 4 2 2" xfId="35202"/>
    <cellStyle name="输入 2 2 2 2 3 4 2 3" xfId="44606"/>
    <cellStyle name="输入 2 2 2 2 3 4 3" xfId="35201"/>
    <cellStyle name="输入 2 2 2 2 3 4 4" xfId="44605"/>
    <cellStyle name="输入 2 2 2 2 3 5" xfId="35203"/>
    <cellStyle name="输入 2 2 2 2 3 5 2" xfId="44607"/>
    <cellStyle name="输入 2 2 2 2 3 6" xfId="35192"/>
    <cellStyle name="输入 2 2 2 2 3 7" xfId="44596"/>
    <cellStyle name="输入 2 2 2 2 4" xfId="10348"/>
    <cellStyle name="输入 2 2 2 2 4 2" xfId="15400"/>
    <cellStyle name="输入 2 2 2 2 4 2 2" xfId="15401"/>
    <cellStyle name="输入 2 2 2 2 4 2 2 2" xfId="8385"/>
    <cellStyle name="输入 2 2 2 2 4 2 2 2 2" xfId="35207"/>
    <cellStyle name="输入 2 2 2 2 4 2 2 2 3" xfId="44611"/>
    <cellStyle name="输入 2 2 2 2 4 2 2 3" xfId="35206"/>
    <cellStyle name="输入 2 2 2 2 4 2 2 4" xfId="44610"/>
    <cellStyle name="输入 2 2 2 2 4 2 3" xfId="15402"/>
    <cellStyle name="输入 2 2 2 2 4 2 3 2" xfId="8386"/>
    <cellStyle name="输入 2 2 2 2 4 2 3 2 2" xfId="35209"/>
    <cellStyle name="输入 2 2 2 2 4 2 3 2 3" xfId="44613"/>
    <cellStyle name="输入 2 2 2 2 4 2 3 3" xfId="35208"/>
    <cellStyle name="输入 2 2 2 2 4 2 3 4" xfId="44612"/>
    <cellStyle name="输入 2 2 2 2 4 2 4" xfId="8384"/>
    <cellStyle name="输入 2 2 2 2 4 2 4 2" xfId="35210"/>
    <cellStyle name="输入 2 2 2 2 4 2 4 3" xfId="44614"/>
    <cellStyle name="输入 2 2 2 2 4 2 5" xfId="35205"/>
    <cellStyle name="输入 2 2 2 2 4 2 6" xfId="44609"/>
    <cellStyle name="输入 2 2 2 2 4 3" xfId="15403"/>
    <cellStyle name="输入 2 2 2 2 4 3 2" xfId="8387"/>
    <cellStyle name="输入 2 2 2 2 4 3 2 2" xfId="35212"/>
    <cellStyle name="输入 2 2 2 2 4 3 2 3" xfId="44616"/>
    <cellStyle name="输入 2 2 2 2 4 3 3" xfId="35211"/>
    <cellStyle name="输入 2 2 2 2 4 3 4" xfId="44615"/>
    <cellStyle name="输入 2 2 2 2 4 4" xfId="15404"/>
    <cellStyle name="输入 2 2 2 2 4 4 2" xfId="8388"/>
    <cellStyle name="输入 2 2 2 2 4 4 2 2" xfId="35214"/>
    <cellStyle name="输入 2 2 2 2 4 4 2 3" xfId="44618"/>
    <cellStyle name="输入 2 2 2 2 4 4 3" xfId="35213"/>
    <cellStyle name="输入 2 2 2 2 4 4 4" xfId="44617"/>
    <cellStyle name="输入 2 2 2 2 4 5" xfId="35215"/>
    <cellStyle name="输入 2 2 2 2 4 5 2" xfId="44619"/>
    <cellStyle name="输入 2 2 2 2 4 6" xfId="35204"/>
    <cellStyle name="输入 2 2 2 2 4 7" xfId="44608"/>
    <cellStyle name="输入 2 2 2 2 5" xfId="10349"/>
    <cellStyle name="输入 2 2 2 2 5 2" xfId="15405"/>
    <cellStyle name="输入 2 2 2 2 5 2 2" xfId="15406"/>
    <cellStyle name="输入 2 2 2 2 5 2 2 2" xfId="8389"/>
    <cellStyle name="输入 2 2 2 2 5 2 2 2 2" xfId="35219"/>
    <cellStyle name="输入 2 2 2 2 5 2 2 2 3" xfId="44623"/>
    <cellStyle name="输入 2 2 2 2 5 2 2 3" xfId="35218"/>
    <cellStyle name="输入 2 2 2 2 5 2 2 4" xfId="44622"/>
    <cellStyle name="输入 2 2 2 2 5 2 3" xfId="15407"/>
    <cellStyle name="输入 2 2 2 2 5 2 3 2" xfId="8390"/>
    <cellStyle name="输入 2 2 2 2 5 2 3 2 2" xfId="35221"/>
    <cellStyle name="输入 2 2 2 2 5 2 3 2 3" xfId="44625"/>
    <cellStyle name="输入 2 2 2 2 5 2 3 3" xfId="35220"/>
    <cellStyle name="输入 2 2 2 2 5 2 3 4" xfId="44624"/>
    <cellStyle name="输入 2 2 2 2 5 2 4" xfId="20700"/>
    <cellStyle name="输入 2 2 2 2 5 2 4 2" xfId="35222"/>
    <cellStyle name="输入 2 2 2 2 5 2 4 3" xfId="44626"/>
    <cellStyle name="输入 2 2 2 2 5 2 5" xfId="35217"/>
    <cellStyle name="输入 2 2 2 2 5 2 6" xfId="44621"/>
    <cellStyle name="输入 2 2 2 2 5 3" xfId="15408"/>
    <cellStyle name="输入 2 2 2 2 5 3 2" xfId="8391"/>
    <cellStyle name="输入 2 2 2 2 5 3 2 2" xfId="35224"/>
    <cellStyle name="输入 2 2 2 2 5 3 2 3" xfId="44628"/>
    <cellStyle name="输入 2 2 2 2 5 3 3" xfId="35223"/>
    <cellStyle name="输入 2 2 2 2 5 3 4" xfId="44627"/>
    <cellStyle name="输入 2 2 2 2 5 4" xfId="15409"/>
    <cellStyle name="输入 2 2 2 2 5 4 2" xfId="8392"/>
    <cellStyle name="输入 2 2 2 2 5 4 2 2" xfId="35226"/>
    <cellStyle name="输入 2 2 2 2 5 4 2 3" xfId="44630"/>
    <cellStyle name="输入 2 2 2 2 5 4 3" xfId="35225"/>
    <cellStyle name="输入 2 2 2 2 5 4 4" xfId="44629"/>
    <cellStyle name="输入 2 2 2 2 5 5" xfId="35227"/>
    <cellStyle name="输入 2 2 2 2 5 5 2" xfId="44631"/>
    <cellStyle name="输入 2 2 2 2 5 6" xfId="35216"/>
    <cellStyle name="输入 2 2 2 2 5 7" xfId="44620"/>
    <cellStyle name="输入 2 2 2 2 6" xfId="15410"/>
    <cellStyle name="输入 2 2 2 2 6 2" xfId="15411"/>
    <cellStyle name="输入 2 2 2 2 6 2 2" xfId="20699"/>
    <cellStyle name="输入 2 2 2 2 6 2 2 2" xfId="35230"/>
    <cellStyle name="输入 2 2 2 2 6 2 2 3" xfId="44634"/>
    <cellStyle name="输入 2 2 2 2 6 2 3" xfId="35229"/>
    <cellStyle name="输入 2 2 2 2 6 2 4" xfId="44633"/>
    <cellStyle name="输入 2 2 2 2 6 3" xfId="15412"/>
    <cellStyle name="输入 2 2 2 2 6 3 2" xfId="8394"/>
    <cellStyle name="输入 2 2 2 2 6 3 2 2" xfId="35232"/>
    <cellStyle name="输入 2 2 2 2 6 3 2 3" xfId="44636"/>
    <cellStyle name="输入 2 2 2 2 6 3 3" xfId="35231"/>
    <cellStyle name="输入 2 2 2 2 6 3 4" xfId="44635"/>
    <cellStyle name="输入 2 2 2 2 6 4" xfId="8393"/>
    <cellStyle name="输入 2 2 2 2 6 4 2" xfId="35233"/>
    <cellStyle name="输入 2 2 2 2 6 4 3" xfId="44637"/>
    <cellStyle name="输入 2 2 2 2 6 5" xfId="35228"/>
    <cellStyle name="输入 2 2 2 2 6 6" xfId="44632"/>
    <cellStyle name="输入 2 2 2 2 7" xfId="15413"/>
    <cellStyle name="输入 2 2 2 2 7 2" xfId="8395"/>
    <cellStyle name="输入 2 2 2 2 7 2 2" xfId="35235"/>
    <cellStyle name="输入 2 2 2 2 7 2 3" xfId="44639"/>
    <cellStyle name="输入 2 2 2 2 7 3" xfId="35234"/>
    <cellStyle name="输入 2 2 2 2 7 4" xfId="44638"/>
    <cellStyle name="输入 2 2 2 2 8" xfId="15414"/>
    <cellStyle name="输入 2 2 2 2 8 2" xfId="8396"/>
    <cellStyle name="输入 2 2 2 2 8 2 2" xfId="35237"/>
    <cellStyle name="输入 2 2 2 2 8 2 3" xfId="44641"/>
    <cellStyle name="输入 2 2 2 2 8 3" xfId="35236"/>
    <cellStyle name="输入 2 2 2 2 8 4" xfId="44640"/>
    <cellStyle name="输入 2 2 2 2 9" xfId="10345"/>
    <cellStyle name="输入 2 2 2 2 9 2" xfId="35238"/>
    <cellStyle name="输入 2 2 2 2 9 3" xfId="44642"/>
    <cellStyle name="输入 2 2 2 20" xfId="44463"/>
    <cellStyle name="输入 2 2 2 3" xfId="10350"/>
    <cellStyle name="输入 2 2 2 3 10" xfId="35239"/>
    <cellStyle name="输入 2 2 2 3 11" xfId="44643"/>
    <cellStyle name="输入 2 2 2 3 2" xfId="10351"/>
    <cellStyle name="输入 2 2 2 3 2 2" xfId="15415"/>
    <cellStyle name="输入 2 2 2 3 2 2 2" xfId="15416"/>
    <cellStyle name="输入 2 2 2 3 2 2 2 2" xfId="8398"/>
    <cellStyle name="输入 2 2 2 3 2 2 2 2 2" xfId="35243"/>
    <cellStyle name="输入 2 2 2 3 2 2 2 2 3" xfId="44647"/>
    <cellStyle name="输入 2 2 2 3 2 2 2 3" xfId="35242"/>
    <cellStyle name="输入 2 2 2 3 2 2 2 4" xfId="44646"/>
    <cellStyle name="输入 2 2 2 3 2 2 3" xfId="15417"/>
    <cellStyle name="输入 2 2 2 3 2 2 3 2" xfId="20698"/>
    <cellStyle name="输入 2 2 2 3 2 2 3 2 2" xfId="35245"/>
    <cellStyle name="输入 2 2 2 3 2 2 3 2 3" xfId="44649"/>
    <cellStyle name="输入 2 2 2 3 2 2 3 3" xfId="35244"/>
    <cellStyle name="输入 2 2 2 3 2 2 3 4" xfId="44648"/>
    <cellStyle name="输入 2 2 2 3 2 2 4" xfId="8397"/>
    <cellStyle name="输入 2 2 2 3 2 2 4 2" xfId="35246"/>
    <cellStyle name="输入 2 2 2 3 2 2 4 3" xfId="44650"/>
    <cellStyle name="输入 2 2 2 3 2 2 5" xfId="35241"/>
    <cellStyle name="输入 2 2 2 3 2 2 6" xfId="44645"/>
    <cellStyle name="输入 2 2 2 3 2 3" xfId="15418"/>
    <cellStyle name="输入 2 2 2 3 2 3 2" xfId="8399"/>
    <cellStyle name="输入 2 2 2 3 2 3 2 2" xfId="35248"/>
    <cellStyle name="输入 2 2 2 3 2 3 2 3" xfId="44652"/>
    <cellStyle name="输入 2 2 2 3 2 3 3" xfId="35247"/>
    <cellStyle name="输入 2 2 2 3 2 3 4" xfId="44651"/>
    <cellStyle name="输入 2 2 2 3 2 4" xfId="15419"/>
    <cellStyle name="输入 2 2 2 3 2 4 2" xfId="8400"/>
    <cellStyle name="输入 2 2 2 3 2 4 2 2" xfId="35250"/>
    <cellStyle name="输入 2 2 2 3 2 4 2 3" xfId="44654"/>
    <cellStyle name="输入 2 2 2 3 2 4 3" xfId="35249"/>
    <cellStyle name="输入 2 2 2 3 2 4 4" xfId="44653"/>
    <cellStyle name="输入 2 2 2 3 2 5" xfId="35251"/>
    <cellStyle name="输入 2 2 2 3 2 5 2" xfId="44655"/>
    <cellStyle name="输入 2 2 2 3 2 6" xfId="35240"/>
    <cellStyle name="输入 2 2 2 3 2 7" xfId="44644"/>
    <cellStyle name="输入 2 2 2 3 3" xfId="10352"/>
    <cellStyle name="输入 2 2 2 3 3 2" xfId="15420"/>
    <cellStyle name="输入 2 2 2 3 3 2 2" xfId="15421"/>
    <cellStyle name="输入 2 2 2 3 3 2 2 2" xfId="8402"/>
    <cellStyle name="输入 2 2 2 3 3 2 2 2 2" xfId="35255"/>
    <cellStyle name="输入 2 2 2 3 3 2 2 2 3" xfId="44659"/>
    <cellStyle name="输入 2 2 2 3 3 2 2 3" xfId="35254"/>
    <cellStyle name="输入 2 2 2 3 3 2 2 4" xfId="44658"/>
    <cellStyle name="输入 2 2 2 3 3 2 3" xfId="15422"/>
    <cellStyle name="输入 2 2 2 3 3 2 3 2" xfId="8403"/>
    <cellStyle name="输入 2 2 2 3 3 2 3 2 2" xfId="35257"/>
    <cellStyle name="输入 2 2 2 3 3 2 3 2 3" xfId="44661"/>
    <cellStyle name="输入 2 2 2 3 3 2 3 3" xfId="35256"/>
    <cellStyle name="输入 2 2 2 3 3 2 3 4" xfId="44660"/>
    <cellStyle name="输入 2 2 2 3 3 2 4" xfId="8401"/>
    <cellStyle name="输入 2 2 2 3 3 2 4 2" xfId="35258"/>
    <cellStyle name="输入 2 2 2 3 3 2 4 3" xfId="44662"/>
    <cellStyle name="输入 2 2 2 3 3 2 5" xfId="35253"/>
    <cellStyle name="输入 2 2 2 3 3 2 6" xfId="44657"/>
    <cellStyle name="输入 2 2 2 3 3 3" xfId="15423"/>
    <cellStyle name="输入 2 2 2 3 3 3 2" xfId="8404"/>
    <cellStyle name="输入 2 2 2 3 3 3 2 2" xfId="35260"/>
    <cellStyle name="输入 2 2 2 3 3 3 2 3" xfId="44664"/>
    <cellStyle name="输入 2 2 2 3 3 3 3" xfId="35259"/>
    <cellStyle name="输入 2 2 2 3 3 3 4" xfId="44663"/>
    <cellStyle name="输入 2 2 2 3 3 4" xfId="15424"/>
    <cellStyle name="输入 2 2 2 3 3 4 2" xfId="8405"/>
    <cellStyle name="输入 2 2 2 3 3 4 2 2" xfId="35262"/>
    <cellStyle name="输入 2 2 2 3 3 4 2 3" xfId="44666"/>
    <cellStyle name="输入 2 2 2 3 3 4 3" xfId="35261"/>
    <cellStyle name="输入 2 2 2 3 3 4 4" xfId="44665"/>
    <cellStyle name="输入 2 2 2 3 3 5" xfId="35263"/>
    <cellStyle name="输入 2 2 2 3 3 5 2" xfId="44667"/>
    <cellStyle name="输入 2 2 2 3 3 6" xfId="35252"/>
    <cellStyle name="输入 2 2 2 3 3 7" xfId="44656"/>
    <cellStyle name="输入 2 2 2 3 4" xfId="10353"/>
    <cellStyle name="输入 2 2 2 3 4 2" xfId="15425"/>
    <cellStyle name="输入 2 2 2 3 4 2 2" xfId="15426"/>
    <cellStyle name="输入 2 2 2 3 4 2 2 2" xfId="8407"/>
    <cellStyle name="输入 2 2 2 3 4 2 2 2 2" xfId="35267"/>
    <cellStyle name="输入 2 2 2 3 4 2 2 2 3" xfId="44671"/>
    <cellStyle name="输入 2 2 2 3 4 2 2 3" xfId="35266"/>
    <cellStyle name="输入 2 2 2 3 4 2 2 4" xfId="44670"/>
    <cellStyle name="输入 2 2 2 3 4 2 3" xfId="15427"/>
    <cellStyle name="输入 2 2 2 3 4 2 3 2" xfId="8408"/>
    <cellStyle name="输入 2 2 2 3 4 2 3 2 2" xfId="35269"/>
    <cellStyle name="输入 2 2 2 3 4 2 3 2 3" xfId="44673"/>
    <cellStyle name="输入 2 2 2 3 4 2 3 3" xfId="35268"/>
    <cellStyle name="输入 2 2 2 3 4 2 3 4" xfId="44672"/>
    <cellStyle name="输入 2 2 2 3 4 2 4" xfId="8406"/>
    <cellStyle name="输入 2 2 2 3 4 2 4 2" xfId="35270"/>
    <cellStyle name="输入 2 2 2 3 4 2 4 3" xfId="44674"/>
    <cellStyle name="输入 2 2 2 3 4 2 5" xfId="35265"/>
    <cellStyle name="输入 2 2 2 3 4 2 6" xfId="44669"/>
    <cellStyle name="输入 2 2 2 3 4 3" xfId="15428"/>
    <cellStyle name="输入 2 2 2 3 4 3 2" xfId="20697"/>
    <cellStyle name="输入 2 2 2 3 4 3 2 2" xfId="35272"/>
    <cellStyle name="输入 2 2 2 3 4 3 2 3" xfId="44676"/>
    <cellStyle name="输入 2 2 2 3 4 3 3" xfId="35271"/>
    <cellStyle name="输入 2 2 2 3 4 3 4" xfId="44675"/>
    <cellStyle name="输入 2 2 2 3 4 4" xfId="15429"/>
    <cellStyle name="输入 2 2 2 3 4 4 2" xfId="20696"/>
    <cellStyle name="输入 2 2 2 3 4 4 2 2" xfId="35274"/>
    <cellStyle name="输入 2 2 2 3 4 4 2 3" xfId="44678"/>
    <cellStyle name="输入 2 2 2 3 4 4 3" xfId="35273"/>
    <cellStyle name="输入 2 2 2 3 4 4 4" xfId="44677"/>
    <cellStyle name="输入 2 2 2 3 4 5" xfId="35275"/>
    <cellStyle name="输入 2 2 2 3 4 5 2" xfId="44679"/>
    <cellStyle name="输入 2 2 2 3 4 6" xfId="35264"/>
    <cellStyle name="输入 2 2 2 3 4 7" xfId="44668"/>
    <cellStyle name="输入 2 2 2 3 5" xfId="10354"/>
    <cellStyle name="输入 2 2 2 3 5 2" xfId="15430"/>
    <cellStyle name="输入 2 2 2 3 5 2 2" xfId="15431"/>
    <cellStyle name="输入 2 2 2 3 5 2 2 2" xfId="8410"/>
    <cellStyle name="输入 2 2 2 3 5 2 2 2 2" xfId="35279"/>
    <cellStyle name="输入 2 2 2 3 5 2 2 2 3" xfId="44683"/>
    <cellStyle name="输入 2 2 2 3 5 2 2 3" xfId="35278"/>
    <cellStyle name="输入 2 2 2 3 5 2 2 4" xfId="44682"/>
    <cellStyle name="输入 2 2 2 3 5 2 3" xfId="15432"/>
    <cellStyle name="输入 2 2 2 3 5 2 3 2" xfId="8411"/>
    <cellStyle name="输入 2 2 2 3 5 2 3 2 2" xfId="35281"/>
    <cellStyle name="输入 2 2 2 3 5 2 3 2 3" xfId="44685"/>
    <cellStyle name="输入 2 2 2 3 5 2 3 3" xfId="35280"/>
    <cellStyle name="输入 2 2 2 3 5 2 3 4" xfId="44684"/>
    <cellStyle name="输入 2 2 2 3 5 2 4" xfId="8409"/>
    <cellStyle name="输入 2 2 2 3 5 2 4 2" xfId="35282"/>
    <cellStyle name="输入 2 2 2 3 5 2 4 3" xfId="44686"/>
    <cellStyle name="输入 2 2 2 3 5 2 5" xfId="35277"/>
    <cellStyle name="输入 2 2 2 3 5 2 6" xfId="44681"/>
    <cellStyle name="输入 2 2 2 3 5 3" xfId="15433"/>
    <cellStyle name="输入 2 2 2 3 5 3 2" xfId="8412"/>
    <cellStyle name="输入 2 2 2 3 5 3 2 2" xfId="35284"/>
    <cellStyle name="输入 2 2 2 3 5 3 2 3" xfId="44688"/>
    <cellStyle name="输入 2 2 2 3 5 3 3" xfId="35283"/>
    <cellStyle name="输入 2 2 2 3 5 3 4" xfId="44687"/>
    <cellStyle name="输入 2 2 2 3 5 4" xfId="15434"/>
    <cellStyle name="输入 2 2 2 3 5 4 2" xfId="8413"/>
    <cellStyle name="输入 2 2 2 3 5 4 2 2" xfId="35286"/>
    <cellStyle name="输入 2 2 2 3 5 4 2 3" xfId="44690"/>
    <cellStyle name="输入 2 2 2 3 5 4 3" xfId="35285"/>
    <cellStyle name="输入 2 2 2 3 5 4 4" xfId="44689"/>
    <cellStyle name="输入 2 2 2 3 5 5" xfId="35287"/>
    <cellStyle name="输入 2 2 2 3 5 5 2" xfId="44691"/>
    <cellStyle name="输入 2 2 2 3 5 6" xfId="35276"/>
    <cellStyle name="输入 2 2 2 3 5 7" xfId="44680"/>
    <cellStyle name="输入 2 2 2 3 6" xfId="15435"/>
    <cellStyle name="输入 2 2 2 3 6 2" xfId="15436"/>
    <cellStyle name="输入 2 2 2 3 6 2 2" xfId="8414"/>
    <cellStyle name="输入 2 2 2 3 6 2 2 2" xfId="35290"/>
    <cellStyle name="输入 2 2 2 3 6 2 2 3" xfId="44694"/>
    <cellStyle name="输入 2 2 2 3 6 2 3" xfId="35289"/>
    <cellStyle name="输入 2 2 2 3 6 2 4" xfId="44693"/>
    <cellStyle name="输入 2 2 2 3 6 3" xfId="15437"/>
    <cellStyle name="输入 2 2 2 3 6 3 2" xfId="8415"/>
    <cellStyle name="输入 2 2 2 3 6 3 2 2" xfId="35292"/>
    <cellStyle name="输入 2 2 2 3 6 3 2 3" xfId="44696"/>
    <cellStyle name="输入 2 2 2 3 6 3 3" xfId="35291"/>
    <cellStyle name="输入 2 2 2 3 6 3 4" xfId="44695"/>
    <cellStyle name="输入 2 2 2 3 6 4" xfId="18553"/>
    <cellStyle name="输入 2 2 2 3 6 4 2" xfId="35293"/>
    <cellStyle name="输入 2 2 2 3 6 4 3" xfId="44697"/>
    <cellStyle name="输入 2 2 2 3 6 5" xfId="35288"/>
    <cellStyle name="输入 2 2 2 3 6 6" xfId="44692"/>
    <cellStyle name="输入 2 2 2 3 7" xfId="15438"/>
    <cellStyle name="输入 2 2 2 3 7 2" xfId="8416"/>
    <cellStyle name="输入 2 2 2 3 7 2 2" xfId="35295"/>
    <cellStyle name="输入 2 2 2 3 7 2 3" xfId="44699"/>
    <cellStyle name="输入 2 2 2 3 7 3" xfId="35294"/>
    <cellStyle name="输入 2 2 2 3 7 4" xfId="44698"/>
    <cellStyle name="输入 2 2 2 3 8" xfId="15439"/>
    <cellStyle name="输入 2 2 2 3 8 2" xfId="8417"/>
    <cellStyle name="输入 2 2 2 3 8 2 2" xfId="35297"/>
    <cellStyle name="输入 2 2 2 3 8 2 3" xfId="44701"/>
    <cellStyle name="输入 2 2 2 3 8 3" xfId="35296"/>
    <cellStyle name="输入 2 2 2 3 8 4" xfId="44700"/>
    <cellStyle name="输入 2 2 2 3 9" xfId="35298"/>
    <cellStyle name="输入 2 2 2 3 9 2" xfId="44702"/>
    <cellStyle name="输入 2 2 2 4" xfId="10355"/>
    <cellStyle name="输入 2 2 2 4 10" xfId="35299"/>
    <cellStyle name="输入 2 2 2 4 11" xfId="44703"/>
    <cellStyle name="输入 2 2 2 4 2" xfId="10356"/>
    <cellStyle name="输入 2 2 2 4 2 2" xfId="15440"/>
    <cellStyle name="输入 2 2 2 4 2 2 2" xfId="15441"/>
    <cellStyle name="输入 2 2 2 4 2 2 2 2" xfId="20695"/>
    <cellStyle name="输入 2 2 2 4 2 2 2 2 2" xfId="35303"/>
    <cellStyle name="输入 2 2 2 4 2 2 2 2 3" xfId="44707"/>
    <cellStyle name="输入 2 2 2 4 2 2 2 3" xfId="35302"/>
    <cellStyle name="输入 2 2 2 4 2 2 2 4" xfId="44706"/>
    <cellStyle name="输入 2 2 2 4 2 2 3" xfId="15442"/>
    <cellStyle name="输入 2 2 2 4 2 2 3 2" xfId="8419"/>
    <cellStyle name="输入 2 2 2 4 2 2 3 2 2" xfId="35305"/>
    <cellStyle name="输入 2 2 2 4 2 2 3 2 3" xfId="44709"/>
    <cellStyle name="输入 2 2 2 4 2 2 3 3" xfId="35304"/>
    <cellStyle name="输入 2 2 2 4 2 2 3 4" xfId="44708"/>
    <cellStyle name="输入 2 2 2 4 2 2 4" xfId="8418"/>
    <cellStyle name="输入 2 2 2 4 2 2 4 2" xfId="35306"/>
    <cellStyle name="输入 2 2 2 4 2 2 4 3" xfId="44710"/>
    <cellStyle name="输入 2 2 2 4 2 2 5" xfId="35301"/>
    <cellStyle name="输入 2 2 2 4 2 2 6" xfId="44705"/>
    <cellStyle name="输入 2 2 2 4 2 3" xfId="15443"/>
    <cellStyle name="输入 2 2 2 4 2 3 2" xfId="8420"/>
    <cellStyle name="输入 2 2 2 4 2 3 2 2" xfId="35308"/>
    <cellStyle name="输入 2 2 2 4 2 3 2 3" xfId="44712"/>
    <cellStyle name="输入 2 2 2 4 2 3 3" xfId="35307"/>
    <cellStyle name="输入 2 2 2 4 2 3 4" xfId="44711"/>
    <cellStyle name="输入 2 2 2 4 2 4" xfId="15444"/>
    <cellStyle name="输入 2 2 2 4 2 4 2" xfId="8421"/>
    <cellStyle name="输入 2 2 2 4 2 4 2 2" xfId="35310"/>
    <cellStyle name="输入 2 2 2 4 2 4 2 3" xfId="44714"/>
    <cellStyle name="输入 2 2 2 4 2 4 3" xfId="35309"/>
    <cellStyle name="输入 2 2 2 4 2 4 4" xfId="44713"/>
    <cellStyle name="输入 2 2 2 4 2 5" xfId="35311"/>
    <cellStyle name="输入 2 2 2 4 2 5 2" xfId="44715"/>
    <cellStyle name="输入 2 2 2 4 2 6" xfId="35300"/>
    <cellStyle name="输入 2 2 2 4 2 7" xfId="44704"/>
    <cellStyle name="输入 2 2 2 4 3" xfId="10357"/>
    <cellStyle name="输入 2 2 2 4 3 2" xfId="15445"/>
    <cellStyle name="输入 2 2 2 4 3 2 2" xfId="15446"/>
    <cellStyle name="输入 2 2 2 4 3 2 2 2" xfId="8423"/>
    <cellStyle name="输入 2 2 2 4 3 2 2 2 2" xfId="35315"/>
    <cellStyle name="输入 2 2 2 4 3 2 2 2 3" xfId="44719"/>
    <cellStyle name="输入 2 2 2 4 3 2 2 3" xfId="35314"/>
    <cellStyle name="输入 2 2 2 4 3 2 2 4" xfId="44718"/>
    <cellStyle name="输入 2 2 2 4 3 2 3" xfId="15447"/>
    <cellStyle name="输入 2 2 2 4 3 2 3 2" xfId="20694"/>
    <cellStyle name="输入 2 2 2 4 3 2 3 2 2" xfId="35317"/>
    <cellStyle name="输入 2 2 2 4 3 2 3 2 3" xfId="44721"/>
    <cellStyle name="输入 2 2 2 4 3 2 3 3" xfId="35316"/>
    <cellStyle name="输入 2 2 2 4 3 2 3 4" xfId="44720"/>
    <cellStyle name="输入 2 2 2 4 3 2 4" xfId="8422"/>
    <cellStyle name="输入 2 2 2 4 3 2 4 2" xfId="35318"/>
    <cellStyle name="输入 2 2 2 4 3 2 4 3" xfId="44722"/>
    <cellStyle name="输入 2 2 2 4 3 2 5" xfId="35313"/>
    <cellStyle name="输入 2 2 2 4 3 2 6" xfId="44717"/>
    <cellStyle name="输入 2 2 2 4 3 3" xfId="15448"/>
    <cellStyle name="输入 2 2 2 4 3 3 2" xfId="8424"/>
    <cellStyle name="输入 2 2 2 4 3 3 2 2" xfId="35320"/>
    <cellStyle name="输入 2 2 2 4 3 3 2 3" xfId="44724"/>
    <cellStyle name="输入 2 2 2 4 3 3 3" xfId="35319"/>
    <cellStyle name="输入 2 2 2 4 3 3 4" xfId="44723"/>
    <cellStyle name="输入 2 2 2 4 3 4" xfId="15449"/>
    <cellStyle name="输入 2 2 2 4 3 4 2" xfId="8425"/>
    <cellStyle name="输入 2 2 2 4 3 4 2 2" xfId="35322"/>
    <cellStyle name="输入 2 2 2 4 3 4 2 3" xfId="44726"/>
    <cellStyle name="输入 2 2 2 4 3 4 3" xfId="35321"/>
    <cellStyle name="输入 2 2 2 4 3 4 4" xfId="44725"/>
    <cellStyle name="输入 2 2 2 4 3 5" xfId="35323"/>
    <cellStyle name="输入 2 2 2 4 3 5 2" xfId="44727"/>
    <cellStyle name="输入 2 2 2 4 3 6" xfId="35312"/>
    <cellStyle name="输入 2 2 2 4 3 7" xfId="44716"/>
    <cellStyle name="输入 2 2 2 4 4" xfId="10358"/>
    <cellStyle name="输入 2 2 2 4 4 2" xfId="15450"/>
    <cellStyle name="输入 2 2 2 4 4 2 2" xfId="15451"/>
    <cellStyle name="输入 2 2 2 4 4 2 2 2" xfId="8427"/>
    <cellStyle name="输入 2 2 2 4 4 2 2 2 2" xfId="35327"/>
    <cellStyle name="输入 2 2 2 4 4 2 2 2 3" xfId="44731"/>
    <cellStyle name="输入 2 2 2 4 4 2 2 3" xfId="35326"/>
    <cellStyle name="输入 2 2 2 4 4 2 2 4" xfId="44730"/>
    <cellStyle name="输入 2 2 2 4 4 2 3" xfId="15452"/>
    <cellStyle name="输入 2 2 2 4 4 2 3 2" xfId="8428"/>
    <cellStyle name="输入 2 2 2 4 4 2 3 2 2" xfId="35329"/>
    <cellStyle name="输入 2 2 2 4 4 2 3 2 3" xfId="44733"/>
    <cellStyle name="输入 2 2 2 4 4 2 3 3" xfId="35328"/>
    <cellStyle name="输入 2 2 2 4 4 2 3 4" xfId="44732"/>
    <cellStyle name="输入 2 2 2 4 4 2 4" xfId="8426"/>
    <cellStyle name="输入 2 2 2 4 4 2 4 2" xfId="35330"/>
    <cellStyle name="输入 2 2 2 4 4 2 4 3" xfId="44734"/>
    <cellStyle name="输入 2 2 2 4 4 2 5" xfId="35325"/>
    <cellStyle name="输入 2 2 2 4 4 2 6" xfId="44729"/>
    <cellStyle name="输入 2 2 2 4 4 3" xfId="15453"/>
    <cellStyle name="输入 2 2 2 4 4 3 2" xfId="8429"/>
    <cellStyle name="输入 2 2 2 4 4 3 2 2" xfId="35332"/>
    <cellStyle name="输入 2 2 2 4 4 3 2 3" xfId="44736"/>
    <cellStyle name="输入 2 2 2 4 4 3 3" xfId="35331"/>
    <cellStyle name="输入 2 2 2 4 4 3 4" xfId="44735"/>
    <cellStyle name="输入 2 2 2 4 4 4" xfId="15454"/>
    <cellStyle name="输入 2 2 2 4 4 4 2" xfId="8430"/>
    <cellStyle name="输入 2 2 2 4 4 4 2 2" xfId="35334"/>
    <cellStyle name="输入 2 2 2 4 4 4 2 3" xfId="44738"/>
    <cellStyle name="输入 2 2 2 4 4 4 3" xfId="35333"/>
    <cellStyle name="输入 2 2 2 4 4 4 4" xfId="44737"/>
    <cellStyle name="输入 2 2 2 4 4 5" xfId="35335"/>
    <cellStyle name="输入 2 2 2 4 4 5 2" xfId="44739"/>
    <cellStyle name="输入 2 2 2 4 4 6" xfId="35324"/>
    <cellStyle name="输入 2 2 2 4 4 7" xfId="44728"/>
    <cellStyle name="输入 2 2 2 4 5" xfId="10359"/>
    <cellStyle name="输入 2 2 2 4 5 2" xfId="15455"/>
    <cellStyle name="输入 2 2 2 4 5 2 2" xfId="15456"/>
    <cellStyle name="输入 2 2 2 4 5 2 2 2" xfId="8432"/>
    <cellStyle name="输入 2 2 2 4 5 2 2 2 2" xfId="35339"/>
    <cellStyle name="输入 2 2 2 4 5 2 2 2 3" xfId="44743"/>
    <cellStyle name="输入 2 2 2 4 5 2 2 3" xfId="35338"/>
    <cellStyle name="输入 2 2 2 4 5 2 2 4" xfId="44742"/>
    <cellStyle name="输入 2 2 2 4 5 2 3" xfId="15457"/>
    <cellStyle name="输入 2 2 2 4 5 2 3 2" xfId="8433"/>
    <cellStyle name="输入 2 2 2 4 5 2 3 2 2" xfId="35341"/>
    <cellStyle name="输入 2 2 2 4 5 2 3 2 3" xfId="44745"/>
    <cellStyle name="输入 2 2 2 4 5 2 3 3" xfId="35340"/>
    <cellStyle name="输入 2 2 2 4 5 2 3 4" xfId="44744"/>
    <cellStyle name="输入 2 2 2 4 5 2 4" xfId="8431"/>
    <cellStyle name="输入 2 2 2 4 5 2 4 2" xfId="35342"/>
    <cellStyle name="输入 2 2 2 4 5 2 4 3" xfId="44746"/>
    <cellStyle name="输入 2 2 2 4 5 2 5" xfId="35337"/>
    <cellStyle name="输入 2 2 2 4 5 2 6" xfId="44741"/>
    <cellStyle name="输入 2 2 2 4 5 3" xfId="15458"/>
    <cellStyle name="输入 2 2 2 4 5 3 2" xfId="20693"/>
    <cellStyle name="输入 2 2 2 4 5 3 2 2" xfId="35344"/>
    <cellStyle name="输入 2 2 2 4 5 3 2 3" xfId="44748"/>
    <cellStyle name="输入 2 2 2 4 5 3 3" xfId="35343"/>
    <cellStyle name="输入 2 2 2 4 5 3 4" xfId="44747"/>
    <cellStyle name="输入 2 2 2 4 5 4" xfId="15459"/>
    <cellStyle name="输入 2 2 2 4 5 4 2" xfId="20692"/>
    <cellStyle name="输入 2 2 2 4 5 4 2 2" xfId="35346"/>
    <cellStyle name="输入 2 2 2 4 5 4 2 3" xfId="44750"/>
    <cellStyle name="输入 2 2 2 4 5 4 3" xfId="35345"/>
    <cellStyle name="输入 2 2 2 4 5 4 4" xfId="44749"/>
    <cellStyle name="输入 2 2 2 4 5 5" xfId="35347"/>
    <cellStyle name="输入 2 2 2 4 5 5 2" xfId="44751"/>
    <cellStyle name="输入 2 2 2 4 5 6" xfId="35336"/>
    <cellStyle name="输入 2 2 2 4 5 7" xfId="44740"/>
    <cellStyle name="输入 2 2 2 4 6" xfId="15460"/>
    <cellStyle name="输入 2 2 2 4 6 2" xfId="15461"/>
    <cellStyle name="输入 2 2 2 4 6 2 2" xfId="8434"/>
    <cellStyle name="输入 2 2 2 4 6 2 2 2" xfId="35350"/>
    <cellStyle name="输入 2 2 2 4 6 2 2 3" xfId="44754"/>
    <cellStyle name="输入 2 2 2 4 6 2 3" xfId="35349"/>
    <cellStyle name="输入 2 2 2 4 6 2 4" xfId="44753"/>
    <cellStyle name="输入 2 2 2 4 6 3" xfId="15462"/>
    <cellStyle name="输入 2 2 2 4 6 3 2" xfId="8435"/>
    <cellStyle name="输入 2 2 2 4 6 3 2 2" xfId="35352"/>
    <cellStyle name="输入 2 2 2 4 6 3 2 3" xfId="44756"/>
    <cellStyle name="输入 2 2 2 4 6 3 3" xfId="35351"/>
    <cellStyle name="输入 2 2 2 4 6 3 4" xfId="44755"/>
    <cellStyle name="输入 2 2 2 4 6 4" xfId="20691"/>
    <cellStyle name="输入 2 2 2 4 6 4 2" xfId="35353"/>
    <cellStyle name="输入 2 2 2 4 6 4 3" xfId="44757"/>
    <cellStyle name="输入 2 2 2 4 6 5" xfId="35348"/>
    <cellStyle name="输入 2 2 2 4 6 6" xfId="44752"/>
    <cellStyle name="输入 2 2 2 4 7" xfId="15463"/>
    <cellStyle name="输入 2 2 2 4 7 2" xfId="8436"/>
    <cellStyle name="输入 2 2 2 4 7 2 2" xfId="35355"/>
    <cellStyle name="输入 2 2 2 4 7 2 3" xfId="44759"/>
    <cellStyle name="输入 2 2 2 4 7 3" xfId="35354"/>
    <cellStyle name="输入 2 2 2 4 7 4" xfId="44758"/>
    <cellStyle name="输入 2 2 2 4 8" xfId="15464"/>
    <cellStyle name="输入 2 2 2 4 8 2" xfId="8437"/>
    <cellStyle name="输入 2 2 2 4 8 2 2" xfId="35357"/>
    <cellStyle name="输入 2 2 2 4 8 2 3" xfId="44761"/>
    <cellStyle name="输入 2 2 2 4 8 3" xfId="35356"/>
    <cellStyle name="输入 2 2 2 4 8 4" xfId="44760"/>
    <cellStyle name="输入 2 2 2 4 9" xfId="35358"/>
    <cellStyle name="输入 2 2 2 4 9 2" xfId="44762"/>
    <cellStyle name="输入 2 2 2 5" xfId="10360"/>
    <cellStyle name="输入 2 2 2 5 10" xfId="35359"/>
    <cellStyle name="输入 2 2 2 5 11" xfId="44763"/>
    <cellStyle name="输入 2 2 2 5 2" xfId="10361"/>
    <cellStyle name="输入 2 2 2 5 2 2" xfId="15465"/>
    <cellStyle name="输入 2 2 2 5 2 2 2" xfId="15466"/>
    <cellStyle name="输入 2 2 2 5 2 2 2 2" xfId="18552"/>
    <cellStyle name="输入 2 2 2 5 2 2 2 2 2" xfId="35363"/>
    <cellStyle name="输入 2 2 2 5 2 2 2 2 3" xfId="44767"/>
    <cellStyle name="输入 2 2 2 5 2 2 2 3" xfId="35362"/>
    <cellStyle name="输入 2 2 2 5 2 2 2 4" xfId="44766"/>
    <cellStyle name="输入 2 2 2 5 2 2 3" xfId="15467"/>
    <cellStyle name="输入 2 2 2 5 2 2 3 2" xfId="8439"/>
    <cellStyle name="输入 2 2 2 5 2 2 3 2 2" xfId="35365"/>
    <cellStyle name="输入 2 2 2 5 2 2 3 2 3" xfId="44769"/>
    <cellStyle name="输入 2 2 2 5 2 2 3 3" xfId="35364"/>
    <cellStyle name="输入 2 2 2 5 2 2 3 4" xfId="44768"/>
    <cellStyle name="输入 2 2 2 5 2 2 4" xfId="8438"/>
    <cellStyle name="输入 2 2 2 5 2 2 4 2" xfId="35366"/>
    <cellStyle name="输入 2 2 2 5 2 2 4 3" xfId="44770"/>
    <cellStyle name="输入 2 2 2 5 2 2 5" xfId="35361"/>
    <cellStyle name="输入 2 2 2 5 2 2 6" xfId="44765"/>
    <cellStyle name="输入 2 2 2 5 2 3" xfId="15468"/>
    <cellStyle name="输入 2 2 2 5 2 3 2" xfId="8440"/>
    <cellStyle name="输入 2 2 2 5 2 3 2 2" xfId="35368"/>
    <cellStyle name="输入 2 2 2 5 2 3 2 3" xfId="44772"/>
    <cellStyle name="输入 2 2 2 5 2 3 3" xfId="35367"/>
    <cellStyle name="输入 2 2 2 5 2 3 4" xfId="44771"/>
    <cellStyle name="输入 2 2 2 5 2 4" xfId="15469"/>
    <cellStyle name="输入 2 2 2 5 2 4 2" xfId="8441"/>
    <cellStyle name="输入 2 2 2 5 2 4 2 2" xfId="35370"/>
    <cellStyle name="输入 2 2 2 5 2 4 2 3" xfId="44774"/>
    <cellStyle name="输入 2 2 2 5 2 4 3" xfId="35369"/>
    <cellStyle name="输入 2 2 2 5 2 4 4" xfId="44773"/>
    <cellStyle name="输入 2 2 2 5 2 5" xfId="35371"/>
    <cellStyle name="输入 2 2 2 5 2 5 2" xfId="44775"/>
    <cellStyle name="输入 2 2 2 5 2 6" xfId="35360"/>
    <cellStyle name="输入 2 2 2 5 2 7" xfId="44764"/>
    <cellStyle name="输入 2 2 2 5 3" xfId="10362"/>
    <cellStyle name="输入 2 2 2 5 3 2" xfId="15470"/>
    <cellStyle name="输入 2 2 2 5 3 2 2" xfId="15471"/>
    <cellStyle name="输入 2 2 2 5 3 2 2 2" xfId="8443"/>
    <cellStyle name="输入 2 2 2 5 3 2 2 2 2" xfId="35375"/>
    <cellStyle name="输入 2 2 2 5 3 2 2 2 3" xfId="44779"/>
    <cellStyle name="输入 2 2 2 5 3 2 2 3" xfId="35374"/>
    <cellStyle name="输入 2 2 2 5 3 2 2 4" xfId="44778"/>
    <cellStyle name="输入 2 2 2 5 3 2 3" xfId="15472"/>
    <cellStyle name="输入 2 2 2 5 3 2 3 2" xfId="18551"/>
    <cellStyle name="输入 2 2 2 5 3 2 3 2 2" xfId="35377"/>
    <cellStyle name="输入 2 2 2 5 3 2 3 2 3" xfId="44781"/>
    <cellStyle name="输入 2 2 2 5 3 2 3 3" xfId="35376"/>
    <cellStyle name="输入 2 2 2 5 3 2 3 4" xfId="44780"/>
    <cellStyle name="输入 2 2 2 5 3 2 4" xfId="8442"/>
    <cellStyle name="输入 2 2 2 5 3 2 4 2" xfId="35378"/>
    <cellStyle name="输入 2 2 2 5 3 2 4 3" xfId="44782"/>
    <cellStyle name="输入 2 2 2 5 3 2 5" xfId="35373"/>
    <cellStyle name="输入 2 2 2 5 3 2 6" xfId="44777"/>
    <cellStyle name="输入 2 2 2 5 3 3" xfId="15473"/>
    <cellStyle name="输入 2 2 2 5 3 3 2" xfId="8444"/>
    <cellStyle name="输入 2 2 2 5 3 3 2 2" xfId="35380"/>
    <cellStyle name="输入 2 2 2 5 3 3 2 3" xfId="44784"/>
    <cellStyle name="输入 2 2 2 5 3 3 3" xfId="35379"/>
    <cellStyle name="输入 2 2 2 5 3 3 4" xfId="44783"/>
    <cellStyle name="输入 2 2 2 5 3 4" xfId="15474"/>
    <cellStyle name="输入 2 2 2 5 3 4 2" xfId="8445"/>
    <cellStyle name="输入 2 2 2 5 3 4 2 2" xfId="35382"/>
    <cellStyle name="输入 2 2 2 5 3 4 2 3" xfId="44786"/>
    <cellStyle name="输入 2 2 2 5 3 4 3" xfId="35381"/>
    <cellStyle name="输入 2 2 2 5 3 4 4" xfId="44785"/>
    <cellStyle name="输入 2 2 2 5 3 5" xfId="35383"/>
    <cellStyle name="输入 2 2 2 5 3 5 2" xfId="44787"/>
    <cellStyle name="输入 2 2 2 5 3 6" xfId="35372"/>
    <cellStyle name="输入 2 2 2 5 3 7" xfId="44776"/>
    <cellStyle name="输入 2 2 2 5 4" xfId="10363"/>
    <cellStyle name="输入 2 2 2 5 4 2" xfId="15475"/>
    <cellStyle name="输入 2 2 2 5 4 2 2" xfId="15476"/>
    <cellStyle name="输入 2 2 2 5 4 2 2 2" xfId="8447"/>
    <cellStyle name="输入 2 2 2 5 4 2 2 2 2" xfId="35387"/>
    <cellStyle name="输入 2 2 2 5 4 2 2 2 3" xfId="44791"/>
    <cellStyle name="输入 2 2 2 5 4 2 2 3" xfId="35386"/>
    <cellStyle name="输入 2 2 2 5 4 2 2 4" xfId="44790"/>
    <cellStyle name="输入 2 2 2 5 4 2 3" xfId="15477"/>
    <cellStyle name="输入 2 2 2 5 4 2 3 2" xfId="8448"/>
    <cellStyle name="输入 2 2 2 5 4 2 3 2 2" xfId="35389"/>
    <cellStyle name="输入 2 2 2 5 4 2 3 2 3" xfId="44793"/>
    <cellStyle name="输入 2 2 2 5 4 2 3 3" xfId="35388"/>
    <cellStyle name="输入 2 2 2 5 4 2 3 4" xfId="44792"/>
    <cellStyle name="输入 2 2 2 5 4 2 4" xfId="8446"/>
    <cellStyle name="输入 2 2 2 5 4 2 4 2" xfId="35390"/>
    <cellStyle name="输入 2 2 2 5 4 2 4 3" xfId="44794"/>
    <cellStyle name="输入 2 2 2 5 4 2 5" xfId="35385"/>
    <cellStyle name="输入 2 2 2 5 4 2 6" xfId="44789"/>
    <cellStyle name="输入 2 2 2 5 4 3" xfId="15478"/>
    <cellStyle name="输入 2 2 2 5 4 3 2" xfId="20690"/>
    <cellStyle name="输入 2 2 2 5 4 3 2 2" xfId="35392"/>
    <cellStyle name="输入 2 2 2 5 4 3 2 3" xfId="44796"/>
    <cellStyle name="输入 2 2 2 5 4 3 3" xfId="35391"/>
    <cellStyle name="输入 2 2 2 5 4 3 4" xfId="44795"/>
    <cellStyle name="输入 2 2 2 5 4 4" xfId="15479"/>
    <cellStyle name="输入 2 2 2 5 4 4 2" xfId="8449"/>
    <cellStyle name="输入 2 2 2 5 4 4 2 2" xfId="35394"/>
    <cellStyle name="输入 2 2 2 5 4 4 2 3" xfId="44798"/>
    <cellStyle name="输入 2 2 2 5 4 4 3" xfId="35393"/>
    <cellStyle name="输入 2 2 2 5 4 4 4" xfId="44797"/>
    <cellStyle name="输入 2 2 2 5 4 5" xfId="35395"/>
    <cellStyle name="输入 2 2 2 5 4 5 2" xfId="44799"/>
    <cellStyle name="输入 2 2 2 5 4 6" xfId="35384"/>
    <cellStyle name="输入 2 2 2 5 4 7" xfId="44788"/>
    <cellStyle name="输入 2 2 2 5 5" xfId="10364"/>
    <cellStyle name="输入 2 2 2 5 5 2" xfId="15480"/>
    <cellStyle name="输入 2 2 2 5 5 2 2" xfId="15481"/>
    <cellStyle name="输入 2 2 2 5 5 2 2 2" xfId="8451"/>
    <cellStyle name="输入 2 2 2 5 5 2 2 2 2" xfId="35399"/>
    <cellStyle name="输入 2 2 2 5 5 2 2 2 3" xfId="44803"/>
    <cellStyle name="输入 2 2 2 5 5 2 2 3" xfId="35398"/>
    <cellStyle name="输入 2 2 2 5 5 2 2 4" xfId="44802"/>
    <cellStyle name="输入 2 2 2 5 5 2 3" xfId="15482"/>
    <cellStyle name="输入 2 2 2 5 5 2 3 2" xfId="8452"/>
    <cellStyle name="输入 2 2 2 5 5 2 3 2 2" xfId="35401"/>
    <cellStyle name="输入 2 2 2 5 5 2 3 2 3" xfId="44805"/>
    <cellStyle name="输入 2 2 2 5 5 2 3 3" xfId="35400"/>
    <cellStyle name="输入 2 2 2 5 5 2 3 4" xfId="44804"/>
    <cellStyle name="输入 2 2 2 5 5 2 4" xfId="8450"/>
    <cellStyle name="输入 2 2 2 5 5 2 4 2" xfId="35402"/>
    <cellStyle name="输入 2 2 2 5 5 2 4 3" xfId="44806"/>
    <cellStyle name="输入 2 2 2 5 5 2 5" xfId="35397"/>
    <cellStyle name="输入 2 2 2 5 5 2 6" xfId="44801"/>
    <cellStyle name="输入 2 2 2 5 5 3" xfId="15483"/>
    <cellStyle name="输入 2 2 2 5 5 3 2" xfId="8453"/>
    <cellStyle name="输入 2 2 2 5 5 3 2 2" xfId="35404"/>
    <cellStyle name="输入 2 2 2 5 5 3 2 3" xfId="44808"/>
    <cellStyle name="输入 2 2 2 5 5 3 3" xfId="35403"/>
    <cellStyle name="输入 2 2 2 5 5 3 4" xfId="44807"/>
    <cellStyle name="输入 2 2 2 5 5 4" xfId="15484"/>
    <cellStyle name="输入 2 2 2 5 5 4 2" xfId="8454"/>
    <cellStyle name="输入 2 2 2 5 5 4 2 2" xfId="35406"/>
    <cellStyle name="输入 2 2 2 5 5 4 2 3" xfId="44810"/>
    <cellStyle name="输入 2 2 2 5 5 4 3" xfId="35405"/>
    <cellStyle name="输入 2 2 2 5 5 4 4" xfId="44809"/>
    <cellStyle name="输入 2 2 2 5 5 5" xfId="35407"/>
    <cellStyle name="输入 2 2 2 5 5 5 2" xfId="44811"/>
    <cellStyle name="输入 2 2 2 5 5 6" xfId="35396"/>
    <cellStyle name="输入 2 2 2 5 5 7" xfId="44800"/>
    <cellStyle name="输入 2 2 2 5 6" xfId="15485"/>
    <cellStyle name="输入 2 2 2 5 6 2" xfId="15486"/>
    <cellStyle name="输入 2 2 2 5 6 2 2" xfId="8456"/>
    <cellStyle name="输入 2 2 2 5 6 2 2 2" xfId="35410"/>
    <cellStyle name="输入 2 2 2 5 6 2 2 3" xfId="44814"/>
    <cellStyle name="输入 2 2 2 5 6 2 3" xfId="35409"/>
    <cellStyle name="输入 2 2 2 5 6 2 4" xfId="44813"/>
    <cellStyle name="输入 2 2 2 5 6 3" xfId="15487"/>
    <cellStyle name="输入 2 2 2 5 6 3 2" xfId="8457"/>
    <cellStyle name="输入 2 2 2 5 6 3 2 2" xfId="35412"/>
    <cellStyle name="输入 2 2 2 5 6 3 2 3" xfId="44816"/>
    <cellStyle name="输入 2 2 2 5 6 3 3" xfId="35411"/>
    <cellStyle name="输入 2 2 2 5 6 3 4" xfId="44815"/>
    <cellStyle name="输入 2 2 2 5 6 4" xfId="8455"/>
    <cellStyle name="输入 2 2 2 5 6 4 2" xfId="35413"/>
    <cellStyle name="输入 2 2 2 5 6 4 3" xfId="44817"/>
    <cellStyle name="输入 2 2 2 5 6 5" xfId="35408"/>
    <cellStyle name="输入 2 2 2 5 6 6" xfId="44812"/>
    <cellStyle name="输入 2 2 2 5 7" xfId="15488"/>
    <cellStyle name="输入 2 2 2 5 7 2" xfId="8458"/>
    <cellStyle name="输入 2 2 2 5 7 2 2" xfId="35415"/>
    <cellStyle name="输入 2 2 2 5 7 2 3" xfId="44819"/>
    <cellStyle name="输入 2 2 2 5 7 3" xfId="35414"/>
    <cellStyle name="输入 2 2 2 5 7 4" xfId="44818"/>
    <cellStyle name="输入 2 2 2 5 8" xfId="15489"/>
    <cellStyle name="输入 2 2 2 5 8 2" xfId="20689"/>
    <cellStyle name="输入 2 2 2 5 8 2 2" xfId="35417"/>
    <cellStyle name="输入 2 2 2 5 8 2 3" xfId="44821"/>
    <cellStyle name="输入 2 2 2 5 8 3" xfId="35416"/>
    <cellStyle name="输入 2 2 2 5 8 4" xfId="44820"/>
    <cellStyle name="输入 2 2 2 5 9" xfId="35418"/>
    <cellStyle name="输入 2 2 2 5 9 2" xfId="44822"/>
    <cellStyle name="输入 2 2 2 6" xfId="10365"/>
    <cellStyle name="输入 2 2 2 6 10" xfId="35419"/>
    <cellStyle name="输入 2 2 2 6 11" xfId="44823"/>
    <cellStyle name="输入 2 2 2 6 2" xfId="10366"/>
    <cellStyle name="输入 2 2 2 6 2 2" xfId="15490"/>
    <cellStyle name="输入 2 2 2 6 2 2 2" xfId="15491"/>
    <cellStyle name="输入 2 2 2 6 2 2 2 2" xfId="8459"/>
    <cellStyle name="输入 2 2 2 6 2 2 2 2 2" xfId="35423"/>
    <cellStyle name="输入 2 2 2 6 2 2 2 2 3" xfId="44827"/>
    <cellStyle name="输入 2 2 2 6 2 2 2 3" xfId="35422"/>
    <cellStyle name="输入 2 2 2 6 2 2 2 4" xfId="44826"/>
    <cellStyle name="输入 2 2 2 6 2 2 3" xfId="15492"/>
    <cellStyle name="输入 2 2 2 6 2 2 3 2" xfId="8460"/>
    <cellStyle name="输入 2 2 2 6 2 2 3 2 2" xfId="35425"/>
    <cellStyle name="输入 2 2 2 6 2 2 3 2 3" xfId="44829"/>
    <cellStyle name="输入 2 2 2 6 2 2 3 3" xfId="35424"/>
    <cellStyle name="输入 2 2 2 6 2 2 3 4" xfId="44828"/>
    <cellStyle name="输入 2 2 2 6 2 2 4" xfId="20688"/>
    <cellStyle name="输入 2 2 2 6 2 2 4 2" xfId="35426"/>
    <cellStyle name="输入 2 2 2 6 2 2 4 3" xfId="44830"/>
    <cellStyle name="输入 2 2 2 6 2 2 5" xfId="35421"/>
    <cellStyle name="输入 2 2 2 6 2 2 6" xfId="44825"/>
    <cellStyle name="输入 2 2 2 6 2 3" xfId="15493"/>
    <cellStyle name="输入 2 2 2 6 2 3 2" xfId="8461"/>
    <cellStyle name="输入 2 2 2 6 2 3 2 2" xfId="35428"/>
    <cellStyle name="输入 2 2 2 6 2 3 2 3" xfId="44832"/>
    <cellStyle name="输入 2 2 2 6 2 3 3" xfId="35427"/>
    <cellStyle name="输入 2 2 2 6 2 3 4" xfId="44831"/>
    <cellStyle name="输入 2 2 2 6 2 4" xfId="15494"/>
    <cellStyle name="输入 2 2 2 6 2 4 2" xfId="8462"/>
    <cellStyle name="输入 2 2 2 6 2 4 2 2" xfId="35430"/>
    <cellStyle name="输入 2 2 2 6 2 4 2 3" xfId="44834"/>
    <cellStyle name="输入 2 2 2 6 2 4 3" xfId="35429"/>
    <cellStyle name="输入 2 2 2 6 2 4 4" xfId="44833"/>
    <cellStyle name="输入 2 2 2 6 2 5" xfId="35431"/>
    <cellStyle name="输入 2 2 2 6 2 5 2" xfId="44835"/>
    <cellStyle name="输入 2 2 2 6 2 6" xfId="35420"/>
    <cellStyle name="输入 2 2 2 6 2 7" xfId="44824"/>
    <cellStyle name="输入 2 2 2 6 3" xfId="10367"/>
    <cellStyle name="输入 2 2 2 6 3 2" xfId="15495"/>
    <cellStyle name="输入 2 2 2 6 3 2 2" xfId="15496"/>
    <cellStyle name="输入 2 2 2 6 3 2 2 2" xfId="20687"/>
    <cellStyle name="输入 2 2 2 6 3 2 2 2 2" xfId="35435"/>
    <cellStyle name="输入 2 2 2 6 3 2 2 2 3" xfId="44839"/>
    <cellStyle name="输入 2 2 2 6 3 2 2 3" xfId="35434"/>
    <cellStyle name="输入 2 2 2 6 3 2 2 4" xfId="44838"/>
    <cellStyle name="输入 2 2 2 6 3 2 3" xfId="15497"/>
    <cellStyle name="输入 2 2 2 6 3 2 3 2" xfId="8464"/>
    <cellStyle name="输入 2 2 2 6 3 2 3 2 2" xfId="35437"/>
    <cellStyle name="输入 2 2 2 6 3 2 3 2 3" xfId="44841"/>
    <cellStyle name="输入 2 2 2 6 3 2 3 3" xfId="35436"/>
    <cellStyle name="输入 2 2 2 6 3 2 3 4" xfId="44840"/>
    <cellStyle name="输入 2 2 2 6 3 2 4" xfId="8463"/>
    <cellStyle name="输入 2 2 2 6 3 2 4 2" xfId="35438"/>
    <cellStyle name="输入 2 2 2 6 3 2 4 3" xfId="44842"/>
    <cellStyle name="输入 2 2 2 6 3 2 5" xfId="35433"/>
    <cellStyle name="输入 2 2 2 6 3 2 6" xfId="44837"/>
    <cellStyle name="输入 2 2 2 6 3 3" xfId="15498"/>
    <cellStyle name="输入 2 2 2 6 3 3 2" xfId="8465"/>
    <cellStyle name="输入 2 2 2 6 3 3 2 2" xfId="35440"/>
    <cellStyle name="输入 2 2 2 6 3 3 2 3" xfId="44844"/>
    <cellStyle name="输入 2 2 2 6 3 3 3" xfId="35439"/>
    <cellStyle name="输入 2 2 2 6 3 3 4" xfId="44843"/>
    <cellStyle name="输入 2 2 2 6 3 4" xfId="15499"/>
    <cellStyle name="输入 2 2 2 6 3 4 2" xfId="8466"/>
    <cellStyle name="输入 2 2 2 6 3 4 2 2" xfId="35442"/>
    <cellStyle name="输入 2 2 2 6 3 4 2 3" xfId="44846"/>
    <cellStyle name="输入 2 2 2 6 3 4 3" xfId="35441"/>
    <cellStyle name="输入 2 2 2 6 3 4 4" xfId="44845"/>
    <cellStyle name="输入 2 2 2 6 3 5" xfId="35443"/>
    <cellStyle name="输入 2 2 2 6 3 5 2" xfId="44847"/>
    <cellStyle name="输入 2 2 2 6 3 6" xfId="35432"/>
    <cellStyle name="输入 2 2 2 6 3 7" xfId="44836"/>
    <cellStyle name="输入 2 2 2 6 4" xfId="10368"/>
    <cellStyle name="输入 2 2 2 6 4 2" xfId="15500"/>
    <cellStyle name="输入 2 2 2 6 4 2 2" xfId="15501"/>
    <cellStyle name="输入 2 2 2 6 4 2 2 2" xfId="8468"/>
    <cellStyle name="输入 2 2 2 6 4 2 2 2 2" xfId="35447"/>
    <cellStyle name="输入 2 2 2 6 4 2 2 2 3" xfId="44851"/>
    <cellStyle name="输入 2 2 2 6 4 2 2 3" xfId="35446"/>
    <cellStyle name="输入 2 2 2 6 4 2 2 4" xfId="44850"/>
    <cellStyle name="输入 2 2 2 6 4 2 3" xfId="15502"/>
    <cellStyle name="输入 2 2 2 6 4 2 3 2" xfId="20686"/>
    <cellStyle name="输入 2 2 2 6 4 2 3 2 2" xfId="35449"/>
    <cellStyle name="输入 2 2 2 6 4 2 3 2 3" xfId="44853"/>
    <cellStyle name="输入 2 2 2 6 4 2 3 3" xfId="35448"/>
    <cellStyle name="输入 2 2 2 6 4 2 3 4" xfId="44852"/>
    <cellStyle name="输入 2 2 2 6 4 2 4" xfId="8467"/>
    <cellStyle name="输入 2 2 2 6 4 2 4 2" xfId="35450"/>
    <cellStyle name="输入 2 2 2 6 4 2 4 3" xfId="44854"/>
    <cellStyle name="输入 2 2 2 6 4 2 5" xfId="35445"/>
    <cellStyle name="输入 2 2 2 6 4 2 6" xfId="44849"/>
    <cellStyle name="输入 2 2 2 6 4 3" xfId="15503"/>
    <cellStyle name="输入 2 2 2 6 4 3 2" xfId="8469"/>
    <cellStyle name="输入 2 2 2 6 4 3 2 2" xfId="35452"/>
    <cellStyle name="输入 2 2 2 6 4 3 2 3" xfId="44856"/>
    <cellStyle name="输入 2 2 2 6 4 3 3" xfId="35451"/>
    <cellStyle name="输入 2 2 2 6 4 3 4" xfId="44855"/>
    <cellStyle name="输入 2 2 2 6 4 4" xfId="15504"/>
    <cellStyle name="输入 2 2 2 6 4 4 2" xfId="8470"/>
    <cellStyle name="输入 2 2 2 6 4 4 2 2" xfId="35454"/>
    <cellStyle name="输入 2 2 2 6 4 4 2 3" xfId="44858"/>
    <cellStyle name="输入 2 2 2 6 4 4 3" xfId="35453"/>
    <cellStyle name="输入 2 2 2 6 4 4 4" xfId="44857"/>
    <cellStyle name="输入 2 2 2 6 4 5" xfId="35455"/>
    <cellStyle name="输入 2 2 2 6 4 5 2" xfId="44859"/>
    <cellStyle name="输入 2 2 2 6 4 6" xfId="35444"/>
    <cellStyle name="输入 2 2 2 6 4 7" xfId="44848"/>
    <cellStyle name="输入 2 2 2 6 5" xfId="10369"/>
    <cellStyle name="输入 2 2 2 6 5 2" xfId="15505"/>
    <cellStyle name="输入 2 2 2 6 5 2 2" xfId="15506"/>
    <cellStyle name="输入 2 2 2 6 5 2 2 2" xfId="8472"/>
    <cellStyle name="输入 2 2 2 6 5 2 2 2 2" xfId="35459"/>
    <cellStyle name="输入 2 2 2 6 5 2 2 2 3" xfId="44863"/>
    <cellStyle name="输入 2 2 2 6 5 2 2 3" xfId="35458"/>
    <cellStyle name="输入 2 2 2 6 5 2 2 4" xfId="44862"/>
    <cellStyle name="输入 2 2 2 6 5 2 3" xfId="15507"/>
    <cellStyle name="输入 2 2 2 6 5 2 3 2" xfId="8473"/>
    <cellStyle name="输入 2 2 2 6 5 2 3 2 2" xfId="35461"/>
    <cellStyle name="输入 2 2 2 6 5 2 3 2 3" xfId="44865"/>
    <cellStyle name="输入 2 2 2 6 5 2 3 3" xfId="35460"/>
    <cellStyle name="输入 2 2 2 6 5 2 3 4" xfId="44864"/>
    <cellStyle name="输入 2 2 2 6 5 2 4" xfId="8471"/>
    <cellStyle name="输入 2 2 2 6 5 2 4 2" xfId="35462"/>
    <cellStyle name="输入 2 2 2 6 5 2 4 3" xfId="44866"/>
    <cellStyle name="输入 2 2 2 6 5 2 5" xfId="35457"/>
    <cellStyle name="输入 2 2 2 6 5 2 6" xfId="44861"/>
    <cellStyle name="输入 2 2 2 6 5 3" xfId="15508"/>
    <cellStyle name="输入 2 2 2 6 5 3 2" xfId="20685"/>
    <cellStyle name="输入 2 2 2 6 5 3 2 2" xfId="35464"/>
    <cellStyle name="输入 2 2 2 6 5 3 2 3" xfId="44868"/>
    <cellStyle name="输入 2 2 2 6 5 3 3" xfId="35463"/>
    <cellStyle name="输入 2 2 2 6 5 3 4" xfId="44867"/>
    <cellStyle name="输入 2 2 2 6 5 4" xfId="15509"/>
    <cellStyle name="输入 2 2 2 6 5 4 2" xfId="8474"/>
    <cellStyle name="输入 2 2 2 6 5 4 2 2" xfId="35466"/>
    <cellStyle name="输入 2 2 2 6 5 4 2 3" xfId="44870"/>
    <cellStyle name="输入 2 2 2 6 5 4 3" xfId="35465"/>
    <cellStyle name="输入 2 2 2 6 5 4 4" xfId="44869"/>
    <cellStyle name="输入 2 2 2 6 5 5" xfId="35467"/>
    <cellStyle name="输入 2 2 2 6 5 5 2" xfId="44871"/>
    <cellStyle name="输入 2 2 2 6 5 6" xfId="35456"/>
    <cellStyle name="输入 2 2 2 6 5 7" xfId="44860"/>
    <cellStyle name="输入 2 2 2 6 6" xfId="15510"/>
    <cellStyle name="输入 2 2 2 6 6 2" xfId="15511"/>
    <cellStyle name="输入 2 2 2 6 6 2 2" xfId="8476"/>
    <cellStyle name="输入 2 2 2 6 6 2 2 2" xfId="35470"/>
    <cellStyle name="输入 2 2 2 6 6 2 2 3" xfId="44874"/>
    <cellStyle name="输入 2 2 2 6 6 2 3" xfId="35469"/>
    <cellStyle name="输入 2 2 2 6 6 2 4" xfId="44873"/>
    <cellStyle name="输入 2 2 2 6 6 3" xfId="15512"/>
    <cellStyle name="输入 2 2 2 6 6 3 2" xfId="8477"/>
    <cellStyle name="输入 2 2 2 6 6 3 2 2" xfId="35472"/>
    <cellStyle name="输入 2 2 2 6 6 3 2 3" xfId="44876"/>
    <cellStyle name="输入 2 2 2 6 6 3 3" xfId="35471"/>
    <cellStyle name="输入 2 2 2 6 6 3 4" xfId="44875"/>
    <cellStyle name="输入 2 2 2 6 6 4" xfId="8475"/>
    <cellStyle name="输入 2 2 2 6 6 4 2" xfId="35473"/>
    <cellStyle name="输入 2 2 2 6 6 4 3" xfId="44877"/>
    <cellStyle name="输入 2 2 2 6 6 5" xfId="35468"/>
    <cellStyle name="输入 2 2 2 6 6 6" xfId="44872"/>
    <cellStyle name="输入 2 2 2 6 7" xfId="15513"/>
    <cellStyle name="输入 2 2 2 6 7 2" xfId="8478"/>
    <cellStyle name="输入 2 2 2 6 7 2 2" xfId="35475"/>
    <cellStyle name="输入 2 2 2 6 7 2 3" xfId="44879"/>
    <cellStyle name="输入 2 2 2 6 7 3" xfId="35474"/>
    <cellStyle name="输入 2 2 2 6 7 4" xfId="44878"/>
    <cellStyle name="输入 2 2 2 6 8" xfId="15514"/>
    <cellStyle name="输入 2 2 2 6 8 2" xfId="8479"/>
    <cellStyle name="输入 2 2 2 6 8 2 2" xfId="35477"/>
    <cellStyle name="输入 2 2 2 6 8 2 3" xfId="44881"/>
    <cellStyle name="输入 2 2 2 6 8 3" xfId="35476"/>
    <cellStyle name="输入 2 2 2 6 8 4" xfId="44880"/>
    <cellStyle name="输入 2 2 2 6 9" xfId="35478"/>
    <cellStyle name="输入 2 2 2 6 9 2" xfId="44882"/>
    <cellStyle name="输入 2 2 2 7" xfId="10370"/>
    <cellStyle name="输入 2 2 2 7 10" xfId="35479"/>
    <cellStyle name="输入 2 2 2 7 11" xfId="44883"/>
    <cellStyle name="输入 2 2 2 7 2" xfId="10371"/>
    <cellStyle name="输入 2 2 2 7 2 2" xfId="15515"/>
    <cellStyle name="输入 2 2 2 7 2 2 2" xfId="15516"/>
    <cellStyle name="输入 2 2 2 7 2 2 2 2" xfId="8481"/>
    <cellStyle name="输入 2 2 2 7 2 2 2 2 2" xfId="35483"/>
    <cellStyle name="输入 2 2 2 7 2 2 2 2 3" xfId="44887"/>
    <cellStyle name="输入 2 2 2 7 2 2 2 3" xfId="35482"/>
    <cellStyle name="输入 2 2 2 7 2 2 2 4" xfId="44886"/>
    <cellStyle name="输入 2 2 2 7 2 2 3" xfId="15517"/>
    <cellStyle name="输入 2 2 2 7 2 2 3 2" xfId="8482"/>
    <cellStyle name="输入 2 2 2 7 2 2 3 2 2" xfId="35485"/>
    <cellStyle name="输入 2 2 2 7 2 2 3 2 3" xfId="44889"/>
    <cellStyle name="输入 2 2 2 7 2 2 3 3" xfId="35484"/>
    <cellStyle name="输入 2 2 2 7 2 2 3 4" xfId="44888"/>
    <cellStyle name="输入 2 2 2 7 2 2 4" xfId="8480"/>
    <cellStyle name="输入 2 2 2 7 2 2 4 2" xfId="35486"/>
    <cellStyle name="输入 2 2 2 7 2 2 4 3" xfId="44890"/>
    <cellStyle name="输入 2 2 2 7 2 2 5" xfId="35481"/>
    <cellStyle name="输入 2 2 2 7 2 2 6" xfId="44885"/>
    <cellStyle name="输入 2 2 2 7 2 3" xfId="15518"/>
    <cellStyle name="输入 2 2 2 7 2 3 2" xfId="8483"/>
    <cellStyle name="输入 2 2 2 7 2 3 2 2" xfId="35488"/>
    <cellStyle name="输入 2 2 2 7 2 3 2 3" xfId="44892"/>
    <cellStyle name="输入 2 2 2 7 2 3 3" xfId="35487"/>
    <cellStyle name="输入 2 2 2 7 2 3 4" xfId="44891"/>
    <cellStyle name="输入 2 2 2 7 2 4" xfId="15519"/>
    <cellStyle name="输入 2 2 2 7 2 4 2" xfId="20684"/>
    <cellStyle name="输入 2 2 2 7 2 4 2 2" xfId="35490"/>
    <cellStyle name="输入 2 2 2 7 2 4 2 3" xfId="44894"/>
    <cellStyle name="输入 2 2 2 7 2 4 3" xfId="35489"/>
    <cellStyle name="输入 2 2 2 7 2 4 4" xfId="44893"/>
    <cellStyle name="输入 2 2 2 7 2 5" xfId="35491"/>
    <cellStyle name="输入 2 2 2 7 2 5 2" xfId="44895"/>
    <cellStyle name="输入 2 2 2 7 2 6" xfId="35480"/>
    <cellStyle name="输入 2 2 2 7 2 7" xfId="44884"/>
    <cellStyle name="输入 2 2 2 7 3" xfId="10372"/>
    <cellStyle name="输入 2 2 2 7 3 2" xfId="15520"/>
    <cellStyle name="输入 2 2 2 7 3 2 2" xfId="15521"/>
    <cellStyle name="输入 2 2 2 7 3 2 2 2" xfId="8484"/>
    <cellStyle name="输入 2 2 2 7 3 2 2 2 2" xfId="35495"/>
    <cellStyle name="输入 2 2 2 7 3 2 2 2 3" xfId="44899"/>
    <cellStyle name="输入 2 2 2 7 3 2 2 3" xfId="35494"/>
    <cellStyle name="输入 2 2 2 7 3 2 2 4" xfId="44898"/>
    <cellStyle name="输入 2 2 2 7 3 2 3" xfId="15522"/>
    <cellStyle name="输入 2 2 2 7 3 2 3 2" xfId="8485"/>
    <cellStyle name="输入 2 2 2 7 3 2 3 2 2" xfId="35497"/>
    <cellStyle name="输入 2 2 2 7 3 2 3 2 3" xfId="44901"/>
    <cellStyle name="输入 2 2 2 7 3 2 3 3" xfId="35496"/>
    <cellStyle name="输入 2 2 2 7 3 2 3 4" xfId="44900"/>
    <cellStyle name="输入 2 2 2 7 3 2 4" xfId="20683"/>
    <cellStyle name="输入 2 2 2 7 3 2 4 2" xfId="35498"/>
    <cellStyle name="输入 2 2 2 7 3 2 4 3" xfId="44902"/>
    <cellStyle name="输入 2 2 2 7 3 2 5" xfId="35493"/>
    <cellStyle name="输入 2 2 2 7 3 2 6" xfId="44897"/>
    <cellStyle name="输入 2 2 2 7 3 3" xfId="15523"/>
    <cellStyle name="输入 2 2 2 7 3 3 2" xfId="8486"/>
    <cellStyle name="输入 2 2 2 7 3 3 2 2" xfId="35500"/>
    <cellStyle name="输入 2 2 2 7 3 3 2 3" xfId="44904"/>
    <cellStyle name="输入 2 2 2 7 3 3 3" xfId="35499"/>
    <cellStyle name="输入 2 2 2 7 3 3 4" xfId="44903"/>
    <cellStyle name="输入 2 2 2 7 3 4" xfId="15524"/>
    <cellStyle name="输入 2 2 2 7 3 4 2" xfId="8487"/>
    <cellStyle name="输入 2 2 2 7 3 4 2 2" xfId="35502"/>
    <cellStyle name="输入 2 2 2 7 3 4 2 3" xfId="44906"/>
    <cellStyle name="输入 2 2 2 7 3 4 3" xfId="35501"/>
    <cellStyle name="输入 2 2 2 7 3 4 4" xfId="44905"/>
    <cellStyle name="输入 2 2 2 7 3 5" xfId="35503"/>
    <cellStyle name="输入 2 2 2 7 3 5 2" xfId="44907"/>
    <cellStyle name="输入 2 2 2 7 3 6" xfId="35492"/>
    <cellStyle name="输入 2 2 2 7 3 7" xfId="44896"/>
    <cellStyle name="输入 2 2 2 7 4" xfId="10373"/>
    <cellStyle name="输入 2 2 2 7 4 2" xfId="15525"/>
    <cellStyle name="输入 2 2 2 7 4 2 2" xfId="15526"/>
    <cellStyle name="输入 2 2 2 7 4 2 2 2" xfId="20682"/>
    <cellStyle name="输入 2 2 2 7 4 2 2 2 2" xfId="35507"/>
    <cellStyle name="输入 2 2 2 7 4 2 2 2 3" xfId="44911"/>
    <cellStyle name="输入 2 2 2 7 4 2 2 3" xfId="35506"/>
    <cellStyle name="输入 2 2 2 7 4 2 2 4" xfId="44910"/>
    <cellStyle name="输入 2 2 2 7 4 2 3" xfId="15527"/>
    <cellStyle name="输入 2 2 2 7 4 2 3 2" xfId="8489"/>
    <cellStyle name="输入 2 2 2 7 4 2 3 2 2" xfId="35509"/>
    <cellStyle name="输入 2 2 2 7 4 2 3 2 3" xfId="44913"/>
    <cellStyle name="输入 2 2 2 7 4 2 3 3" xfId="35508"/>
    <cellStyle name="输入 2 2 2 7 4 2 3 4" xfId="44912"/>
    <cellStyle name="输入 2 2 2 7 4 2 4" xfId="8488"/>
    <cellStyle name="输入 2 2 2 7 4 2 4 2" xfId="35510"/>
    <cellStyle name="输入 2 2 2 7 4 2 4 3" xfId="44914"/>
    <cellStyle name="输入 2 2 2 7 4 2 5" xfId="35505"/>
    <cellStyle name="输入 2 2 2 7 4 2 6" xfId="44909"/>
    <cellStyle name="输入 2 2 2 7 4 3" xfId="15528"/>
    <cellStyle name="输入 2 2 2 7 4 3 2" xfId="8490"/>
    <cellStyle name="输入 2 2 2 7 4 3 2 2" xfId="35512"/>
    <cellStyle name="输入 2 2 2 7 4 3 2 3" xfId="44916"/>
    <cellStyle name="输入 2 2 2 7 4 3 3" xfId="35511"/>
    <cellStyle name="输入 2 2 2 7 4 3 4" xfId="44915"/>
    <cellStyle name="输入 2 2 2 7 4 4" xfId="15529"/>
    <cellStyle name="输入 2 2 2 7 4 4 2" xfId="8491"/>
    <cellStyle name="输入 2 2 2 7 4 4 2 2" xfId="35514"/>
    <cellStyle name="输入 2 2 2 7 4 4 2 3" xfId="44918"/>
    <cellStyle name="输入 2 2 2 7 4 4 3" xfId="35513"/>
    <cellStyle name="输入 2 2 2 7 4 4 4" xfId="44917"/>
    <cellStyle name="输入 2 2 2 7 4 5" xfId="35515"/>
    <cellStyle name="输入 2 2 2 7 4 5 2" xfId="44919"/>
    <cellStyle name="输入 2 2 2 7 4 6" xfId="35504"/>
    <cellStyle name="输入 2 2 2 7 4 7" xfId="44908"/>
    <cellStyle name="输入 2 2 2 7 5" xfId="10374"/>
    <cellStyle name="输入 2 2 2 7 5 2" xfId="15530"/>
    <cellStyle name="输入 2 2 2 7 5 2 2" xfId="15531"/>
    <cellStyle name="输入 2 2 2 7 5 2 2 2" xfId="8493"/>
    <cellStyle name="输入 2 2 2 7 5 2 2 2 2" xfId="35519"/>
    <cellStyle name="输入 2 2 2 7 5 2 2 2 3" xfId="44923"/>
    <cellStyle name="输入 2 2 2 7 5 2 2 3" xfId="35518"/>
    <cellStyle name="输入 2 2 2 7 5 2 2 4" xfId="44922"/>
    <cellStyle name="输入 2 2 2 7 5 2 3" xfId="15532"/>
    <cellStyle name="输入 2 2 2 7 5 2 3 2" xfId="20681"/>
    <cellStyle name="输入 2 2 2 7 5 2 3 2 2" xfId="35521"/>
    <cellStyle name="输入 2 2 2 7 5 2 3 2 3" xfId="44925"/>
    <cellStyle name="输入 2 2 2 7 5 2 3 3" xfId="35520"/>
    <cellStyle name="输入 2 2 2 7 5 2 3 4" xfId="44924"/>
    <cellStyle name="输入 2 2 2 7 5 2 4" xfId="8492"/>
    <cellStyle name="输入 2 2 2 7 5 2 4 2" xfId="35522"/>
    <cellStyle name="输入 2 2 2 7 5 2 4 3" xfId="44926"/>
    <cellStyle name="输入 2 2 2 7 5 2 5" xfId="35517"/>
    <cellStyle name="输入 2 2 2 7 5 2 6" xfId="44921"/>
    <cellStyle name="输入 2 2 2 7 5 3" xfId="15533"/>
    <cellStyle name="输入 2 2 2 7 5 3 2" xfId="8494"/>
    <cellStyle name="输入 2 2 2 7 5 3 2 2" xfId="35524"/>
    <cellStyle name="输入 2 2 2 7 5 3 2 3" xfId="44928"/>
    <cellStyle name="输入 2 2 2 7 5 3 3" xfId="35523"/>
    <cellStyle name="输入 2 2 2 7 5 3 4" xfId="44927"/>
    <cellStyle name="输入 2 2 2 7 5 4" xfId="15534"/>
    <cellStyle name="输入 2 2 2 7 5 4 2" xfId="8495"/>
    <cellStyle name="输入 2 2 2 7 5 4 2 2" xfId="35526"/>
    <cellStyle name="输入 2 2 2 7 5 4 2 3" xfId="44930"/>
    <cellStyle name="输入 2 2 2 7 5 4 3" xfId="35525"/>
    <cellStyle name="输入 2 2 2 7 5 4 4" xfId="44929"/>
    <cellStyle name="输入 2 2 2 7 5 5" xfId="35527"/>
    <cellStyle name="输入 2 2 2 7 5 5 2" xfId="44931"/>
    <cellStyle name="输入 2 2 2 7 5 6" xfId="35516"/>
    <cellStyle name="输入 2 2 2 7 5 7" xfId="44920"/>
    <cellStyle name="输入 2 2 2 7 6" xfId="15535"/>
    <cellStyle name="输入 2 2 2 7 6 2" xfId="15536"/>
    <cellStyle name="输入 2 2 2 7 6 2 2" xfId="8497"/>
    <cellStyle name="输入 2 2 2 7 6 2 2 2" xfId="35530"/>
    <cellStyle name="输入 2 2 2 7 6 2 2 3" xfId="44934"/>
    <cellStyle name="输入 2 2 2 7 6 2 3" xfId="35529"/>
    <cellStyle name="输入 2 2 2 7 6 2 4" xfId="44933"/>
    <cellStyle name="输入 2 2 2 7 6 3" xfId="15537"/>
    <cellStyle name="输入 2 2 2 7 6 3 2" xfId="8498"/>
    <cellStyle name="输入 2 2 2 7 6 3 2 2" xfId="35532"/>
    <cellStyle name="输入 2 2 2 7 6 3 2 3" xfId="44936"/>
    <cellStyle name="输入 2 2 2 7 6 3 3" xfId="35531"/>
    <cellStyle name="输入 2 2 2 7 6 3 4" xfId="44935"/>
    <cellStyle name="输入 2 2 2 7 6 4" xfId="8496"/>
    <cellStyle name="输入 2 2 2 7 6 4 2" xfId="35533"/>
    <cellStyle name="输入 2 2 2 7 6 4 3" xfId="44937"/>
    <cellStyle name="输入 2 2 2 7 6 5" xfId="35528"/>
    <cellStyle name="输入 2 2 2 7 6 6" xfId="44932"/>
    <cellStyle name="输入 2 2 2 7 7" xfId="15538"/>
    <cellStyle name="输入 2 2 2 7 7 2" xfId="18550"/>
    <cellStyle name="输入 2 2 2 7 7 2 2" xfId="35535"/>
    <cellStyle name="输入 2 2 2 7 7 2 3" xfId="44939"/>
    <cellStyle name="输入 2 2 2 7 7 3" xfId="35534"/>
    <cellStyle name="输入 2 2 2 7 7 4" xfId="44938"/>
    <cellStyle name="输入 2 2 2 7 8" xfId="15539"/>
    <cellStyle name="输入 2 2 2 7 8 2" xfId="8499"/>
    <cellStyle name="输入 2 2 2 7 8 2 2" xfId="35537"/>
    <cellStyle name="输入 2 2 2 7 8 2 3" xfId="44941"/>
    <cellStyle name="输入 2 2 2 7 8 3" xfId="35536"/>
    <cellStyle name="输入 2 2 2 7 8 4" xfId="44940"/>
    <cellStyle name="输入 2 2 2 7 9" xfId="35538"/>
    <cellStyle name="输入 2 2 2 7 9 2" xfId="44942"/>
    <cellStyle name="输入 2 2 2 8" xfId="10375"/>
    <cellStyle name="输入 2 2 2 8 10" xfId="35539"/>
    <cellStyle name="输入 2 2 2 8 11" xfId="44943"/>
    <cellStyle name="输入 2 2 2 8 2" xfId="10376"/>
    <cellStyle name="输入 2 2 2 8 2 2" xfId="15540"/>
    <cellStyle name="输入 2 2 2 8 2 2 2" xfId="15541"/>
    <cellStyle name="输入 2 2 2 8 2 2 2 2" xfId="8502"/>
    <cellStyle name="输入 2 2 2 8 2 2 2 2 2" xfId="35543"/>
    <cellStyle name="输入 2 2 2 8 2 2 2 2 3" xfId="44947"/>
    <cellStyle name="输入 2 2 2 8 2 2 2 3" xfId="35542"/>
    <cellStyle name="输入 2 2 2 8 2 2 2 4" xfId="44946"/>
    <cellStyle name="输入 2 2 2 8 2 2 3" xfId="15542"/>
    <cellStyle name="输入 2 2 2 8 2 2 3 2" xfId="8503"/>
    <cellStyle name="输入 2 2 2 8 2 2 3 2 2" xfId="35545"/>
    <cellStyle name="输入 2 2 2 8 2 2 3 2 3" xfId="44949"/>
    <cellStyle name="输入 2 2 2 8 2 2 3 3" xfId="35544"/>
    <cellStyle name="输入 2 2 2 8 2 2 3 4" xfId="44948"/>
    <cellStyle name="输入 2 2 2 8 2 2 4" xfId="8500"/>
    <cellStyle name="输入 2 2 2 8 2 2 4 2" xfId="35546"/>
    <cellStyle name="输入 2 2 2 8 2 2 4 3" xfId="44950"/>
    <cellStyle name="输入 2 2 2 8 2 2 5" xfId="35541"/>
    <cellStyle name="输入 2 2 2 8 2 2 6" xfId="44945"/>
    <cellStyle name="输入 2 2 2 8 2 3" xfId="15543"/>
    <cellStyle name="输入 2 2 2 8 2 3 2" xfId="8504"/>
    <cellStyle name="输入 2 2 2 8 2 3 2 2" xfId="35548"/>
    <cellStyle name="输入 2 2 2 8 2 3 2 3" xfId="44952"/>
    <cellStyle name="输入 2 2 2 8 2 3 3" xfId="35547"/>
    <cellStyle name="输入 2 2 2 8 2 3 4" xfId="44951"/>
    <cellStyle name="输入 2 2 2 8 2 4" xfId="15544"/>
    <cellStyle name="输入 2 2 2 8 2 4 2" xfId="8505"/>
    <cellStyle name="输入 2 2 2 8 2 4 2 2" xfId="35550"/>
    <cellStyle name="输入 2 2 2 8 2 4 2 3" xfId="44954"/>
    <cellStyle name="输入 2 2 2 8 2 4 3" xfId="35549"/>
    <cellStyle name="输入 2 2 2 8 2 4 4" xfId="44953"/>
    <cellStyle name="输入 2 2 2 8 2 5" xfId="35551"/>
    <cellStyle name="输入 2 2 2 8 2 5 2" xfId="44955"/>
    <cellStyle name="输入 2 2 2 8 2 6" xfId="35540"/>
    <cellStyle name="输入 2 2 2 8 2 7" xfId="44944"/>
    <cellStyle name="输入 2 2 2 8 3" xfId="10377"/>
    <cellStyle name="输入 2 2 2 8 3 2" xfId="15545"/>
    <cellStyle name="输入 2 2 2 8 3 2 2" xfId="15546"/>
    <cellStyle name="输入 2 2 2 8 3 2 2 2" xfId="8507"/>
    <cellStyle name="输入 2 2 2 8 3 2 2 2 2" xfId="35555"/>
    <cellStyle name="输入 2 2 2 8 3 2 2 2 3" xfId="44959"/>
    <cellStyle name="输入 2 2 2 8 3 2 2 3" xfId="35554"/>
    <cellStyle name="输入 2 2 2 8 3 2 2 4" xfId="44958"/>
    <cellStyle name="输入 2 2 2 8 3 2 3" xfId="15547"/>
    <cellStyle name="输入 2 2 2 8 3 2 3 2" xfId="8508"/>
    <cellStyle name="输入 2 2 2 8 3 2 3 2 2" xfId="35557"/>
    <cellStyle name="输入 2 2 2 8 3 2 3 2 3" xfId="44961"/>
    <cellStyle name="输入 2 2 2 8 3 2 3 3" xfId="35556"/>
    <cellStyle name="输入 2 2 2 8 3 2 3 4" xfId="44960"/>
    <cellStyle name="输入 2 2 2 8 3 2 4" xfId="8506"/>
    <cellStyle name="输入 2 2 2 8 3 2 4 2" xfId="35558"/>
    <cellStyle name="输入 2 2 2 8 3 2 4 3" xfId="44962"/>
    <cellStyle name="输入 2 2 2 8 3 2 5" xfId="35553"/>
    <cellStyle name="输入 2 2 2 8 3 2 6" xfId="44957"/>
    <cellStyle name="输入 2 2 2 8 3 3" xfId="15548"/>
    <cellStyle name="输入 2 2 2 8 3 3 2" xfId="8509"/>
    <cellStyle name="输入 2 2 2 8 3 3 2 2" xfId="35560"/>
    <cellStyle name="输入 2 2 2 8 3 3 2 3" xfId="44964"/>
    <cellStyle name="输入 2 2 2 8 3 3 3" xfId="35559"/>
    <cellStyle name="输入 2 2 2 8 3 3 4" xfId="44963"/>
    <cellStyle name="输入 2 2 2 8 3 4" xfId="15549"/>
    <cellStyle name="输入 2 2 2 8 3 4 2" xfId="20680"/>
    <cellStyle name="输入 2 2 2 8 3 4 2 2" xfId="35562"/>
    <cellStyle name="输入 2 2 2 8 3 4 2 3" xfId="44966"/>
    <cellStyle name="输入 2 2 2 8 3 4 3" xfId="35561"/>
    <cellStyle name="输入 2 2 2 8 3 4 4" xfId="44965"/>
    <cellStyle name="输入 2 2 2 8 3 5" xfId="35563"/>
    <cellStyle name="输入 2 2 2 8 3 5 2" xfId="44967"/>
    <cellStyle name="输入 2 2 2 8 3 6" xfId="35552"/>
    <cellStyle name="输入 2 2 2 8 3 7" xfId="44956"/>
    <cellStyle name="输入 2 2 2 8 4" xfId="10378"/>
    <cellStyle name="输入 2 2 2 8 4 2" xfId="15550"/>
    <cellStyle name="输入 2 2 2 8 4 2 2" xfId="15551"/>
    <cellStyle name="输入 2 2 2 8 4 2 2 2" xfId="8510"/>
    <cellStyle name="输入 2 2 2 8 4 2 2 2 2" xfId="35567"/>
    <cellStyle name="输入 2 2 2 8 4 2 2 2 3" xfId="44971"/>
    <cellStyle name="输入 2 2 2 8 4 2 2 3" xfId="35566"/>
    <cellStyle name="输入 2 2 2 8 4 2 2 4" xfId="44970"/>
    <cellStyle name="输入 2 2 2 8 4 2 3" xfId="15552"/>
    <cellStyle name="输入 2 2 2 8 4 2 3 2" xfId="8511"/>
    <cellStyle name="输入 2 2 2 8 4 2 3 2 2" xfId="35569"/>
    <cellStyle name="输入 2 2 2 8 4 2 3 2 3" xfId="44973"/>
    <cellStyle name="输入 2 2 2 8 4 2 3 3" xfId="35568"/>
    <cellStyle name="输入 2 2 2 8 4 2 3 4" xfId="44972"/>
    <cellStyle name="输入 2 2 2 8 4 2 4" xfId="20679"/>
    <cellStyle name="输入 2 2 2 8 4 2 4 2" xfId="35570"/>
    <cellStyle name="输入 2 2 2 8 4 2 4 3" xfId="44974"/>
    <cellStyle name="输入 2 2 2 8 4 2 5" xfId="35565"/>
    <cellStyle name="输入 2 2 2 8 4 2 6" xfId="44969"/>
    <cellStyle name="输入 2 2 2 8 4 3" xfId="15553"/>
    <cellStyle name="输入 2 2 2 8 4 3 2" xfId="8512"/>
    <cellStyle name="输入 2 2 2 8 4 3 2 2" xfId="35572"/>
    <cellStyle name="输入 2 2 2 8 4 3 2 3" xfId="44976"/>
    <cellStyle name="输入 2 2 2 8 4 3 3" xfId="35571"/>
    <cellStyle name="输入 2 2 2 8 4 3 4" xfId="44975"/>
    <cellStyle name="输入 2 2 2 8 4 4" xfId="15554"/>
    <cellStyle name="输入 2 2 2 8 4 4 2" xfId="8513"/>
    <cellStyle name="输入 2 2 2 8 4 4 2 2" xfId="35574"/>
    <cellStyle name="输入 2 2 2 8 4 4 2 3" xfId="44978"/>
    <cellStyle name="输入 2 2 2 8 4 4 3" xfId="35573"/>
    <cellStyle name="输入 2 2 2 8 4 4 4" xfId="44977"/>
    <cellStyle name="输入 2 2 2 8 4 5" xfId="35575"/>
    <cellStyle name="输入 2 2 2 8 4 5 2" xfId="44979"/>
    <cellStyle name="输入 2 2 2 8 4 6" xfId="35564"/>
    <cellStyle name="输入 2 2 2 8 4 7" xfId="44968"/>
    <cellStyle name="输入 2 2 2 8 5" xfId="10379"/>
    <cellStyle name="输入 2 2 2 8 5 2" xfId="15555"/>
    <cellStyle name="输入 2 2 2 8 5 2 2" xfId="15556"/>
    <cellStyle name="输入 2 2 2 8 5 2 2 2" xfId="20678"/>
    <cellStyle name="输入 2 2 2 8 5 2 2 2 2" xfId="35579"/>
    <cellStyle name="输入 2 2 2 8 5 2 2 2 3" xfId="44983"/>
    <cellStyle name="输入 2 2 2 8 5 2 2 3" xfId="35578"/>
    <cellStyle name="输入 2 2 2 8 5 2 2 4" xfId="44982"/>
    <cellStyle name="输入 2 2 2 8 5 2 3" xfId="15557"/>
    <cellStyle name="输入 2 2 2 8 5 2 3 2" xfId="8515"/>
    <cellStyle name="输入 2 2 2 8 5 2 3 2 2" xfId="35581"/>
    <cellStyle name="输入 2 2 2 8 5 2 3 2 3" xfId="44985"/>
    <cellStyle name="输入 2 2 2 8 5 2 3 3" xfId="35580"/>
    <cellStyle name="输入 2 2 2 8 5 2 3 4" xfId="44984"/>
    <cellStyle name="输入 2 2 2 8 5 2 4" xfId="8514"/>
    <cellStyle name="输入 2 2 2 8 5 2 4 2" xfId="35582"/>
    <cellStyle name="输入 2 2 2 8 5 2 4 3" xfId="44986"/>
    <cellStyle name="输入 2 2 2 8 5 2 5" xfId="35577"/>
    <cellStyle name="输入 2 2 2 8 5 2 6" xfId="44981"/>
    <cellStyle name="输入 2 2 2 8 5 3" xfId="15558"/>
    <cellStyle name="输入 2 2 2 8 5 3 2" xfId="8516"/>
    <cellStyle name="输入 2 2 2 8 5 3 2 2" xfId="35584"/>
    <cellStyle name="输入 2 2 2 8 5 3 2 3" xfId="44988"/>
    <cellStyle name="输入 2 2 2 8 5 3 3" xfId="35583"/>
    <cellStyle name="输入 2 2 2 8 5 3 4" xfId="44987"/>
    <cellStyle name="输入 2 2 2 8 5 4" xfId="15559"/>
    <cellStyle name="输入 2 2 2 8 5 4 2" xfId="8517"/>
    <cellStyle name="输入 2 2 2 8 5 4 2 2" xfId="35586"/>
    <cellStyle name="输入 2 2 2 8 5 4 2 3" xfId="44990"/>
    <cellStyle name="输入 2 2 2 8 5 4 3" xfId="35585"/>
    <cellStyle name="输入 2 2 2 8 5 4 4" xfId="44989"/>
    <cellStyle name="输入 2 2 2 8 5 5" xfId="35587"/>
    <cellStyle name="输入 2 2 2 8 5 5 2" xfId="44991"/>
    <cellStyle name="输入 2 2 2 8 5 6" xfId="35576"/>
    <cellStyle name="输入 2 2 2 8 5 7" xfId="44980"/>
    <cellStyle name="输入 2 2 2 8 6" xfId="15560"/>
    <cellStyle name="输入 2 2 2 8 6 2" xfId="15561"/>
    <cellStyle name="输入 2 2 2 8 6 2 2" xfId="8519"/>
    <cellStyle name="输入 2 2 2 8 6 2 2 2" xfId="35590"/>
    <cellStyle name="输入 2 2 2 8 6 2 2 3" xfId="44994"/>
    <cellStyle name="输入 2 2 2 8 6 2 3" xfId="35589"/>
    <cellStyle name="输入 2 2 2 8 6 2 4" xfId="44993"/>
    <cellStyle name="输入 2 2 2 8 6 3" xfId="15562"/>
    <cellStyle name="输入 2 2 2 8 6 3 2" xfId="20677"/>
    <cellStyle name="输入 2 2 2 8 6 3 2 2" xfId="35592"/>
    <cellStyle name="输入 2 2 2 8 6 3 2 3" xfId="44996"/>
    <cellStyle name="输入 2 2 2 8 6 3 3" xfId="35591"/>
    <cellStyle name="输入 2 2 2 8 6 3 4" xfId="44995"/>
    <cellStyle name="输入 2 2 2 8 6 4" xfId="8518"/>
    <cellStyle name="输入 2 2 2 8 6 4 2" xfId="35593"/>
    <cellStyle name="输入 2 2 2 8 6 4 3" xfId="44997"/>
    <cellStyle name="输入 2 2 2 8 6 5" xfId="35588"/>
    <cellStyle name="输入 2 2 2 8 6 6" xfId="44992"/>
    <cellStyle name="输入 2 2 2 8 7" xfId="15563"/>
    <cellStyle name="输入 2 2 2 8 7 2" xfId="8520"/>
    <cellStyle name="输入 2 2 2 8 7 2 2" xfId="35595"/>
    <cellStyle name="输入 2 2 2 8 7 2 3" xfId="44999"/>
    <cellStyle name="输入 2 2 2 8 7 3" xfId="35594"/>
    <cellStyle name="输入 2 2 2 8 7 4" xfId="44998"/>
    <cellStyle name="输入 2 2 2 8 8" xfId="15564"/>
    <cellStyle name="输入 2 2 2 8 8 2" xfId="8521"/>
    <cellStyle name="输入 2 2 2 8 8 2 2" xfId="35597"/>
    <cellStyle name="输入 2 2 2 8 8 2 3" xfId="45001"/>
    <cellStyle name="输入 2 2 2 8 8 3" xfId="35596"/>
    <cellStyle name="输入 2 2 2 8 8 4" xfId="45000"/>
    <cellStyle name="输入 2 2 2 8 9" xfId="35598"/>
    <cellStyle name="输入 2 2 2 8 9 2" xfId="45002"/>
    <cellStyle name="输入 2 2 2 9" xfId="10380"/>
    <cellStyle name="输入 2 2 2 9 10" xfId="35599"/>
    <cellStyle name="输入 2 2 2 9 11" xfId="45003"/>
    <cellStyle name="输入 2 2 2 9 2" xfId="10381"/>
    <cellStyle name="输入 2 2 2 9 2 2" xfId="15565"/>
    <cellStyle name="输入 2 2 2 9 2 2 2" xfId="15566"/>
    <cellStyle name="输入 2 2 2 9 2 2 2 2" xfId="8523"/>
    <cellStyle name="输入 2 2 2 9 2 2 2 2 2" xfId="35603"/>
    <cellStyle name="输入 2 2 2 9 2 2 2 2 3" xfId="45007"/>
    <cellStyle name="输入 2 2 2 9 2 2 2 3" xfId="35602"/>
    <cellStyle name="输入 2 2 2 9 2 2 2 4" xfId="45006"/>
    <cellStyle name="输入 2 2 2 9 2 2 3" xfId="15567"/>
    <cellStyle name="输入 2 2 2 9 2 2 3 2" xfId="8524"/>
    <cellStyle name="输入 2 2 2 9 2 2 3 2 2" xfId="35605"/>
    <cellStyle name="输入 2 2 2 9 2 2 3 2 3" xfId="45009"/>
    <cellStyle name="输入 2 2 2 9 2 2 3 3" xfId="35604"/>
    <cellStyle name="输入 2 2 2 9 2 2 3 4" xfId="45008"/>
    <cellStyle name="输入 2 2 2 9 2 2 4" xfId="8522"/>
    <cellStyle name="输入 2 2 2 9 2 2 4 2" xfId="35606"/>
    <cellStyle name="输入 2 2 2 9 2 2 4 3" xfId="45010"/>
    <cellStyle name="输入 2 2 2 9 2 2 5" xfId="35601"/>
    <cellStyle name="输入 2 2 2 9 2 2 6" xfId="45005"/>
    <cellStyle name="输入 2 2 2 9 2 3" xfId="15568"/>
    <cellStyle name="输入 2 2 2 9 2 3 2" xfId="20676"/>
    <cellStyle name="输入 2 2 2 9 2 3 2 2" xfId="35608"/>
    <cellStyle name="输入 2 2 2 9 2 3 2 3" xfId="45012"/>
    <cellStyle name="输入 2 2 2 9 2 3 3" xfId="35607"/>
    <cellStyle name="输入 2 2 2 9 2 3 4" xfId="45011"/>
    <cellStyle name="输入 2 2 2 9 2 4" xfId="15569"/>
    <cellStyle name="输入 2 2 2 9 2 4 2" xfId="8525"/>
    <cellStyle name="输入 2 2 2 9 2 4 2 2" xfId="35610"/>
    <cellStyle name="输入 2 2 2 9 2 4 2 3" xfId="45014"/>
    <cellStyle name="输入 2 2 2 9 2 4 3" xfId="35609"/>
    <cellStyle name="输入 2 2 2 9 2 4 4" xfId="45013"/>
    <cellStyle name="输入 2 2 2 9 2 5" xfId="35611"/>
    <cellStyle name="输入 2 2 2 9 2 5 2" xfId="45015"/>
    <cellStyle name="输入 2 2 2 9 2 6" xfId="35600"/>
    <cellStyle name="输入 2 2 2 9 2 7" xfId="45004"/>
    <cellStyle name="输入 2 2 2 9 3" xfId="10382"/>
    <cellStyle name="输入 2 2 2 9 3 2" xfId="15570"/>
    <cellStyle name="输入 2 2 2 9 3 2 2" xfId="15571"/>
    <cellStyle name="输入 2 2 2 9 3 2 2 2" xfId="8527"/>
    <cellStyle name="输入 2 2 2 9 3 2 2 2 2" xfId="35615"/>
    <cellStyle name="输入 2 2 2 9 3 2 2 2 3" xfId="45019"/>
    <cellStyle name="输入 2 2 2 9 3 2 2 3" xfId="35614"/>
    <cellStyle name="输入 2 2 2 9 3 2 2 4" xfId="45018"/>
    <cellStyle name="输入 2 2 2 9 3 2 3" xfId="15572"/>
    <cellStyle name="输入 2 2 2 9 3 2 3 2" xfId="8528"/>
    <cellStyle name="输入 2 2 2 9 3 2 3 2 2" xfId="35617"/>
    <cellStyle name="输入 2 2 2 9 3 2 3 2 3" xfId="45021"/>
    <cellStyle name="输入 2 2 2 9 3 2 3 3" xfId="35616"/>
    <cellStyle name="输入 2 2 2 9 3 2 3 4" xfId="45020"/>
    <cellStyle name="输入 2 2 2 9 3 2 4" xfId="8526"/>
    <cellStyle name="输入 2 2 2 9 3 2 4 2" xfId="35618"/>
    <cellStyle name="输入 2 2 2 9 3 2 4 3" xfId="45022"/>
    <cellStyle name="输入 2 2 2 9 3 2 5" xfId="35613"/>
    <cellStyle name="输入 2 2 2 9 3 2 6" xfId="45017"/>
    <cellStyle name="输入 2 2 2 9 3 3" xfId="15573"/>
    <cellStyle name="输入 2 2 2 9 3 3 2" xfId="8529"/>
    <cellStyle name="输入 2 2 2 9 3 3 2 2" xfId="35620"/>
    <cellStyle name="输入 2 2 2 9 3 3 2 3" xfId="45024"/>
    <cellStyle name="输入 2 2 2 9 3 3 3" xfId="35619"/>
    <cellStyle name="输入 2 2 2 9 3 3 4" xfId="45023"/>
    <cellStyle name="输入 2 2 2 9 3 4" xfId="15574"/>
    <cellStyle name="输入 2 2 2 9 3 4 2" xfId="8530"/>
    <cellStyle name="输入 2 2 2 9 3 4 2 2" xfId="35622"/>
    <cellStyle name="输入 2 2 2 9 3 4 2 3" xfId="45026"/>
    <cellStyle name="输入 2 2 2 9 3 4 3" xfId="35621"/>
    <cellStyle name="输入 2 2 2 9 3 4 4" xfId="45025"/>
    <cellStyle name="输入 2 2 2 9 3 5" xfId="35623"/>
    <cellStyle name="输入 2 2 2 9 3 5 2" xfId="45027"/>
    <cellStyle name="输入 2 2 2 9 3 6" xfId="35612"/>
    <cellStyle name="输入 2 2 2 9 3 7" xfId="45016"/>
    <cellStyle name="输入 2 2 2 9 4" xfId="10383"/>
    <cellStyle name="输入 2 2 2 9 4 2" xfId="15575"/>
    <cellStyle name="输入 2 2 2 9 4 2 2" xfId="15576"/>
    <cellStyle name="输入 2 2 2 9 4 2 2 2" xfId="8532"/>
    <cellStyle name="输入 2 2 2 9 4 2 2 2 2" xfId="35627"/>
    <cellStyle name="输入 2 2 2 9 4 2 2 2 3" xfId="45031"/>
    <cellStyle name="输入 2 2 2 9 4 2 2 3" xfId="35626"/>
    <cellStyle name="输入 2 2 2 9 4 2 2 4" xfId="45030"/>
    <cellStyle name="输入 2 2 2 9 4 2 3" xfId="15577"/>
    <cellStyle name="输入 2 2 2 9 4 2 3 2" xfId="8533"/>
    <cellStyle name="输入 2 2 2 9 4 2 3 2 2" xfId="35629"/>
    <cellStyle name="输入 2 2 2 9 4 2 3 2 3" xfId="45033"/>
    <cellStyle name="输入 2 2 2 9 4 2 3 3" xfId="35628"/>
    <cellStyle name="输入 2 2 2 9 4 2 3 4" xfId="45032"/>
    <cellStyle name="输入 2 2 2 9 4 2 4" xfId="8531"/>
    <cellStyle name="输入 2 2 2 9 4 2 4 2" xfId="35630"/>
    <cellStyle name="输入 2 2 2 9 4 2 4 3" xfId="45034"/>
    <cellStyle name="输入 2 2 2 9 4 2 5" xfId="35625"/>
    <cellStyle name="输入 2 2 2 9 4 2 6" xfId="45029"/>
    <cellStyle name="输入 2 2 2 9 4 3" xfId="15578"/>
    <cellStyle name="输入 2 2 2 9 4 3 2" xfId="8534"/>
    <cellStyle name="输入 2 2 2 9 4 3 2 2" xfId="35632"/>
    <cellStyle name="输入 2 2 2 9 4 3 2 3" xfId="45036"/>
    <cellStyle name="输入 2 2 2 9 4 3 3" xfId="35631"/>
    <cellStyle name="输入 2 2 2 9 4 3 4" xfId="45035"/>
    <cellStyle name="输入 2 2 2 9 4 4" xfId="15579"/>
    <cellStyle name="输入 2 2 2 9 4 4 2" xfId="18549"/>
    <cellStyle name="输入 2 2 2 9 4 4 2 2" xfId="35634"/>
    <cellStyle name="输入 2 2 2 9 4 4 2 3" xfId="45038"/>
    <cellStyle name="输入 2 2 2 9 4 4 3" xfId="35633"/>
    <cellStyle name="输入 2 2 2 9 4 4 4" xfId="45037"/>
    <cellStyle name="输入 2 2 2 9 4 5" xfId="35635"/>
    <cellStyle name="输入 2 2 2 9 4 5 2" xfId="45039"/>
    <cellStyle name="输入 2 2 2 9 4 6" xfId="35624"/>
    <cellStyle name="输入 2 2 2 9 4 7" xfId="45028"/>
    <cellStyle name="输入 2 2 2 9 5" xfId="10384"/>
    <cellStyle name="输入 2 2 2 9 5 2" xfId="15580"/>
    <cellStyle name="输入 2 2 2 9 5 2 2" xfId="15581"/>
    <cellStyle name="输入 2 2 2 9 5 2 2 2" xfId="8535"/>
    <cellStyle name="输入 2 2 2 9 5 2 2 2 2" xfId="35639"/>
    <cellStyle name="输入 2 2 2 9 5 2 2 2 3" xfId="45043"/>
    <cellStyle name="输入 2 2 2 9 5 2 2 3" xfId="35638"/>
    <cellStyle name="输入 2 2 2 9 5 2 2 4" xfId="45042"/>
    <cellStyle name="输入 2 2 2 9 5 2 3" xfId="15582"/>
    <cellStyle name="输入 2 2 2 9 5 2 3 2" xfId="8536"/>
    <cellStyle name="输入 2 2 2 9 5 2 3 2 2" xfId="35641"/>
    <cellStyle name="输入 2 2 2 9 5 2 3 2 3" xfId="45045"/>
    <cellStyle name="输入 2 2 2 9 5 2 3 3" xfId="35640"/>
    <cellStyle name="输入 2 2 2 9 5 2 3 4" xfId="45044"/>
    <cellStyle name="输入 2 2 2 9 5 2 4" xfId="20675"/>
    <cellStyle name="输入 2 2 2 9 5 2 4 2" xfId="35642"/>
    <cellStyle name="输入 2 2 2 9 5 2 4 3" xfId="45046"/>
    <cellStyle name="输入 2 2 2 9 5 2 5" xfId="35637"/>
    <cellStyle name="输入 2 2 2 9 5 2 6" xfId="45041"/>
    <cellStyle name="输入 2 2 2 9 5 3" xfId="15583"/>
    <cellStyle name="输入 2 2 2 9 5 3 2" xfId="8537"/>
    <cellStyle name="输入 2 2 2 9 5 3 2 2" xfId="35644"/>
    <cellStyle name="输入 2 2 2 9 5 3 2 3" xfId="45048"/>
    <cellStyle name="输入 2 2 2 9 5 3 3" xfId="35643"/>
    <cellStyle name="输入 2 2 2 9 5 3 4" xfId="45047"/>
    <cellStyle name="输入 2 2 2 9 5 4" xfId="15584"/>
    <cellStyle name="输入 2 2 2 9 5 4 2" xfId="8538"/>
    <cellStyle name="输入 2 2 2 9 5 4 2 2" xfId="35646"/>
    <cellStyle name="输入 2 2 2 9 5 4 2 3" xfId="45050"/>
    <cellStyle name="输入 2 2 2 9 5 4 3" xfId="35645"/>
    <cellStyle name="输入 2 2 2 9 5 4 4" xfId="45049"/>
    <cellStyle name="输入 2 2 2 9 5 5" xfId="35647"/>
    <cellStyle name="输入 2 2 2 9 5 5 2" xfId="45051"/>
    <cellStyle name="输入 2 2 2 9 5 6" xfId="35636"/>
    <cellStyle name="输入 2 2 2 9 5 7" xfId="45040"/>
    <cellStyle name="输入 2 2 2 9 6" xfId="15585"/>
    <cellStyle name="输入 2 2 2 9 6 2" xfId="15586"/>
    <cellStyle name="输入 2 2 2 9 6 2 2" xfId="17872"/>
    <cellStyle name="输入 2 2 2 9 6 2 2 2" xfId="35650"/>
    <cellStyle name="输入 2 2 2 9 6 2 2 3" xfId="45054"/>
    <cellStyle name="输入 2 2 2 9 6 2 3" xfId="35649"/>
    <cellStyle name="输入 2 2 2 9 6 2 4" xfId="45053"/>
    <cellStyle name="输入 2 2 2 9 6 3" xfId="15587"/>
    <cellStyle name="输入 2 2 2 9 6 3 2" xfId="21940"/>
    <cellStyle name="输入 2 2 2 9 6 3 2 2" xfId="35652"/>
    <cellStyle name="输入 2 2 2 9 6 3 2 3" xfId="45056"/>
    <cellStyle name="输入 2 2 2 9 6 3 3" xfId="35651"/>
    <cellStyle name="输入 2 2 2 9 6 3 4" xfId="45055"/>
    <cellStyle name="输入 2 2 2 9 6 4" xfId="8539"/>
    <cellStyle name="输入 2 2 2 9 6 4 2" xfId="35653"/>
    <cellStyle name="输入 2 2 2 9 6 4 3" xfId="45057"/>
    <cellStyle name="输入 2 2 2 9 6 5" xfId="35648"/>
    <cellStyle name="输入 2 2 2 9 6 6" xfId="45052"/>
    <cellStyle name="输入 2 2 2 9 7" xfId="15588"/>
    <cellStyle name="输入 2 2 2 9 7 2" xfId="21941"/>
    <cellStyle name="输入 2 2 2 9 7 2 2" xfId="35655"/>
    <cellStyle name="输入 2 2 2 9 7 2 3" xfId="45059"/>
    <cellStyle name="输入 2 2 2 9 7 3" xfId="35654"/>
    <cellStyle name="输入 2 2 2 9 7 4" xfId="45058"/>
    <cellStyle name="输入 2 2 2 9 8" xfId="15589"/>
    <cellStyle name="输入 2 2 2 9 8 2" xfId="20674"/>
    <cellStyle name="输入 2 2 2 9 8 2 2" xfId="35657"/>
    <cellStyle name="输入 2 2 2 9 8 2 3" xfId="45061"/>
    <cellStyle name="输入 2 2 2 9 8 3" xfId="35656"/>
    <cellStyle name="输入 2 2 2 9 8 4" xfId="45060"/>
    <cellStyle name="输入 2 2 2 9 9" xfId="35658"/>
    <cellStyle name="输入 2 2 2 9 9 2" xfId="45062"/>
    <cellStyle name="输入 2 2 20" xfId="10319"/>
    <cellStyle name="输入 2 2 20 2" xfId="35660"/>
    <cellStyle name="输入 2 2 20 2 2" xfId="45064"/>
    <cellStyle name="输入 2 2 20 3" xfId="35659"/>
    <cellStyle name="输入 2 2 20 4" xfId="45063"/>
    <cellStyle name="输入 2 2 21" xfId="35661"/>
    <cellStyle name="输入 2 2 21 2" xfId="45065"/>
    <cellStyle name="输入 2 2 22" xfId="34872"/>
    <cellStyle name="输入 2 2 23" xfId="44276"/>
    <cellStyle name="输入 2 2 3" xfId="5467"/>
    <cellStyle name="输入 2 2 3 10" xfId="35662"/>
    <cellStyle name="输入 2 2 3 11" xfId="45066"/>
    <cellStyle name="输入 2 2 3 2" xfId="10386"/>
    <cellStyle name="输入 2 2 3 2 2" xfId="15590"/>
    <cellStyle name="输入 2 2 3 2 2 2" xfId="15591"/>
    <cellStyle name="输入 2 2 3 2 2 2 2" xfId="8541"/>
    <cellStyle name="输入 2 2 3 2 2 2 2 2" xfId="35666"/>
    <cellStyle name="输入 2 2 3 2 2 2 2 3" xfId="45070"/>
    <cellStyle name="输入 2 2 3 2 2 2 3" xfId="35665"/>
    <cellStyle name="输入 2 2 3 2 2 2 4" xfId="45069"/>
    <cellStyle name="输入 2 2 3 2 2 3" xfId="15592"/>
    <cellStyle name="输入 2 2 3 2 2 3 2" xfId="8542"/>
    <cellStyle name="输入 2 2 3 2 2 3 2 2" xfId="35668"/>
    <cellStyle name="输入 2 2 3 2 2 3 2 3" xfId="45072"/>
    <cellStyle name="输入 2 2 3 2 2 3 3" xfId="35667"/>
    <cellStyle name="输入 2 2 3 2 2 3 4" xfId="45071"/>
    <cellStyle name="输入 2 2 3 2 2 4" xfId="8540"/>
    <cellStyle name="输入 2 2 3 2 2 4 2" xfId="35669"/>
    <cellStyle name="输入 2 2 3 2 2 4 3" xfId="45073"/>
    <cellStyle name="输入 2 2 3 2 2 5" xfId="35664"/>
    <cellStyle name="输入 2 2 3 2 2 6" xfId="45068"/>
    <cellStyle name="输入 2 2 3 2 3" xfId="15593"/>
    <cellStyle name="输入 2 2 3 2 3 2" xfId="8543"/>
    <cellStyle name="输入 2 2 3 2 3 2 2" xfId="35671"/>
    <cellStyle name="输入 2 2 3 2 3 2 3" xfId="45075"/>
    <cellStyle name="输入 2 2 3 2 3 3" xfId="35670"/>
    <cellStyle name="输入 2 2 3 2 3 4" xfId="45074"/>
    <cellStyle name="输入 2 2 3 2 4" xfId="15594"/>
    <cellStyle name="输入 2 2 3 2 4 2" xfId="8544"/>
    <cellStyle name="输入 2 2 3 2 4 2 2" xfId="35673"/>
    <cellStyle name="输入 2 2 3 2 4 2 3" xfId="45077"/>
    <cellStyle name="输入 2 2 3 2 4 3" xfId="35672"/>
    <cellStyle name="输入 2 2 3 2 4 4" xfId="45076"/>
    <cellStyle name="输入 2 2 3 2 5" xfId="35674"/>
    <cellStyle name="输入 2 2 3 2 5 2" xfId="45078"/>
    <cellStyle name="输入 2 2 3 2 6" xfId="35663"/>
    <cellStyle name="输入 2 2 3 2 7" xfId="45067"/>
    <cellStyle name="输入 2 2 3 3" xfId="10387"/>
    <cellStyle name="输入 2 2 3 3 2" xfId="15595"/>
    <cellStyle name="输入 2 2 3 3 2 2" xfId="15596"/>
    <cellStyle name="输入 2 2 3 3 2 2 2" xfId="8545"/>
    <cellStyle name="输入 2 2 3 3 2 2 2 2" xfId="35678"/>
    <cellStyle name="输入 2 2 3 3 2 2 2 3" xfId="45082"/>
    <cellStyle name="输入 2 2 3 3 2 2 3" xfId="35677"/>
    <cellStyle name="输入 2 2 3 3 2 2 4" xfId="45081"/>
    <cellStyle name="输入 2 2 3 3 2 3" xfId="15597"/>
    <cellStyle name="输入 2 2 3 3 2 3 2" xfId="8546"/>
    <cellStyle name="输入 2 2 3 3 2 3 2 2" xfId="35680"/>
    <cellStyle name="输入 2 2 3 3 2 3 2 3" xfId="45084"/>
    <cellStyle name="输入 2 2 3 3 2 3 3" xfId="35679"/>
    <cellStyle name="输入 2 2 3 3 2 3 4" xfId="45083"/>
    <cellStyle name="输入 2 2 3 3 2 4" xfId="20673"/>
    <cellStyle name="输入 2 2 3 3 2 4 2" xfId="35681"/>
    <cellStyle name="输入 2 2 3 3 2 4 3" xfId="45085"/>
    <cellStyle name="输入 2 2 3 3 2 5" xfId="35676"/>
    <cellStyle name="输入 2 2 3 3 2 6" xfId="45080"/>
    <cellStyle name="输入 2 2 3 3 3" xfId="15598"/>
    <cellStyle name="输入 2 2 3 3 3 2" xfId="8547"/>
    <cellStyle name="输入 2 2 3 3 3 2 2" xfId="35683"/>
    <cellStyle name="输入 2 2 3 3 3 2 3" xfId="45087"/>
    <cellStyle name="输入 2 2 3 3 3 3" xfId="35682"/>
    <cellStyle name="输入 2 2 3 3 3 4" xfId="45086"/>
    <cellStyle name="输入 2 2 3 3 4" xfId="15599"/>
    <cellStyle name="输入 2 2 3 3 4 2" xfId="8548"/>
    <cellStyle name="输入 2 2 3 3 4 2 2" xfId="35685"/>
    <cellStyle name="输入 2 2 3 3 4 2 3" xfId="45089"/>
    <cellStyle name="输入 2 2 3 3 4 3" xfId="35684"/>
    <cellStyle name="输入 2 2 3 3 4 4" xfId="45088"/>
    <cellStyle name="输入 2 2 3 3 5" xfId="35686"/>
    <cellStyle name="输入 2 2 3 3 5 2" xfId="45090"/>
    <cellStyle name="输入 2 2 3 3 6" xfId="35675"/>
    <cellStyle name="输入 2 2 3 3 7" xfId="45079"/>
    <cellStyle name="输入 2 2 3 4" xfId="10388"/>
    <cellStyle name="输入 2 2 3 4 2" xfId="15600"/>
    <cellStyle name="输入 2 2 3 4 2 2" xfId="15601"/>
    <cellStyle name="输入 2 2 3 4 2 2 2" xfId="20672"/>
    <cellStyle name="输入 2 2 3 4 2 2 2 2" xfId="35690"/>
    <cellStyle name="输入 2 2 3 4 2 2 2 3" xfId="45094"/>
    <cellStyle name="输入 2 2 3 4 2 2 3" xfId="35689"/>
    <cellStyle name="输入 2 2 3 4 2 2 4" xfId="45093"/>
    <cellStyle name="输入 2 2 3 4 2 3" xfId="15602"/>
    <cellStyle name="输入 2 2 3 4 2 3 2" xfId="8550"/>
    <cellStyle name="输入 2 2 3 4 2 3 2 2" xfId="35692"/>
    <cellStyle name="输入 2 2 3 4 2 3 2 3" xfId="45096"/>
    <cellStyle name="输入 2 2 3 4 2 3 3" xfId="35691"/>
    <cellStyle name="输入 2 2 3 4 2 3 4" xfId="45095"/>
    <cellStyle name="输入 2 2 3 4 2 4" xfId="8549"/>
    <cellStyle name="输入 2 2 3 4 2 4 2" xfId="35693"/>
    <cellStyle name="输入 2 2 3 4 2 4 3" xfId="45097"/>
    <cellStyle name="输入 2 2 3 4 2 5" xfId="35688"/>
    <cellStyle name="输入 2 2 3 4 2 6" xfId="45092"/>
    <cellStyle name="输入 2 2 3 4 3" xfId="15603"/>
    <cellStyle name="输入 2 2 3 4 3 2" xfId="8551"/>
    <cellStyle name="输入 2 2 3 4 3 2 2" xfId="35695"/>
    <cellStyle name="输入 2 2 3 4 3 2 3" xfId="45099"/>
    <cellStyle name="输入 2 2 3 4 3 3" xfId="35694"/>
    <cellStyle name="输入 2 2 3 4 3 4" xfId="45098"/>
    <cellStyle name="输入 2 2 3 4 4" xfId="15604"/>
    <cellStyle name="输入 2 2 3 4 4 2" xfId="8552"/>
    <cellStyle name="输入 2 2 3 4 4 2 2" xfId="35697"/>
    <cellStyle name="输入 2 2 3 4 4 2 3" xfId="45101"/>
    <cellStyle name="输入 2 2 3 4 4 3" xfId="35696"/>
    <cellStyle name="输入 2 2 3 4 4 4" xfId="45100"/>
    <cellStyle name="输入 2 2 3 4 5" xfId="35698"/>
    <cellStyle name="输入 2 2 3 4 5 2" xfId="45102"/>
    <cellStyle name="输入 2 2 3 4 6" xfId="35687"/>
    <cellStyle name="输入 2 2 3 4 7" xfId="45091"/>
    <cellStyle name="输入 2 2 3 5" xfId="10389"/>
    <cellStyle name="输入 2 2 3 5 2" xfId="15605"/>
    <cellStyle name="输入 2 2 3 5 2 2" xfId="15606"/>
    <cellStyle name="输入 2 2 3 5 2 2 2" xfId="8556"/>
    <cellStyle name="输入 2 2 3 5 2 2 2 2" xfId="35702"/>
    <cellStyle name="输入 2 2 3 5 2 2 2 3" xfId="45106"/>
    <cellStyle name="输入 2 2 3 5 2 2 3" xfId="35701"/>
    <cellStyle name="输入 2 2 3 5 2 2 4" xfId="45105"/>
    <cellStyle name="输入 2 2 3 5 2 3" xfId="15607"/>
    <cellStyle name="输入 2 2 3 5 2 3 2" xfId="8557"/>
    <cellStyle name="输入 2 2 3 5 2 3 2 2" xfId="35704"/>
    <cellStyle name="输入 2 2 3 5 2 3 2 3" xfId="45108"/>
    <cellStyle name="输入 2 2 3 5 2 3 3" xfId="35703"/>
    <cellStyle name="输入 2 2 3 5 2 3 4" xfId="45107"/>
    <cellStyle name="输入 2 2 3 5 2 4" xfId="8553"/>
    <cellStyle name="输入 2 2 3 5 2 4 2" xfId="35705"/>
    <cellStyle name="输入 2 2 3 5 2 4 3" xfId="45109"/>
    <cellStyle name="输入 2 2 3 5 2 5" xfId="35700"/>
    <cellStyle name="输入 2 2 3 5 2 6" xfId="45104"/>
    <cellStyle name="输入 2 2 3 5 3" xfId="15608"/>
    <cellStyle name="输入 2 2 3 5 3 2" xfId="8558"/>
    <cellStyle name="输入 2 2 3 5 3 2 2" xfId="35707"/>
    <cellStyle name="输入 2 2 3 5 3 2 3" xfId="45111"/>
    <cellStyle name="输入 2 2 3 5 3 3" xfId="35706"/>
    <cellStyle name="输入 2 2 3 5 3 4" xfId="45110"/>
    <cellStyle name="输入 2 2 3 5 4" xfId="15609"/>
    <cellStyle name="输入 2 2 3 5 4 2" xfId="8559"/>
    <cellStyle name="输入 2 2 3 5 4 2 2" xfId="35709"/>
    <cellStyle name="输入 2 2 3 5 4 2 3" xfId="45113"/>
    <cellStyle name="输入 2 2 3 5 4 3" xfId="35708"/>
    <cellStyle name="输入 2 2 3 5 4 4" xfId="45112"/>
    <cellStyle name="输入 2 2 3 5 5" xfId="35710"/>
    <cellStyle name="输入 2 2 3 5 5 2" xfId="45114"/>
    <cellStyle name="输入 2 2 3 5 6" xfId="35699"/>
    <cellStyle name="输入 2 2 3 5 7" xfId="45103"/>
    <cellStyle name="输入 2 2 3 6" xfId="15610"/>
    <cellStyle name="输入 2 2 3 6 2" xfId="15611"/>
    <cellStyle name="输入 2 2 3 6 2 2" xfId="18548"/>
    <cellStyle name="输入 2 2 3 6 2 2 2" xfId="35713"/>
    <cellStyle name="输入 2 2 3 6 2 2 3" xfId="45117"/>
    <cellStyle name="输入 2 2 3 6 2 3" xfId="35712"/>
    <cellStyle name="输入 2 2 3 6 2 4" xfId="45116"/>
    <cellStyle name="输入 2 2 3 6 3" xfId="15612"/>
    <cellStyle name="输入 2 2 3 6 3 2" xfId="8560"/>
    <cellStyle name="输入 2 2 3 6 3 2 2" xfId="35715"/>
    <cellStyle name="输入 2 2 3 6 3 2 3" xfId="45119"/>
    <cellStyle name="输入 2 2 3 6 3 3" xfId="35714"/>
    <cellStyle name="输入 2 2 3 6 3 4" xfId="45118"/>
    <cellStyle name="输入 2 2 3 6 4" xfId="20671"/>
    <cellStyle name="输入 2 2 3 6 4 2" xfId="35716"/>
    <cellStyle name="输入 2 2 3 6 4 3" xfId="45120"/>
    <cellStyle name="输入 2 2 3 6 5" xfId="35711"/>
    <cellStyle name="输入 2 2 3 6 6" xfId="45115"/>
    <cellStyle name="输入 2 2 3 7" xfId="15613"/>
    <cellStyle name="输入 2 2 3 7 2" xfId="8561"/>
    <cellStyle name="输入 2 2 3 7 2 2" xfId="35718"/>
    <cellStyle name="输入 2 2 3 7 2 3" xfId="45122"/>
    <cellStyle name="输入 2 2 3 7 3" xfId="35717"/>
    <cellStyle name="输入 2 2 3 7 4" xfId="45121"/>
    <cellStyle name="输入 2 2 3 8" xfId="15614"/>
    <cellStyle name="输入 2 2 3 8 2" xfId="19230"/>
    <cellStyle name="输入 2 2 3 8 2 2" xfId="35720"/>
    <cellStyle name="输入 2 2 3 8 2 3" xfId="45124"/>
    <cellStyle name="输入 2 2 3 8 3" xfId="35719"/>
    <cellStyle name="输入 2 2 3 8 4" xfId="45123"/>
    <cellStyle name="输入 2 2 3 9" xfId="10385"/>
    <cellStyle name="输入 2 2 3 9 2" xfId="35721"/>
    <cellStyle name="输入 2 2 3 9 3" xfId="45125"/>
    <cellStyle name="输入 2 2 4" xfId="5468"/>
    <cellStyle name="输入 2 2 4 10" xfId="35722"/>
    <cellStyle name="输入 2 2 4 11" xfId="45126"/>
    <cellStyle name="输入 2 2 4 2" xfId="10391"/>
    <cellStyle name="输入 2 2 4 2 2" xfId="15615"/>
    <cellStyle name="输入 2 2 4 2 2 2" xfId="15616"/>
    <cellStyle name="输入 2 2 4 2 2 2 2" xfId="19228"/>
    <cellStyle name="输入 2 2 4 2 2 2 2 2" xfId="35726"/>
    <cellStyle name="输入 2 2 4 2 2 2 2 3" xfId="45130"/>
    <cellStyle name="输入 2 2 4 2 2 2 3" xfId="35725"/>
    <cellStyle name="输入 2 2 4 2 2 2 4" xfId="45129"/>
    <cellStyle name="输入 2 2 4 2 2 3" xfId="15617"/>
    <cellStyle name="输入 2 2 4 2 2 3 2" xfId="20670"/>
    <cellStyle name="输入 2 2 4 2 2 3 2 2" xfId="35728"/>
    <cellStyle name="输入 2 2 4 2 2 3 2 3" xfId="45132"/>
    <cellStyle name="输入 2 2 4 2 2 3 3" xfId="35727"/>
    <cellStyle name="输入 2 2 4 2 2 3 4" xfId="45131"/>
    <cellStyle name="输入 2 2 4 2 2 4" xfId="19229"/>
    <cellStyle name="输入 2 2 4 2 2 4 2" xfId="35729"/>
    <cellStyle name="输入 2 2 4 2 2 4 3" xfId="45133"/>
    <cellStyle name="输入 2 2 4 2 2 5" xfId="35724"/>
    <cellStyle name="输入 2 2 4 2 2 6" xfId="45128"/>
    <cellStyle name="输入 2 2 4 2 3" xfId="15618"/>
    <cellStyle name="输入 2 2 4 2 3 2" xfId="19227"/>
    <cellStyle name="输入 2 2 4 2 3 2 2" xfId="35731"/>
    <cellStyle name="输入 2 2 4 2 3 2 3" xfId="45135"/>
    <cellStyle name="输入 2 2 4 2 3 3" xfId="35730"/>
    <cellStyle name="输入 2 2 4 2 3 4" xfId="45134"/>
    <cellStyle name="输入 2 2 4 2 4" xfId="15619"/>
    <cellStyle name="输入 2 2 4 2 4 2" xfId="19226"/>
    <cellStyle name="输入 2 2 4 2 4 2 2" xfId="35733"/>
    <cellStyle name="输入 2 2 4 2 4 2 3" xfId="45137"/>
    <cellStyle name="输入 2 2 4 2 4 3" xfId="35732"/>
    <cellStyle name="输入 2 2 4 2 4 4" xfId="45136"/>
    <cellStyle name="输入 2 2 4 2 5" xfId="35734"/>
    <cellStyle name="输入 2 2 4 2 5 2" xfId="45138"/>
    <cellStyle name="输入 2 2 4 2 6" xfId="35723"/>
    <cellStyle name="输入 2 2 4 2 7" xfId="45127"/>
    <cellStyle name="输入 2 2 4 3" xfId="10392"/>
    <cellStyle name="输入 2 2 4 3 2" xfId="15620"/>
    <cellStyle name="输入 2 2 4 3 2 2" xfId="15621"/>
    <cellStyle name="输入 2 2 4 3 2 2 2" xfId="19224"/>
    <cellStyle name="输入 2 2 4 3 2 2 2 2" xfId="35738"/>
    <cellStyle name="输入 2 2 4 3 2 2 2 3" xfId="45142"/>
    <cellStyle name="输入 2 2 4 3 2 2 3" xfId="35737"/>
    <cellStyle name="输入 2 2 4 3 2 2 4" xfId="45141"/>
    <cellStyle name="输入 2 2 4 3 2 3" xfId="15622"/>
    <cellStyle name="输入 2 2 4 3 2 3 2" xfId="19223"/>
    <cellStyle name="输入 2 2 4 3 2 3 2 2" xfId="35740"/>
    <cellStyle name="输入 2 2 4 3 2 3 2 3" xfId="45144"/>
    <cellStyle name="输入 2 2 4 3 2 3 3" xfId="35739"/>
    <cellStyle name="输入 2 2 4 3 2 3 4" xfId="45143"/>
    <cellStyle name="输入 2 2 4 3 2 4" xfId="19225"/>
    <cellStyle name="输入 2 2 4 3 2 4 2" xfId="35741"/>
    <cellStyle name="输入 2 2 4 3 2 4 3" xfId="45145"/>
    <cellStyle name="输入 2 2 4 3 2 5" xfId="35736"/>
    <cellStyle name="输入 2 2 4 3 2 6" xfId="45140"/>
    <cellStyle name="输入 2 2 4 3 3" xfId="15623"/>
    <cellStyle name="输入 2 2 4 3 3 2" xfId="20669"/>
    <cellStyle name="输入 2 2 4 3 3 2 2" xfId="35743"/>
    <cellStyle name="输入 2 2 4 3 3 2 3" xfId="45147"/>
    <cellStyle name="输入 2 2 4 3 3 3" xfId="35742"/>
    <cellStyle name="输入 2 2 4 3 3 4" xfId="45146"/>
    <cellStyle name="输入 2 2 4 3 4" xfId="15624"/>
    <cellStyle name="输入 2 2 4 3 4 2" xfId="8562"/>
    <cellStyle name="输入 2 2 4 3 4 2 2" xfId="35745"/>
    <cellStyle name="输入 2 2 4 3 4 2 3" xfId="45149"/>
    <cellStyle name="输入 2 2 4 3 4 3" xfId="35744"/>
    <cellStyle name="输入 2 2 4 3 4 4" xfId="45148"/>
    <cellStyle name="输入 2 2 4 3 5" xfId="35746"/>
    <cellStyle name="输入 2 2 4 3 5 2" xfId="45150"/>
    <cellStyle name="输入 2 2 4 3 6" xfId="35735"/>
    <cellStyle name="输入 2 2 4 3 7" xfId="45139"/>
    <cellStyle name="输入 2 2 4 4" xfId="10393"/>
    <cellStyle name="输入 2 2 4 4 2" xfId="15625"/>
    <cellStyle name="输入 2 2 4 4 2 2" xfId="15626"/>
    <cellStyle name="输入 2 2 4 4 2 2 2" xfId="19221"/>
    <cellStyle name="输入 2 2 4 4 2 2 2 2" xfId="35750"/>
    <cellStyle name="输入 2 2 4 4 2 2 2 3" xfId="45154"/>
    <cellStyle name="输入 2 2 4 4 2 2 3" xfId="35749"/>
    <cellStyle name="输入 2 2 4 4 2 2 4" xfId="45153"/>
    <cellStyle name="输入 2 2 4 4 2 3" xfId="15627"/>
    <cellStyle name="输入 2 2 4 4 2 3 2" xfId="19220"/>
    <cellStyle name="输入 2 2 4 4 2 3 2 2" xfId="35752"/>
    <cellStyle name="输入 2 2 4 4 2 3 2 3" xfId="45156"/>
    <cellStyle name="输入 2 2 4 4 2 3 3" xfId="35751"/>
    <cellStyle name="输入 2 2 4 4 2 3 4" xfId="45155"/>
    <cellStyle name="输入 2 2 4 4 2 4" xfId="19222"/>
    <cellStyle name="输入 2 2 4 4 2 4 2" xfId="35753"/>
    <cellStyle name="输入 2 2 4 4 2 4 3" xfId="45157"/>
    <cellStyle name="输入 2 2 4 4 2 5" xfId="35748"/>
    <cellStyle name="输入 2 2 4 4 2 6" xfId="45152"/>
    <cellStyle name="输入 2 2 4 4 3" xfId="15628"/>
    <cellStyle name="输入 2 2 4 4 3 2" xfId="19219"/>
    <cellStyle name="输入 2 2 4 4 3 2 2" xfId="35755"/>
    <cellStyle name="输入 2 2 4 4 3 2 3" xfId="45159"/>
    <cellStyle name="输入 2 2 4 4 3 3" xfId="35754"/>
    <cellStyle name="输入 2 2 4 4 3 4" xfId="45158"/>
    <cellStyle name="输入 2 2 4 4 4" xfId="15629"/>
    <cellStyle name="输入 2 2 4 4 4 2" xfId="20668"/>
    <cellStyle name="输入 2 2 4 4 4 2 2" xfId="35757"/>
    <cellStyle name="输入 2 2 4 4 4 2 3" xfId="45161"/>
    <cellStyle name="输入 2 2 4 4 4 3" xfId="35756"/>
    <cellStyle name="输入 2 2 4 4 4 4" xfId="45160"/>
    <cellStyle name="输入 2 2 4 4 5" xfId="35758"/>
    <cellStyle name="输入 2 2 4 4 5 2" xfId="45162"/>
    <cellStyle name="输入 2 2 4 4 6" xfId="35747"/>
    <cellStyle name="输入 2 2 4 4 7" xfId="45151"/>
    <cellStyle name="输入 2 2 4 5" xfId="10394"/>
    <cellStyle name="输入 2 2 4 5 2" xfId="15630"/>
    <cellStyle name="输入 2 2 4 5 2 2" xfId="15631"/>
    <cellStyle name="输入 2 2 4 5 2 2 2" xfId="19218"/>
    <cellStyle name="输入 2 2 4 5 2 2 2 2" xfId="35762"/>
    <cellStyle name="输入 2 2 4 5 2 2 2 3" xfId="45166"/>
    <cellStyle name="输入 2 2 4 5 2 2 3" xfId="35761"/>
    <cellStyle name="输入 2 2 4 5 2 2 4" xfId="45165"/>
    <cellStyle name="输入 2 2 4 5 2 3" xfId="15632"/>
    <cellStyle name="输入 2 2 4 5 2 3 2" xfId="19217"/>
    <cellStyle name="输入 2 2 4 5 2 3 2 2" xfId="35764"/>
    <cellStyle name="输入 2 2 4 5 2 3 2 3" xfId="45168"/>
    <cellStyle name="输入 2 2 4 5 2 3 3" xfId="35763"/>
    <cellStyle name="输入 2 2 4 5 2 3 4" xfId="45167"/>
    <cellStyle name="输入 2 2 4 5 2 4" xfId="8563"/>
    <cellStyle name="输入 2 2 4 5 2 4 2" xfId="35765"/>
    <cellStyle name="输入 2 2 4 5 2 4 3" xfId="45169"/>
    <cellStyle name="输入 2 2 4 5 2 5" xfId="35760"/>
    <cellStyle name="输入 2 2 4 5 2 6" xfId="45164"/>
    <cellStyle name="输入 2 2 4 5 3" xfId="15633"/>
    <cellStyle name="输入 2 2 4 5 3 2" xfId="19216"/>
    <cellStyle name="输入 2 2 4 5 3 2 2" xfId="35767"/>
    <cellStyle name="输入 2 2 4 5 3 2 3" xfId="45171"/>
    <cellStyle name="输入 2 2 4 5 3 3" xfId="35766"/>
    <cellStyle name="输入 2 2 4 5 3 4" xfId="45170"/>
    <cellStyle name="输入 2 2 4 5 4" xfId="15634"/>
    <cellStyle name="输入 2 2 4 5 4 2" xfId="19215"/>
    <cellStyle name="输入 2 2 4 5 4 2 2" xfId="35769"/>
    <cellStyle name="输入 2 2 4 5 4 2 3" xfId="45173"/>
    <cellStyle name="输入 2 2 4 5 4 3" xfId="35768"/>
    <cellStyle name="输入 2 2 4 5 4 4" xfId="45172"/>
    <cellStyle name="输入 2 2 4 5 5" xfId="35770"/>
    <cellStyle name="输入 2 2 4 5 5 2" xfId="45174"/>
    <cellStyle name="输入 2 2 4 5 6" xfId="35759"/>
    <cellStyle name="输入 2 2 4 5 7" xfId="45163"/>
    <cellStyle name="输入 2 2 4 6" xfId="15635"/>
    <cellStyle name="输入 2 2 4 6 2" xfId="15636"/>
    <cellStyle name="输入 2 2 4 6 2 2" xfId="19214"/>
    <cellStyle name="输入 2 2 4 6 2 2 2" xfId="35773"/>
    <cellStyle name="输入 2 2 4 6 2 2 3" xfId="45177"/>
    <cellStyle name="输入 2 2 4 6 2 3" xfId="35772"/>
    <cellStyle name="输入 2 2 4 6 2 4" xfId="45176"/>
    <cellStyle name="输入 2 2 4 6 3" xfId="15637"/>
    <cellStyle name="输入 2 2 4 6 3 2" xfId="19213"/>
    <cellStyle name="输入 2 2 4 6 3 2 2" xfId="35775"/>
    <cellStyle name="输入 2 2 4 6 3 2 3" xfId="45179"/>
    <cellStyle name="输入 2 2 4 6 3 3" xfId="35774"/>
    <cellStyle name="输入 2 2 4 6 3 4" xfId="45178"/>
    <cellStyle name="输入 2 2 4 6 4" xfId="8564"/>
    <cellStyle name="输入 2 2 4 6 4 2" xfId="35776"/>
    <cellStyle name="输入 2 2 4 6 4 3" xfId="45180"/>
    <cellStyle name="输入 2 2 4 6 5" xfId="35771"/>
    <cellStyle name="输入 2 2 4 6 6" xfId="45175"/>
    <cellStyle name="输入 2 2 4 7" xfId="15638"/>
    <cellStyle name="输入 2 2 4 7 2" xfId="19212"/>
    <cellStyle name="输入 2 2 4 7 2 2" xfId="35778"/>
    <cellStyle name="输入 2 2 4 7 2 3" xfId="45182"/>
    <cellStyle name="输入 2 2 4 7 3" xfId="35777"/>
    <cellStyle name="输入 2 2 4 7 4" xfId="45181"/>
    <cellStyle name="输入 2 2 4 8" xfId="15639"/>
    <cellStyle name="输入 2 2 4 8 2" xfId="19211"/>
    <cellStyle name="输入 2 2 4 8 2 2" xfId="35780"/>
    <cellStyle name="输入 2 2 4 8 2 3" xfId="45184"/>
    <cellStyle name="输入 2 2 4 8 3" xfId="35779"/>
    <cellStyle name="输入 2 2 4 8 4" xfId="45183"/>
    <cellStyle name="输入 2 2 4 9" xfId="10390"/>
    <cellStyle name="输入 2 2 4 9 2" xfId="35781"/>
    <cellStyle name="输入 2 2 4 9 3" xfId="45185"/>
    <cellStyle name="输入 2 2 5" xfId="10395"/>
    <cellStyle name="输入 2 2 5 10" xfId="35782"/>
    <cellStyle name="输入 2 2 5 11" xfId="45186"/>
    <cellStyle name="输入 2 2 5 2" xfId="10396"/>
    <cellStyle name="输入 2 2 5 2 2" xfId="15640"/>
    <cellStyle name="输入 2 2 5 2 2 2" xfId="15641"/>
    <cellStyle name="输入 2 2 5 2 2 2 2" xfId="20666"/>
    <cellStyle name="输入 2 2 5 2 2 2 2 2" xfId="35786"/>
    <cellStyle name="输入 2 2 5 2 2 2 2 3" xfId="45190"/>
    <cellStyle name="输入 2 2 5 2 2 2 3" xfId="35785"/>
    <cellStyle name="输入 2 2 5 2 2 2 4" xfId="45189"/>
    <cellStyle name="输入 2 2 5 2 2 3" xfId="15642"/>
    <cellStyle name="输入 2 2 5 2 2 3 2" xfId="8565"/>
    <cellStyle name="输入 2 2 5 2 2 3 2 2" xfId="35788"/>
    <cellStyle name="输入 2 2 5 2 2 3 2 3" xfId="45192"/>
    <cellStyle name="输入 2 2 5 2 2 3 3" xfId="35787"/>
    <cellStyle name="输入 2 2 5 2 2 3 4" xfId="45191"/>
    <cellStyle name="输入 2 2 5 2 2 4" xfId="20667"/>
    <cellStyle name="输入 2 2 5 2 2 4 2" xfId="35789"/>
    <cellStyle name="输入 2 2 5 2 2 4 3" xfId="45193"/>
    <cellStyle name="输入 2 2 5 2 2 5" xfId="35784"/>
    <cellStyle name="输入 2 2 5 2 2 6" xfId="45188"/>
    <cellStyle name="输入 2 2 5 2 3" xfId="15643"/>
    <cellStyle name="输入 2 2 5 2 3 2" xfId="19210"/>
    <cellStyle name="输入 2 2 5 2 3 2 2" xfId="35791"/>
    <cellStyle name="输入 2 2 5 2 3 2 3" xfId="45195"/>
    <cellStyle name="输入 2 2 5 2 3 3" xfId="35790"/>
    <cellStyle name="输入 2 2 5 2 3 4" xfId="45194"/>
    <cellStyle name="输入 2 2 5 2 4" xfId="15644"/>
    <cellStyle name="输入 2 2 5 2 4 2" xfId="19209"/>
    <cellStyle name="输入 2 2 5 2 4 2 2" xfId="35793"/>
    <cellStyle name="输入 2 2 5 2 4 2 3" xfId="45197"/>
    <cellStyle name="输入 2 2 5 2 4 3" xfId="35792"/>
    <cellStyle name="输入 2 2 5 2 4 4" xfId="45196"/>
    <cellStyle name="输入 2 2 5 2 5" xfId="35794"/>
    <cellStyle name="输入 2 2 5 2 5 2" xfId="45198"/>
    <cellStyle name="输入 2 2 5 2 6" xfId="35783"/>
    <cellStyle name="输入 2 2 5 2 7" xfId="45187"/>
    <cellStyle name="输入 2 2 5 3" xfId="10397"/>
    <cellStyle name="输入 2 2 5 3 2" xfId="15645"/>
    <cellStyle name="输入 2 2 5 3 2 2" xfId="15646"/>
    <cellStyle name="输入 2 2 5 3 2 2 2" xfId="19207"/>
    <cellStyle name="输入 2 2 5 3 2 2 2 2" xfId="35798"/>
    <cellStyle name="输入 2 2 5 3 2 2 2 3" xfId="45202"/>
    <cellStyle name="输入 2 2 5 3 2 2 3" xfId="35797"/>
    <cellStyle name="输入 2 2 5 3 2 2 4" xfId="45201"/>
    <cellStyle name="输入 2 2 5 3 2 3" xfId="15647"/>
    <cellStyle name="输入 2 2 5 3 2 3 2" xfId="18547"/>
    <cellStyle name="输入 2 2 5 3 2 3 2 2" xfId="35800"/>
    <cellStyle name="输入 2 2 5 3 2 3 2 3" xfId="45204"/>
    <cellStyle name="输入 2 2 5 3 2 3 3" xfId="35799"/>
    <cellStyle name="输入 2 2 5 3 2 3 4" xfId="45203"/>
    <cellStyle name="输入 2 2 5 3 2 4" xfId="19208"/>
    <cellStyle name="输入 2 2 5 3 2 4 2" xfId="35801"/>
    <cellStyle name="输入 2 2 5 3 2 4 3" xfId="45205"/>
    <cellStyle name="输入 2 2 5 3 2 5" xfId="35796"/>
    <cellStyle name="输入 2 2 5 3 2 6" xfId="45200"/>
    <cellStyle name="输入 2 2 5 3 3" xfId="15648"/>
    <cellStyle name="输入 2 2 5 3 3 2" xfId="19206"/>
    <cellStyle name="输入 2 2 5 3 3 2 2" xfId="35803"/>
    <cellStyle name="输入 2 2 5 3 3 2 3" xfId="45207"/>
    <cellStyle name="输入 2 2 5 3 3 3" xfId="35802"/>
    <cellStyle name="输入 2 2 5 3 3 4" xfId="45206"/>
    <cellStyle name="输入 2 2 5 3 4" xfId="15649"/>
    <cellStyle name="输入 2 2 5 3 4 2" xfId="19205"/>
    <cellStyle name="输入 2 2 5 3 4 2 2" xfId="35805"/>
    <cellStyle name="输入 2 2 5 3 4 2 3" xfId="45209"/>
    <cellStyle name="输入 2 2 5 3 4 3" xfId="35804"/>
    <cellStyle name="输入 2 2 5 3 4 4" xfId="45208"/>
    <cellStyle name="输入 2 2 5 3 5" xfId="35806"/>
    <cellStyle name="输入 2 2 5 3 5 2" xfId="45210"/>
    <cellStyle name="输入 2 2 5 3 6" xfId="35795"/>
    <cellStyle name="输入 2 2 5 3 7" xfId="45199"/>
    <cellStyle name="输入 2 2 5 4" xfId="10398"/>
    <cellStyle name="输入 2 2 5 4 2" xfId="15650"/>
    <cellStyle name="输入 2 2 5 4 2 2" xfId="15651"/>
    <cellStyle name="输入 2 2 5 4 2 2 2" xfId="19203"/>
    <cellStyle name="输入 2 2 5 4 2 2 2 2" xfId="35810"/>
    <cellStyle name="输入 2 2 5 4 2 2 2 3" xfId="45214"/>
    <cellStyle name="输入 2 2 5 4 2 2 3" xfId="35809"/>
    <cellStyle name="输入 2 2 5 4 2 2 4" xfId="45213"/>
    <cellStyle name="输入 2 2 5 4 2 3" xfId="15652"/>
    <cellStyle name="输入 2 2 5 4 2 3 2" xfId="8566"/>
    <cellStyle name="输入 2 2 5 4 2 3 2 2" xfId="35812"/>
    <cellStyle name="输入 2 2 5 4 2 3 2 3" xfId="45216"/>
    <cellStyle name="输入 2 2 5 4 2 3 3" xfId="35811"/>
    <cellStyle name="输入 2 2 5 4 2 3 4" xfId="45215"/>
    <cellStyle name="输入 2 2 5 4 2 4" xfId="19204"/>
    <cellStyle name="输入 2 2 5 4 2 4 2" xfId="35813"/>
    <cellStyle name="输入 2 2 5 4 2 4 3" xfId="45217"/>
    <cellStyle name="输入 2 2 5 4 2 5" xfId="35808"/>
    <cellStyle name="输入 2 2 5 4 2 6" xfId="45212"/>
    <cellStyle name="输入 2 2 5 4 3" xfId="15653"/>
    <cellStyle name="输入 2 2 5 4 3 2" xfId="18546"/>
    <cellStyle name="输入 2 2 5 4 3 2 2" xfId="35815"/>
    <cellStyle name="输入 2 2 5 4 3 2 3" xfId="45219"/>
    <cellStyle name="输入 2 2 5 4 3 3" xfId="35814"/>
    <cellStyle name="输入 2 2 5 4 3 4" xfId="45218"/>
    <cellStyle name="输入 2 2 5 4 4" xfId="15654"/>
    <cellStyle name="输入 2 2 5 4 4 2" xfId="19202"/>
    <cellStyle name="输入 2 2 5 4 4 2 2" xfId="35817"/>
    <cellStyle name="输入 2 2 5 4 4 2 3" xfId="45221"/>
    <cellStyle name="输入 2 2 5 4 4 3" xfId="35816"/>
    <cellStyle name="输入 2 2 5 4 4 4" xfId="45220"/>
    <cellStyle name="输入 2 2 5 4 5" xfId="35818"/>
    <cellStyle name="输入 2 2 5 4 5 2" xfId="45222"/>
    <cellStyle name="输入 2 2 5 4 6" xfId="35807"/>
    <cellStyle name="输入 2 2 5 4 7" xfId="45211"/>
    <cellStyle name="输入 2 2 5 5" xfId="10399"/>
    <cellStyle name="输入 2 2 5 5 2" xfId="15655"/>
    <cellStyle name="输入 2 2 5 5 2 2" xfId="15656"/>
    <cellStyle name="输入 2 2 5 5 2 2 2" xfId="19200"/>
    <cellStyle name="输入 2 2 5 5 2 2 2 2" xfId="35822"/>
    <cellStyle name="输入 2 2 5 5 2 2 2 3" xfId="45226"/>
    <cellStyle name="输入 2 2 5 5 2 2 3" xfId="35821"/>
    <cellStyle name="输入 2 2 5 5 2 2 4" xfId="45225"/>
    <cellStyle name="输入 2 2 5 5 2 3" xfId="15657"/>
    <cellStyle name="输入 2 2 5 5 2 3 2" xfId="19199"/>
    <cellStyle name="输入 2 2 5 5 2 3 2 2" xfId="35824"/>
    <cellStyle name="输入 2 2 5 5 2 3 2 3" xfId="45228"/>
    <cellStyle name="输入 2 2 5 5 2 3 3" xfId="35823"/>
    <cellStyle name="输入 2 2 5 5 2 3 4" xfId="45227"/>
    <cellStyle name="输入 2 2 5 5 2 4" xfId="19201"/>
    <cellStyle name="输入 2 2 5 5 2 4 2" xfId="35825"/>
    <cellStyle name="输入 2 2 5 5 2 4 3" xfId="45229"/>
    <cellStyle name="输入 2 2 5 5 2 5" xfId="35820"/>
    <cellStyle name="输入 2 2 5 5 2 6" xfId="45224"/>
    <cellStyle name="输入 2 2 5 5 3" xfId="15658"/>
    <cellStyle name="输入 2 2 5 5 3 2" xfId="8567"/>
    <cellStyle name="输入 2 2 5 5 3 2 2" xfId="35827"/>
    <cellStyle name="输入 2 2 5 5 3 2 3" xfId="45231"/>
    <cellStyle name="输入 2 2 5 5 3 3" xfId="35826"/>
    <cellStyle name="输入 2 2 5 5 3 4" xfId="45230"/>
    <cellStyle name="输入 2 2 5 5 4" xfId="15659"/>
    <cellStyle name="输入 2 2 5 5 4 2" xfId="20665"/>
    <cellStyle name="输入 2 2 5 5 4 2 2" xfId="35829"/>
    <cellStyle name="输入 2 2 5 5 4 2 3" xfId="45233"/>
    <cellStyle name="输入 2 2 5 5 4 3" xfId="35828"/>
    <cellStyle name="输入 2 2 5 5 4 4" xfId="45232"/>
    <cellStyle name="输入 2 2 5 5 5" xfId="35830"/>
    <cellStyle name="输入 2 2 5 5 5 2" xfId="45234"/>
    <cellStyle name="输入 2 2 5 5 6" xfId="35819"/>
    <cellStyle name="输入 2 2 5 5 7" xfId="45223"/>
    <cellStyle name="输入 2 2 5 6" xfId="15660"/>
    <cellStyle name="输入 2 2 5 6 2" xfId="15661"/>
    <cellStyle name="输入 2 2 5 6 2 2" xfId="19197"/>
    <cellStyle name="输入 2 2 5 6 2 2 2" xfId="35833"/>
    <cellStyle name="输入 2 2 5 6 2 2 3" xfId="45237"/>
    <cellStyle name="输入 2 2 5 6 2 3" xfId="35832"/>
    <cellStyle name="输入 2 2 5 6 2 4" xfId="45236"/>
    <cellStyle name="输入 2 2 5 6 3" xfId="15662"/>
    <cellStyle name="输入 2 2 5 6 3 2" xfId="19196"/>
    <cellStyle name="输入 2 2 5 6 3 2 2" xfId="35835"/>
    <cellStyle name="输入 2 2 5 6 3 2 3" xfId="45239"/>
    <cellStyle name="输入 2 2 5 6 3 3" xfId="35834"/>
    <cellStyle name="输入 2 2 5 6 3 4" xfId="45238"/>
    <cellStyle name="输入 2 2 5 6 4" xfId="19198"/>
    <cellStyle name="输入 2 2 5 6 4 2" xfId="35836"/>
    <cellStyle name="输入 2 2 5 6 4 3" xfId="45240"/>
    <cellStyle name="输入 2 2 5 6 5" xfId="35831"/>
    <cellStyle name="输入 2 2 5 6 6" xfId="45235"/>
    <cellStyle name="输入 2 2 5 7" xfId="15663"/>
    <cellStyle name="输入 2 2 5 7 2" xfId="19195"/>
    <cellStyle name="输入 2 2 5 7 2 2" xfId="35838"/>
    <cellStyle name="输入 2 2 5 7 2 3" xfId="45242"/>
    <cellStyle name="输入 2 2 5 7 3" xfId="35837"/>
    <cellStyle name="输入 2 2 5 7 4" xfId="45241"/>
    <cellStyle name="输入 2 2 5 8" xfId="15664"/>
    <cellStyle name="输入 2 2 5 8 2" xfId="18278"/>
    <cellStyle name="输入 2 2 5 8 2 2" xfId="35840"/>
    <cellStyle name="输入 2 2 5 8 2 3" xfId="45244"/>
    <cellStyle name="输入 2 2 5 8 3" xfId="35839"/>
    <cellStyle name="输入 2 2 5 8 4" xfId="45243"/>
    <cellStyle name="输入 2 2 5 9" xfId="35841"/>
    <cellStyle name="输入 2 2 5 9 2" xfId="45245"/>
    <cellStyle name="输入 2 2 6" xfId="10400"/>
    <cellStyle name="输入 2 2 6 10" xfId="35842"/>
    <cellStyle name="输入 2 2 6 11" xfId="45246"/>
    <cellStyle name="输入 2 2 6 2" xfId="10401"/>
    <cellStyle name="输入 2 2 6 2 2" xfId="15665"/>
    <cellStyle name="输入 2 2 6 2 2 2" xfId="15666"/>
    <cellStyle name="输入 2 2 6 2 2 2 2" xfId="8568"/>
    <cellStyle name="输入 2 2 6 2 2 2 2 2" xfId="35846"/>
    <cellStyle name="输入 2 2 6 2 2 2 2 3" xfId="45250"/>
    <cellStyle name="输入 2 2 6 2 2 2 3" xfId="35845"/>
    <cellStyle name="输入 2 2 6 2 2 2 4" xfId="45249"/>
    <cellStyle name="输入 2 2 6 2 2 3" xfId="15667"/>
    <cellStyle name="输入 2 2 6 2 2 3 2" xfId="19194"/>
    <cellStyle name="输入 2 2 6 2 2 3 2 2" xfId="35848"/>
    <cellStyle name="输入 2 2 6 2 2 3 2 3" xfId="45252"/>
    <cellStyle name="输入 2 2 6 2 2 3 3" xfId="35847"/>
    <cellStyle name="输入 2 2 6 2 2 3 4" xfId="45251"/>
    <cellStyle name="输入 2 2 6 2 2 4" xfId="19582"/>
    <cellStyle name="输入 2 2 6 2 2 4 2" xfId="35849"/>
    <cellStyle name="输入 2 2 6 2 2 4 3" xfId="45253"/>
    <cellStyle name="输入 2 2 6 2 2 5" xfId="35844"/>
    <cellStyle name="输入 2 2 6 2 2 6" xfId="45248"/>
    <cellStyle name="输入 2 2 6 2 3" xfId="15668"/>
    <cellStyle name="输入 2 2 6 2 3 2" xfId="19193"/>
    <cellStyle name="输入 2 2 6 2 3 2 2" xfId="35851"/>
    <cellStyle name="输入 2 2 6 2 3 2 3" xfId="45255"/>
    <cellStyle name="输入 2 2 6 2 3 3" xfId="35850"/>
    <cellStyle name="输入 2 2 6 2 3 4" xfId="45254"/>
    <cellStyle name="输入 2 2 6 2 4" xfId="15669"/>
    <cellStyle name="输入 2 2 6 2 4 2" xfId="19192"/>
    <cellStyle name="输入 2 2 6 2 4 2 2" xfId="35853"/>
    <cellStyle name="输入 2 2 6 2 4 2 3" xfId="45257"/>
    <cellStyle name="输入 2 2 6 2 4 3" xfId="35852"/>
    <cellStyle name="输入 2 2 6 2 4 4" xfId="45256"/>
    <cellStyle name="输入 2 2 6 2 5" xfId="35854"/>
    <cellStyle name="输入 2 2 6 2 5 2" xfId="45258"/>
    <cellStyle name="输入 2 2 6 2 6" xfId="35843"/>
    <cellStyle name="输入 2 2 6 2 7" xfId="45247"/>
    <cellStyle name="输入 2 2 6 3" xfId="10402"/>
    <cellStyle name="输入 2 2 6 3 2" xfId="15670"/>
    <cellStyle name="输入 2 2 6 3 2 2" xfId="15671"/>
    <cellStyle name="输入 2 2 6 3 2 2 2" xfId="8569"/>
    <cellStyle name="输入 2 2 6 3 2 2 2 2" xfId="35858"/>
    <cellStyle name="输入 2 2 6 3 2 2 2 3" xfId="45262"/>
    <cellStyle name="输入 2 2 6 3 2 2 3" xfId="35857"/>
    <cellStyle name="输入 2 2 6 3 2 2 4" xfId="45261"/>
    <cellStyle name="输入 2 2 6 3 2 3" xfId="15672"/>
    <cellStyle name="输入 2 2 6 3 2 3 2" xfId="20664"/>
    <cellStyle name="输入 2 2 6 3 2 3 2 2" xfId="35860"/>
    <cellStyle name="输入 2 2 6 3 2 3 2 3" xfId="45264"/>
    <cellStyle name="输入 2 2 6 3 2 3 3" xfId="35859"/>
    <cellStyle name="输入 2 2 6 3 2 3 4" xfId="45263"/>
    <cellStyle name="输入 2 2 6 3 2 4" xfId="19191"/>
    <cellStyle name="输入 2 2 6 3 2 4 2" xfId="35861"/>
    <cellStyle name="输入 2 2 6 3 2 4 3" xfId="45265"/>
    <cellStyle name="输入 2 2 6 3 2 5" xfId="35856"/>
    <cellStyle name="输入 2 2 6 3 2 6" xfId="45260"/>
    <cellStyle name="输入 2 2 6 3 3" xfId="15673"/>
    <cellStyle name="输入 2 2 6 3 3 2" xfId="20663"/>
    <cellStyle name="输入 2 2 6 3 3 2 2" xfId="35863"/>
    <cellStyle name="输入 2 2 6 3 3 2 3" xfId="45267"/>
    <cellStyle name="输入 2 2 6 3 3 3" xfId="35862"/>
    <cellStyle name="输入 2 2 6 3 3 4" xfId="45266"/>
    <cellStyle name="输入 2 2 6 3 4" xfId="15674"/>
    <cellStyle name="输入 2 2 6 3 4 2" xfId="8570"/>
    <cellStyle name="输入 2 2 6 3 4 2 2" xfId="35865"/>
    <cellStyle name="输入 2 2 6 3 4 2 3" xfId="45269"/>
    <cellStyle name="输入 2 2 6 3 4 3" xfId="35864"/>
    <cellStyle name="输入 2 2 6 3 4 4" xfId="45268"/>
    <cellStyle name="输入 2 2 6 3 5" xfId="35866"/>
    <cellStyle name="输入 2 2 6 3 5 2" xfId="45270"/>
    <cellStyle name="输入 2 2 6 3 6" xfId="35855"/>
    <cellStyle name="输入 2 2 6 3 7" xfId="45259"/>
    <cellStyle name="输入 2 2 6 4" xfId="10403"/>
    <cellStyle name="输入 2 2 6 4 2" xfId="15675"/>
    <cellStyle name="输入 2 2 6 4 2 2" xfId="15676"/>
    <cellStyle name="输入 2 2 6 4 2 2 2" xfId="19189"/>
    <cellStyle name="输入 2 2 6 4 2 2 2 2" xfId="35870"/>
    <cellStyle name="输入 2 2 6 4 2 2 2 3" xfId="45274"/>
    <cellStyle name="输入 2 2 6 4 2 2 3" xfId="35869"/>
    <cellStyle name="输入 2 2 6 4 2 2 4" xfId="45273"/>
    <cellStyle name="输入 2 2 6 4 2 3" xfId="15677"/>
    <cellStyle name="输入 2 2 6 4 2 3 2" xfId="19188"/>
    <cellStyle name="输入 2 2 6 4 2 3 2 2" xfId="35872"/>
    <cellStyle name="输入 2 2 6 4 2 3 2 3" xfId="45276"/>
    <cellStyle name="输入 2 2 6 4 2 3 3" xfId="35871"/>
    <cellStyle name="输入 2 2 6 4 2 3 4" xfId="45275"/>
    <cellStyle name="输入 2 2 6 4 2 4" xfId="19190"/>
    <cellStyle name="输入 2 2 6 4 2 4 2" xfId="35873"/>
    <cellStyle name="输入 2 2 6 4 2 4 3" xfId="45277"/>
    <cellStyle name="输入 2 2 6 4 2 5" xfId="35868"/>
    <cellStyle name="输入 2 2 6 4 2 6" xfId="45272"/>
    <cellStyle name="输入 2 2 6 4 3" xfId="15678"/>
    <cellStyle name="输入 2 2 6 4 3 2" xfId="19187"/>
    <cellStyle name="输入 2 2 6 4 3 2 2" xfId="35875"/>
    <cellStyle name="输入 2 2 6 4 3 2 3" xfId="45279"/>
    <cellStyle name="输入 2 2 6 4 3 3" xfId="35874"/>
    <cellStyle name="输入 2 2 6 4 3 4" xfId="45278"/>
    <cellStyle name="输入 2 2 6 4 4" xfId="15679"/>
    <cellStyle name="输入 2 2 6 4 4 2" xfId="20662"/>
    <cellStyle name="输入 2 2 6 4 4 2 2" xfId="35877"/>
    <cellStyle name="输入 2 2 6 4 4 2 3" xfId="45281"/>
    <cellStyle name="输入 2 2 6 4 4 3" xfId="35876"/>
    <cellStyle name="输入 2 2 6 4 4 4" xfId="45280"/>
    <cellStyle name="输入 2 2 6 4 5" xfId="35878"/>
    <cellStyle name="输入 2 2 6 4 5 2" xfId="45282"/>
    <cellStyle name="输入 2 2 6 4 6" xfId="35867"/>
    <cellStyle name="输入 2 2 6 4 7" xfId="45271"/>
    <cellStyle name="输入 2 2 6 5" xfId="10404"/>
    <cellStyle name="输入 2 2 6 5 2" xfId="15680"/>
    <cellStyle name="输入 2 2 6 5 2 2" xfId="15681"/>
    <cellStyle name="输入 2 2 6 5 2 2 2" xfId="19186"/>
    <cellStyle name="输入 2 2 6 5 2 2 2 2" xfId="35882"/>
    <cellStyle name="输入 2 2 6 5 2 2 2 3" xfId="45286"/>
    <cellStyle name="输入 2 2 6 5 2 2 3" xfId="35881"/>
    <cellStyle name="输入 2 2 6 5 2 2 4" xfId="45285"/>
    <cellStyle name="输入 2 2 6 5 2 3" xfId="15682"/>
    <cellStyle name="输入 2 2 6 5 2 3 2" xfId="19185"/>
    <cellStyle name="输入 2 2 6 5 2 3 2 2" xfId="35884"/>
    <cellStyle name="输入 2 2 6 5 2 3 2 3" xfId="45288"/>
    <cellStyle name="输入 2 2 6 5 2 3 3" xfId="35883"/>
    <cellStyle name="输入 2 2 6 5 2 3 4" xfId="45287"/>
    <cellStyle name="输入 2 2 6 5 2 4" xfId="19581"/>
    <cellStyle name="输入 2 2 6 5 2 4 2" xfId="35885"/>
    <cellStyle name="输入 2 2 6 5 2 4 3" xfId="45289"/>
    <cellStyle name="输入 2 2 6 5 2 5" xfId="35880"/>
    <cellStyle name="输入 2 2 6 5 2 6" xfId="45284"/>
    <cellStyle name="输入 2 2 6 5 3" xfId="15683"/>
    <cellStyle name="输入 2 2 6 5 3 2" xfId="19184"/>
    <cellStyle name="输入 2 2 6 5 3 2 2" xfId="35887"/>
    <cellStyle name="输入 2 2 6 5 3 2 3" xfId="45291"/>
    <cellStyle name="输入 2 2 6 5 3 3" xfId="35886"/>
    <cellStyle name="输入 2 2 6 5 3 4" xfId="45290"/>
    <cellStyle name="输入 2 2 6 5 4" xfId="15684"/>
    <cellStyle name="输入 2 2 6 5 4 2" xfId="19183"/>
    <cellStyle name="输入 2 2 6 5 4 2 2" xfId="35889"/>
    <cellStyle name="输入 2 2 6 5 4 2 3" xfId="45293"/>
    <cellStyle name="输入 2 2 6 5 4 3" xfId="35888"/>
    <cellStyle name="输入 2 2 6 5 4 4" xfId="45292"/>
    <cellStyle name="输入 2 2 6 5 5" xfId="35890"/>
    <cellStyle name="输入 2 2 6 5 5 2" xfId="45294"/>
    <cellStyle name="输入 2 2 6 5 6" xfId="35879"/>
    <cellStyle name="输入 2 2 6 5 7" xfId="45283"/>
    <cellStyle name="输入 2 2 6 6" xfId="15685"/>
    <cellStyle name="输入 2 2 6 6 2" xfId="15686"/>
    <cellStyle name="输入 2 2 6 6 2 2" xfId="18545"/>
    <cellStyle name="输入 2 2 6 6 2 2 2" xfId="35893"/>
    <cellStyle name="输入 2 2 6 6 2 2 3" xfId="45297"/>
    <cellStyle name="输入 2 2 6 6 2 3" xfId="35892"/>
    <cellStyle name="输入 2 2 6 6 2 4" xfId="45296"/>
    <cellStyle name="输入 2 2 6 6 3" xfId="15687"/>
    <cellStyle name="输入 2 2 6 6 3 2" xfId="19182"/>
    <cellStyle name="输入 2 2 6 6 3 2 2" xfId="35895"/>
    <cellStyle name="输入 2 2 6 6 3 2 3" xfId="45299"/>
    <cellStyle name="输入 2 2 6 6 3 3" xfId="35894"/>
    <cellStyle name="输入 2 2 6 6 3 4" xfId="45298"/>
    <cellStyle name="输入 2 2 6 6 4" xfId="8571"/>
    <cellStyle name="输入 2 2 6 6 4 2" xfId="35896"/>
    <cellStyle name="输入 2 2 6 6 4 3" xfId="45300"/>
    <cellStyle name="输入 2 2 6 6 5" xfId="35891"/>
    <cellStyle name="输入 2 2 6 6 6" xfId="45295"/>
    <cellStyle name="输入 2 2 6 7" xfId="15688"/>
    <cellStyle name="输入 2 2 6 7 2" xfId="19181"/>
    <cellStyle name="输入 2 2 6 7 2 2" xfId="35898"/>
    <cellStyle name="输入 2 2 6 7 2 3" xfId="45302"/>
    <cellStyle name="输入 2 2 6 7 3" xfId="35897"/>
    <cellStyle name="输入 2 2 6 7 4" xfId="45301"/>
    <cellStyle name="输入 2 2 6 8" xfId="15689"/>
    <cellStyle name="输入 2 2 6 8 2" xfId="19180"/>
    <cellStyle name="输入 2 2 6 8 2 2" xfId="35900"/>
    <cellStyle name="输入 2 2 6 8 2 3" xfId="45304"/>
    <cellStyle name="输入 2 2 6 8 3" xfId="35899"/>
    <cellStyle name="输入 2 2 6 8 4" xfId="45303"/>
    <cellStyle name="输入 2 2 6 9" xfId="35901"/>
    <cellStyle name="输入 2 2 6 9 2" xfId="45305"/>
    <cellStyle name="输入 2 2 7" xfId="10405"/>
    <cellStyle name="输入 2 2 7 10" xfId="35902"/>
    <cellStyle name="输入 2 2 7 11" xfId="45306"/>
    <cellStyle name="输入 2 2 7 2" xfId="10406"/>
    <cellStyle name="输入 2 2 7 2 2" xfId="15690"/>
    <cellStyle name="输入 2 2 7 2 2 2" xfId="15691"/>
    <cellStyle name="输入 2 2 7 2 2 2 2" xfId="8572"/>
    <cellStyle name="输入 2 2 7 2 2 2 2 2" xfId="35906"/>
    <cellStyle name="输入 2 2 7 2 2 2 2 3" xfId="45310"/>
    <cellStyle name="输入 2 2 7 2 2 2 3" xfId="35905"/>
    <cellStyle name="输入 2 2 7 2 2 2 4" xfId="45309"/>
    <cellStyle name="输入 2 2 7 2 2 3" xfId="15692"/>
    <cellStyle name="输入 2 2 7 2 2 3 2" xfId="20661"/>
    <cellStyle name="输入 2 2 7 2 2 3 2 2" xfId="35908"/>
    <cellStyle name="输入 2 2 7 2 2 3 2 3" xfId="45312"/>
    <cellStyle name="输入 2 2 7 2 2 3 3" xfId="35907"/>
    <cellStyle name="输入 2 2 7 2 2 3 4" xfId="45311"/>
    <cellStyle name="输入 2 2 7 2 2 4" xfId="19179"/>
    <cellStyle name="输入 2 2 7 2 2 4 2" xfId="35909"/>
    <cellStyle name="输入 2 2 7 2 2 4 3" xfId="45313"/>
    <cellStyle name="输入 2 2 7 2 2 5" xfId="35904"/>
    <cellStyle name="输入 2 2 7 2 2 6" xfId="45308"/>
    <cellStyle name="输入 2 2 7 2 3" xfId="15693"/>
    <cellStyle name="输入 2 2 7 2 3 2" xfId="19178"/>
    <cellStyle name="输入 2 2 7 2 3 2 2" xfId="35911"/>
    <cellStyle name="输入 2 2 7 2 3 2 3" xfId="45315"/>
    <cellStyle name="输入 2 2 7 2 3 3" xfId="35910"/>
    <cellStyle name="输入 2 2 7 2 3 4" xfId="45314"/>
    <cellStyle name="输入 2 2 7 2 4" xfId="15694"/>
    <cellStyle name="输入 2 2 7 2 4 2" xfId="19177"/>
    <cellStyle name="输入 2 2 7 2 4 2 2" xfId="35913"/>
    <cellStyle name="输入 2 2 7 2 4 2 3" xfId="45317"/>
    <cellStyle name="输入 2 2 7 2 4 3" xfId="35912"/>
    <cellStyle name="输入 2 2 7 2 4 4" xfId="45316"/>
    <cellStyle name="输入 2 2 7 2 5" xfId="35914"/>
    <cellStyle name="输入 2 2 7 2 5 2" xfId="45318"/>
    <cellStyle name="输入 2 2 7 2 6" xfId="35903"/>
    <cellStyle name="输入 2 2 7 2 7" xfId="45307"/>
    <cellStyle name="输入 2 2 7 3" xfId="10407"/>
    <cellStyle name="输入 2 2 7 3 2" xfId="15695"/>
    <cellStyle name="输入 2 2 7 3 2 2" xfId="15696"/>
    <cellStyle name="输入 2 2 7 3 2 2 2" xfId="19175"/>
    <cellStyle name="输入 2 2 7 3 2 2 2 2" xfId="35918"/>
    <cellStyle name="输入 2 2 7 3 2 2 2 3" xfId="45322"/>
    <cellStyle name="输入 2 2 7 3 2 2 3" xfId="35917"/>
    <cellStyle name="输入 2 2 7 3 2 2 4" xfId="45321"/>
    <cellStyle name="输入 2 2 7 3 2 3" xfId="15697"/>
    <cellStyle name="输入 2 2 7 3 2 3 2" xfId="8573"/>
    <cellStyle name="输入 2 2 7 3 2 3 2 2" xfId="35920"/>
    <cellStyle name="输入 2 2 7 3 2 3 2 3" xfId="45324"/>
    <cellStyle name="输入 2 2 7 3 2 3 3" xfId="35919"/>
    <cellStyle name="输入 2 2 7 3 2 3 4" xfId="45323"/>
    <cellStyle name="输入 2 2 7 3 2 4" xfId="19176"/>
    <cellStyle name="输入 2 2 7 3 2 4 2" xfId="35921"/>
    <cellStyle name="输入 2 2 7 3 2 4 3" xfId="45325"/>
    <cellStyle name="输入 2 2 7 3 2 5" xfId="35916"/>
    <cellStyle name="输入 2 2 7 3 2 6" xfId="45320"/>
    <cellStyle name="输入 2 2 7 3 3" xfId="15698"/>
    <cellStyle name="输入 2 2 7 3 3 2" xfId="19174"/>
    <cellStyle name="输入 2 2 7 3 3 2 2" xfId="35923"/>
    <cellStyle name="输入 2 2 7 3 3 2 3" xfId="45327"/>
    <cellStyle name="输入 2 2 7 3 3 3" xfId="35922"/>
    <cellStyle name="输入 2 2 7 3 3 4" xfId="45326"/>
    <cellStyle name="输入 2 2 7 3 4" xfId="15699"/>
    <cellStyle name="输入 2 2 7 3 4 2" xfId="19173"/>
    <cellStyle name="输入 2 2 7 3 4 2 2" xfId="35925"/>
    <cellStyle name="输入 2 2 7 3 4 2 3" xfId="45329"/>
    <cellStyle name="输入 2 2 7 3 4 3" xfId="35924"/>
    <cellStyle name="输入 2 2 7 3 4 4" xfId="45328"/>
    <cellStyle name="输入 2 2 7 3 5" xfId="35926"/>
    <cellStyle name="输入 2 2 7 3 5 2" xfId="45330"/>
    <cellStyle name="输入 2 2 7 3 6" xfId="35915"/>
    <cellStyle name="输入 2 2 7 3 7" xfId="45319"/>
    <cellStyle name="输入 2 2 7 4" xfId="10408"/>
    <cellStyle name="输入 2 2 7 4 2" xfId="15700"/>
    <cellStyle name="输入 2 2 7 4 2 2" xfId="15701"/>
    <cellStyle name="输入 2 2 7 4 2 2 2" xfId="19171"/>
    <cellStyle name="输入 2 2 7 4 2 2 2 2" xfId="35930"/>
    <cellStyle name="输入 2 2 7 4 2 2 2 3" xfId="45334"/>
    <cellStyle name="输入 2 2 7 4 2 2 3" xfId="35929"/>
    <cellStyle name="输入 2 2 7 4 2 2 4" xfId="45333"/>
    <cellStyle name="输入 2 2 7 4 2 3" xfId="15702"/>
    <cellStyle name="输入 2 2 7 4 2 3 2" xfId="8574"/>
    <cellStyle name="输入 2 2 7 4 2 3 2 2" xfId="35932"/>
    <cellStyle name="输入 2 2 7 4 2 3 2 3" xfId="45336"/>
    <cellStyle name="输入 2 2 7 4 2 3 3" xfId="35931"/>
    <cellStyle name="输入 2 2 7 4 2 3 4" xfId="45335"/>
    <cellStyle name="输入 2 2 7 4 2 4" xfId="19172"/>
    <cellStyle name="输入 2 2 7 4 2 4 2" xfId="35933"/>
    <cellStyle name="输入 2 2 7 4 2 4 3" xfId="45337"/>
    <cellStyle name="输入 2 2 7 4 2 5" xfId="35928"/>
    <cellStyle name="输入 2 2 7 4 2 6" xfId="45332"/>
    <cellStyle name="输入 2 2 7 4 3" xfId="15703"/>
    <cellStyle name="输入 2 2 7 4 3 2" xfId="20660"/>
    <cellStyle name="输入 2 2 7 4 3 2 2" xfId="35935"/>
    <cellStyle name="输入 2 2 7 4 3 2 3" xfId="45339"/>
    <cellStyle name="输入 2 2 7 4 3 3" xfId="35934"/>
    <cellStyle name="输入 2 2 7 4 3 4" xfId="45338"/>
    <cellStyle name="输入 2 2 7 4 4" xfId="15704"/>
    <cellStyle name="输入 2 2 7 4 4 2" xfId="20659"/>
    <cellStyle name="输入 2 2 7 4 4 2 2" xfId="35937"/>
    <cellStyle name="输入 2 2 7 4 4 2 3" xfId="45341"/>
    <cellStyle name="输入 2 2 7 4 4 3" xfId="35936"/>
    <cellStyle name="输入 2 2 7 4 4 4" xfId="45340"/>
    <cellStyle name="输入 2 2 7 4 5" xfId="35938"/>
    <cellStyle name="输入 2 2 7 4 5 2" xfId="45342"/>
    <cellStyle name="输入 2 2 7 4 6" xfId="35927"/>
    <cellStyle name="输入 2 2 7 4 7" xfId="45331"/>
    <cellStyle name="输入 2 2 7 5" xfId="10409"/>
    <cellStyle name="输入 2 2 7 5 2" xfId="15705"/>
    <cellStyle name="输入 2 2 7 5 2 2" xfId="15706"/>
    <cellStyle name="输入 2 2 7 5 2 2 2" xfId="8576"/>
    <cellStyle name="输入 2 2 7 5 2 2 2 2" xfId="35942"/>
    <cellStyle name="输入 2 2 7 5 2 2 2 3" xfId="45346"/>
    <cellStyle name="输入 2 2 7 5 2 2 3" xfId="35941"/>
    <cellStyle name="输入 2 2 7 5 2 2 4" xfId="45345"/>
    <cellStyle name="输入 2 2 7 5 2 3" xfId="15707"/>
    <cellStyle name="输入 2 2 7 5 2 3 2" xfId="8577"/>
    <cellStyle name="输入 2 2 7 5 2 3 2 2" xfId="35944"/>
    <cellStyle name="输入 2 2 7 5 2 3 2 3" xfId="45348"/>
    <cellStyle name="输入 2 2 7 5 2 3 3" xfId="35943"/>
    <cellStyle name="输入 2 2 7 5 2 3 4" xfId="45347"/>
    <cellStyle name="输入 2 2 7 5 2 4" xfId="8575"/>
    <cellStyle name="输入 2 2 7 5 2 4 2" xfId="35945"/>
    <cellStyle name="输入 2 2 7 5 2 4 3" xfId="45349"/>
    <cellStyle name="输入 2 2 7 5 2 5" xfId="35940"/>
    <cellStyle name="输入 2 2 7 5 2 6" xfId="45344"/>
    <cellStyle name="输入 2 2 7 5 3" xfId="15708"/>
    <cellStyle name="输入 2 2 7 5 3 2" xfId="8578"/>
    <cellStyle name="输入 2 2 7 5 3 2 2" xfId="35947"/>
    <cellStyle name="输入 2 2 7 5 3 2 3" xfId="45351"/>
    <cellStyle name="输入 2 2 7 5 3 3" xfId="35946"/>
    <cellStyle name="输入 2 2 7 5 3 4" xfId="45350"/>
    <cellStyle name="输入 2 2 7 5 4" xfId="15709"/>
    <cellStyle name="输入 2 2 7 5 4 2" xfId="8579"/>
    <cellStyle name="输入 2 2 7 5 4 2 2" xfId="35949"/>
    <cellStyle name="输入 2 2 7 5 4 2 3" xfId="45353"/>
    <cellStyle name="输入 2 2 7 5 4 3" xfId="35948"/>
    <cellStyle name="输入 2 2 7 5 4 4" xfId="45352"/>
    <cellStyle name="输入 2 2 7 5 5" xfId="35950"/>
    <cellStyle name="输入 2 2 7 5 5 2" xfId="45354"/>
    <cellStyle name="输入 2 2 7 5 6" xfId="35939"/>
    <cellStyle name="输入 2 2 7 5 7" xfId="45343"/>
    <cellStyle name="输入 2 2 7 6" xfId="15710"/>
    <cellStyle name="输入 2 2 7 6 2" xfId="15711"/>
    <cellStyle name="输入 2 2 7 6 2 2" xfId="8580"/>
    <cellStyle name="输入 2 2 7 6 2 2 2" xfId="35953"/>
    <cellStyle name="输入 2 2 7 6 2 2 3" xfId="45357"/>
    <cellStyle name="输入 2 2 7 6 2 3" xfId="35952"/>
    <cellStyle name="输入 2 2 7 6 2 4" xfId="45356"/>
    <cellStyle name="输入 2 2 7 6 3" xfId="15712"/>
    <cellStyle name="输入 2 2 7 6 3 2" xfId="8581"/>
    <cellStyle name="输入 2 2 7 6 3 2 2" xfId="35955"/>
    <cellStyle name="输入 2 2 7 6 3 2 3" xfId="45359"/>
    <cellStyle name="输入 2 2 7 6 3 3" xfId="35954"/>
    <cellStyle name="输入 2 2 7 6 3 4" xfId="45358"/>
    <cellStyle name="输入 2 2 7 6 4" xfId="20658"/>
    <cellStyle name="输入 2 2 7 6 4 2" xfId="35956"/>
    <cellStyle name="输入 2 2 7 6 4 3" xfId="45360"/>
    <cellStyle name="输入 2 2 7 6 5" xfId="35951"/>
    <cellStyle name="输入 2 2 7 6 6" xfId="45355"/>
    <cellStyle name="输入 2 2 7 7" xfId="15713"/>
    <cellStyle name="输入 2 2 7 7 2" xfId="8582"/>
    <cellStyle name="输入 2 2 7 7 2 2" xfId="35958"/>
    <cellStyle name="输入 2 2 7 7 2 3" xfId="45362"/>
    <cellStyle name="输入 2 2 7 7 3" xfId="35957"/>
    <cellStyle name="输入 2 2 7 7 4" xfId="45361"/>
    <cellStyle name="输入 2 2 7 8" xfId="15714"/>
    <cellStyle name="输入 2 2 7 8 2" xfId="8583"/>
    <cellStyle name="输入 2 2 7 8 2 2" xfId="35960"/>
    <cellStyle name="输入 2 2 7 8 2 3" xfId="45364"/>
    <cellStyle name="输入 2 2 7 8 3" xfId="35959"/>
    <cellStyle name="输入 2 2 7 8 4" xfId="45363"/>
    <cellStyle name="输入 2 2 7 9" xfId="35961"/>
    <cellStyle name="输入 2 2 7 9 2" xfId="45365"/>
    <cellStyle name="输入 2 2 8" xfId="10410"/>
    <cellStyle name="输入 2 2 8 10" xfId="35962"/>
    <cellStyle name="输入 2 2 8 11" xfId="45366"/>
    <cellStyle name="输入 2 2 8 2" xfId="10411"/>
    <cellStyle name="输入 2 2 8 2 2" xfId="15715"/>
    <cellStyle name="输入 2 2 8 2 2 2" xfId="15716"/>
    <cellStyle name="输入 2 2 8 2 2 2 2" xfId="20657"/>
    <cellStyle name="输入 2 2 8 2 2 2 2 2" xfId="35966"/>
    <cellStyle name="输入 2 2 8 2 2 2 2 3" xfId="45370"/>
    <cellStyle name="输入 2 2 8 2 2 2 3" xfId="35965"/>
    <cellStyle name="输入 2 2 8 2 2 2 4" xfId="45369"/>
    <cellStyle name="输入 2 2 8 2 2 3" xfId="15717"/>
    <cellStyle name="输入 2 2 8 2 2 3 2" xfId="8585"/>
    <cellStyle name="输入 2 2 8 2 2 3 2 2" xfId="35968"/>
    <cellStyle name="输入 2 2 8 2 2 3 2 3" xfId="45372"/>
    <cellStyle name="输入 2 2 8 2 2 3 3" xfId="35967"/>
    <cellStyle name="输入 2 2 8 2 2 3 4" xfId="45371"/>
    <cellStyle name="输入 2 2 8 2 2 4" xfId="8584"/>
    <cellStyle name="输入 2 2 8 2 2 4 2" xfId="35969"/>
    <cellStyle name="输入 2 2 8 2 2 4 3" xfId="45373"/>
    <cellStyle name="输入 2 2 8 2 2 5" xfId="35964"/>
    <cellStyle name="输入 2 2 8 2 2 6" xfId="45368"/>
    <cellStyle name="输入 2 2 8 2 3" xfId="15718"/>
    <cellStyle name="输入 2 2 8 2 3 2" xfId="8586"/>
    <cellStyle name="输入 2 2 8 2 3 2 2" xfId="35971"/>
    <cellStyle name="输入 2 2 8 2 3 2 3" xfId="45375"/>
    <cellStyle name="输入 2 2 8 2 3 3" xfId="35970"/>
    <cellStyle name="输入 2 2 8 2 3 4" xfId="45374"/>
    <cellStyle name="输入 2 2 8 2 4" xfId="15719"/>
    <cellStyle name="输入 2 2 8 2 4 2" xfId="8587"/>
    <cellStyle name="输入 2 2 8 2 4 2 2" xfId="35973"/>
    <cellStyle name="输入 2 2 8 2 4 2 3" xfId="45377"/>
    <cellStyle name="输入 2 2 8 2 4 3" xfId="35972"/>
    <cellStyle name="输入 2 2 8 2 4 4" xfId="45376"/>
    <cellStyle name="输入 2 2 8 2 5" xfId="35974"/>
    <cellStyle name="输入 2 2 8 2 5 2" xfId="45378"/>
    <cellStyle name="输入 2 2 8 2 6" xfId="35963"/>
    <cellStyle name="输入 2 2 8 2 7" xfId="45367"/>
    <cellStyle name="输入 2 2 8 3" xfId="10412"/>
    <cellStyle name="输入 2 2 8 3 2" xfId="15720"/>
    <cellStyle name="输入 2 2 8 3 2 2" xfId="15721"/>
    <cellStyle name="输入 2 2 8 3 2 2 2" xfId="8589"/>
    <cellStyle name="输入 2 2 8 3 2 2 2 2" xfId="35978"/>
    <cellStyle name="输入 2 2 8 3 2 2 2 3" xfId="45382"/>
    <cellStyle name="输入 2 2 8 3 2 2 3" xfId="35977"/>
    <cellStyle name="输入 2 2 8 3 2 2 4" xfId="45381"/>
    <cellStyle name="输入 2 2 8 3 2 3" xfId="15722"/>
    <cellStyle name="输入 2 2 8 3 2 3 2" xfId="18544"/>
    <cellStyle name="输入 2 2 8 3 2 3 2 2" xfId="35980"/>
    <cellStyle name="输入 2 2 8 3 2 3 2 3" xfId="45384"/>
    <cellStyle name="输入 2 2 8 3 2 3 3" xfId="35979"/>
    <cellStyle name="输入 2 2 8 3 2 3 4" xfId="45383"/>
    <cellStyle name="输入 2 2 8 3 2 4" xfId="8588"/>
    <cellStyle name="输入 2 2 8 3 2 4 2" xfId="35981"/>
    <cellStyle name="输入 2 2 8 3 2 4 3" xfId="45385"/>
    <cellStyle name="输入 2 2 8 3 2 5" xfId="35976"/>
    <cellStyle name="输入 2 2 8 3 2 6" xfId="45380"/>
    <cellStyle name="输入 2 2 8 3 3" xfId="15723"/>
    <cellStyle name="输入 2 2 8 3 3 2" xfId="8590"/>
    <cellStyle name="输入 2 2 8 3 3 2 2" xfId="35983"/>
    <cellStyle name="输入 2 2 8 3 3 2 3" xfId="45387"/>
    <cellStyle name="输入 2 2 8 3 3 3" xfId="35982"/>
    <cellStyle name="输入 2 2 8 3 3 4" xfId="45386"/>
    <cellStyle name="输入 2 2 8 3 4" xfId="15724"/>
    <cellStyle name="输入 2 2 8 3 4 2" xfId="8591"/>
    <cellStyle name="输入 2 2 8 3 4 2 2" xfId="35985"/>
    <cellStyle name="输入 2 2 8 3 4 2 3" xfId="45389"/>
    <cellStyle name="输入 2 2 8 3 4 3" xfId="35984"/>
    <cellStyle name="输入 2 2 8 3 4 4" xfId="45388"/>
    <cellStyle name="输入 2 2 8 3 5" xfId="35986"/>
    <cellStyle name="输入 2 2 8 3 5 2" xfId="45390"/>
    <cellStyle name="输入 2 2 8 3 6" xfId="35975"/>
    <cellStyle name="输入 2 2 8 3 7" xfId="45379"/>
    <cellStyle name="输入 2 2 8 4" xfId="10413"/>
    <cellStyle name="输入 2 2 8 4 2" xfId="15725"/>
    <cellStyle name="输入 2 2 8 4 2 2" xfId="15726"/>
    <cellStyle name="输入 2 2 8 4 2 2 2" xfId="8593"/>
    <cellStyle name="输入 2 2 8 4 2 2 2 2" xfId="35990"/>
    <cellStyle name="输入 2 2 8 4 2 2 2 3" xfId="45394"/>
    <cellStyle name="输入 2 2 8 4 2 2 3" xfId="35989"/>
    <cellStyle name="输入 2 2 8 4 2 2 4" xfId="45393"/>
    <cellStyle name="输入 2 2 8 4 2 3" xfId="15727"/>
    <cellStyle name="输入 2 2 8 4 2 3 2" xfId="8594"/>
    <cellStyle name="输入 2 2 8 4 2 3 2 2" xfId="35992"/>
    <cellStyle name="输入 2 2 8 4 2 3 2 3" xfId="45396"/>
    <cellStyle name="输入 2 2 8 4 2 3 3" xfId="35991"/>
    <cellStyle name="输入 2 2 8 4 2 3 4" xfId="45395"/>
    <cellStyle name="输入 2 2 8 4 2 4" xfId="8592"/>
    <cellStyle name="输入 2 2 8 4 2 4 2" xfId="35993"/>
    <cellStyle name="输入 2 2 8 4 2 4 3" xfId="45397"/>
    <cellStyle name="输入 2 2 8 4 2 5" xfId="35988"/>
    <cellStyle name="输入 2 2 8 4 2 6" xfId="45392"/>
    <cellStyle name="输入 2 2 8 4 3" xfId="15728"/>
    <cellStyle name="输入 2 2 8 4 3 2" xfId="8595"/>
    <cellStyle name="输入 2 2 8 4 3 2 2" xfId="35995"/>
    <cellStyle name="输入 2 2 8 4 3 2 3" xfId="45399"/>
    <cellStyle name="输入 2 2 8 4 3 3" xfId="35994"/>
    <cellStyle name="输入 2 2 8 4 3 4" xfId="45398"/>
    <cellStyle name="输入 2 2 8 4 4" xfId="15729"/>
    <cellStyle name="输入 2 2 8 4 4 2" xfId="8596"/>
    <cellStyle name="输入 2 2 8 4 4 2 2" xfId="35997"/>
    <cellStyle name="输入 2 2 8 4 4 2 3" xfId="45401"/>
    <cellStyle name="输入 2 2 8 4 4 3" xfId="35996"/>
    <cellStyle name="输入 2 2 8 4 4 4" xfId="45400"/>
    <cellStyle name="输入 2 2 8 4 5" xfId="35998"/>
    <cellStyle name="输入 2 2 8 4 5 2" xfId="45402"/>
    <cellStyle name="输入 2 2 8 4 6" xfId="35987"/>
    <cellStyle name="输入 2 2 8 4 7" xfId="45391"/>
    <cellStyle name="输入 2 2 8 5" xfId="10414"/>
    <cellStyle name="输入 2 2 8 5 2" xfId="15730"/>
    <cellStyle name="输入 2 2 8 5 2 2" xfId="15731"/>
    <cellStyle name="输入 2 2 8 5 2 2 2" xfId="8598"/>
    <cellStyle name="输入 2 2 8 5 2 2 2 2" xfId="36002"/>
    <cellStyle name="输入 2 2 8 5 2 2 2 3" xfId="45406"/>
    <cellStyle name="输入 2 2 8 5 2 2 3" xfId="36001"/>
    <cellStyle name="输入 2 2 8 5 2 2 4" xfId="45405"/>
    <cellStyle name="输入 2 2 8 5 2 3" xfId="15732"/>
    <cellStyle name="输入 2 2 8 5 2 3 2" xfId="8599"/>
    <cellStyle name="输入 2 2 8 5 2 3 2 2" xfId="36004"/>
    <cellStyle name="输入 2 2 8 5 2 3 2 3" xfId="45408"/>
    <cellStyle name="输入 2 2 8 5 2 3 3" xfId="36003"/>
    <cellStyle name="输入 2 2 8 5 2 3 4" xfId="45407"/>
    <cellStyle name="输入 2 2 8 5 2 4" xfId="8597"/>
    <cellStyle name="输入 2 2 8 5 2 4 2" xfId="36005"/>
    <cellStyle name="输入 2 2 8 5 2 4 3" xfId="45409"/>
    <cellStyle name="输入 2 2 8 5 2 5" xfId="36000"/>
    <cellStyle name="输入 2 2 8 5 2 6" xfId="45404"/>
    <cellStyle name="输入 2 2 8 5 3" xfId="15733"/>
    <cellStyle name="输入 2 2 8 5 3 2" xfId="20656"/>
    <cellStyle name="输入 2 2 8 5 3 2 2" xfId="36007"/>
    <cellStyle name="输入 2 2 8 5 3 2 3" xfId="45411"/>
    <cellStyle name="输入 2 2 8 5 3 3" xfId="36006"/>
    <cellStyle name="输入 2 2 8 5 3 4" xfId="45410"/>
    <cellStyle name="输入 2 2 8 5 4" xfId="15734"/>
    <cellStyle name="输入 2 2 8 5 4 2" xfId="8600"/>
    <cellStyle name="输入 2 2 8 5 4 2 2" xfId="36009"/>
    <cellStyle name="输入 2 2 8 5 4 2 3" xfId="45413"/>
    <cellStyle name="输入 2 2 8 5 4 3" xfId="36008"/>
    <cellStyle name="输入 2 2 8 5 4 4" xfId="45412"/>
    <cellStyle name="输入 2 2 8 5 5" xfId="36010"/>
    <cellStyle name="输入 2 2 8 5 5 2" xfId="45414"/>
    <cellStyle name="输入 2 2 8 5 6" xfId="35999"/>
    <cellStyle name="输入 2 2 8 5 7" xfId="45403"/>
    <cellStyle name="输入 2 2 8 6" xfId="15735"/>
    <cellStyle name="输入 2 2 8 6 2" xfId="15736"/>
    <cellStyle name="输入 2 2 8 6 2 2" xfId="8602"/>
    <cellStyle name="输入 2 2 8 6 2 2 2" xfId="36013"/>
    <cellStyle name="输入 2 2 8 6 2 2 3" xfId="45417"/>
    <cellStyle name="输入 2 2 8 6 2 3" xfId="36012"/>
    <cellStyle name="输入 2 2 8 6 2 4" xfId="45416"/>
    <cellStyle name="输入 2 2 8 6 3" xfId="15737"/>
    <cellStyle name="输入 2 2 8 6 3 2" xfId="8603"/>
    <cellStyle name="输入 2 2 8 6 3 2 2" xfId="36015"/>
    <cellStyle name="输入 2 2 8 6 3 2 3" xfId="45419"/>
    <cellStyle name="输入 2 2 8 6 3 3" xfId="36014"/>
    <cellStyle name="输入 2 2 8 6 3 4" xfId="45418"/>
    <cellStyle name="输入 2 2 8 6 4" xfId="8601"/>
    <cellStyle name="输入 2 2 8 6 4 2" xfId="36016"/>
    <cellStyle name="输入 2 2 8 6 4 3" xfId="45420"/>
    <cellStyle name="输入 2 2 8 6 5" xfId="36011"/>
    <cellStyle name="输入 2 2 8 6 6" xfId="45415"/>
    <cellStyle name="输入 2 2 8 7" xfId="15738"/>
    <cellStyle name="输入 2 2 8 7 2" xfId="8604"/>
    <cellStyle name="输入 2 2 8 7 2 2" xfId="36018"/>
    <cellStyle name="输入 2 2 8 7 2 3" xfId="45422"/>
    <cellStyle name="输入 2 2 8 7 3" xfId="36017"/>
    <cellStyle name="输入 2 2 8 7 4" xfId="45421"/>
    <cellStyle name="输入 2 2 8 8" xfId="15739"/>
    <cellStyle name="输入 2 2 8 8 2" xfId="20655"/>
    <cellStyle name="输入 2 2 8 8 2 2" xfId="36020"/>
    <cellStyle name="输入 2 2 8 8 2 3" xfId="45424"/>
    <cellStyle name="输入 2 2 8 8 3" xfId="36019"/>
    <cellStyle name="输入 2 2 8 8 4" xfId="45423"/>
    <cellStyle name="输入 2 2 8 9" xfId="36021"/>
    <cellStyle name="输入 2 2 8 9 2" xfId="45425"/>
    <cellStyle name="输入 2 2 9" xfId="10415"/>
    <cellStyle name="输入 2 2 9 10" xfId="36022"/>
    <cellStyle name="输入 2 2 9 11" xfId="45426"/>
    <cellStyle name="输入 2 2 9 2" xfId="10416"/>
    <cellStyle name="输入 2 2 9 2 2" xfId="15740"/>
    <cellStyle name="输入 2 2 9 2 2 2" xfId="15741"/>
    <cellStyle name="输入 2 2 9 2 2 2 2" xfId="20653"/>
    <cellStyle name="输入 2 2 9 2 2 2 2 2" xfId="36026"/>
    <cellStyle name="输入 2 2 9 2 2 2 2 3" xfId="45430"/>
    <cellStyle name="输入 2 2 9 2 2 2 3" xfId="36025"/>
    <cellStyle name="输入 2 2 9 2 2 2 4" xfId="45429"/>
    <cellStyle name="输入 2 2 9 2 2 3" xfId="15742"/>
    <cellStyle name="输入 2 2 9 2 2 3 2" xfId="8605"/>
    <cellStyle name="输入 2 2 9 2 2 3 2 2" xfId="36028"/>
    <cellStyle name="输入 2 2 9 2 2 3 2 3" xfId="45432"/>
    <cellStyle name="输入 2 2 9 2 2 3 3" xfId="36027"/>
    <cellStyle name="输入 2 2 9 2 2 3 4" xfId="45431"/>
    <cellStyle name="输入 2 2 9 2 2 4" xfId="20654"/>
    <cellStyle name="输入 2 2 9 2 2 4 2" xfId="36029"/>
    <cellStyle name="输入 2 2 9 2 2 4 3" xfId="45433"/>
    <cellStyle name="输入 2 2 9 2 2 5" xfId="36024"/>
    <cellStyle name="输入 2 2 9 2 2 6" xfId="45428"/>
    <cellStyle name="输入 2 2 9 2 3" xfId="15743"/>
    <cellStyle name="输入 2 2 9 2 3 2" xfId="8606"/>
    <cellStyle name="输入 2 2 9 2 3 2 2" xfId="36031"/>
    <cellStyle name="输入 2 2 9 2 3 2 3" xfId="45435"/>
    <cellStyle name="输入 2 2 9 2 3 3" xfId="36030"/>
    <cellStyle name="输入 2 2 9 2 3 4" xfId="45434"/>
    <cellStyle name="输入 2 2 9 2 4" xfId="15744"/>
    <cellStyle name="输入 2 2 9 2 4 2" xfId="8607"/>
    <cellStyle name="输入 2 2 9 2 4 2 2" xfId="36033"/>
    <cellStyle name="输入 2 2 9 2 4 2 3" xfId="45437"/>
    <cellStyle name="输入 2 2 9 2 4 3" xfId="36032"/>
    <cellStyle name="输入 2 2 9 2 4 4" xfId="45436"/>
    <cellStyle name="输入 2 2 9 2 5" xfId="36034"/>
    <cellStyle name="输入 2 2 9 2 5 2" xfId="45438"/>
    <cellStyle name="输入 2 2 9 2 6" xfId="36023"/>
    <cellStyle name="输入 2 2 9 2 7" xfId="45427"/>
    <cellStyle name="输入 2 2 9 3" xfId="10417"/>
    <cellStyle name="输入 2 2 9 3 2" xfId="15745"/>
    <cellStyle name="输入 2 2 9 3 2 2" xfId="15746"/>
    <cellStyle name="输入 2 2 9 3 2 2 2" xfId="8609"/>
    <cellStyle name="输入 2 2 9 3 2 2 2 2" xfId="36038"/>
    <cellStyle name="输入 2 2 9 3 2 2 2 3" xfId="45442"/>
    <cellStyle name="输入 2 2 9 3 2 2 3" xfId="36037"/>
    <cellStyle name="输入 2 2 9 3 2 2 4" xfId="45441"/>
    <cellStyle name="输入 2 2 9 3 2 3" xfId="15747"/>
    <cellStyle name="输入 2 2 9 3 2 3 2" xfId="20652"/>
    <cellStyle name="输入 2 2 9 3 2 3 2 2" xfId="36040"/>
    <cellStyle name="输入 2 2 9 3 2 3 2 3" xfId="45444"/>
    <cellStyle name="输入 2 2 9 3 2 3 3" xfId="36039"/>
    <cellStyle name="输入 2 2 9 3 2 3 4" xfId="45443"/>
    <cellStyle name="输入 2 2 9 3 2 4" xfId="8608"/>
    <cellStyle name="输入 2 2 9 3 2 4 2" xfId="36041"/>
    <cellStyle name="输入 2 2 9 3 2 4 3" xfId="45445"/>
    <cellStyle name="输入 2 2 9 3 2 5" xfId="36036"/>
    <cellStyle name="输入 2 2 9 3 2 6" xfId="45440"/>
    <cellStyle name="输入 2 2 9 3 3" xfId="15748"/>
    <cellStyle name="输入 2 2 9 3 3 2" xfId="8610"/>
    <cellStyle name="输入 2 2 9 3 3 2 2" xfId="36043"/>
    <cellStyle name="输入 2 2 9 3 3 2 3" xfId="45447"/>
    <cellStyle name="输入 2 2 9 3 3 3" xfId="36042"/>
    <cellStyle name="输入 2 2 9 3 3 4" xfId="45446"/>
    <cellStyle name="输入 2 2 9 3 4" xfId="15749"/>
    <cellStyle name="输入 2 2 9 3 4 2" xfId="8611"/>
    <cellStyle name="输入 2 2 9 3 4 2 2" xfId="36045"/>
    <cellStyle name="输入 2 2 9 3 4 2 3" xfId="45449"/>
    <cellStyle name="输入 2 2 9 3 4 3" xfId="36044"/>
    <cellStyle name="输入 2 2 9 3 4 4" xfId="45448"/>
    <cellStyle name="输入 2 2 9 3 5" xfId="36046"/>
    <cellStyle name="输入 2 2 9 3 5 2" xfId="45450"/>
    <cellStyle name="输入 2 2 9 3 6" xfId="36035"/>
    <cellStyle name="输入 2 2 9 3 7" xfId="45439"/>
    <cellStyle name="输入 2 2 9 4" xfId="10418"/>
    <cellStyle name="输入 2 2 9 4 2" xfId="15750"/>
    <cellStyle name="输入 2 2 9 4 2 2" xfId="15751"/>
    <cellStyle name="输入 2 2 9 4 2 2 2" xfId="8613"/>
    <cellStyle name="输入 2 2 9 4 2 2 2 2" xfId="36050"/>
    <cellStyle name="输入 2 2 9 4 2 2 2 3" xfId="45454"/>
    <cellStyle name="输入 2 2 9 4 2 2 3" xfId="36049"/>
    <cellStyle name="输入 2 2 9 4 2 2 4" xfId="45453"/>
    <cellStyle name="输入 2 2 9 4 2 3" xfId="15752"/>
    <cellStyle name="输入 2 2 9 4 2 3 2" xfId="8614"/>
    <cellStyle name="输入 2 2 9 4 2 3 2 2" xfId="36052"/>
    <cellStyle name="输入 2 2 9 4 2 3 2 3" xfId="45456"/>
    <cellStyle name="输入 2 2 9 4 2 3 3" xfId="36051"/>
    <cellStyle name="输入 2 2 9 4 2 3 4" xfId="45455"/>
    <cellStyle name="输入 2 2 9 4 2 4" xfId="8612"/>
    <cellStyle name="输入 2 2 9 4 2 4 2" xfId="36053"/>
    <cellStyle name="输入 2 2 9 4 2 4 3" xfId="45457"/>
    <cellStyle name="输入 2 2 9 4 2 5" xfId="36048"/>
    <cellStyle name="输入 2 2 9 4 2 6" xfId="45452"/>
    <cellStyle name="输入 2 2 9 4 3" xfId="15753"/>
    <cellStyle name="输入 2 2 9 4 3 2" xfId="18543"/>
    <cellStyle name="输入 2 2 9 4 3 2 2" xfId="36055"/>
    <cellStyle name="输入 2 2 9 4 3 2 3" xfId="45459"/>
    <cellStyle name="输入 2 2 9 4 3 3" xfId="36054"/>
    <cellStyle name="输入 2 2 9 4 3 4" xfId="45458"/>
    <cellStyle name="输入 2 2 9 4 4" xfId="15754"/>
    <cellStyle name="输入 2 2 9 4 4 2" xfId="8615"/>
    <cellStyle name="输入 2 2 9 4 4 2 2" xfId="36057"/>
    <cellStyle name="输入 2 2 9 4 4 2 3" xfId="45461"/>
    <cellStyle name="输入 2 2 9 4 4 3" xfId="36056"/>
    <cellStyle name="输入 2 2 9 4 4 4" xfId="45460"/>
    <cellStyle name="输入 2 2 9 4 5" xfId="36058"/>
    <cellStyle name="输入 2 2 9 4 5 2" xfId="45462"/>
    <cellStyle name="输入 2 2 9 4 6" xfId="36047"/>
    <cellStyle name="输入 2 2 9 4 7" xfId="45451"/>
    <cellStyle name="输入 2 2 9 5" xfId="10419"/>
    <cellStyle name="输入 2 2 9 5 2" xfId="15755"/>
    <cellStyle name="输入 2 2 9 5 2 2" xfId="15756"/>
    <cellStyle name="输入 2 2 9 5 2 2 2" xfId="8617"/>
    <cellStyle name="输入 2 2 9 5 2 2 2 2" xfId="36062"/>
    <cellStyle name="输入 2 2 9 5 2 2 2 3" xfId="45466"/>
    <cellStyle name="输入 2 2 9 5 2 2 3" xfId="36061"/>
    <cellStyle name="输入 2 2 9 5 2 2 4" xfId="45465"/>
    <cellStyle name="输入 2 2 9 5 2 3" xfId="15757"/>
    <cellStyle name="输入 2 2 9 5 2 3 2" xfId="19170"/>
    <cellStyle name="输入 2 2 9 5 2 3 2 2" xfId="36064"/>
    <cellStyle name="输入 2 2 9 5 2 3 2 3" xfId="45468"/>
    <cellStyle name="输入 2 2 9 5 2 3 3" xfId="36063"/>
    <cellStyle name="输入 2 2 9 5 2 3 4" xfId="45467"/>
    <cellStyle name="输入 2 2 9 5 2 4" xfId="8616"/>
    <cellStyle name="输入 2 2 9 5 2 4 2" xfId="36065"/>
    <cellStyle name="输入 2 2 9 5 2 4 3" xfId="45469"/>
    <cellStyle name="输入 2 2 9 5 2 5" xfId="36060"/>
    <cellStyle name="输入 2 2 9 5 2 6" xfId="45464"/>
    <cellStyle name="输入 2 2 9 5 3" xfId="15758"/>
    <cellStyle name="输入 2 2 9 5 3 2" xfId="19169"/>
    <cellStyle name="输入 2 2 9 5 3 2 2" xfId="36067"/>
    <cellStyle name="输入 2 2 9 5 3 2 3" xfId="45471"/>
    <cellStyle name="输入 2 2 9 5 3 3" xfId="36066"/>
    <cellStyle name="输入 2 2 9 5 3 4" xfId="45470"/>
    <cellStyle name="输入 2 2 9 5 4" xfId="15759"/>
    <cellStyle name="输入 2 2 9 5 4 2" xfId="20651"/>
    <cellStyle name="输入 2 2 9 5 4 2 2" xfId="36069"/>
    <cellStyle name="输入 2 2 9 5 4 2 3" xfId="45473"/>
    <cellStyle name="输入 2 2 9 5 4 3" xfId="36068"/>
    <cellStyle name="输入 2 2 9 5 4 4" xfId="45472"/>
    <cellStyle name="输入 2 2 9 5 5" xfId="36070"/>
    <cellStyle name="输入 2 2 9 5 5 2" xfId="45474"/>
    <cellStyle name="输入 2 2 9 5 6" xfId="36059"/>
    <cellStyle name="输入 2 2 9 5 7" xfId="45463"/>
    <cellStyle name="输入 2 2 9 6" xfId="15760"/>
    <cellStyle name="输入 2 2 9 6 2" xfId="15761"/>
    <cellStyle name="输入 2 2 9 6 2 2" xfId="19167"/>
    <cellStyle name="输入 2 2 9 6 2 2 2" xfId="36073"/>
    <cellStyle name="输入 2 2 9 6 2 2 3" xfId="45477"/>
    <cellStyle name="输入 2 2 9 6 2 3" xfId="36072"/>
    <cellStyle name="输入 2 2 9 6 2 4" xfId="45476"/>
    <cellStyle name="输入 2 2 9 6 3" xfId="15762"/>
    <cellStyle name="输入 2 2 9 6 3 2" xfId="19166"/>
    <cellStyle name="输入 2 2 9 6 3 2 2" xfId="36075"/>
    <cellStyle name="输入 2 2 9 6 3 2 3" xfId="45479"/>
    <cellStyle name="输入 2 2 9 6 3 3" xfId="36074"/>
    <cellStyle name="输入 2 2 9 6 3 4" xfId="45478"/>
    <cellStyle name="输入 2 2 9 6 4" xfId="19168"/>
    <cellStyle name="输入 2 2 9 6 4 2" xfId="36076"/>
    <cellStyle name="输入 2 2 9 6 4 3" xfId="45480"/>
    <cellStyle name="输入 2 2 9 6 5" xfId="36071"/>
    <cellStyle name="输入 2 2 9 6 6" xfId="45475"/>
    <cellStyle name="输入 2 2 9 7" xfId="15763"/>
    <cellStyle name="输入 2 2 9 7 2" xfId="19580"/>
    <cellStyle name="输入 2 2 9 7 2 2" xfId="36078"/>
    <cellStyle name="输入 2 2 9 7 2 3" xfId="45482"/>
    <cellStyle name="输入 2 2 9 7 3" xfId="36077"/>
    <cellStyle name="输入 2 2 9 7 4" xfId="45481"/>
    <cellStyle name="输入 2 2 9 8" xfId="15764"/>
    <cellStyle name="输入 2 2 9 8 2" xfId="19165"/>
    <cellStyle name="输入 2 2 9 8 2 2" xfId="36080"/>
    <cellStyle name="输入 2 2 9 8 2 3" xfId="45484"/>
    <cellStyle name="输入 2 2 9 8 3" xfId="36079"/>
    <cellStyle name="输入 2 2 9 8 4" xfId="45483"/>
    <cellStyle name="输入 2 2 9 9" xfId="36081"/>
    <cellStyle name="输入 2 2 9 9 2" xfId="45485"/>
    <cellStyle name="输入 2 20" xfId="10420"/>
    <cellStyle name="输入 2 20 2" xfId="15765"/>
    <cellStyle name="输入 2 20 2 2" xfId="15766"/>
    <cellStyle name="输入 2 20 2 2 2" xfId="19163"/>
    <cellStyle name="输入 2 20 2 2 2 2" xfId="36085"/>
    <cellStyle name="输入 2 20 2 2 2 3" xfId="45489"/>
    <cellStyle name="输入 2 20 2 2 3" xfId="36084"/>
    <cellStyle name="输入 2 20 2 2 4" xfId="45488"/>
    <cellStyle name="输入 2 20 2 3" xfId="15767"/>
    <cellStyle name="输入 2 20 2 3 2" xfId="8618"/>
    <cellStyle name="输入 2 20 2 3 2 2" xfId="36087"/>
    <cellStyle name="输入 2 20 2 3 2 3" xfId="45491"/>
    <cellStyle name="输入 2 20 2 3 3" xfId="36086"/>
    <cellStyle name="输入 2 20 2 3 4" xfId="45490"/>
    <cellStyle name="输入 2 20 2 4" xfId="19164"/>
    <cellStyle name="输入 2 20 2 4 2" xfId="36088"/>
    <cellStyle name="输入 2 20 2 4 3" xfId="45492"/>
    <cellStyle name="输入 2 20 2 5" xfId="36083"/>
    <cellStyle name="输入 2 20 2 6" xfId="45487"/>
    <cellStyle name="输入 2 20 3" xfId="15768"/>
    <cellStyle name="输入 2 20 3 2" xfId="19162"/>
    <cellStyle name="输入 2 20 3 2 2" xfId="36090"/>
    <cellStyle name="输入 2 20 3 2 3" xfId="45494"/>
    <cellStyle name="输入 2 20 3 3" xfId="36089"/>
    <cellStyle name="输入 2 20 3 4" xfId="45493"/>
    <cellStyle name="输入 2 20 4" xfId="15769"/>
    <cellStyle name="输入 2 20 4 2" xfId="19161"/>
    <cellStyle name="输入 2 20 4 2 2" xfId="36092"/>
    <cellStyle name="输入 2 20 4 2 3" xfId="45496"/>
    <cellStyle name="输入 2 20 4 3" xfId="36091"/>
    <cellStyle name="输入 2 20 4 4" xfId="45495"/>
    <cellStyle name="输入 2 20 5" xfId="36093"/>
    <cellStyle name="输入 2 20 5 2" xfId="45497"/>
    <cellStyle name="输入 2 20 6" xfId="36082"/>
    <cellStyle name="输入 2 20 7" xfId="45486"/>
    <cellStyle name="输入 2 21" xfId="10421"/>
    <cellStyle name="输入 2 21 2" xfId="15770"/>
    <cellStyle name="输入 2 21 2 2" xfId="15771"/>
    <cellStyle name="输入 2 21 2 2 2" xfId="20650"/>
    <cellStyle name="输入 2 21 2 2 2 2" xfId="36097"/>
    <cellStyle name="输入 2 21 2 2 2 3" xfId="45501"/>
    <cellStyle name="输入 2 21 2 2 3" xfId="36096"/>
    <cellStyle name="输入 2 21 2 2 4" xfId="45500"/>
    <cellStyle name="输入 2 21 2 3" xfId="15772"/>
    <cellStyle name="输入 2 21 2 3 2" xfId="20649"/>
    <cellStyle name="输入 2 21 2 3 2 2" xfId="36099"/>
    <cellStyle name="输入 2 21 2 3 2 3" xfId="45503"/>
    <cellStyle name="输入 2 21 2 3 3" xfId="36098"/>
    <cellStyle name="输入 2 21 2 3 4" xfId="45502"/>
    <cellStyle name="输入 2 21 2 4" xfId="19160"/>
    <cellStyle name="输入 2 21 2 4 2" xfId="36100"/>
    <cellStyle name="输入 2 21 2 4 3" xfId="45504"/>
    <cellStyle name="输入 2 21 2 5" xfId="36095"/>
    <cellStyle name="输入 2 21 2 6" xfId="45499"/>
    <cellStyle name="输入 2 21 3" xfId="15773"/>
    <cellStyle name="输入 2 21 3 2" xfId="19159"/>
    <cellStyle name="输入 2 21 3 2 2" xfId="36102"/>
    <cellStyle name="输入 2 21 3 2 3" xfId="45506"/>
    <cellStyle name="输入 2 21 3 3" xfId="36101"/>
    <cellStyle name="输入 2 21 3 4" xfId="45505"/>
    <cellStyle name="输入 2 21 4" xfId="15774"/>
    <cellStyle name="输入 2 21 4 2" xfId="8619"/>
    <cellStyle name="输入 2 21 4 2 2" xfId="36104"/>
    <cellStyle name="输入 2 21 4 2 3" xfId="45508"/>
    <cellStyle name="输入 2 21 4 3" xfId="36103"/>
    <cellStyle name="输入 2 21 4 4" xfId="45507"/>
    <cellStyle name="输入 2 21 5" xfId="36105"/>
    <cellStyle name="输入 2 21 5 2" xfId="45509"/>
    <cellStyle name="输入 2 21 6" xfId="36094"/>
    <cellStyle name="输入 2 21 7" xfId="45498"/>
    <cellStyle name="输入 2 22" xfId="10422"/>
    <cellStyle name="输入 2 22 2" xfId="15775"/>
    <cellStyle name="输入 2 22 2 2" xfId="15776"/>
    <cellStyle name="输入 2 22 2 2 2" xfId="19157"/>
    <cellStyle name="输入 2 22 2 2 2 2" xfId="36109"/>
    <cellStyle name="输入 2 22 2 2 2 3" xfId="45513"/>
    <cellStyle name="输入 2 22 2 2 3" xfId="36108"/>
    <cellStyle name="输入 2 22 2 2 4" xfId="45512"/>
    <cellStyle name="输入 2 22 2 3" xfId="15777"/>
    <cellStyle name="输入 2 22 2 3 2" xfId="19156"/>
    <cellStyle name="输入 2 22 2 3 2 2" xfId="36111"/>
    <cellStyle name="输入 2 22 2 3 2 3" xfId="45515"/>
    <cellStyle name="输入 2 22 2 3 3" xfId="36110"/>
    <cellStyle name="输入 2 22 2 3 4" xfId="45514"/>
    <cellStyle name="输入 2 22 2 4" xfId="19158"/>
    <cellStyle name="输入 2 22 2 4 2" xfId="36112"/>
    <cellStyle name="输入 2 22 2 4 3" xfId="45516"/>
    <cellStyle name="输入 2 22 2 5" xfId="36107"/>
    <cellStyle name="输入 2 22 2 6" xfId="45511"/>
    <cellStyle name="输入 2 22 3" xfId="15778"/>
    <cellStyle name="输入 2 22 3 2" xfId="20648"/>
    <cellStyle name="输入 2 22 3 2 2" xfId="36114"/>
    <cellStyle name="输入 2 22 3 2 3" xfId="45518"/>
    <cellStyle name="输入 2 22 3 3" xfId="36113"/>
    <cellStyle name="输入 2 22 3 4" xfId="45517"/>
    <cellStyle name="输入 2 22 4" xfId="15779"/>
    <cellStyle name="输入 2 22 4 2" xfId="19155"/>
    <cellStyle name="输入 2 22 4 2 2" xfId="36116"/>
    <cellStyle name="输入 2 22 4 2 3" xfId="45520"/>
    <cellStyle name="输入 2 22 4 3" xfId="36115"/>
    <cellStyle name="输入 2 22 4 4" xfId="45519"/>
    <cellStyle name="输入 2 22 5" xfId="36117"/>
    <cellStyle name="输入 2 22 5 2" xfId="45521"/>
    <cellStyle name="输入 2 22 6" xfId="36106"/>
    <cellStyle name="输入 2 22 7" xfId="45510"/>
    <cellStyle name="输入 2 23" xfId="10423"/>
    <cellStyle name="输入 2 23 2" xfId="15780"/>
    <cellStyle name="输入 2 23 2 2" xfId="15781"/>
    <cellStyle name="输入 2 23 2 2 2" xfId="19154"/>
    <cellStyle name="输入 2 23 2 2 2 2" xfId="36121"/>
    <cellStyle name="输入 2 23 2 2 2 3" xfId="45525"/>
    <cellStyle name="输入 2 23 2 2 3" xfId="36120"/>
    <cellStyle name="输入 2 23 2 2 4" xfId="45524"/>
    <cellStyle name="输入 2 23 2 3" xfId="8620"/>
    <cellStyle name="输入 2 23 2 3 2" xfId="36122"/>
    <cellStyle name="输入 2 23 2 3 3" xfId="45526"/>
    <cellStyle name="输入 2 23 2 4" xfId="36119"/>
    <cellStyle name="输入 2 23 2 5" xfId="45523"/>
    <cellStyle name="输入 2 23 3" xfId="15782"/>
    <cellStyle name="输入 2 23 3 2" xfId="19153"/>
    <cellStyle name="输入 2 23 3 2 2" xfId="36124"/>
    <cellStyle name="输入 2 23 3 2 3" xfId="45528"/>
    <cellStyle name="输入 2 23 3 3" xfId="36123"/>
    <cellStyle name="输入 2 23 3 4" xfId="45527"/>
    <cellStyle name="输入 2 23 4" xfId="36125"/>
    <cellStyle name="输入 2 23 4 2" xfId="45529"/>
    <cellStyle name="输入 2 23 5" xfId="36118"/>
    <cellStyle name="输入 2 23 6" xfId="45522"/>
    <cellStyle name="输入 2 24" xfId="15783"/>
    <cellStyle name="输入 2 24 2" xfId="19152"/>
    <cellStyle name="输入 2 24 2 2" xfId="36127"/>
    <cellStyle name="输入 2 24 2 3" xfId="45531"/>
    <cellStyle name="输入 2 24 3" xfId="36126"/>
    <cellStyle name="输入 2 24 4" xfId="45530"/>
    <cellStyle name="输入 2 25" xfId="10272"/>
    <cellStyle name="输入 2 25 2" xfId="36129"/>
    <cellStyle name="输入 2 25 2 2" xfId="45533"/>
    <cellStyle name="输入 2 25 3" xfId="36128"/>
    <cellStyle name="输入 2 25 4" xfId="45532"/>
    <cellStyle name="输入 2 26" xfId="36130"/>
    <cellStyle name="输入 2 26 2" xfId="45534"/>
    <cellStyle name="输入 2 27" xfId="36131"/>
    <cellStyle name="输入 2 27 2" xfId="45535"/>
    <cellStyle name="输入 2 28" xfId="34319"/>
    <cellStyle name="输入 2 29" xfId="769"/>
    <cellStyle name="输入 2 3" xfId="5469"/>
    <cellStyle name="输入 2 3 10" xfId="36132"/>
    <cellStyle name="输入 2 3 11" xfId="45536"/>
    <cellStyle name="输入 2 3 2" xfId="5470"/>
    <cellStyle name="输入 2 3 2 2" xfId="15784"/>
    <cellStyle name="输入 2 3 2 2 2" xfId="15785"/>
    <cellStyle name="输入 2 3 2 2 2 2" xfId="19151"/>
    <cellStyle name="输入 2 3 2 2 2 2 2" xfId="36136"/>
    <cellStyle name="输入 2 3 2 2 2 2 3" xfId="45540"/>
    <cellStyle name="输入 2 3 2 2 2 3" xfId="36135"/>
    <cellStyle name="输入 2 3 2 2 2 4" xfId="45539"/>
    <cellStyle name="输入 2 3 2 2 3" xfId="15786"/>
    <cellStyle name="输入 2 3 2 2 3 2" xfId="8621"/>
    <cellStyle name="输入 2 3 2 2 3 2 2" xfId="36138"/>
    <cellStyle name="输入 2 3 2 2 3 2 3" xfId="45542"/>
    <cellStyle name="输入 2 3 2 2 3 3" xfId="36137"/>
    <cellStyle name="输入 2 3 2 2 3 4" xfId="45541"/>
    <cellStyle name="输入 2 3 2 2 4" xfId="20647"/>
    <cellStyle name="输入 2 3 2 2 4 2" xfId="36139"/>
    <cellStyle name="输入 2 3 2 2 4 3" xfId="45543"/>
    <cellStyle name="输入 2 3 2 2 5" xfId="36134"/>
    <cellStyle name="输入 2 3 2 2 6" xfId="45538"/>
    <cellStyle name="输入 2 3 2 3" xfId="15787"/>
    <cellStyle name="输入 2 3 2 3 2" xfId="19150"/>
    <cellStyle name="输入 2 3 2 3 2 2" xfId="36141"/>
    <cellStyle name="输入 2 3 2 3 2 3" xfId="45545"/>
    <cellStyle name="输入 2 3 2 3 3" xfId="36140"/>
    <cellStyle name="输入 2 3 2 3 4" xfId="45544"/>
    <cellStyle name="输入 2 3 2 4" xfId="15788"/>
    <cellStyle name="输入 2 3 2 4 2" xfId="19149"/>
    <cellStyle name="输入 2 3 2 4 2 2" xfId="36143"/>
    <cellStyle name="输入 2 3 2 4 2 3" xfId="45547"/>
    <cellStyle name="输入 2 3 2 4 3" xfId="36142"/>
    <cellStyle name="输入 2 3 2 4 4" xfId="45546"/>
    <cellStyle name="输入 2 3 2 5" xfId="10425"/>
    <cellStyle name="输入 2 3 2 5 2" xfId="36144"/>
    <cellStyle name="输入 2 3 2 5 3" xfId="45548"/>
    <cellStyle name="输入 2 3 2 6" xfId="36133"/>
    <cellStyle name="输入 2 3 2 7" xfId="45537"/>
    <cellStyle name="输入 2 3 3" xfId="10426"/>
    <cellStyle name="输入 2 3 3 2" xfId="15789"/>
    <cellStyle name="输入 2 3 3 2 2" xfId="15790"/>
    <cellStyle name="输入 2 3 3 2 2 2" xfId="18542"/>
    <cellStyle name="输入 2 3 3 2 2 2 2" xfId="36148"/>
    <cellStyle name="输入 2 3 3 2 2 2 3" xfId="45552"/>
    <cellStyle name="输入 2 3 3 2 2 3" xfId="36147"/>
    <cellStyle name="输入 2 3 3 2 2 4" xfId="45551"/>
    <cellStyle name="输入 2 3 3 2 3" xfId="15791"/>
    <cellStyle name="输入 2 3 3 2 3 2" xfId="19147"/>
    <cellStyle name="输入 2 3 3 2 3 2 2" xfId="36150"/>
    <cellStyle name="输入 2 3 3 2 3 2 3" xfId="45554"/>
    <cellStyle name="输入 2 3 3 2 3 3" xfId="36149"/>
    <cellStyle name="输入 2 3 3 2 3 4" xfId="45553"/>
    <cellStyle name="输入 2 3 3 2 4" xfId="19148"/>
    <cellStyle name="输入 2 3 3 2 4 2" xfId="36151"/>
    <cellStyle name="输入 2 3 3 2 4 3" xfId="45555"/>
    <cellStyle name="输入 2 3 3 2 5" xfId="36146"/>
    <cellStyle name="输入 2 3 3 2 6" xfId="45550"/>
    <cellStyle name="输入 2 3 3 3" xfId="15792"/>
    <cellStyle name="输入 2 3 3 3 2" xfId="19146"/>
    <cellStyle name="输入 2 3 3 3 2 2" xfId="36153"/>
    <cellStyle name="输入 2 3 3 3 2 3" xfId="45557"/>
    <cellStyle name="输入 2 3 3 3 3" xfId="36152"/>
    <cellStyle name="输入 2 3 3 3 4" xfId="45556"/>
    <cellStyle name="输入 2 3 3 4" xfId="15793"/>
    <cellStyle name="输入 2 3 3 4 2" xfId="19145"/>
    <cellStyle name="输入 2 3 3 4 2 2" xfId="36155"/>
    <cellStyle name="输入 2 3 3 4 2 3" xfId="45559"/>
    <cellStyle name="输入 2 3 3 4 3" xfId="36154"/>
    <cellStyle name="输入 2 3 3 4 4" xfId="45558"/>
    <cellStyle name="输入 2 3 3 5" xfId="36156"/>
    <cellStyle name="输入 2 3 3 5 2" xfId="45560"/>
    <cellStyle name="输入 2 3 3 6" xfId="36145"/>
    <cellStyle name="输入 2 3 3 7" xfId="45549"/>
    <cellStyle name="输入 2 3 4" xfId="10427"/>
    <cellStyle name="输入 2 3 4 2" xfId="15794"/>
    <cellStyle name="输入 2 3 4 2 2" xfId="15795"/>
    <cellStyle name="输入 2 3 4 2 2 2" xfId="19143"/>
    <cellStyle name="输入 2 3 4 2 2 2 2" xfId="36160"/>
    <cellStyle name="输入 2 3 4 2 2 2 3" xfId="45564"/>
    <cellStyle name="输入 2 3 4 2 2 3" xfId="36159"/>
    <cellStyle name="输入 2 3 4 2 2 4" xfId="45563"/>
    <cellStyle name="输入 2 3 4 2 3" xfId="15796"/>
    <cellStyle name="输入 2 3 4 2 3 2" xfId="8622"/>
    <cellStyle name="输入 2 3 4 2 3 2 2" xfId="36162"/>
    <cellStyle name="输入 2 3 4 2 3 2 3" xfId="45566"/>
    <cellStyle name="输入 2 3 4 2 3 3" xfId="36161"/>
    <cellStyle name="输入 2 3 4 2 3 4" xfId="45565"/>
    <cellStyle name="输入 2 3 4 2 4" xfId="19144"/>
    <cellStyle name="输入 2 3 4 2 4 2" xfId="36163"/>
    <cellStyle name="输入 2 3 4 2 4 3" xfId="45567"/>
    <cellStyle name="输入 2 3 4 2 5" xfId="36158"/>
    <cellStyle name="输入 2 3 4 2 6" xfId="45562"/>
    <cellStyle name="输入 2 3 4 3" xfId="15797"/>
    <cellStyle name="输入 2 3 4 3 2" xfId="19142"/>
    <cellStyle name="输入 2 3 4 3 2 2" xfId="36165"/>
    <cellStyle name="输入 2 3 4 3 2 3" xfId="45569"/>
    <cellStyle name="输入 2 3 4 3 3" xfId="36164"/>
    <cellStyle name="输入 2 3 4 3 4" xfId="45568"/>
    <cellStyle name="输入 2 3 4 4" xfId="15798"/>
    <cellStyle name="输入 2 3 4 4 2" xfId="19141"/>
    <cellStyle name="输入 2 3 4 4 2 2" xfId="36167"/>
    <cellStyle name="输入 2 3 4 4 2 3" xfId="45571"/>
    <cellStyle name="输入 2 3 4 4 3" xfId="36166"/>
    <cellStyle name="输入 2 3 4 4 4" xfId="45570"/>
    <cellStyle name="输入 2 3 4 5" xfId="36168"/>
    <cellStyle name="输入 2 3 4 5 2" xfId="45572"/>
    <cellStyle name="输入 2 3 4 6" xfId="36157"/>
    <cellStyle name="输入 2 3 4 7" xfId="45561"/>
    <cellStyle name="输入 2 3 5" xfId="10428"/>
    <cellStyle name="输入 2 3 5 2" xfId="15799"/>
    <cellStyle name="输入 2 3 5 2 2" xfId="15800"/>
    <cellStyle name="输入 2 3 5 2 2 2" xfId="19139"/>
    <cellStyle name="输入 2 3 5 2 2 2 2" xfId="36172"/>
    <cellStyle name="输入 2 3 5 2 2 2 3" xfId="45576"/>
    <cellStyle name="输入 2 3 5 2 2 3" xfId="36171"/>
    <cellStyle name="输入 2 3 5 2 2 4" xfId="45575"/>
    <cellStyle name="输入 2 3 5 2 3" xfId="15801"/>
    <cellStyle name="输入 2 3 5 2 3 2" xfId="20646"/>
    <cellStyle name="输入 2 3 5 2 3 2 2" xfId="36174"/>
    <cellStyle name="输入 2 3 5 2 3 2 3" xfId="45578"/>
    <cellStyle name="输入 2 3 5 2 3 3" xfId="36173"/>
    <cellStyle name="输入 2 3 5 2 3 4" xfId="45577"/>
    <cellStyle name="输入 2 3 5 2 4" xfId="19140"/>
    <cellStyle name="输入 2 3 5 2 4 2" xfId="36175"/>
    <cellStyle name="输入 2 3 5 2 4 3" xfId="45579"/>
    <cellStyle name="输入 2 3 5 2 5" xfId="36170"/>
    <cellStyle name="输入 2 3 5 2 6" xfId="45574"/>
    <cellStyle name="输入 2 3 5 3" xfId="15802"/>
    <cellStyle name="输入 2 3 5 3 2" xfId="8624"/>
    <cellStyle name="输入 2 3 5 3 2 2" xfId="36177"/>
    <cellStyle name="输入 2 3 5 3 2 3" xfId="45581"/>
    <cellStyle name="输入 2 3 5 3 3" xfId="36176"/>
    <cellStyle name="输入 2 3 5 3 4" xfId="45580"/>
    <cellStyle name="输入 2 3 5 4" xfId="15803"/>
    <cellStyle name="输入 2 3 5 4 2" xfId="19138"/>
    <cellStyle name="输入 2 3 5 4 2 2" xfId="36179"/>
    <cellStyle name="输入 2 3 5 4 2 3" xfId="45583"/>
    <cellStyle name="输入 2 3 5 4 3" xfId="36178"/>
    <cellStyle name="输入 2 3 5 4 4" xfId="45582"/>
    <cellStyle name="输入 2 3 5 5" xfId="36180"/>
    <cellStyle name="输入 2 3 5 5 2" xfId="45584"/>
    <cellStyle name="输入 2 3 5 6" xfId="36169"/>
    <cellStyle name="输入 2 3 5 7" xfId="45573"/>
    <cellStyle name="输入 2 3 6" xfId="15804"/>
    <cellStyle name="输入 2 3 6 2" xfId="15805"/>
    <cellStyle name="输入 2 3 6 2 2" xfId="19136"/>
    <cellStyle name="输入 2 3 6 2 2 2" xfId="36183"/>
    <cellStyle name="输入 2 3 6 2 2 3" xfId="45587"/>
    <cellStyle name="输入 2 3 6 2 3" xfId="36182"/>
    <cellStyle name="输入 2 3 6 2 4" xfId="45586"/>
    <cellStyle name="输入 2 3 6 3" xfId="15806"/>
    <cellStyle name="输入 2 3 6 3 2" xfId="19135"/>
    <cellStyle name="输入 2 3 6 3 2 2" xfId="36185"/>
    <cellStyle name="输入 2 3 6 3 2 3" xfId="45589"/>
    <cellStyle name="输入 2 3 6 3 3" xfId="36184"/>
    <cellStyle name="输入 2 3 6 3 4" xfId="45588"/>
    <cellStyle name="输入 2 3 6 4" xfId="19137"/>
    <cellStyle name="输入 2 3 6 4 2" xfId="36186"/>
    <cellStyle name="输入 2 3 6 4 3" xfId="45590"/>
    <cellStyle name="输入 2 3 6 5" xfId="36181"/>
    <cellStyle name="输入 2 3 6 6" xfId="45585"/>
    <cellStyle name="输入 2 3 7" xfId="15807"/>
    <cellStyle name="输入 2 3 7 2" xfId="20645"/>
    <cellStyle name="输入 2 3 7 2 2" xfId="36188"/>
    <cellStyle name="输入 2 3 7 2 3" xfId="45592"/>
    <cellStyle name="输入 2 3 7 3" xfId="36187"/>
    <cellStyle name="输入 2 3 7 4" xfId="45591"/>
    <cellStyle name="输入 2 3 8" xfId="15808"/>
    <cellStyle name="输入 2 3 8 2" xfId="8625"/>
    <cellStyle name="输入 2 3 8 2 2" xfId="36190"/>
    <cellStyle name="输入 2 3 8 2 3" xfId="45594"/>
    <cellStyle name="输入 2 3 8 3" xfId="36189"/>
    <cellStyle name="输入 2 3 8 4" xfId="45593"/>
    <cellStyle name="输入 2 3 9" xfId="10424"/>
    <cellStyle name="输入 2 3 9 2" xfId="36191"/>
    <cellStyle name="输入 2 3 9 3" xfId="45595"/>
    <cellStyle name="输入 2 30" xfId="61090"/>
    <cellStyle name="输入 2 4" xfId="5471"/>
    <cellStyle name="输入 2 4 10" xfId="36192"/>
    <cellStyle name="输入 2 4 11" xfId="45596"/>
    <cellStyle name="输入 2 4 2" xfId="10430"/>
    <cellStyle name="输入 2 4 2 2" xfId="15809"/>
    <cellStyle name="输入 2 4 2 2 2" xfId="15810"/>
    <cellStyle name="输入 2 4 2 2 2 2" xfId="19133"/>
    <cellStyle name="输入 2 4 2 2 2 2 2" xfId="36196"/>
    <cellStyle name="输入 2 4 2 2 2 2 3" xfId="45600"/>
    <cellStyle name="输入 2 4 2 2 2 3" xfId="36195"/>
    <cellStyle name="输入 2 4 2 2 2 4" xfId="45599"/>
    <cellStyle name="输入 2 4 2 2 3" xfId="15811"/>
    <cellStyle name="输入 2 4 2 2 3 2" xfId="19132"/>
    <cellStyle name="输入 2 4 2 2 3 2 2" xfId="36198"/>
    <cellStyle name="输入 2 4 2 2 3 2 3" xfId="45602"/>
    <cellStyle name="输入 2 4 2 2 3 3" xfId="36197"/>
    <cellStyle name="输入 2 4 2 2 3 4" xfId="45601"/>
    <cellStyle name="输入 2 4 2 2 4" xfId="19134"/>
    <cellStyle name="输入 2 4 2 2 4 2" xfId="36199"/>
    <cellStyle name="输入 2 4 2 2 4 3" xfId="45603"/>
    <cellStyle name="输入 2 4 2 2 5" xfId="36194"/>
    <cellStyle name="输入 2 4 2 2 6" xfId="45598"/>
    <cellStyle name="输入 2 4 2 3" xfId="15812"/>
    <cellStyle name="输入 2 4 2 3 2" xfId="19131"/>
    <cellStyle name="输入 2 4 2 3 2 2" xfId="36201"/>
    <cellStyle name="输入 2 4 2 3 2 3" xfId="45605"/>
    <cellStyle name="输入 2 4 2 3 3" xfId="36200"/>
    <cellStyle name="输入 2 4 2 3 4" xfId="45604"/>
    <cellStyle name="输入 2 4 2 4" xfId="15813"/>
    <cellStyle name="输入 2 4 2 4 2" xfId="20644"/>
    <cellStyle name="输入 2 4 2 4 2 2" xfId="36203"/>
    <cellStyle name="输入 2 4 2 4 2 3" xfId="45607"/>
    <cellStyle name="输入 2 4 2 4 3" xfId="36202"/>
    <cellStyle name="输入 2 4 2 4 4" xfId="45606"/>
    <cellStyle name="输入 2 4 2 5" xfId="36204"/>
    <cellStyle name="输入 2 4 2 5 2" xfId="45608"/>
    <cellStyle name="输入 2 4 2 6" xfId="36193"/>
    <cellStyle name="输入 2 4 2 7" xfId="45597"/>
    <cellStyle name="输入 2 4 3" xfId="10431"/>
    <cellStyle name="输入 2 4 3 2" xfId="15814"/>
    <cellStyle name="输入 2 4 3 2 2" xfId="15815"/>
    <cellStyle name="输入 2 4 3 2 2 2" xfId="8627"/>
    <cellStyle name="输入 2 4 3 2 2 2 2" xfId="36208"/>
    <cellStyle name="输入 2 4 3 2 2 2 3" xfId="45612"/>
    <cellStyle name="输入 2 4 3 2 2 3" xfId="36207"/>
    <cellStyle name="输入 2 4 3 2 2 4" xfId="45611"/>
    <cellStyle name="输入 2 4 3 2 3" xfId="15816"/>
    <cellStyle name="输入 2 4 3 2 3 2" xfId="19130"/>
    <cellStyle name="输入 2 4 3 2 3 2 2" xfId="36210"/>
    <cellStyle name="输入 2 4 3 2 3 2 3" xfId="45614"/>
    <cellStyle name="输入 2 4 3 2 3 3" xfId="36209"/>
    <cellStyle name="输入 2 4 3 2 3 4" xfId="45613"/>
    <cellStyle name="输入 2 4 3 2 4" xfId="8626"/>
    <cellStyle name="输入 2 4 3 2 4 2" xfId="36211"/>
    <cellStyle name="输入 2 4 3 2 4 3" xfId="45615"/>
    <cellStyle name="输入 2 4 3 2 5" xfId="36206"/>
    <cellStyle name="输入 2 4 3 2 6" xfId="45610"/>
    <cellStyle name="输入 2 4 3 3" xfId="15817"/>
    <cellStyle name="输入 2 4 3 3 2" xfId="19128"/>
    <cellStyle name="输入 2 4 3 3 2 2" xfId="36213"/>
    <cellStyle name="输入 2 4 3 3 2 3" xfId="45617"/>
    <cellStyle name="输入 2 4 3 3 3" xfId="36212"/>
    <cellStyle name="输入 2 4 3 3 4" xfId="45616"/>
    <cellStyle name="输入 2 4 3 4" xfId="15818"/>
    <cellStyle name="输入 2 4 3 4 2" xfId="20643"/>
    <cellStyle name="输入 2 4 3 4 2 2" xfId="36215"/>
    <cellStyle name="输入 2 4 3 4 2 3" xfId="45619"/>
    <cellStyle name="输入 2 4 3 4 3" xfId="36214"/>
    <cellStyle name="输入 2 4 3 4 4" xfId="45618"/>
    <cellStyle name="输入 2 4 3 5" xfId="36216"/>
    <cellStyle name="输入 2 4 3 5 2" xfId="45620"/>
    <cellStyle name="输入 2 4 3 6" xfId="36205"/>
    <cellStyle name="输入 2 4 3 7" xfId="45609"/>
    <cellStyle name="输入 2 4 4" xfId="10432"/>
    <cellStyle name="输入 2 4 4 2" xfId="15819"/>
    <cellStyle name="输入 2 4 4 2 2" xfId="15820"/>
    <cellStyle name="输入 2 4 4 2 2 2" xfId="19126"/>
    <cellStyle name="输入 2 4 4 2 2 2 2" xfId="36220"/>
    <cellStyle name="输入 2 4 4 2 2 2 3" xfId="45624"/>
    <cellStyle name="输入 2 4 4 2 2 3" xfId="36219"/>
    <cellStyle name="输入 2 4 4 2 2 4" xfId="45623"/>
    <cellStyle name="输入 2 4 4 2 3" xfId="15821"/>
    <cellStyle name="输入 2 4 4 2 3 2" xfId="19125"/>
    <cellStyle name="输入 2 4 4 2 3 2 2" xfId="36222"/>
    <cellStyle name="输入 2 4 4 2 3 2 3" xfId="45626"/>
    <cellStyle name="输入 2 4 4 2 3 3" xfId="36221"/>
    <cellStyle name="输入 2 4 4 2 3 4" xfId="45625"/>
    <cellStyle name="输入 2 4 4 2 4" xfId="19127"/>
    <cellStyle name="输入 2 4 4 2 4 2" xfId="36223"/>
    <cellStyle name="输入 2 4 4 2 4 3" xfId="45627"/>
    <cellStyle name="输入 2 4 4 2 5" xfId="36218"/>
    <cellStyle name="输入 2 4 4 2 6" xfId="45622"/>
    <cellStyle name="输入 2 4 4 3" xfId="15822"/>
    <cellStyle name="输入 2 4 4 3 2" xfId="19124"/>
    <cellStyle name="输入 2 4 4 3 2 2" xfId="36225"/>
    <cellStyle name="输入 2 4 4 3 2 3" xfId="45629"/>
    <cellStyle name="输入 2 4 4 3 3" xfId="36224"/>
    <cellStyle name="输入 2 4 4 3 4" xfId="45628"/>
    <cellStyle name="输入 2 4 4 4" xfId="15823"/>
    <cellStyle name="输入 2 4 4 4 2" xfId="19123"/>
    <cellStyle name="输入 2 4 4 4 2 2" xfId="36227"/>
    <cellStyle name="输入 2 4 4 4 2 3" xfId="45631"/>
    <cellStyle name="输入 2 4 4 4 3" xfId="36226"/>
    <cellStyle name="输入 2 4 4 4 4" xfId="45630"/>
    <cellStyle name="输入 2 4 4 5" xfId="36228"/>
    <cellStyle name="输入 2 4 4 5 2" xfId="45632"/>
    <cellStyle name="输入 2 4 4 6" xfId="36217"/>
    <cellStyle name="输入 2 4 4 7" xfId="45621"/>
    <cellStyle name="输入 2 4 5" xfId="10433"/>
    <cellStyle name="输入 2 4 5 2" xfId="15824"/>
    <cellStyle name="输入 2 4 5 2 2" xfId="15825"/>
    <cellStyle name="输入 2 4 5 2 2 2" xfId="8628"/>
    <cellStyle name="输入 2 4 5 2 2 2 2" xfId="36232"/>
    <cellStyle name="输入 2 4 5 2 2 2 3" xfId="45636"/>
    <cellStyle name="输入 2 4 5 2 2 3" xfId="36231"/>
    <cellStyle name="输入 2 4 5 2 2 4" xfId="45635"/>
    <cellStyle name="输入 2 4 5 2 3" xfId="15826"/>
    <cellStyle name="输入 2 4 5 2 3 2" xfId="19122"/>
    <cellStyle name="输入 2 4 5 2 3 2 2" xfId="36234"/>
    <cellStyle name="输入 2 4 5 2 3 2 3" xfId="45638"/>
    <cellStyle name="输入 2 4 5 2 3 3" xfId="36233"/>
    <cellStyle name="输入 2 4 5 2 3 4" xfId="45637"/>
    <cellStyle name="输入 2 4 5 2 4" xfId="20642"/>
    <cellStyle name="输入 2 4 5 2 4 2" xfId="36235"/>
    <cellStyle name="输入 2 4 5 2 4 3" xfId="45639"/>
    <cellStyle name="输入 2 4 5 2 5" xfId="36230"/>
    <cellStyle name="输入 2 4 5 2 6" xfId="45634"/>
    <cellStyle name="输入 2 4 5 3" xfId="15827"/>
    <cellStyle name="输入 2 4 5 3 2" xfId="19121"/>
    <cellStyle name="输入 2 4 5 3 2 2" xfId="36237"/>
    <cellStyle name="输入 2 4 5 3 2 3" xfId="45641"/>
    <cellStyle name="输入 2 4 5 3 3" xfId="36236"/>
    <cellStyle name="输入 2 4 5 3 4" xfId="45640"/>
    <cellStyle name="输入 2 4 5 4" xfId="15828"/>
    <cellStyle name="输入 2 4 5 4 2" xfId="19120"/>
    <cellStyle name="输入 2 4 5 4 2 2" xfId="36239"/>
    <cellStyle name="输入 2 4 5 4 2 3" xfId="45643"/>
    <cellStyle name="输入 2 4 5 4 3" xfId="36238"/>
    <cellStyle name="输入 2 4 5 4 4" xfId="45642"/>
    <cellStyle name="输入 2 4 5 5" xfId="36240"/>
    <cellStyle name="输入 2 4 5 5 2" xfId="45644"/>
    <cellStyle name="输入 2 4 5 6" xfId="36229"/>
    <cellStyle name="输入 2 4 5 7" xfId="45633"/>
    <cellStyle name="输入 2 4 6" xfId="15829"/>
    <cellStyle name="输入 2 4 6 2" xfId="15830"/>
    <cellStyle name="输入 2 4 6 2 2" xfId="8629"/>
    <cellStyle name="输入 2 4 6 2 2 2" xfId="36243"/>
    <cellStyle name="输入 2 4 6 2 2 3" xfId="45647"/>
    <cellStyle name="输入 2 4 6 2 3" xfId="36242"/>
    <cellStyle name="输入 2 4 6 2 4" xfId="45646"/>
    <cellStyle name="输入 2 4 6 3" xfId="15831"/>
    <cellStyle name="输入 2 4 6 3 2" xfId="19118"/>
    <cellStyle name="输入 2 4 6 3 2 2" xfId="36245"/>
    <cellStyle name="输入 2 4 6 3 2 3" xfId="45649"/>
    <cellStyle name="输入 2 4 6 3 3" xfId="36244"/>
    <cellStyle name="输入 2 4 6 3 4" xfId="45648"/>
    <cellStyle name="输入 2 4 6 4" xfId="19119"/>
    <cellStyle name="输入 2 4 6 4 2" xfId="36246"/>
    <cellStyle name="输入 2 4 6 4 3" xfId="45650"/>
    <cellStyle name="输入 2 4 6 5" xfId="36241"/>
    <cellStyle name="输入 2 4 6 6" xfId="45645"/>
    <cellStyle name="输入 2 4 7" xfId="15832"/>
    <cellStyle name="输入 2 4 7 2" xfId="19117"/>
    <cellStyle name="输入 2 4 7 2 2" xfId="36248"/>
    <cellStyle name="输入 2 4 7 2 3" xfId="45652"/>
    <cellStyle name="输入 2 4 7 3" xfId="36247"/>
    <cellStyle name="输入 2 4 7 4" xfId="45651"/>
    <cellStyle name="输入 2 4 8" xfId="15833"/>
    <cellStyle name="输入 2 4 8 2" xfId="20641"/>
    <cellStyle name="输入 2 4 8 2 2" xfId="36250"/>
    <cellStyle name="输入 2 4 8 2 3" xfId="45654"/>
    <cellStyle name="输入 2 4 8 3" xfId="36249"/>
    <cellStyle name="输入 2 4 8 4" xfId="45653"/>
    <cellStyle name="输入 2 4 9" xfId="10429"/>
    <cellStyle name="输入 2 4 9 2" xfId="36251"/>
    <cellStyle name="输入 2 4 9 3" xfId="45655"/>
    <cellStyle name="输入 2 5" xfId="10434"/>
    <cellStyle name="输入 2 5 10" xfId="36252"/>
    <cellStyle name="输入 2 5 11" xfId="45656"/>
    <cellStyle name="输入 2 5 2" xfId="10435"/>
    <cellStyle name="输入 2 5 2 2" xfId="15834"/>
    <cellStyle name="输入 2 5 2 2 2" xfId="15835"/>
    <cellStyle name="输入 2 5 2 2 2 2" xfId="20639"/>
    <cellStyle name="输入 2 5 2 2 2 2 2" xfId="36256"/>
    <cellStyle name="输入 2 5 2 2 2 2 3" xfId="45660"/>
    <cellStyle name="输入 2 5 2 2 2 3" xfId="36255"/>
    <cellStyle name="输入 2 5 2 2 2 4" xfId="45659"/>
    <cellStyle name="输入 2 5 2 2 3" xfId="15836"/>
    <cellStyle name="输入 2 5 2 2 3 2" xfId="19116"/>
    <cellStyle name="输入 2 5 2 2 3 2 2" xfId="36258"/>
    <cellStyle name="输入 2 5 2 2 3 2 3" xfId="45662"/>
    <cellStyle name="输入 2 5 2 2 3 3" xfId="36257"/>
    <cellStyle name="输入 2 5 2 2 3 4" xfId="45661"/>
    <cellStyle name="输入 2 5 2 2 4" xfId="20640"/>
    <cellStyle name="输入 2 5 2 2 4 2" xfId="36259"/>
    <cellStyle name="输入 2 5 2 2 4 3" xfId="45663"/>
    <cellStyle name="输入 2 5 2 2 5" xfId="36254"/>
    <cellStyle name="输入 2 5 2 2 6" xfId="45658"/>
    <cellStyle name="输入 2 5 2 3" xfId="15837"/>
    <cellStyle name="输入 2 5 2 3 2" xfId="19115"/>
    <cellStyle name="输入 2 5 2 3 2 2" xfId="36261"/>
    <cellStyle name="输入 2 5 2 3 2 3" xfId="45665"/>
    <cellStyle name="输入 2 5 2 3 3" xfId="36260"/>
    <cellStyle name="输入 2 5 2 3 4" xfId="45664"/>
    <cellStyle name="输入 2 5 2 4" xfId="15838"/>
    <cellStyle name="输入 2 5 2 4 2" xfId="8630"/>
    <cellStyle name="输入 2 5 2 4 2 2" xfId="36263"/>
    <cellStyle name="输入 2 5 2 4 2 3" xfId="45667"/>
    <cellStyle name="输入 2 5 2 4 3" xfId="36262"/>
    <cellStyle name="输入 2 5 2 4 4" xfId="45666"/>
    <cellStyle name="输入 2 5 2 5" xfId="36264"/>
    <cellStyle name="输入 2 5 2 5 2" xfId="45668"/>
    <cellStyle name="输入 2 5 2 6" xfId="36253"/>
    <cellStyle name="输入 2 5 2 7" xfId="45657"/>
    <cellStyle name="输入 2 5 3" xfId="10436"/>
    <cellStyle name="输入 2 5 3 2" xfId="15839"/>
    <cellStyle name="输入 2 5 3 2 2" xfId="15840"/>
    <cellStyle name="输入 2 5 3 2 2 2" xfId="19113"/>
    <cellStyle name="输入 2 5 3 2 2 2 2" xfId="36268"/>
    <cellStyle name="输入 2 5 3 2 2 2 3" xfId="45672"/>
    <cellStyle name="输入 2 5 3 2 2 3" xfId="36267"/>
    <cellStyle name="输入 2 5 3 2 2 4" xfId="45671"/>
    <cellStyle name="输入 2 5 3 2 3" xfId="15841"/>
    <cellStyle name="输入 2 5 3 2 3 2" xfId="20638"/>
    <cellStyle name="输入 2 5 3 2 3 2 2" xfId="36270"/>
    <cellStyle name="输入 2 5 3 2 3 2 3" xfId="45674"/>
    <cellStyle name="输入 2 5 3 2 3 3" xfId="36269"/>
    <cellStyle name="输入 2 5 3 2 3 4" xfId="45673"/>
    <cellStyle name="输入 2 5 3 2 4" xfId="19114"/>
    <cellStyle name="输入 2 5 3 2 4 2" xfId="36271"/>
    <cellStyle name="输入 2 5 3 2 4 3" xfId="45675"/>
    <cellStyle name="输入 2 5 3 2 5" xfId="36266"/>
    <cellStyle name="输入 2 5 3 2 6" xfId="45670"/>
    <cellStyle name="输入 2 5 3 3" xfId="15842"/>
    <cellStyle name="输入 2 5 3 3 2" xfId="19112"/>
    <cellStyle name="输入 2 5 3 3 2 2" xfId="36273"/>
    <cellStyle name="输入 2 5 3 3 2 3" xfId="45677"/>
    <cellStyle name="输入 2 5 3 3 3" xfId="36272"/>
    <cellStyle name="输入 2 5 3 3 4" xfId="45676"/>
    <cellStyle name="输入 2 5 3 4" xfId="15843"/>
    <cellStyle name="输入 2 5 3 4 2" xfId="19111"/>
    <cellStyle name="输入 2 5 3 4 2 2" xfId="36275"/>
    <cellStyle name="输入 2 5 3 4 2 3" xfId="45679"/>
    <cellStyle name="输入 2 5 3 4 3" xfId="36274"/>
    <cellStyle name="输入 2 5 3 4 4" xfId="45678"/>
    <cellStyle name="输入 2 5 3 5" xfId="36276"/>
    <cellStyle name="输入 2 5 3 5 2" xfId="45680"/>
    <cellStyle name="输入 2 5 3 6" xfId="36265"/>
    <cellStyle name="输入 2 5 3 7" xfId="45669"/>
    <cellStyle name="输入 2 5 4" xfId="10437"/>
    <cellStyle name="输入 2 5 4 2" xfId="15844"/>
    <cellStyle name="输入 2 5 4 2 2" xfId="15845"/>
    <cellStyle name="输入 2 5 4 2 2 2" xfId="8632"/>
    <cellStyle name="输入 2 5 4 2 2 2 2" xfId="36280"/>
    <cellStyle name="输入 2 5 4 2 2 2 3" xfId="45684"/>
    <cellStyle name="输入 2 5 4 2 2 3" xfId="36279"/>
    <cellStyle name="输入 2 5 4 2 2 4" xfId="45683"/>
    <cellStyle name="输入 2 5 4 2 3" xfId="15846"/>
    <cellStyle name="输入 2 5 4 2 3 2" xfId="8633"/>
    <cellStyle name="输入 2 5 4 2 3 2 2" xfId="36282"/>
    <cellStyle name="输入 2 5 4 2 3 2 3" xfId="45686"/>
    <cellStyle name="输入 2 5 4 2 3 3" xfId="36281"/>
    <cellStyle name="输入 2 5 4 2 3 4" xfId="45685"/>
    <cellStyle name="输入 2 5 4 2 4" xfId="8631"/>
    <cellStyle name="输入 2 5 4 2 4 2" xfId="36283"/>
    <cellStyle name="输入 2 5 4 2 4 3" xfId="45687"/>
    <cellStyle name="输入 2 5 4 2 5" xfId="36278"/>
    <cellStyle name="输入 2 5 4 2 6" xfId="45682"/>
    <cellStyle name="输入 2 5 4 3" xfId="15847"/>
    <cellStyle name="输入 2 5 4 3 2" xfId="20637"/>
    <cellStyle name="输入 2 5 4 3 2 2" xfId="36285"/>
    <cellStyle name="输入 2 5 4 3 2 3" xfId="45689"/>
    <cellStyle name="输入 2 5 4 3 3" xfId="36284"/>
    <cellStyle name="输入 2 5 4 3 4" xfId="45688"/>
    <cellStyle name="输入 2 5 4 4" xfId="15848"/>
    <cellStyle name="输入 2 5 4 4 2" xfId="19110"/>
    <cellStyle name="输入 2 5 4 4 2 2" xfId="36287"/>
    <cellStyle name="输入 2 5 4 4 2 3" xfId="45691"/>
    <cellStyle name="输入 2 5 4 4 3" xfId="36286"/>
    <cellStyle name="输入 2 5 4 4 4" xfId="45690"/>
    <cellStyle name="输入 2 5 4 5" xfId="36288"/>
    <cellStyle name="输入 2 5 4 5 2" xfId="45692"/>
    <cellStyle name="输入 2 5 4 6" xfId="36277"/>
    <cellStyle name="输入 2 5 4 7" xfId="45681"/>
    <cellStyle name="输入 2 5 5" xfId="10438"/>
    <cellStyle name="输入 2 5 5 2" xfId="15849"/>
    <cellStyle name="输入 2 5 5 2 2" xfId="15850"/>
    <cellStyle name="输入 2 5 5 2 2 2" xfId="19108"/>
    <cellStyle name="输入 2 5 5 2 2 2 2" xfId="36292"/>
    <cellStyle name="输入 2 5 5 2 2 2 3" xfId="45696"/>
    <cellStyle name="输入 2 5 5 2 2 3" xfId="36291"/>
    <cellStyle name="输入 2 5 5 2 2 4" xfId="45695"/>
    <cellStyle name="输入 2 5 5 2 3" xfId="15851"/>
    <cellStyle name="输入 2 5 5 2 3 2" xfId="19107"/>
    <cellStyle name="输入 2 5 5 2 3 2 2" xfId="36294"/>
    <cellStyle name="输入 2 5 5 2 3 2 3" xfId="45698"/>
    <cellStyle name="输入 2 5 5 2 3 3" xfId="36293"/>
    <cellStyle name="输入 2 5 5 2 3 4" xfId="45697"/>
    <cellStyle name="输入 2 5 5 2 4" xfId="19109"/>
    <cellStyle name="输入 2 5 5 2 4 2" xfId="36295"/>
    <cellStyle name="输入 2 5 5 2 4 3" xfId="45699"/>
    <cellStyle name="输入 2 5 5 2 5" xfId="36290"/>
    <cellStyle name="输入 2 5 5 2 6" xfId="45694"/>
    <cellStyle name="输入 2 5 5 3" xfId="15852"/>
    <cellStyle name="输入 2 5 5 3 2" xfId="19106"/>
    <cellStyle name="输入 2 5 5 3 2 2" xfId="36297"/>
    <cellStyle name="输入 2 5 5 3 2 3" xfId="45701"/>
    <cellStyle name="输入 2 5 5 3 3" xfId="36296"/>
    <cellStyle name="输入 2 5 5 3 4" xfId="45700"/>
    <cellStyle name="输入 2 5 5 4" xfId="15853"/>
    <cellStyle name="输入 2 5 5 4 2" xfId="18541"/>
    <cellStyle name="输入 2 5 5 4 2 2" xfId="36299"/>
    <cellStyle name="输入 2 5 5 4 2 3" xfId="45703"/>
    <cellStyle name="输入 2 5 5 4 3" xfId="36298"/>
    <cellStyle name="输入 2 5 5 4 4" xfId="45702"/>
    <cellStyle name="输入 2 5 5 5" xfId="36300"/>
    <cellStyle name="输入 2 5 5 5 2" xfId="45704"/>
    <cellStyle name="输入 2 5 5 6" xfId="36289"/>
    <cellStyle name="输入 2 5 5 7" xfId="45693"/>
    <cellStyle name="输入 2 5 6" xfId="15854"/>
    <cellStyle name="输入 2 5 6 2" xfId="15855"/>
    <cellStyle name="输入 2 5 6 2 2" xfId="19104"/>
    <cellStyle name="输入 2 5 6 2 2 2" xfId="36303"/>
    <cellStyle name="输入 2 5 6 2 2 3" xfId="45707"/>
    <cellStyle name="输入 2 5 6 2 3" xfId="36302"/>
    <cellStyle name="输入 2 5 6 2 4" xfId="45706"/>
    <cellStyle name="输入 2 5 6 3" xfId="15856"/>
    <cellStyle name="输入 2 5 6 3 2" xfId="19103"/>
    <cellStyle name="输入 2 5 6 3 2 2" xfId="36305"/>
    <cellStyle name="输入 2 5 6 3 2 3" xfId="45709"/>
    <cellStyle name="输入 2 5 6 3 3" xfId="36304"/>
    <cellStyle name="输入 2 5 6 3 4" xfId="45708"/>
    <cellStyle name="输入 2 5 6 4" xfId="19105"/>
    <cellStyle name="输入 2 5 6 4 2" xfId="36306"/>
    <cellStyle name="输入 2 5 6 4 3" xfId="45710"/>
    <cellStyle name="输入 2 5 6 5" xfId="36301"/>
    <cellStyle name="输入 2 5 6 6" xfId="45705"/>
    <cellStyle name="输入 2 5 7" xfId="15857"/>
    <cellStyle name="输入 2 5 7 2" xfId="19102"/>
    <cellStyle name="输入 2 5 7 2 2" xfId="36308"/>
    <cellStyle name="输入 2 5 7 2 3" xfId="45712"/>
    <cellStyle name="输入 2 5 7 3" xfId="36307"/>
    <cellStyle name="输入 2 5 7 4" xfId="45711"/>
    <cellStyle name="输入 2 5 8" xfId="15858"/>
    <cellStyle name="输入 2 5 8 2" xfId="8634"/>
    <cellStyle name="输入 2 5 8 2 2" xfId="36310"/>
    <cellStyle name="输入 2 5 8 2 3" xfId="45714"/>
    <cellStyle name="输入 2 5 8 3" xfId="36309"/>
    <cellStyle name="输入 2 5 8 4" xfId="45713"/>
    <cellStyle name="输入 2 5 9" xfId="36311"/>
    <cellStyle name="输入 2 5 9 2" xfId="45715"/>
    <cellStyle name="输入 2 6" xfId="10439"/>
    <cellStyle name="输入 2 6 10" xfId="36312"/>
    <cellStyle name="输入 2 6 11" xfId="45716"/>
    <cellStyle name="输入 2 6 2" xfId="10440"/>
    <cellStyle name="输入 2 6 2 2" xfId="15859"/>
    <cellStyle name="输入 2 6 2 2 2" xfId="15860"/>
    <cellStyle name="输入 2 6 2 2 2 2" xfId="19100"/>
    <cellStyle name="输入 2 6 2 2 2 2 2" xfId="36316"/>
    <cellStyle name="输入 2 6 2 2 2 2 3" xfId="45720"/>
    <cellStyle name="输入 2 6 2 2 2 3" xfId="36315"/>
    <cellStyle name="输入 2 6 2 2 2 4" xfId="45719"/>
    <cellStyle name="输入 2 6 2 2 3" xfId="15861"/>
    <cellStyle name="输入 2 6 2 2 3 2" xfId="19099"/>
    <cellStyle name="输入 2 6 2 2 3 2 2" xfId="36318"/>
    <cellStyle name="输入 2 6 2 2 3 2 3" xfId="45722"/>
    <cellStyle name="输入 2 6 2 2 3 3" xfId="36317"/>
    <cellStyle name="输入 2 6 2 2 3 4" xfId="45721"/>
    <cellStyle name="输入 2 6 2 2 4" xfId="19101"/>
    <cellStyle name="输入 2 6 2 2 4 2" xfId="36319"/>
    <cellStyle name="输入 2 6 2 2 4 3" xfId="45723"/>
    <cellStyle name="输入 2 6 2 2 5" xfId="36314"/>
    <cellStyle name="输入 2 6 2 2 6" xfId="45718"/>
    <cellStyle name="输入 2 6 2 3" xfId="15862"/>
    <cellStyle name="输入 2 6 2 3 2" xfId="19098"/>
    <cellStyle name="输入 2 6 2 3 2 2" xfId="36321"/>
    <cellStyle name="输入 2 6 2 3 2 3" xfId="45725"/>
    <cellStyle name="输入 2 6 2 3 3" xfId="36320"/>
    <cellStyle name="输入 2 6 2 3 4" xfId="45724"/>
    <cellStyle name="输入 2 6 2 4" xfId="15863"/>
    <cellStyle name="输入 2 6 2 4 2" xfId="19097"/>
    <cellStyle name="输入 2 6 2 4 2 2" xfId="36323"/>
    <cellStyle name="输入 2 6 2 4 2 3" xfId="45727"/>
    <cellStyle name="输入 2 6 2 4 3" xfId="36322"/>
    <cellStyle name="输入 2 6 2 4 4" xfId="45726"/>
    <cellStyle name="输入 2 6 2 5" xfId="36324"/>
    <cellStyle name="输入 2 6 2 5 2" xfId="45728"/>
    <cellStyle name="输入 2 6 2 6" xfId="36313"/>
    <cellStyle name="输入 2 6 2 7" xfId="45717"/>
    <cellStyle name="输入 2 6 3" xfId="10441"/>
    <cellStyle name="输入 2 6 3 2" xfId="15864"/>
    <cellStyle name="输入 2 6 3 2 2" xfId="15865"/>
    <cellStyle name="输入 2 6 3 2 2 2" xfId="8635"/>
    <cellStyle name="输入 2 6 3 2 2 2 2" xfId="36328"/>
    <cellStyle name="输入 2 6 3 2 2 2 3" xfId="45732"/>
    <cellStyle name="输入 2 6 3 2 2 3" xfId="36327"/>
    <cellStyle name="输入 2 6 3 2 2 4" xfId="45731"/>
    <cellStyle name="输入 2 6 3 2 3" xfId="15866"/>
    <cellStyle name="输入 2 6 3 2 3 2" xfId="19096"/>
    <cellStyle name="输入 2 6 3 2 3 2 2" xfId="36330"/>
    <cellStyle name="输入 2 6 3 2 3 2 3" xfId="45734"/>
    <cellStyle name="输入 2 6 3 2 3 3" xfId="36329"/>
    <cellStyle name="输入 2 6 3 2 3 4" xfId="45733"/>
    <cellStyle name="输入 2 6 3 2 4" xfId="20636"/>
    <cellStyle name="输入 2 6 3 2 4 2" xfId="36331"/>
    <cellStyle name="输入 2 6 3 2 4 3" xfId="45735"/>
    <cellStyle name="输入 2 6 3 2 5" xfId="36326"/>
    <cellStyle name="输入 2 6 3 2 6" xfId="45730"/>
    <cellStyle name="输入 2 6 3 3" xfId="15867"/>
    <cellStyle name="输入 2 6 3 3 2" xfId="19095"/>
    <cellStyle name="输入 2 6 3 3 2 2" xfId="36333"/>
    <cellStyle name="输入 2 6 3 3 2 3" xfId="45737"/>
    <cellStyle name="输入 2 6 3 3 3" xfId="36332"/>
    <cellStyle name="输入 2 6 3 3 4" xfId="45736"/>
    <cellStyle name="输入 2 6 3 4" xfId="15868"/>
    <cellStyle name="输入 2 6 3 4 2" xfId="19094"/>
    <cellStyle name="输入 2 6 3 4 2 2" xfId="36335"/>
    <cellStyle name="输入 2 6 3 4 2 3" xfId="45739"/>
    <cellStyle name="输入 2 6 3 4 3" xfId="36334"/>
    <cellStyle name="输入 2 6 3 4 4" xfId="45738"/>
    <cellStyle name="输入 2 6 3 5" xfId="36336"/>
    <cellStyle name="输入 2 6 3 5 2" xfId="45740"/>
    <cellStyle name="输入 2 6 3 6" xfId="36325"/>
    <cellStyle name="输入 2 6 3 7" xfId="45729"/>
    <cellStyle name="输入 2 6 4" xfId="10442"/>
    <cellStyle name="输入 2 6 4 2" xfId="15869"/>
    <cellStyle name="输入 2 6 4 2 2" xfId="15870"/>
    <cellStyle name="输入 2 6 4 2 2 2" xfId="20635"/>
    <cellStyle name="输入 2 6 4 2 2 2 2" xfId="36340"/>
    <cellStyle name="输入 2 6 4 2 2 2 3" xfId="45744"/>
    <cellStyle name="输入 2 6 4 2 2 3" xfId="36339"/>
    <cellStyle name="输入 2 6 4 2 2 4" xfId="45743"/>
    <cellStyle name="输入 2 6 4 2 3" xfId="15871"/>
    <cellStyle name="输入 2 6 4 2 3 2" xfId="19092"/>
    <cellStyle name="输入 2 6 4 2 3 2 2" xfId="36342"/>
    <cellStyle name="输入 2 6 4 2 3 2 3" xfId="45746"/>
    <cellStyle name="输入 2 6 4 2 3 3" xfId="36341"/>
    <cellStyle name="输入 2 6 4 2 3 4" xfId="45745"/>
    <cellStyle name="输入 2 6 4 2 4" xfId="19093"/>
    <cellStyle name="输入 2 6 4 2 4 2" xfId="36343"/>
    <cellStyle name="输入 2 6 4 2 4 3" xfId="45747"/>
    <cellStyle name="输入 2 6 4 2 5" xfId="36338"/>
    <cellStyle name="输入 2 6 4 2 6" xfId="45742"/>
    <cellStyle name="输入 2 6 4 3" xfId="15872"/>
    <cellStyle name="输入 2 6 4 3 2" xfId="8636"/>
    <cellStyle name="输入 2 6 4 3 2 2" xfId="36345"/>
    <cellStyle name="输入 2 6 4 3 2 3" xfId="45749"/>
    <cellStyle name="输入 2 6 4 3 3" xfId="36344"/>
    <cellStyle name="输入 2 6 4 3 4" xfId="45748"/>
    <cellStyle name="输入 2 6 4 4" xfId="15873"/>
    <cellStyle name="输入 2 6 4 4 2" xfId="19091"/>
    <cellStyle name="输入 2 6 4 4 2 2" xfId="36347"/>
    <cellStyle name="输入 2 6 4 4 2 3" xfId="45751"/>
    <cellStyle name="输入 2 6 4 4 3" xfId="36346"/>
    <cellStyle name="输入 2 6 4 4 4" xfId="45750"/>
    <cellStyle name="输入 2 6 4 5" xfId="36348"/>
    <cellStyle name="输入 2 6 4 5 2" xfId="45752"/>
    <cellStyle name="输入 2 6 4 6" xfId="36337"/>
    <cellStyle name="输入 2 6 4 7" xfId="45741"/>
    <cellStyle name="输入 2 6 5" xfId="10443"/>
    <cellStyle name="输入 2 6 5 2" xfId="15874"/>
    <cellStyle name="输入 2 6 5 2 2" xfId="15875"/>
    <cellStyle name="输入 2 6 5 2 2 2" xfId="19089"/>
    <cellStyle name="输入 2 6 5 2 2 2 2" xfId="36352"/>
    <cellStyle name="输入 2 6 5 2 2 2 3" xfId="45756"/>
    <cellStyle name="输入 2 6 5 2 2 3" xfId="36351"/>
    <cellStyle name="输入 2 6 5 2 2 4" xfId="45755"/>
    <cellStyle name="输入 2 6 5 2 3" xfId="15876"/>
    <cellStyle name="输入 2 6 5 2 3 2" xfId="20634"/>
    <cellStyle name="输入 2 6 5 2 3 2 2" xfId="36354"/>
    <cellStyle name="输入 2 6 5 2 3 2 3" xfId="45758"/>
    <cellStyle name="输入 2 6 5 2 3 3" xfId="36353"/>
    <cellStyle name="输入 2 6 5 2 3 4" xfId="45757"/>
    <cellStyle name="输入 2 6 5 2 4" xfId="19090"/>
    <cellStyle name="输入 2 6 5 2 4 2" xfId="36355"/>
    <cellStyle name="输入 2 6 5 2 4 3" xfId="45759"/>
    <cellStyle name="输入 2 6 5 2 5" xfId="36350"/>
    <cellStyle name="输入 2 6 5 2 6" xfId="45754"/>
    <cellStyle name="输入 2 6 5 3" xfId="15877"/>
    <cellStyle name="输入 2 6 5 3 2" xfId="19088"/>
    <cellStyle name="输入 2 6 5 3 2 2" xfId="36357"/>
    <cellStyle name="输入 2 6 5 3 2 3" xfId="45761"/>
    <cellStyle name="输入 2 6 5 3 3" xfId="36356"/>
    <cellStyle name="输入 2 6 5 3 4" xfId="45760"/>
    <cellStyle name="输入 2 6 5 4" xfId="15878"/>
    <cellStyle name="输入 2 6 5 4 2" xfId="19087"/>
    <cellStyle name="输入 2 6 5 4 2 2" xfId="36359"/>
    <cellStyle name="输入 2 6 5 4 2 3" xfId="45763"/>
    <cellStyle name="输入 2 6 5 4 3" xfId="36358"/>
    <cellStyle name="输入 2 6 5 4 4" xfId="45762"/>
    <cellStyle name="输入 2 6 5 5" xfId="36360"/>
    <cellStyle name="输入 2 6 5 5 2" xfId="45764"/>
    <cellStyle name="输入 2 6 5 6" xfId="36349"/>
    <cellStyle name="输入 2 6 5 7" xfId="45753"/>
    <cellStyle name="输入 2 6 6" xfId="15879"/>
    <cellStyle name="输入 2 6 6 2" xfId="15880"/>
    <cellStyle name="输入 2 6 6 2 2" xfId="19086"/>
    <cellStyle name="输入 2 6 6 2 2 2" xfId="36363"/>
    <cellStyle name="输入 2 6 6 2 2 3" xfId="45767"/>
    <cellStyle name="输入 2 6 6 2 3" xfId="36362"/>
    <cellStyle name="输入 2 6 6 2 4" xfId="45766"/>
    <cellStyle name="输入 2 6 6 3" xfId="15881"/>
    <cellStyle name="输入 2 6 6 3 2" xfId="19085"/>
    <cellStyle name="输入 2 6 6 3 2 2" xfId="36365"/>
    <cellStyle name="输入 2 6 6 3 2 3" xfId="45769"/>
    <cellStyle name="输入 2 6 6 3 3" xfId="36364"/>
    <cellStyle name="输入 2 6 6 3 4" xfId="45768"/>
    <cellStyle name="输入 2 6 6 4" xfId="8637"/>
    <cellStyle name="输入 2 6 6 4 2" xfId="36366"/>
    <cellStyle name="输入 2 6 6 4 3" xfId="45770"/>
    <cellStyle name="输入 2 6 6 5" xfId="36361"/>
    <cellStyle name="输入 2 6 6 6" xfId="45765"/>
    <cellStyle name="输入 2 6 7" xfId="15882"/>
    <cellStyle name="输入 2 6 7 2" xfId="20633"/>
    <cellStyle name="输入 2 6 7 2 2" xfId="36368"/>
    <cellStyle name="输入 2 6 7 2 3" xfId="45772"/>
    <cellStyle name="输入 2 6 7 3" xfId="36367"/>
    <cellStyle name="输入 2 6 7 4" xfId="45771"/>
    <cellStyle name="输入 2 6 8" xfId="15883"/>
    <cellStyle name="输入 2 6 8 2" xfId="19084"/>
    <cellStyle name="输入 2 6 8 2 2" xfId="36370"/>
    <cellStyle name="输入 2 6 8 2 3" xfId="45774"/>
    <cellStyle name="输入 2 6 8 3" xfId="36369"/>
    <cellStyle name="输入 2 6 8 4" xfId="45773"/>
    <cellStyle name="输入 2 6 9" xfId="36371"/>
    <cellStyle name="输入 2 6 9 2" xfId="45775"/>
    <cellStyle name="输入 2 7" xfId="10444"/>
    <cellStyle name="输入 2 7 10" xfId="36372"/>
    <cellStyle name="输入 2 7 11" xfId="45776"/>
    <cellStyle name="输入 2 7 2" xfId="10445"/>
    <cellStyle name="输入 2 7 2 2" xfId="15884"/>
    <cellStyle name="输入 2 7 2 2 2" xfId="15885"/>
    <cellStyle name="输入 2 7 2 2 2 2" xfId="19082"/>
    <cellStyle name="输入 2 7 2 2 2 2 2" xfId="36376"/>
    <cellStyle name="输入 2 7 2 2 2 2 3" xfId="45780"/>
    <cellStyle name="输入 2 7 2 2 2 3" xfId="36375"/>
    <cellStyle name="输入 2 7 2 2 2 4" xfId="45779"/>
    <cellStyle name="输入 2 7 2 2 3" xfId="15886"/>
    <cellStyle name="输入 2 7 2 2 3 2" xfId="19081"/>
    <cellStyle name="输入 2 7 2 2 3 2 2" xfId="36378"/>
    <cellStyle name="输入 2 7 2 2 3 2 3" xfId="45782"/>
    <cellStyle name="输入 2 7 2 2 3 3" xfId="36377"/>
    <cellStyle name="输入 2 7 2 2 3 4" xfId="45781"/>
    <cellStyle name="输入 2 7 2 2 4" xfId="19083"/>
    <cellStyle name="输入 2 7 2 2 4 2" xfId="36379"/>
    <cellStyle name="输入 2 7 2 2 4 3" xfId="45783"/>
    <cellStyle name="输入 2 7 2 2 5" xfId="36374"/>
    <cellStyle name="输入 2 7 2 2 6" xfId="45778"/>
    <cellStyle name="输入 2 7 2 3" xfId="15887"/>
    <cellStyle name="输入 2 7 2 3 2" xfId="19080"/>
    <cellStyle name="输入 2 7 2 3 2 2" xfId="36381"/>
    <cellStyle name="输入 2 7 2 3 2 3" xfId="45785"/>
    <cellStyle name="输入 2 7 2 3 3" xfId="36380"/>
    <cellStyle name="输入 2 7 2 3 4" xfId="45784"/>
    <cellStyle name="输入 2 7 2 4" xfId="15888"/>
    <cellStyle name="输入 2 7 2 4 2" xfId="19079"/>
    <cellStyle name="输入 2 7 2 4 2 2" xfId="36383"/>
    <cellStyle name="输入 2 7 2 4 2 3" xfId="45787"/>
    <cellStyle name="输入 2 7 2 4 3" xfId="36382"/>
    <cellStyle name="输入 2 7 2 4 4" xfId="45786"/>
    <cellStyle name="输入 2 7 2 5" xfId="36384"/>
    <cellStyle name="输入 2 7 2 5 2" xfId="45788"/>
    <cellStyle name="输入 2 7 2 6" xfId="36373"/>
    <cellStyle name="输入 2 7 2 7" xfId="45777"/>
    <cellStyle name="输入 2 7 3" xfId="10446"/>
    <cellStyle name="输入 2 7 3 2" xfId="15889"/>
    <cellStyle name="输入 2 7 3 2 2" xfId="15890"/>
    <cellStyle name="输入 2 7 3 2 2 2" xfId="19077"/>
    <cellStyle name="输入 2 7 3 2 2 2 2" xfId="36388"/>
    <cellStyle name="输入 2 7 3 2 2 2 3" xfId="45792"/>
    <cellStyle name="输入 2 7 3 2 2 3" xfId="36387"/>
    <cellStyle name="输入 2 7 3 2 2 4" xfId="45791"/>
    <cellStyle name="输入 2 7 3 2 3" xfId="15891"/>
    <cellStyle name="输入 2 7 3 2 3 2" xfId="8638"/>
    <cellStyle name="输入 2 7 3 2 3 2 2" xfId="36390"/>
    <cellStyle name="输入 2 7 3 2 3 2 3" xfId="45794"/>
    <cellStyle name="输入 2 7 3 2 3 3" xfId="36389"/>
    <cellStyle name="输入 2 7 3 2 3 4" xfId="45793"/>
    <cellStyle name="输入 2 7 3 2 4" xfId="19078"/>
    <cellStyle name="输入 2 7 3 2 4 2" xfId="36391"/>
    <cellStyle name="输入 2 7 3 2 4 3" xfId="45795"/>
    <cellStyle name="输入 2 7 3 2 5" xfId="36386"/>
    <cellStyle name="输入 2 7 3 2 6" xfId="45790"/>
    <cellStyle name="输入 2 7 3 3" xfId="15892"/>
    <cellStyle name="输入 2 7 3 3 2" xfId="19076"/>
    <cellStyle name="输入 2 7 3 3 2 2" xfId="36393"/>
    <cellStyle name="输入 2 7 3 3 2 3" xfId="45797"/>
    <cellStyle name="输入 2 7 3 3 3" xfId="36392"/>
    <cellStyle name="输入 2 7 3 3 4" xfId="45796"/>
    <cellStyle name="输入 2 7 3 4" xfId="15893"/>
    <cellStyle name="输入 2 7 3 4 2" xfId="20632"/>
    <cellStyle name="输入 2 7 3 4 2 2" xfId="36395"/>
    <cellStyle name="输入 2 7 3 4 2 3" xfId="45799"/>
    <cellStyle name="输入 2 7 3 4 3" xfId="36394"/>
    <cellStyle name="输入 2 7 3 4 4" xfId="45798"/>
    <cellStyle name="输入 2 7 3 5" xfId="36396"/>
    <cellStyle name="输入 2 7 3 5 2" xfId="45800"/>
    <cellStyle name="输入 2 7 3 6" xfId="36385"/>
    <cellStyle name="输入 2 7 3 7" xfId="45789"/>
    <cellStyle name="输入 2 7 4" xfId="10447"/>
    <cellStyle name="输入 2 7 4 2" xfId="15894"/>
    <cellStyle name="输入 2 7 4 2 2" xfId="15895"/>
    <cellStyle name="输入 2 7 4 2 2 2" xfId="19579"/>
    <cellStyle name="输入 2 7 4 2 2 2 2" xfId="36400"/>
    <cellStyle name="输入 2 7 4 2 2 2 3" xfId="45804"/>
    <cellStyle name="输入 2 7 4 2 2 3" xfId="36399"/>
    <cellStyle name="输入 2 7 4 2 2 4" xfId="45803"/>
    <cellStyle name="输入 2 7 4 2 3" xfId="15896"/>
    <cellStyle name="输入 2 7 4 2 3 2" xfId="18277"/>
    <cellStyle name="输入 2 7 4 2 3 2 2" xfId="36402"/>
    <cellStyle name="输入 2 7 4 2 3 2 3" xfId="45806"/>
    <cellStyle name="输入 2 7 4 2 3 3" xfId="36401"/>
    <cellStyle name="输入 2 7 4 2 3 4" xfId="45805"/>
    <cellStyle name="输入 2 7 4 2 4" xfId="18540"/>
    <cellStyle name="输入 2 7 4 2 4 2" xfId="36403"/>
    <cellStyle name="输入 2 7 4 2 4 3" xfId="45807"/>
    <cellStyle name="输入 2 7 4 2 5" xfId="36398"/>
    <cellStyle name="输入 2 7 4 2 6" xfId="45802"/>
    <cellStyle name="输入 2 7 4 3" xfId="15897"/>
    <cellStyle name="输入 2 7 4 3 2" xfId="19578"/>
    <cellStyle name="输入 2 7 4 3 2 2" xfId="36405"/>
    <cellStyle name="输入 2 7 4 3 2 3" xfId="45809"/>
    <cellStyle name="输入 2 7 4 3 3" xfId="36404"/>
    <cellStyle name="输入 2 7 4 3 4" xfId="45808"/>
    <cellStyle name="输入 2 7 4 4" xfId="15898"/>
    <cellStyle name="输入 2 7 4 4 2" xfId="19577"/>
    <cellStyle name="输入 2 7 4 4 2 2" xfId="36407"/>
    <cellStyle name="输入 2 7 4 4 2 3" xfId="45811"/>
    <cellStyle name="输入 2 7 4 4 3" xfId="36406"/>
    <cellStyle name="输入 2 7 4 4 4" xfId="45810"/>
    <cellStyle name="输入 2 7 4 5" xfId="36408"/>
    <cellStyle name="输入 2 7 4 5 2" xfId="45812"/>
    <cellStyle name="输入 2 7 4 6" xfId="36397"/>
    <cellStyle name="输入 2 7 4 7" xfId="45801"/>
    <cellStyle name="输入 2 7 5" xfId="10448"/>
    <cellStyle name="输入 2 7 5 2" xfId="15899"/>
    <cellStyle name="输入 2 7 5 2 2" xfId="15900"/>
    <cellStyle name="输入 2 7 5 2 2 2" xfId="21205"/>
    <cellStyle name="输入 2 7 5 2 2 2 2" xfId="36412"/>
    <cellStyle name="输入 2 7 5 2 2 2 3" xfId="45816"/>
    <cellStyle name="输入 2 7 5 2 2 3" xfId="36411"/>
    <cellStyle name="输入 2 7 5 2 2 4" xfId="45815"/>
    <cellStyle name="输入 2 7 5 2 3" xfId="15901"/>
    <cellStyle name="输入 2 7 5 2 3 2" xfId="21204"/>
    <cellStyle name="输入 2 7 5 2 3 2 2" xfId="36414"/>
    <cellStyle name="输入 2 7 5 2 3 2 3" xfId="45818"/>
    <cellStyle name="输入 2 7 5 2 3 3" xfId="36413"/>
    <cellStyle name="输入 2 7 5 2 3 4" xfId="45817"/>
    <cellStyle name="输入 2 7 5 2 4" xfId="19576"/>
    <cellStyle name="输入 2 7 5 2 4 2" xfId="36415"/>
    <cellStyle name="输入 2 7 5 2 4 3" xfId="45819"/>
    <cellStyle name="输入 2 7 5 2 5" xfId="36410"/>
    <cellStyle name="输入 2 7 5 2 6" xfId="45814"/>
    <cellStyle name="输入 2 7 5 3" xfId="15902"/>
    <cellStyle name="输入 2 7 5 3 2" xfId="19575"/>
    <cellStyle name="输入 2 7 5 3 2 2" xfId="36417"/>
    <cellStyle name="输入 2 7 5 3 2 3" xfId="45821"/>
    <cellStyle name="输入 2 7 5 3 3" xfId="36416"/>
    <cellStyle name="输入 2 7 5 3 4" xfId="45820"/>
    <cellStyle name="输入 2 7 5 4" xfId="15903"/>
    <cellStyle name="输入 2 7 5 4 2" xfId="18276"/>
    <cellStyle name="输入 2 7 5 4 2 2" xfId="36419"/>
    <cellStyle name="输入 2 7 5 4 2 3" xfId="45823"/>
    <cellStyle name="输入 2 7 5 4 3" xfId="36418"/>
    <cellStyle name="输入 2 7 5 4 4" xfId="45822"/>
    <cellStyle name="输入 2 7 5 5" xfId="36420"/>
    <cellStyle name="输入 2 7 5 5 2" xfId="45824"/>
    <cellStyle name="输入 2 7 5 6" xfId="36409"/>
    <cellStyle name="输入 2 7 5 7" xfId="45813"/>
    <cellStyle name="输入 2 7 6" xfId="15904"/>
    <cellStyle name="输入 2 7 6 2" xfId="15905"/>
    <cellStyle name="输入 2 7 6 2 2" xfId="19075"/>
    <cellStyle name="输入 2 7 6 2 2 2" xfId="36423"/>
    <cellStyle name="输入 2 7 6 2 2 3" xfId="45827"/>
    <cellStyle name="输入 2 7 6 2 3" xfId="36422"/>
    <cellStyle name="输入 2 7 6 2 4" xfId="45826"/>
    <cellStyle name="输入 2 7 6 3" xfId="15906"/>
    <cellStyle name="输入 2 7 6 3 2" xfId="19573"/>
    <cellStyle name="输入 2 7 6 3 2 2" xfId="36425"/>
    <cellStyle name="输入 2 7 6 3 2 3" xfId="45829"/>
    <cellStyle name="输入 2 7 6 3 3" xfId="36424"/>
    <cellStyle name="输入 2 7 6 3 4" xfId="45828"/>
    <cellStyle name="输入 2 7 6 4" xfId="19574"/>
    <cellStyle name="输入 2 7 6 4 2" xfId="36426"/>
    <cellStyle name="输入 2 7 6 4 3" xfId="45830"/>
    <cellStyle name="输入 2 7 6 5" xfId="36421"/>
    <cellStyle name="输入 2 7 6 6" xfId="45825"/>
    <cellStyle name="输入 2 7 7" xfId="15907"/>
    <cellStyle name="输入 2 7 7 2" xfId="19572"/>
    <cellStyle name="输入 2 7 7 2 2" xfId="36428"/>
    <cellStyle name="输入 2 7 7 2 3" xfId="45832"/>
    <cellStyle name="输入 2 7 7 3" xfId="36427"/>
    <cellStyle name="输入 2 7 7 4" xfId="45831"/>
    <cellStyle name="输入 2 7 8" xfId="15908"/>
    <cellStyle name="输入 2 7 8 2" xfId="21203"/>
    <cellStyle name="输入 2 7 8 2 2" xfId="36430"/>
    <cellStyle name="输入 2 7 8 2 3" xfId="45834"/>
    <cellStyle name="输入 2 7 8 3" xfId="36429"/>
    <cellStyle name="输入 2 7 8 4" xfId="45833"/>
    <cellStyle name="输入 2 7 9" xfId="36431"/>
    <cellStyle name="输入 2 7 9 2" xfId="45835"/>
    <cellStyle name="输入 2 8" xfId="10449"/>
    <cellStyle name="输入 2 8 10" xfId="36432"/>
    <cellStyle name="输入 2 8 11" xfId="45836"/>
    <cellStyle name="输入 2 8 2" xfId="10450"/>
    <cellStyle name="输入 2 8 2 2" xfId="15909"/>
    <cellStyle name="输入 2 8 2 2 2" xfId="15910"/>
    <cellStyle name="输入 2 8 2 2 2 2" xfId="18275"/>
    <cellStyle name="输入 2 8 2 2 2 2 2" xfId="36436"/>
    <cellStyle name="输入 2 8 2 2 2 2 3" xfId="45840"/>
    <cellStyle name="输入 2 8 2 2 2 3" xfId="36435"/>
    <cellStyle name="输入 2 8 2 2 2 4" xfId="45839"/>
    <cellStyle name="输入 2 8 2 2 3" xfId="15911"/>
    <cellStyle name="输入 2 8 2 2 3 2" xfId="19074"/>
    <cellStyle name="输入 2 8 2 2 3 2 2" xfId="36438"/>
    <cellStyle name="输入 2 8 2 2 3 2 3" xfId="45842"/>
    <cellStyle name="输入 2 8 2 2 3 3" xfId="36437"/>
    <cellStyle name="输入 2 8 2 2 3 4" xfId="45841"/>
    <cellStyle name="输入 2 8 2 2 4" xfId="19571"/>
    <cellStyle name="输入 2 8 2 2 4 2" xfId="36439"/>
    <cellStyle name="输入 2 8 2 2 4 3" xfId="45843"/>
    <cellStyle name="输入 2 8 2 2 5" xfId="36434"/>
    <cellStyle name="输入 2 8 2 2 6" xfId="45838"/>
    <cellStyle name="输入 2 8 2 3" xfId="15912"/>
    <cellStyle name="输入 2 8 2 3 2" xfId="18274"/>
    <cellStyle name="输入 2 8 2 3 2 2" xfId="36441"/>
    <cellStyle name="输入 2 8 2 3 2 3" xfId="45845"/>
    <cellStyle name="输入 2 8 2 3 3" xfId="36440"/>
    <cellStyle name="输入 2 8 2 3 4" xfId="45844"/>
    <cellStyle name="输入 2 8 2 4" xfId="15913"/>
    <cellStyle name="输入 2 8 2 4 2" xfId="18273"/>
    <cellStyle name="输入 2 8 2 4 2 2" xfId="36443"/>
    <cellStyle name="输入 2 8 2 4 2 3" xfId="45847"/>
    <cellStyle name="输入 2 8 2 4 3" xfId="36442"/>
    <cellStyle name="输入 2 8 2 4 4" xfId="45846"/>
    <cellStyle name="输入 2 8 2 5" xfId="36444"/>
    <cellStyle name="输入 2 8 2 5 2" xfId="45848"/>
    <cellStyle name="输入 2 8 2 6" xfId="36433"/>
    <cellStyle name="输入 2 8 2 7" xfId="45837"/>
    <cellStyle name="输入 2 8 3" xfId="10451"/>
    <cellStyle name="输入 2 8 3 2" xfId="15914"/>
    <cellStyle name="输入 2 8 3 2 2" xfId="15915"/>
    <cellStyle name="输入 2 8 3 2 2 2" xfId="21202"/>
    <cellStyle name="输入 2 8 3 2 2 2 2" xfId="36448"/>
    <cellStyle name="输入 2 8 3 2 2 2 3" xfId="45852"/>
    <cellStyle name="输入 2 8 3 2 2 3" xfId="36447"/>
    <cellStyle name="输入 2 8 3 2 2 4" xfId="45851"/>
    <cellStyle name="输入 2 8 3 2 3" xfId="15916"/>
    <cellStyle name="输入 2 8 3 2 3 2" xfId="18271"/>
    <cellStyle name="输入 2 8 3 2 3 2 2" xfId="36450"/>
    <cellStyle name="输入 2 8 3 2 3 2 3" xfId="45854"/>
    <cellStyle name="输入 2 8 3 2 3 3" xfId="36449"/>
    <cellStyle name="输入 2 8 3 2 3 4" xfId="45853"/>
    <cellStyle name="输入 2 8 3 2 4" xfId="18272"/>
    <cellStyle name="输入 2 8 3 2 4 2" xfId="36451"/>
    <cellStyle name="输入 2 8 3 2 4 3" xfId="45855"/>
    <cellStyle name="输入 2 8 3 2 5" xfId="36446"/>
    <cellStyle name="输入 2 8 3 2 6" xfId="45850"/>
    <cellStyle name="输入 2 8 3 3" xfId="15917"/>
    <cellStyle name="输入 2 8 3 3 2" xfId="19073"/>
    <cellStyle name="输入 2 8 3 3 2 2" xfId="36453"/>
    <cellStyle name="输入 2 8 3 3 2 3" xfId="45857"/>
    <cellStyle name="输入 2 8 3 3 3" xfId="36452"/>
    <cellStyle name="输入 2 8 3 3 4" xfId="45856"/>
    <cellStyle name="输入 2 8 3 4" xfId="15918"/>
    <cellStyle name="输入 2 8 3 4 2" xfId="18873"/>
    <cellStyle name="输入 2 8 3 4 2 2" xfId="36455"/>
    <cellStyle name="输入 2 8 3 4 2 3" xfId="45859"/>
    <cellStyle name="输入 2 8 3 4 3" xfId="36454"/>
    <cellStyle name="输入 2 8 3 4 4" xfId="45858"/>
    <cellStyle name="输入 2 8 3 5" xfId="36456"/>
    <cellStyle name="输入 2 8 3 5 2" xfId="45860"/>
    <cellStyle name="输入 2 8 3 6" xfId="36445"/>
    <cellStyle name="输入 2 8 3 7" xfId="45849"/>
    <cellStyle name="输入 2 8 4" xfId="10452"/>
    <cellStyle name="输入 2 8 4 2" xfId="15919"/>
    <cellStyle name="输入 2 8 4 2 2" xfId="15920"/>
    <cellStyle name="输入 2 8 4 2 2 2" xfId="18269"/>
    <cellStyle name="输入 2 8 4 2 2 2 2" xfId="36460"/>
    <cellStyle name="输入 2 8 4 2 2 2 3" xfId="45864"/>
    <cellStyle name="输入 2 8 4 2 2 3" xfId="36459"/>
    <cellStyle name="输入 2 8 4 2 2 4" xfId="45863"/>
    <cellStyle name="输入 2 8 4 2 3" xfId="15921"/>
    <cellStyle name="输入 2 8 4 2 3 2" xfId="18268"/>
    <cellStyle name="输入 2 8 4 2 3 2 2" xfId="36462"/>
    <cellStyle name="输入 2 8 4 2 3 2 3" xfId="45866"/>
    <cellStyle name="输入 2 8 4 2 3 3" xfId="36461"/>
    <cellStyle name="输入 2 8 4 2 3 4" xfId="45865"/>
    <cellStyle name="输入 2 8 4 2 4" xfId="18270"/>
    <cellStyle name="输入 2 8 4 2 4 2" xfId="36463"/>
    <cellStyle name="输入 2 8 4 2 4 3" xfId="45867"/>
    <cellStyle name="输入 2 8 4 2 5" xfId="36458"/>
    <cellStyle name="输入 2 8 4 2 6" xfId="45862"/>
    <cellStyle name="输入 2 8 4 3" xfId="15922"/>
    <cellStyle name="输入 2 8 4 3 2" xfId="21201"/>
    <cellStyle name="输入 2 8 4 3 2 2" xfId="36465"/>
    <cellStyle name="输入 2 8 4 3 2 3" xfId="45869"/>
    <cellStyle name="输入 2 8 4 3 3" xfId="36464"/>
    <cellStyle name="输入 2 8 4 3 4" xfId="45868"/>
    <cellStyle name="输入 2 8 4 4" xfId="15923"/>
    <cellStyle name="输入 2 8 4 4 2" xfId="19072"/>
    <cellStyle name="输入 2 8 4 4 2 2" xfId="36467"/>
    <cellStyle name="输入 2 8 4 4 2 3" xfId="45871"/>
    <cellStyle name="输入 2 8 4 4 3" xfId="36466"/>
    <cellStyle name="输入 2 8 4 4 4" xfId="45870"/>
    <cellStyle name="输入 2 8 4 5" xfId="36468"/>
    <cellStyle name="输入 2 8 4 5 2" xfId="45872"/>
    <cellStyle name="输入 2 8 4 6" xfId="36457"/>
    <cellStyle name="输入 2 8 4 7" xfId="45861"/>
    <cellStyle name="输入 2 8 5" xfId="10453"/>
    <cellStyle name="输入 2 8 5 2" xfId="15924"/>
    <cellStyle name="输入 2 8 5 2 2" xfId="15925"/>
    <cellStyle name="输入 2 8 5 2 2 2" xfId="20631"/>
    <cellStyle name="输入 2 8 5 2 2 2 2" xfId="36472"/>
    <cellStyle name="输入 2 8 5 2 2 2 3" xfId="45876"/>
    <cellStyle name="输入 2 8 5 2 2 3" xfId="36471"/>
    <cellStyle name="输入 2 8 5 2 2 4" xfId="45875"/>
    <cellStyle name="输入 2 8 5 2 3" xfId="15926"/>
    <cellStyle name="输入 2 8 5 2 3 2" xfId="19071"/>
    <cellStyle name="输入 2 8 5 2 3 2 2" xfId="36474"/>
    <cellStyle name="输入 2 8 5 2 3 2 3" xfId="45878"/>
    <cellStyle name="输入 2 8 5 2 3 3" xfId="36473"/>
    <cellStyle name="输入 2 8 5 2 3 4" xfId="45877"/>
    <cellStyle name="输入 2 8 5 2 4" xfId="8639"/>
    <cellStyle name="输入 2 8 5 2 4 2" xfId="36475"/>
    <cellStyle name="输入 2 8 5 2 4 3" xfId="45879"/>
    <cellStyle name="输入 2 8 5 2 5" xfId="36470"/>
    <cellStyle name="输入 2 8 5 2 6" xfId="45874"/>
    <cellStyle name="输入 2 8 5 3" xfId="15927"/>
    <cellStyle name="输入 2 8 5 3 2" xfId="19070"/>
    <cellStyle name="输入 2 8 5 3 2 2" xfId="36477"/>
    <cellStyle name="输入 2 8 5 3 2 3" xfId="45881"/>
    <cellStyle name="输入 2 8 5 3 3" xfId="36476"/>
    <cellStyle name="输入 2 8 5 3 4" xfId="45880"/>
    <cellStyle name="输入 2 8 5 4" xfId="15928"/>
    <cellStyle name="输入 2 8 5 4 2" xfId="19069"/>
    <cellStyle name="输入 2 8 5 4 2 2" xfId="36479"/>
    <cellStyle name="输入 2 8 5 4 2 3" xfId="45883"/>
    <cellStyle name="输入 2 8 5 4 3" xfId="36478"/>
    <cellStyle name="输入 2 8 5 4 4" xfId="45882"/>
    <cellStyle name="输入 2 8 5 5" xfId="36480"/>
    <cellStyle name="输入 2 8 5 5 2" xfId="45884"/>
    <cellStyle name="输入 2 8 5 6" xfId="36469"/>
    <cellStyle name="输入 2 8 5 7" xfId="45873"/>
    <cellStyle name="输入 2 8 6" xfId="15929"/>
    <cellStyle name="输入 2 8 6 2" xfId="15930"/>
    <cellStyle name="输入 2 8 6 2 2" xfId="19067"/>
    <cellStyle name="输入 2 8 6 2 2 2" xfId="36483"/>
    <cellStyle name="输入 2 8 6 2 2 3" xfId="45887"/>
    <cellStyle name="输入 2 8 6 2 3" xfId="36482"/>
    <cellStyle name="输入 2 8 6 2 4" xfId="45886"/>
    <cellStyle name="输入 2 8 6 3" xfId="15931"/>
    <cellStyle name="输入 2 8 6 3 2" xfId="20630"/>
    <cellStyle name="输入 2 8 6 3 2 2" xfId="36485"/>
    <cellStyle name="输入 2 8 6 3 2 3" xfId="45889"/>
    <cellStyle name="输入 2 8 6 3 3" xfId="36484"/>
    <cellStyle name="输入 2 8 6 3 4" xfId="45888"/>
    <cellStyle name="输入 2 8 6 4" xfId="19068"/>
    <cellStyle name="输入 2 8 6 4 2" xfId="36486"/>
    <cellStyle name="输入 2 8 6 4 3" xfId="45890"/>
    <cellStyle name="输入 2 8 6 5" xfId="36481"/>
    <cellStyle name="输入 2 8 6 6" xfId="45885"/>
    <cellStyle name="输入 2 8 7" xfId="15932"/>
    <cellStyle name="输入 2 8 7 2" xfId="8640"/>
    <cellStyle name="输入 2 8 7 2 2" xfId="36488"/>
    <cellStyle name="输入 2 8 7 2 3" xfId="45892"/>
    <cellStyle name="输入 2 8 7 3" xfId="36487"/>
    <cellStyle name="输入 2 8 7 4" xfId="45891"/>
    <cellStyle name="输入 2 8 8" xfId="15933"/>
    <cellStyle name="输入 2 8 8 2" xfId="19066"/>
    <cellStyle name="输入 2 8 8 2 2" xfId="36490"/>
    <cellStyle name="输入 2 8 8 2 3" xfId="45894"/>
    <cellStyle name="输入 2 8 8 3" xfId="36489"/>
    <cellStyle name="输入 2 8 8 4" xfId="45893"/>
    <cellStyle name="输入 2 8 9" xfId="36491"/>
    <cellStyle name="输入 2 8 9 2" xfId="45895"/>
    <cellStyle name="输入 2 9" xfId="10454"/>
    <cellStyle name="输入 2 9 10" xfId="36492"/>
    <cellStyle name="输入 2 9 11" xfId="45896"/>
    <cellStyle name="输入 2 9 2" xfId="10455"/>
    <cellStyle name="输入 2 9 2 2" xfId="15934"/>
    <cellStyle name="输入 2 9 2 2 2" xfId="15935"/>
    <cellStyle name="输入 2 9 2 2 2 2" xfId="19064"/>
    <cellStyle name="输入 2 9 2 2 2 2 2" xfId="36496"/>
    <cellStyle name="输入 2 9 2 2 2 2 3" xfId="45900"/>
    <cellStyle name="输入 2 9 2 2 2 3" xfId="36495"/>
    <cellStyle name="输入 2 9 2 2 2 4" xfId="45899"/>
    <cellStyle name="输入 2 9 2 2 3" xfId="15936"/>
    <cellStyle name="输入 2 9 2 2 3 2" xfId="19063"/>
    <cellStyle name="输入 2 9 2 2 3 2 2" xfId="36498"/>
    <cellStyle name="输入 2 9 2 2 3 2 3" xfId="45902"/>
    <cellStyle name="输入 2 9 2 2 3 3" xfId="36497"/>
    <cellStyle name="输入 2 9 2 2 3 4" xfId="45901"/>
    <cellStyle name="输入 2 9 2 2 4" xfId="19065"/>
    <cellStyle name="输入 2 9 2 2 4 2" xfId="36499"/>
    <cellStyle name="输入 2 9 2 2 4 3" xfId="45903"/>
    <cellStyle name="输入 2 9 2 2 5" xfId="36494"/>
    <cellStyle name="输入 2 9 2 2 6" xfId="45898"/>
    <cellStyle name="输入 2 9 2 3" xfId="15937"/>
    <cellStyle name="输入 2 9 2 3 2" xfId="20629"/>
    <cellStyle name="输入 2 9 2 3 2 2" xfId="36501"/>
    <cellStyle name="输入 2 9 2 3 2 3" xfId="45905"/>
    <cellStyle name="输入 2 9 2 3 3" xfId="36500"/>
    <cellStyle name="输入 2 9 2 3 4" xfId="45904"/>
    <cellStyle name="输入 2 9 2 4" xfId="15938"/>
    <cellStyle name="输入 2 9 2 4 2" xfId="19062"/>
    <cellStyle name="输入 2 9 2 4 2 2" xfId="36503"/>
    <cellStyle name="输入 2 9 2 4 2 3" xfId="45907"/>
    <cellStyle name="输入 2 9 2 4 3" xfId="36502"/>
    <cellStyle name="输入 2 9 2 4 4" xfId="45906"/>
    <cellStyle name="输入 2 9 2 5" xfId="36504"/>
    <cellStyle name="输入 2 9 2 5 2" xfId="45908"/>
    <cellStyle name="输入 2 9 2 6" xfId="36493"/>
    <cellStyle name="输入 2 9 2 7" xfId="45897"/>
    <cellStyle name="输入 2 9 3" xfId="10456"/>
    <cellStyle name="输入 2 9 3 2" xfId="15939"/>
    <cellStyle name="输入 2 9 3 2 2" xfId="15940"/>
    <cellStyle name="输入 2 9 3 2 2 2" xfId="8642"/>
    <cellStyle name="输入 2 9 3 2 2 2 2" xfId="36508"/>
    <cellStyle name="输入 2 9 3 2 2 2 3" xfId="45912"/>
    <cellStyle name="输入 2 9 3 2 2 3" xfId="36507"/>
    <cellStyle name="输入 2 9 3 2 2 4" xfId="45911"/>
    <cellStyle name="输入 2 9 3 2 3" xfId="15941"/>
    <cellStyle name="输入 2 9 3 2 3 2" xfId="19061"/>
    <cellStyle name="输入 2 9 3 2 3 2 2" xfId="36510"/>
    <cellStyle name="输入 2 9 3 2 3 2 3" xfId="45914"/>
    <cellStyle name="输入 2 9 3 2 3 3" xfId="36509"/>
    <cellStyle name="输入 2 9 3 2 3 4" xfId="45913"/>
    <cellStyle name="输入 2 9 3 2 4" xfId="8641"/>
    <cellStyle name="输入 2 9 3 2 4 2" xfId="36511"/>
    <cellStyle name="输入 2 9 3 2 4 3" xfId="45915"/>
    <cellStyle name="输入 2 9 3 2 5" xfId="36506"/>
    <cellStyle name="输入 2 9 3 2 6" xfId="45910"/>
    <cellStyle name="输入 2 9 3 3" xfId="15942"/>
    <cellStyle name="输入 2 9 3 3 2" xfId="19060"/>
    <cellStyle name="输入 2 9 3 3 2 2" xfId="36513"/>
    <cellStyle name="输入 2 9 3 3 2 3" xfId="45917"/>
    <cellStyle name="输入 2 9 3 3 3" xfId="36512"/>
    <cellStyle name="输入 2 9 3 3 4" xfId="45916"/>
    <cellStyle name="输入 2 9 3 4" xfId="15943"/>
    <cellStyle name="输入 2 9 3 4 2" xfId="19059"/>
    <cellStyle name="输入 2 9 3 4 2 2" xfId="36515"/>
    <cellStyle name="输入 2 9 3 4 2 3" xfId="45919"/>
    <cellStyle name="输入 2 9 3 4 3" xfId="36514"/>
    <cellStyle name="输入 2 9 3 4 4" xfId="45918"/>
    <cellStyle name="输入 2 9 3 5" xfId="36516"/>
    <cellStyle name="输入 2 9 3 5 2" xfId="45920"/>
    <cellStyle name="输入 2 9 3 6" xfId="36505"/>
    <cellStyle name="输入 2 9 3 7" xfId="45909"/>
    <cellStyle name="输入 2 9 4" xfId="10457"/>
    <cellStyle name="输入 2 9 4 2" xfId="15944"/>
    <cellStyle name="输入 2 9 4 2 2" xfId="15945"/>
    <cellStyle name="输入 2 9 4 2 2 2" xfId="19057"/>
    <cellStyle name="输入 2 9 4 2 2 2 2" xfId="36520"/>
    <cellStyle name="输入 2 9 4 2 2 2 3" xfId="45924"/>
    <cellStyle name="输入 2 9 4 2 2 3" xfId="36519"/>
    <cellStyle name="输入 2 9 4 2 2 4" xfId="45923"/>
    <cellStyle name="输入 2 9 4 2 3" xfId="15946"/>
    <cellStyle name="输入 2 9 4 2 3 2" xfId="19056"/>
    <cellStyle name="输入 2 9 4 2 3 2 2" xfId="36522"/>
    <cellStyle name="输入 2 9 4 2 3 2 3" xfId="45926"/>
    <cellStyle name="输入 2 9 4 2 3 3" xfId="36521"/>
    <cellStyle name="输入 2 9 4 2 3 4" xfId="45925"/>
    <cellStyle name="输入 2 9 4 2 4" xfId="19058"/>
    <cellStyle name="输入 2 9 4 2 4 2" xfId="36523"/>
    <cellStyle name="输入 2 9 4 2 4 3" xfId="45927"/>
    <cellStyle name="输入 2 9 4 2 5" xfId="36518"/>
    <cellStyle name="输入 2 9 4 2 6" xfId="45922"/>
    <cellStyle name="输入 2 9 4 3" xfId="15947"/>
    <cellStyle name="输入 2 9 4 3 2" xfId="19055"/>
    <cellStyle name="输入 2 9 4 3 2 2" xfId="36525"/>
    <cellStyle name="输入 2 9 4 3 2 3" xfId="45929"/>
    <cellStyle name="输入 2 9 4 3 3" xfId="36524"/>
    <cellStyle name="输入 2 9 4 3 4" xfId="45928"/>
    <cellStyle name="输入 2 9 4 4" xfId="15948"/>
    <cellStyle name="输入 2 9 4 4 2" xfId="20628"/>
    <cellStyle name="输入 2 9 4 4 2 2" xfId="36527"/>
    <cellStyle name="输入 2 9 4 4 2 3" xfId="45931"/>
    <cellStyle name="输入 2 9 4 4 3" xfId="36526"/>
    <cellStyle name="输入 2 9 4 4 4" xfId="45930"/>
    <cellStyle name="输入 2 9 4 5" xfId="36528"/>
    <cellStyle name="输入 2 9 4 5 2" xfId="45932"/>
    <cellStyle name="输入 2 9 4 6" xfId="36517"/>
    <cellStyle name="输入 2 9 4 7" xfId="45921"/>
    <cellStyle name="输入 2 9 5" xfId="10458"/>
    <cellStyle name="输入 2 9 5 2" xfId="15949"/>
    <cellStyle name="输入 2 9 5 2 2" xfId="15950"/>
    <cellStyle name="输入 2 9 5 2 2 2" xfId="18267"/>
    <cellStyle name="输入 2 9 5 2 2 2 2" xfId="36532"/>
    <cellStyle name="输入 2 9 5 2 2 2 3" xfId="45936"/>
    <cellStyle name="输入 2 9 5 2 2 3" xfId="36531"/>
    <cellStyle name="输入 2 9 5 2 2 4" xfId="45935"/>
    <cellStyle name="输入 2 9 5 2 3" xfId="15951"/>
    <cellStyle name="输入 2 9 5 2 3 2" xfId="18266"/>
    <cellStyle name="输入 2 9 5 2 3 2 2" xfId="36534"/>
    <cellStyle name="输入 2 9 5 2 3 2 3" xfId="45938"/>
    <cellStyle name="输入 2 9 5 2 3 3" xfId="36533"/>
    <cellStyle name="输入 2 9 5 2 3 4" xfId="45937"/>
    <cellStyle name="输入 2 9 5 2 4" xfId="20627"/>
    <cellStyle name="输入 2 9 5 2 4 2" xfId="36535"/>
    <cellStyle name="输入 2 9 5 2 4 3" xfId="45939"/>
    <cellStyle name="输入 2 9 5 2 5" xfId="36530"/>
    <cellStyle name="输入 2 9 5 2 6" xfId="45934"/>
    <cellStyle name="输入 2 9 5 3" xfId="15952"/>
    <cellStyle name="输入 2 9 5 3 2" xfId="18265"/>
    <cellStyle name="输入 2 9 5 3 2 2" xfId="36537"/>
    <cellStyle name="输入 2 9 5 3 2 3" xfId="45941"/>
    <cellStyle name="输入 2 9 5 3 3" xfId="36536"/>
    <cellStyle name="输入 2 9 5 3 4" xfId="45940"/>
    <cellStyle name="输入 2 9 5 4" xfId="15953"/>
    <cellStyle name="输入 2 9 5 4 2" xfId="19054"/>
    <cellStyle name="输入 2 9 5 4 2 2" xfId="36539"/>
    <cellStyle name="输入 2 9 5 4 2 3" xfId="45943"/>
    <cellStyle name="输入 2 9 5 4 3" xfId="36538"/>
    <cellStyle name="输入 2 9 5 4 4" xfId="45942"/>
    <cellStyle name="输入 2 9 5 5" xfId="36540"/>
    <cellStyle name="输入 2 9 5 5 2" xfId="45944"/>
    <cellStyle name="输入 2 9 5 6" xfId="36529"/>
    <cellStyle name="输入 2 9 5 7" xfId="45933"/>
    <cellStyle name="输入 2 9 6" xfId="15954"/>
    <cellStyle name="输入 2 9 6 2" xfId="15955"/>
    <cellStyle name="输入 2 9 6 2 2" xfId="19052"/>
    <cellStyle name="输入 2 9 6 2 2 2" xfId="36543"/>
    <cellStyle name="输入 2 9 6 2 2 3" xfId="45947"/>
    <cellStyle name="输入 2 9 6 2 3" xfId="36542"/>
    <cellStyle name="输入 2 9 6 2 4" xfId="45946"/>
    <cellStyle name="输入 2 9 6 3" xfId="15956"/>
    <cellStyle name="输入 2 9 6 3 2" xfId="8643"/>
    <cellStyle name="输入 2 9 6 3 2 2" xfId="36545"/>
    <cellStyle name="输入 2 9 6 3 2 3" xfId="45949"/>
    <cellStyle name="输入 2 9 6 3 3" xfId="36544"/>
    <cellStyle name="输入 2 9 6 3 4" xfId="45948"/>
    <cellStyle name="输入 2 9 6 4" xfId="19053"/>
    <cellStyle name="输入 2 9 6 4 2" xfId="36546"/>
    <cellStyle name="输入 2 9 6 4 3" xfId="45950"/>
    <cellStyle name="输入 2 9 6 5" xfId="36541"/>
    <cellStyle name="输入 2 9 6 6" xfId="45945"/>
    <cellStyle name="输入 2 9 7" xfId="15957"/>
    <cellStyle name="输入 2 9 7 2" xfId="19051"/>
    <cellStyle name="输入 2 9 7 2 2" xfId="36548"/>
    <cellStyle name="输入 2 9 7 2 3" xfId="45952"/>
    <cellStyle name="输入 2 9 7 3" xfId="36547"/>
    <cellStyle name="输入 2 9 7 4" xfId="45951"/>
    <cellStyle name="输入 2 9 8" xfId="15958"/>
    <cellStyle name="输入 2 9 8 2" xfId="18539"/>
    <cellStyle name="输入 2 9 8 2 2" xfId="36550"/>
    <cellStyle name="输入 2 9 8 2 3" xfId="45954"/>
    <cellStyle name="输入 2 9 8 3" xfId="36549"/>
    <cellStyle name="输入 2 9 8 4" xfId="45953"/>
    <cellStyle name="输入 2 9 9" xfId="36551"/>
    <cellStyle name="输入 2 9 9 2" xfId="45955"/>
    <cellStyle name="输入 2_培训名单通知" xfId="10459"/>
    <cellStyle name="输入 3" xfId="5472"/>
    <cellStyle name="输入 3 10" xfId="36552"/>
    <cellStyle name="输入 3 11" xfId="45956"/>
    <cellStyle name="输入 3 2" xfId="5473"/>
    <cellStyle name="输入 3 2 2" xfId="10462"/>
    <cellStyle name="输入 3 2 2 2" xfId="15959"/>
    <cellStyle name="输入 3 2 2 2 2" xfId="15960"/>
    <cellStyle name="输入 3 2 2 2 2 2" xfId="19049"/>
    <cellStyle name="输入 3 2 2 2 2 2 2" xfId="36557"/>
    <cellStyle name="输入 3 2 2 2 2 2 3" xfId="45961"/>
    <cellStyle name="输入 3 2 2 2 2 3" xfId="36556"/>
    <cellStyle name="输入 3 2 2 2 2 4" xfId="45960"/>
    <cellStyle name="输入 3 2 2 2 3" xfId="19050"/>
    <cellStyle name="输入 3 2 2 2 3 2" xfId="36558"/>
    <cellStyle name="输入 3 2 2 2 3 3" xfId="45962"/>
    <cellStyle name="输入 3 2 2 2 4" xfId="36555"/>
    <cellStyle name="输入 3 2 2 2 5" xfId="45959"/>
    <cellStyle name="输入 3 2 2 3" xfId="15961"/>
    <cellStyle name="输入 3 2 2 3 2" xfId="19048"/>
    <cellStyle name="输入 3 2 2 3 2 2" xfId="36560"/>
    <cellStyle name="输入 3 2 2 3 2 3" xfId="45964"/>
    <cellStyle name="输入 3 2 2 3 3" xfId="36559"/>
    <cellStyle name="输入 3 2 2 3 4" xfId="45963"/>
    <cellStyle name="输入 3 2 2 4" xfId="36561"/>
    <cellStyle name="输入 3 2 2 4 2" xfId="45965"/>
    <cellStyle name="输入 3 2 2 5" xfId="36554"/>
    <cellStyle name="输入 3 2 2 6" xfId="45958"/>
    <cellStyle name="输入 3 2 3" xfId="15962"/>
    <cellStyle name="输入 3 2 3 2" xfId="19047"/>
    <cellStyle name="输入 3 2 3 2 2" xfId="36563"/>
    <cellStyle name="输入 3 2 3 2 3" xfId="45967"/>
    <cellStyle name="输入 3 2 3 3" xfId="36562"/>
    <cellStyle name="输入 3 2 3 4" xfId="45966"/>
    <cellStyle name="输入 3 2 4" xfId="10461"/>
    <cellStyle name="输入 3 2 4 2" xfId="36565"/>
    <cellStyle name="输入 3 2 4 2 2" xfId="45969"/>
    <cellStyle name="输入 3 2 4 3" xfId="36564"/>
    <cellStyle name="输入 3 2 4 4" xfId="45968"/>
    <cellStyle name="输入 3 2 5" xfId="36566"/>
    <cellStyle name="输入 3 2 5 2" xfId="45970"/>
    <cellStyle name="输入 3 2 6" xfId="36553"/>
    <cellStyle name="输入 3 2 7" xfId="45957"/>
    <cellStyle name="输入 3 3" xfId="10463"/>
    <cellStyle name="输入 3 3 2" xfId="15963"/>
    <cellStyle name="输入 3 3 2 2" xfId="15964"/>
    <cellStyle name="输入 3 3 2 2 2" xfId="20626"/>
    <cellStyle name="输入 3 3 2 2 2 2" xfId="36570"/>
    <cellStyle name="输入 3 3 2 2 2 3" xfId="45974"/>
    <cellStyle name="输入 3 3 2 2 3" xfId="36569"/>
    <cellStyle name="输入 3 3 2 2 4" xfId="45973"/>
    <cellStyle name="输入 3 3 2 3" xfId="15965"/>
    <cellStyle name="输入 3 3 2 3 2" xfId="19046"/>
    <cellStyle name="输入 3 3 2 3 2 2" xfId="36572"/>
    <cellStyle name="输入 3 3 2 3 2 3" xfId="45976"/>
    <cellStyle name="输入 3 3 2 3 3" xfId="36571"/>
    <cellStyle name="输入 3 3 2 3 4" xfId="45975"/>
    <cellStyle name="输入 3 3 2 4" xfId="8644"/>
    <cellStyle name="输入 3 3 2 4 2" xfId="36573"/>
    <cellStyle name="输入 3 3 2 4 3" xfId="45977"/>
    <cellStyle name="输入 3 3 2 5" xfId="36568"/>
    <cellStyle name="输入 3 3 2 6" xfId="45972"/>
    <cellStyle name="输入 3 3 3" xfId="15966"/>
    <cellStyle name="输入 3 3 3 2" xfId="19045"/>
    <cellStyle name="输入 3 3 3 2 2" xfId="36575"/>
    <cellStyle name="输入 3 3 3 2 3" xfId="45979"/>
    <cellStyle name="输入 3 3 3 3" xfId="36574"/>
    <cellStyle name="输入 3 3 3 4" xfId="45978"/>
    <cellStyle name="输入 3 3 4" xfId="15967"/>
    <cellStyle name="输入 3 3 4 2" xfId="19044"/>
    <cellStyle name="输入 3 3 4 2 2" xfId="36577"/>
    <cellStyle name="输入 3 3 4 2 3" xfId="45981"/>
    <cellStyle name="输入 3 3 4 3" xfId="36576"/>
    <cellStyle name="输入 3 3 4 4" xfId="45980"/>
    <cellStyle name="输入 3 3 5" xfId="36578"/>
    <cellStyle name="输入 3 3 5 2" xfId="45982"/>
    <cellStyle name="输入 3 3 6" xfId="36567"/>
    <cellStyle name="输入 3 3 7" xfId="45971"/>
    <cellStyle name="输入 3 4" xfId="10464"/>
    <cellStyle name="输入 3 4 2" xfId="15968"/>
    <cellStyle name="输入 3 4 2 2" xfId="15969"/>
    <cellStyle name="输入 3 4 2 2 2" xfId="19042"/>
    <cellStyle name="输入 3 4 2 2 2 2" xfId="36582"/>
    <cellStyle name="输入 3 4 2 2 2 3" xfId="45986"/>
    <cellStyle name="输入 3 4 2 2 3" xfId="36581"/>
    <cellStyle name="输入 3 4 2 2 4" xfId="45985"/>
    <cellStyle name="输入 3 4 2 3" xfId="15970"/>
    <cellStyle name="输入 3 4 2 3 2" xfId="20625"/>
    <cellStyle name="输入 3 4 2 3 2 2" xfId="36584"/>
    <cellStyle name="输入 3 4 2 3 2 3" xfId="45988"/>
    <cellStyle name="输入 3 4 2 3 3" xfId="36583"/>
    <cellStyle name="输入 3 4 2 3 4" xfId="45987"/>
    <cellStyle name="输入 3 4 2 4" xfId="19043"/>
    <cellStyle name="输入 3 4 2 4 2" xfId="36585"/>
    <cellStyle name="输入 3 4 2 4 3" xfId="45989"/>
    <cellStyle name="输入 3 4 2 5" xfId="36580"/>
    <cellStyle name="输入 3 4 2 6" xfId="45984"/>
    <cellStyle name="输入 3 4 3" xfId="15971"/>
    <cellStyle name="输入 3 4 3 2" xfId="18264"/>
    <cellStyle name="输入 3 4 3 2 2" xfId="36587"/>
    <cellStyle name="输入 3 4 3 2 3" xfId="45991"/>
    <cellStyle name="输入 3 4 3 3" xfId="36586"/>
    <cellStyle name="输入 3 4 3 4" xfId="45990"/>
    <cellStyle name="输入 3 4 4" xfId="15972"/>
    <cellStyle name="输入 3 4 4 2" xfId="18263"/>
    <cellStyle name="输入 3 4 4 2 2" xfId="36589"/>
    <cellStyle name="输入 3 4 4 2 3" xfId="45993"/>
    <cellStyle name="输入 3 4 4 3" xfId="36588"/>
    <cellStyle name="输入 3 4 4 4" xfId="45992"/>
    <cellStyle name="输入 3 4 5" xfId="36590"/>
    <cellStyle name="输入 3 4 5 2" xfId="45994"/>
    <cellStyle name="输入 3 4 6" xfId="36579"/>
    <cellStyle name="输入 3 4 7" xfId="45983"/>
    <cellStyle name="输入 3 5" xfId="10465"/>
    <cellStyle name="输入 3 5 2" xfId="15973"/>
    <cellStyle name="输入 3 5 2 2" xfId="15974"/>
    <cellStyle name="输入 3 5 2 2 2" xfId="8645"/>
    <cellStyle name="输入 3 5 2 2 2 2" xfId="36594"/>
    <cellStyle name="输入 3 5 2 2 2 3" xfId="45998"/>
    <cellStyle name="输入 3 5 2 2 3" xfId="36593"/>
    <cellStyle name="输入 3 5 2 2 4" xfId="45997"/>
    <cellStyle name="输入 3 5 2 3" xfId="15975"/>
    <cellStyle name="输入 3 5 2 3 2" xfId="19041"/>
    <cellStyle name="输入 3 5 2 3 2 2" xfId="36596"/>
    <cellStyle name="输入 3 5 2 3 2 3" xfId="46000"/>
    <cellStyle name="输入 3 5 2 3 3" xfId="36595"/>
    <cellStyle name="输入 3 5 2 3 4" xfId="45999"/>
    <cellStyle name="输入 3 5 2 4" xfId="18262"/>
    <cellStyle name="输入 3 5 2 4 2" xfId="36597"/>
    <cellStyle name="输入 3 5 2 4 3" xfId="46001"/>
    <cellStyle name="输入 3 5 2 5" xfId="36592"/>
    <cellStyle name="输入 3 5 2 6" xfId="45996"/>
    <cellStyle name="输入 3 5 3" xfId="15976"/>
    <cellStyle name="输入 3 5 3 2" xfId="18261"/>
    <cellStyle name="输入 3 5 3 2 2" xfId="36599"/>
    <cellStyle name="输入 3 5 3 2 3" xfId="46003"/>
    <cellStyle name="输入 3 5 3 3" xfId="36598"/>
    <cellStyle name="输入 3 5 3 4" xfId="46002"/>
    <cellStyle name="输入 3 5 4" xfId="15977"/>
    <cellStyle name="输入 3 5 4 2" xfId="18260"/>
    <cellStyle name="输入 3 5 4 2 2" xfId="36601"/>
    <cellStyle name="输入 3 5 4 2 3" xfId="46005"/>
    <cellStyle name="输入 3 5 4 3" xfId="36600"/>
    <cellStyle name="输入 3 5 4 4" xfId="46004"/>
    <cellStyle name="输入 3 5 5" xfId="36602"/>
    <cellStyle name="输入 3 5 5 2" xfId="46006"/>
    <cellStyle name="输入 3 5 6" xfId="36591"/>
    <cellStyle name="输入 3 5 7" xfId="45995"/>
    <cellStyle name="输入 3 6" xfId="10466"/>
    <cellStyle name="输入 3 6 2" xfId="15978"/>
    <cellStyle name="输入 3 6 2 2" xfId="15979"/>
    <cellStyle name="输入 3 6 2 2 2" xfId="19040"/>
    <cellStyle name="输入 3 6 2 2 2 2" xfId="36606"/>
    <cellStyle name="输入 3 6 2 2 2 3" xfId="46010"/>
    <cellStyle name="输入 3 6 2 2 3" xfId="36605"/>
    <cellStyle name="输入 3 6 2 2 4" xfId="46009"/>
    <cellStyle name="输入 3 6 2 3" xfId="18259"/>
    <cellStyle name="输入 3 6 2 3 2" xfId="36607"/>
    <cellStyle name="输入 3 6 2 3 3" xfId="46011"/>
    <cellStyle name="输入 3 6 2 4" xfId="36604"/>
    <cellStyle name="输入 3 6 2 5" xfId="46008"/>
    <cellStyle name="输入 3 6 3" xfId="15980"/>
    <cellStyle name="输入 3 6 3 2" xfId="19039"/>
    <cellStyle name="输入 3 6 3 2 2" xfId="36609"/>
    <cellStyle name="输入 3 6 3 2 3" xfId="46013"/>
    <cellStyle name="输入 3 6 3 3" xfId="36608"/>
    <cellStyle name="输入 3 6 3 4" xfId="46012"/>
    <cellStyle name="输入 3 6 4" xfId="36610"/>
    <cellStyle name="输入 3 6 4 2" xfId="46014"/>
    <cellStyle name="输入 3 6 5" xfId="36603"/>
    <cellStyle name="输入 3 6 6" xfId="46007"/>
    <cellStyle name="输入 3 7" xfId="15981"/>
    <cellStyle name="输入 3 7 2" xfId="19038"/>
    <cellStyle name="输入 3 7 2 2" xfId="36612"/>
    <cellStyle name="输入 3 7 2 3" xfId="46016"/>
    <cellStyle name="输入 3 7 3" xfId="36611"/>
    <cellStyle name="输入 3 7 4" xfId="46015"/>
    <cellStyle name="输入 3 8" xfId="10460"/>
    <cellStyle name="输入 3 8 2" xfId="36614"/>
    <cellStyle name="输入 3 8 2 2" xfId="46018"/>
    <cellStyle name="输入 3 8 3" xfId="36613"/>
    <cellStyle name="输入 3 8 4" xfId="46017"/>
    <cellStyle name="输入 3 9" xfId="36615"/>
    <cellStyle name="输入 3 9 2" xfId="46019"/>
    <cellStyle name="输入 3 9 3" xfId="60739"/>
    <cellStyle name="输入 4" xfId="10467"/>
    <cellStyle name="输入 4 10" xfId="36616"/>
    <cellStyle name="输入 4 11" xfId="46020"/>
    <cellStyle name="输入 4 2" xfId="10468"/>
    <cellStyle name="输入 4 2 2" xfId="15982"/>
    <cellStyle name="输入 4 2 2 2" xfId="15983"/>
    <cellStyle name="输入 4 2 2 2 2" xfId="8646"/>
    <cellStyle name="输入 4 2 2 2 2 2" xfId="36620"/>
    <cellStyle name="输入 4 2 2 2 2 3" xfId="46024"/>
    <cellStyle name="输入 4 2 2 2 3" xfId="36619"/>
    <cellStyle name="输入 4 2 2 2 4" xfId="46023"/>
    <cellStyle name="输入 4 2 2 3" xfId="15984"/>
    <cellStyle name="输入 4 2 2 3 2" xfId="8647"/>
    <cellStyle name="输入 4 2 2 3 2 2" xfId="36622"/>
    <cellStyle name="输入 4 2 2 3 2 3" xfId="46026"/>
    <cellStyle name="输入 4 2 2 3 3" xfId="36621"/>
    <cellStyle name="输入 4 2 2 3 4" xfId="46025"/>
    <cellStyle name="输入 4 2 2 4" xfId="19037"/>
    <cellStyle name="输入 4 2 2 4 2" xfId="36623"/>
    <cellStyle name="输入 4 2 2 4 3" xfId="46027"/>
    <cellStyle name="输入 4 2 2 5" xfId="36618"/>
    <cellStyle name="输入 4 2 2 6" xfId="46022"/>
    <cellStyle name="输入 4 2 3" xfId="15985"/>
    <cellStyle name="输入 4 2 3 2" xfId="19036"/>
    <cellStyle name="输入 4 2 3 2 2" xfId="36625"/>
    <cellStyle name="输入 4 2 3 2 3" xfId="46029"/>
    <cellStyle name="输入 4 2 3 3" xfId="36624"/>
    <cellStyle name="输入 4 2 3 4" xfId="46028"/>
    <cellStyle name="输入 4 2 4" xfId="15986"/>
    <cellStyle name="输入 4 2 4 2" xfId="8648"/>
    <cellStyle name="输入 4 2 4 2 2" xfId="36627"/>
    <cellStyle name="输入 4 2 4 2 3" xfId="46031"/>
    <cellStyle name="输入 4 2 4 3" xfId="36626"/>
    <cellStyle name="输入 4 2 4 4" xfId="46030"/>
    <cellStyle name="输入 4 2 5" xfId="36628"/>
    <cellStyle name="输入 4 2 5 2" xfId="46032"/>
    <cellStyle name="输入 4 2 6" xfId="36617"/>
    <cellStyle name="输入 4 2 7" xfId="46021"/>
    <cellStyle name="输入 4 3" xfId="10469"/>
    <cellStyle name="输入 4 3 2" xfId="15987"/>
    <cellStyle name="输入 4 3 2 2" xfId="15988"/>
    <cellStyle name="输入 4 3 2 2 2" xfId="20623"/>
    <cellStyle name="输入 4 3 2 2 2 2" xfId="36632"/>
    <cellStyle name="输入 4 3 2 2 2 3" xfId="46036"/>
    <cellStyle name="输入 4 3 2 2 3" xfId="36631"/>
    <cellStyle name="输入 4 3 2 2 4" xfId="46035"/>
    <cellStyle name="输入 4 3 2 3" xfId="15989"/>
    <cellStyle name="输入 4 3 2 3 2" xfId="8649"/>
    <cellStyle name="输入 4 3 2 3 2 2" xfId="36634"/>
    <cellStyle name="输入 4 3 2 3 2 3" xfId="46038"/>
    <cellStyle name="输入 4 3 2 3 3" xfId="36633"/>
    <cellStyle name="输入 4 3 2 3 4" xfId="46037"/>
    <cellStyle name="输入 4 3 2 4" xfId="20624"/>
    <cellStyle name="输入 4 3 2 4 2" xfId="36635"/>
    <cellStyle name="输入 4 3 2 4 3" xfId="46039"/>
    <cellStyle name="输入 4 3 2 5" xfId="36630"/>
    <cellStyle name="输入 4 3 2 6" xfId="46034"/>
    <cellStyle name="输入 4 3 3" xfId="15990"/>
    <cellStyle name="输入 4 3 3 2" xfId="8650"/>
    <cellStyle name="输入 4 3 3 2 2" xfId="36637"/>
    <cellStyle name="输入 4 3 3 2 3" xfId="46041"/>
    <cellStyle name="输入 4 3 3 3" xfId="36636"/>
    <cellStyle name="输入 4 3 3 4" xfId="46040"/>
    <cellStyle name="输入 4 3 4" xfId="15991"/>
    <cellStyle name="输入 4 3 4 2" xfId="8651"/>
    <cellStyle name="输入 4 3 4 2 2" xfId="36639"/>
    <cellStyle name="输入 4 3 4 2 3" xfId="46043"/>
    <cellStyle name="输入 4 3 4 3" xfId="36638"/>
    <cellStyle name="输入 4 3 4 4" xfId="46042"/>
    <cellStyle name="输入 4 3 5" xfId="36640"/>
    <cellStyle name="输入 4 3 5 2" xfId="46044"/>
    <cellStyle name="输入 4 3 6" xfId="36629"/>
    <cellStyle name="输入 4 3 7" xfId="46033"/>
    <cellStyle name="输入 4 4" xfId="10470"/>
    <cellStyle name="输入 4 4 2" xfId="15992"/>
    <cellStyle name="输入 4 4 2 2" xfId="15993"/>
    <cellStyle name="输入 4 4 2 2 2" xfId="8653"/>
    <cellStyle name="输入 4 4 2 2 2 2" xfId="36644"/>
    <cellStyle name="输入 4 4 2 2 2 3" xfId="46048"/>
    <cellStyle name="输入 4 4 2 2 3" xfId="36643"/>
    <cellStyle name="输入 4 4 2 2 4" xfId="46047"/>
    <cellStyle name="输入 4 4 2 3" xfId="15994"/>
    <cellStyle name="输入 4 4 2 3 2" xfId="20622"/>
    <cellStyle name="输入 4 4 2 3 2 2" xfId="36646"/>
    <cellStyle name="输入 4 4 2 3 2 3" xfId="46050"/>
    <cellStyle name="输入 4 4 2 3 3" xfId="36645"/>
    <cellStyle name="输入 4 4 2 3 4" xfId="46049"/>
    <cellStyle name="输入 4 4 2 4" xfId="8652"/>
    <cellStyle name="输入 4 4 2 4 2" xfId="36647"/>
    <cellStyle name="输入 4 4 2 4 3" xfId="46051"/>
    <cellStyle name="输入 4 4 2 5" xfId="36642"/>
    <cellStyle name="输入 4 4 2 6" xfId="46046"/>
    <cellStyle name="输入 4 4 3" xfId="15995"/>
    <cellStyle name="输入 4 4 3 2" xfId="8654"/>
    <cellStyle name="输入 4 4 3 2 2" xfId="36649"/>
    <cellStyle name="输入 4 4 3 2 3" xfId="46053"/>
    <cellStyle name="输入 4 4 3 3" xfId="36648"/>
    <cellStyle name="输入 4 4 3 4" xfId="46052"/>
    <cellStyle name="输入 4 4 4" xfId="15996"/>
    <cellStyle name="输入 4 4 4 2" xfId="8655"/>
    <cellStyle name="输入 4 4 4 2 2" xfId="36651"/>
    <cellStyle name="输入 4 4 4 2 3" xfId="46055"/>
    <cellStyle name="输入 4 4 4 3" xfId="36650"/>
    <cellStyle name="输入 4 4 4 4" xfId="46054"/>
    <cellStyle name="输入 4 4 5" xfId="36652"/>
    <cellStyle name="输入 4 4 5 2" xfId="46056"/>
    <cellStyle name="输入 4 4 6" xfId="36641"/>
    <cellStyle name="输入 4 4 7" xfId="46045"/>
    <cellStyle name="输入 4 5" xfId="10471"/>
    <cellStyle name="输入 4 5 2" xfId="15997"/>
    <cellStyle name="输入 4 5 2 2" xfId="15998"/>
    <cellStyle name="输入 4 5 2 2 2" xfId="18685"/>
    <cellStyle name="输入 4 5 2 2 2 2" xfId="36656"/>
    <cellStyle name="输入 4 5 2 2 2 3" xfId="46060"/>
    <cellStyle name="输入 4 5 2 2 3" xfId="36655"/>
    <cellStyle name="输入 4 5 2 2 4" xfId="46059"/>
    <cellStyle name="输入 4 5 2 3" xfId="15999"/>
    <cellStyle name="输入 4 5 2 3 2" xfId="21200"/>
    <cellStyle name="输入 4 5 2 3 2 2" xfId="36658"/>
    <cellStyle name="输入 4 5 2 3 2 3" xfId="46062"/>
    <cellStyle name="输入 4 5 2 3 3" xfId="36657"/>
    <cellStyle name="输入 4 5 2 3 4" xfId="46061"/>
    <cellStyle name="输入 4 5 2 4" xfId="18258"/>
    <cellStyle name="输入 4 5 2 4 2" xfId="36659"/>
    <cellStyle name="输入 4 5 2 4 3" xfId="46063"/>
    <cellStyle name="输入 4 5 2 5" xfId="36654"/>
    <cellStyle name="输入 4 5 2 6" xfId="46058"/>
    <cellStyle name="输入 4 5 3" xfId="16000"/>
    <cellStyle name="输入 4 5 3 2" xfId="18257"/>
    <cellStyle name="输入 4 5 3 2 2" xfId="36661"/>
    <cellStyle name="输入 4 5 3 2 3" xfId="46065"/>
    <cellStyle name="输入 4 5 3 3" xfId="36660"/>
    <cellStyle name="输入 4 5 3 4" xfId="46064"/>
    <cellStyle name="输入 4 5 4" xfId="16001"/>
    <cellStyle name="输入 4 5 4 2" xfId="8658"/>
    <cellStyle name="输入 4 5 4 2 2" xfId="36663"/>
    <cellStyle name="输入 4 5 4 2 3" xfId="46067"/>
    <cellStyle name="输入 4 5 4 3" xfId="36662"/>
    <cellStyle name="输入 4 5 4 4" xfId="46066"/>
    <cellStyle name="输入 4 5 5" xfId="36664"/>
    <cellStyle name="输入 4 5 5 2" xfId="46068"/>
    <cellStyle name="输入 4 5 6" xfId="36653"/>
    <cellStyle name="输入 4 5 7" xfId="46057"/>
    <cellStyle name="输入 4 6" xfId="10472"/>
    <cellStyle name="输入 4 6 2" xfId="16002"/>
    <cellStyle name="输入 4 6 2 2" xfId="16003"/>
    <cellStyle name="输入 4 6 2 2 2" xfId="18255"/>
    <cellStyle name="输入 4 6 2 2 2 2" xfId="36668"/>
    <cellStyle name="输入 4 6 2 2 2 3" xfId="46072"/>
    <cellStyle name="输入 4 6 2 2 3" xfId="36667"/>
    <cellStyle name="输入 4 6 2 2 4" xfId="46071"/>
    <cellStyle name="输入 4 6 2 3" xfId="18256"/>
    <cellStyle name="输入 4 6 2 3 2" xfId="36669"/>
    <cellStyle name="输入 4 6 2 3 3" xfId="46073"/>
    <cellStyle name="输入 4 6 2 4" xfId="36666"/>
    <cellStyle name="输入 4 6 2 5" xfId="46070"/>
    <cellStyle name="输入 4 6 3" xfId="16004"/>
    <cellStyle name="输入 4 6 3 2" xfId="18254"/>
    <cellStyle name="输入 4 6 3 2 2" xfId="36671"/>
    <cellStyle name="输入 4 6 3 2 3" xfId="46075"/>
    <cellStyle name="输入 4 6 3 3" xfId="36670"/>
    <cellStyle name="输入 4 6 3 4" xfId="46074"/>
    <cellStyle name="输入 4 6 4" xfId="36672"/>
    <cellStyle name="输入 4 6 4 2" xfId="46076"/>
    <cellStyle name="输入 4 6 5" xfId="36665"/>
    <cellStyle name="输入 4 6 6" xfId="46069"/>
    <cellStyle name="输入 4 7" xfId="16005"/>
    <cellStyle name="输入 4 7 2" xfId="18253"/>
    <cellStyle name="输入 4 7 2 2" xfId="36674"/>
    <cellStyle name="输入 4 7 2 3" xfId="46078"/>
    <cellStyle name="输入 4 7 3" xfId="36673"/>
    <cellStyle name="输入 4 7 4" xfId="46077"/>
    <cellStyle name="输入 4 8" xfId="36675"/>
    <cellStyle name="输入 4 8 2" xfId="36676"/>
    <cellStyle name="输入 4 8 2 2" xfId="46080"/>
    <cellStyle name="输入 4 8 3" xfId="46079"/>
    <cellStyle name="输入 4 9" xfId="36677"/>
    <cellStyle name="输入 4 9 2" xfId="46081"/>
    <cellStyle name="输入 5" xfId="10473"/>
    <cellStyle name="输入 5 10" xfId="36678"/>
    <cellStyle name="输入 5 11" xfId="46082"/>
    <cellStyle name="输入 5 2" xfId="10474"/>
    <cellStyle name="输入 5 2 2" xfId="16006"/>
    <cellStyle name="输入 5 2 2 2" xfId="16007"/>
    <cellStyle name="输入 5 2 2 2 2" xfId="18252"/>
    <cellStyle name="输入 5 2 2 2 2 2" xfId="36682"/>
    <cellStyle name="输入 5 2 2 2 2 3" xfId="46086"/>
    <cellStyle name="输入 5 2 2 2 3" xfId="36681"/>
    <cellStyle name="输入 5 2 2 2 4" xfId="46085"/>
    <cellStyle name="输入 5 2 2 3" xfId="16008"/>
    <cellStyle name="输入 5 2 2 3 2" xfId="18251"/>
    <cellStyle name="输入 5 2 2 3 2 2" xfId="36684"/>
    <cellStyle name="输入 5 2 2 3 2 3" xfId="46088"/>
    <cellStyle name="输入 5 2 2 3 3" xfId="36683"/>
    <cellStyle name="输入 5 2 2 3 4" xfId="46087"/>
    <cellStyle name="输入 5 2 2 4" xfId="21199"/>
    <cellStyle name="输入 5 2 2 4 2" xfId="36685"/>
    <cellStyle name="输入 5 2 2 4 3" xfId="46089"/>
    <cellStyle name="输入 5 2 2 5" xfId="36680"/>
    <cellStyle name="输入 5 2 2 6" xfId="46084"/>
    <cellStyle name="输入 5 2 3" xfId="16009"/>
    <cellStyle name="输入 5 2 3 2" xfId="18250"/>
    <cellStyle name="输入 5 2 3 2 2" xfId="36687"/>
    <cellStyle name="输入 5 2 3 2 3" xfId="46091"/>
    <cellStyle name="输入 5 2 3 3" xfId="36686"/>
    <cellStyle name="输入 5 2 3 4" xfId="46090"/>
    <cellStyle name="输入 5 2 4" xfId="16010"/>
    <cellStyle name="输入 5 2 4 2" xfId="18249"/>
    <cellStyle name="输入 5 2 4 2 2" xfId="36689"/>
    <cellStyle name="输入 5 2 4 2 3" xfId="46093"/>
    <cellStyle name="输入 5 2 4 3" xfId="36688"/>
    <cellStyle name="输入 5 2 4 4" xfId="46092"/>
    <cellStyle name="输入 5 2 5" xfId="36690"/>
    <cellStyle name="输入 5 2 5 2" xfId="46094"/>
    <cellStyle name="输入 5 2 6" xfId="36679"/>
    <cellStyle name="输入 5 2 7" xfId="46083"/>
    <cellStyle name="输入 5 3" xfId="10475"/>
    <cellStyle name="输入 5 3 2" xfId="16011"/>
    <cellStyle name="输入 5 3 2 2" xfId="16012"/>
    <cellStyle name="输入 5 3 2 2 2" xfId="8659"/>
    <cellStyle name="输入 5 3 2 2 2 2" xfId="36694"/>
    <cellStyle name="输入 5 3 2 2 2 3" xfId="46098"/>
    <cellStyle name="输入 5 3 2 2 3" xfId="36693"/>
    <cellStyle name="输入 5 3 2 2 4" xfId="46097"/>
    <cellStyle name="输入 5 3 2 3" xfId="16013"/>
    <cellStyle name="输入 5 3 2 3 2" xfId="21198"/>
    <cellStyle name="输入 5 3 2 3 2 2" xfId="36696"/>
    <cellStyle name="输入 5 3 2 3 2 3" xfId="46100"/>
    <cellStyle name="输入 5 3 2 3 3" xfId="36695"/>
    <cellStyle name="输入 5 3 2 3 4" xfId="46099"/>
    <cellStyle name="输入 5 3 2 4" xfId="18248"/>
    <cellStyle name="输入 5 3 2 4 2" xfId="36697"/>
    <cellStyle name="输入 5 3 2 4 3" xfId="46101"/>
    <cellStyle name="输入 5 3 2 5" xfId="36692"/>
    <cellStyle name="输入 5 3 2 6" xfId="46096"/>
    <cellStyle name="输入 5 3 3" xfId="16014"/>
    <cellStyle name="输入 5 3 3 2" xfId="18247"/>
    <cellStyle name="输入 5 3 3 2 2" xfId="36699"/>
    <cellStyle name="输入 5 3 3 2 3" xfId="46103"/>
    <cellStyle name="输入 5 3 3 3" xfId="36698"/>
    <cellStyle name="输入 5 3 3 4" xfId="46102"/>
    <cellStyle name="输入 5 3 4" xfId="16015"/>
    <cellStyle name="输入 5 3 4 2" xfId="18246"/>
    <cellStyle name="输入 5 3 4 2 2" xfId="36701"/>
    <cellStyle name="输入 5 3 4 2 3" xfId="46105"/>
    <cellStyle name="输入 5 3 4 3" xfId="36700"/>
    <cellStyle name="输入 5 3 4 4" xfId="46104"/>
    <cellStyle name="输入 5 3 5" xfId="36702"/>
    <cellStyle name="输入 5 3 5 2" xfId="46106"/>
    <cellStyle name="输入 5 3 6" xfId="36691"/>
    <cellStyle name="输入 5 3 7" xfId="46095"/>
    <cellStyle name="输入 5 4" xfId="10476"/>
    <cellStyle name="输入 5 4 2" xfId="16016"/>
    <cellStyle name="输入 5 4 2 2" xfId="16017"/>
    <cellStyle name="输入 5 4 2 2 2" xfId="18244"/>
    <cellStyle name="输入 5 4 2 2 2 2" xfId="36706"/>
    <cellStyle name="输入 5 4 2 2 2 3" xfId="46110"/>
    <cellStyle name="输入 5 4 2 2 3" xfId="36705"/>
    <cellStyle name="输入 5 4 2 2 4" xfId="46109"/>
    <cellStyle name="输入 5 4 2 3" xfId="16018"/>
    <cellStyle name="输入 5 4 2 3 2" xfId="8660"/>
    <cellStyle name="输入 5 4 2 3 2 2" xfId="36708"/>
    <cellStyle name="输入 5 4 2 3 2 3" xfId="46112"/>
    <cellStyle name="输入 5 4 2 3 3" xfId="36707"/>
    <cellStyle name="输入 5 4 2 3 4" xfId="46111"/>
    <cellStyle name="输入 5 4 2 4" xfId="18245"/>
    <cellStyle name="输入 5 4 2 4 2" xfId="36709"/>
    <cellStyle name="输入 5 4 2 4 3" xfId="46113"/>
    <cellStyle name="输入 5 4 2 5" xfId="36704"/>
    <cellStyle name="输入 5 4 2 6" xfId="46108"/>
    <cellStyle name="输入 5 4 3" xfId="16019"/>
    <cellStyle name="输入 5 4 3 2" xfId="18243"/>
    <cellStyle name="输入 5 4 3 2 2" xfId="36711"/>
    <cellStyle name="输入 5 4 3 2 3" xfId="46115"/>
    <cellStyle name="输入 5 4 3 3" xfId="36710"/>
    <cellStyle name="输入 5 4 3 4" xfId="46114"/>
    <cellStyle name="输入 5 4 4" xfId="16020"/>
    <cellStyle name="输入 5 4 4 2" xfId="21197"/>
    <cellStyle name="输入 5 4 4 2 2" xfId="36713"/>
    <cellStyle name="输入 5 4 4 2 3" xfId="46117"/>
    <cellStyle name="输入 5 4 4 3" xfId="36712"/>
    <cellStyle name="输入 5 4 4 4" xfId="46116"/>
    <cellStyle name="输入 5 4 5" xfId="36714"/>
    <cellStyle name="输入 5 4 5 2" xfId="46118"/>
    <cellStyle name="输入 5 4 6" xfId="36703"/>
    <cellStyle name="输入 5 4 7" xfId="46107"/>
    <cellStyle name="输入 5 5" xfId="10477"/>
    <cellStyle name="输入 5 5 2" xfId="16021"/>
    <cellStyle name="输入 5 5 2 2" xfId="16022"/>
    <cellStyle name="输入 5 5 2 2 2" xfId="18241"/>
    <cellStyle name="输入 5 5 2 2 2 2" xfId="36718"/>
    <cellStyle name="输入 5 5 2 2 2 3" xfId="46122"/>
    <cellStyle name="输入 5 5 2 2 3" xfId="36717"/>
    <cellStyle name="输入 5 5 2 2 4" xfId="46121"/>
    <cellStyle name="输入 5 5 2 3" xfId="16023"/>
    <cellStyle name="输入 5 5 2 3 2" xfId="18240"/>
    <cellStyle name="输入 5 5 2 3 2 2" xfId="36720"/>
    <cellStyle name="输入 5 5 2 3 2 3" xfId="46124"/>
    <cellStyle name="输入 5 5 2 3 3" xfId="36719"/>
    <cellStyle name="输入 5 5 2 3 4" xfId="46123"/>
    <cellStyle name="输入 5 5 2 4" xfId="18242"/>
    <cellStyle name="输入 5 5 2 4 2" xfId="36721"/>
    <cellStyle name="输入 5 5 2 4 3" xfId="46125"/>
    <cellStyle name="输入 5 5 2 5" xfId="36716"/>
    <cellStyle name="输入 5 5 2 6" xfId="46120"/>
    <cellStyle name="输入 5 5 3" xfId="16024"/>
    <cellStyle name="输入 5 5 3 2" xfId="18538"/>
    <cellStyle name="输入 5 5 3 2 2" xfId="36723"/>
    <cellStyle name="输入 5 5 3 2 3" xfId="46127"/>
    <cellStyle name="输入 5 5 3 3" xfId="36722"/>
    <cellStyle name="输入 5 5 3 4" xfId="46126"/>
    <cellStyle name="输入 5 5 4" xfId="16025"/>
    <cellStyle name="输入 5 5 4 2" xfId="18239"/>
    <cellStyle name="输入 5 5 4 2 2" xfId="36725"/>
    <cellStyle name="输入 5 5 4 2 3" xfId="46129"/>
    <cellStyle name="输入 5 5 4 3" xfId="36724"/>
    <cellStyle name="输入 5 5 4 4" xfId="46128"/>
    <cellStyle name="输入 5 5 5" xfId="36726"/>
    <cellStyle name="输入 5 5 5 2" xfId="46130"/>
    <cellStyle name="输入 5 5 6" xfId="36715"/>
    <cellStyle name="输入 5 5 7" xfId="46119"/>
    <cellStyle name="输入 5 6" xfId="10478"/>
    <cellStyle name="输入 5 6 2" xfId="16026"/>
    <cellStyle name="输入 5 6 2 2" xfId="16027"/>
    <cellStyle name="输入 5 6 2 2 2" xfId="18237"/>
    <cellStyle name="输入 5 6 2 2 2 2" xfId="36730"/>
    <cellStyle name="输入 5 6 2 2 2 3" xfId="46134"/>
    <cellStyle name="输入 5 6 2 2 3" xfId="36729"/>
    <cellStyle name="输入 5 6 2 2 4" xfId="46133"/>
    <cellStyle name="输入 5 6 2 3" xfId="18238"/>
    <cellStyle name="输入 5 6 2 3 2" xfId="36731"/>
    <cellStyle name="输入 5 6 2 3 3" xfId="46135"/>
    <cellStyle name="输入 5 6 2 4" xfId="36728"/>
    <cellStyle name="输入 5 6 2 5" xfId="46132"/>
    <cellStyle name="输入 5 6 3" xfId="16028"/>
    <cellStyle name="输入 5 6 3 2" xfId="18236"/>
    <cellStyle name="输入 5 6 3 2 2" xfId="36733"/>
    <cellStyle name="输入 5 6 3 2 3" xfId="46137"/>
    <cellStyle name="输入 5 6 3 3" xfId="36732"/>
    <cellStyle name="输入 5 6 3 4" xfId="46136"/>
    <cellStyle name="输入 5 6 4" xfId="36734"/>
    <cellStyle name="输入 5 6 4 2" xfId="46138"/>
    <cellStyle name="输入 5 6 5" xfId="36727"/>
    <cellStyle name="输入 5 6 6" xfId="46131"/>
    <cellStyle name="输入 5 7" xfId="16029"/>
    <cellStyle name="输入 5 7 2" xfId="18235"/>
    <cellStyle name="输入 5 7 2 2" xfId="36736"/>
    <cellStyle name="输入 5 7 2 3" xfId="46140"/>
    <cellStyle name="输入 5 7 3" xfId="36735"/>
    <cellStyle name="输入 5 7 4" xfId="46139"/>
    <cellStyle name="输入 5 8" xfId="36737"/>
    <cellStyle name="输入 5 8 2" xfId="36738"/>
    <cellStyle name="输入 5 8 2 2" xfId="46142"/>
    <cellStyle name="输入 5 8 3" xfId="46141"/>
    <cellStyle name="输入 5 9" xfId="36739"/>
    <cellStyle name="输入 5 9 2" xfId="46143"/>
    <cellStyle name="输入 6" xfId="10479"/>
    <cellStyle name="输入 6 10" xfId="36740"/>
    <cellStyle name="输入 6 11" xfId="46144"/>
    <cellStyle name="输入 6 2" xfId="10480"/>
    <cellStyle name="输入 6 2 2" xfId="16030"/>
    <cellStyle name="输入 6 2 2 2" xfId="16031"/>
    <cellStyle name="输入 6 2 2 2 2" xfId="8666"/>
    <cellStyle name="输入 6 2 2 2 2 2" xfId="36744"/>
    <cellStyle name="输入 6 2 2 2 2 3" xfId="46148"/>
    <cellStyle name="输入 6 2 2 2 3" xfId="36743"/>
    <cellStyle name="输入 6 2 2 2 4" xfId="46147"/>
    <cellStyle name="输入 6 2 2 3" xfId="16032"/>
    <cellStyle name="输入 6 2 2 3 2" xfId="18234"/>
    <cellStyle name="输入 6 2 2 3 2 2" xfId="36746"/>
    <cellStyle name="输入 6 2 2 3 2 3" xfId="46150"/>
    <cellStyle name="输入 6 2 2 3 3" xfId="36745"/>
    <cellStyle name="输入 6 2 2 3 4" xfId="46149"/>
    <cellStyle name="输入 6 2 2 4" xfId="8665"/>
    <cellStyle name="输入 6 2 2 4 2" xfId="36747"/>
    <cellStyle name="输入 6 2 2 4 3" xfId="46151"/>
    <cellStyle name="输入 6 2 2 5" xfId="36742"/>
    <cellStyle name="输入 6 2 2 6" xfId="46146"/>
    <cellStyle name="输入 6 2 3" xfId="16033"/>
    <cellStyle name="输入 6 2 3 2" xfId="18233"/>
    <cellStyle name="输入 6 2 3 2 2" xfId="36749"/>
    <cellStyle name="输入 6 2 3 2 3" xfId="46153"/>
    <cellStyle name="输入 6 2 3 3" xfId="36748"/>
    <cellStyle name="输入 6 2 3 4" xfId="46152"/>
    <cellStyle name="输入 6 2 4" xfId="16034"/>
    <cellStyle name="输入 6 2 4 2" xfId="21196"/>
    <cellStyle name="输入 6 2 4 2 2" xfId="36751"/>
    <cellStyle name="输入 6 2 4 2 3" xfId="46155"/>
    <cellStyle name="输入 6 2 4 3" xfId="36750"/>
    <cellStyle name="输入 6 2 4 4" xfId="46154"/>
    <cellStyle name="输入 6 2 5" xfId="36752"/>
    <cellStyle name="输入 6 2 5 2" xfId="46156"/>
    <cellStyle name="输入 6 2 6" xfId="36741"/>
    <cellStyle name="输入 6 2 7" xfId="46145"/>
    <cellStyle name="输入 6 3" xfId="10481"/>
    <cellStyle name="输入 6 3 2" xfId="16035"/>
    <cellStyle name="输入 6 3 2 2" xfId="16036"/>
    <cellStyle name="输入 6 3 2 2 2" xfId="18232"/>
    <cellStyle name="输入 6 3 2 2 2 2" xfId="36756"/>
    <cellStyle name="输入 6 3 2 2 2 3" xfId="46160"/>
    <cellStyle name="输入 6 3 2 2 3" xfId="36755"/>
    <cellStyle name="输入 6 3 2 2 4" xfId="46159"/>
    <cellStyle name="输入 6 3 2 3" xfId="16037"/>
    <cellStyle name="输入 6 3 2 3 2" xfId="18231"/>
    <cellStyle name="输入 6 3 2 3 2 2" xfId="36758"/>
    <cellStyle name="输入 6 3 2 3 2 3" xfId="46162"/>
    <cellStyle name="输入 6 3 2 3 3" xfId="36757"/>
    <cellStyle name="输入 6 3 2 3 4" xfId="46161"/>
    <cellStyle name="输入 6 3 2 4" xfId="18684"/>
    <cellStyle name="输入 6 3 2 4 2" xfId="36759"/>
    <cellStyle name="输入 6 3 2 4 3" xfId="46163"/>
    <cellStyle name="输入 6 3 2 5" xfId="36754"/>
    <cellStyle name="输入 6 3 2 6" xfId="46158"/>
    <cellStyle name="输入 6 3 3" xfId="16038"/>
    <cellStyle name="输入 6 3 3 2" xfId="18230"/>
    <cellStyle name="输入 6 3 3 2 2" xfId="36761"/>
    <cellStyle name="输入 6 3 3 2 3" xfId="46165"/>
    <cellStyle name="输入 6 3 3 3" xfId="36760"/>
    <cellStyle name="输入 6 3 3 4" xfId="46164"/>
    <cellStyle name="输入 6 3 4" xfId="16039"/>
    <cellStyle name="输入 6 3 4 2" xfId="18229"/>
    <cellStyle name="输入 6 3 4 2 2" xfId="36763"/>
    <cellStyle name="输入 6 3 4 2 3" xfId="46167"/>
    <cellStyle name="输入 6 3 4 3" xfId="36762"/>
    <cellStyle name="输入 6 3 4 4" xfId="46166"/>
    <cellStyle name="输入 6 3 5" xfId="36764"/>
    <cellStyle name="输入 6 3 5 2" xfId="46168"/>
    <cellStyle name="输入 6 3 6" xfId="36753"/>
    <cellStyle name="输入 6 3 7" xfId="46157"/>
    <cellStyle name="输入 6 4" xfId="10482"/>
    <cellStyle name="输入 6 4 2" xfId="16040"/>
    <cellStyle name="输入 6 4 2 2" xfId="16041"/>
    <cellStyle name="输入 6 4 2 2 2" xfId="21195"/>
    <cellStyle name="输入 6 4 2 2 2 2" xfId="36768"/>
    <cellStyle name="输入 6 4 2 2 2 3" xfId="46172"/>
    <cellStyle name="输入 6 4 2 2 3" xfId="36767"/>
    <cellStyle name="输入 6 4 2 2 4" xfId="46171"/>
    <cellStyle name="输入 6 4 2 3" xfId="16042"/>
    <cellStyle name="输入 6 4 2 3 2" xfId="19035"/>
    <cellStyle name="输入 6 4 2 3 2 2" xfId="36770"/>
    <cellStyle name="输入 6 4 2 3 2 3" xfId="46174"/>
    <cellStyle name="输入 6 4 2 3 3" xfId="36769"/>
    <cellStyle name="输入 6 4 2 3 4" xfId="46173"/>
    <cellStyle name="输入 6 4 2 4" xfId="18228"/>
    <cellStyle name="输入 6 4 2 4 2" xfId="36771"/>
    <cellStyle name="输入 6 4 2 4 3" xfId="46175"/>
    <cellStyle name="输入 6 4 2 5" xfId="36766"/>
    <cellStyle name="输入 6 4 2 6" xfId="46170"/>
    <cellStyle name="输入 6 4 3" xfId="16043"/>
    <cellStyle name="输入 6 4 3 2" xfId="18227"/>
    <cellStyle name="输入 6 4 3 2 2" xfId="36773"/>
    <cellStyle name="输入 6 4 3 2 3" xfId="46177"/>
    <cellStyle name="输入 6 4 3 3" xfId="36772"/>
    <cellStyle name="输入 6 4 3 4" xfId="46176"/>
    <cellStyle name="输入 6 4 4" xfId="16044"/>
    <cellStyle name="输入 6 4 4 2" xfId="18226"/>
    <cellStyle name="输入 6 4 4 2 2" xfId="36775"/>
    <cellStyle name="输入 6 4 4 2 3" xfId="46179"/>
    <cellStyle name="输入 6 4 4 3" xfId="36774"/>
    <cellStyle name="输入 6 4 4 4" xfId="46178"/>
    <cellStyle name="输入 6 4 5" xfId="36776"/>
    <cellStyle name="输入 6 4 5 2" xfId="46180"/>
    <cellStyle name="输入 6 4 6" xfId="36765"/>
    <cellStyle name="输入 6 4 7" xfId="46169"/>
    <cellStyle name="输入 6 5" xfId="10483"/>
    <cellStyle name="输入 6 5 2" xfId="16045"/>
    <cellStyle name="输入 6 5 2 2" xfId="16046"/>
    <cellStyle name="输入 6 5 2 2 2" xfId="18224"/>
    <cellStyle name="输入 6 5 2 2 2 2" xfId="36780"/>
    <cellStyle name="输入 6 5 2 2 2 3" xfId="46184"/>
    <cellStyle name="输入 6 5 2 2 3" xfId="36779"/>
    <cellStyle name="输入 6 5 2 2 4" xfId="46183"/>
    <cellStyle name="输入 6 5 2 3" xfId="16047"/>
    <cellStyle name="输入 6 5 2 3 2" xfId="18223"/>
    <cellStyle name="输入 6 5 2 3 2 2" xfId="36782"/>
    <cellStyle name="输入 6 5 2 3 2 3" xfId="46186"/>
    <cellStyle name="输入 6 5 2 3 3" xfId="36781"/>
    <cellStyle name="输入 6 5 2 3 4" xfId="46185"/>
    <cellStyle name="输入 6 5 2 4" xfId="18225"/>
    <cellStyle name="输入 6 5 2 4 2" xfId="36783"/>
    <cellStyle name="输入 6 5 2 4 3" xfId="46187"/>
    <cellStyle name="输入 6 5 2 5" xfId="36778"/>
    <cellStyle name="输入 6 5 2 6" xfId="46182"/>
    <cellStyle name="输入 6 5 3" xfId="16048"/>
    <cellStyle name="输入 6 5 3 2" xfId="19034"/>
    <cellStyle name="输入 6 5 3 2 2" xfId="36785"/>
    <cellStyle name="输入 6 5 3 2 3" xfId="46189"/>
    <cellStyle name="输入 6 5 3 3" xfId="36784"/>
    <cellStyle name="输入 6 5 3 4" xfId="46188"/>
    <cellStyle name="输入 6 5 4" xfId="16049"/>
    <cellStyle name="输入 6 5 4 2" xfId="21194"/>
    <cellStyle name="输入 6 5 4 2 2" xfId="36787"/>
    <cellStyle name="输入 6 5 4 2 3" xfId="46191"/>
    <cellStyle name="输入 6 5 4 3" xfId="36786"/>
    <cellStyle name="输入 6 5 4 4" xfId="46190"/>
    <cellStyle name="输入 6 5 5" xfId="36788"/>
    <cellStyle name="输入 6 5 5 2" xfId="46192"/>
    <cellStyle name="输入 6 5 6" xfId="36777"/>
    <cellStyle name="输入 6 5 7" xfId="46181"/>
    <cellStyle name="输入 6 6" xfId="16050"/>
    <cellStyle name="输入 6 6 2" xfId="16051"/>
    <cellStyle name="输入 6 6 2 2" xfId="18221"/>
    <cellStyle name="输入 6 6 2 2 2" xfId="36791"/>
    <cellStyle name="输入 6 6 2 2 3" xfId="46195"/>
    <cellStyle name="输入 6 6 2 3" xfId="36790"/>
    <cellStyle name="输入 6 6 2 4" xfId="46194"/>
    <cellStyle name="输入 6 6 3" xfId="16052"/>
    <cellStyle name="输入 6 6 3 2" xfId="18220"/>
    <cellStyle name="输入 6 6 3 2 2" xfId="36793"/>
    <cellStyle name="输入 6 6 3 2 3" xfId="46197"/>
    <cellStyle name="输入 6 6 3 3" xfId="36792"/>
    <cellStyle name="输入 6 6 3 4" xfId="46196"/>
    <cellStyle name="输入 6 6 4" xfId="18222"/>
    <cellStyle name="输入 6 6 4 2" xfId="36794"/>
    <cellStyle name="输入 6 6 4 3" xfId="46198"/>
    <cellStyle name="输入 6 6 5" xfId="36789"/>
    <cellStyle name="输入 6 6 6" xfId="46193"/>
    <cellStyle name="输入 6 7" xfId="16053"/>
    <cellStyle name="输入 6 7 2" xfId="18219"/>
    <cellStyle name="输入 6 7 2 2" xfId="36796"/>
    <cellStyle name="输入 6 7 2 3" xfId="46200"/>
    <cellStyle name="输入 6 7 3" xfId="36795"/>
    <cellStyle name="输入 6 7 4" xfId="46199"/>
    <cellStyle name="输入 6 8" xfId="16054"/>
    <cellStyle name="输入 6 8 2" xfId="19033"/>
    <cellStyle name="输入 6 8 2 2" xfId="36798"/>
    <cellStyle name="输入 6 8 2 3" xfId="46202"/>
    <cellStyle name="输入 6 8 3" xfId="36797"/>
    <cellStyle name="输入 6 8 4" xfId="46201"/>
    <cellStyle name="输入 6 9" xfId="36799"/>
    <cellStyle name="输入 6 9 2" xfId="46203"/>
    <cellStyle name="输入 7" xfId="10484"/>
    <cellStyle name="输入 7 10" xfId="36800"/>
    <cellStyle name="输入 7 11" xfId="46204"/>
    <cellStyle name="输入 7 2" xfId="10485"/>
    <cellStyle name="输入 7 2 2" xfId="16055"/>
    <cellStyle name="输入 7 2 2 2" xfId="16056"/>
    <cellStyle name="输入 7 2 2 2 2" xfId="21193"/>
    <cellStyle name="输入 7 2 2 2 2 2" xfId="36804"/>
    <cellStyle name="输入 7 2 2 2 2 3" xfId="46208"/>
    <cellStyle name="输入 7 2 2 2 3" xfId="36803"/>
    <cellStyle name="输入 7 2 2 2 4" xfId="46207"/>
    <cellStyle name="输入 7 2 2 3" xfId="16057"/>
    <cellStyle name="输入 7 2 2 3 2" xfId="18217"/>
    <cellStyle name="输入 7 2 2 3 2 2" xfId="36806"/>
    <cellStyle name="输入 7 2 2 3 2 3" xfId="46210"/>
    <cellStyle name="输入 7 2 2 3 3" xfId="36805"/>
    <cellStyle name="输入 7 2 2 3 4" xfId="46209"/>
    <cellStyle name="输入 7 2 2 4" xfId="18218"/>
    <cellStyle name="输入 7 2 2 4 2" xfId="36807"/>
    <cellStyle name="输入 7 2 2 4 3" xfId="46211"/>
    <cellStyle name="输入 7 2 2 5" xfId="36802"/>
    <cellStyle name="输入 7 2 2 6" xfId="46206"/>
    <cellStyle name="输入 7 2 3" xfId="16058"/>
    <cellStyle name="输入 7 2 3 2" xfId="18216"/>
    <cellStyle name="输入 7 2 3 2 2" xfId="36809"/>
    <cellStyle name="输入 7 2 3 2 3" xfId="46213"/>
    <cellStyle name="输入 7 2 3 3" xfId="36808"/>
    <cellStyle name="输入 7 2 3 4" xfId="46212"/>
    <cellStyle name="输入 7 2 4" xfId="16059"/>
    <cellStyle name="输入 7 2 4 2" xfId="18215"/>
    <cellStyle name="输入 7 2 4 2 2" xfId="36811"/>
    <cellStyle name="输入 7 2 4 2 3" xfId="46215"/>
    <cellStyle name="输入 7 2 4 3" xfId="36810"/>
    <cellStyle name="输入 7 2 4 4" xfId="46214"/>
    <cellStyle name="输入 7 2 5" xfId="36812"/>
    <cellStyle name="输入 7 2 5 2" xfId="46216"/>
    <cellStyle name="输入 7 2 6" xfId="36801"/>
    <cellStyle name="输入 7 2 7" xfId="46205"/>
    <cellStyle name="输入 7 3" xfId="10486"/>
    <cellStyle name="输入 7 3 2" xfId="16060"/>
    <cellStyle name="输入 7 3 2 2" xfId="16061"/>
    <cellStyle name="输入 7 3 2 2 2" xfId="19032"/>
    <cellStyle name="输入 7 3 2 2 2 2" xfId="36816"/>
    <cellStyle name="输入 7 3 2 2 2 3" xfId="46220"/>
    <cellStyle name="输入 7 3 2 2 3" xfId="36815"/>
    <cellStyle name="输入 7 3 2 2 4" xfId="46219"/>
    <cellStyle name="输入 7 3 2 3" xfId="16062"/>
    <cellStyle name="输入 7 3 2 3 2" xfId="18214"/>
    <cellStyle name="输入 7 3 2 3 2 2" xfId="36818"/>
    <cellStyle name="输入 7 3 2 3 2 3" xfId="46222"/>
    <cellStyle name="输入 7 3 2 3 3" xfId="36817"/>
    <cellStyle name="输入 7 3 2 3 4" xfId="46221"/>
    <cellStyle name="输入 7 3 2 4" xfId="18537"/>
    <cellStyle name="输入 7 3 2 4 2" xfId="36819"/>
    <cellStyle name="输入 7 3 2 4 3" xfId="46223"/>
    <cellStyle name="输入 7 3 2 5" xfId="36814"/>
    <cellStyle name="输入 7 3 2 6" xfId="46218"/>
    <cellStyle name="输入 7 3 3" xfId="16063"/>
    <cellStyle name="输入 7 3 3 2" xfId="18213"/>
    <cellStyle name="输入 7 3 3 2 2" xfId="36821"/>
    <cellStyle name="输入 7 3 3 2 3" xfId="46225"/>
    <cellStyle name="输入 7 3 3 3" xfId="36820"/>
    <cellStyle name="输入 7 3 3 4" xfId="46224"/>
    <cellStyle name="输入 7 3 4" xfId="16064"/>
    <cellStyle name="输入 7 3 4 2" xfId="18212"/>
    <cellStyle name="输入 7 3 4 2 2" xfId="36823"/>
    <cellStyle name="输入 7 3 4 2 3" xfId="46227"/>
    <cellStyle name="输入 7 3 4 3" xfId="36822"/>
    <cellStyle name="输入 7 3 4 4" xfId="46226"/>
    <cellStyle name="输入 7 3 5" xfId="36824"/>
    <cellStyle name="输入 7 3 5 2" xfId="46228"/>
    <cellStyle name="输入 7 3 6" xfId="36813"/>
    <cellStyle name="输入 7 3 7" xfId="46217"/>
    <cellStyle name="输入 7 4" xfId="10487"/>
    <cellStyle name="输入 7 4 2" xfId="16065"/>
    <cellStyle name="输入 7 4 2 2" xfId="16066"/>
    <cellStyle name="输入 7 4 2 2 2" xfId="18210"/>
    <cellStyle name="输入 7 4 2 2 2 2" xfId="36828"/>
    <cellStyle name="输入 7 4 2 2 2 3" xfId="46232"/>
    <cellStyle name="输入 7 4 2 2 3" xfId="36827"/>
    <cellStyle name="输入 7 4 2 2 4" xfId="46231"/>
    <cellStyle name="输入 7 4 2 3" xfId="16067"/>
    <cellStyle name="输入 7 4 2 3 2" xfId="18209"/>
    <cellStyle name="输入 7 4 2 3 2 2" xfId="36830"/>
    <cellStyle name="输入 7 4 2 3 2 3" xfId="46234"/>
    <cellStyle name="输入 7 4 2 3 3" xfId="36829"/>
    <cellStyle name="输入 7 4 2 3 4" xfId="46233"/>
    <cellStyle name="输入 7 4 2 4" xfId="18211"/>
    <cellStyle name="输入 7 4 2 4 2" xfId="36831"/>
    <cellStyle name="输入 7 4 2 4 3" xfId="46235"/>
    <cellStyle name="输入 7 4 2 5" xfId="36826"/>
    <cellStyle name="输入 7 4 2 6" xfId="46230"/>
    <cellStyle name="输入 7 4 3" xfId="16068"/>
    <cellStyle name="输入 7 4 3 2" xfId="18208"/>
    <cellStyle name="输入 7 4 3 2 2" xfId="36833"/>
    <cellStyle name="输入 7 4 3 2 3" xfId="46237"/>
    <cellStyle name="输入 7 4 3 3" xfId="36832"/>
    <cellStyle name="输入 7 4 3 4" xfId="46236"/>
    <cellStyle name="输入 7 4 4" xfId="16069"/>
    <cellStyle name="输入 7 4 4 2" xfId="21192"/>
    <cellStyle name="输入 7 4 4 2 2" xfId="36835"/>
    <cellStyle name="输入 7 4 4 2 3" xfId="46239"/>
    <cellStyle name="输入 7 4 4 3" xfId="36834"/>
    <cellStyle name="输入 7 4 4 4" xfId="46238"/>
    <cellStyle name="输入 7 4 5" xfId="36836"/>
    <cellStyle name="输入 7 4 5 2" xfId="46240"/>
    <cellStyle name="输入 7 4 6" xfId="36825"/>
    <cellStyle name="输入 7 4 7" xfId="46229"/>
    <cellStyle name="输入 7 5" xfId="10488"/>
    <cellStyle name="输入 7 5 2" xfId="16070"/>
    <cellStyle name="输入 7 5 2 2" xfId="16071"/>
    <cellStyle name="输入 7 5 2 2 2" xfId="18206"/>
    <cellStyle name="输入 7 5 2 2 2 2" xfId="36840"/>
    <cellStyle name="输入 7 5 2 2 2 3" xfId="46244"/>
    <cellStyle name="输入 7 5 2 2 3" xfId="36839"/>
    <cellStyle name="输入 7 5 2 2 4" xfId="46243"/>
    <cellStyle name="输入 7 5 2 3" xfId="16072"/>
    <cellStyle name="输入 7 5 2 3 2" xfId="19031"/>
    <cellStyle name="输入 7 5 2 3 2 2" xfId="36842"/>
    <cellStyle name="输入 7 5 2 3 2 3" xfId="46246"/>
    <cellStyle name="输入 7 5 2 3 3" xfId="36841"/>
    <cellStyle name="输入 7 5 2 3 4" xfId="46245"/>
    <cellStyle name="输入 7 5 2 4" xfId="18207"/>
    <cellStyle name="输入 7 5 2 4 2" xfId="36843"/>
    <cellStyle name="输入 7 5 2 4 3" xfId="46247"/>
    <cellStyle name="输入 7 5 2 5" xfId="36838"/>
    <cellStyle name="输入 7 5 2 6" xfId="46242"/>
    <cellStyle name="输入 7 5 3" xfId="16073"/>
    <cellStyle name="输入 7 5 3 2" xfId="18205"/>
    <cellStyle name="输入 7 5 3 2 2" xfId="36845"/>
    <cellStyle name="输入 7 5 3 2 3" xfId="46249"/>
    <cellStyle name="输入 7 5 3 3" xfId="36844"/>
    <cellStyle name="输入 7 5 3 4" xfId="46248"/>
    <cellStyle name="输入 7 5 4" xfId="16074"/>
    <cellStyle name="输入 7 5 4 2" xfId="18204"/>
    <cellStyle name="输入 7 5 4 2 2" xfId="36847"/>
    <cellStyle name="输入 7 5 4 2 3" xfId="46251"/>
    <cellStyle name="输入 7 5 4 3" xfId="36846"/>
    <cellStyle name="输入 7 5 4 4" xfId="46250"/>
    <cellStyle name="输入 7 5 5" xfId="36848"/>
    <cellStyle name="输入 7 5 5 2" xfId="46252"/>
    <cellStyle name="输入 7 5 6" xfId="36837"/>
    <cellStyle name="输入 7 5 7" xfId="46241"/>
    <cellStyle name="输入 7 6" xfId="16075"/>
    <cellStyle name="输入 7 6 2" xfId="16076"/>
    <cellStyle name="输入 7 6 2 2" xfId="21191"/>
    <cellStyle name="输入 7 6 2 2 2" xfId="36851"/>
    <cellStyle name="输入 7 6 2 2 3" xfId="46255"/>
    <cellStyle name="输入 7 6 2 3" xfId="36850"/>
    <cellStyle name="输入 7 6 2 4" xfId="46254"/>
    <cellStyle name="输入 7 6 3" xfId="16077"/>
    <cellStyle name="输入 7 6 3 2" xfId="18683"/>
    <cellStyle name="输入 7 6 3 2 2" xfId="36853"/>
    <cellStyle name="输入 7 6 3 2 3" xfId="46257"/>
    <cellStyle name="输入 7 6 3 3" xfId="36852"/>
    <cellStyle name="输入 7 6 3 4" xfId="46256"/>
    <cellStyle name="输入 7 6 4" xfId="18203"/>
    <cellStyle name="输入 7 6 4 2" xfId="36854"/>
    <cellStyle name="输入 7 6 4 3" xfId="46258"/>
    <cellStyle name="输入 7 6 5" xfId="36849"/>
    <cellStyle name="输入 7 6 6" xfId="46253"/>
    <cellStyle name="输入 7 7" xfId="16078"/>
    <cellStyle name="输入 7 7 2" xfId="19030"/>
    <cellStyle name="输入 7 7 2 2" xfId="36856"/>
    <cellStyle name="输入 7 7 2 3" xfId="46260"/>
    <cellStyle name="输入 7 7 3" xfId="36855"/>
    <cellStyle name="输入 7 7 4" xfId="46259"/>
    <cellStyle name="输入 7 8" xfId="16079"/>
    <cellStyle name="输入 7 8 2" xfId="18682"/>
    <cellStyle name="输入 7 8 2 2" xfId="36858"/>
    <cellStyle name="输入 7 8 2 3" xfId="46262"/>
    <cellStyle name="输入 7 8 3" xfId="36857"/>
    <cellStyle name="输入 7 8 4" xfId="46261"/>
    <cellStyle name="输入 7 9" xfId="36859"/>
    <cellStyle name="输入 7 9 2" xfId="46263"/>
    <cellStyle name="输入 8" xfId="10489"/>
    <cellStyle name="输入 8 10" xfId="36860"/>
    <cellStyle name="输入 8 11" xfId="46264"/>
    <cellStyle name="输入 8 2" xfId="10490"/>
    <cellStyle name="输入 8 2 2" xfId="16080"/>
    <cellStyle name="输入 8 2 2 2" xfId="16081"/>
    <cellStyle name="输入 8 2 2 2 2" xfId="18201"/>
    <cellStyle name="输入 8 2 2 2 2 2" xfId="36864"/>
    <cellStyle name="输入 8 2 2 2 2 3" xfId="46268"/>
    <cellStyle name="输入 8 2 2 2 3" xfId="36863"/>
    <cellStyle name="输入 8 2 2 2 4" xfId="46267"/>
    <cellStyle name="输入 8 2 2 3" xfId="16082"/>
    <cellStyle name="输入 8 2 2 3 2" xfId="18200"/>
    <cellStyle name="输入 8 2 2 3 2 2" xfId="36866"/>
    <cellStyle name="输入 8 2 2 3 2 3" xfId="46270"/>
    <cellStyle name="输入 8 2 2 3 3" xfId="36865"/>
    <cellStyle name="输入 8 2 2 3 4" xfId="46269"/>
    <cellStyle name="输入 8 2 2 4" xfId="18202"/>
    <cellStyle name="输入 8 2 2 4 2" xfId="36867"/>
    <cellStyle name="输入 8 2 2 4 3" xfId="46271"/>
    <cellStyle name="输入 8 2 2 5" xfId="36862"/>
    <cellStyle name="输入 8 2 2 6" xfId="46266"/>
    <cellStyle name="输入 8 2 3" xfId="16083"/>
    <cellStyle name="输入 8 2 3 2" xfId="18199"/>
    <cellStyle name="输入 8 2 3 2 2" xfId="36869"/>
    <cellStyle name="输入 8 2 3 2 3" xfId="46273"/>
    <cellStyle name="输入 8 2 3 3" xfId="36868"/>
    <cellStyle name="输入 8 2 3 4" xfId="46272"/>
    <cellStyle name="输入 8 2 4" xfId="16084"/>
    <cellStyle name="输入 8 2 4 2" xfId="19029"/>
    <cellStyle name="输入 8 2 4 2 2" xfId="36871"/>
    <cellStyle name="输入 8 2 4 2 3" xfId="46275"/>
    <cellStyle name="输入 8 2 4 3" xfId="36870"/>
    <cellStyle name="输入 8 2 4 4" xfId="46274"/>
    <cellStyle name="输入 8 2 5" xfId="36872"/>
    <cellStyle name="输入 8 2 5 2" xfId="46276"/>
    <cellStyle name="输入 8 2 6" xfId="36861"/>
    <cellStyle name="输入 8 2 7" xfId="46265"/>
    <cellStyle name="输入 8 3" xfId="10491"/>
    <cellStyle name="输入 8 3 2" xfId="16085"/>
    <cellStyle name="输入 8 3 2 2" xfId="16086"/>
    <cellStyle name="输入 8 3 2 2 2" xfId="21190"/>
    <cellStyle name="输入 8 3 2 2 2 2" xfId="36876"/>
    <cellStyle name="输入 8 3 2 2 2 3" xfId="46280"/>
    <cellStyle name="输入 8 3 2 2 3" xfId="36875"/>
    <cellStyle name="输入 8 3 2 2 4" xfId="46279"/>
    <cellStyle name="输入 8 3 2 3" xfId="16087"/>
    <cellStyle name="输入 8 3 2 3 2" xfId="18197"/>
    <cellStyle name="输入 8 3 2 3 2 2" xfId="36878"/>
    <cellStyle name="输入 8 3 2 3 2 3" xfId="46282"/>
    <cellStyle name="输入 8 3 2 3 3" xfId="36877"/>
    <cellStyle name="输入 8 3 2 3 4" xfId="46281"/>
    <cellStyle name="输入 8 3 2 4" xfId="18198"/>
    <cellStyle name="输入 8 3 2 4 2" xfId="36879"/>
    <cellStyle name="输入 8 3 2 4 3" xfId="46283"/>
    <cellStyle name="输入 8 3 2 5" xfId="36874"/>
    <cellStyle name="输入 8 3 2 6" xfId="46278"/>
    <cellStyle name="输入 8 3 3" xfId="16088"/>
    <cellStyle name="输入 8 3 3 2" xfId="18196"/>
    <cellStyle name="输入 8 3 3 2 2" xfId="36881"/>
    <cellStyle name="输入 8 3 3 2 3" xfId="46285"/>
    <cellStyle name="输入 8 3 3 3" xfId="36880"/>
    <cellStyle name="输入 8 3 3 4" xfId="46284"/>
    <cellStyle name="输入 8 3 4" xfId="16089"/>
    <cellStyle name="输入 8 3 4 2" xfId="18195"/>
    <cellStyle name="输入 8 3 4 2 2" xfId="36883"/>
    <cellStyle name="输入 8 3 4 2 3" xfId="46287"/>
    <cellStyle name="输入 8 3 4 3" xfId="36882"/>
    <cellStyle name="输入 8 3 4 4" xfId="46286"/>
    <cellStyle name="输入 8 3 5" xfId="36884"/>
    <cellStyle name="输入 8 3 5 2" xfId="46288"/>
    <cellStyle name="输入 8 3 6" xfId="36873"/>
    <cellStyle name="输入 8 3 7" xfId="46277"/>
    <cellStyle name="输入 8 4" xfId="10492"/>
    <cellStyle name="输入 8 4 2" xfId="16090"/>
    <cellStyle name="输入 8 4 2 2" xfId="16091"/>
    <cellStyle name="输入 8 4 2 2 2" xfId="19027"/>
    <cellStyle name="输入 8 4 2 2 2 2" xfId="36888"/>
    <cellStyle name="输入 8 4 2 2 2 3" xfId="46292"/>
    <cellStyle name="输入 8 4 2 2 3" xfId="36887"/>
    <cellStyle name="输入 8 4 2 2 4" xfId="46291"/>
    <cellStyle name="输入 8 4 2 3" xfId="16092"/>
    <cellStyle name="输入 8 4 2 3 2" xfId="18194"/>
    <cellStyle name="输入 8 4 2 3 2 2" xfId="36890"/>
    <cellStyle name="输入 8 4 2 3 2 3" xfId="46294"/>
    <cellStyle name="输入 8 4 2 3 3" xfId="36889"/>
    <cellStyle name="输入 8 4 2 3 4" xfId="46293"/>
    <cellStyle name="输入 8 4 2 4" xfId="19028"/>
    <cellStyle name="输入 8 4 2 4 2" xfId="36891"/>
    <cellStyle name="输入 8 4 2 4 3" xfId="46295"/>
    <cellStyle name="输入 8 4 2 5" xfId="36886"/>
    <cellStyle name="输入 8 4 2 6" xfId="46290"/>
    <cellStyle name="输入 8 4 3" xfId="16093"/>
    <cellStyle name="输入 8 4 3 2" xfId="18193"/>
    <cellStyle name="输入 8 4 3 2 2" xfId="36893"/>
    <cellStyle name="输入 8 4 3 2 3" xfId="46297"/>
    <cellStyle name="输入 8 4 3 3" xfId="36892"/>
    <cellStyle name="输入 8 4 3 4" xfId="46296"/>
    <cellStyle name="输入 8 4 4" xfId="16094"/>
    <cellStyle name="输入 8 4 4 2" xfId="21189"/>
    <cellStyle name="输入 8 4 4 2 2" xfId="36895"/>
    <cellStyle name="输入 8 4 4 2 3" xfId="46299"/>
    <cellStyle name="输入 8 4 4 3" xfId="36894"/>
    <cellStyle name="输入 8 4 4 4" xfId="46298"/>
    <cellStyle name="输入 8 4 5" xfId="36896"/>
    <cellStyle name="输入 8 4 5 2" xfId="46300"/>
    <cellStyle name="输入 8 4 6" xfId="36885"/>
    <cellStyle name="输入 8 4 7" xfId="46289"/>
    <cellStyle name="输入 8 5" xfId="10493"/>
    <cellStyle name="输入 8 5 2" xfId="16095"/>
    <cellStyle name="输入 8 5 2 2" xfId="16096"/>
    <cellStyle name="输入 8 5 2 2 2" xfId="18191"/>
    <cellStyle name="输入 8 5 2 2 2 2" xfId="36900"/>
    <cellStyle name="输入 8 5 2 2 2 3" xfId="46304"/>
    <cellStyle name="输入 8 5 2 2 3" xfId="36899"/>
    <cellStyle name="输入 8 5 2 2 4" xfId="46303"/>
    <cellStyle name="输入 8 5 2 3" xfId="16097"/>
    <cellStyle name="输入 8 5 2 3 2" xfId="18190"/>
    <cellStyle name="输入 8 5 2 3 2 2" xfId="36902"/>
    <cellStyle name="输入 8 5 2 3 2 3" xfId="46306"/>
    <cellStyle name="输入 8 5 2 3 3" xfId="36901"/>
    <cellStyle name="输入 8 5 2 3 4" xfId="46305"/>
    <cellStyle name="输入 8 5 2 4" xfId="18192"/>
    <cellStyle name="输入 8 5 2 4 2" xfId="36903"/>
    <cellStyle name="输入 8 5 2 4 3" xfId="46307"/>
    <cellStyle name="输入 8 5 2 5" xfId="36898"/>
    <cellStyle name="输入 8 5 2 6" xfId="46302"/>
    <cellStyle name="输入 8 5 3" xfId="16098"/>
    <cellStyle name="输入 8 5 3 2" xfId="18189"/>
    <cellStyle name="输入 8 5 3 2 2" xfId="36905"/>
    <cellStyle name="输入 8 5 3 2 3" xfId="46309"/>
    <cellStyle name="输入 8 5 3 3" xfId="36904"/>
    <cellStyle name="输入 8 5 3 4" xfId="46308"/>
    <cellStyle name="输入 8 5 4" xfId="16099"/>
    <cellStyle name="输入 8 5 4 2" xfId="18188"/>
    <cellStyle name="输入 8 5 4 2 2" xfId="36907"/>
    <cellStyle name="输入 8 5 4 2 3" xfId="46311"/>
    <cellStyle name="输入 8 5 4 3" xfId="36906"/>
    <cellStyle name="输入 8 5 4 4" xfId="46310"/>
    <cellStyle name="输入 8 5 5" xfId="36908"/>
    <cellStyle name="输入 8 5 5 2" xfId="46312"/>
    <cellStyle name="输入 8 5 6" xfId="36897"/>
    <cellStyle name="输入 8 5 7" xfId="46301"/>
    <cellStyle name="输入 8 6" xfId="16100"/>
    <cellStyle name="输入 8 6 2" xfId="16101"/>
    <cellStyle name="输入 8 6 2 2" xfId="21188"/>
    <cellStyle name="输入 8 6 2 2 2" xfId="36911"/>
    <cellStyle name="输入 8 6 2 2 3" xfId="46315"/>
    <cellStyle name="输入 8 6 2 3" xfId="36910"/>
    <cellStyle name="输入 8 6 2 4" xfId="46314"/>
    <cellStyle name="输入 8 6 3" xfId="16102"/>
    <cellStyle name="输入 8 6 3 2" xfId="18187"/>
    <cellStyle name="输入 8 6 3 2 2" xfId="36913"/>
    <cellStyle name="输入 8 6 3 2 3" xfId="46317"/>
    <cellStyle name="输入 8 6 3 3" xfId="36912"/>
    <cellStyle name="输入 8 6 3 4" xfId="46316"/>
    <cellStyle name="输入 8 6 4" xfId="8667"/>
    <cellStyle name="输入 8 6 4 2" xfId="36914"/>
    <cellStyle name="输入 8 6 4 3" xfId="46318"/>
    <cellStyle name="输入 8 6 5" xfId="36909"/>
    <cellStyle name="输入 8 6 6" xfId="46313"/>
    <cellStyle name="输入 8 7" xfId="16103"/>
    <cellStyle name="输入 8 7 2" xfId="18186"/>
    <cellStyle name="输入 8 7 2 2" xfId="36916"/>
    <cellStyle name="输入 8 7 2 3" xfId="46320"/>
    <cellStyle name="输入 8 7 3" xfId="36915"/>
    <cellStyle name="输入 8 7 4" xfId="46319"/>
    <cellStyle name="输入 8 8" xfId="16104"/>
    <cellStyle name="输入 8 8 2" xfId="18185"/>
    <cellStyle name="输入 8 8 2 2" xfId="36918"/>
    <cellStyle name="输入 8 8 2 3" xfId="46322"/>
    <cellStyle name="输入 8 8 3" xfId="36917"/>
    <cellStyle name="输入 8 8 4" xfId="46321"/>
    <cellStyle name="输入 8 9" xfId="36919"/>
    <cellStyle name="输入 8 9 2" xfId="46323"/>
    <cellStyle name="输入 9" xfId="10494"/>
    <cellStyle name="输入 9 10" xfId="36920"/>
    <cellStyle name="输入 9 11" xfId="46324"/>
    <cellStyle name="输入 9 2" xfId="10495"/>
    <cellStyle name="输入 9 2 2" xfId="16105"/>
    <cellStyle name="输入 9 2 2 2" xfId="16106"/>
    <cellStyle name="输入 9 2 2 2 2" xfId="19026"/>
    <cellStyle name="输入 9 2 2 2 2 2" xfId="36924"/>
    <cellStyle name="输入 9 2 2 2 2 3" xfId="46328"/>
    <cellStyle name="输入 9 2 2 2 3" xfId="36923"/>
    <cellStyle name="输入 9 2 2 2 4" xfId="46327"/>
    <cellStyle name="输入 9 2 2 3" xfId="16107"/>
    <cellStyle name="输入 9 2 2 3 2" xfId="18183"/>
    <cellStyle name="输入 9 2 2 3 2 2" xfId="36926"/>
    <cellStyle name="输入 9 2 2 3 2 3" xfId="46330"/>
    <cellStyle name="输入 9 2 2 3 3" xfId="36925"/>
    <cellStyle name="输入 9 2 2 3 4" xfId="46329"/>
    <cellStyle name="输入 9 2 2 4" xfId="18184"/>
    <cellStyle name="输入 9 2 2 4 2" xfId="36927"/>
    <cellStyle name="输入 9 2 2 4 3" xfId="46331"/>
    <cellStyle name="输入 9 2 2 5" xfId="36922"/>
    <cellStyle name="输入 9 2 2 6" xfId="46326"/>
    <cellStyle name="输入 9 2 3" xfId="16108"/>
    <cellStyle name="输入 9 2 3 2" xfId="18182"/>
    <cellStyle name="输入 9 2 3 2 2" xfId="36929"/>
    <cellStyle name="输入 9 2 3 2 3" xfId="46333"/>
    <cellStyle name="输入 9 2 3 3" xfId="36928"/>
    <cellStyle name="输入 9 2 3 4" xfId="46332"/>
    <cellStyle name="输入 9 2 4" xfId="16109"/>
    <cellStyle name="输入 9 2 4 2" xfId="18181"/>
    <cellStyle name="输入 9 2 4 2 2" xfId="36931"/>
    <cellStyle name="输入 9 2 4 2 3" xfId="46335"/>
    <cellStyle name="输入 9 2 4 3" xfId="36930"/>
    <cellStyle name="输入 9 2 4 4" xfId="46334"/>
    <cellStyle name="输入 9 2 5" xfId="36932"/>
    <cellStyle name="输入 9 2 5 2" xfId="46336"/>
    <cellStyle name="输入 9 2 6" xfId="36921"/>
    <cellStyle name="输入 9 2 7" xfId="46325"/>
    <cellStyle name="输入 9 3" xfId="10496"/>
    <cellStyle name="输入 9 3 2" xfId="16110"/>
    <cellStyle name="输入 9 3 2 2" xfId="16111"/>
    <cellStyle name="输入 9 3 2 2 2" xfId="18179"/>
    <cellStyle name="输入 9 3 2 2 2 2" xfId="36936"/>
    <cellStyle name="输入 9 3 2 2 2 3" xfId="46340"/>
    <cellStyle name="输入 9 3 2 2 3" xfId="36935"/>
    <cellStyle name="输入 9 3 2 2 4" xfId="46339"/>
    <cellStyle name="输入 9 3 2 3" xfId="16112"/>
    <cellStyle name="输入 9 3 2 3 2" xfId="19025"/>
    <cellStyle name="输入 9 3 2 3 2 2" xfId="36938"/>
    <cellStyle name="输入 9 3 2 3 2 3" xfId="46342"/>
    <cellStyle name="输入 9 3 2 3 3" xfId="36937"/>
    <cellStyle name="输入 9 3 2 3 4" xfId="46341"/>
    <cellStyle name="输入 9 3 2 4" xfId="18180"/>
    <cellStyle name="输入 9 3 2 4 2" xfId="36939"/>
    <cellStyle name="输入 9 3 2 4 3" xfId="46343"/>
    <cellStyle name="输入 9 3 2 5" xfId="36934"/>
    <cellStyle name="输入 9 3 2 6" xfId="46338"/>
    <cellStyle name="输入 9 3 3" xfId="16113"/>
    <cellStyle name="输入 9 3 3 2" xfId="18178"/>
    <cellStyle name="输入 9 3 3 2 2" xfId="36941"/>
    <cellStyle name="输入 9 3 3 2 3" xfId="46345"/>
    <cellStyle name="输入 9 3 3 3" xfId="36940"/>
    <cellStyle name="输入 9 3 3 4" xfId="46344"/>
    <cellStyle name="输入 9 3 4" xfId="16114"/>
    <cellStyle name="输入 9 3 4 2" xfId="21187"/>
    <cellStyle name="输入 9 3 4 2 2" xfId="36943"/>
    <cellStyle name="输入 9 3 4 2 3" xfId="46347"/>
    <cellStyle name="输入 9 3 4 3" xfId="36942"/>
    <cellStyle name="输入 9 3 4 4" xfId="46346"/>
    <cellStyle name="输入 9 3 5" xfId="36944"/>
    <cellStyle name="输入 9 3 5 2" xfId="46348"/>
    <cellStyle name="输入 9 3 6" xfId="36933"/>
    <cellStyle name="输入 9 3 7" xfId="46337"/>
    <cellStyle name="输入 9 4" xfId="10497"/>
    <cellStyle name="输入 9 4 2" xfId="16115"/>
    <cellStyle name="输入 9 4 2 2" xfId="16116"/>
    <cellStyle name="输入 9 4 2 2 2" xfId="18177"/>
    <cellStyle name="输入 9 4 2 2 2 2" xfId="36948"/>
    <cellStyle name="输入 9 4 2 2 2 3" xfId="46352"/>
    <cellStyle name="输入 9 4 2 2 3" xfId="36947"/>
    <cellStyle name="输入 9 4 2 2 4" xfId="46351"/>
    <cellStyle name="输入 9 4 2 3" xfId="16117"/>
    <cellStyle name="输入 9 4 2 3 2" xfId="18176"/>
    <cellStyle name="输入 9 4 2 3 2 2" xfId="36950"/>
    <cellStyle name="输入 9 4 2 3 2 3" xfId="46354"/>
    <cellStyle name="输入 9 4 2 3 3" xfId="36949"/>
    <cellStyle name="输入 9 4 2 3 4" xfId="46353"/>
    <cellStyle name="输入 9 4 2 4" xfId="21186"/>
    <cellStyle name="输入 9 4 2 4 2" xfId="36951"/>
    <cellStyle name="输入 9 4 2 4 3" xfId="46355"/>
    <cellStyle name="输入 9 4 2 5" xfId="36946"/>
    <cellStyle name="输入 9 4 2 6" xfId="46350"/>
    <cellStyle name="输入 9 4 3" xfId="16118"/>
    <cellStyle name="输入 9 4 3 2" xfId="19024"/>
    <cellStyle name="输入 9 4 3 2 2" xfId="36953"/>
    <cellStyle name="输入 9 4 3 2 3" xfId="46357"/>
    <cellStyle name="输入 9 4 3 3" xfId="36952"/>
    <cellStyle name="输入 9 4 3 4" xfId="46356"/>
    <cellStyle name="输入 9 4 4" xfId="16119"/>
    <cellStyle name="输入 9 4 4 2" xfId="18175"/>
    <cellStyle name="输入 9 4 4 2 2" xfId="36955"/>
    <cellStyle name="输入 9 4 4 2 3" xfId="46359"/>
    <cellStyle name="输入 9 4 4 3" xfId="36954"/>
    <cellStyle name="输入 9 4 4 4" xfId="46358"/>
    <cellStyle name="输入 9 4 5" xfId="36956"/>
    <cellStyle name="输入 9 4 5 2" xfId="46360"/>
    <cellStyle name="输入 9 4 6" xfId="36945"/>
    <cellStyle name="输入 9 4 7" xfId="46349"/>
    <cellStyle name="输入 9 5" xfId="10498"/>
    <cellStyle name="输入 9 5 2" xfId="16120"/>
    <cellStyle name="输入 9 5 2 2" xfId="16121"/>
    <cellStyle name="输入 9 5 2 2 2" xfId="18173"/>
    <cellStyle name="输入 9 5 2 2 2 2" xfId="36960"/>
    <cellStyle name="输入 9 5 2 2 2 3" xfId="46364"/>
    <cellStyle name="输入 9 5 2 2 3" xfId="36959"/>
    <cellStyle name="输入 9 5 2 2 4" xfId="46363"/>
    <cellStyle name="输入 9 5 2 3" xfId="16122"/>
    <cellStyle name="输入 9 5 2 3 2" xfId="21185"/>
    <cellStyle name="输入 9 5 2 3 2 2" xfId="36962"/>
    <cellStyle name="输入 9 5 2 3 2 3" xfId="46366"/>
    <cellStyle name="输入 9 5 2 3 3" xfId="36961"/>
    <cellStyle name="输入 9 5 2 3 4" xfId="46365"/>
    <cellStyle name="输入 9 5 2 4" xfId="18174"/>
    <cellStyle name="输入 9 5 2 4 2" xfId="36963"/>
    <cellStyle name="输入 9 5 2 4 3" xfId="46367"/>
    <cellStyle name="输入 9 5 2 5" xfId="36958"/>
    <cellStyle name="输入 9 5 2 6" xfId="46362"/>
    <cellStyle name="输入 9 5 3" xfId="16123"/>
    <cellStyle name="输入 9 5 3 2" xfId="18172"/>
    <cellStyle name="输入 9 5 3 2 2" xfId="36965"/>
    <cellStyle name="输入 9 5 3 2 3" xfId="46369"/>
    <cellStyle name="输入 9 5 3 3" xfId="36964"/>
    <cellStyle name="输入 9 5 3 4" xfId="46368"/>
    <cellStyle name="输入 9 5 4" xfId="16124"/>
    <cellStyle name="输入 9 5 4 2" xfId="20621"/>
    <cellStyle name="输入 9 5 4 2 2" xfId="36967"/>
    <cellStyle name="输入 9 5 4 2 3" xfId="46371"/>
    <cellStyle name="输入 9 5 4 3" xfId="36966"/>
    <cellStyle name="输入 9 5 4 4" xfId="46370"/>
    <cellStyle name="输入 9 5 5" xfId="36968"/>
    <cellStyle name="输入 9 5 5 2" xfId="46372"/>
    <cellStyle name="输入 9 5 6" xfId="36957"/>
    <cellStyle name="输入 9 5 7" xfId="46361"/>
    <cellStyle name="输入 9 6" xfId="16125"/>
    <cellStyle name="输入 9 6 2" xfId="16126"/>
    <cellStyle name="输入 9 6 2 2" xfId="18171"/>
    <cellStyle name="输入 9 6 2 2 2" xfId="36971"/>
    <cellStyle name="输入 9 6 2 2 3" xfId="46375"/>
    <cellStyle name="输入 9 6 2 3" xfId="36970"/>
    <cellStyle name="输入 9 6 2 4" xfId="46374"/>
    <cellStyle name="输入 9 6 3" xfId="16127"/>
    <cellStyle name="输入 9 6 3 2" xfId="18170"/>
    <cellStyle name="输入 9 6 3 2 2" xfId="36973"/>
    <cellStyle name="输入 9 6 3 2 3" xfId="46377"/>
    <cellStyle name="输入 9 6 3 3" xfId="36972"/>
    <cellStyle name="输入 9 6 3 4" xfId="46376"/>
    <cellStyle name="输入 9 6 4" xfId="20620"/>
    <cellStyle name="输入 9 6 4 2" xfId="36974"/>
    <cellStyle name="输入 9 6 4 3" xfId="46378"/>
    <cellStyle name="输入 9 6 5" xfId="36969"/>
    <cellStyle name="输入 9 6 6" xfId="46373"/>
    <cellStyle name="输入 9 7" xfId="16128"/>
    <cellStyle name="输入 9 7 2" xfId="18169"/>
    <cellStyle name="输入 9 7 2 2" xfId="36976"/>
    <cellStyle name="输入 9 7 2 3" xfId="46380"/>
    <cellStyle name="输入 9 7 3" xfId="36975"/>
    <cellStyle name="输入 9 7 4" xfId="46379"/>
    <cellStyle name="输入 9 8" xfId="16129"/>
    <cellStyle name="输入 9 8 2" xfId="18168"/>
    <cellStyle name="输入 9 8 2 2" xfId="36978"/>
    <cellStyle name="输入 9 8 2 3" xfId="46382"/>
    <cellStyle name="输入 9 8 3" xfId="36977"/>
    <cellStyle name="输入 9 8 4" xfId="46381"/>
    <cellStyle name="输入 9 9" xfId="36979"/>
    <cellStyle name="输入 9 9 2" xfId="46383"/>
    <cellStyle name="輸出" xfId="10499"/>
    <cellStyle name="輸出 2" xfId="10500"/>
    <cellStyle name="輸出 2 2" xfId="16130"/>
    <cellStyle name="輸出 2 2 2" xfId="16131"/>
    <cellStyle name="輸出 2 2 2 2" xfId="18167"/>
    <cellStyle name="輸出 2 2 2 2 2" xfId="36984"/>
    <cellStyle name="輸出 2 2 2 3" xfId="36983"/>
    <cellStyle name="輸出 2 2 3" xfId="16132"/>
    <cellStyle name="輸出 2 2 3 2" xfId="18166"/>
    <cellStyle name="輸出 2 2 3 2 2" xfId="36986"/>
    <cellStyle name="輸出 2 2 3 3" xfId="36985"/>
    <cellStyle name="輸出 2 2 4" xfId="21184"/>
    <cellStyle name="輸出 2 2 4 2" xfId="36987"/>
    <cellStyle name="輸出 2 2 5" xfId="36982"/>
    <cellStyle name="輸出 2 3" xfId="16133"/>
    <cellStyle name="輸出 2 3 2" xfId="18165"/>
    <cellStyle name="輸出 2 3 2 2" xfId="36989"/>
    <cellStyle name="輸出 2 3 3" xfId="36988"/>
    <cellStyle name="輸出 2 4" xfId="36990"/>
    <cellStyle name="輸出 2 5" xfId="36981"/>
    <cellStyle name="輸出 3" xfId="10501"/>
    <cellStyle name="輸出 3 2" xfId="16134"/>
    <cellStyle name="輸出 3 2 2" xfId="16135"/>
    <cellStyle name="輸出 3 2 2 2" xfId="18164"/>
    <cellStyle name="輸出 3 2 2 2 2" xfId="36994"/>
    <cellStyle name="輸出 3 2 2 3" xfId="36993"/>
    <cellStyle name="輸出 3 2 3" xfId="16136"/>
    <cellStyle name="輸出 3 2 3 2" xfId="18163"/>
    <cellStyle name="輸出 3 2 3 2 2" xfId="36996"/>
    <cellStyle name="輸出 3 2 3 3" xfId="36995"/>
    <cellStyle name="輸出 3 2 4" xfId="19023"/>
    <cellStyle name="輸出 3 2 4 2" xfId="36997"/>
    <cellStyle name="輸出 3 2 5" xfId="36992"/>
    <cellStyle name="輸出 3 3" xfId="16137"/>
    <cellStyle name="輸出 3 3 2" xfId="21183"/>
    <cellStyle name="輸出 3 3 2 2" xfId="36999"/>
    <cellStyle name="輸出 3 3 3" xfId="36998"/>
    <cellStyle name="輸出 3 4" xfId="37000"/>
    <cellStyle name="輸出 3 5" xfId="36991"/>
    <cellStyle name="輸出 4" xfId="10502"/>
    <cellStyle name="輸出 4 2" xfId="16138"/>
    <cellStyle name="輸出 4 2 2" xfId="16139"/>
    <cellStyle name="輸出 4 2 2 2" xfId="18161"/>
    <cellStyle name="輸出 4 2 2 2 2" xfId="37004"/>
    <cellStyle name="輸出 4 2 2 3" xfId="37003"/>
    <cellStyle name="輸出 4 2 3" xfId="16140"/>
    <cellStyle name="輸出 4 2 3 2" xfId="19022"/>
    <cellStyle name="輸出 4 2 3 2 2" xfId="37006"/>
    <cellStyle name="輸出 4 2 3 3" xfId="37005"/>
    <cellStyle name="輸出 4 2 4" xfId="18162"/>
    <cellStyle name="輸出 4 2 4 2" xfId="37007"/>
    <cellStyle name="輸出 4 2 5" xfId="37002"/>
    <cellStyle name="輸出 4 3" xfId="16141"/>
    <cellStyle name="輸出 4 3 2" xfId="18160"/>
    <cellStyle name="輸出 4 3 2 2" xfId="37009"/>
    <cellStyle name="輸出 4 3 3" xfId="37008"/>
    <cellStyle name="輸出 4 4" xfId="37010"/>
    <cellStyle name="輸出 4 5" xfId="37001"/>
    <cellStyle name="輸出 5" xfId="10503"/>
    <cellStyle name="輸出 5 2" xfId="16142"/>
    <cellStyle name="輸出 5 2 2" xfId="16143"/>
    <cellStyle name="輸出 5 2 2 2" xfId="18158"/>
    <cellStyle name="輸出 5 2 2 2 2" xfId="37014"/>
    <cellStyle name="輸出 5 2 2 3" xfId="37013"/>
    <cellStyle name="輸出 5 2 3" xfId="16144"/>
    <cellStyle name="輸出 5 2 3 2" xfId="18157"/>
    <cellStyle name="輸出 5 2 3 2 2" xfId="37016"/>
    <cellStyle name="輸出 5 2 3 3" xfId="37015"/>
    <cellStyle name="輸出 5 2 4" xfId="18159"/>
    <cellStyle name="輸出 5 2 4 2" xfId="37017"/>
    <cellStyle name="輸出 5 2 5" xfId="37012"/>
    <cellStyle name="輸出 5 3" xfId="16145"/>
    <cellStyle name="輸出 5 3 2" xfId="18156"/>
    <cellStyle name="輸出 5 3 2 2" xfId="37019"/>
    <cellStyle name="輸出 5 3 3" xfId="37018"/>
    <cellStyle name="輸出 5 4" xfId="37020"/>
    <cellStyle name="輸出 5 5" xfId="37011"/>
    <cellStyle name="輸出 6" xfId="16146"/>
    <cellStyle name="輸出 6 2" xfId="16147"/>
    <cellStyle name="輸出 6 2 2" xfId="18155"/>
    <cellStyle name="輸出 6 2 2 2" xfId="37023"/>
    <cellStyle name="輸出 6 2 3" xfId="37022"/>
    <cellStyle name="輸出 6 3" xfId="16148"/>
    <cellStyle name="輸出 6 3 2" xfId="18154"/>
    <cellStyle name="輸出 6 3 2 2" xfId="37025"/>
    <cellStyle name="輸出 6 3 3" xfId="37024"/>
    <cellStyle name="輸出 6 4" xfId="8668"/>
    <cellStyle name="輸出 6 4 2" xfId="37026"/>
    <cellStyle name="輸出 6 5" xfId="37021"/>
    <cellStyle name="輸出 7" xfId="16149"/>
    <cellStyle name="輸出 7 2" xfId="18153"/>
    <cellStyle name="輸出 7 2 2" xfId="37028"/>
    <cellStyle name="輸出 7 3" xfId="37027"/>
    <cellStyle name="輸出 8" xfId="37029"/>
    <cellStyle name="輸出 9" xfId="36980"/>
    <cellStyle name="輸入" xfId="10504"/>
    <cellStyle name="輸入 10" xfId="37030"/>
    <cellStyle name="輸入 11" xfId="46384"/>
    <cellStyle name="輸入 2" xfId="10505"/>
    <cellStyle name="輸入 2 2" xfId="16150"/>
    <cellStyle name="輸入 2 2 2" xfId="16151"/>
    <cellStyle name="輸入 2 2 2 2" xfId="18152"/>
    <cellStyle name="輸入 2 2 2 2 2" xfId="37034"/>
    <cellStyle name="輸入 2 2 2 2 3" xfId="46388"/>
    <cellStyle name="輸入 2 2 2 3" xfId="37033"/>
    <cellStyle name="輸入 2 2 2 4" xfId="46387"/>
    <cellStyle name="輸入 2 2 3" xfId="16152"/>
    <cellStyle name="輸入 2 2 3 2" xfId="19021"/>
    <cellStyle name="輸入 2 2 3 2 2" xfId="37036"/>
    <cellStyle name="輸入 2 2 3 2 3" xfId="46390"/>
    <cellStyle name="輸入 2 2 3 3" xfId="37035"/>
    <cellStyle name="輸入 2 2 3 4" xfId="46389"/>
    <cellStyle name="輸入 2 2 4" xfId="21182"/>
    <cellStyle name="輸入 2 2 4 2" xfId="37037"/>
    <cellStyle name="輸入 2 2 4 3" xfId="46391"/>
    <cellStyle name="輸入 2 2 5" xfId="37032"/>
    <cellStyle name="輸入 2 2 6" xfId="46386"/>
    <cellStyle name="輸入 2 3" xfId="16153"/>
    <cellStyle name="輸入 2 3 2" xfId="19570"/>
    <cellStyle name="輸入 2 3 2 2" xfId="37039"/>
    <cellStyle name="輸入 2 3 2 3" xfId="46393"/>
    <cellStyle name="輸入 2 3 3" xfId="37038"/>
    <cellStyle name="輸入 2 3 4" xfId="46392"/>
    <cellStyle name="輸入 2 4" xfId="16154"/>
    <cellStyle name="輸入 2 4 2" xfId="19569"/>
    <cellStyle name="輸入 2 4 2 2" xfId="37041"/>
    <cellStyle name="輸入 2 4 2 3" xfId="46395"/>
    <cellStyle name="輸入 2 4 3" xfId="37040"/>
    <cellStyle name="輸入 2 4 4" xfId="46394"/>
    <cellStyle name="輸入 2 5" xfId="37042"/>
    <cellStyle name="輸入 2 5 2" xfId="46396"/>
    <cellStyle name="輸入 2 6" xfId="37031"/>
    <cellStyle name="輸入 2 7" xfId="46385"/>
    <cellStyle name="輸入 3" xfId="10506"/>
    <cellStyle name="輸入 3 2" xfId="16155"/>
    <cellStyle name="輸入 3 2 2" xfId="16156"/>
    <cellStyle name="輸入 3 2 2 2" xfId="19567"/>
    <cellStyle name="輸入 3 2 2 2 2" xfId="37046"/>
    <cellStyle name="輸入 3 2 2 2 3" xfId="46400"/>
    <cellStyle name="輸入 3 2 2 3" xfId="37045"/>
    <cellStyle name="輸入 3 2 2 4" xfId="46399"/>
    <cellStyle name="輸入 3 2 3" xfId="16157"/>
    <cellStyle name="輸入 3 2 3 2" xfId="21181"/>
    <cellStyle name="輸入 3 2 3 2 2" xfId="37048"/>
    <cellStyle name="輸入 3 2 3 2 3" xfId="46402"/>
    <cellStyle name="輸入 3 2 3 3" xfId="37047"/>
    <cellStyle name="輸入 3 2 3 4" xfId="46401"/>
    <cellStyle name="輸入 3 2 4" xfId="19568"/>
    <cellStyle name="輸入 3 2 4 2" xfId="37049"/>
    <cellStyle name="輸入 3 2 4 3" xfId="46403"/>
    <cellStyle name="輸入 3 2 5" xfId="37044"/>
    <cellStyle name="輸入 3 2 6" xfId="46398"/>
    <cellStyle name="輸入 3 3" xfId="16158"/>
    <cellStyle name="輸入 3 3 2" xfId="19020"/>
    <cellStyle name="輸入 3 3 2 2" xfId="37051"/>
    <cellStyle name="輸入 3 3 2 3" xfId="46405"/>
    <cellStyle name="輸入 3 3 3" xfId="37050"/>
    <cellStyle name="輸入 3 3 4" xfId="46404"/>
    <cellStyle name="輸入 3 4" xfId="16159"/>
    <cellStyle name="輸入 3 4 2" xfId="20619"/>
    <cellStyle name="輸入 3 4 2 2" xfId="37053"/>
    <cellStyle name="輸入 3 4 2 3" xfId="46407"/>
    <cellStyle name="輸入 3 4 3" xfId="37052"/>
    <cellStyle name="輸入 3 4 4" xfId="46406"/>
    <cellStyle name="輸入 3 5" xfId="37054"/>
    <cellStyle name="輸入 3 5 2" xfId="46408"/>
    <cellStyle name="輸入 3 6" xfId="37043"/>
    <cellStyle name="輸入 3 7" xfId="46397"/>
    <cellStyle name="輸入 4" xfId="10507"/>
    <cellStyle name="輸入 4 2" xfId="16160"/>
    <cellStyle name="輸入 4 2 2" xfId="16161"/>
    <cellStyle name="輸入 4 2 2 2" xfId="19018"/>
    <cellStyle name="輸入 4 2 2 2 2" xfId="37058"/>
    <cellStyle name="輸入 4 2 2 2 3" xfId="46412"/>
    <cellStyle name="輸入 4 2 2 3" xfId="37057"/>
    <cellStyle name="輸入 4 2 2 4" xfId="46411"/>
    <cellStyle name="輸入 4 2 3" xfId="16162"/>
    <cellStyle name="輸入 4 2 3 2" xfId="19017"/>
    <cellStyle name="輸入 4 2 3 2 2" xfId="37060"/>
    <cellStyle name="輸入 4 2 3 2 3" xfId="46414"/>
    <cellStyle name="輸入 4 2 3 3" xfId="37059"/>
    <cellStyle name="輸入 4 2 3 4" xfId="46413"/>
    <cellStyle name="輸入 4 2 4" xfId="19019"/>
    <cellStyle name="輸入 4 2 4 2" xfId="37061"/>
    <cellStyle name="輸入 4 2 4 3" xfId="46415"/>
    <cellStyle name="輸入 4 2 5" xfId="37056"/>
    <cellStyle name="輸入 4 2 6" xfId="46410"/>
    <cellStyle name="輸入 4 3" xfId="16163"/>
    <cellStyle name="輸入 4 3 2" xfId="8671"/>
    <cellStyle name="輸入 4 3 2 2" xfId="37063"/>
    <cellStyle name="輸入 4 3 2 3" xfId="46417"/>
    <cellStyle name="輸入 4 3 3" xfId="37062"/>
    <cellStyle name="輸入 4 3 4" xfId="46416"/>
    <cellStyle name="輸入 4 4" xfId="16164"/>
    <cellStyle name="輸入 4 4 2" xfId="19016"/>
    <cellStyle name="輸入 4 4 2 2" xfId="37065"/>
    <cellStyle name="輸入 4 4 2 3" xfId="46419"/>
    <cellStyle name="輸入 4 4 3" xfId="37064"/>
    <cellStyle name="輸入 4 4 4" xfId="46418"/>
    <cellStyle name="輸入 4 5" xfId="37066"/>
    <cellStyle name="輸入 4 5 2" xfId="46420"/>
    <cellStyle name="輸入 4 6" xfId="37055"/>
    <cellStyle name="輸入 4 7" xfId="46409"/>
    <cellStyle name="輸入 5" xfId="10508"/>
    <cellStyle name="輸入 5 2" xfId="16165"/>
    <cellStyle name="輸入 5 2 2" xfId="16166"/>
    <cellStyle name="輸入 5 2 2 2" xfId="19015"/>
    <cellStyle name="輸入 5 2 2 2 2" xfId="37070"/>
    <cellStyle name="輸入 5 2 2 2 3" xfId="46424"/>
    <cellStyle name="輸入 5 2 2 3" xfId="37069"/>
    <cellStyle name="輸入 5 2 2 4" xfId="46423"/>
    <cellStyle name="輸入 5 2 3" xfId="16167"/>
    <cellStyle name="輸入 5 2 3 2" xfId="19014"/>
    <cellStyle name="輸入 5 2 3 2 2" xfId="37072"/>
    <cellStyle name="輸入 5 2 3 2 3" xfId="46426"/>
    <cellStyle name="輸入 5 2 3 3" xfId="37071"/>
    <cellStyle name="輸入 5 2 3 4" xfId="46425"/>
    <cellStyle name="輸入 5 2 4" xfId="20618"/>
    <cellStyle name="輸入 5 2 4 2" xfId="37073"/>
    <cellStyle name="輸入 5 2 4 3" xfId="46427"/>
    <cellStyle name="輸入 5 2 5" xfId="37068"/>
    <cellStyle name="輸入 5 2 6" xfId="46422"/>
    <cellStyle name="輸入 5 3" xfId="16168"/>
    <cellStyle name="輸入 5 3 2" xfId="19013"/>
    <cellStyle name="輸入 5 3 2 2" xfId="37075"/>
    <cellStyle name="輸入 5 3 2 3" xfId="46429"/>
    <cellStyle name="輸入 5 3 3" xfId="37074"/>
    <cellStyle name="輸入 5 3 4" xfId="46428"/>
    <cellStyle name="輸入 5 4" xfId="16169"/>
    <cellStyle name="輸入 5 4 2" xfId="19012"/>
    <cellStyle name="輸入 5 4 2 2" xfId="37077"/>
    <cellStyle name="輸入 5 4 2 3" xfId="46431"/>
    <cellStyle name="輸入 5 4 3" xfId="37076"/>
    <cellStyle name="輸入 5 4 4" xfId="46430"/>
    <cellStyle name="輸入 5 5" xfId="37078"/>
    <cellStyle name="輸入 5 5 2" xfId="46432"/>
    <cellStyle name="輸入 5 6" xfId="37067"/>
    <cellStyle name="輸入 5 7" xfId="46421"/>
    <cellStyle name="輸入 6" xfId="16170"/>
    <cellStyle name="輸入 6 2" xfId="16171"/>
    <cellStyle name="輸入 6 2 2" xfId="20617"/>
    <cellStyle name="輸入 6 2 2 2" xfId="37081"/>
    <cellStyle name="輸入 6 2 2 3" xfId="46435"/>
    <cellStyle name="輸入 6 2 3" xfId="37080"/>
    <cellStyle name="輸入 6 2 4" xfId="46434"/>
    <cellStyle name="輸入 6 3" xfId="16172"/>
    <cellStyle name="輸入 6 3 2" xfId="19011"/>
    <cellStyle name="輸入 6 3 2 2" xfId="37083"/>
    <cellStyle name="輸入 6 3 2 3" xfId="46437"/>
    <cellStyle name="輸入 6 3 3" xfId="37082"/>
    <cellStyle name="輸入 6 3 4" xfId="46436"/>
    <cellStyle name="輸入 6 4" xfId="8672"/>
    <cellStyle name="輸入 6 4 2" xfId="37084"/>
    <cellStyle name="輸入 6 4 3" xfId="46438"/>
    <cellStyle name="輸入 6 5" xfId="37079"/>
    <cellStyle name="輸入 6 6" xfId="46433"/>
    <cellStyle name="輸入 7" xfId="16173"/>
    <cellStyle name="輸入 7 2" xfId="19010"/>
    <cellStyle name="輸入 7 2 2" xfId="37086"/>
    <cellStyle name="輸入 7 2 3" xfId="46440"/>
    <cellStyle name="輸入 7 3" xfId="37085"/>
    <cellStyle name="輸入 7 4" xfId="46439"/>
    <cellStyle name="輸入 8" xfId="16174"/>
    <cellStyle name="輸入 8 2" xfId="19009"/>
    <cellStyle name="輸入 8 2 2" xfId="37088"/>
    <cellStyle name="輸入 8 2 3" xfId="46442"/>
    <cellStyle name="輸入 8 3" xfId="37087"/>
    <cellStyle name="輸入 8 4" xfId="46441"/>
    <cellStyle name="輸入 9" xfId="37089"/>
    <cellStyle name="輸入 9 2" xfId="46443"/>
    <cellStyle name="说明文本" xfId="5474"/>
    <cellStyle name="说明文本 2" xfId="60740"/>
    <cellStyle name="说明文本 3" xfId="60741"/>
    <cellStyle name="说明文本 4" xfId="60742"/>
    <cellStyle name="说明文本 5" xfId="60743"/>
    <cellStyle name="說明文字" xfId="10510"/>
    <cellStyle name="説明文" xfId="5475"/>
    <cellStyle name="説明文 2" xfId="652"/>
    <cellStyle name="説明文 2 2" xfId="10513"/>
    <cellStyle name="説明文 2 3" xfId="10512"/>
    <cellStyle name="説明文 2 4" xfId="60744"/>
    <cellStyle name="説明文 2 5" xfId="60745"/>
    <cellStyle name="説明文 2 6" xfId="60746"/>
    <cellStyle name="説明文 2 7" xfId="60747"/>
    <cellStyle name="説明文 2 8" xfId="5476"/>
    <cellStyle name="説明文 3" xfId="5477"/>
    <cellStyle name="説明文 3 2" xfId="5478"/>
    <cellStyle name="説明文 3 3" xfId="60748"/>
    <cellStyle name="説明文 3 4" xfId="60749"/>
    <cellStyle name="説明文 3 5" xfId="60750"/>
    <cellStyle name="説明文 3 6" xfId="60751"/>
    <cellStyle name="説明文 3 7" xfId="61092"/>
    <cellStyle name="説明文 4" xfId="5479"/>
    <cellStyle name="説明文 4 2" xfId="5480"/>
    <cellStyle name="説明文 4 3" xfId="60752"/>
    <cellStyle name="説明文 4 4" xfId="60753"/>
    <cellStyle name="説明文 4 5" xfId="60754"/>
    <cellStyle name="説明文 4 6" xfId="61093"/>
    <cellStyle name="説明文 5" xfId="10511"/>
    <cellStyle name="説明文 5 2" xfId="37090"/>
    <cellStyle name="説明文 5 3" xfId="61094"/>
    <cellStyle name="説明文 6" xfId="60755"/>
    <cellStyle name="説明文 7" xfId="60756"/>
    <cellStyle name="説明文 8" xfId="60757"/>
    <cellStyle name="通貨 [0.00] 2" xfId="60758"/>
    <cellStyle name="通貨 2" xfId="10516"/>
    <cellStyle name="通貨 2 2" xfId="60759"/>
    <cellStyle name="通貨 2 3" xfId="60760"/>
    <cellStyle name="通貨 2 4" xfId="61095"/>
    <cellStyle name="通貨 3" xfId="61096"/>
    <cellStyle name="未定義" xfId="5481"/>
    <cellStyle name="未定義 2" xfId="5482"/>
    <cellStyle name="未定義 2 2" xfId="10518"/>
    <cellStyle name="未定義 2 2 2" xfId="37091"/>
    <cellStyle name="未定義 2 3" xfId="60761"/>
    <cellStyle name="未定義 2 4" xfId="60762"/>
    <cellStyle name="未定義 3" xfId="10519"/>
    <cellStyle name="未定義 4" xfId="10520"/>
    <cellStyle name="未定義 5" xfId="10517"/>
    <cellStyle name="未定義 5 2" xfId="37092"/>
    <cellStyle name="未定義 6" xfId="60763"/>
    <cellStyle name="无色" xfId="5483"/>
    <cellStyle name="无色 2" xfId="60764"/>
    <cellStyle name="无色 3" xfId="60765"/>
    <cellStyle name="无色 4" xfId="60766"/>
    <cellStyle name="无色 5" xfId="60767"/>
    <cellStyle name="样式 1" xfId="5484"/>
    <cellStyle name="样式 1 2" xfId="10523"/>
    <cellStyle name="样式 1 2 2" xfId="37093"/>
    <cellStyle name="样式 1 3" xfId="37094"/>
    <cellStyle name="樣式 1" xfId="10524"/>
    <cellStyle name="一般 2" xfId="10525"/>
    <cellStyle name="一般 2 2" xfId="10526"/>
    <cellStyle name="一般 2 2 2" xfId="61098"/>
    <cellStyle name="一般 2 3" xfId="61099"/>
    <cellStyle name="一般 2 4" xfId="61100"/>
    <cellStyle name="一般 2 5" xfId="61097"/>
    <cellStyle name="一般 2 7" xfId="61101"/>
    <cellStyle name="一般 3" xfId="61102"/>
    <cellStyle name="一般 3 2" xfId="61103"/>
    <cellStyle name="一般 4" xfId="61104"/>
    <cellStyle name="一般 4 2" xfId="61105"/>
    <cellStyle name="一般 5" xfId="61106"/>
    <cellStyle name="一般 5 2" xfId="61107"/>
    <cellStyle name="一般 6" xfId="61108"/>
    <cellStyle name="一般 7" xfId="61109"/>
    <cellStyle name="一般 8" xfId="61110"/>
    <cellStyle name="一般 9" xfId="61111"/>
    <cellStyle name="着色 1" xfId="60768"/>
    <cellStyle name="着色 2" xfId="60769"/>
    <cellStyle name="着色 3" xfId="60770"/>
    <cellStyle name="着色 4" xfId="60771"/>
    <cellStyle name="着色 5" xfId="60772"/>
    <cellStyle name="着色 6" xfId="60773"/>
    <cellStyle name="中等" xfId="10527"/>
    <cellStyle name="注释 10" xfId="10528"/>
    <cellStyle name="注释 10 10" xfId="37095"/>
    <cellStyle name="注释 10 2" xfId="10529"/>
    <cellStyle name="注释 10 2 2" xfId="16175"/>
    <cellStyle name="注释 10 2 2 2" xfId="16176"/>
    <cellStyle name="注释 10 2 2 2 2" xfId="19007"/>
    <cellStyle name="注释 10 2 2 2 2 2" xfId="37099"/>
    <cellStyle name="注释 10 2 2 2 3" xfId="22200"/>
    <cellStyle name="注释 10 2 2 2 4" xfId="37098"/>
    <cellStyle name="注释 10 2 2 3" xfId="16177"/>
    <cellStyle name="注释 10 2 2 3 2" xfId="19006"/>
    <cellStyle name="注释 10 2 2 3 2 2" xfId="37101"/>
    <cellStyle name="注释 10 2 2 3 3" xfId="22201"/>
    <cellStyle name="注释 10 2 2 3 4" xfId="37100"/>
    <cellStyle name="注释 10 2 2 4" xfId="19008"/>
    <cellStyle name="注释 10 2 2 4 2" xfId="37102"/>
    <cellStyle name="注释 10 2 2 5" xfId="22199"/>
    <cellStyle name="注释 10 2 2 6" xfId="37097"/>
    <cellStyle name="注释 10 2 3" xfId="16178"/>
    <cellStyle name="注释 10 2 3 2" xfId="19005"/>
    <cellStyle name="注释 10 2 3 2 2" xfId="37104"/>
    <cellStyle name="注释 10 2 3 3" xfId="22202"/>
    <cellStyle name="注释 10 2 3 4" xfId="37103"/>
    <cellStyle name="注释 10 2 4" xfId="16179"/>
    <cellStyle name="注释 10 2 4 2" xfId="19004"/>
    <cellStyle name="注释 10 2 4 2 2" xfId="37106"/>
    <cellStyle name="注释 10 2 4 3" xfId="22203"/>
    <cellStyle name="注释 10 2 4 4" xfId="37105"/>
    <cellStyle name="注释 10 2 5" xfId="21769"/>
    <cellStyle name="注释 10 2 5 2" xfId="37107"/>
    <cellStyle name="注释 10 2 6" xfId="37096"/>
    <cellStyle name="注释 10 3" xfId="10530"/>
    <cellStyle name="注释 10 3 2" xfId="16180"/>
    <cellStyle name="注释 10 3 2 2" xfId="16181"/>
    <cellStyle name="注释 10 3 2 2 2" xfId="19002"/>
    <cellStyle name="注释 10 3 2 2 2 2" xfId="37111"/>
    <cellStyle name="注释 10 3 2 2 3" xfId="22205"/>
    <cellStyle name="注释 10 3 2 2 4" xfId="37110"/>
    <cellStyle name="注释 10 3 2 3" xfId="16182"/>
    <cellStyle name="注释 10 3 2 3 2" xfId="20616"/>
    <cellStyle name="注释 10 3 2 3 2 2" xfId="37113"/>
    <cellStyle name="注释 10 3 2 3 3" xfId="22206"/>
    <cellStyle name="注释 10 3 2 3 4" xfId="37112"/>
    <cellStyle name="注释 10 3 2 4" xfId="19003"/>
    <cellStyle name="注释 10 3 2 4 2" xfId="37114"/>
    <cellStyle name="注释 10 3 2 5" xfId="22204"/>
    <cellStyle name="注释 10 3 2 6" xfId="37109"/>
    <cellStyle name="注释 10 3 3" xfId="16183"/>
    <cellStyle name="注释 10 3 3 2" xfId="20615"/>
    <cellStyle name="注释 10 3 3 2 2" xfId="37116"/>
    <cellStyle name="注释 10 3 3 3" xfId="22207"/>
    <cellStyle name="注释 10 3 3 4" xfId="37115"/>
    <cellStyle name="注释 10 3 4" xfId="16184"/>
    <cellStyle name="注释 10 3 4 2" xfId="8673"/>
    <cellStyle name="注释 10 3 4 2 2" xfId="37118"/>
    <cellStyle name="注释 10 3 4 3" xfId="22208"/>
    <cellStyle name="注释 10 3 4 4" xfId="37117"/>
    <cellStyle name="注释 10 3 5" xfId="21770"/>
    <cellStyle name="注释 10 3 5 2" xfId="37119"/>
    <cellStyle name="注释 10 3 6" xfId="37108"/>
    <cellStyle name="注释 10 4" xfId="10531"/>
    <cellStyle name="注释 10 4 2" xfId="16185"/>
    <cellStyle name="注释 10 4 2 2" xfId="16186"/>
    <cellStyle name="注释 10 4 2 2 2" xfId="19000"/>
    <cellStyle name="注释 10 4 2 2 2 2" xfId="37123"/>
    <cellStyle name="注释 10 4 2 2 3" xfId="22210"/>
    <cellStyle name="注释 10 4 2 2 4" xfId="37122"/>
    <cellStyle name="注释 10 4 2 3" xfId="16187"/>
    <cellStyle name="注释 10 4 2 3 2" xfId="18999"/>
    <cellStyle name="注释 10 4 2 3 2 2" xfId="37125"/>
    <cellStyle name="注释 10 4 2 3 3" xfId="22211"/>
    <cellStyle name="注释 10 4 2 3 4" xfId="37124"/>
    <cellStyle name="注释 10 4 2 4" xfId="19001"/>
    <cellStyle name="注释 10 4 2 4 2" xfId="37126"/>
    <cellStyle name="注释 10 4 2 5" xfId="22209"/>
    <cellStyle name="注释 10 4 2 6" xfId="37121"/>
    <cellStyle name="注释 10 4 3" xfId="16188"/>
    <cellStyle name="注释 10 4 3 2" xfId="18998"/>
    <cellStyle name="注释 10 4 3 2 2" xfId="37128"/>
    <cellStyle name="注释 10 4 3 3" xfId="22212"/>
    <cellStyle name="注释 10 4 3 4" xfId="37127"/>
    <cellStyle name="注释 10 4 4" xfId="16189"/>
    <cellStyle name="注释 10 4 4 2" xfId="20614"/>
    <cellStyle name="注释 10 4 4 2 2" xfId="37130"/>
    <cellStyle name="注释 10 4 4 3" xfId="22213"/>
    <cellStyle name="注释 10 4 4 4" xfId="37129"/>
    <cellStyle name="注释 10 4 5" xfId="21126"/>
    <cellStyle name="注释 10 4 5 2" xfId="37131"/>
    <cellStyle name="注释 10 4 6" xfId="37120"/>
    <cellStyle name="注释 10 5" xfId="10532"/>
    <cellStyle name="注释 10 5 2" xfId="16190"/>
    <cellStyle name="注释 10 5 2 2" xfId="16191"/>
    <cellStyle name="注释 10 5 2 2 2" xfId="8674"/>
    <cellStyle name="注释 10 5 2 2 2 2" xfId="37135"/>
    <cellStyle name="注释 10 5 2 2 3" xfId="22215"/>
    <cellStyle name="注释 10 5 2 2 4" xfId="37134"/>
    <cellStyle name="注释 10 5 2 3" xfId="16192"/>
    <cellStyle name="注释 10 5 2 3 2" xfId="18996"/>
    <cellStyle name="注释 10 5 2 3 2 2" xfId="37137"/>
    <cellStyle name="注释 10 5 2 3 3" xfId="22216"/>
    <cellStyle name="注释 10 5 2 3 4" xfId="37136"/>
    <cellStyle name="注释 10 5 2 4" xfId="18997"/>
    <cellStyle name="注释 10 5 2 4 2" xfId="37138"/>
    <cellStyle name="注释 10 5 2 5" xfId="22214"/>
    <cellStyle name="注释 10 5 2 6" xfId="37133"/>
    <cellStyle name="注释 10 5 3" xfId="16193"/>
    <cellStyle name="注释 10 5 3 2" xfId="18995"/>
    <cellStyle name="注释 10 5 3 2 2" xfId="37140"/>
    <cellStyle name="注释 10 5 3 3" xfId="22217"/>
    <cellStyle name="注释 10 5 3 4" xfId="37139"/>
    <cellStyle name="注释 10 5 4" xfId="16194"/>
    <cellStyle name="注释 10 5 4 2" xfId="18994"/>
    <cellStyle name="注释 10 5 4 2 2" xfId="37142"/>
    <cellStyle name="注释 10 5 4 3" xfId="22218"/>
    <cellStyle name="注释 10 5 4 4" xfId="37141"/>
    <cellStyle name="注释 10 5 5" xfId="21771"/>
    <cellStyle name="注释 10 5 5 2" xfId="37143"/>
    <cellStyle name="注释 10 5 6" xfId="37132"/>
    <cellStyle name="注释 10 6" xfId="16195"/>
    <cellStyle name="注释 10 6 2" xfId="16196"/>
    <cellStyle name="注释 10 6 2 2" xfId="18993"/>
    <cellStyle name="注释 10 6 2 2 2" xfId="37146"/>
    <cellStyle name="注释 10 6 2 3" xfId="22220"/>
    <cellStyle name="注释 10 6 2 4" xfId="37145"/>
    <cellStyle name="注释 10 6 3" xfId="16197"/>
    <cellStyle name="注释 10 6 3 2" xfId="18992"/>
    <cellStyle name="注释 10 6 3 2 2" xfId="37148"/>
    <cellStyle name="注释 10 6 3 3" xfId="22221"/>
    <cellStyle name="注释 10 6 3 4" xfId="37147"/>
    <cellStyle name="注释 10 6 4" xfId="20613"/>
    <cellStyle name="注释 10 6 4 2" xfId="37149"/>
    <cellStyle name="注释 10 6 5" xfId="22219"/>
    <cellStyle name="注释 10 6 6" xfId="37144"/>
    <cellStyle name="注释 10 7" xfId="16198"/>
    <cellStyle name="注释 10 7 2" xfId="8675"/>
    <cellStyle name="注释 10 7 2 2" xfId="37151"/>
    <cellStyle name="注释 10 7 3" xfId="22222"/>
    <cellStyle name="注释 10 7 4" xfId="37150"/>
    <cellStyle name="注释 10 8" xfId="16199"/>
    <cellStyle name="注释 10 8 2" xfId="18991"/>
    <cellStyle name="注释 10 8 2 2" xfId="37153"/>
    <cellStyle name="注释 10 8 3" xfId="22223"/>
    <cellStyle name="注释 10 8 4" xfId="37152"/>
    <cellStyle name="注释 10 9" xfId="18835"/>
    <cellStyle name="注释 10 9 2" xfId="37154"/>
    <cellStyle name="注释 11" xfId="10533"/>
    <cellStyle name="注释 11 10" xfId="37155"/>
    <cellStyle name="注释 11 2" xfId="10534"/>
    <cellStyle name="注释 11 2 2" xfId="16200"/>
    <cellStyle name="注释 11 2 2 2" xfId="16201"/>
    <cellStyle name="注释 11 2 2 2 2" xfId="20612"/>
    <cellStyle name="注释 11 2 2 2 2 2" xfId="37159"/>
    <cellStyle name="注释 11 2 2 2 3" xfId="22225"/>
    <cellStyle name="注释 11 2 2 2 4" xfId="37158"/>
    <cellStyle name="注释 11 2 2 3" xfId="16202"/>
    <cellStyle name="注释 11 2 2 3 2" xfId="18989"/>
    <cellStyle name="注释 11 2 2 3 2 2" xfId="37161"/>
    <cellStyle name="注释 11 2 2 3 3" xfId="22226"/>
    <cellStyle name="注释 11 2 2 3 4" xfId="37160"/>
    <cellStyle name="注释 11 2 2 4" xfId="18990"/>
    <cellStyle name="注释 11 2 2 4 2" xfId="37162"/>
    <cellStyle name="注释 11 2 2 5" xfId="22224"/>
    <cellStyle name="注释 11 2 2 6" xfId="37157"/>
    <cellStyle name="注释 11 2 3" xfId="16203"/>
    <cellStyle name="注释 11 2 3 2" xfId="18988"/>
    <cellStyle name="注释 11 2 3 2 2" xfId="37164"/>
    <cellStyle name="注释 11 2 3 3" xfId="22227"/>
    <cellStyle name="注释 11 2 3 4" xfId="37163"/>
    <cellStyle name="注释 11 2 4" xfId="16204"/>
    <cellStyle name="注释 11 2 4 2" xfId="18987"/>
    <cellStyle name="注释 11 2 4 2 2" xfId="37166"/>
    <cellStyle name="注释 11 2 4 3" xfId="22228"/>
    <cellStyle name="注释 11 2 4 4" xfId="37165"/>
    <cellStyle name="注释 11 2 5" xfId="21773"/>
    <cellStyle name="注释 11 2 5 2" xfId="37167"/>
    <cellStyle name="注释 11 2 6" xfId="37156"/>
    <cellStyle name="注释 11 3" xfId="10535"/>
    <cellStyle name="注释 11 3 2" xfId="16205"/>
    <cellStyle name="注释 11 3 2 2" xfId="16206"/>
    <cellStyle name="注释 11 3 2 2 2" xfId="8677"/>
    <cellStyle name="注释 11 3 2 2 2 2" xfId="37171"/>
    <cellStyle name="注释 11 3 2 2 3" xfId="22230"/>
    <cellStyle name="注释 11 3 2 2 4" xfId="37170"/>
    <cellStyle name="注释 11 3 2 3" xfId="16207"/>
    <cellStyle name="注释 11 3 2 3 2" xfId="18986"/>
    <cellStyle name="注释 11 3 2 3 2 2" xfId="37173"/>
    <cellStyle name="注释 11 3 2 3 3" xfId="22231"/>
    <cellStyle name="注释 11 3 2 3 4" xfId="37172"/>
    <cellStyle name="注释 11 3 2 4" xfId="8676"/>
    <cellStyle name="注释 11 3 2 4 2" xfId="37174"/>
    <cellStyle name="注释 11 3 2 5" xfId="22229"/>
    <cellStyle name="注释 11 3 2 6" xfId="37169"/>
    <cellStyle name="注释 11 3 3" xfId="16208"/>
    <cellStyle name="注释 11 3 3 2" xfId="18985"/>
    <cellStyle name="注释 11 3 3 2 2" xfId="37176"/>
    <cellStyle name="注释 11 3 3 3" xfId="22232"/>
    <cellStyle name="注释 11 3 3 4" xfId="37175"/>
    <cellStyle name="注释 11 3 4" xfId="16209"/>
    <cellStyle name="注释 11 3 4 2" xfId="18984"/>
    <cellStyle name="注释 11 3 4 2 2" xfId="37178"/>
    <cellStyle name="注释 11 3 4 3" xfId="22233"/>
    <cellStyle name="注释 11 3 4 4" xfId="37177"/>
    <cellStyle name="注释 11 3 5" xfId="21774"/>
    <cellStyle name="注释 11 3 5 2" xfId="37179"/>
    <cellStyle name="注释 11 3 6" xfId="37168"/>
    <cellStyle name="注释 11 4" xfId="10536"/>
    <cellStyle name="注释 11 4 2" xfId="16210"/>
    <cellStyle name="注释 11 4 2 2" xfId="16211"/>
    <cellStyle name="注释 11 4 2 2 2" xfId="18982"/>
    <cellStyle name="注释 11 4 2 2 2 2" xfId="37183"/>
    <cellStyle name="注释 11 4 2 2 3" xfId="22235"/>
    <cellStyle name="注释 11 4 2 2 4" xfId="37182"/>
    <cellStyle name="注释 11 4 2 3" xfId="16212"/>
    <cellStyle name="注释 11 4 2 3 2" xfId="18536"/>
    <cellStyle name="注释 11 4 2 3 2 2" xfId="37185"/>
    <cellStyle name="注释 11 4 2 3 3" xfId="22236"/>
    <cellStyle name="注释 11 4 2 3 4" xfId="37184"/>
    <cellStyle name="注释 11 4 2 4" xfId="18983"/>
    <cellStyle name="注释 11 4 2 4 2" xfId="37186"/>
    <cellStyle name="注释 11 4 2 5" xfId="22234"/>
    <cellStyle name="注释 11 4 2 6" xfId="37181"/>
    <cellStyle name="注释 11 4 3" xfId="16213"/>
    <cellStyle name="注释 11 4 3 2" xfId="20611"/>
    <cellStyle name="注释 11 4 3 2 2" xfId="37188"/>
    <cellStyle name="注释 11 4 3 3" xfId="22237"/>
    <cellStyle name="注释 11 4 3 4" xfId="37187"/>
    <cellStyle name="注释 11 4 4" xfId="16214"/>
    <cellStyle name="注释 11 4 4 2" xfId="18981"/>
    <cellStyle name="注释 11 4 4 2 2" xfId="37190"/>
    <cellStyle name="注释 11 4 4 3" xfId="22238"/>
    <cellStyle name="注释 11 4 4 4" xfId="37189"/>
    <cellStyle name="注释 11 4 5" xfId="21775"/>
    <cellStyle name="注释 11 4 5 2" xfId="37191"/>
    <cellStyle name="注释 11 4 6" xfId="37180"/>
    <cellStyle name="注释 11 5" xfId="10537"/>
    <cellStyle name="注释 11 5 2" xfId="16215"/>
    <cellStyle name="注释 11 5 2 2" xfId="16216"/>
    <cellStyle name="注释 11 5 2 2 2" xfId="18979"/>
    <cellStyle name="注释 11 5 2 2 2 2" xfId="37195"/>
    <cellStyle name="注释 11 5 2 2 3" xfId="22240"/>
    <cellStyle name="注释 11 5 2 2 4" xfId="37194"/>
    <cellStyle name="注释 11 5 2 3" xfId="16217"/>
    <cellStyle name="注释 11 5 2 3 2" xfId="18978"/>
    <cellStyle name="注释 11 5 2 3 2 2" xfId="37197"/>
    <cellStyle name="注释 11 5 2 3 3" xfId="22241"/>
    <cellStyle name="注释 11 5 2 3 4" xfId="37196"/>
    <cellStyle name="注释 11 5 2 4" xfId="18980"/>
    <cellStyle name="注释 11 5 2 4 2" xfId="37198"/>
    <cellStyle name="注释 11 5 2 5" xfId="22239"/>
    <cellStyle name="注释 11 5 2 6" xfId="37193"/>
    <cellStyle name="注释 11 5 3" xfId="16218"/>
    <cellStyle name="注释 11 5 3 2" xfId="18977"/>
    <cellStyle name="注释 11 5 3 2 2" xfId="37200"/>
    <cellStyle name="注释 11 5 3 3" xfId="22242"/>
    <cellStyle name="注释 11 5 3 4" xfId="37199"/>
    <cellStyle name="注释 11 5 4" xfId="16219"/>
    <cellStyle name="注释 11 5 4 2" xfId="20610"/>
    <cellStyle name="注释 11 5 4 2 2" xfId="37202"/>
    <cellStyle name="注释 11 5 4 3" xfId="22243"/>
    <cellStyle name="注释 11 5 4 4" xfId="37201"/>
    <cellStyle name="注释 11 5 5" xfId="21776"/>
    <cellStyle name="注释 11 5 5 2" xfId="37203"/>
    <cellStyle name="注释 11 5 6" xfId="37192"/>
    <cellStyle name="注释 11 6" xfId="16220"/>
    <cellStyle name="注释 11 6 2" xfId="16221"/>
    <cellStyle name="注释 11 6 2 2" xfId="18976"/>
    <cellStyle name="注释 11 6 2 2 2" xfId="37206"/>
    <cellStyle name="注释 11 6 2 3" xfId="22245"/>
    <cellStyle name="注释 11 6 2 4" xfId="37205"/>
    <cellStyle name="注释 11 6 3" xfId="16222"/>
    <cellStyle name="注释 11 6 3 2" xfId="18975"/>
    <cellStyle name="注释 11 6 3 2 2" xfId="37208"/>
    <cellStyle name="注释 11 6 3 3" xfId="22246"/>
    <cellStyle name="注释 11 6 3 4" xfId="37207"/>
    <cellStyle name="注释 11 6 4" xfId="8678"/>
    <cellStyle name="注释 11 6 4 2" xfId="37209"/>
    <cellStyle name="注释 11 6 5" xfId="22244"/>
    <cellStyle name="注释 11 6 6" xfId="37204"/>
    <cellStyle name="注释 11 7" xfId="16223"/>
    <cellStyle name="注释 11 7 2" xfId="18974"/>
    <cellStyle name="注释 11 7 2 2" xfId="37211"/>
    <cellStyle name="注释 11 7 3" xfId="22247"/>
    <cellStyle name="注释 11 7 4" xfId="37210"/>
    <cellStyle name="注释 11 8" xfId="16224"/>
    <cellStyle name="注释 11 8 2" xfId="18973"/>
    <cellStyle name="注释 11 8 2 2" xfId="37213"/>
    <cellStyle name="注释 11 8 3" xfId="22248"/>
    <cellStyle name="注释 11 8 4" xfId="37212"/>
    <cellStyle name="注释 11 9" xfId="21772"/>
    <cellStyle name="注释 11 9 2" xfId="37214"/>
    <cellStyle name="注释 12" xfId="37215"/>
    <cellStyle name="注释 2" xfId="655"/>
    <cellStyle name="注释 2 10" xfId="10539"/>
    <cellStyle name="注释 2 10 10" xfId="37217"/>
    <cellStyle name="注释 2 10 2" xfId="10540"/>
    <cellStyle name="注释 2 10 2 2" xfId="16225"/>
    <cellStyle name="注释 2 10 2 2 2" xfId="16226"/>
    <cellStyle name="注释 2 10 2 2 2 2" xfId="18972"/>
    <cellStyle name="注释 2 10 2 2 2 2 2" xfId="37221"/>
    <cellStyle name="注释 2 10 2 2 2 3" xfId="22250"/>
    <cellStyle name="注释 2 10 2 2 2 4" xfId="37220"/>
    <cellStyle name="注释 2 10 2 2 3" xfId="16227"/>
    <cellStyle name="注释 2 10 2 2 3 2" xfId="8679"/>
    <cellStyle name="注释 2 10 2 2 3 2 2" xfId="37223"/>
    <cellStyle name="注释 2 10 2 2 3 3" xfId="22251"/>
    <cellStyle name="注释 2 10 2 2 3 4" xfId="37222"/>
    <cellStyle name="注释 2 10 2 2 4" xfId="20609"/>
    <cellStyle name="注释 2 10 2 2 4 2" xfId="37224"/>
    <cellStyle name="注释 2 10 2 2 5" xfId="22249"/>
    <cellStyle name="注释 2 10 2 2 6" xfId="37219"/>
    <cellStyle name="注释 2 10 2 3" xfId="16228"/>
    <cellStyle name="注释 2 10 2 3 2" xfId="18971"/>
    <cellStyle name="注释 2 10 2 3 2 2" xfId="37226"/>
    <cellStyle name="注释 2 10 2 3 3" xfId="22252"/>
    <cellStyle name="注释 2 10 2 3 4" xfId="37225"/>
    <cellStyle name="注释 2 10 2 4" xfId="16229"/>
    <cellStyle name="注释 2 10 2 4 2" xfId="18970"/>
    <cellStyle name="注释 2 10 2 4 2 2" xfId="37228"/>
    <cellStyle name="注释 2 10 2 4 3" xfId="22253"/>
    <cellStyle name="注释 2 10 2 4 4" xfId="37227"/>
    <cellStyle name="注释 2 10 2 5" xfId="18836"/>
    <cellStyle name="注释 2 10 2 5 2" xfId="37229"/>
    <cellStyle name="注释 2 10 2 6" xfId="37218"/>
    <cellStyle name="注释 2 10 3" xfId="10541"/>
    <cellStyle name="注释 2 10 3 2" xfId="16230"/>
    <cellStyle name="注释 2 10 3 2 2" xfId="16231"/>
    <cellStyle name="注释 2 10 3 2 2 2" xfId="20608"/>
    <cellStyle name="注释 2 10 3 2 2 2 2" xfId="37233"/>
    <cellStyle name="注释 2 10 3 2 2 3" xfId="22255"/>
    <cellStyle name="注释 2 10 3 2 2 4" xfId="37232"/>
    <cellStyle name="注释 2 10 3 2 3" xfId="16232"/>
    <cellStyle name="注释 2 10 3 2 3 2" xfId="18968"/>
    <cellStyle name="注释 2 10 3 2 3 2 2" xfId="37235"/>
    <cellStyle name="注释 2 10 3 2 3 3" xfId="22256"/>
    <cellStyle name="注释 2 10 3 2 3 4" xfId="37234"/>
    <cellStyle name="注释 2 10 3 2 4" xfId="18969"/>
    <cellStyle name="注释 2 10 3 2 4 2" xfId="37236"/>
    <cellStyle name="注释 2 10 3 2 5" xfId="22254"/>
    <cellStyle name="注释 2 10 3 2 6" xfId="37231"/>
    <cellStyle name="注释 2 10 3 3" xfId="16233"/>
    <cellStyle name="注释 2 10 3 3 2" xfId="18967"/>
    <cellStyle name="注释 2 10 3 3 2 2" xfId="37238"/>
    <cellStyle name="注释 2 10 3 3 3" xfId="22257"/>
    <cellStyle name="注释 2 10 3 3 4" xfId="37237"/>
    <cellStyle name="注释 2 10 3 4" xfId="16234"/>
    <cellStyle name="注释 2 10 3 4 2" xfId="8680"/>
    <cellStyle name="注释 2 10 3 4 2 2" xfId="37240"/>
    <cellStyle name="注释 2 10 3 4 3" xfId="22258"/>
    <cellStyle name="注释 2 10 3 4 4" xfId="37239"/>
    <cellStyle name="注释 2 10 3 5" xfId="18837"/>
    <cellStyle name="注释 2 10 3 5 2" xfId="37241"/>
    <cellStyle name="注释 2 10 3 6" xfId="37230"/>
    <cellStyle name="注释 2 10 4" xfId="10542"/>
    <cellStyle name="注释 2 10 4 2" xfId="16235"/>
    <cellStyle name="注释 2 10 4 2 2" xfId="16236"/>
    <cellStyle name="注释 2 10 4 2 2 2" xfId="18965"/>
    <cellStyle name="注释 2 10 4 2 2 2 2" xfId="37245"/>
    <cellStyle name="注释 2 10 4 2 2 3" xfId="22260"/>
    <cellStyle name="注释 2 10 4 2 2 4" xfId="37244"/>
    <cellStyle name="注释 2 10 4 2 3" xfId="16237"/>
    <cellStyle name="注释 2 10 4 2 3 2" xfId="18964"/>
    <cellStyle name="注释 2 10 4 2 3 2 2" xfId="37247"/>
    <cellStyle name="注释 2 10 4 2 3 3" xfId="22261"/>
    <cellStyle name="注释 2 10 4 2 3 4" xfId="37246"/>
    <cellStyle name="注释 2 10 4 2 4" xfId="18966"/>
    <cellStyle name="注释 2 10 4 2 4 2" xfId="37248"/>
    <cellStyle name="注释 2 10 4 2 5" xfId="22259"/>
    <cellStyle name="注释 2 10 4 2 6" xfId="37243"/>
    <cellStyle name="注释 2 10 4 3" xfId="16238"/>
    <cellStyle name="注释 2 10 4 3 2" xfId="18963"/>
    <cellStyle name="注释 2 10 4 3 2 2" xfId="37250"/>
    <cellStyle name="注释 2 10 4 3 3" xfId="22262"/>
    <cellStyle name="注释 2 10 4 3 4" xfId="37249"/>
    <cellStyle name="注释 2 10 4 4" xfId="16239"/>
    <cellStyle name="注释 2 10 4 4 2" xfId="18962"/>
    <cellStyle name="注释 2 10 4 4 2 2" xfId="37252"/>
    <cellStyle name="注释 2 10 4 4 3" xfId="22263"/>
    <cellStyle name="注释 2 10 4 4 4" xfId="37251"/>
    <cellStyle name="注释 2 10 4 5" xfId="21127"/>
    <cellStyle name="注释 2 10 4 5 2" xfId="37253"/>
    <cellStyle name="注释 2 10 4 6" xfId="37242"/>
    <cellStyle name="注释 2 10 5" xfId="10543"/>
    <cellStyle name="注释 2 10 5 2" xfId="16240"/>
    <cellStyle name="注释 2 10 5 2 2" xfId="16241"/>
    <cellStyle name="注释 2 10 5 2 2 2" xfId="8682"/>
    <cellStyle name="注释 2 10 5 2 2 2 2" xfId="37257"/>
    <cellStyle name="注释 2 10 5 2 2 3" xfId="22265"/>
    <cellStyle name="注释 2 10 5 2 2 4" xfId="37256"/>
    <cellStyle name="注释 2 10 5 2 3" xfId="16242"/>
    <cellStyle name="注释 2 10 5 2 3 2" xfId="20607"/>
    <cellStyle name="注释 2 10 5 2 3 2 2" xfId="37259"/>
    <cellStyle name="注释 2 10 5 2 3 3" xfId="22266"/>
    <cellStyle name="注释 2 10 5 2 3 4" xfId="37258"/>
    <cellStyle name="注释 2 10 5 2 4" xfId="8681"/>
    <cellStyle name="注释 2 10 5 2 4 2" xfId="37260"/>
    <cellStyle name="注释 2 10 5 2 5" xfId="22264"/>
    <cellStyle name="注释 2 10 5 2 6" xfId="37255"/>
    <cellStyle name="注释 2 10 5 3" xfId="16243"/>
    <cellStyle name="注释 2 10 5 3 2" xfId="18535"/>
    <cellStyle name="注释 2 10 5 3 2 2" xfId="37262"/>
    <cellStyle name="注释 2 10 5 3 3" xfId="22267"/>
    <cellStyle name="注释 2 10 5 3 4" xfId="37261"/>
    <cellStyle name="注释 2 10 5 4" xfId="16244"/>
    <cellStyle name="注释 2 10 5 4 2" xfId="18961"/>
    <cellStyle name="注释 2 10 5 4 2 2" xfId="37264"/>
    <cellStyle name="注释 2 10 5 4 3" xfId="22268"/>
    <cellStyle name="注释 2 10 5 4 4" xfId="37263"/>
    <cellStyle name="注释 2 10 5 5" xfId="17837"/>
    <cellStyle name="注释 2 10 5 5 2" xfId="37265"/>
    <cellStyle name="注释 2 10 5 6" xfId="37254"/>
    <cellStyle name="注释 2 10 6" xfId="16245"/>
    <cellStyle name="注释 2 10 6 2" xfId="16246"/>
    <cellStyle name="注释 2 10 6 2 2" xfId="8684"/>
    <cellStyle name="注释 2 10 6 2 2 2" xfId="37268"/>
    <cellStyle name="注释 2 10 6 2 3" xfId="22270"/>
    <cellStyle name="注释 2 10 6 2 4" xfId="37267"/>
    <cellStyle name="注释 2 10 6 3" xfId="16247"/>
    <cellStyle name="注释 2 10 6 3 2" xfId="8687"/>
    <cellStyle name="注释 2 10 6 3 2 2" xfId="37270"/>
    <cellStyle name="注释 2 10 6 3 3" xfId="22271"/>
    <cellStyle name="注释 2 10 6 3 4" xfId="37269"/>
    <cellStyle name="注释 2 10 6 4" xfId="8683"/>
    <cellStyle name="注释 2 10 6 4 2" xfId="37271"/>
    <cellStyle name="注释 2 10 6 5" xfId="22269"/>
    <cellStyle name="注释 2 10 6 6" xfId="37266"/>
    <cellStyle name="注释 2 10 7" xfId="16248"/>
    <cellStyle name="注释 2 10 7 2" xfId="8688"/>
    <cellStyle name="注释 2 10 7 2 2" xfId="37273"/>
    <cellStyle name="注释 2 10 7 3" xfId="22272"/>
    <cellStyle name="注释 2 10 7 4" xfId="37272"/>
    <cellStyle name="注释 2 10 8" xfId="16249"/>
    <cellStyle name="注释 2 10 8 2" xfId="20606"/>
    <cellStyle name="注释 2 10 8 2 2" xfId="37275"/>
    <cellStyle name="注释 2 10 8 3" xfId="22273"/>
    <cellStyle name="注释 2 10 8 4" xfId="37274"/>
    <cellStyle name="注释 2 10 9" xfId="21778"/>
    <cellStyle name="注释 2 10 9 2" xfId="37276"/>
    <cellStyle name="注释 2 11" xfId="10544"/>
    <cellStyle name="注释 2 11 10" xfId="37277"/>
    <cellStyle name="注释 2 11 2" xfId="10545"/>
    <cellStyle name="注释 2 11 2 2" xfId="16250"/>
    <cellStyle name="注释 2 11 2 2 2" xfId="16251"/>
    <cellStyle name="注释 2 11 2 2 2 2" xfId="8695"/>
    <cellStyle name="注释 2 11 2 2 2 2 2" xfId="37281"/>
    <cellStyle name="注释 2 11 2 2 2 3" xfId="22275"/>
    <cellStyle name="注释 2 11 2 2 2 4" xfId="37280"/>
    <cellStyle name="注释 2 11 2 2 3" xfId="16252"/>
    <cellStyle name="注释 2 11 2 2 3 2" xfId="8696"/>
    <cellStyle name="注释 2 11 2 2 3 2 2" xfId="37283"/>
    <cellStyle name="注释 2 11 2 2 3 3" xfId="22276"/>
    <cellStyle name="注释 2 11 2 2 3 4" xfId="37282"/>
    <cellStyle name="注释 2 11 2 2 4" xfId="8689"/>
    <cellStyle name="注释 2 11 2 2 4 2" xfId="37284"/>
    <cellStyle name="注释 2 11 2 2 5" xfId="22274"/>
    <cellStyle name="注释 2 11 2 2 6" xfId="37279"/>
    <cellStyle name="注释 2 11 2 3" xfId="16253"/>
    <cellStyle name="注释 2 11 2 3 2" xfId="8697"/>
    <cellStyle name="注释 2 11 2 3 2 2" xfId="37286"/>
    <cellStyle name="注释 2 11 2 3 3" xfId="22277"/>
    <cellStyle name="注释 2 11 2 3 4" xfId="37285"/>
    <cellStyle name="注释 2 11 2 4" xfId="16254"/>
    <cellStyle name="注释 2 11 2 4 2" xfId="8698"/>
    <cellStyle name="注释 2 11 2 4 2 2" xfId="37288"/>
    <cellStyle name="注释 2 11 2 4 3" xfId="22278"/>
    <cellStyle name="注释 2 11 2 4 4" xfId="37287"/>
    <cellStyle name="注释 2 11 2 5" xfId="18838"/>
    <cellStyle name="注释 2 11 2 5 2" xfId="37289"/>
    <cellStyle name="注释 2 11 2 6" xfId="37278"/>
    <cellStyle name="注释 2 11 3" xfId="10546"/>
    <cellStyle name="注释 2 11 3 2" xfId="16255"/>
    <cellStyle name="注释 2 11 3 2 2" xfId="16256"/>
    <cellStyle name="注释 2 11 3 2 2 2" xfId="8699"/>
    <cellStyle name="注释 2 11 3 2 2 2 2" xfId="37293"/>
    <cellStyle name="注释 2 11 3 2 2 3" xfId="22280"/>
    <cellStyle name="注释 2 11 3 2 2 4" xfId="37292"/>
    <cellStyle name="注释 2 11 3 2 3" xfId="16257"/>
    <cellStyle name="注释 2 11 3 2 3 2" xfId="8700"/>
    <cellStyle name="注释 2 11 3 2 3 2 2" xfId="37295"/>
    <cellStyle name="注释 2 11 3 2 3 3" xfId="22281"/>
    <cellStyle name="注释 2 11 3 2 3 4" xfId="37294"/>
    <cellStyle name="注释 2 11 3 2 4" xfId="20605"/>
    <cellStyle name="注释 2 11 3 2 4 2" xfId="37296"/>
    <cellStyle name="注释 2 11 3 2 5" xfId="22279"/>
    <cellStyle name="注释 2 11 3 2 6" xfId="37291"/>
    <cellStyle name="注释 2 11 3 3" xfId="16258"/>
    <cellStyle name="注释 2 11 3 3 2" xfId="8701"/>
    <cellStyle name="注释 2 11 3 3 2 2" xfId="37298"/>
    <cellStyle name="注释 2 11 3 3 3" xfId="22282"/>
    <cellStyle name="注释 2 11 3 3 4" xfId="37297"/>
    <cellStyle name="注释 2 11 3 4" xfId="16259"/>
    <cellStyle name="注释 2 11 3 4 2" xfId="8702"/>
    <cellStyle name="注释 2 11 3 4 2 2" xfId="37300"/>
    <cellStyle name="注释 2 11 3 4 3" xfId="22283"/>
    <cellStyle name="注释 2 11 3 4 4" xfId="37299"/>
    <cellStyle name="注释 2 11 3 5" xfId="18839"/>
    <cellStyle name="注释 2 11 3 5 2" xfId="37301"/>
    <cellStyle name="注释 2 11 3 6" xfId="37290"/>
    <cellStyle name="注释 2 11 4" xfId="10547"/>
    <cellStyle name="注释 2 11 4 2" xfId="16260"/>
    <cellStyle name="注释 2 11 4 2 2" xfId="16261"/>
    <cellStyle name="注释 2 11 4 2 2 2" xfId="20604"/>
    <cellStyle name="注释 2 11 4 2 2 2 2" xfId="37305"/>
    <cellStyle name="注释 2 11 4 2 2 3" xfId="22285"/>
    <cellStyle name="注释 2 11 4 2 2 4" xfId="37304"/>
    <cellStyle name="注释 2 11 4 2 3" xfId="16262"/>
    <cellStyle name="注释 2 11 4 2 3 2" xfId="18959"/>
    <cellStyle name="注释 2 11 4 2 3 2 2" xfId="37307"/>
    <cellStyle name="注释 2 11 4 2 3 3" xfId="22286"/>
    <cellStyle name="注释 2 11 4 2 3 4" xfId="37306"/>
    <cellStyle name="注释 2 11 4 2 4" xfId="18960"/>
    <cellStyle name="注释 2 11 4 2 4 2" xfId="37308"/>
    <cellStyle name="注释 2 11 4 2 5" xfId="22284"/>
    <cellStyle name="注释 2 11 4 2 6" xfId="37303"/>
    <cellStyle name="注释 2 11 4 3" xfId="16263"/>
    <cellStyle name="注释 2 11 4 3 2" xfId="18958"/>
    <cellStyle name="注释 2 11 4 3 2 2" xfId="37310"/>
    <cellStyle name="注释 2 11 4 3 3" xfId="22287"/>
    <cellStyle name="注释 2 11 4 3 4" xfId="37309"/>
    <cellStyle name="注释 2 11 4 4" xfId="16264"/>
    <cellStyle name="注释 2 11 4 4 2" xfId="18957"/>
    <cellStyle name="注释 2 11 4 4 2 2" xfId="37312"/>
    <cellStyle name="注释 2 11 4 4 3" xfId="22288"/>
    <cellStyle name="注释 2 11 4 4 4" xfId="37311"/>
    <cellStyle name="注释 2 11 4 5" xfId="21780"/>
    <cellStyle name="注释 2 11 4 5 2" xfId="37313"/>
    <cellStyle name="注释 2 11 4 6" xfId="37302"/>
    <cellStyle name="注释 2 11 5" xfId="10548"/>
    <cellStyle name="注释 2 11 5 2" xfId="16265"/>
    <cellStyle name="注释 2 11 5 2 2" xfId="16266"/>
    <cellStyle name="注释 2 11 5 2 2 2" xfId="18955"/>
    <cellStyle name="注释 2 11 5 2 2 2 2" xfId="37317"/>
    <cellStyle name="注释 2 11 5 2 2 3" xfId="22290"/>
    <cellStyle name="注释 2 11 5 2 2 4" xfId="37316"/>
    <cellStyle name="注释 2 11 5 2 3" xfId="16267"/>
    <cellStyle name="注释 2 11 5 2 3 2" xfId="18954"/>
    <cellStyle name="注释 2 11 5 2 3 2 2" xfId="37319"/>
    <cellStyle name="注释 2 11 5 2 3 3" xfId="22291"/>
    <cellStyle name="注释 2 11 5 2 3 4" xfId="37318"/>
    <cellStyle name="注释 2 11 5 2 4" xfId="18956"/>
    <cellStyle name="注释 2 11 5 2 4 2" xfId="37320"/>
    <cellStyle name="注释 2 11 5 2 5" xfId="22289"/>
    <cellStyle name="注释 2 11 5 2 6" xfId="37315"/>
    <cellStyle name="注释 2 11 5 3" xfId="16268"/>
    <cellStyle name="注释 2 11 5 3 2" xfId="18953"/>
    <cellStyle name="注释 2 11 5 3 2 2" xfId="37322"/>
    <cellStyle name="注释 2 11 5 3 3" xfId="22292"/>
    <cellStyle name="注释 2 11 5 3 4" xfId="37321"/>
    <cellStyle name="注释 2 11 5 4" xfId="16269"/>
    <cellStyle name="注释 2 11 5 4 2" xfId="8703"/>
    <cellStyle name="注释 2 11 5 4 2 2" xfId="37324"/>
    <cellStyle name="注释 2 11 5 4 3" xfId="22293"/>
    <cellStyle name="注释 2 11 5 4 4" xfId="37323"/>
    <cellStyle name="注释 2 11 5 5" xfId="21781"/>
    <cellStyle name="注释 2 11 5 5 2" xfId="37325"/>
    <cellStyle name="注释 2 11 5 6" xfId="37314"/>
    <cellStyle name="注释 2 11 6" xfId="16270"/>
    <cellStyle name="注释 2 11 6 2" xfId="16271"/>
    <cellStyle name="注释 2 11 6 2 2" xfId="18951"/>
    <cellStyle name="注释 2 11 6 2 2 2" xfId="37328"/>
    <cellStyle name="注释 2 11 6 2 3" xfId="22295"/>
    <cellStyle name="注释 2 11 6 2 4" xfId="37327"/>
    <cellStyle name="注释 2 11 6 3" xfId="16272"/>
    <cellStyle name="注释 2 11 6 3 2" xfId="20603"/>
    <cellStyle name="注释 2 11 6 3 2 2" xfId="37330"/>
    <cellStyle name="注释 2 11 6 3 3" xfId="22296"/>
    <cellStyle name="注释 2 11 6 3 4" xfId="37329"/>
    <cellStyle name="注释 2 11 6 4" xfId="18952"/>
    <cellStyle name="注释 2 11 6 4 2" xfId="37331"/>
    <cellStyle name="注释 2 11 6 5" xfId="22294"/>
    <cellStyle name="注释 2 11 6 6" xfId="37326"/>
    <cellStyle name="注释 2 11 7" xfId="16273"/>
    <cellStyle name="注释 2 11 7 2" xfId="20602"/>
    <cellStyle name="注释 2 11 7 2 2" xfId="37333"/>
    <cellStyle name="注释 2 11 7 3" xfId="22297"/>
    <cellStyle name="注释 2 11 7 4" xfId="37332"/>
    <cellStyle name="注释 2 11 8" xfId="16274"/>
    <cellStyle name="注释 2 11 8 2" xfId="18950"/>
    <cellStyle name="注释 2 11 8 2 2" xfId="37335"/>
    <cellStyle name="注释 2 11 8 3" xfId="22298"/>
    <cellStyle name="注释 2 11 8 4" xfId="37334"/>
    <cellStyle name="注释 2 11 9" xfId="21779"/>
    <cellStyle name="注释 2 11 9 2" xfId="37336"/>
    <cellStyle name="注释 2 12" xfId="10549"/>
    <cellStyle name="注释 2 12 10" xfId="37337"/>
    <cellStyle name="注释 2 12 2" xfId="10550"/>
    <cellStyle name="注释 2 12 2 2" xfId="16275"/>
    <cellStyle name="注释 2 12 2 2 2" xfId="16276"/>
    <cellStyle name="注释 2 12 2 2 2 2" xfId="8704"/>
    <cellStyle name="注释 2 12 2 2 2 2 2" xfId="37341"/>
    <cellStyle name="注释 2 12 2 2 2 3" xfId="22300"/>
    <cellStyle name="注释 2 12 2 2 2 4" xfId="37340"/>
    <cellStyle name="注释 2 12 2 2 3" xfId="16277"/>
    <cellStyle name="注释 2 12 2 2 3 2" xfId="8705"/>
    <cellStyle name="注释 2 12 2 2 3 2 2" xfId="37343"/>
    <cellStyle name="注释 2 12 2 2 3 3" xfId="22301"/>
    <cellStyle name="注释 2 12 2 2 3 4" xfId="37342"/>
    <cellStyle name="注释 2 12 2 2 4" xfId="18949"/>
    <cellStyle name="注释 2 12 2 2 4 2" xfId="37344"/>
    <cellStyle name="注释 2 12 2 2 5" xfId="22299"/>
    <cellStyle name="注释 2 12 2 2 6" xfId="37339"/>
    <cellStyle name="注释 2 12 2 3" xfId="16278"/>
    <cellStyle name="注释 2 12 2 3 2" xfId="8706"/>
    <cellStyle name="注释 2 12 2 3 2 2" xfId="37346"/>
    <cellStyle name="注释 2 12 2 3 3" xfId="22302"/>
    <cellStyle name="注释 2 12 2 3 4" xfId="37345"/>
    <cellStyle name="注释 2 12 2 4" xfId="16279"/>
    <cellStyle name="注释 2 12 2 4 2" xfId="18534"/>
    <cellStyle name="注释 2 12 2 4 2 2" xfId="37348"/>
    <cellStyle name="注释 2 12 2 4 3" xfId="22303"/>
    <cellStyle name="注释 2 12 2 4 4" xfId="37347"/>
    <cellStyle name="注释 2 12 2 5" xfId="21782"/>
    <cellStyle name="注释 2 12 2 5 2" xfId="37349"/>
    <cellStyle name="注释 2 12 2 6" xfId="37338"/>
    <cellStyle name="注释 2 12 3" xfId="10551"/>
    <cellStyle name="注释 2 12 3 2" xfId="16280"/>
    <cellStyle name="注释 2 12 3 2 2" xfId="16281"/>
    <cellStyle name="注释 2 12 3 2 2 2" xfId="8708"/>
    <cellStyle name="注释 2 12 3 2 2 2 2" xfId="37353"/>
    <cellStyle name="注释 2 12 3 2 2 3" xfId="22305"/>
    <cellStyle name="注释 2 12 3 2 2 4" xfId="37352"/>
    <cellStyle name="注释 2 12 3 2 3" xfId="16282"/>
    <cellStyle name="注释 2 12 3 2 3 2" xfId="8709"/>
    <cellStyle name="注释 2 12 3 2 3 2 2" xfId="37355"/>
    <cellStyle name="注释 2 12 3 2 3 3" xfId="22306"/>
    <cellStyle name="注释 2 12 3 2 3 4" xfId="37354"/>
    <cellStyle name="注释 2 12 3 2 4" xfId="8707"/>
    <cellStyle name="注释 2 12 3 2 4 2" xfId="37356"/>
    <cellStyle name="注释 2 12 3 2 5" xfId="22304"/>
    <cellStyle name="注释 2 12 3 2 6" xfId="37351"/>
    <cellStyle name="注释 2 12 3 3" xfId="16283"/>
    <cellStyle name="注释 2 12 3 3 2" xfId="8710"/>
    <cellStyle name="注释 2 12 3 3 2 2" xfId="37358"/>
    <cellStyle name="注释 2 12 3 3 3" xfId="22307"/>
    <cellStyle name="注释 2 12 3 3 4" xfId="37357"/>
    <cellStyle name="注释 2 12 3 4" xfId="16284"/>
    <cellStyle name="注释 2 12 3 4 2" xfId="8711"/>
    <cellStyle name="注释 2 12 3 4 2 2" xfId="37360"/>
    <cellStyle name="注释 2 12 3 4 3" xfId="22308"/>
    <cellStyle name="注释 2 12 3 4 4" xfId="37359"/>
    <cellStyle name="注释 2 12 3 5" xfId="21783"/>
    <cellStyle name="注释 2 12 3 5 2" xfId="37361"/>
    <cellStyle name="注释 2 12 3 6" xfId="37350"/>
    <cellStyle name="注释 2 12 4" xfId="10552"/>
    <cellStyle name="注释 2 12 4 2" xfId="16285"/>
    <cellStyle name="注释 2 12 4 2 2" xfId="16286"/>
    <cellStyle name="注释 2 12 4 2 2 2" xfId="8712"/>
    <cellStyle name="注释 2 12 4 2 2 2 2" xfId="37365"/>
    <cellStyle name="注释 2 12 4 2 2 3" xfId="22310"/>
    <cellStyle name="注释 2 12 4 2 2 4" xfId="37364"/>
    <cellStyle name="注释 2 12 4 2 3" xfId="16287"/>
    <cellStyle name="注释 2 12 4 2 3 2" xfId="8713"/>
    <cellStyle name="注释 2 12 4 2 3 2 2" xfId="37367"/>
    <cellStyle name="注释 2 12 4 2 3 3" xfId="22311"/>
    <cellStyle name="注释 2 12 4 2 3 4" xfId="37366"/>
    <cellStyle name="注释 2 12 4 2 4" xfId="20601"/>
    <cellStyle name="注释 2 12 4 2 4 2" xfId="37368"/>
    <cellStyle name="注释 2 12 4 2 5" xfId="22309"/>
    <cellStyle name="注释 2 12 4 2 6" xfId="37363"/>
    <cellStyle name="注释 2 12 4 3" xfId="16288"/>
    <cellStyle name="注释 2 12 4 3 2" xfId="8714"/>
    <cellStyle name="注释 2 12 4 3 2 2" xfId="37370"/>
    <cellStyle name="注释 2 12 4 3 3" xfId="22312"/>
    <cellStyle name="注释 2 12 4 3 4" xfId="37369"/>
    <cellStyle name="注释 2 12 4 4" xfId="16289"/>
    <cellStyle name="注释 2 12 4 4 2" xfId="8715"/>
    <cellStyle name="注释 2 12 4 4 2 2" xfId="37372"/>
    <cellStyle name="注释 2 12 4 4 3" xfId="22313"/>
    <cellStyle name="注释 2 12 4 4 4" xfId="37371"/>
    <cellStyle name="注释 2 12 4 5" xfId="21784"/>
    <cellStyle name="注释 2 12 4 5 2" xfId="37373"/>
    <cellStyle name="注释 2 12 4 6" xfId="37362"/>
    <cellStyle name="注释 2 12 5" xfId="10553"/>
    <cellStyle name="注释 2 12 5 2" xfId="16290"/>
    <cellStyle name="注释 2 12 5 2 2" xfId="16291"/>
    <cellStyle name="注释 2 12 5 2 2 2" xfId="20600"/>
    <cellStyle name="注释 2 12 5 2 2 2 2" xfId="37377"/>
    <cellStyle name="注释 2 12 5 2 2 3" xfId="22315"/>
    <cellStyle name="注释 2 12 5 2 2 4" xfId="37376"/>
    <cellStyle name="注释 2 12 5 2 3" xfId="16292"/>
    <cellStyle name="注释 2 12 5 2 3 2" xfId="8717"/>
    <cellStyle name="注释 2 12 5 2 3 2 2" xfId="37379"/>
    <cellStyle name="注释 2 12 5 2 3 3" xfId="22316"/>
    <cellStyle name="注释 2 12 5 2 3 4" xfId="37378"/>
    <cellStyle name="注释 2 12 5 2 4" xfId="8716"/>
    <cellStyle name="注释 2 12 5 2 4 2" xfId="37380"/>
    <cellStyle name="注释 2 12 5 2 5" xfId="22314"/>
    <cellStyle name="注释 2 12 5 2 6" xfId="37375"/>
    <cellStyle name="注释 2 12 5 3" xfId="16293"/>
    <cellStyle name="注释 2 12 5 3 2" xfId="8718"/>
    <cellStyle name="注释 2 12 5 3 2 2" xfId="37382"/>
    <cellStyle name="注释 2 12 5 3 3" xfId="22317"/>
    <cellStyle name="注释 2 12 5 3 4" xfId="37381"/>
    <cellStyle name="注释 2 12 5 4" xfId="16294"/>
    <cellStyle name="注释 2 12 5 4 2" xfId="8719"/>
    <cellStyle name="注释 2 12 5 4 2 2" xfId="37384"/>
    <cellStyle name="注释 2 12 5 4 3" xfId="22318"/>
    <cellStyle name="注释 2 12 5 4 4" xfId="37383"/>
    <cellStyle name="注释 2 12 5 5" xfId="18840"/>
    <cellStyle name="注释 2 12 5 5 2" xfId="37385"/>
    <cellStyle name="注释 2 12 5 6" xfId="37374"/>
    <cellStyle name="注释 2 12 6" xfId="16295"/>
    <cellStyle name="注释 2 12 6 2" xfId="16296"/>
    <cellStyle name="注释 2 12 6 2 2" xfId="8721"/>
    <cellStyle name="注释 2 12 6 2 2 2" xfId="37388"/>
    <cellStyle name="注释 2 12 6 2 3" xfId="22320"/>
    <cellStyle name="注释 2 12 6 2 4" xfId="37387"/>
    <cellStyle name="注释 2 12 6 3" xfId="16297"/>
    <cellStyle name="注释 2 12 6 3 2" xfId="8724"/>
    <cellStyle name="注释 2 12 6 3 2 2" xfId="37390"/>
    <cellStyle name="注释 2 12 6 3 3" xfId="22321"/>
    <cellStyle name="注释 2 12 6 3 4" xfId="37389"/>
    <cellStyle name="注释 2 12 6 4" xfId="8720"/>
    <cellStyle name="注释 2 12 6 4 2" xfId="37391"/>
    <cellStyle name="注释 2 12 6 5" xfId="22319"/>
    <cellStyle name="注释 2 12 6 6" xfId="37386"/>
    <cellStyle name="注释 2 12 7" xfId="16298"/>
    <cellStyle name="注释 2 12 7 2" xfId="8725"/>
    <cellStyle name="注释 2 12 7 2 2" xfId="37393"/>
    <cellStyle name="注释 2 12 7 3" xfId="22322"/>
    <cellStyle name="注释 2 12 7 4" xfId="37392"/>
    <cellStyle name="注释 2 12 8" xfId="16299"/>
    <cellStyle name="注释 2 12 8 2" xfId="8726"/>
    <cellStyle name="注释 2 12 8 2 2" xfId="37395"/>
    <cellStyle name="注释 2 12 8 3" xfId="22323"/>
    <cellStyle name="注释 2 12 8 4" xfId="37394"/>
    <cellStyle name="注释 2 12 9" xfId="17838"/>
    <cellStyle name="注释 2 12 9 2" xfId="37396"/>
    <cellStyle name="注释 2 13" xfId="10554"/>
    <cellStyle name="注释 2 13 10" xfId="37397"/>
    <cellStyle name="注释 2 13 2" xfId="10555"/>
    <cellStyle name="注释 2 13 2 2" xfId="16300"/>
    <cellStyle name="注释 2 13 2 2 2" xfId="16301"/>
    <cellStyle name="注释 2 13 2 2 2 2" xfId="8730"/>
    <cellStyle name="注释 2 13 2 2 2 2 2" xfId="37401"/>
    <cellStyle name="注释 2 13 2 2 2 3" xfId="22325"/>
    <cellStyle name="注释 2 13 2 2 2 4" xfId="37400"/>
    <cellStyle name="注释 2 13 2 2 3" xfId="16302"/>
    <cellStyle name="注释 2 13 2 2 3 2" xfId="20599"/>
    <cellStyle name="注释 2 13 2 2 3 2 2" xfId="37403"/>
    <cellStyle name="注释 2 13 2 2 3 3" xfId="22326"/>
    <cellStyle name="注释 2 13 2 2 3 4" xfId="37402"/>
    <cellStyle name="注释 2 13 2 2 4" xfId="8729"/>
    <cellStyle name="注释 2 13 2 2 4 2" xfId="37404"/>
    <cellStyle name="注释 2 13 2 2 5" xfId="22324"/>
    <cellStyle name="注释 2 13 2 2 6" xfId="37399"/>
    <cellStyle name="注释 2 13 2 3" xfId="16303"/>
    <cellStyle name="注释 2 13 2 3 2" xfId="20598"/>
    <cellStyle name="注释 2 13 2 3 2 2" xfId="37406"/>
    <cellStyle name="注释 2 13 2 3 3" xfId="22327"/>
    <cellStyle name="注释 2 13 2 3 4" xfId="37405"/>
    <cellStyle name="注释 2 13 2 4" xfId="16304"/>
    <cellStyle name="注释 2 13 2 4 2" xfId="8731"/>
    <cellStyle name="注释 2 13 2 4 2 2" xfId="37408"/>
    <cellStyle name="注释 2 13 2 4 3" xfId="22328"/>
    <cellStyle name="注释 2 13 2 4 4" xfId="37407"/>
    <cellStyle name="注释 2 13 2 5" xfId="17839"/>
    <cellStyle name="注释 2 13 2 5 2" xfId="37409"/>
    <cellStyle name="注释 2 13 2 6" xfId="37398"/>
    <cellStyle name="注释 2 13 3" xfId="10556"/>
    <cellStyle name="注释 2 13 3 2" xfId="16305"/>
    <cellStyle name="注释 2 13 3 2 2" xfId="16306"/>
    <cellStyle name="注释 2 13 3 2 2 2" xfId="8735"/>
    <cellStyle name="注释 2 13 3 2 2 2 2" xfId="37413"/>
    <cellStyle name="注释 2 13 3 2 2 3" xfId="22330"/>
    <cellStyle name="注释 2 13 3 2 2 4" xfId="37412"/>
    <cellStyle name="注释 2 13 3 2 3" xfId="16307"/>
    <cellStyle name="注释 2 13 3 2 3 2" xfId="8736"/>
    <cellStyle name="注释 2 13 3 2 3 2 2" xfId="37415"/>
    <cellStyle name="注释 2 13 3 2 3 3" xfId="22331"/>
    <cellStyle name="注释 2 13 3 2 3 4" xfId="37414"/>
    <cellStyle name="注释 2 13 3 2 4" xfId="8732"/>
    <cellStyle name="注释 2 13 3 2 4 2" xfId="37416"/>
    <cellStyle name="注释 2 13 3 2 5" xfId="22329"/>
    <cellStyle name="注释 2 13 3 2 6" xfId="37411"/>
    <cellStyle name="注释 2 13 3 3" xfId="16308"/>
    <cellStyle name="注释 2 13 3 3 2" xfId="8737"/>
    <cellStyle name="注释 2 13 3 3 2 2" xfId="37418"/>
    <cellStyle name="注释 2 13 3 3 3" xfId="22332"/>
    <cellStyle name="注释 2 13 3 3 4" xfId="37417"/>
    <cellStyle name="注释 2 13 3 4" xfId="16309"/>
    <cellStyle name="注释 2 13 3 4 2" xfId="20597"/>
    <cellStyle name="注释 2 13 3 4 2 2" xfId="37420"/>
    <cellStyle name="注释 2 13 3 4 3" xfId="22333"/>
    <cellStyle name="注释 2 13 3 4 4" xfId="37419"/>
    <cellStyle name="注释 2 13 3 5" xfId="21786"/>
    <cellStyle name="注释 2 13 3 5 2" xfId="37421"/>
    <cellStyle name="注释 2 13 3 6" xfId="37410"/>
    <cellStyle name="注释 2 13 4" xfId="10557"/>
    <cellStyle name="注释 2 13 4 2" xfId="16310"/>
    <cellStyle name="注释 2 13 4 2 2" xfId="16311"/>
    <cellStyle name="注释 2 13 4 2 2 2" xfId="8744"/>
    <cellStyle name="注释 2 13 4 2 2 2 2" xfId="37425"/>
    <cellStyle name="注释 2 13 4 2 2 3" xfId="22335"/>
    <cellStyle name="注释 2 13 4 2 2 4" xfId="37424"/>
    <cellStyle name="注释 2 13 4 2 3" xfId="16312"/>
    <cellStyle name="注释 2 13 4 2 3 2" xfId="8747"/>
    <cellStyle name="注释 2 13 4 2 3 2 2" xfId="37427"/>
    <cellStyle name="注释 2 13 4 2 3 3" xfId="22336"/>
    <cellStyle name="注释 2 13 4 2 3 4" xfId="37426"/>
    <cellStyle name="注释 2 13 4 2 4" xfId="8743"/>
    <cellStyle name="注释 2 13 4 2 4 2" xfId="37428"/>
    <cellStyle name="注释 2 13 4 2 5" xfId="22334"/>
    <cellStyle name="注释 2 13 4 2 6" xfId="37423"/>
    <cellStyle name="注释 2 13 4 3" xfId="16313"/>
    <cellStyle name="注释 2 13 4 3 2" xfId="18948"/>
    <cellStyle name="注释 2 13 4 3 2 2" xfId="37430"/>
    <cellStyle name="注释 2 13 4 3 3" xfId="22337"/>
    <cellStyle name="注释 2 13 4 3 4" xfId="37429"/>
    <cellStyle name="注释 2 13 4 4" xfId="16314"/>
    <cellStyle name="注释 2 13 4 4 2" xfId="18947"/>
    <cellStyle name="注释 2 13 4 4 2 2" xfId="37432"/>
    <cellStyle name="注释 2 13 4 4 3" xfId="22338"/>
    <cellStyle name="注释 2 13 4 4 4" xfId="37431"/>
    <cellStyle name="注释 2 13 4 5" xfId="21787"/>
    <cellStyle name="注释 2 13 4 5 2" xfId="37433"/>
    <cellStyle name="注释 2 13 4 6" xfId="37422"/>
    <cellStyle name="注释 2 13 5" xfId="10558"/>
    <cellStyle name="注释 2 13 5 2" xfId="16315"/>
    <cellStyle name="注释 2 13 5 2 2" xfId="16316"/>
    <cellStyle name="注释 2 13 5 2 2 2" xfId="18946"/>
    <cellStyle name="注释 2 13 5 2 2 2 2" xfId="37437"/>
    <cellStyle name="注释 2 13 5 2 2 3" xfId="22340"/>
    <cellStyle name="注释 2 13 5 2 2 4" xfId="37436"/>
    <cellStyle name="注释 2 13 5 2 3" xfId="16317"/>
    <cellStyle name="注释 2 13 5 2 3 2" xfId="18945"/>
    <cellStyle name="注释 2 13 5 2 3 2 2" xfId="37439"/>
    <cellStyle name="注释 2 13 5 2 3 3" xfId="22341"/>
    <cellStyle name="注释 2 13 5 2 3 4" xfId="37438"/>
    <cellStyle name="注释 2 13 5 2 4" xfId="18533"/>
    <cellStyle name="注释 2 13 5 2 4 2" xfId="37440"/>
    <cellStyle name="注释 2 13 5 2 5" xfId="22339"/>
    <cellStyle name="注释 2 13 5 2 6" xfId="37435"/>
    <cellStyle name="注释 2 13 5 3" xfId="16318"/>
    <cellStyle name="注释 2 13 5 3 2" xfId="18944"/>
    <cellStyle name="注释 2 13 5 3 2 2" xfId="37442"/>
    <cellStyle name="注释 2 13 5 3 3" xfId="22342"/>
    <cellStyle name="注释 2 13 5 3 4" xfId="37441"/>
    <cellStyle name="注释 2 13 5 4" xfId="16319"/>
    <cellStyle name="注释 2 13 5 4 2" xfId="18943"/>
    <cellStyle name="注释 2 13 5 4 2 2" xfId="37444"/>
    <cellStyle name="注释 2 13 5 4 3" xfId="22343"/>
    <cellStyle name="注释 2 13 5 4 4" xfId="37443"/>
    <cellStyle name="注释 2 13 5 5" xfId="21788"/>
    <cellStyle name="注释 2 13 5 5 2" xfId="37445"/>
    <cellStyle name="注释 2 13 5 6" xfId="37434"/>
    <cellStyle name="注释 2 13 6" xfId="16320"/>
    <cellStyle name="注释 2 13 6 2" xfId="16321"/>
    <cellStyle name="注释 2 13 6 2 2" xfId="18532"/>
    <cellStyle name="注释 2 13 6 2 2 2" xfId="37448"/>
    <cellStyle name="注释 2 13 6 2 3" xfId="22345"/>
    <cellStyle name="注释 2 13 6 2 4" xfId="37447"/>
    <cellStyle name="注释 2 13 6 3" xfId="16322"/>
    <cellStyle name="注释 2 13 6 3 2" xfId="18941"/>
    <cellStyle name="注释 2 13 6 3 2 2" xfId="37450"/>
    <cellStyle name="注释 2 13 6 3 3" xfId="22346"/>
    <cellStyle name="注释 2 13 6 3 4" xfId="37449"/>
    <cellStyle name="注释 2 13 6 4" xfId="18942"/>
    <cellStyle name="注释 2 13 6 4 2" xfId="37451"/>
    <cellStyle name="注释 2 13 6 5" xfId="22344"/>
    <cellStyle name="注释 2 13 6 6" xfId="37446"/>
    <cellStyle name="注释 2 13 7" xfId="16323"/>
    <cellStyle name="注释 2 13 7 2" xfId="18940"/>
    <cellStyle name="注释 2 13 7 2 2" xfId="37453"/>
    <cellStyle name="注释 2 13 7 3" xfId="22347"/>
    <cellStyle name="注释 2 13 7 4" xfId="37452"/>
    <cellStyle name="注释 2 13 8" xfId="16324"/>
    <cellStyle name="注释 2 13 8 2" xfId="8748"/>
    <cellStyle name="注释 2 13 8 2 2" xfId="37455"/>
    <cellStyle name="注释 2 13 8 3" xfId="22348"/>
    <cellStyle name="注释 2 13 8 4" xfId="37454"/>
    <cellStyle name="注释 2 13 9" xfId="21785"/>
    <cellStyle name="注释 2 13 9 2" xfId="37456"/>
    <cellStyle name="注释 2 14" xfId="10559"/>
    <cellStyle name="注释 2 14 10" xfId="37457"/>
    <cellStyle name="注释 2 14 2" xfId="10560"/>
    <cellStyle name="注释 2 14 2 2" xfId="16325"/>
    <cellStyle name="注释 2 14 2 2 2" xfId="16326"/>
    <cellStyle name="注释 2 14 2 2 2 2" xfId="18938"/>
    <cellStyle name="注释 2 14 2 2 2 2 2" xfId="37461"/>
    <cellStyle name="注释 2 14 2 2 2 3" xfId="22350"/>
    <cellStyle name="注释 2 14 2 2 2 4" xfId="37460"/>
    <cellStyle name="注释 2 14 2 2 3" xfId="16327"/>
    <cellStyle name="注释 2 14 2 2 3 2" xfId="18937"/>
    <cellStyle name="注释 2 14 2 2 3 2 2" xfId="37463"/>
    <cellStyle name="注释 2 14 2 2 3 3" xfId="22351"/>
    <cellStyle name="注释 2 14 2 2 3 4" xfId="37462"/>
    <cellStyle name="注释 2 14 2 2 4" xfId="18939"/>
    <cellStyle name="注释 2 14 2 2 4 2" xfId="37464"/>
    <cellStyle name="注释 2 14 2 2 5" xfId="22349"/>
    <cellStyle name="注释 2 14 2 2 6" xfId="37459"/>
    <cellStyle name="注释 2 14 2 3" xfId="16328"/>
    <cellStyle name="注释 2 14 2 3 2" xfId="18936"/>
    <cellStyle name="注释 2 14 2 3 2 2" xfId="37466"/>
    <cellStyle name="注释 2 14 2 3 3" xfId="22352"/>
    <cellStyle name="注释 2 14 2 3 4" xfId="37465"/>
    <cellStyle name="注释 2 14 2 4" xfId="16329"/>
    <cellStyle name="注释 2 14 2 4 2" xfId="18935"/>
    <cellStyle name="注释 2 14 2 4 2 2" xfId="37468"/>
    <cellStyle name="注释 2 14 2 4 3" xfId="22353"/>
    <cellStyle name="注释 2 14 2 4 4" xfId="37467"/>
    <cellStyle name="注释 2 14 2 5" xfId="18841"/>
    <cellStyle name="注释 2 14 2 5 2" xfId="37469"/>
    <cellStyle name="注释 2 14 2 6" xfId="37458"/>
    <cellStyle name="注释 2 14 3" xfId="10561"/>
    <cellStyle name="注释 2 14 3 2" xfId="16330"/>
    <cellStyle name="注释 2 14 3 2 2" xfId="16331"/>
    <cellStyle name="注释 2 14 3 2 2 2" xfId="18934"/>
    <cellStyle name="注释 2 14 3 2 2 2 2" xfId="37473"/>
    <cellStyle name="注释 2 14 3 2 2 3" xfId="22355"/>
    <cellStyle name="注释 2 14 3 2 2 4" xfId="37472"/>
    <cellStyle name="注释 2 14 3 2 3" xfId="16332"/>
    <cellStyle name="注释 2 14 3 2 3 2" xfId="20596"/>
    <cellStyle name="注释 2 14 3 2 3 2 2" xfId="37475"/>
    <cellStyle name="注释 2 14 3 2 3 3" xfId="22356"/>
    <cellStyle name="注释 2 14 3 2 3 4" xfId="37474"/>
    <cellStyle name="注释 2 14 3 2 4" xfId="8749"/>
    <cellStyle name="注释 2 14 3 2 4 2" xfId="37476"/>
    <cellStyle name="注释 2 14 3 2 5" xfId="22354"/>
    <cellStyle name="注释 2 14 3 2 6" xfId="37471"/>
    <cellStyle name="注释 2 14 3 3" xfId="16333"/>
    <cellStyle name="注释 2 14 3 3 2" xfId="20595"/>
    <cellStyle name="注释 2 14 3 3 2 2" xfId="37478"/>
    <cellStyle name="注释 2 14 3 3 3" xfId="22357"/>
    <cellStyle name="注释 2 14 3 3 4" xfId="37477"/>
    <cellStyle name="注释 2 14 3 4" xfId="16334"/>
    <cellStyle name="注释 2 14 3 4 2" xfId="18933"/>
    <cellStyle name="注释 2 14 3 4 2 2" xfId="37480"/>
    <cellStyle name="注释 2 14 3 4 3" xfId="22358"/>
    <cellStyle name="注释 2 14 3 4 4" xfId="37479"/>
    <cellStyle name="注释 2 14 3 5" xfId="17840"/>
    <cellStyle name="注释 2 14 3 5 2" xfId="37481"/>
    <cellStyle name="注释 2 14 3 6" xfId="37470"/>
    <cellStyle name="注释 2 14 4" xfId="10562"/>
    <cellStyle name="注释 2 14 4 2" xfId="16335"/>
    <cellStyle name="注释 2 14 4 2 2" xfId="16336"/>
    <cellStyle name="注释 2 14 4 2 2 2" xfId="18931"/>
    <cellStyle name="注释 2 14 4 2 2 2 2" xfId="37485"/>
    <cellStyle name="注释 2 14 4 2 2 3" xfId="22360"/>
    <cellStyle name="注释 2 14 4 2 2 4" xfId="37484"/>
    <cellStyle name="注释 2 14 4 2 3" xfId="16337"/>
    <cellStyle name="注释 2 14 4 2 3 2" xfId="18930"/>
    <cellStyle name="注释 2 14 4 2 3 2 2" xfId="37487"/>
    <cellStyle name="注释 2 14 4 2 3 3" xfId="22361"/>
    <cellStyle name="注释 2 14 4 2 3 4" xfId="37486"/>
    <cellStyle name="注释 2 14 4 2 4" xfId="18932"/>
    <cellStyle name="注释 2 14 4 2 4 2" xfId="37488"/>
    <cellStyle name="注释 2 14 4 2 5" xfId="22359"/>
    <cellStyle name="注释 2 14 4 2 6" xfId="37483"/>
    <cellStyle name="注释 2 14 4 3" xfId="16338"/>
    <cellStyle name="注释 2 14 4 3 2" xfId="8750"/>
    <cellStyle name="注释 2 14 4 3 2 2" xfId="37490"/>
    <cellStyle name="注释 2 14 4 3 3" xfId="22362"/>
    <cellStyle name="注释 2 14 4 3 4" xfId="37489"/>
    <cellStyle name="注释 2 14 4 4" xfId="16339"/>
    <cellStyle name="注释 2 14 4 4 2" xfId="20594"/>
    <cellStyle name="注释 2 14 4 4 2 2" xfId="37492"/>
    <cellStyle name="注释 2 14 4 4 3" xfId="22363"/>
    <cellStyle name="注释 2 14 4 4 4" xfId="37491"/>
    <cellStyle name="注释 2 14 4 5" xfId="21790"/>
    <cellStyle name="注释 2 14 4 5 2" xfId="37493"/>
    <cellStyle name="注释 2 14 4 6" xfId="37482"/>
    <cellStyle name="注释 2 14 5" xfId="10563"/>
    <cellStyle name="注释 2 14 5 2" xfId="16340"/>
    <cellStyle name="注释 2 14 5 2 2" xfId="16341"/>
    <cellStyle name="注释 2 14 5 2 2 2" xfId="18928"/>
    <cellStyle name="注释 2 14 5 2 2 2 2" xfId="37497"/>
    <cellStyle name="注释 2 14 5 2 2 3" xfId="22365"/>
    <cellStyle name="注释 2 14 5 2 2 4" xfId="37496"/>
    <cellStyle name="注释 2 14 5 2 3" xfId="16342"/>
    <cellStyle name="注释 2 14 5 2 3 2" xfId="18927"/>
    <cellStyle name="注释 2 14 5 2 3 2 2" xfId="37499"/>
    <cellStyle name="注释 2 14 5 2 3 3" xfId="22366"/>
    <cellStyle name="注释 2 14 5 2 3 4" xfId="37498"/>
    <cellStyle name="注释 2 14 5 2 4" xfId="18929"/>
    <cellStyle name="注释 2 14 5 2 4 2" xfId="37500"/>
    <cellStyle name="注释 2 14 5 2 5" xfId="22364"/>
    <cellStyle name="注释 2 14 5 2 6" xfId="37495"/>
    <cellStyle name="注释 2 14 5 3" xfId="16343"/>
    <cellStyle name="注释 2 14 5 3 2" xfId="18926"/>
    <cellStyle name="注释 2 14 5 3 2 2" xfId="37502"/>
    <cellStyle name="注释 2 14 5 3 3" xfId="22367"/>
    <cellStyle name="注释 2 14 5 3 4" xfId="37501"/>
    <cellStyle name="注释 2 14 5 4" xfId="16344"/>
    <cellStyle name="注释 2 14 5 4 2" xfId="18925"/>
    <cellStyle name="注释 2 14 5 4 2 2" xfId="37504"/>
    <cellStyle name="注释 2 14 5 4 3" xfId="22368"/>
    <cellStyle name="注释 2 14 5 4 4" xfId="37503"/>
    <cellStyle name="注释 2 14 5 5" xfId="21791"/>
    <cellStyle name="注释 2 14 5 5 2" xfId="37505"/>
    <cellStyle name="注释 2 14 5 6" xfId="37494"/>
    <cellStyle name="注释 2 14 6" xfId="16345"/>
    <cellStyle name="注释 2 14 6 2" xfId="16346"/>
    <cellStyle name="注释 2 14 6 2 2" xfId="8751"/>
    <cellStyle name="注释 2 14 6 2 2 2" xfId="37508"/>
    <cellStyle name="注释 2 14 6 2 3" xfId="22370"/>
    <cellStyle name="注释 2 14 6 2 4" xfId="37507"/>
    <cellStyle name="注释 2 14 6 3" xfId="16347"/>
    <cellStyle name="注释 2 14 6 3 2" xfId="18924"/>
    <cellStyle name="注释 2 14 6 3 2 2" xfId="37510"/>
    <cellStyle name="注释 2 14 6 3 3" xfId="22371"/>
    <cellStyle name="注释 2 14 6 3 4" xfId="37509"/>
    <cellStyle name="注释 2 14 6 4" xfId="20593"/>
    <cellStyle name="注释 2 14 6 4 2" xfId="37511"/>
    <cellStyle name="注释 2 14 6 5" xfId="22369"/>
    <cellStyle name="注释 2 14 6 6" xfId="37506"/>
    <cellStyle name="注释 2 14 7" xfId="16348"/>
    <cellStyle name="注释 2 14 7 2" xfId="18923"/>
    <cellStyle name="注释 2 14 7 2 2" xfId="37513"/>
    <cellStyle name="注释 2 14 7 3" xfId="22372"/>
    <cellStyle name="注释 2 14 7 4" xfId="37512"/>
    <cellStyle name="注释 2 14 8" xfId="16349"/>
    <cellStyle name="注释 2 14 8 2" xfId="18922"/>
    <cellStyle name="注释 2 14 8 2 2" xfId="37515"/>
    <cellStyle name="注释 2 14 8 3" xfId="22373"/>
    <cellStyle name="注释 2 14 8 4" xfId="37514"/>
    <cellStyle name="注释 2 14 9" xfId="21789"/>
    <cellStyle name="注释 2 14 9 2" xfId="37516"/>
    <cellStyle name="注释 2 15" xfId="10564"/>
    <cellStyle name="注释 2 15 10" xfId="37517"/>
    <cellStyle name="注释 2 15 2" xfId="10565"/>
    <cellStyle name="注释 2 15 2 2" xfId="16350"/>
    <cellStyle name="注释 2 15 2 2 2" xfId="16351"/>
    <cellStyle name="注释 2 15 2 2 2 2" xfId="20592"/>
    <cellStyle name="注释 2 15 2 2 2 2 2" xfId="37521"/>
    <cellStyle name="注释 2 15 2 2 2 3" xfId="22375"/>
    <cellStyle name="注释 2 15 2 2 2 4" xfId="37520"/>
    <cellStyle name="注释 2 15 2 2 3" xfId="16352"/>
    <cellStyle name="注释 2 15 2 2 3 2" xfId="18920"/>
    <cellStyle name="注释 2 15 2 2 3 2 2" xfId="37523"/>
    <cellStyle name="注释 2 15 2 2 3 3" xfId="22376"/>
    <cellStyle name="注释 2 15 2 2 3 4" xfId="37522"/>
    <cellStyle name="注释 2 15 2 2 4" xfId="18921"/>
    <cellStyle name="注释 2 15 2 2 4 2" xfId="37524"/>
    <cellStyle name="注释 2 15 2 2 5" xfId="22374"/>
    <cellStyle name="注释 2 15 2 2 6" xfId="37519"/>
    <cellStyle name="注释 2 15 2 3" xfId="16353"/>
    <cellStyle name="注释 2 15 2 3 2" xfId="18919"/>
    <cellStyle name="注释 2 15 2 3 2 2" xfId="37526"/>
    <cellStyle name="注释 2 15 2 3 3" xfId="22377"/>
    <cellStyle name="注释 2 15 2 3 4" xfId="37525"/>
    <cellStyle name="注释 2 15 2 4" xfId="16354"/>
    <cellStyle name="注释 2 15 2 4 2" xfId="19566"/>
    <cellStyle name="注释 2 15 2 4 2 2" xfId="37528"/>
    <cellStyle name="注释 2 15 2 4 3" xfId="22378"/>
    <cellStyle name="注释 2 15 2 4 4" xfId="37527"/>
    <cellStyle name="注释 2 15 2 5" xfId="21793"/>
    <cellStyle name="注释 2 15 2 5 2" xfId="37529"/>
    <cellStyle name="注释 2 15 2 6" xfId="37518"/>
    <cellStyle name="注释 2 15 3" xfId="10566"/>
    <cellStyle name="注释 2 15 3 2" xfId="16355"/>
    <cellStyle name="注释 2 15 3 2 2" xfId="16356"/>
    <cellStyle name="注释 2 15 3 2 2 2" xfId="19564"/>
    <cellStyle name="注释 2 15 3 2 2 2 2" xfId="37533"/>
    <cellStyle name="注释 2 15 3 2 2 3" xfId="22380"/>
    <cellStyle name="注释 2 15 3 2 2 4" xfId="37532"/>
    <cellStyle name="注释 2 15 3 2 3" xfId="16357"/>
    <cellStyle name="注释 2 15 3 2 3 2" xfId="19563"/>
    <cellStyle name="注释 2 15 3 2 3 2 2" xfId="37535"/>
    <cellStyle name="注释 2 15 3 2 3 3" xfId="22381"/>
    <cellStyle name="注释 2 15 3 2 3 4" xfId="37534"/>
    <cellStyle name="注释 2 15 3 2 4" xfId="19565"/>
    <cellStyle name="注释 2 15 3 2 4 2" xfId="37536"/>
    <cellStyle name="注释 2 15 3 2 5" xfId="22379"/>
    <cellStyle name="注释 2 15 3 2 6" xfId="37531"/>
    <cellStyle name="注释 2 15 3 3" xfId="16358"/>
    <cellStyle name="注释 2 15 3 3 2" xfId="18151"/>
    <cellStyle name="注释 2 15 3 3 2 2" xfId="37538"/>
    <cellStyle name="注释 2 15 3 3 3" xfId="22382"/>
    <cellStyle name="注释 2 15 3 3 4" xfId="37537"/>
    <cellStyle name="注释 2 15 3 4" xfId="16359"/>
    <cellStyle name="注释 2 15 3 4 2" xfId="18681"/>
    <cellStyle name="注释 2 15 3 4 2 2" xfId="37540"/>
    <cellStyle name="注释 2 15 3 4 3" xfId="22383"/>
    <cellStyle name="注释 2 15 3 4 4" xfId="37539"/>
    <cellStyle name="注释 2 15 3 5" xfId="21794"/>
    <cellStyle name="注释 2 15 3 5 2" xfId="37541"/>
    <cellStyle name="注释 2 15 3 6" xfId="37530"/>
    <cellStyle name="注释 2 15 4" xfId="10567"/>
    <cellStyle name="注释 2 15 4 2" xfId="16360"/>
    <cellStyle name="注释 2 15 4 2 2" xfId="16361"/>
    <cellStyle name="注释 2 15 4 2 2 2" xfId="19561"/>
    <cellStyle name="注释 2 15 4 2 2 2 2" xfId="37545"/>
    <cellStyle name="注释 2 15 4 2 2 3" xfId="22385"/>
    <cellStyle name="注释 2 15 4 2 2 4" xfId="37544"/>
    <cellStyle name="注释 2 15 4 2 3" xfId="16362"/>
    <cellStyle name="注释 2 15 4 2 3 2" xfId="18918"/>
    <cellStyle name="注释 2 15 4 2 3 2 2" xfId="37547"/>
    <cellStyle name="注释 2 15 4 2 3 3" xfId="22386"/>
    <cellStyle name="注释 2 15 4 2 3 4" xfId="37546"/>
    <cellStyle name="注释 2 15 4 2 4" xfId="19562"/>
    <cellStyle name="注释 2 15 4 2 4 2" xfId="37548"/>
    <cellStyle name="注释 2 15 4 2 5" xfId="22384"/>
    <cellStyle name="注释 2 15 4 2 6" xfId="37543"/>
    <cellStyle name="注释 2 15 4 3" xfId="16363"/>
    <cellStyle name="注释 2 15 4 3 2" xfId="19560"/>
    <cellStyle name="注释 2 15 4 3 2 2" xfId="37550"/>
    <cellStyle name="注释 2 15 4 3 3" xfId="22387"/>
    <cellStyle name="注释 2 15 4 3 4" xfId="37549"/>
    <cellStyle name="注释 2 15 4 4" xfId="16364"/>
    <cellStyle name="注释 2 15 4 4 2" xfId="19559"/>
    <cellStyle name="注释 2 15 4 4 2 2" xfId="37552"/>
    <cellStyle name="注释 2 15 4 4 3" xfId="22388"/>
    <cellStyle name="注释 2 15 4 4 4" xfId="37551"/>
    <cellStyle name="注释 2 15 4 5" xfId="18842"/>
    <cellStyle name="注释 2 15 4 5 2" xfId="37553"/>
    <cellStyle name="注释 2 15 4 6" xfId="37542"/>
    <cellStyle name="注释 2 15 5" xfId="10568"/>
    <cellStyle name="注释 2 15 5 2" xfId="16365"/>
    <cellStyle name="注释 2 15 5 2 2" xfId="16366"/>
    <cellStyle name="注释 2 15 5 2 2 2" xfId="21180"/>
    <cellStyle name="注释 2 15 5 2 2 2 2" xfId="37557"/>
    <cellStyle name="注释 2 15 5 2 2 3" xfId="22390"/>
    <cellStyle name="注释 2 15 5 2 2 4" xfId="37556"/>
    <cellStyle name="注释 2 15 5 2 3" xfId="16367"/>
    <cellStyle name="注释 2 15 5 2 3 2" xfId="18917"/>
    <cellStyle name="注释 2 15 5 2 3 2 2" xfId="37559"/>
    <cellStyle name="注释 2 15 5 2 3 3" xfId="22391"/>
    <cellStyle name="注释 2 15 5 2 3 4" xfId="37558"/>
    <cellStyle name="注释 2 15 5 2 4" xfId="18150"/>
    <cellStyle name="注释 2 15 5 2 4 2" xfId="37560"/>
    <cellStyle name="注释 2 15 5 2 5" xfId="22389"/>
    <cellStyle name="注释 2 15 5 2 6" xfId="37555"/>
    <cellStyle name="注释 2 15 5 3" xfId="16368"/>
    <cellStyle name="注释 2 15 5 3 2" xfId="19558"/>
    <cellStyle name="注释 2 15 5 3 2 2" xfId="37562"/>
    <cellStyle name="注释 2 15 5 3 3" xfId="22392"/>
    <cellStyle name="注释 2 15 5 3 4" xfId="37561"/>
    <cellStyle name="注释 2 15 5 4" xfId="16369"/>
    <cellStyle name="注释 2 15 5 4 2" xfId="19557"/>
    <cellStyle name="注释 2 15 5 4 2 2" xfId="37564"/>
    <cellStyle name="注释 2 15 5 4 3" xfId="22393"/>
    <cellStyle name="注释 2 15 5 4 4" xfId="37563"/>
    <cellStyle name="注释 2 15 5 5" xfId="21795"/>
    <cellStyle name="注释 2 15 5 5 2" xfId="37565"/>
    <cellStyle name="注释 2 15 5 6" xfId="37554"/>
    <cellStyle name="注释 2 15 6" xfId="16370"/>
    <cellStyle name="注释 2 15 6 2" xfId="16371"/>
    <cellStyle name="注释 2 15 6 2 2" xfId="19555"/>
    <cellStyle name="注释 2 15 6 2 2 2" xfId="37568"/>
    <cellStyle name="注释 2 15 6 2 3" xfId="22395"/>
    <cellStyle name="注释 2 15 6 2 4" xfId="37567"/>
    <cellStyle name="注释 2 15 6 3" xfId="16372"/>
    <cellStyle name="注释 2 15 6 3 2" xfId="18916"/>
    <cellStyle name="注释 2 15 6 3 2 2" xfId="37570"/>
    <cellStyle name="注释 2 15 6 3 3" xfId="22396"/>
    <cellStyle name="注释 2 15 6 3 4" xfId="37569"/>
    <cellStyle name="注释 2 15 6 4" xfId="19556"/>
    <cellStyle name="注释 2 15 6 4 2" xfId="37571"/>
    <cellStyle name="注释 2 15 6 5" xfId="22394"/>
    <cellStyle name="注释 2 15 6 6" xfId="37566"/>
    <cellStyle name="注释 2 15 7" xfId="16373"/>
    <cellStyle name="注释 2 15 7 2" xfId="18149"/>
    <cellStyle name="注释 2 15 7 2 2" xfId="37573"/>
    <cellStyle name="注释 2 15 7 3" xfId="22397"/>
    <cellStyle name="注释 2 15 7 4" xfId="37572"/>
    <cellStyle name="注释 2 15 8" xfId="16374"/>
    <cellStyle name="注释 2 15 8 2" xfId="21179"/>
    <cellStyle name="注释 2 15 8 2 2" xfId="37575"/>
    <cellStyle name="注释 2 15 8 3" xfId="22398"/>
    <cellStyle name="注释 2 15 8 4" xfId="37574"/>
    <cellStyle name="注释 2 15 9" xfId="21792"/>
    <cellStyle name="注释 2 15 9 2" xfId="37576"/>
    <cellStyle name="注释 2 16" xfId="10569"/>
    <cellStyle name="注释 2 16 10" xfId="37577"/>
    <cellStyle name="注释 2 16 2" xfId="10570"/>
    <cellStyle name="注释 2 16 2 2" xfId="16375"/>
    <cellStyle name="注释 2 16 2 2 2" xfId="16376"/>
    <cellStyle name="注释 2 16 2 2 2 2" xfId="19553"/>
    <cellStyle name="注释 2 16 2 2 2 2 2" xfId="37581"/>
    <cellStyle name="注释 2 16 2 2 2 3" xfId="22400"/>
    <cellStyle name="注释 2 16 2 2 2 4" xfId="37580"/>
    <cellStyle name="注释 2 16 2 2 3" xfId="16377"/>
    <cellStyle name="注释 2 16 2 2 3 2" xfId="18915"/>
    <cellStyle name="注释 2 16 2 2 3 2 2" xfId="37583"/>
    <cellStyle name="注释 2 16 2 2 3 3" xfId="22401"/>
    <cellStyle name="注释 2 16 2 2 3 4" xfId="37582"/>
    <cellStyle name="注释 2 16 2 2 4" xfId="19554"/>
    <cellStyle name="注释 2 16 2 2 4 2" xfId="37584"/>
    <cellStyle name="注释 2 16 2 2 5" xfId="22399"/>
    <cellStyle name="注释 2 16 2 2 6" xfId="37579"/>
    <cellStyle name="注释 2 16 2 3" xfId="16378"/>
    <cellStyle name="注释 2 16 2 3 2" xfId="19552"/>
    <cellStyle name="注释 2 16 2 3 2 2" xfId="37586"/>
    <cellStyle name="注释 2 16 2 3 3" xfId="22402"/>
    <cellStyle name="注释 2 16 2 3 4" xfId="37585"/>
    <cellStyle name="注释 2 16 2 4" xfId="16379"/>
    <cellStyle name="注释 2 16 2 4 2" xfId="19551"/>
    <cellStyle name="注释 2 16 2 4 2 2" xfId="37588"/>
    <cellStyle name="注释 2 16 2 4 3" xfId="22403"/>
    <cellStyle name="注释 2 16 2 4 4" xfId="37587"/>
    <cellStyle name="注释 2 16 2 5" xfId="21797"/>
    <cellStyle name="注释 2 16 2 5 2" xfId="37589"/>
    <cellStyle name="注释 2 16 2 6" xfId="37578"/>
    <cellStyle name="注释 2 16 3" xfId="10571"/>
    <cellStyle name="注释 2 16 3 2" xfId="16380"/>
    <cellStyle name="注释 2 16 3 2 2" xfId="16381"/>
    <cellStyle name="注释 2 16 3 2 2 2" xfId="18147"/>
    <cellStyle name="注释 2 16 3 2 2 2 2" xfId="37593"/>
    <cellStyle name="注释 2 16 3 2 2 3" xfId="22405"/>
    <cellStyle name="注释 2 16 3 2 2 4" xfId="37592"/>
    <cellStyle name="注释 2 16 3 2 3" xfId="16382"/>
    <cellStyle name="注释 2 16 3 2 3 2" xfId="18146"/>
    <cellStyle name="注释 2 16 3 2 3 2 2" xfId="37595"/>
    <cellStyle name="注释 2 16 3 2 3 3" xfId="22406"/>
    <cellStyle name="注释 2 16 3 2 3 4" xfId="37594"/>
    <cellStyle name="注释 2 16 3 2 4" xfId="18148"/>
    <cellStyle name="注释 2 16 3 2 4 2" xfId="37596"/>
    <cellStyle name="注释 2 16 3 2 5" xfId="22404"/>
    <cellStyle name="注释 2 16 3 2 6" xfId="37591"/>
    <cellStyle name="注释 2 16 3 3" xfId="16383"/>
    <cellStyle name="注释 2 16 3 3 2" xfId="18145"/>
    <cellStyle name="注释 2 16 3 3 2 2" xfId="37598"/>
    <cellStyle name="注释 2 16 3 3 3" xfId="22407"/>
    <cellStyle name="注释 2 16 3 3 4" xfId="37597"/>
    <cellStyle name="注释 2 16 3 4" xfId="16384"/>
    <cellStyle name="注释 2 16 3 4 2" xfId="21178"/>
    <cellStyle name="注释 2 16 3 4 2 2" xfId="37600"/>
    <cellStyle name="注释 2 16 3 4 3" xfId="22408"/>
    <cellStyle name="注释 2 16 3 4 4" xfId="37599"/>
    <cellStyle name="注释 2 16 3 5" xfId="21798"/>
    <cellStyle name="注释 2 16 3 5 2" xfId="37601"/>
    <cellStyle name="注释 2 16 3 6" xfId="37590"/>
    <cellStyle name="注释 2 16 4" xfId="10572"/>
    <cellStyle name="注释 2 16 4 2" xfId="16385"/>
    <cellStyle name="注释 2 16 4 2 2" xfId="16386"/>
    <cellStyle name="注释 2 16 4 2 2 2" xfId="8752"/>
    <cellStyle name="注释 2 16 4 2 2 2 2" xfId="37605"/>
    <cellStyle name="注释 2 16 4 2 2 3" xfId="22410"/>
    <cellStyle name="注释 2 16 4 2 2 4" xfId="37604"/>
    <cellStyle name="注释 2 16 4 2 3" xfId="16387"/>
    <cellStyle name="注释 2 16 4 2 3 2" xfId="21176"/>
    <cellStyle name="注释 2 16 4 2 3 2 2" xfId="37607"/>
    <cellStyle name="注释 2 16 4 2 3 3" xfId="22411"/>
    <cellStyle name="注释 2 16 4 2 3 4" xfId="37606"/>
    <cellStyle name="注释 2 16 4 2 4" xfId="21177"/>
    <cellStyle name="注释 2 16 4 2 4 2" xfId="37608"/>
    <cellStyle name="注释 2 16 4 2 5" xfId="22409"/>
    <cellStyle name="注释 2 16 4 2 6" xfId="37603"/>
    <cellStyle name="注释 2 16 4 3" xfId="16388"/>
    <cellStyle name="注释 2 16 4 3 2" xfId="18144"/>
    <cellStyle name="注释 2 16 4 3 2 2" xfId="37610"/>
    <cellStyle name="注释 2 16 4 3 3" xfId="22412"/>
    <cellStyle name="注释 2 16 4 3 4" xfId="37609"/>
    <cellStyle name="注释 2 16 4 4" xfId="16389"/>
    <cellStyle name="注释 2 16 4 4 2" xfId="18143"/>
    <cellStyle name="注释 2 16 4 4 2 2" xfId="37612"/>
    <cellStyle name="注释 2 16 4 4 3" xfId="22413"/>
    <cellStyle name="注释 2 16 4 4 4" xfId="37611"/>
    <cellStyle name="注释 2 16 4 5" xfId="17841"/>
    <cellStyle name="注释 2 16 4 5 2" xfId="37613"/>
    <cellStyle name="注释 2 16 4 6" xfId="37602"/>
    <cellStyle name="注释 2 16 5" xfId="10573"/>
    <cellStyle name="注释 2 16 5 2" xfId="16390"/>
    <cellStyle name="注释 2 16 5 2 2" xfId="16391"/>
    <cellStyle name="注释 2 16 5 2 2 2" xfId="18914"/>
    <cellStyle name="注释 2 16 5 2 2 2 2" xfId="37617"/>
    <cellStyle name="注释 2 16 5 2 2 3" xfId="22415"/>
    <cellStyle name="注释 2 16 5 2 2 4" xfId="37616"/>
    <cellStyle name="注释 2 16 5 2 3" xfId="16392"/>
    <cellStyle name="注释 2 16 5 2 3 2" xfId="18141"/>
    <cellStyle name="注释 2 16 5 2 3 2 2" xfId="37619"/>
    <cellStyle name="注释 2 16 5 2 3 3" xfId="22416"/>
    <cellStyle name="注释 2 16 5 2 3 4" xfId="37618"/>
    <cellStyle name="注释 2 16 5 2 4" xfId="18142"/>
    <cellStyle name="注释 2 16 5 2 4 2" xfId="37620"/>
    <cellStyle name="注释 2 16 5 2 5" xfId="22414"/>
    <cellStyle name="注释 2 16 5 2 6" xfId="37615"/>
    <cellStyle name="注释 2 16 5 3" xfId="16393"/>
    <cellStyle name="注释 2 16 5 3 2" xfId="18140"/>
    <cellStyle name="注释 2 16 5 3 2 2" xfId="37622"/>
    <cellStyle name="注释 2 16 5 3 3" xfId="22417"/>
    <cellStyle name="注释 2 16 5 3 4" xfId="37621"/>
    <cellStyle name="注释 2 16 5 4" xfId="16394"/>
    <cellStyle name="注释 2 16 5 4 2" xfId="18680"/>
    <cellStyle name="注释 2 16 5 4 2 2" xfId="37624"/>
    <cellStyle name="注释 2 16 5 4 3" xfId="22418"/>
    <cellStyle name="注释 2 16 5 4 4" xfId="37623"/>
    <cellStyle name="注释 2 16 5 5" xfId="17842"/>
    <cellStyle name="注释 2 16 5 5 2" xfId="37625"/>
    <cellStyle name="注释 2 16 5 6" xfId="37614"/>
    <cellStyle name="注释 2 16 6" xfId="16395"/>
    <cellStyle name="注释 2 16 6 2" xfId="16396"/>
    <cellStyle name="注释 2 16 6 2 2" xfId="18913"/>
    <cellStyle name="注释 2 16 6 2 2 2" xfId="37628"/>
    <cellStyle name="注释 2 16 6 2 3" xfId="22420"/>
    <cellStyle name="注释 2 16 6 2 4" xfId="37627"/>
    <cellStyle name="注释 2 16 6 3" xfId="16397"/>
    <cellStyle name="注释 2 16 6 3 2" xfId="18138"/>
    <cellStyle name="注释 2 16 6 3 2 2" xfId="37630"/>
    <cellStyle name="注释 2 16 6 3 3" xfId="22421"/>
    <cellStyle name="注释 2 16 6 3 4" xfId="37629"/>
    <cellStyle name="注释 2 16 6 4" xfId="18139"/>
    <cellStyle name="注释 2 16 6 4 2" xfId="37631"/>
    <cellStyle name="注释 2 16 6 5" xfId="22419"/>
    <cellStyle name="注释 2 16 6 6" xfId="37626"/>
    <cellStyle name="注释 2 16 7" xfId="16398"/>
    <cellStyle name="注释 2 16 7 2" xfId="19550"/>
    <cellStyle name="注释 2 16 7 2 2" xfId="37633"/>
    <cellStyle name="注释 2 16 7 3" xfId="22422"/>
    <cellStyle name="注释 2 16 7 4" xfId="37632"/>
    <cellStyle name="注释 2 16 8" xfId="16399"/>
    <cellStyle name="注释 2 16 8 2" xfId="18137"/>
    <cellStyle name="注释 2 16 8 2 2" xfId="37635"/>
    <cellStyle name="注释 2 16 8 3" xfId="22423"/>
    <cellStyle name="注释 2 16 8 4" xfId="37634"/>
    <cellStyle name="注释 2 16 9" xfId="21796"/>
    <cellStyle name="注释 2 16 9 2" xfId="37636"/>
    <cellStyle name="注释 2 17" xfId="10574"/>
    <cellStyle name="注释 2 17 10" xfId="37637"/>
    <cellStyle name="注释 2 17 2" xfId="10575"/>
    <cellStyle name="注释 2 17 2 2" xfId="16400"/>
    <cellStyle name="注释 2 17 2 2 2" xfId="16401"/>
    <cellStyle name="注释 2 17 2 2 2 2" xfId="18912"/>
    <cellStyle name="注释 2 17 2 2 2 2 2" xfId="37641"/>
    <cellStyle name="注释 2 17 2 2 2 3" xfId="22425"/>
    <cellStyle name="注释 2 17 2 2 2 4" xfId="37640"/>
    <cellStyle name="注释 2 17 2 2 3" xfId="16402"/>
    <cellStyle name="注释 2 17 2 2 3 2" xfId="20591"/>
    <cellStyle name="注释 2 17 2 2 3 2 2" xfId="37643"/>
    <cellStyle name="注释 2 17 2 2 3 3" xfId="22426"/>
    <cellStyle name="注释 2 17 2 2 3 4" xfId="37642"/>
    <cellStyle name="注释 2 17 2 2 4" xfId="18136"/>
    <cellStyle name="注释 2 17 2 2 4 2" xfId="37644"/>
    <cellStyle name="注释 2 17 2 2 5" xfId="22424"/>
    <cellStyle name="注释 2 17 2 2 6" xfId="37639"/>
    <cellStyle name="注释 2 17 2 3" xfId="16403"/>
    <cellStyle name="注释 2 17 2 3 2" xfId="21175"/>
    <cellStyle name="注释 2 17 2 3 2 2" xfId="37646"/>
    <cellStyle name="注释 2 17 2 3 3" xfId="22427"/>
    <cellStyle name="注释 2 17 2 3 4" xfId="37645"/>
    <cellStyle name="注释 2 17 2 4" xfId="16404"/>
    <cellStyle name="注释 2 17 2 4 2" xfId="19549"/>
    <cellStyle name="注释 2 17 2 4 2 2" xfId="37648"/>
    <cellStyle name="注释 2 17 2 4 3" xfId="22428"/>
    <cellStyle name="注释 2 17 2 4 4" xfId="37647"/>
    <cellStyle name="注释 2 17 2 5" xfId="18843"/>
    <cellStyle name="注释 2 17 2 5 2" xfId="37649"/>
    <cellStyle name="注释 2 17 2 6" xfId="37638"/>
    <cellStyle name="注释 2 17 3" xfId="10576"/>
    <cellStyle name="注释 2 17 3 2" xfId="16405"/>
    <cellStyle name="注释 2 17 3 2 2" xfId="16406"/>
    <cellStyle name="注释 2 17 3 2 2 2" xfId="18134"/>
    <cellStyle name="注释 2 17 3 2 2 2 2" xfId="37653"/>
    <cellStyle name="注释 2 17 3 2 2 3" xfId="22430"/>
    <cellStyle name="注释 2 17 3 2 2 4" xfId="37652"/>
    <cellStyle name="注释 2 17 3 2 3" xfId="16407"/>
    <cellStyle name="注释 2 17 3 2 3 2" xfId="19548"/>
    <cellStyle name="注释 2 17 3 2 3 2 2" xfId="37655"/>
    <cellStyle name="注释 2 17 3 2 3 3" xfId="22431"/>
    <cellStyle name="注释 2 17 3 2 3 4" xfId="37654"/>
    <cellStyle name="注释 2 17 3 2 4" xfId="18135"/>
    <cellStyle name="注释 2 17 3 2 4 2" xfId="37656"/>
    <cellStyle name="注释 2 17 3 2 5" xfId="22429"/>
    <cellStyle name="注释 2 17 3 2 6" xfId="37651"/>
    <cellStyle name="注释 2 17 3 3" xfId="16408"/>
    <cellStyle name="注释 2 17 3 3 2" xfId="18133"/>
    <cellStyle name="注释 2 17 3 3 2 2" xfId="37658"/>
    <cellStyle name="注释 2 17 3 3 3" xfId="22432"/>
    <cellStyle name="注释 2 17 3 3 4" xfId="37657"/>
    <cellStyle name="注释 2 17 3 4" xfId="16409"/>
    <cellStyle name="注释 2 17 3 4 2" xfId="21174"/>
    <cellStyle name="注释 2 17 3 4 2 2" xfId="37660"/>
    <cellStyle name="注释 2 17 3 4 3" xfId="22433"/>
    <cellStyle name="注释 2 17 3 4 4" xfId="37659"/>
    <cellStyle name="注释 2 17 3 5" xfId="21800"/>
    <cellStyle name="注释 2 17 3 5 2" xfId="37661"/>
    <cellStyle name="注释 2 17 3 6" xfId="37650"/>
    <cellStyle name="注释 2 17 4" xfId="10577"/>
    <cellStyle name="注释 2 17 4 2" xfId="16410"/>
    <cellStyle name="注释 2 17 4 2 2" xfId="16411"/>
    <cellStyle name="注释 2 17 4 2 2 2" xfId="20590"/>
    <cellStyle name="注释 2 17 4 2 2 2 2" xfId="37665"/>
    <cellStyle name="注释 2 17 4 2 2 3" xfId="22435"/>
    <cellStyle name="注释 2 17 4 2 2 4" xfId="37664"/>
    <cellStyle name="注释 2 17 4 2 3" xfId="16412"/>
    <cellStyle name="注释 2 17 4 2 3 2" xfId="18131"/>
    <cellStyle name="注释 2 17 4 2 3 2 2" xfId="37667"/>
    <cellStyle name="注释 2 17 4 2 3 3" xfId="22436"/>
    <cellStyle name="注释 2 17 4 2 3 4" xfId="37666"/>
    <cellStyle name="注释 2 17 4 2 4" xfId="18132"/>
    <cellStyle name="注释 2 17 4 2 4 2" xfId="37668"/>
    <cellStyle name="注释 2 17 4 2 5" xfId="22434"/>
    <cellStyle name="注释 2 17 4 2 6" xfId="37663"/>
    <cellStyle name="注释 2 17 4 3" xfId="16413"/>
    <cellStyle name="注释 2 17 4 3 2" xfId="18130"/>
    <cellStyle name="注释 2 17 4 3 2 2" xfId="37670"/>
    <cellStyle name="注释 2 17 4 3 3" xfId="22437"/>
    <cellStyle name="注释 2 17 4 3 4" xfId="37669"/>
    <cellStyle name="注释 2 17 4 4" xfId="16414"/>
    <cellStyle name="注释 2 17 4 4 2" xfId="18129"/>
    <cellStyle name="注释 2 17 4 4 2 2" xfId="37672"/>
    <cellStyle name="注释 2 17 4 4 3" xfId="22438"/>
    <cellStyle name="注释 2 17 4 4 4" xfId="37671"/>
    <cellStyle name="注释 2 17 4 5" xfId="21801"/>
    <cellStyle name="注释 2 17 4 5 2" xfId="37673"/>
    <cellStyle name="注释 2 17 4 6" xfId="37662"/>
    <cellStyle name="注释 2 17 5" xfId="10578"/>
    <cellStyle name="注释 2 17 5 2" xfId="16415"/>
    <cellStyle name="注释 2 17 5 2 2" xfId="16416"/>
    <cellStyle name="注释 2 17 5 2 2 2" xfId="18911"/>
    <cellStyle name="注释 2 17 5 2 2 2 2" xfId="37677"/>
    <cellStyle name="注释 2 17 5 2 2 3" xfId="22440"/>
    <cellStyle name="注释 2 17 5 2 2 4" xfId="37676"/>
    <cellStyle name="注释 2 17 5 2 3" xfId="16417"/>
    <cellStyle name="注释 2 17 5 2 3 2" xfId="18127"/>
    <cellStyle name="注释 2 17 5 2 3 2 2" xfId="37679"/>
    <cellStyle name="注释 2 17 5 2 3 3" xfId="22441"/>
    <cellStyle name="注释 2 17 5 2 3 4" xfId="37678"/>
    <cellStyle name="注释 2 17 5 2 4" xfId="18128"/>
    <cellStyle name="注释 2 17 5 2 4 2" xfId="37680"/>
    <cellStyle name="注释 2 17 5 2 5" xfId="22439"/>
    <cellStyle name="注释 2 17 5 2 6" xfId="37675"/>
    <cellStyle name="注释 2 17 5 3" xfId="16418"/>
    <cellStyle name="注释 2 17 5 3 2" xfId="18126"/>
    <cellStyle name="注释 2 17 5 3 2 2" xfId="37682"/>
    <cellStyle name="注释 2 17 5 3 3" xfId="22442"/>
    <cellStyle name="注释 2 17 5 3 4" xfId="37681"/>
    <cellStyle name="注释 2 17 5 4" xfId="16419"/>
    <cellStyle name="注释 2 17 5 4 2" xfId="18125"/>
    <cellStyle name="注释 2 17 5 4 2 2" xfId="37684"/>
    <cellStyle name="注释 2 17 5 4 3" xfId="22443"/>
    <cellStyle name="注释 2 17 5 4 4" xfId="37683"/>
    <cellStyle name="注释 2 17 5 5" xfId="21802"/>
    <cellStyle name="注释 2 17 5 5 2" xfId="37685"/>
    <cellStyle name="注释 2 17 5 6" xfId="37674"/>
    <cellStyle name="注释 2 17 6" xfId="16420"/>
    <cellStyle name="注释 2 17 6 2" xfId="16421"/>
    <cellStyle name="注释 2 17 6 2 2" xfId="18910"/>
    <cellStyle name="注释 2 17 6 2 2 2" xfId="37688"/>
    <cellStyle name="注释 2 17 6 2 3" xfId="22445"/>
    <cellStyle name="注释 2 17 6 2 4" xfId="37687"/>
    <cellStyle name="注释 2 17 6 3" xfId="16422"/>
    <cellStyle name="注释 2 17 6 3 2" xfId="18123"/>
    <cellStyle name="注释 2 17 6 3 2 2" xfId="37690"/>
    <cellStyle name="注释 2 17 6 3 3" xfId="22446"/>
    <cellStyle name="注释 2 17 6 3 4" xfId="37689"/>
    <cellStyle name="注释 2 17 6 4" xfId="18124"/>
    <cellStyle name="注释 2 17 6 4 2" xfId="37691"/>
    <cellStyle name="注释 2 17 6 5" xfId="22444"/>
    <cellStyle name="注释 2 17 6 6" xfId="37686"/>
    <cellStyle name="注释 2 17 7" xfId="16423"/>
    <cellStyle name="注释 2 17 7 2" xfId="21173"/>
    <cellStyle name="注释 2 17 7 2 2" xfId="37693"/>
    <cellStyle name="注释 2 17 7 3" xfId="22447"/>
    <cellStyle name="注释 2 17 7 4" xfId="37692"/>
    <cellStyle name="注释 2 17 8" xfId="16424"/>
    <cellStyle name="注释 2 17 8 2" xfId="18122"/>
    <cellStyle name="注释 2 17 8 2 2" xfId="37695"/>
    <cellStyle name="注释 2 17 8 3" xfId="22448"/>
    <cellStyle name="注释 2 17 8 4" xfId="37694"/>
    <cellStyle name="注释 2 17 9" xfId="21799"/>
    <cellStyle name="注释 2 17 9 2" xfId="37696"/>
    <cellStyle name="注释 2 18" xfId="10579"/>
    <cellStyle name="注释 2 18 10" xfId="37697"/>
    <cellStyle name="注释 2 18 2" xfId="10580"/>
    <cellStyle name="注释 2 18 2 2" xfId="16425"/>
    <cellStyle name="注释 2 18 2 2 2" xfId="16426"/>
    <cellStyle name="注释 2 18 2 2 2 2" xfId="8753"/>
    <cellStyle name="注释 2 18 2 2 2 2 2" xfId="37701"/>
    <cellStyle name="注释 2 18 2 2 2 3" xfId="22450"/>
    <cellStyle name="注释 2 18 2 2 2 4" xfId="37700"/>
    <cellStyle name="注释 2 18 2 2 3" xfId="16427"/>
    <cellStyle name="注释 2 18 2 2 3 2" xfId="18909"/>
    <cellStyle name="注释 2 18 2 2 3 2 2" xfId="37703"/>
    <cellStyle name="注释 2 18 2 2 3 3" xfId="22451"/>
    <cellStyle name="注释 2 18 2 2 3 4" xfId="37702"/>
    <cellStyle name="注释 2 18 2 2 4" xfId="18121"/>
    <cellStyle name="注释 2 18 2 2 4 2" xfId="37704"/>
    <cellStyle name="注释 2 18 2 2 5" xfId="22449"/>
    <cellStyle name="注释 2 18 2 2 6" xfId="37699"/>
    <cellStyle name="注释 2 18 2 3" xfId="16428"/>
    <cellStyle name="注释 2 18 2 3 2" xfId="18908"/>
    <cellStyle name="注释 2 18 2 3 2 2" xfId="37706"/>
    <cellStyle name="注释 2 18 2 3 3" xfId="22452"/>
    <cellStyle name="注释 2 18 2 3 4" xfId="37705"/>
    <cellStyle name="注释 2 18 2 4" xfId="16429"/>
    <cellStyle name="注释 2 18 2 4 2" xfId="20589"/>
    <cellStyle name="注释 2 18 2 4 2 2" xfId="37708"/>
    <cellStyle name="注释 2 18 2 4 3" xfId="22453"/>
    <cellStyle name="注释 2 18 2 4 4" xfId="37707"/>
    <cellStyle name="注释 2 18 2 5" xfId="21803"/>
    <cellStyle name="注释 2 18 2 5 2" xfId="37709"/>
    <cellStyle name="注释 2 18 2 6" xfId="37698"/>
    <cellStyle name="注释 2 18 3" xfId="10581"/>
    <cellStyle name="注释 2 18 3 2" xfId="16430"/>
    <cellStyle name="注释 2 18 3 2 2" xfId="16431"/>
    <cellStyle name="注释 2 18 3 2 2 2" xfId="18906"/>
    <cellStyle name="注释 2 18 3 2 2 2 2" xfId="37713"/>
    <cellStyle name="注释 2 18 3 2 2 3" xfId="22455"/>
    <cellStyle name="注释 2 18 3 2 2 4" xfId="37712"/>
    <cellStyle name="注释 2 18 3 2 3" xfId="16432"/>
    <cellStyle name="注释 2 18 3 2 3 2" xfId="18905"/>
    <cellStyle name="注释 2 18 3 2 3 2 2" xfId="37715"/>
    <cellStyle name="注释 2 18 3 2 3 3" xfId="22456"/>
    <cellStyle name="注释 2 18 3 2 3 4" xfId="37714"/>
    <cellStyle name="注释 2 18 3 2 4" xfId="18907"/>
    <cellStyle name="注释 2 18 3 2 4 2" xfId="37716"/>
    <cellStyle name="注释 2 18 3 2 5" xfId="22454"/>
    <cellStyle name="注释 2 18 3 2 6" xfId="37711"/>
    <cellStyle name="注释 2 18 3 3" xfId="16433"/>
    <cellStyle name="注释 2 18 3 3 2" xfId="8754"/>
    <cellStyle name="注释 2 18 3 3 2 2" xfId="37718"/>
    <cellStyle name="注释 2 18 3 3 3" xfId="22457"/>
    <cellStyle name="注释 2 18 3 3 4" xfId="37717"/>
    <cellStyle name="注释 2 18 3 4" xfId="16434"/>
    <cellStyle name="注释 2 18 3 4 2" xfId="18904"/>
    <cellStyle name="注释 2 18 3 4 2 2" xfId="37720"/>
    <cellStyle name="注释 2 18 3 4 3" xfId="22458"/>
    <cellStyle name="注释 2 18 3 4 4" xfId="37719"/>
    <cellStyle name="注释 2 18 3 5" xfId="21804"/>
    <cellStyle name="注释 2 18 3 5 2" xfId="37721"/>
    <cellStyle name="注释 2 18 3 6" xfId="37710"/>
    <cellStyle name="注释 2 18 4" xfId="10582"/>
    <cellStyle name="注释 2 18 4 2" xfId="16435"/>
    <cellStyle name="注释 2 18 4 2 2" xfId="16436"/>
    <cellStyle name="注释 2 18 4 2 2 2" xfId="18903"/>
    <cellStyle name="注释 2 18 4 2 2 2 2" xfId="37725"/>
    <cellStyle name="注释 2 18 4 2 2 3" xfId="22460"/>
    <cellStyle name="注释 2 18 4 2 2 4" xfId="37724"/>
    <cellStyle name="注释 2 18 4 2 3" xfId="16437"/>
    <cellStyle name="注释 2 18 4 2 3 2" xfId="18902"/>
    <cellStyle name="注释 2 18 4 2 3 2 2" xfId="37727"/>
    <cellStyle name="注释 2 18 4 2 3 3" xfId="22461"/>
    <cellStyle name="注释 2 18 4 2 3 4" xfId="37726"/>
    <cellStyle name="注释 2 18 4 2 4" xfId="20588"/>
    <cellStyle name="注释 2 18 4 2 4 2" xfId="37728"/>
    <cellStyle name="注释 2 18 4 2 5" xfId="22459"/>
    <cellStyle name="注释 2 18 4 2 6" xfId="37723"/>
    <cellStyle name="注释 2 18 4 3" xfId="16438"/>
    <cellStyle name="注释 2 18 4 3 2" xfId="18901"/>
    <cellStyle name="注释 2 18 4 3 2 2" xfId="37730"/>
    <cellStyle name="注释 2 18 4 3 3" xfId="22462"/>
    <cellStyle name="注释 2 18 4 3 4" xfId="37729"/>
    <cellStyle name="注释 2 18 4 4" xfId="16439"/>
    <cellStyle name="注释 2 18 4 4 2" xfId="18900"/>
    <cellStyle name="注释 2 18 4 4 2 2" xfId="37732"/>
    <cellStyle name="注释 2 18 4 4 3" xfId="22463"/>
    <cellStyle name="注释 2 18 4 4 4" xfId="37731"/>
    <cellStyle name="注释 2 18 4 5" xfId="21805"/>
    <cellStyle name="注释 2 18 4 5 2" xfId="37733"/>
    <cellStyle name="注释 2 18 4 6" xfId="37722"/>
    <cellStyle name="注释 2 18 5" xfId="10583"/>
    <cellStyle name="注释 2 18 5 2" xfId="16440"/>
    <cellStyle name="注释 2 18 5 2 2" xfId="16441"/>
    <cellStyle name="注释 2 18 5 2 2 2" xfId="20587"/>
    <cellStyle name="注释 2 18 5 2 2 2 2" xfId="37737"/>
    <cellStyle name="注释 2 18 5 2 2 3" xfId="22465"/>
    <cellStyle name="注释 2 18 5 2 2 4" xfId="37736"/>
    <cellStyle name="注释 2 18 5 2 3" xfId="16442"/>
    <cellStyle name="注释 2 18 5 2 3 2" xfId="8756"/>
    <cellStyle name="注释 2 18 5 2 3 2 2" xfId="37739"/>
    <cellStyle name="注释 2 18 5 2 3 3" xfId="22466"/>
    <cellStyle name="注释 2 18 5 2 3 4" xfId="37738"/>
    <cellStyle name="注释 2 18 5 2 4" xfId="8755"/>
    <cellStyle name="注释 2 18 5 2 4 2" xfId="37740"/>
    <cellStyle name="注释 2 18 5 2 5" xfId="22464"/>
    <cellStyle name="注释 2 18 5 2 6" xfId="37735"/>
    <cellStyle name="注释 2 18 5 3" xfId="16443"/>
    <cellStyle name="注释 2 18 5 3 2" xfId="18899"/>
    <cellStyle name="注释 2 18 5 3 2 2" xfId="37742"/>
    <cellStyle name="注释 2 18 5 3 3" xfId="22467"/>
    <cellStyle name="注释 2 18 5 3 4" xfId="37741"/>
    <cellStyle name="注释 2 18 5 4" xfId="16444"/>
    <cellStyle name="注释 2 18 5 4 2" xfId="18898"/>
    <cellStyle name="注释 2 18 5 4 2 2" xfId="37744"/>
    <cellStyle name="注释 2 18 5 4 3" xfId="22468"/>
    <cellStyle name="注释 2 18 5 4 4" xfId="37743"/>
    <cellStyle name="注释 2 18 5 5" xfId="21806"/>
    <cellStyle name="注释 2 18 5 5 2" xfId="37745"/>
    <cellStyle name="注释 2 18 5 6" xfId="37734"/>
    <cellStyle name="注释 2 18 6" xfId="16445"/>
    <cellStyle name="注释 2 18 6 2" xfId="16446"/>
    <cellStyle name="注释 2 18 6 2 2" xfId="18896"/>
    <cellStyle name="注释 2 18 6 2 2 2" xfId="37748"/>
    <cellStyle name="注释 2 18 6 2 3" xfId="22470"/>
    <cellStyle name="注释 2 18 6 2 4" xfId="37747"/>
    <cellStyle name="注释 2 18 6 3" xfId="16447"/>
    <cellStyle name="注释 2 18 6 3 2" xfId="18895"/>
    <cellStyle name="注释 2 18 6 3 2 2" xfId="37750"/>
    <cellStyle name="注释 2 18 6 3 3" xfId="22471"/>
    <cellStyle name="注释 2 18 6 3 4" xfId="37749"/>
    <cellStyle name="注释 2 18 6 4" xfId="18897"/>
    <cellStyle name="注释 2 18 6 4 2" xfId="37751"/>
    <cellStyle name="注释 2 18 6 5" xfId="22469"/>
    <cellStyle name="注释 2 18 6 6" xfId="37746"/>
    <cellStyle name="注释 2 18 7" xfId="16448"/>
    <cellStyle name="注释 2 18 7 2" xfId="18894"/>
    <cellStyle name="注释 2 18 7 2 2" xfId="37753"/>
    <cellStyle name="注释 2 18 7 3" xfId="22472"/>
    <cellStyle name="注释 2 18 7 4" xfId="37752"/>
    <cellStyle name="注释 2 18 8" xfId="16449"/>
    <cellStyle name="注释 2 18 8 2" xfId="18893"/>
    <cellStyle name="注释 2 18 8 2 2" xfId="37755"/>
    <cellStyle name="注释 2 18 8 3" xfId="22473"/>
    <cellStyle name="注释 2 18 8 4" xfId="37754"/>
    <cellStyle name="注释 2 18 9" xfId="17843"/>
    <cellStyle name="注释 2 18 9 2" xfId="37756"/>
    <cellStyle name="注释 2 19" xfId="10584"/>
    <cellStyle name="注释 2 19 2" xfId="16450"/>
    <cellStyle name="注释 2 19 2 2" xfId="16451"/>
    <cellStyle name="注释 2 19 2 2 2" xfId="18891"/>
    <cellStyle name="注释 2 19 2 2 2 2" xfId="37760"/>
    <cellStyle name="注释 2 19 2 2 3" xfId="22475"/>
    <cellStyle name="注释 2 19 2 2 4" xfId="37759"/>
    <cellStyle name="注释 2 19 2 3" xfId="16452"/>
    <cellStyle name="注释 2 19 2 3 2" xfId="18531"/>
    <cellStyle name="注释 2 19 2 3 2 2" xfId="37762"/>
    <cellStyle name="注释 2 19 2 3 3" xfId="22476"/>
    <cellStyle name="注释 2 19 2 3 4" xfId="37761"/>
    <cellStyle name="注释 2 19 2 4" xfId="18892"/>
    <cellStyle name="注释 2 19 2 4 2" xfId="37763"/>
    <cellStyle name="注释 2 19 2 5" xfId="22474"/>
    <cellStyle name="注释 2 19 2 6" xfId="37758"/>
    <cellStyle name="注释 2 19 3" xfId="16453"/>
    <cellStyle name="注释 2 19 3 2" xfId="20586"/>
    <cellStyle name="注释 2 19 3 2 2" xfId="37765"/>
    <cellStyle name="注释 2 19 3 3" xfId="22477"/>
    <cellStyle name="注释 2 19 3 4" xfId="37764"/>
    <cellStyle name="注释 2 19 4" xfId="16454"/>
    <cellStyle name="注释 2 19 4 2" xfId="18890"/>
    <cellStyle name="注释 2 19 4 2 2" xfId="37767"/>
    <cellStyle name="注释 2 19 4 3" xfId="22478"/>
    <cellStyle name="注释 2 19 4 4" xfId="37766"/>
    <cellStyle name="注释 2 19 5" xfId="21807"/>
    <cellStyle name="注释 2 19 5 2" xfId="37768"/>
    <cellStyle name="注释 2 19 6" xfId="37757"/>
    <cellStyle name="注释 2 2" xfId="5485"/>
    <cellStyle name="注释 2 2 10" xfId="10586"/>
    <cellStyle name="注释 2 2 10 10" xfId="37770"/>
    <cellStyle name="注释 2 2 10 2" xfId="10587"/>
    <cellStyle name="注释 2 2 10 2 2" xfId="16455"/>
    <cellStyle name="注释 2 2 10 2 2 2" xfId="16456"/>
    <cellStyle name="注释 2 2 10 2 2 2 2" xfId="18889"/>
    <cellStyle name="注释 2 2 10 2 2 2 2 2" xfId="37774"/>
    <cellStyle name="注释 2 2 10 2 2 2 3" xfId="22480"/>
    <cellStyle name="注释 2 2 10 2 2 2 4" xfId="37773"/>
    <cellStyle name="注释 2 2 10 2 2 3" xfId="16457"/>
    <cellStyle name="注释 2 2 10 2 2 3 2" xfId="18888"/>
    <cellStyle name="注释 2 2 10 2 2 3 2 2" xfId="37776"/>
    <cellStyle name="注释 2 2 10 2 2 3 3" xfId="22481"/>
    <cellStyle name="注释 2 2 10 2 2 3 4" xfId="37775"/>
    <cellStyle name="注释 2 2 10 2 2 4" xfId="8757"/>
    <cellStyle name="注释 2 2 10 2 2 4 2" xfId="37777"/>
    <cellStyle name="注释 2 2 10 2 2 5" xfId="22479"/>
    <cellStyle name="注释 2 2 10 2 2 6" xfId="37772"/>
    <cellStyle name="注释 2 2 10 2 3" xfId="16458"/>
    <cellStyle name="注释 2 2 10 2 3 2" xfId="18887"/>
    <cellStyle name="注释 2 2 10 2 3 2 2" xfId="37779"/>
    <cellStyle name="注释 2 2 10 2 3 3" xfId="22482"/>
    <cellStyle name="注释 2 2 10 2 3 4" xfId="37778"/>
    <cellStyle name="注释 2 2 10 2 4" xfId="16459"/>
    <cellStyle name="注释 2 2 10 2 4 2" xfId="20585"/>
    <cellStyle name="注释 2 2 10 2 4 2 2" xfId="37781"/>
    <cellStyle name="注释 2 2 10 2 4 3" xfId="22483"/>
    <cellStyle name="注释 2 2 10 2 4 4" xfId="37780"/>
    <cellStyle name="注释 2 2 10 2 5" xfId="21808"/>
    <cellStyle name="注释 2 2 10 2 5 2" xfId="37782"/>
    <cellStyle name="注释 2 2 10 2 6" xfId="37771"/>
    <cellStyle name="注释 2 2 10 3" xfId="10588"/>
    <cellStyle name="注释 2 2 10 3 2" xfId="16460"/>
    <cellStyle name="注释 2 2 10 3 2 2" xfId="16461"/>
    <cellStyle name="注释 2 2 10 3 2 2 2" xfId="18885"/>
    <cellStyle name="注释 2 2 10 3 2 2 2 2" xfId="37786"/>
    <cellStyle name="注释 2 2 10 3 2 2 3" xfId="22485"/>
    <cellStyle name="注释 2 2 10 3 2 2 4" xfId="37785"/>
    <cellStyle name="注释 2 2 10 3 2 3" xfId="16462"/>
    <cellStyle name="注释 2 2 10 3 2 3 2" xfId="8758"/>
    <cellStyle name="注释 2 2 10 3 2 3 2 2" xfId="37788"/>
    <cellStyle name="注释 2 2 10 3 2 3 3" xfId="22486"/>
    <cellStyle name="注释 2 2 10 3 2 3 4" xfId="37787"/>
    <cellStyle name="注释 2 2 10 3 2 4" xfId="18886"/>
    <cellStyle name="注释 2 2 10 3 2 4 2" xfId="37789"/>
    <cellStyle name="注释 2 2 10 3 2 5" xfId="22484"/>
    <cellStyle name="注释 2 2 10 3 2 6" xfId="37784"/>
    <cellStyle name="注释 2 2 10 3 3" xfId="16463"/>
    <cellStyle name="注释 2 2 10 3 3 2" xfId="18884"/>
    <cellStyle name="注释 2 2 10 3 3 2 2" xfId="37791"/>
    <cellStyle name="注释 2 2 10 3 3 3" xfId="22487"/>
    <cellStyle name="注释 2 2 10 3 3 4" xfId="37790"/>
    <cellStyle name="注释 2 2 10 3 4" xfId="16464"/>
    <cellStyle name="注释 2 2 10 3 4 2" xfId="18883"/>
    <cellStyle name="注释 2 2 10 3 4 2 2" xfId="37793"/>
    <cellStyle name="注释 2 2 10 3 4 3" xfId="22488"/>
    <cellStyle name="注释 2 2 10 3 4 4" xfId="37792"/>
    <cellStyle name="注释 2 2 10 3 5" xfId="21809"/>
    <cellStyle name="注释 2 2 10 3 5 2" xfId="37794"/>
    <cellStyle name="注释 2 2 10 3 6" xfId="37783"/>
    <cellStyle name="注释 2 2 10 4" xfId="10589"/>
    <cellStyle name="注释 2 2 10 4 2" xfId="16465"/>
    <cellStyle name="注释 2 2 10 4 2 2" xfId="16466"/>
    <cellStyle name="注释 2 2 10 4 2 2 2" xfId="18882"/>
    <cellStyle name="注释 2 2 10 4 2 2 2 2" xfId="37798"/>
    <cellStyle name="注释 2 2 10 4 2 2 3" xfId="22490"/>
    <cellStyle name="注释 2 2 10 4 2 2 4" xfId="37797"/>
    <cellStyle name="注释 2 2 10 4 2 3" xfId="16467"/>
    <cellStyle name="注释 2 2 10 4 2 3 2" xfId="18881"/>
    <cellStyle name="注释 2 2 10 4 2 3 2 2" xfId="37800"/>
    <cellStyle name="注释 2 2 10 4 2 3 3" xfId="22491"/>
    <cellStyle name="注释 2 2 10 4 2 3 4" xfId="37799"/>
    <cellStyle name="注释 2 2 10 4 2 4" xfId="20584"/>
    <cellStyle name="注释 2 2 10 4 2 4 2" xfId="37801"/>
    <cellStyle name="注释 2 2 10 4 2 5" xfId="22489"/>
    <cellStyle name="注释 2 2 10 4 2 6" xfId="37796"/>
    <cellStyle name="注释 2 2 10 4 3" xfId="16468"/>
    <cellStyle name="注释 2 2 10 4 3 2" xfId="18880"/>
    <cellStyle name="注释 2 2 10 4 3 2 2" xfId="37803"/>
    <cellStyle name="注释 2 2 10 4 3 3" xfId="22492"/>
    <cellStyle name="注释 2 2 10 4 3 4" xfId="37802"/>
    <cellStyle name="注释 2 2 10 4 4" xfId="16469"/>
    <cellStyle name="注释 2 2 10 4 4 2" xfId="8759"/>
    <cellStyle name="注释 2 2 10 4 4 2 2" xfId="37805"/>
    <cellStyle name="注释 2 2 10 4 4 3" xfId="22493"/>
    <cellStyle name="注释 2 2 10 4 4 4" xfId="37804"/>
    <cellStyle name="注释 2 2 10 4 5" xfId="21810"/>
    <cellStyle name="注释 2 2 10 4 5 2" xfId="37806"/>
    <cellStyle name="注释 2 2 10 4 6" xfId="37795"/>
    <cellStyle name="注释 2 2 10 5" xfId="10590"/>
    <cellStyle name="注释 2 2 10 5 2" xfId="16470"/>
    <cellStyle name="注释 2 2 10 5 2 2" xfId="16471"/>
    <cellStyle name="注释 2 2 10 5 2 2 2" xfId="18119"/>
    <cellStyle name="注释 2 2 10 5 2 2 2 2" xfId="37810"/>
    <cellStyle name="注释 2 2 10 5 2 2 3" xfId="22495"/>
    <cellStyle name="注释 2 2 10 5 2 2 4" xfId="37809"/>
    <cellStyle name="注释 2 2 10 5 2 3" xfId="16472"/>
    <cellStyle name="注释 2 2 10 5 2 3 2" xfId="18118"/>
    <cellStyle name="注释 2 2 10 5 2 3 2 2" xfId="37812"/>
    <cellStyle name="注释 2 2 10 5 2 3 3" xfId="22496"/>
    <cellStyle name="注释 2 2 10 5 2 3 4" xfId="37811"/>
    <cellStyle name="注释 2 2 10 5 2 4" xfId="18120"/>
    <cellStyle name="注释 2 2 10 5 2 4 2" xfId="37813"/>
    <cellStyle name="注释 2 2 10 5 2 5" xfId="22494"/>
    <cellStyle name="注释 2 2 10 5 2 6" xfId="37808"/>
    <cellStyle name="注释 2 2 10 5 3" xfId="16473"/>
    <cellStyle name="注释 2 2 10 5 3 2" xfId="21172"/>
    <cellStyle name="注释 2 2 10 5 3 2 2" xfId="37815"/>
    <cellStyle name="注释 2 2 10 5 3 3" xfId="22497"/>
    <cellStyle name="注释 2 2 10 5 3 4" xfId="37814"/>
    <cellStyle name="注释 2 2 10 5 4" xfId="16474"/>
    <cellStyle name="注释 2 2 10 5 4 2" xfId="18117"/>
    <cellStyle name="注释 2 2 10 5 4 2 2" xfId="37817"/>
    <cellStyle name="注释 2 2 10 5 4 3" xfId="22498"/>
    <cellStyle name="注释 2 2 10 5 4 4" xfId="37816"/>
    <cellStyle name="注释 2 2 10 5 5" xfId="21811"/>
    <cellStyle name="注释 2 2 10 5 5 2" xfId="37818"/>
    <cellStyle name="注释 2 2 10 5 6" xfId="37807"/>
    <cellStyle name="注释 2 2 10 6" xfId="16475"/>
    <cellStyle name="注释 2 2 10 6 2" xfId="16476"/>
    <cellStyle name="注释 2 2 10 6 2 2" xfId="18115"/>
    <cellStyle name="注释 2 2 10 6 2 2 2" xfId="37821"/>
    <cellStyle name="注释 2 2 10 6 2 3" xfId="22500"/>
    <cellStyle name="注释 2 2 10 6 2 4" xfId="37820"/>
    <cellStyle name="注释 2 2 10 6 3" xfId="16477"/>
    <cellStyle name="注释 2 2 10 6 3 2" xfId="18114"/>
    <cellStyle name="注释 2 2 10 6 3 2 2" xfId="37823"/>
    <cellStyle name="注释 2 2 10 6 3 3" xfId="22501"/>
    <cellStyle name="注释 2 2 10 6 3 4" xfId="37822"/>
    <cellStyle name="注释 2 2 10 6 4" xfId="18116"/>
    <cellStyle name="注释 2 2 10 6 4 2" xfId="37824"/>
    <cellStyle name="注释 2 2 10 6 5" xfId="22499"/>
    <cellStyle name="注释 2 2 10 6 6" xfId="37819"/>
    <cellStyle name="注释 2 2 10 7" xfId="16478"/>
    <cellStyle name="注释 2 2 10 7 2" xfId="18879"/>
    <cellStyle name="注释 2 2 10 7 2 2" xfId="37826"/>
    <cellStyle name="注释 2 2 10 7 3" xfId="22502"/>
    <cellStyle name="注释 2 2 10 7 4" xfId="37825"/>
    <cellStyle name="注释 2 2 10 8" xfId="16479"/>
    <cellStyle name="注释 2 2 10 8 2" xfId="18113"/>
    <cellStyle name="注释 2 2 10 8 2 2" xfId="37828"/>
    <cellStyle name="注释 2 2 10 8 3" xfId="22503"/>
    <cellStyle name="注释 2 2 10 8 4" xfId="37827"/>
    <cellStyle name="注释 2 2 10 9" xfId="18844"/>
    <cellStyle name="注释 2 2 10 9 2" xfId="37829"/>
    <cellStyle name="注释 2 2 11" xfId="10591"/>
    <cellStyle name="注释 2 2 11 10" xfId="37830"/>
    <cellStyle name="注释 2 2 11 2" xfId="10592"/>
    <cellStyle name="注释 2 2 11 2 2" xfId="16480"/>
    <cellStyle name="注释 2 2 11 2 2 2" xfId="16481"/>
    <cellStyle name="注释 2 2 11 2 2 2 2" xfId="18112"/>
    <cellStyle name="注释 2 2 11 2 2 2 2 2" xfId="37834"/>
    <cellStyle name="注释 2 2 11 2 2 2 3" xfId="22505"/>
    <cellStyle name="注释 2 2 11 2 2 2 4" xfId="37833"/>
    <cellStyle name="注释 2 2 11 2 2 3" xfId="16482"/>
    <cellStyle name="注释 2 2 11 2 2 3 2" xfId="18111"/>
    <cellStyle name="注释 2 2 11 2 2 3 2 2" xfId="37836"/>
    <cellStyle name="注释 2 2 11 2 2 3 3" xfId="22506"/>
    <cellStyle name="注释 2 2 11 2 2 3 4" xfId="37835"/>
    <cellStyle name="注释 2 2 11 2 2 4" xfId="21171"/>
    <cellStyle name="注释 2 2 11 2 2 4 2" xfId="37837"/>
    <cellStyle name="注释 2 2 11 2 2 5" xfId="22504"/>
    <cellStyle name="注释 2 2 11 2 2 6" xfId="37832"/>
    <cellStyle name="注释 2 2 11 2 3" xfId="16483"/>
    <cellStyle name="注释 2 2 11 2 3 2" xfId="20583"/>
    <cellStyle name="注释 2 2 11 2 3 2 2" xfId="37839"/>
    <cellStyle name="注释 2 2 11 2 3 3" xfId="22507"/>
    <cellStyle name="注释 2 2 11 2 3 4" xfId="37838"/>
    <cellStyle name="注释 2 2 11 2 4" xfId="16484"/>
    <cellStyle name="注释 2 2 11 2 4 2" xfId="18110"/>
    <cellStyle name="注释 2 2 11 2 4 2 2" xfId="37841"/>
    <cellStyle name="注释 2 2 11 2 4 3" xfId="22508"/>
    <cellStyle name="注释 2 2 11 2 4 4" xfId="37840"/>
    <cellStyle name="注释 2 2 11 2 5" xfId="21812"/>
    <cellStyle name="注释 2 2 11 2 5 2" xfId="37842"/>
    <cellStyle name="注释 2 2 11 2 6" xfId="37831"/>
    <cellStyle name="注释 2 2 11 3" xfId="10593"/>
    <cellStyle name="注释 2 2 11 3 2" xfId="16485"/>
    <cellStyle name="注释 2 2 11 3 2 2" xfId="16486"/>
    <cellStyle name="注释 2 2 11 3 2 2 2" xfId="18108"/>
    <cellStyle name="注释 2 2 11 3 2 2 2 2" xfId="37846"/>
    <cellStyle name="注释 2 2 11 3 2 2 3" xfId="22510"/>
    <cellStyle name="注释 2 2 11 3 2 2 4" xfId="37845"/>
    <cellStyle name="注释 2 2 11 3 2 3" xfId="16487"/>
    <cellStyle name="注释 2 2 11 3 2 3 2" xfId="18679"/>
    <cellStyle name="注释 2 2 11 3 2 3 2 2" xfId="37848"/>
    <cellStyle name="注释 2 2 11 3 2 3 3" xfId="22511"/>
    <cellStyle name="注释 2 2 11 3 2 3 4" xfId="37847"/>
    <cellStyle name="注释 2 2 11 3 2 4" xfId="18109"/>
    <cellStyle name="注释 2 2 11 3 2 4 2" xfId="37849"/>
    <cellStyle name="注释 2 2 11 3 2 5" xfId="22509"/>
    <cellStyle name="注释 2 2 11 3 2 6" xfId="37844"/>
    <cellStyle name="注释 2 2 11 3 3" xfId="16488"/>
    <cellStyle name="注释 2 2 11 3 3 2" xfId="18878"/>
    <cellStyle name="注释 2 2 11 3 3 2 2" xfId="37851"/>
    <cellStyle name="注释 2 2 11 3 3 3" xfId="22512"/>
    <cellStyle name="注释 2 2 11 3 3 4" xfId="37850"/>
    <cellStyle name="注释 2 2 11 3 4" xfId="16489"/>
    <cellStyle name="注释 2 2 11 3 4 2" xfId="18107"/>
    <cellStyle name="注释 2 2 11 3 4 2 2" xfId="37853"/>
    <cellStyle name="注释 2 2 11 3 4 3" xfId="22513"/>
    <cellStyle name="注释 2 2 11 3 4 4" xfId="37852"/>
    <cellStyle name="注释 2 2 11 3 5" xfId="18845"/>
    <cellStyle name="注释 2 2 11 3 5 2" xfId="37854"/>
    <cellStyle name="注释 2 2 11 3 6" xfId="37843"/>
    <cellStyle name="注释 2 2 11 4" xfId="10594"/>
    <cellStyle name="注释 2 2 11 4 2" xfId="16490"/>
    <cellStyle name="注释 2 2 11 4 2 2" xfId="16491"/>
    <cellStyle name="注释 2 2 11 4 2 2 2" xfId="18105"/>
    <cellStyle name="注释 2 2 11 4 2 2 2 2" xfId="37858"/>
    <cellStyle name="注释 2 2 11 4 2 2 3" xfId="22515"/>
    <cellStyle name="注释 2 2 11 4 2 2 4" xfId="37857"/>
    <cellStyle name="注释 2 2 11 4 2 3" xfId="16492"/>
    <cellStyle name="注释 2 2 11 4 2 3 2" xfId="18104"/>
    <cellStyle name="注释 2 2 11 4 2 3 2 2" xfId="37860"/>
    <cellStyle name="注释 2 2 11 4 2 3 3" xfId="22516"/>
    <cellStyle name="注释 2 2 11 4 2 3 4" xfId="37859"/>
    <cellStyle name="注释 2 2 11 4 2 4" xfId="18106"/>
    <cellStyle name="注释 2 2 11 4 2 4 2" xfId="37861"/>
    <cellStyle name="注释 2 2 11 4 2 5" xfId="22514"/>
    <cellStyle name="注释 2 2 11 4 2 6" xfId="37856"/>
    <cellStyle name="注释 2 2 11 4 3" xfId="16493"/>
    <cellStyle name="注释 2 2 11 4 3 2" xfId="18877"/>
    <cellStyle name="注释 2 2 11 4 3 2 2" xfId="37863"/>
    <cellStyle name="注释 2 2 11 4 3 3" xfId="22517"/>
    <cellStyle name="注释 2 2 11 4 3 4" xfId="37862"/>
    <cellStyle name="注释 2 2 11 4 4" xfId="16494"/>
    <cellStyle name="注释 2 2 11 4 4 2" xfId="18103"/>
    <cellStyle name="注释 2 2 11 4 4 2 2" xfId="37865"/>
    <cellStyle name="注释 2 2 11 4 4 3" xfId="22518"/>
    <cellStyle name="注释 2 2 11 4 4 4" xfId="37864"/>
    <cellStyle name="注释 2 2 11 4 5" xfId="21813"/>
    <cellStyle name="注释 2 2 11 4 5 2" xfId="37866"/>
    <cellStyle name="注释 2 2 11 4 6" xfId="37855"/>
    <cellStyle name="注释 2 2 11 5" xfId="10595"/>
    <cellStyle name="注释 2 2 11 5 2" xfId="16495"/>
    <cellStyle name="注释 2 2 11 5 2 2" xfId="16496"/>
    <cellStyle name="注释 2 2 11 5 2 2 2" xfId="18101"/>
    <cellStyle name="注释 2 2 11 5 2 2 2 2" xfId="37870"/>
    <cellStyle name="注释 2 2 11 5 2 2 3" xfId="22520"/>
    <cellStyle name="注释 2 2 11 5 2 2 4" xfId="37869"/>
    <cellStyle name="注释 2 2 11 5 2 3" xfId="16497"/>
    <cellStyle name="注释 2 2 11 5 2 3 2" xfId="18100"/>
    <cellStyle name="注释 2 2 11 5 2 3 2 2" xfId="37872"/>
    <cellStyle name="注释 2 2 11 5 2 3 3" xfId="22521"/>
    <cellStyle name="注释 2 2 11 5 2 3 4" xfId="37871"/>
    <cellStyle name="注释 2 2 11 5 2 4" xfId="18102"/>
    <cellStyle name="注释 2 2 11 5 2 4 2" xfId="37873"/>
    <cellStyle name="注释 2 2 11 5 2 5" xfId="22519"/>
    <cellStyle name="注释 2 2 11 5 2 6" xfId="37868"/>
    <cellStyle name="注释 2 2 11 5 3" xfId="16498"/>
    <cellStyle name="注释 2 2 11 5 3 2" xfId="18099"/>
    <cellStyle name="注释 2 2 11 5 3 2 2" xfId="37875"/>
    <cellStyle name="注释 2 2 11 5 3 3" xfId="22522"/>
    <cellStyle name="注释 2 2 11 5 3 4" xfId="37874"/>
    <cellStyle name="注释 2 2 11 5 4" xfId="16499"/>
    <cellStyle name="注释 2 2 11 5 4 2" xfId="18098"/>
    <cellStyle name="注释 2 2 11 5 4 2 2" xfId="37877"/>
    <cellStyle name="注释 2 2 11 5 4 3" xfId="22523"/>
    <cellStyle name="注释 2 2 11 5 4 4" xfId="37876"/>
    <cellStyle name="注释 2 2 11 5 5" xfId="21814"/>
    <cellStyle name="注释 2 2 11 5 5 2" xfId="37878"/>
    <cellStyle name="注释 2 2 11 5 6" xfId="37867"/>
    <cellStyle name="注释 2 2 11 6" xfId="16500"/>
    <cellStyle name="注释 2 2 11 6 2" xfId="16501"/>
    <cellStyle name="注释 2 2 11 6 2 2" xfId="21169"/>
    <cellStyle name="注释 2 2 11 6 2 2 2" xfId="37881"/>
    <cellStyle name="注释 2 2 11 6 2 3" xfId="22525"/>
    <cellStyle name="注释 2 2 11 6 2 4" xfId="37880"/>
    <cellStyle name="注释 2 2 11 6 3" xfId="16502"/>
    <cellStyle name="注释 2 2 11 6 3 2" xfId="18876"/>
    <cellStyle name="注释 2 2 11 6 3 2 2" xfId="37883"/>
    <cellStyle name="注释 2 2 11 6 3 3" xfId="22526"/>
    <cellStyle name="注释 2 2 11 6 3 4" xfId="37882"/>
    <cellStyle name="注释 2 2 11 6 4" xfId="21170"/>
    <cellStyle name="注释 2 2 11 6 4 2" xfId="37884"/>
    <cellStyle name="注释 2 2 11 6 5" xfId="22524"/>
    <cellStyle name="注释 2 2 11 6 6" xfId="37879"/>
    <cellStyle name="注释 2 2 11 7" xfId="16503"/>
    <cellStyle name="注释 2 2 11 7 2" xfId="18097"/>
    <cellStyle name="注释 2 2 11 7 2 2" xfId="37886"/>
    <cellStyle name="注释 2 2 11 7 3" xfId="22527"/>
    <cellStyle name="注释 2 2 11 7 4" xfId="37885"/>
    <cellStyle name="注释 2 2 11 8" xfId="16504"/>
    <cellStyle name="注释 2 2 11 8 2" xfId="18096"/>
    <cellStyle name="注释 2 2 11 8 2 2" xfId="37888"/>
    <cellStyle name="注释 2 2 11 8 3" xfId="22528"/>
    <cellStyle name="注释 2 2 11 8 4" xfId="37887"/>
    <cellStyle name="注释 2 2 11 9" xfId="17845"/>
    <cellStyle name="注释 2 2 11 9 2" xfId="37889"/>
    <cellStyle name="注释 2 2 12" xfId="10596"/>
    <cellStyle name="注释 2 2 12 2" xfId="16505"/>
    <cellStyle name="注释 2 2 12 2 2" xfId="16506"/>
    <cellStyle name="注释 2 2 12 2 2 2" xfId="18094"/>
    <cellStyle name="注释 2 2 12 2 2 2 2" xfId="37893"/>
    <cellStyle name="注释 2 2 12 2 2 3" xfId="22530"/>
    <cellStyle name="注释 2 2 12 2 2 4" xfId="37892"/>
    <cellStyle name="注释 2 2 12 2 3" xfId="16507"/>
    <cellStyle name="注释 2 2 12 2 3 2" xfId="18875"/>
    <cellStyle name="注释 2 2 12 2 3 2 2" xfId="37895"/>
    <cellStyle name="注释 2 2 12 2 3 3" xfId="22531"/>
    <cellStyle name="注释 2 2 12 2 3 4" xfId="37894"/>
    <cellStyle name="注释 2 2 12 2 4" xfId="18095"/>
    <cellStyle name="注释 2 2 12 2 4 2" xfId="37896"/>
    <cellStyle name="注释 2 2 12 2 5" xfId="22529"/>
    <cellStyle name="注释 2 2 12 2 6" xfId="37891"/>
    <cellStyle name="注释 2 2 12 3" xfId="16508"/>
    <cellStyle name="注释 2 2 12 3 2" xfId="18093"/>
    <cellStyle name="注释 2 2 12 3 2 2" xfId="37898"/>
    <cellStyle name="注释 2 2 12 3 3" xfId="22532"/>
    <cellStyle name="注释 2 2 12 3 4" xfId="37897"/>
    <cellStyle name="注释 2 2 12 4" xfId="16509"/>
    <cellStyle name="注释 2 2 12 4 2" xfId="21168"/>
    <cellStyle name="注释 2 2 12 4 2 2" xfId="37900"/>
    <cellStyle name="注释 2 2 12 4 3" xfId="22533"/>
    <cellStyle name="注释 2 2 12 4 4" xfId="37899"/>
    <cellStyle name="注释 2 2 12 5" xfId="21815"/>
    <cellStyle name="注释 2 2 12 5 2" xfId="37901"/>
    <cellStyle name="注释 2 2 12 6" xfId="37890"/>
    <cellStyle name="注释 2 2 13" xfId="10597"/>
    <cellStyle name="注释 2 2 13 2" xfId="16510"/>
    <cellStyle name="注释 2 2 13 2 2" xfId="16511"/>
    <cellStyle name="注释 2 2 13 2 2 2" xfId="18091"/>
    <cellStyle name="注释 2 2 13 2 2 2 2" xfId="37905"/>
    <cellStyle name="注释 2 2 13 2 2 3" xfId="22535"/>
    <cellStyle name="注释 2 2 13 2 2 4" xfId="37904"/>
    <cellStyle name="注释 2 2 13 2 3" xfId="16512"/>
    <cellStyle name="注释 2 2 13 2 3 2" xfId="8760"/>
    <cellStyle name="注释 2 2 13 2 3 2 2" xfId="37907"/>
    <cellStyle name="注释 2 2 13 2 3 3" xfId="22536"/>
    <cellStyle name="注释 2 2 13 2 3 4" xfId="37906"/>
    <cellStyle name="注释 2 2 13 2 4" xfId="18092"/>
    <cellStyle name="注释 2 2 13 2 4 2" xfId="37908"/>
    <cellStyle name="注释 2 2 13 2 5" xfId="22534"/>
    <cellStyle name="注释 2 2 13 2 6" xfId="37903"/>
    <cellStyle name="注释 2 2 13 3" xfId="16513"/>
    <cellStyle name="注释 2 2 13 3 2" xfId="18090"/>
    <cellStyle name="注释 2 2 13 3 2 2" xfId="37910"/>
    <cellStyle name="注释 2 2 13 3 3" xfId="22537"/>
    <cellStyle name="注释 2 2 13 3 4" xfId="37909"/>
    <cellStyle name="注释 2 2 13 4" xfId="16514"/>
    <cellStyle name="注释 2 2 13 4 2" xfId="18089"/>
    <cellStyle name="注释 2 2 13 4 2 2" xfId="37912"/>
    <cellStyle name="注释 2 2 13 4 3" xfId="22538"/>
    <cellStyle name="注释 2 2 13 4 4" xfId="37911"/>
    <cellStyle name="注释 2 2 13 5" xfId="21816"/>
    <cellStyle name="注释 2 2 13 5 2" xfId="37913"/>
    <cellStyle name="注释 2 2 13 6" xfId="37902"/>
    <cellStyle name="注释 2 2 14" xfId="10598"/>
    <cellStyle name="注释 2 2 14 2" xfId="16515"/>
    <cellStyle name="注释 2 2 14 2 2" xfId="16516"/>
    <cellStyle name="注释 2 2 14 2 2 2" xfId="21167"/>
    <cellStyle name="注释 2 2 14 2 2 2 2" xfId="37917"/>
    <cellStyle name="注释 2 2 14 2 2 3" xfId="22540"/>
    <cellStyle name="注释 2 2 14 2 2 4" xfId="37916"/>
    <cellStyle name="注释 2 2 14 2 3" xfId="16517"/>
    <cellStyle name="注释 2 2 14 2 3 2" xfId="8761"/>
    <cellStyle name="注释 2 2 14 2 3 2 2" xfId="37919"/>
    <cellStyle name="注释 2 2 14 2 3 3" xfId="22541"/>
    <cellStyle name="注释 2 2 14 2 3 4" xfId="37918"/>
    <cellStyle name="注释 2 2 14 2 4" xfId="18088"/>
    <cellStyle name="注释 2 2 14 2 4 2" xfId="37920"/>
    <cellStyle name="注释 2 2 14 2 5" xfId="22539"/>
    <cellStyle name="注释 2 2 14 2 6" xfId="37915"/>
    <cellStyle name="注释 2 2 14 3" xfId="16518"/>
    <cellStyle name="注释 2 2 14 3 2" xfId="18874"/>
    <cellStyle name="注释 2 2 14 3 2 2" xfId="37922"/>
    <cellStyle name="注释 2 2 14 3 3" xfId="22542"/>
    <cellStyle name="注释 2 2 14 3 4" xfId="37921"/>
    <cellStyle name="注释 2 2 14 4" xfId="16519"/>
    <cellStyle name="注释 2 2 14 4 2" xfId="18087"/>
    <cellStyle name="注释 2 2 14 4 2 2" xfId="37924"/>
    <cellStyle name="注释 2 2 14 4 3" xfId="22543"/>
    <cellStyle name="注释 2 2 14 4 4" xfId="37923"/>
    <cellStyle name="注释 2 2 14 5" xfId="21817"/>
    <cellStyle name="注释 2 2 14 5 2" xfId="37925"/>
    <cellStyle name="注释 2 2 14 6" xfId="37914"/>
    <cellStyle name="注释 2 2 15" xfId="10599"/>
    <cellStyle name="注释 2 2 15 2" xfId="16520"/>
    <cellStyle name="注释 2 2 15 2 2" xfId="16521"/>
    <cellStyle name="注释 2 2 15 2 2 2" xfId="18085"/>
    <cellStyle name="注释 2 2 15 2 2 2 2" xfId="37929"/>
    <cellStyle name="注释 2 2 15 2 2 3" xfId="22545"/>
    <cellStyle name="注释 2 2 15 2 2 4" xfId="37928"/>
    <cellStyle name="注释 2 2 15 2 3" xfId="16522"/>
    <cellStyle name="注释 2 2 15 2 3 2" xfId="18084"/>
    <cellStyle name="注释 2 2 15 2 3 2 2" xfId="37931"/>
    <cellStyle name="注释 2 2 15 2 3 3" xfId="22546"/>
    <cellStyle name="注释 2 2 15 2 3 4" xfId="37930"/>
    <cellStyle name="注释 2 2 15 2 4" xfId="18086"/>
    <cellStyle name="注释 2 2 15 2 4 2" xfId="37932"/>
    <cellStyle name="注释 2 2 15 2 5" xfId="22544"/>
    <cellStyle name="注释 2 2 15 2 6" xfId="37927"/>
    <cellStyle name="注释 2 2 15 3" xfId="16523"/>
    <cellStyle name="注释 2 2 15 3 2" xfId="18083"/>
    <cellStyle name="注释 2 2 15 3 2 2" xfId="37934"/>
    <cellStyle name="注释 2 2 15 3 3" xfId="22547"/>
    <cellStyle name="注释 2 2 15 3 4" xfId="37933"/>
    <cellStyle name="注释 2 2 15 4" xfId="16524"/>
    <cellStyle name="注释 2 2 15 4 2" xfId="21166"/>
    <cellStyle name="注释 2 2 15 4 2 2" xfId="37936"/>
    <cellStyle name="注释 2 2 15 4 3" xfId="22548"/>
    <cellStyle name="注释 2 2 15 4 4" xfId="37935"/>
    <cellStyle name="注释 2 2 15 5" xfId="18846"/>
    <cellStyle name="注释 2 2 15 5 2" xfId="37937"/>
    <cellStyle name="注释 2 2 15 6" xfId="37926"/>
    <cellStyle name="注释 2 2 16" xfId="10600"/>
    <cellStyle name="注释 2 2 16 2" xfId="16525"/>
    <cellStyle name="注释 2 2 16 2 2" xfId="16526"/>
    <cellStyle name="注释 2 2 16 2 2 2" xfId="18081"/>
    <cellStyle name="注释 2 2 16 2 2 2 2" xfId="37941"/>
    <cellStyle name="注释 2 2 16 2 2 3" xfId="22550"/>
    <cellStyle name="注释 2 2 16 2 2 4" xfId="37940"/>
    <cellStyle name="注释 2 2 16 2 3" xfId="18082"/>
    <cellStyle name="注释 2 2 16 2 3 2" xfId="37942"/>
    <cellStyle name="注释 2 2 16 2 4" xfId="22549"/>
    <cellStyle name="注释 2 2 16 2 5" xfId="37939"/>
    <cellStyle name="注释 2 2 16 3" xfId="16527"/>
    <cellStyle name="注释 2 2 16 3 2" xfId="8762"/>
    <cellStyle name="注释 2 2 16 3 2 2" xfId="37944"/>
    <cellStyle name="注释 2 2 16 3 3" xfId="22551"/>
    <cellStyle name="注释 2 2 16 3 4" xfId="37943"/>
    <cellStyle name="注释 2 2 16 4" xfId="21818"/>
    <cellStyle name="注释 2 2 16 4 2" xfId="37945"/>
    <cellStyle name="注释 2 2 16 5" xfId="37938"/>
    <cellStyle name="注释 2 2 17" xfId="16528"/>
    <cellStyle name="注释 2 2 17 2" xfId="16529"/>
    <cellStyle name="注释 2 2 17 2 2" xfId="18079"/>
    <cellStyle name="注释 2 2 17 2 2 2" xfId="37948"/>
    <cellStyle name="注释 2 2 17 2 3" xfId="22553"/>
    <cellStyle name="注释 2 2 17 2 4" xfId="37947"/>
    <cellStyle name="注释 2 2 17 3" xfId="16530"/>
    <cellStyle name="注释 2 2 17 3 2" xfId="18078"/>
    <cellStyle name="注释 2 2 17 3 2 2" xfId="37950"/>
    <cellStyle name="注释 2 2 17 3 3" xfId="22554"/>
    <cellStyle name="注释 2 2 17 3 4" xfId="37949"/>
    <cellStyle name="注释 2 2 17 4" xfId="18080"/>
    <cellStyle name="注释 2 2 17 4 2" xfId="37951"/>
    <cellStyle name="注释 2 2 17 5" xfId="22552"/>
    <cellStyle name="注释 2 2 17 6" xfId="37946"/>
    <cellStyle name="注释 2 2 18" xfId="16531"/>
    <cellStyle name="注释 2 2 18 2" xfId="18077"/>
    <cellStyle name="注释 2 2 18 2 2" xfId="37953"/>
    <cellStyle name="注释 2 2 18 3" xfId="22555"/>
    <cellStyle name="注释 2 2 18 4" xfId="37952"/>
    <cellStyle name="注释 2 2 19" xfId="16532"/>
    <cellStyle name="注释 2 2 19 2" xfId="8763"/>
    <cellStyle name="注释 2 2 19 2 2" xfId="37955"/>
    <cellStyle name="注释 2 2 19 3" xfId="22556"/>
    <cellStyle name="注释 2 2 19 4" xfId="37954"/>
    <cellStyle name="注释 2 2 2" xfId="5486"/>
    <cellStyle name="注释 2 2 2 10" xfId="10602"/>
    <cellStyle name="注释 2 2 2 10 10" xfId="37957"/>
    <cellStyle name="注释 2 2 2 10 2" xfId="10603"/>
    <cellStyle name="注释 2 2 2 10 2 2" xfId="16533"/>
    <cellStyle name="注释 2 2 2 10 2 2 2" xfId="16534"/>
    <cellStyle name="注释 2 2 2 10 2 2 2 2" xfId="18075"/>
    <cellStyle name="注释 2 2 2 10 2 2 2 2 2" xfId="37961"/>
    <cellStyle name="注释 2 2 2 10 2 2 2 3" xfId="22558"/>
    <cellStyle name="注释 2 2 2 10 2 2 2 4" xfId="37960"/>
    <cellStyle name="注释 2 2 2 10 2 2 3" xfId="16535"/>
    <cellStyle name="注释 2 2 2 10 2 2 3 2" xfId="18074"/>
    <cellStyle name="注释 2 2 2 10 2 2 3 2 2" xfId="37963"/>
    <cellStyle name="注释 2 2 2 10 2 2 3 3" xfId="22559"/>
    <cellStyle name="注释 2 2 2 10 2 2 3 4" xfId="37962"/>
    <cellStyle name="注释 2 2 2 10 2 2 4" xfId="18076"/>
    <cellStyle name="注释 2 2 2 10 2 2 4 2" xfId="37964"/>
    <cellStyle name="注释 2 2 2 10 2 2 5" xfId="22557"/>
    <cellStyle name="注释 2 2 2 10 2 2 6" xfId="37959"/>
    <cellStyle name="注释 2 2 2 10 2 3" xfId="16536"/>
    <cellStyle name="注释 2 2 2 10 2 3 2" xfId="18073"/>
    <cellStyle name="注释 2 2 2 10 2 3 2 2" xfId="37966"/>
    <cellStyle name="注释 2 2 2 10 2 3 3" xfId="22560"/>
    <cellStyle name="注释 2 2 2 10 2 3 4" xfId="37965"/>
    <cellStyle name="注释 2 2 2 10 2 4" xfId="16537"/>
    <cellStyle name="注释 2 2 2 10 2 4 2" xfId="8764"/>
    <cellStyle name="注释 2 2 2 10 2 4 2 2" xfId="37968"/>
    <cellStyle name="注释 2 2 2 10 2 4 3" xfId="22561"/>
    <cellStyle name="注释 2 2 2 10 2 4 4" xfId="37967"/>
    <cellStyle name="注释 2 2 2 10 2 5" xfId="21128"/>
    <cellStyle name="注释 2 2 2 10 2 5 2" xfId="37969"/>
    <cellStyle name="注释 2 2 2 10 2 6" xfId="37958"/>
    <cellStyle name="注释 2 2 2 10 3" xfId="10604"/>
    <cellStyle name="注释 2 2 2 10 3 2" xfId="16538"/>
    <cellStyle name="注释 2 2 2 10 3 2 2" xfId="16539"/>
    <cellStyle name="注释 2 2 2 10 3 2 2 2" xfId="18677"/>
    <cellStyle name="注释 2 2 2 10 3 2 2 2 2" xfId="37973"/>
    <cellStyle name="注释 2 2 2 10 3 2 2 3" xfId="22563"/>
    <cellStyle name="注释 2 2 2 10 3 2 2 4" xfId="37972"/>
    <cellStyle name="注释 2 2 2 10 3 2 3" xfId="16540"/>
    <cellStyle name="注释 2 2 2 10 3 2 3 2" xfId="18072"/>
    <cellStyle name="注释 2 2 2 10 3 2 3 2 2" xfId="37975"/>
    <cellStyle name="注释 2 2 2 10 3 2 3 3" xfId="22564"/>
    <cellStyle name="注释 2 2 2 10 3 2 3 4" xfId="37974"/>
    <cellStyle name="注释 2 2 2 10 3 2 4" xfId="18678"/>
    <cellStyle name="注释 2 2 2 10 3 2 4 2" xfId="37976"/>
    <cellStyle name="注释 2 2 2 10 3 2 5" xfId="22562"/>
    <cellStyle name="注释 2 2 2 10 3 2 6" xfId="37971"/>
    <cellStyle name="注释 2 2 2 10 3 3" xfId="16541"/>
    <cellStyle name="注释 2 2 2 10 3 3 2" xfId="18071"/>
    <cellStyle name="注释 2 2 2 10 3 3 2 2" xfId="37978"/>
    <cellStyle name="注释 2 2 2 10 3 3 3" xfId="22565"/>
    <cellStyle name="注释 2 2 2 10 3 3 4" xfId="37977"/>
    <cellStyle name="注释 2 2 2 10 3 4" xfId="16542"/>
    <cellStyle name="注释 2 2 2 10 3 4 2" xfId="20582"/>
    <cellStyle name="注释 2 2 2 10 3 4 2 2" xfId="37980"/>
    <cellStyle name="注释 2 2 2 10 3 4 3" xfId="22566"/>
    <cellStyle name="注释 2 2 2 10 3 4 4" xfId="37979"/>
    <cellStyle name="注释 2 2 2 10 3 5" xfId="21820"/>
    <cellStyle name="注释 2 2 2 10 3 5 2" xfId="37981"/>
    <cellStyle name="注释 2 2 2 10 3 6" xfId="37970"/>
    <cellStyle name="注释 2 2 2 10 4" xfId="10605"/>
    <cellStyle name="注释 2 2 2 10 4 2" xfId="16543"/>
    <cellStyle name="注释 2 2 2 10 4 2 2" xfId="16544"/>
    <cellStyle name="注释 2 2 2 10 4 2 2 2" xfId="8765"/>
    <cellStyle name="注释 2 2 2 10 4 2 2 2 2" xfId="37985"/>
    <cellStyle name="注释 2 2 2 10 4 2 2 3" xfId="22568"/>
    <cellStyle name="注释 2 2 2 10 4 2 2 4" xfId="37984"/>
    <cellStyle name="注释 2 2 2 10 4 2 3" xfId="16545"/>
    <cellStyle name="注释 2 2 2 10 4 2 3 2" xfId="18070"/>
    <cellStyle name="注释 2 2 2 10 4 2 3 2 2" xfId="37987"/>
    <cellStyle name="注释 2 2 2 10 4 2 3 3" xfId="22569"/>
    <cellStyle name="注释 2 2 2 10 4 2 3 4" xfId="37986"/>
    <cellStyle name="注释 2 2 2 10 4 2 4" xfId="18530"/>
    <cellStyle name="注释 2 2 2 10 4 2 4 2" xfId="37988"/>
    <cellStyle name="注释 2 2 2 10 4 2 5" xfId="22567"/>
    <cellStyle name="注释 2 2 2 10 4 2 6" xfId="37983"/>
    <cellStyle name="注释 2 2 2 10 4 3" xfId="16546"/>
    <cellStyle name="注释 2 2 2 10 4 3 2" xfId="18069"/>
    <cellStyle name="注释 2 2 2 10 4 3 2 2" xfId="37990"/>
    <cellStyle name="注释 2 2 2 10 4 3 3" xfId="22570"/>
    <cellStyle name="注释 2 2 2 10 4 3 4" xfId="37989"/>
    <cellStyle name="注释 2 2 2 10 4 4" xfId="16547"/>
    <cellStyle name="注释 2 2 2 10 4 4 2" xfId="18068"/>
    <cellStyle name="注释 2 2 2 10 4 4 2 2" xfId="37992"/>
    <cellStyle name="注释 2 2 2 10 4 4 3" xfId="22571"/>
    <cellStyle name="注释 2 2 2 10 4 4 4" xfId="37991"/>
    <cellStyle name="注释 2 2 2 10 4 5" xfId="19547"/>
    <cellStyle name="注释 2 2 2 10 4 5 2" xfId="37993"/>
    <cellStyle name="注释 2 2 2 10 4 6" xfId="37982"/>
    <cellStyle name="注释 2 2 2 10 5" xfId="10606"/>
    <cellStyle name="注释 2 2 2 10 5 2" xfId="16548"/>
    <cellStyle name="注释 2 2 2 10 5 2 2" xfId="16549"/>
    <cellStyle name="注释 2 2 2 10 5 2 2 2" xfId="18067"/>
    <cellStyle name="注释 2 2 2 10 5 2 2 2 2" xfId="37997"/>
    <cellStyle name="注释 2 2 2 10 5 2 2 3" xfId="22573"/>
    <cellStyle name="注释 2 2 2 10 5 2 2 4" xfId="37996"/>
    <cellStyle name="注释 2 2 2 10 5 2 3" xfId="16550"/>
    <cellStyle name="注释 2 2 2 10 5 2 3 2" xfId="18066"/>
    <cellStyle name="注释 2 2 2 10 5 2 3 2 2" xfId="37999"/>
    <cellStyle name="注释 2 2 2 10 5 2 3 3" xfId="22574"/>
    <cellStyle name="注释 2 2 2 10 5 2 3 4" xfId="37998"/>
    <cellStyle name="注释 2 2 2 10 5 2 4" xfId="21165"/>
    <cellStyle name="注释 2 2 2 10 5 2 4 2" xfId="38000"/>
    <cellStyle name="注释 2 2 2 10 5 2 5" xfId="22572"/>
    <cellStyle name="注释 2 2 2 10 5 2 6" xfId="37995"/>
    <cellStyle name="注释 2 2 2 10 5 3" xfId="16551"/>
    <cellStyle name="注释 2 2 2 10 5 3 2" xfId="18065"/>
    <cellStyle name="注释 2 2 2 10 5 3 2 2" xfId="38002"/>
    <cellStyle name="注释 2 2 2 10 5 3 3" xfId="22575"/>
    <cellStyle name="注释 2 2 2 10 5 3 4" xfId="38001"/>
    <cellStyle name="注释 2 2 2 10 5 4" xfId="16552"/>
    <cellStyle name="注释 2 2 2 10 5 4 2" xfId="18064"/>
    <cellStyle name="注释 2 2 2 10 5 4 2 2" xfId="38004"/>
    <cellStyle name="注释 2 2 2 10 5 4 3" xfId="22576"/>
    <cellStyle name="注释 2 2 2 10 5 4 4" xfId="38003"/>
    <cellStyle name="注释 2 2 2 10 5 5" xfId="17847"/>
    <cellStyle name="注释 2 2 2 10 5 5 2" xfId="38005"/>
    <cellStyle name="注释 2 2 2 10 5 6" xfId="37994"/>
    <cellStyle name="注释 2 2 2 10 6" xfId="16553"/>
    <cellStyle name="注释 2 2 2 10 6 2" xfId="16554"/>
    <cellStyle name="注释 2 2 2 10 6 2 2" xfId="8766"/>
    <cellStyle name="注释 2 2 2 10 6 2 2 2" xfId="38008"/>
    <cellStyle name="注释 2 2 2 10 6 2 3" xfId="22578"/>
    <cellStyle name="注释 2 2 2 10 6 2 4" xfId="38007"/>
    <cellStyle name="注释 2 2 2 10 6 3" xfId="16555"/>
    <cellStyle name="注释 2 2 2 10 6 3 2" xfId="21164"/>
    <cellStyle name="注释 2 2 2 10 6 3 2 2" xfId="38010"/>
    <cellStyle name="注释 2 2 2 10 6 3 3" xfId="22579"/>
    <cellStyle name="注释 2 2 2 10 6 3 4" xfId="38009"/>
    <cellStyle name="注释 2 2 2 10 6 4" xfId="18063"/>
    <cellStyle name="注释 2 2 2 10 6 4 2" xfId="38011"/>
    <cellStyle name="注释 2 2 2 10 6 5" xfId="22577"/>
    <cellStyle name="注释 2 2 2 10 6 6" xfId="38006"/>
    <cellStyle name="注释 2 2 2 10 7" xfId="16556"/>
    <cellStyle name="注释 2 2 2 10 7 2" xfId="18062"/>
    <cellStyle name="注释 2 2 2 10 7 2 2" xfId="38013"/>
    <cellStyle name="注释 2 2 2 10 7 3" xfId="22580"/>
    <cellStyle name="注释 2 2 2 10 7 4" xfId="38012"/>
    <cellStyle name="注释 2 2 2 10 8" xfId="16557"/>
    <cellStyle name="注释 2 2 2 10 8 2" xfId="18061"/>
    <cellStyle name="注释 2 2 2 10 8 2 2" xfId="38015"/>
    <cellStyle name="注释 2 2 2 10 8 3" xfId="22581"/>
    <cellStyle name="注释 2 2 2 10 8 4" xfId="38014"/>
    <cellStyle name="注释 2 2 2 10 9" xfId="17846"/>
    <cellStyle name="注释 2 2 2 10 9 2" xfId="38016"/>
    <cellStyle name="注释 2 2 2 11" xfId="10607"/>
    <cellStyle name="注释 2 2 2 11 2" xfId="16558"/>
    <cellStyle name="注释 2 2 2 11 2 2" xfId="16559"/>
    <cellStyle name="注释 2 2 2 11 2 2 2" xfId="18059"/>
    <cellStyle name="注释 2 2 2 11 2 2 2 2" xfId="38020"/>
    <cellStyle name="注释 2 2 2 11 2 2 3" xfId="22583"/>
    <cellStyle name="注释 2 2 2 11 2 2 4" xfId="38019"/>
    <cellStyle name="注释 2 2 2 11 2 3" xfId="16560"/>
    <cellStyle name="注释 2 2 2 11 2 3 2" xfId="8767"/>
    <cellStyle name="注释 2 2 2 11 2 3 2 2" xfId="38022"/>
    <cellStyle name="注释 2 2 2 11 2 3 3" xfId="22584"/>
    <cellStyle name="注释 2 2 2 11 2 3 4" xfId="38021"/>
    <cellStyle name="注释 2 2 2 11 2 4" xfId="18060"/>
    <cellStyle name="注释 2 2 2 11 2 4 2" xfId="38023"/>
    <cellStyle name="注释 2 2 2 11 2 5" xfId="22582"/>
    <cellStyle name="注释 2 2 2 11 2 6" xfId="38018"/>
    <cellStyle name="注释 2 2 2 11 3" xfId="16561"/>
    <cellStyle name="注释 2 2 2 11 3 2" xfId="18058"/>
    <cellStyle name="注释 2 2 2 11 3 2 2" xfId="38025"/>
    <cellStyle name="注释 2 2 2 11 3 3" xfId="22585"/>
    <cellStyle name="注释 2 2 2 11 3 4" xfId="38024"/>
    <cellStyle name="注释 2 2 2 11 4" xfId="16562"/>
    <cellStyle name="注释 2 2 2 11 4 2" xfId="18676"/>
    <cellStyle name="注释 2 2 2 11 4 2 2" xfId="38027"/>
    <cellStyle name="注释 2 2 2 11 4 3" xfId="22586"/>
    <cellStyle name="注释 2 2 2 11 4 4" xfId="38026"/>
    <cellStyle name="注释 2 2 2 11 5" xfId="21821"/>
    <cellStyle name="注释 2 2 2 11 5 2" xfId="38028"/>
    <cellStyle name="注释 2 2 2 11 6" xfId="38017"/>
    <cellStyle name="注释 2 2 2 12" xfId="10608"/>
    <cellStyle name="注释 2 2 2 12 2" xfId="16563"/>
    <cellStyle name="注释 2 2 2 12 2 2" xfId="16564"/>
    <cellStyle name="注释 2 2 2 12 2 2 2" xfId="18056"/>
    <cellStyle name="注释 2 2 2 12 2 2 2 2" xfId="38032"/>
    <cellStyle name="注释 2 2 2 12 2 2 3" xfId="22588"/>
    <cellStyle name="注释 2 2 2 12 2 2 4" xfId="38031"/>
    <cellStyle name="注释 2 2 2 12 2 3" xfId="16565"/>
    <cellStyle name="注释 2 2 2 12 2 3 2" xfId="18055"/>
    <cellStyle name="注释 2 2 2 12 2 3 2 2" xfId="38034"/>
    <cellStyle name="注释 2 2 2 12 2 3 3" xfId="22589"/>
    <cellStyle name="注释 2 2 2 12 2 3 4" xfId="38033"/>
    <cellStyle name="注释 2 2 2 12 2 4" xfId="18057"/>
    <cellStyle name="注释 2 2 2 12 2 4 2" xfId="38035"/>
    <cellStyle name="注释 2 2 2 12 2 5" xfId="22587"/>
    <cellStyle name="注释 2 2 2 12 2 6" xfId="38030"/>
    <cellStyle name="注释 2 2 2 12 3" xfId="16566"/>
    <cellStyle name="注释 2 2 2 12 3 2" xfId="8768"/>
    <cellStyle name="注释 2 2 2 12 3 2 2" xfId="38037"/>
    <cellStyle name="注释 2 2 2 12 3 3" xfId="22590"/>
    <cellStyle name="注释 2 2 2 12 3 4" xfId="38036"/>
    <cellStyle name="注释 2 2 2 12 4" xfId="16567"/>
    <cellStyle name="注释 2 2 2 12 4 2" xfId="18054"/>
    <cellStyle name="注释 2 2 2 12 4 2 2" xfId="38039"/>
    <cellStyle name="注释 2 2 2 12 4 3" xfId="22591"/>
    <cellStyle name="注释 2 2 2 12 4 4" xfId="38038"/>
    <cellStyle name="注释 2 2 2 12 5" xfId="21822"/>
    <cellStyle name="注释 2 2 2 12 5 2" xfId="38040"/>
    <cellStyle name="注释 2 2 2 12 6" xfId="38029"/>
    <cellStyle name="注释 2 2 2 13" xfId="10609"/>
    <cellStyle name="注释 2 2 2 13 2" xfId="16568"/>
    <cellStyle name="注释 2 2 2 13 2 2" xfId="16569"/>
    <cellStyle name="注释 2 2 2 13 2 2 2" xfId="18052"/>
    <cellStyle name="注释 2 2 2 13 2 2 2 2" xfId="38044"/>
    <cellStyle name="注释 2 2 2 13 2 2 3" xfId="22593"/>
    <cellStyle name="注释 2 2 2 13 2 2 4" xfId="38043"/>
    <cellStyle name="注释 2 2 2 13 2 3" xfId="16570"/>
    <cellStyle name="注释 2 2 2 13 2 3 2" xfId="18051"/>
    <cellStyle name="注释 2 2 2 13 2 3 2 2" xfId="38046"/>
    <cellStyle name="注释 2 2 2 13 2 3 3" xfId="22594"/>
    <cellStyle name="注释 2 2 2 13 2 3 4" xfId="38045"/>
    <cellStyle name="注释 2 2 2 13 2 4" xfId="18053"/>
    <cellStyle name="注释 2 2 2 13 2 4 2" xfId="38047"/>
    <cellStyle name="注释 2 2 2 13 2 5" xfId="22592"/>
    <cellStyle name="注释 2 2 2 13 2 6" xfId="38042"/>
    <cellStyle name="注释 2 2 2 13 3" xfId="16571"/>
    <cellStyle name="注释 2 2 2 13 3 2" xfId="18050"/>
    <cellStyle name="注释 2 2 2 13 3 2 2" xfId="38049"/>
    <cellStyle name="注释 2 2 2 13 3 3" xfId="22595"/>
    <cellStyle name="注释 2 2 2 13 3 4" xfId="38048"/>
    <cellStyle name="注释 2 2 2 13 4" xfId="16572"/>
    <cellStyle name="注释 2 2 2 13 4 2" xfId="8769"/>
    <cellStyle name="注释 2 2 2 13 4 2 2" xfId="38051"/>
    <cellStyle name="注释 2 2 2 13 4 3" xfId="22596"/>
    <cellStyle name="注释 2 2 2 13 4 4" xfId="38050"/>
    <cellStyle name="注释 2 2 2 13 5" xfId="18847"/>
    <cellStyle name="注释 2 2 2 13 5 2" xfId="38052"/>
    <cellStyle name="注释 2 2 2 13 6" xfId="38041"/>
    <cellStyle name="注释 2 2 2 14" xfId="10610"/>
    <cellStyle name="注释 2 2 2 14 2" xfId="16573"/>
    <cellStyle name="注释 2 2 2 14 2 2" xfId="16574"/>
    <cellStyle name="注释 2 2 2 14 2 2 2" xfId="18048"/>
    <cellStyle name="注释 2 2 2 14 2 2 2 2" xfId="38056"/>
    <cellStyle name="注释 2 2 2 14 2 2 3" xfId="22598"/>
    <cellStyle name="注释 2 2 2 14 2 2 4" xfId="38055"/>
    <cellStyle name="注释 2 2 2 14 2 3" xfId="16575"/>
    <cellStyle name="注释 2 2 2 14 2 3 2" xfId="21163"/>
    <cellStyle name="注释 2 2 2 14 2 3 2 2" xfId="38058"/>
    <cellStyle name="注释 2 2 2 14 2 3 3" xfId="22599"/>
    <cellStyle name="注释 2 2 2 14 2 3 4" xfId="38057"/>
    <cellStyle name="注释 2 2 2 14 2 4" xfId="18049"/>
    <cellStyle name="注释 2 2 2 14 2 4 2" xfId="38059"/>
    <cellStyle name="注释 2 2 2 14 2 5" xfId="22597"/>
    <cellStyle name="注释 2 2 2 14 2 6" xfId="38054"/>
    <cellStyle name="注释 2 2 2 14 3" xfId="16576"/>
    <cellStyle name="注释 2 2 2 14 3 2" xfId="21162"/>
    <cellStyle name="注释 2 2 2 14 3 2 2" xfId="38061"/>
    <cellStyle name="注释 2 2 2 14 3 3" xfId="22600"/>
    <cellStyle name="注释 2 2 2 14 3 4" xfId="38060"/>
    <cellStyle name="注释 2 2 2 14 4" xfId="16577"/>
    <cellStyle name="注释 2 2 2 14 4 2" xfId="18047"/>
    <cellStyle name="注释 2 2 2 14 4 2 2" xfId="38063"/>
    <cellStyle name="注释 2 2 2 14 4 3" xfId="22601"/>
    <cellStyle name="注释 2 2 2 14 4 4" xfId="38062"/>
    <cellStyle name="注释 2 2 2 14 5" xfId="21823"/>
    <cellStyle name="注释 2 2 2 14 5 2" xfId="38064"/>
    <cellStyle name="注释 2 2 2 14 6" xfId="38053"/>
    <cellStyle name="注释 2 2 2 15" xfId="16578"/>
    <cellStyle name="注释 2 2 2 15 2" xfId="16579"/>
    <cellStyle name="注释 2 2 2 15 2 2" xfId="18045"/>
    <cellStyle name="注释 2 2 2 15 2 2 2" xfId="38067"/>
    <cellStyle name="注释 2 2 2 15 2 3" xfId="22603"/>
    <cellStyle name="注释 2 2 2 15 2 4" xfId="38066"/>
    <cellStyle name="注释 2 2 2 15 3" xfId="16580"/>
    <cellStyle name="注释 2 2 2 15 3 2" xfId="18044"/>
    <cellStyle name="注释 2 2 2 15 3 2 2" xfId="38069"/>
    <cellStyle name="注释 2 2 2 15 3 3" xfId="22604"/>
    <cellStyle name="注释 2 2 2 15 3 4" xfId="38068"/>
    <cellStyle name="注释 2 2 2 15 4" xfId="18046"/>
    <cellStyle name="注释 2 2 2 15 4 2" xfId="38070"/>
    <cellStyle name="注释 2 2 2 15 5" xfId="22602"/>
    <cellStyle name="注释 2 2 2 15 6" xfId="38065"/>
    <cellStyle name="注释 2 2 2 16" xfId="16581"/>
    <cellStyle name="注释 2 2 2 16 2" xfId="18043"/>
    <cellStyle name="注释 2 2 2 16 2 2" xfId="38072"/>
    <cellStyle name="注释 2 2 2 16 3" xfId="22605"/>
    <cellStyle name="注释 2 2 2 16 4" xfId="38071"/>
    <cellStyle name="注释 2 2 2 17" xfId="16582"/>
    <cellStyle name="注释 2 2 2 17 2" xfId="21161"/>
    <cellStyle name="注释 2 2 2 17 2 2" xfId="38074"/>
    <cellStyle name="注释 2 2 2 17 3" xfId="22606"/>
    <cellStyle name="注释 2 2 2 17 4" xfId="38073"/>
    <cellStyle name="注释 2 2 2 18" xfId="10601"/>
    <cellStyle name="注释 2 2 2 18 2" xfId="38075"/>
    <cellStyle name="注释 2 2 2 19" xfId="21819"/>
    <cellStyle name="注释 2 2 2 2" xfId="10611"/>
    <cellStyle name="注释 2 2 2 2 10" xfId="38076"/>
    <cellStyle name="注释 2 2 2 2 2" xfId="10612"/>
    <cellStyle name="注释 2 2 2 2 2 2" xfId="16583"/>
    <cellStyle name="注释 2 2 2 2 2 2 2" xfId="16584"/>
    <cellStyle name="注释 2 2 2 2 2 2 2 2" xfId="18042"/>
    <cellStyle name="注释 2 2 2 2 2 2 2 2 2" xfId="38080"/>
    <cellStyle name="注释 2 2 2 2 2 2 2 3" xfId="22608"/>
    <cellStyle name="注释 2 2 2 2 2 2 2 4" xfId="38079"/>
    <cellStyle name="注释 2 2 2 2 2 2 3" xfId="16585"/>
    <cellStyle name="注释 2 2 2 2 2 2 3 2" xfId="18041"/>
    <cellStyle name="注释 2 2 2 2 2 2 3 2 2" xfId="38082"/>
    <cellStyle name="注释 2 2 2 2 2 2 3 3" xfId="22609"/>
    <cellStyle name="注释 2 2 2 2 2 2 3 4" xfId="38081"/>
    <cellStyle name="注释 2 2 2 2 2 2 4" xfId="20581"/>
    <cellStyle name="注释 2 2 2 2 2 2 4 2" xfId="38083"/>
    <cellStyle name="注释 2 2 2 2 2 2 5" xfId="22607"/>
    <cellStyle name="注释 2 2 2 2 2 2 6" xfId="38078"/>
    <cellStyle name="注释 2 2 2 2 2 3" xfId="16586"/>
    <cellStyle name="注释 2 2 2 2 2 3 2" xfId="18040"/>
    <cellStyle name="注释 2 2 2 2 2 3 2 2" xfId="38085"/>
    <cellStyle name="注释 2 2 2 2 2 3 3" xfId="22610"/>
    <cellStyle name="注释 2 2 2 2 2 3 4" xfId="38084"/>
    <cellStyle name="注释 2 2 2 2 2 4" xfId="16587"/>
    <cellStyle name="注释 2 2 2 2 2 4 2" xfId="18039"/>
    <cellStyle name="注释 2 2 2 2 2 4 2 2" xfId="38087"/>
    <cellStyle name="注释 2 2 2 2 2 4 3" xfId="22611"/>
    <cellStyle name="注释 2 2 2 2 2 4 4" xfId="38086"/>
    <cellStyle name="注释 2 2 2 2 2 5" xfId="17848"/>
    <cellStyle name="注释 2 2 2 2 2 5 2" xfId="38088"/>
    <cellStyle name="注释 2 2 2 2 2 6" xfId="38077"/>
    <cellStyle name="注释 2 2 2 2 3" xfId="10613"/>
    <cellStyle name="注释 2 2 2 2 3 2" xfId="16588"/>
    <cellStyle name="注释 2 2 2 2 3 2 2" xfId="16589"/>
    <cellStyle name="注释 2 2 2 2 3 2 2 2" xfId="8770"/>
    <cellStyle name="注释 2 2 2 2 3 2 2 2 2" xfId="38092"/>
    <cellStyle name="注释 2 2 2 2 3 2 2 3" xfId="22613"/>
    <cellStyle name="注释 2 2 2 2 3 2 2 4" xfId="38091"/>
    <cellStyle name="注释 2 2 2 2 3 2 3" xfId="16590"/>
    <cellStyle name="注释 2 2 2 2 3 2 3 2" xfId="21160"/>
    <cellStyle name="注释 2 2 2 2 3 2 3 2 2" xfId="38094"/>
    <cellStyle name="注释 2 2 2 2 3 2 3 3" xfId="22614"/>
    <cellStyle name="注释 2 2 2 2 3 2 3 4" xfId="38093"/>
    <cellStyle name="注释 2 2 2 2 3 2 4" xfId="18038"/>
    <cellStyle name="注释 2 2 2 2 3 2 4 2" xfId="38095"/>
    <cellStyle name="注释 2 2 2 2 3 2 5" xfId="22612"/>
    <cellStyle name="注释 2 2 2 2 3 2 6" xfId="38090"/>
    <cellStyle name="注释 2 2 2 2 3 3" xfId="16591"/>
    <cellStyle name="注释 2 2 2 2 3 3 2" xfId="18037"/>
    <cellStyle name="注释 2 2 2 2 3 3 2 2" xfId="38097"/>
    <cellStyle name="注释 2 2 2 2 3 3 3" xfId="22615"/>
    <cellStyle name="注释 2 2 2 2 3 3 4" xfId="38096"/>
    <cellStyle name="注释 2 2 2 2 3 4" xfId="16592"/>
    <cellStyle name="注释 2 2 2 2 3 4 2" xfId="18036"/>
    <cellStyle name="注释 2 2 2 2 3 4 2 2" xfId="38099"/>
    <cellStyle name="注释 2 2 2 2 3 4 3" xfId="22616"/>
    <cellStyle name="注释 2 2 2 2 3 4 4" xfId="38098"/>
    <cellStyle name="注释 2 2 2 2 3 5" xfId="21825"/>
    <cellStyle name="注释 2 2 2 2 3 5 2" xfId="38100"/>
    <cellStyle name="注释 2 2 2 2 3 6" xfId="38089"/>
    <cellStyle name="注释 2 2 2 2 4" xfId="10614"/>
    <cellStyle name="注释 2 2 2 2 4 2" xfId="16593"/>
    <cellStyle name="注释 2 2 2 2 4 2 2" xfId="16594"/>
    <cellStyle name="注释 2 2 2 2 4 2 2 2" xfId="18034"/>
    <cellStyle name="注释 2 2 2 2 4 2 2 2 2" xfId="38104"/>
    <cellStyle name="注释 2 2 2 2 4 2 2 3" xfId="22618"/>
    <cellStyle name="注释 2 2 2 2 4 2 2 4" xfId="38103"/>
    <cellStyle name="注释 2 2 2 2 4 2 3" xfId="16595"/>
    <cellStyle name="注释 2 2 2 2 4 2 3 2" xfId="8771"/>
    <cellStyle name="注释 2 2 2 2 4 2 3 2 2" xfId="38106"/>
    <cellStyle name="注释 2 2 2 2 4 2 3 3" xfId="22619"/>
    <cellStyle name="注释 2 2 2 2 4 2 3 4" xfId="38105"/>
    <cellStyle name="注释 2 2 2 2 4 2 4" xfId="18035"/>
    <cellStyle name="注释 2 2 2 2 4 2 4 2" xfId="38107"/>
    <cellStyle name="注释 2 2 2 2 4 2 5" xfId="22617"/>
    <cellStyle name="注释 2 2 2 2 4 2 6" xfId="38102"/>
    <cellStyle name="注释 2 2 2 2 4 3" xfId="16596"/>
    <cellStyle name="注释 2 2 2 2 4 3 2" xfId="18033"/>
    <cellStyle name="注释 2 2 2 2 4 3 2 2" xfId="38109"/>
    <cellStyle name="注释 2 2 2 2 4 3 3" xfId="22620"/>
    <cellStyle name="注释 2 2 2 2 4 3 4" xfId="38108"/>
    <cellStyle name="注释 2 2 2 2 4 4" xfId="16597"/>
    <cellStyle name="注释 2 2 2 2 4 4 2" xfId="21159"/>
    <cellStyle name="注释 2 2 2 2 4 4 2 2" xfId="38111"/>
    <cellStyle name="注释 2 2 2 2 4 4 3" xfId="22621"/>
    <cellStyle name="注释 2 2 2 2 4 4 4" xfId="38110"/>
    <cellStyle name="注释 2 2 2 2 4 5" xfId="21826"/>
    <cellStyle name="注释 2 2 2 2 4 5 2" xfId="38112"/>
    <cellStyle name="注释 2 2 2 2 4 6" xfId="38101"/>
    <cellStyle name="注释 2 2 2 2 5" xfId="10615"/>
    <cellStyle name="注释 2 2 2 2 5 2" xfId="16598"/>
    <cellStyle name="注释 2 2 2 2 5 2 2" xfId="16599"/>
    <cellStyle name="注释 2 2 2 2 5 2 2 2" xfId="18031"/>
    <cellStyle name="注释 2 2 2 2 5 2 2 2 2" xfId="38116"/>
    <cellStyle name="注释 2 2 2 2 5 2 2 3" xfId="22623"/>
    <cellStyle name="注释 2 2 2 2 5 2 2 4" xfId="38115"/>
    <cellStyle name="注释 2 2 2 2 5 2 3" xfId="16600"/>
    <cellStyle name="注释 2 2 2 2 5 2 3 2" xfId="18030"/>
    <cellStyle name="注释 2 2 2 2 5 2 3 2 2" xfId="38118"/>
    <cellStyle name="注释 2 2 2 2 5 2 3 3" xfId="22624"/>
    <cellStyle name="注释 2 2 2 2 5 2 3 4" xfId="38117"/>
    <cellStyle name="注释 2 2 2 2 5 2 4" xfId="18032"/>
    <cellStyle name="注释 2 2 2 2 5 2 4 2" xfId="38119"/>
    <cellStyle name="注释 2 2 2 2 5 2 5" xfId="22622"/>
    <cellStyle name="注释 2 2 2 2 5 2 6" xfId="38114"/>
    <cellStyle name="注释 2 2 2 2 5 3" xfId="16601"/>
    <cellStyle name="注释 2 2 2 2 5 3 2" xfId="8772"/>
    <cellStyle name="注释 2 2 2 2 5 3 2 2" xfId="38121"/>
    <cellStyle name="注释 2 2 2 2 5 3 3" xfId="22625"/>
    <cellStyle name="注释 2 2 2 2 5 3 4" xfId="38120"/>
    <cellStyle name="注释 2 2 2 2 5 4" xfId="16602"/>
    <cellStyle name="注释 2 2 2 2 5 4 2" xfId="8773"/>
    <cellStyle name="注释 2 2 2 2 5 4 2 2" xfId="38123"/>
    <cellStyle name="注释 2 2 2 2 5 4 3" xfId="22626"/>
    <cellStyle name="注释 2 2 2 2 5 4 4" xfId="38122"/>
    <cellStyle name="注释 2 2 2 2 5 5" xfId="21827"/>
    <cellStyle name="注释 2 2 2 2 5 5 2" xfId="38124"/>
    <cellStyle name="注释 2 2 2 2 5 6" xfId="38113"/>
    <cellStyle name="注释 2 2 2 2 6" xfId="16603"/>
    <cellStyle name="注释 2 2 2 2 6 2" xfId="16604"/>
    <cellStyle name="注释 2 2 2 2 6 2 2" xfId="18028"/>
    <cellStyle name="注释 2 2 2 2 6 2 2 2" xfId="38127"/>
    <cellStyle name="注释 2 2 2 2 6 2 3" xfId="22628"/>
    <cellStyle name="注释 2 2 2 2 6 2 4" xfId="38126"/>
    <cellStyle name="注释 2 2 2 2 6 3" xfId="16605"/>
    <cellStyle name="注释 2 2 2 2 6 3 2" xfId="18027"/>
    <cellStyle name="注释 2 2 2 2 6 3 2 2" xfId="38129"/>
    <cellStyle name="注释 2 2 2 2 6 3 3" xfId="22629"/>
    <cellStyle name="注释 2 2 2 2 6 3 4" xfId="38128"/>
    <cellStyle name="注释 2 2 2 2 6 4" xfId="18029"/>
    <cellStyle name="注释 2 2 2 2 6 4 2" xfId="38130"/>
    <cellStyle name="注释 2 2 2 2 6 5" xfId="22627"/>
    <cellStyle name="注释 2 2 2 2 6 6" xfId="38125"/>
    <cellStyle name="注释 2 2 2 2 7" xfId="16606"/>
    <cellStyle name="注释 2 2 2 2 7 2" xfId="18026"/>
    <cellStyle name="注释 2 2 2 2 7 2 2" xfId="38132"/>
    <cellStyle name="注释 2 2 2 2 7 3" xfId="22630"/>
    <cellStyle name="注释 2 2 2 2 7 4" xfId="38131"/>
    <cellStyle name="注释 2 2 2 2 8" xfId="16607"/>
    <cellStyle name="注释 2 2 2 2 8 2" xfId="18025"/>
    <cellStyle name="注释 2 2 2 2 8 2 2" xfId="38134"/>
    <cellStyle name="注释 2 2 2 2 8 3" xfId="22631"/>
    <cellStyle name="注释 2 2 2 2 8 4" xfId="38133"/>
    <cellStyle name="注释 2 2 2 2 9" xfId="21824"/>
    <cellStyle name="注释 2 2 2 2 9 2" xfId="38135"/>
    <cellStyle name="注释 2 2 2 20" xfId="37956"/>
    <cellStyle name="注释 2 2 2 3" xfId="10616"/>
    <cellStyle name="注释 2 2 2 3 10" xfId="38136"/>
    <cellStyle name="注释 2 2 2 3 2" xfId="10617"/>
    <cellStyle name="注释 2 2 2 3 2 2" xfId="16608"/>
    <cellStyle name="注释 2 2 2 3 2 2 2" xfId="16609"/>
    <cellStyle name="注释 2 2 2 3 2 2 2 2" xfId="18023"/>
    <cellStyle name="注释 2 2 2 3 2 2 2 2 2" xfId="38140"/>
    <cellStyle name="注释 2 2 2 3 2 2 2 3" xfId="22633"/>
    <cellStyle name="注释 2 2 2 3 2 2 2 4" xfId="38139"/>
    <cellStyle name="注释 2 2 2 3 2 2 3" xfId="16610"/>
    <cellStyle name="注释 2 2 2 3 2 2 3 2" xfId="21158"/>
    <cellStyle name="注释 2 2 2 3 2 2 3 2 2" xfId="38142"/>
    <cellStyle name="注释 2 2 2 3 2 2 3 3" xfId="22634"/>
    <cellStyle name="注释 2 2 2 3 2 2 3 4" xfId="38141"/>
    <cellStyle name="注释 2 2 2 3 2 2 4" xfId="18024"/>
    <cellStyle name="注释 2 2 2 3 2 2 4 2" xfId="38143"/>
    <cellStyle name="注释 2 2 2 3 2 2 5" xfId="22632"/>
    <cellStyle name="注释 2 2 2 3 2 2 6" xfId="38138"/>
    <cellStyle name="注释 2 2 2 3 2 3" xfId="16611"/>
    <cellStyle name="注释 2 2 2 3 2 3 2" xfId="18675"/>
    <cellStyle name="注释 2 2 2 3 2 3 2 2" xfId="38145"/>
    <cellStyle name="注释 2 2 2 3 2 3 3" xfId="22635"/>
    <cellStyle name="注释 2 2 2 3 2 3 4" xfId="38144"/>
    <cellStyle name="注释 2 2 2 3 2 4" xfId="16612"/>
    <cellStyle name="注释 2 2 2 3 2 4 2" xfId="18022"/>
    <cellStyle name="注释 2 2 2 3 2 4 2 2" xfId="38147"/>
    <cellStyle name="注释 2 2 2 3 2 4 3" xfId="22636"/>
    <cellStyle name="注释 2 2 2 3 2 4 4" xfId="38146"/>
    <cellStyle name="注释 2 2 2 3 2 5" xfId="21828"/>
    <cellStyle name="注释 2 2 2 3 2 5 2" xfId="38148"/>
    <cellStyle name="注释 2 2 2 3 2 6" xfId="38137"/>
    <cellStyle name="注释 2 2 2 3 3" xfId="10618"/>
    <cellStyle name="注释 2 2 2 3 3 2" xfId="16613"/>
    <cellStyle name="注释 2 2 2 3 3 2 2" xfId="16614"/>
    <cellStyle name="注释 2 2 2 3 3 2 2 2" xfId="18021"/>
    <cellStyle name="注释 2 2 2 3 3 2 2 2 2" xfId="38152"/>
    <cellStyle name="注释 2 2 2 3 3 2 2 3" xfId="22638"/>
    <cellStyle name="注释 2 2 2 3 3 2 2 4" xfId="38151"/>
    <cellStyle name="注释 2 2 2 3 3 2 3" xfId="16615"/>
    <cellStyle name="注释 2 2 2 3 3 2 3 2" xfId="18020"/>
    <cellStyle name="注释 2 2 2 3 3 2 3 2 2" xfId="38154"/>
    <cellStyle name="注释 2 2 2 3 3 2 3 3" xfId="22639"/>
    <cellStyle name="注释 2 2 2 3 3 2 3 4" xfId="38153"/>
    <cellStyle name="注释 2 2 2 3 3 2 4" xfId="8774"/>
    <cellStyle name="注释 2 2 2 3 3 2 4 2" xfId="38155"/>
    <cellStyle name="注释 2 2 2 3 3 2 5" xfId="22637"/>
    <cellStyle name="注释 2 2 2 3 3 2 6" xfId="38150"/>
    <cellStyle name="注释 2 2 2 3 3 3" xfId="16616"/>
    <cellStyle name="注释 2 2 2 3 3 3 2" xfId="18019"/>
    <cellStyle name="注释 2 2 2 3 3 3 2 2" xfId="38157"/>
    <cellStyle name="注释 2 2 2 3 3 3 3" xfId="22640"/>
    <cellStyle name="注释 2 2 2 3 3 3 4" xfId="38156"/>
    <cellStyle name="注释 2 2 2 3 3 4" xfId="16617"/>
    <cellStyle name="注释 2 2 2 3 3 4 2" xfId="18018"/>
    <cellStyle name="注释 2 2 2 3 3 4 2 2" xfId="38159"/>
    <cellStyle name="注释 2 2 2 3 3 4 3" xfId="22641"/>
    <cellStyle name="注释 2 2 2 3 3 4 4" xfId="38158"/>
    <cellStyle name="注释 2 2 2 3 3 5" xfId="17849"/>
    <cellStyle name="注释 2 2 2 3 3 5 2" xfId="38160"/>
    <cellStyle name="注释 2 2 2 3 3 6" xfId="38149"/>
    <cellStyle name="注释 2 2 2 3 4" xfId="10619"/>
    <cellStyle name="注释 2 2 2 3 4 2" xfId="16618"/>
    <cellStyle name="注释 2 2 2 3 4 2 2" xfId="16619"/>
    <cellStyle name="注释 2 2 2 3 4 2 2 2" xfId="20580"/>
    <cellStyle name="注释 2 2 2 3 4 2 2 2 2" xfId="38164"/>
    <cellStyle name="注释 2 2 2 3 4 2 2 3" xfId="22643"/>
    <cellStyle name="注释 2 2 2 3 4 2 2 4" xfId="38163"/>
    <cellStyle name="注释 2 2 2 3 4 2 3" xfId="16620"/>
    <cellStyle name="注释 2 2 2 3 4 2 3 2" xfId="18017"/>
    <cellStyle name="注释 2 2 2 3 4 2 3 2 2" xfId="38166"/>
    <cellStyle name="注释 2 2 2 3 4 2 3 3" xfId="22644"/>
    <cellStyle name="注释 2 2 2 3 4 2 3 4" xfId="38165"/>
    <cellStyle name="注释 2 2 2 3 4 2 4" xfId="21157"/>
    <cellStyle name="注释 2 2 2 3 4 2 4 2" xfId="38167"/>
    <cellStyle name="注释 2 2 2 3 4 2 5" xfId="22642"/>
    <cellStyle name="注释 2 2 2 3 4 2 6" xfId="38162"/>
    <cellStyle name="注释 2 2 2 3 4 3" xfId="16621"/>
    <cellStyle name="注释 2 2 2 3 4 3 2" xfId="18016"/>
    <cellStyle name="注释 2 2 2 3 4 3 2 2" xfId="38169"/>
    <cellStyle name="注释 2 2 2 3 4 3 3" xfId="22645"/>
    <cellStyle name="注释 2 2 2 3 4 3 4" xfId="38168"/>
    <cellStyle name="注释 2 2 2 3 4 4" xfId="16622"/>
    <cellStyle name="注释 2 2 2 3 4 4 2" xfId="18015"/>
    <cellStyle name="注释 2 2 2 3 4 4 2 2" xfId="38171"/>
    <cellStyle name="注释 2 2 2 3 4 4 3" xfId="22646"/>
    <cellStyle name="注释 2 2 2 3 4 4 4" xfId="38170"/>
    <cellStyle name="注释 2 2 2 3 4 5" xfId="21829"/>
    <cellStyle name="注释 2 2 2 3 4 5 2" xfId="38172"/>
    <cellStyle name="注释 2 2 2 3 4 6" xfId="38161"/>
    <cellStyle name="注释 2 2 2 3 5" xfId="10620"/>
    <cellStyle name="注释 2 2 2 3 5 2" xfId="16623"/>
    <cellStyle name="注释 2 2 2 3 5 2 2" xfId="16624"/>
    <cellStyle name="注释 2 2 2 3 5 2 2 2" xfId="18013"/>
    <cellStyle name="注释 2 2 2 3 5 2 2 2 2" xfId="38176"/>
    <cellStyle name="注释 2 2 2 3 5 2 2 3" xfId="22648"/>
    <cellStyle name="注释 2 2 2 3 5 2 2 4" xfId="38175"/>
    <cellStyle name="注释 2 2 2 3 5 2 3" xfId="16625"/>
    <cellStyle name="注释 2 2 2 3 5 2 3 2" xfId="8775"/>
    <cellStyle name="注释 2 2 2 3 5 2 3 2 2" xfId="38178"/>
    <cellStyle name="注释 2 2 2 3 5 2 3 3" xfId="22649"/>
    <cellStyle name="注释 2 2 2 3 5 2 3 4" xfId="38177"/>
    <cellStyle name="注释 2 2 2 3 5 2 4" xfId="18014"/>
    <cellStyle name="注释 2 2 2 3 5 2 4 2" xfId="38179"/>
    <cellStyle name="注释 2 2 2 3 5 2 5" xfId="22647"/>
    <cellStyle name="注释 2 2 2 3 5 2 6" xfId="38174"/>
    <cellStyle name="注释 2 2 2 3 5 3" xfId="16626"/>
    <cellStyle name="注释 2 2 2 3 5 3 2" xfId="21156"/>
    <cellStyle name="注释 2 2 2 3 5 3 2 2" xfId="38181"/>
    <cellStyle name="注释 2 2 2 3 5 3 3" xfId="22650"/>
    <cellStyle name="注释 2 2 2 3 5 3 4" xfId="38180"/>
    <cellStyle name="注释 2 2 2 3 5 4" xfId="16627"/>
    <cellStyle name="注释 2 2 2 3 5 4 2" xfId="18012"/>
    <cellStyle name="注释 2 2 2 3 5 4 2 2" xfId="38183"/>
    <cellStyle name="注释 2 2 2 3 5 4 3" xfId="22651"/>
    <cellStyle name="注释 2 2 2 3 5 4 4" xfId="38182"/>
    <cellStyle name="注释 2 2 2 3 5 5" xfId="21830"/>
    <cellStyle name="注释 2 2 2 3 5 5 2" xfId="38184"/>
    <cellStyle name="注释 2 2 2 3 5 6" xfId="38173"/>
    <cellStyle name="注释 2 2 2 3 6" xfId="16628"/>
    <cellStyle name="注释 2 2 2 3 6 2" xfId="16629"/>
    <cellStyle name="注释 2 2 2 3 6 2 2" xfId="18010"/>
    <cellStyle name="注释 2 2 2 3 6 2 2 2" xfId="38187"/>
    <cellStyle name="注释 2 2 2 3 6 2 3" xfId="22653"/>
    <cellStyle name="注释 2 2 2 3 6 2 4" xfId="38186"/>
    <cellStyle name="注释 2 2 2 3 6 3" xfId="16630"/>
    <cellStyle name="注释 2 2 2 3 6 3 2" xfId="18009"/>
    <cellStyle name="注释 2 2 2 3 6 3 2 2" xfId="38189"/>
    <cellStyle name="注释 2 2 2 3 6 3 3" xfId="22654"/>
    <cellStyle name="注释 2 2 2 3 6 3 4" xfId="38188"/>
    <cellStyle name="注释 2 2 2 3 6 4" xfId="18011"/>
    <cellStyle name="注释 2 2 2 3 6 4 2" xfId="38190"/>
    <cellStyle name="注释 2 2 2 3 6 5" xfId="22652"/>
    <cellStyle name="注释 2 2 2 3 6 6" xfId="38185"/>
    <cellStyle name="注释 2 2 2 3 7" xfId="16631"/>
    <cellStyle name="注释 2 2 2 3 7 2" xfId="8776"/>
    <cellStyle name="注释 2 2 2 3 7 2 2" xfId="38192"/>
    <cellStyle name="注释 2 2 2 3 7 3" xfId="22655"/>
    <cellStyle name="注释 2 2 2 3 7 4" xfId="38191"/>
    <cellStyle name="注释 2 2 2 3 8" xfId="16632"/>
    <cellStyle name="注释 2 2 2 3 8 2" xfId="8777"/>
    <cellStyle name="注释 2 2 2 3 8 2 2" xfId="38194"/>
    <cellStyle name="注释 2 2 2 3 8 3" xfId="22656"/>
    <cellStyle name="注释 2 2 2 3 8 4" xfId="38193"/>
    <cellStyle name="注释 2 2 2 3 9" xfId="18848"/>
    <cellStyle name="注释 2 2 2 3 9 2" xfId="38195"/>
    <cellStyle name="注释 2 2 2 4" xfId="10621"/>
    <cellStyle name="注释 2 2 2 4 10" xfId="38196"/>
    <cellStyle name="注释 2 2 2 4 2" xfId="10622"/>
    <cellStyle name="注释 2 2 2 4 2 2" xfId="16633"/>
    <cellStyle name="注释 2 2 2 4 2 2 2" xfId="16634"/>
    <cellStyle name="注释 2 2 2 4 2 2 2 2" xfId="8778"/>
    <cellStyle name="注释 2 2 2 4 2 2 2 2 2" xfId="38200"/>
    <cellStyle name="注释 2 2 2 4 2 2 2 3" xfId="22658"/>
    <cellStyle name="注释 2 2 2 4 2 2 2 4" xfId="38199"/>
    <cellStyle name="注释 2 2 2 4 2 2 3" xfId="16635"/>
    <cellStyle name="注释 2 2 2 4 2 2 3 2" xfId="8779"/>
    <cellStyle name="注释 2 2 2 4 2 2 3 2 2" xfId="38202"/>
    <cellStyle name="注释 2 2 2 4 2 2 3 3" xfId="22659"/>
    <cellStyle name="注释 2 2 2 4 2 2 3 4" xfId="38201"/>
    <cellStyle name="注释 2 2 2 4 2 2 4" xfId="18008"/>
    <cellStyle name="注释 2 2 2 4 2 2 4 2" xfId="38203"/>
    <cellStyle name="注释 2 2 2 4 2 2 5" xfId="22657"/>
    <cellStyle name="注释 2 2 2 4 2 2 6" xfId="38198"/>
    <cellStyle name="注释 2 2 2 4 2 3" xfId="16636"/>
    <cellStyle name="注释 2 2 2 4 2 3 2" xfId="20579"/>
    <cellStyle name="注释 2 2 2 4 2 3 2 2" xfId="38205"/>
    <cellStyle name="注释 2 2 2 4 2 3 3" xfId="22660"/>
    <cellStyle name="注释 2 2 2 4 2 3 4" xfId="38204"/>
    <cellStyle name="注释 2 2 2 4 2 4" xfId="16637"/>
    <cellStyle name="注释 2 2 2 4 2 4 2" xfId="8780"/>
    <cellStyle name="注释 2 2 2 4 2 4 2 2" xfId="38207"/>
    <cellStyle name="注释 2 2 2 4 2 4 3" xfId="22661"/>
    <cellStyle name="注释 2 2 2 4 2 4 4" xfId="38206"/>
    <cellStyle name="注释 2 2 2 4 2 5" xfId="21832"/>
    <cellStyle name="注释 2 2 2 4 2 5 2" xfId="38208"/>
    <cellStyle name="注释 2 2 2 4 2 6" xfId="38197"/>
    <cellStyle name="注释 2 2 2 4 3" xfId="10623"/>
    <cellStyle name="注释 2 2 2 4 3 2" xfId="16638"/>
    <cellStyle name="注释 2 2 2 4 3 2 2" xfId="16639"/>
    <cellStyle name="注释 2 2 2 4 3 2 2 2" xfId="8782"/>
    <cellStyle name="注释 2 2 2 4 3 2 2 2 2" xfId="38212"/>
    <cellStyle name="注释 2 2 2 4 3 2 2 3" xfId="22663"/>
    <cellStyle name="注释 2 2 2 4 3 2 2 4" xfId="38211"/>
    <cellStyle name="注释 2 2 2 4 3 2 3" xfId="16640"/>
    <cellStyle name="注释 2 2 2 4 3 2 3 2" xfId="8783"/>
    <cellStyle name="注释 2 2 2 4 3 2 3 2 2" xfId="38214"/>
    <cellStyle name="注释 2 2 2 4 3 2 3 3" xfId="22664"/>
    <cellStyle name="注释 2 2 2 4 3 2 3 4" xfId="38213"/>
    <cellStyle name="注释 2 2 2 4 3 2 4" xfId="8781"/>
    <cellStyle name="注释 2 2 2 4 3 2 4 2" xfId="38215"/>
    <cellStyle name="注释 2 2 2 4 3 2 5" xfId="22662"/>
    <cellStyle name="注释 2 2 2 4 3 2 6" xfId="38210"/>
    <cellStyle name="注释 2 2 2 4 3 3" xfId="16641"/>
    <cellStyle name="注释 2 2 2 4 3 3 2" xfId="8784"/>
    <cellStyle name="注释 2 2 2 4 3 3 2 2" xfId="38217"/>
    <cellStyle name="注释 2 2 2 4 3 3 3" xfId="22665"/>
    <cellStyle name="注释 2 2 2 4 3 3 4" xfId="38216"/>
    <cellStyle name="注释 2 2 2 4 3 4" xfId="16642"/>
    <cellStyle name="注释 2 2 2 4 3 4 2" xfId="8785"/>
    <cellStyle name="注释 2 2 2 4 3 4 2 2" xfId="38219"/>
    <cellStyle name="注释 2 2 2 4 3 4 3" xfId="22666"/>
    <cellStyle name="注释 2 2 2 4 3 4 4" xfId="38218"/>
    <cellStyle name="注释 2 2 2 4 3 5" xfId="21833"/>
    <cellStyle name="注释 2 2 2 4 3 5 2" xfId="38220"/>
    <cellStyle name="注释 2 2 2 4 3 6" xfId="38209"/>
    <cellStyle name="注释 2 2 2 4 4" xfId="10624"/>
    <cellStyle name="注释 2 2 2 4 4 2" xfId="16643"/>
    <cellStyle name="注释 2 2 2 4 4 2 2" xfId="16644"/>
    <cellStyle name="注释 2 2 2 4 4 2 2 2" xfId="8787"/>
    <cellStyle name="注释 2 2 2 4 4 2 2 2 2" xfId="38224"/>
    <cellStyle name="注释 2 2 2 4 4 2 2 3" xfId="22668"/>
    <cellStyle name="注释 2 2 2 4 4 2 2 4" xfId="38223"/>
    <cellStyle name="注释 2 2 2 4 4 2 3" xfId="16645"/>
    <cellStyle name="注释 2 2 2 4 4 2 3 2" xfId="8788"/>
    <cellStyle name="注释 2 2 2 4 4 2 3 2 2" xfId="38226"/>
    <cellStyle name="注释 2 2 2 4 4 2 3 3" xfId="22669"/>
    <cellStyle name="注释 2 2 2 4 4 2 3 4" xfId="38225"/>
    <cellStyle name="注释 2 2 2 4 4 2 4" xfId="8786"/>
    <cellStyle name="注释 2 2 2 4 4 2 4 2" xfId="38227"/>
    <cellStyle name="注释 2 2 2 4 4 2 5" xfId="22667"/>
    <cellStyle name="注释 2 2 2 4 4 2 6" xfId="38222"/>
    <cellStyle name="注释 2 2 2 4 4 3" xfId="16646"/>
    <cellStyle name="注释 2 2 2 4 4 3 2" xfId="8796"/>
    <cellStyle name="注释 2 2 2 4 4 3 2 2" xfId="38229"/>
    <cellStyle name="注释 2 2 2 4 4 3 3" xfId="22670"/>
    <cellStyle name="注释 2 2 2 4 4 3 4" xfId="38228"/>
    <cellStyle name="注释 2 2 2 4 4 4" xfId="16647"/>
    <cellStyle name="注释 2 2 2 4 4 4 2" xfId="21155"/>
    <cellStyle name="注释 2 2 2 4 4 4 2 2" xfId="38231"/>
    <cellStyle name="注释 2 2 2 4 4 4 3" xfId="22671"/>
    <cellStyle name="注释 2 2 2 4 4 4 4" xfId="38230"/>
    <cellStyle name="注释 2 2 2 4 4 5" xfId="17850"/>
    <cellStyle name="注释 2 2 2 4 4 5 2" xfId="38232"/>
    <cellStyle name="注释 2 2 2 4 4 6" xfId="38221"/>
    <cellStyle name="注释 2 2 2 4 5" xfId="10625"/>
    <cellStyle name="注释 2 2 2 4 5 2" xfId="16648"/>
    <cellStyle name="注释 2 2 2 4 5 2 2" xfId="16649"/>
    <cellStyle name="注释 2 2 2 4 5 2 2 2" xfId="18006"/>
    <cellStyle name="注释 2 2 2 4 5 2 2 2 2" xfId="38236"/>
    <cellStyle name="注释 2 2 2 4 5 2 2 3" xfId="22673"/>
    <cellStyle name="注释 2 2 2 4 5 2 2 4" xfId="38235"/>
    <cellStyle name="注释 2 2 2 4 5 2 3" xfId="16650"/>
    <cellStyle name="注释 2 2 2 4 5 2 3 2" xfId="18005"/>
    <cellStyle name="注释 2 2 2 4 5 2 3 2 2" xfId="38238"/>
    <cellStyle name="注释 2 2 2 4 5 2 3 3" xfId="22674"/>
    <cellStyle name="注释 2 2 2 4 5 2 3 4" xfId="38237"/>
    <cellStyle name="注释 2 2 2 4 5 2 4" xfId="18007"/>
    <cellStyle name="注释 2 2 2 4 5 2 4 2" xfId="38239"/>
    <cellStyle name="注释 2 2 2 4 5 2 5" xfId="22672"/>
    <cellStyle name="注释 2 2 2 4 5 2 6" xfId="38234"/>
    <cellStyle name="注释 2 2 2 4 5 3" xfId="16651"/>
    <cellStyle name="注释 2 2 2 4 5 3 2" xfId="18004"/>
    <cellStyle name="注释 2 2 2 4 5 3 2 2" xfId="38241"/>
    <cellStyle name="注释 2 2 2 4 5 3 3" xfId="22675"/>
    <cellStyle name="注释 2 2 2 4 5 3 4" xfId="38240"/>
    <cellStyle name="注释 2 2 2 4 5 4" xfId="16652"/>
    <cellStyle name="注释 2 2 2 4 5 4 2" xfId="18003"/>
    <cellStyle name="注释 2 2 2 4 5 4 2 2" xfId="38243"/>
    <cellStyle name="注释 2 2 2 4 5 4 3" xfId="22676"/>
    <cellStyle name="注释 2 2 2 4 5 4 4" xfId="38242"/>
    <cellStyle name="注释 2 2 2 4 5 5" xfId="21834"/>
    <cellStyle name="注释 2 2 2 4 5 5 2" xfId="38244"/>
    <cellStyle name="注释 2 2 2 4 5 6" xfId="38233"/>
    <cellStyle name="注释 2 2 2 4 6" xfId="16653"/>
    <cellStyle name="注释 2 2 2 4 6 2" xfId="16654"/>
    <cellStyle name="注释 2 2 2 4 6 2 2" xfId="18001"/>
    <cellStyle name="注释 2 2 2 4 6 2 2 2" xfId="38247"/>
    <cellStyle name="注释 2 2 2 4 6 2 3" xfId="22678"/>
    <cellStyle name="注释 2 2 2 4 6 2 4" xfId="38246"/>
    <cellStyle name="注释 2 2 2 4 6 3" xfId="16655"/>
    <cellStyle name="注释 2 2 2 4 6 3 2" xfId="18000"/>
    <cellStyle name="注释 2 2 2 4 6 3 2 2" xfId="38249"/>
    <cellStyle name="注释 2 2 2 4 6 3 3" xfId="22679"/>
    <cellStyle name="注释 2 2 2 4 6 3 4" xfId="38248"/>
    <cellStyle name="注释 2 2 2 4 6 4" xfId="18002"/>
    <cellStyle name="注释 2 2 2 4 6 4 2" xfId="38250"/>
    <cellStyle name="注释 2 2 2 4 6 5" xfId="22677"/>
    <cellStyle name="注释 2 2 2 4 6 6" xfId="38245"/>
    <cellStyle name="注释 2 2 2 4 7" xfId="16656"/>
    <cellStyle name="注释 2 2 2 4 7 2" xfId="20578"/>
    <cellStyle name="注释 2 2 2 4 7 2 2" xfId="38252"/>
    <cellStyle name="注释 2 2 2 4 7 3" xfId="22680"/>
    <cellStyle name="注释 2 2 2 4 7 4" xfId="38251"/>
    <cellStyle name="注释 2 2 2 4 8" xfId="16657"/>
    <cellStyle name="注释 2 2 2 4 8 2" xfId="17999"/>
    <cellStyle name="注释 2 2 2 4 8 2 2" xfId="38254"/>
    <cellStyle name="注释 2 2 2 4 8 3" xfId="22681"/>
    <cellStyle name="注释 2 2 2 4 8 4" xfId="38253"/>
    <cellStyle name="注释 2 2 2 4 9" xfId="21831"/>
    <cellStyle name="注释 2 2 2 4 9 2" xfId="38255"/>
    <cellStyle name="注释 2 2 2 5" xfId="10626"/>
    <cellStyle name="注释 2 2 2 5 10" xfId="38256"/>
    <cellStyle name="注释 2 2 2 5 2" xfId="10627"/>
    <cellStyle name="注释 2 2 2 5 2 2" xfId="16658"/>
    <cellStyle name="注释 2 2 2 5 2 2 2" xfId="16659"/>
    <cellStyle name="注释 2 2 2 5 2 2 2 2" xfId="21154"/>
    <cellStyle name="注释 2 2 2 5 2 2 2 2 2" xfId="38260"/>
    <cellStyle name="注释 2 2 2 5 2 2 2 3" xfId="22683"/>
    <cellStyle name="注释 2 2 2 5 2 2 2 4" xfId="38259"/>
    <cellStyle name="注释 2 2 2 5 2 2 3" xfId="16660"/>
    <cellStyle name="注释 2 2 2 5 2 2 3 2" xfId="21153"/>
    <cellStyle name="注释 2 2 2 5 2 2 3 2 2" xfId="38262"/>
    <cellStyle name="注释 2 2 2 5 2 2 3 3" xfId="22684"/>
    <cellStyle name="注释 2 2 2 5 2 2 3 4" xfId="38261"/>
    <cellStyle name="注释 2 2 2 5 2 2 4" xfId="17998"/>
    <cellStyle name="注释 2 2 2 5 2 2 4 2" xfId="38263"/>
    <cellStyle name="注释 2 2 2 5 2 2 5" xfId="22682"/>
    <cellStyle name="注释 2 2 2 5 2 2 6" xfId="38258"/>
    <cellStyle name="注释 2 2 2 5 2 3" xfId="16661"/>
    <cellStyle name="注释 2 2 2 5 2 3 2" xfId="17997"/>
    <cellStyle name="注释 2 2 2 5 2 3 2 2" xfId="38265"/>
    <cellStyle name="注释 2 2 2 5 2 3 3" xfId="22685"/>
    <cellStyle name="注释 2 2 2 5 2 3 4" xfId="38264"/>
    <cellStyle name="注释 2 2 2 5 2 4" xfId="16662"/>
    <cellStyle name="注释 2 2 2 5 2 4 2" xfId="20577"/>
    <cellStyle name="注释 2 2 2 5 2 4 2 2" xfId="38267"/>
    <cellStyle name="注释 2 2 2 5 2 4 3" xfId="22686"/>
    <cellStyle name="注释 2 2 2 5 2 4 4" xfId="38266"/>
    <cellStyle name="注释 2 2 2 5 2 5" xfId="18850"/>
    <cellStyle name="注释 2 2 2 5 2 5 2" xfId="38268"/>
    <cellStyle name="注释 2 2 2 5 2 6" xfId="38257"/>
    <cellStyle name="注释 2 2 2 5 3" xfId="10628"/>
    <cellStyle name="注释 2 2 2 5 3 2" xfId="16663"/>
    <cellStyle name="注释 2 2 2 5 3 2 2" xfId="16664"/>
    <cellStyle name="注释 2 2 2 5 3 2 2 2" xfId="17995"/>
    <cellStyle name="注释 2 2 2 5 3 2 2 2 2" xfId="38272"/>
    <cellStyle name="注释 2 2 2 5 3 2 2 3" xfId="22688"/>
    <cellStyle name="注释 2 2 2 5 3 2 2 4" xfId="38271"/>
    <cellStyle name="注释 2 2 2 5 3 2 3" xfId="16665"/>
    <cellStyle name="注释 2 2 2 5 3 2 3 2" xfId="17994"/>
    <cellStyle name="注释 2 2 2 5 3 2 3 2 2" xfId="38274"/>
    <cellStyle name="注释 2 2 2 5 3 2 3 3" xfId="22689"/>
    <cellStyle name="注释 2 2 2 5 3 2 3 4" xfId="38273"/>
    <cellStyle name="注释 2 2 2 5 3 2 4" xfId="17996"/>
    <cellStyle name="注释 2 2 2 5 3 2 4 2" xfId="38275"/>
    <cellStyle name="注释 2 2 2 5 3 2 5" xfId="22687"/>
    <cellStyle name="注释 2 2 2 5 3 2 6" xfId="38270"/>
    <cellStyle name="注释 2 2 2 5 3 3" xfId="16666"/>
    <cellStyle name="注释 2 2 2 5 3 3 2" xfId="17993"/>
    <cellStyle name="注释 2 2 2 5 3 3 2 2" xfId="38277"/>
    <cellStyle name="注释 2 2 2 5 3 3 3" xfId="22690"/>
    <cellStyle name="注释 2 2 2 5 3 3 4" xfId="38276"/>
    <cellStyle name="注释 2 2 2 5 3 4" xfId="16667"/>
    <cellStyle name="注释 2 2 2 5 3 4 2" xfId="18674"/>
    <cellStyle name="注释 2 2 2 5 3 4 2 2" xfId="38279"/>
    <cellStyle name="注释 2 2 2 5 3 4 3" xfId="22691"/>
    <cellStyle name="注释 2 2 2 5 3 4 4" xfId="38278"/>
    <cellStyle name="注释 2 2 2 5 3 5" xfId="21835"/>
    <cellStyle name="注释 2 2 2 5 3 5 2" xfId="38280"/>
    <cellStyle name="注释 2 2 2 5 3 6" xfId="38269"/>
    <cellStyle name="注释 2 2 2 5 4" xfId="10629"/>
    <cellStyle name="注释 2 2 2 5 4 2" xfId="16668"/>
    <cellStyle name="注释 2 2 2 5 4 2 2" xfId="16669"/>
    <cellStyle name="注释 2 2 2 5 4 2 2 2" xfId="17992"/>
    <cellStyle name="注释 2 2 2 5 4 2 2 2 2" xfId="38284"/>
    <cellStyle name="注释 2 2 2 5 4 2 2 3" xfId="22693"/>
    <cellStyle name="注释 2 2 2 5 4 2 2 4" xfId="38283"/>
    <cellStyle name="注释 2 2 2 5 4 2 3" xfId="16670"/>
    <cellStyle name="注释 2 2 2 5 4 2 3 2" xfId="17991"/>
    <cellStyle name="注释 2 2 2 5 4 2 3 2 2" xfId="38286"/>
    <cellStyle name="注释 2 2 2 5 4 2 3 3" xfId="22694"/>
    <cellStyle name="注释 2 2 2 5 4 2 3 4" xfId="38285"/>
    <cellStyle name="注释 2 2 2 5 4 2 4" xfId="8797"/>
    <cellStyle name="注释 2 2 2 5 4 2 4 2" xfId="38287"/>
    <cellStyle name="注释 2 2 2 5 4 2 5" xfId="22692"/>
    <cellStyle name="注释 2 2 2 5 4 2 6" xfId="38282"/>
    <cellStyle name="注释 2 2 2 5 4 3" xfId="16671"/>
    <cellStyle name="注释 2 2 2 5 4 3 2" xfId="17990"/>
    <cellStyle name="注释 2 2 2 5 4 3 2 2" xfId="38289"/>
    <cellStyle name="注释 2 2 2 5 4 3 3" xfId="22695"/>
    <cellStyle name="注释 2 2 2 5 4 3 4" xfId="38288"/>
    <cellStyle name="注释 2 2 2 5 4 4" xfId="16672"/>
    <cellStyle name="注释 2 2 2 5 4 4 2" xfId="17989"/>
    <cellStyle name="注释 2 2 2 5 4 4 2 2" xfId="38291"/>
    <cellStyle name="注释 2 2 2 5 4 4 3" xfId="22696"/>
    <cellStyle name="注释 2 2 2 5 4 4 4" xfId="38290"/>
    <cellStyle name="注释 2 2 2 5 4 5" xfId="21836"/>
    <cellStyle name="注释 2 2 2 5 4 5 2" xfId="38292"/>
    <cellStyle name="注释 2 2 2 5 4 6" xfId="38281"/>
    <cellStyle name="注释 2 2 2 5 5" xfId="10630"/>
    <cellStyle name="注释 2 2 2 5 5 2" xfId="16673"/>
    <cellStyle name="注释 2 2 2 5 5 2 2" xfId="16674"/>
    <cellStyle name="注释 2 2 2 5 5 2 2 2" xfId="8798"/>
    <cellStyle name="注释 2 2 2 5 5 2 2 2 2" xfId="38296"/>
    <cellStyle name="注释 2 2 2 5 5 2 2 3" xfId="22698"/>
    <cellStyle name="注释 2 2 2 5 5 2 2 4" xfId="38295"/>
    <cellStyle name="注释 2 2 2 5 5 2 3" xfId="16675"/>
    <cellStyle name="注释 2 2 2 5 5 2 3 2" xfId="21152"/>
    <cellStyle name="注释 2 2 2 5 5 2 3 2 2" xfId="38298"/>
    <cellStyle name="注释 2 2 2 5 5 2 3 3" xfId="22699"/>
    <cellStyle name="注释 2 2 2 5 5 2 3 4" xfId="38297"/>
    <cellStyle name="注释 2 2 2 5 5 2 4" xfId="17988"/>
    <cellStyle name="注释 2 2 2 5 5 2 4 2" xfId="38299"/>
    <cellStyle name="注释 2 2 2 5 5 2 5" xfId="22697"/>
    <cellStyle name="注释 2 2 2 5 5 2 6" xfId="38294"/>
    <cellStyle name="注释 2 2 2 5 5 3" xfId="16676"/>
    <cellStyle name="注释 2 2 2 5 5 3 2" xfId="17987"/>
    <cellStyle name="注释 2 2 2 5 5 3 2 2" xfId="38301"/>
    <cellStyle name="注释 2 2 2 5 5 3 3" xfId="22700"/>
    <cellStyle name="注释 2 2 2 5 5 3 4" xfId="38300"/>
    <cellStyle name="注释 2 2 2 5 5 4" xfId="16677"/>
    <cellStyle name="注释 2 2 2 5 5 4 2" xfId="17986"/>
    <cellStyle name="注释 2 2 2 5 5 4 2 2" xfId="38303"/>
    <cellStyle name="注释 2 2 2 5 5 4 3" xfId="22701"/>
    <cellStyle name="注释 2 2 2 5 5 4 4" xfId="38302"/>
    <cellStyle name="注释 2 2 2 5 5 5" xfId="21129"/>
    <cellStyle name="注释 2 2 2 5 5 5 2" xfId="38304"/>
    <cellStyle name="注释 2 2 2 5 5 6" xfId="38293"/>
    <cellStyle name="注释 2 2 2 5 6" xfId="16678"/>
    <cellStyle name="注释 2 2 2 5 6 2" xfId="16679"/>
    <cellStyle name="注释 2 2 2 5 6 2 2" xfId="17984"/>
    <cellStyle name="注释 2 2 2 5 6 2 2 2" xfId="38307"/>
    <cellStyle name="注释 2 2 2 5 6 2 3" xfId="22703"/>
    <cellStyle name="注释 2 2 2 5 6 2 4" xfId="38306"/>
    <cellStyle name="注释 2 2 2 5 6 3" xfId="16680"/>
    <cellStyle name="注释 2 2 2 5 6 3 2" xfId="17983"/>
    <cellStyle name="注释 2 2 2 5 6 3 2 2" xfId="38309"/>
    <cellStyle name="注释 2 2 2 5 6 3 3" xfId="22704"/>
    <cellStyle name="注释 2 2 2 5 6 3 4" xfId="38308"/>
    <cellStyle name="注释 2 2 2 5 6 4" xfId="17985"/>
    <cellStyle name="注释 2 2 2 5 6 4 2" xfId="38310"/>
    <cellStyle name="注释 2 2 2 5 6 5" xfId="22702"/>
    <cellStyle name="注释 2 2 2 5 6 6" xfId="38305"/>
    <cellStyle name="注释 2 2 2 5 7" xfId="16681"/>
    <cellStyle name="注释 2 2 2 5 7 2" xfId="21151"/>
    <cellStyle name="注释 2 2 2 5 7 2 2" xfId="38312"/>
    <cellStyle name="注释 2 2 2 5 7 3" xfId="22705"/>
    <cellStyle name="注释 2 2 2 5 7 4" xfId="38311"/>
    <cellStyle name="注释 2 2 2 5 8" xfId="16682"/>
    <cellStyle name="注释 2 2 2 5 8 2" xfId="17982"/>
    <cellStyle name="注释 2 2 2 5 8 2 2" xfId="38314"/>
    <cellStyle name="注释 2 2 2 5 8 3" xfId="22706"/>
    <cellStyle name="注释 2 2 2 5 8 4" xfId="38313"/>
    <cellStyle name="注释 2 2 2 5 9" xfId="18849"/>
    <cellStyle name="注释 2 2 2 5 9 2" xfId="38315"/>
    <cellStyle name="注释 2 2 2 6" xfId="10631"/>
    <cellStyle name="注释 2 2 2 6 10" xfId="38316"/>
    <cellStyle name="注释 2 2 2 6 2" xfId="10632"/>
    <cellStyle name="注释 2 2 2 6 2 2" xfId="16683"/>
    <cellStyle name="注释 2 2 2 6 2 2 2" xfId="16684"/>
    <cellStyle name="注释 2 2 2 6 2 2 2 2" xfId="17980"/>
    <cellStyle name="注释 2 2 2 6 2 2 2 2 2" xfId="38320"/>
    <cellStyle name="注释 2 2 2 6 2 2 2 3" xfId="22708"/>
    <cellStyle name="注释 2 2 2 6 2 2 2 4" xfId="38319"/>
    <cellStyle name="注释 2 2 2 6 2 2 3" xfId="16685"/>
    <cellStyle name="注释 2 2 2 6 2 2 3 2" xfId="8799"/>
    <cellStyle name="注释 2 2 2 6 2 2 3 2 2" xfId="38322"/>
    <cellStyle name="注释 2 2 2 6 2 2 3 3" xfId="22709"/>
    <cellStyle name="注释 2 2 2 6 2 2 3 4" xfId="38321"/>
    <cellStyle name="注释 2 2 2 6 2 2 4" xfId="17981"/>
    <cellStyle name="注释 2 2 2 6 2 2 4 2" xfId="38323"/>
    <cellStyle name="注释 2 2 2 6 2 2 5" xfId="22707"/>
    <cellStyle name="注释 2 2 2 6 2 2 6" xfId="38318"/>
    <cellStyle name="注释 2 2 2 6 2 3" xfId="16686"/>
    <cellStyle name="注释 2 2 2 6 2 3 2" xfId="17979"/>
    <cellStyle name="注释 2 2 2 6 2 3 2 2" xfId="38325"/>
    <cellStyle name="注释 2 2 2 6 2 3 3" xfId="22710"/>
    <cellStyle name="注释 2 2 2 6 2 3 4" xfId="38324"/>
    <cellStyle name="注释 2 2 2 6 2 4" xfId="16687"/>
    <cellStyle name="注释 2 2 2 6 2 4 2" xfId="17978"/>
    <cellStyle name="注释 2 2 2 6 2 4 2 2" xfId="38327"/>
    <cellStyle name="注释 2 2 2 6 2 4 3" xfId="22711"/>
    <cellStyle name="注释 2 2 2 6 2 4 4" xfId="38326"/>
    <cellStyle name="注释 2 2 2 6 2 5" xfId="21838"/>
    <cellStyle name="注释 2 2 2 6 2 5 2" xfId="38328"/>
    <cellStyle name="注释 2 2 2 6 2 6" xfId="38317"/>
    <cellStyle name="注释 2 2 2 6 3" xfId="10633"/>
    <cellStyle name="注释 2 2 2 6 3 2" xfId="16688"/>
    <cellStyle name="注释 2 2 2 6 3 2 2" xfId="16689"/>
    <cellStyle name="注释 2 2 2 6 3 2 2 2" xfId="17976"/>
    <cellStyle name="注释 2 2 2 6 3 2 2 2 2" xfId="38332"/>
    <cellStyle name="注释 2 2 2 6 3 2 2 3" xfId="22713"/>
    <cellStyle name="注释 2 2 2 6 3 2 2 4" xfId="38331"/>
    <cellStyle name="注释 2 2 2 6 3 2 3" xfId="16690"/>
    <cellStyle name="注释 2 2 2 6 3 2 3 2" xfId="17975"/>
    <cellStyle name="注释 2 2 2 6 3 2 3 2 2" xfId="38334"/>
    <cellStyle name="注释 2 2 2 6 3 2 3 3" xfId="22714"/>
    <cellStyle name="注释 2 2 2 6 3 2 3 4" xfId="38333"/>
    <cellStyle name="注释 2 2 2 6 3 2 4" xfId="17977"/>
    <cellStyle name="注释 2 2 2 6 3 2 4 2" xfId="38335"/>
    <cellStyle name="注释 2 2 2 6 3 2 5" xfId="22712"/>
    <cellStyle name="注释 2 2 2 6 3 2 6" xfId="38330"/>
    <cellStyle name="注释 2 2 2 6 3 3" xfId="16691"/>
    <cellStyle name="注释 2 2 2 6 3 3 2" xfId="8800"/>
    <cellStyle name="注释 2 2 2 6 3 3 2 2" xfId="38337"/>
    <cellStyle name="注释 2 2 2 6 3 3 3" xfId="22715"/>
    <cellStyle name="注释 2 2 2 6 3 3 4" xfId="38336"/>
    <cellStyle name="注释 2 2 2 6 3 4" xfId="16692"/>
    <cellStyle name="注释 2 2 2 6 3 4 2" xfId="17974"/>
    <cellStyle name="注释 2 2 2 6 3 4 2 2" xfId="38339"/>
    <cellStyle name="注释 2 2 2 6 3 4 3" xfId="22716"/>
    <cellStyle name="注释 2 2 2 6 3 4 4" xfId="38338"/>
    <cellStyle name="注释 2 2 2 6 3 5" xfId="21839"/>
    <cellStyle name="注释 2 2 2 6 3 5 2" xfId="38340"/>
    <cellStyle name="注释 2 2 2 6 3 6" xfId="38329"/>
    <cellStyle name="注释 2 2 2 6 4" xfId="10634"/>
    <cellStyle name="注释 2 2 2 6 4 2" xfId="16693"/>
    <cellStyle name="注释 2 2 2 6 4 2 2" xfId="16694"/>
    <cellStyle name="注释 2 2 2 6 4 2 2 2" xfId="21150"/>
    <cellStyle name="注释 2 2 2 6 4 2 2 2 2" xfId="38344"/>
    <cellStyle name="注释 2 2 2 6 4 2 2 3" xfId="22718"/>
    <cellStyle name="注释 2 2 2 6 4 2 2 4" xfId="38343"/>
    <cellStyle name="注释 2 2 2 6 4 2 3" xfId="16695"/>
    <cellStyle name="注释 2 2 2 6 4 2 3 2" xfId="21149"/>
    <cellStyle name="注释 2 2 2 6 4 2 3 2 2" xfId="38346"/>
    <cellStyle name="注释 2 2 2 6 4 2 3 3" xfId="22719"/>
    <cellStyle name="注释 2 2 2 6 4 2 3 4" xfId="38345"/>
    <cellStyle name="注释 2 2 2 6 4 2 4" xfId="17973"/>
    <cellStyle name="注释 2 2 2 6 4 2 4 2" xfId="38347"/>
    <cellStyle name="注释 2 2 2 6 4 2 5" xfId="22717"/>
    <cellStyle name="注释 2 2 2 6 4 2 6" xfId="38342"/>
    <cellStyle name="注释 2 2 2 6 4 3" xfId="16696"/>
    <cellStyle name="注释 2 2 2 6 4 3 2" xfId="17972"/>
    <cellStyle name="注释 2 2 2 6 4 3 2 2" xfId="38349"/>
    <cellStyle name="注释 2 2 2 6 4 3 3" xfId="22720"/>
    <cellStyle name="注释 2 2 2 6 4 3 4" xfId="38348"/>
    <cellStyle name="注释 2 2 2 6 4 4" xfId="16697"/>
    <cellStyle name="注释 2 2 2 6 4 4 2" xfId="8801"/>
    <cellStyle name="注释 2 2 2 6 4 4 2 2" xfId="38351"/>
    <cellStyle name="注释 2 2 2 6 4 4 3" xfId="22721"/>
    <cellStyle name="注释 2 2 2 6 4 4 4" xfId="38350"/>
    <cellStyle name="注释 2 2 2 6 4 5" xfId="18851"/>
    <cellStyle name="注释 2 2 2 6 4 5 2" xfId="38352"/>
    <cellStyle name="注释 2 2 2 6 4 6" xfId="38341"/>
    <cellStyle name="注释 2 2 2 6 5" xfId="10635"/>
    <cellStyle name="注释 2 2 2 6 5 2" xfId="16698"/>
    <cellStyle name="注释 2 2 2 6 5 2 2" xfId="16699"/>
    <cellStyle name="注释 2 2 2 6 5 2 2 2" xfId="17970"/>
    <cellStyle name="注释 2 2 2 6 5 2 2 2 2" xfId="38356"/>
    <cellStyle name="注释 2 2 2 6 5 2 2 3" xfId="22723"/>
    <cellStyle name="注释 2 2 2 6 5 2 2 4" xfId="38355"/>
    <cellStyle name="注释 2 2 2 6 5 2 3" xfId="16700"/>
    <cellStyle name="注释 2 2 2 6 5 2 3 2" xfId="17969"/>
    <cellStyle name="注释 2 2 2 6 5 2 3 2 2" xfId="38358"/>
    <cellStyle name="注释 2 2 2 6 5 2 3 3" xfId="22724"/>
    <cellStyle name="注释 2 2 2 6 5 2 3 4" xfId="38357"/>
    <cellStyle name="注释 2 2 2 6 5 2 4" xfId="17971"/>
    <cellStyle name="注释 2 2 2 6 5 2 4 2" xfId="38359"/>
    <cellStyle name="注释 2 2 2 6 5 2 5" xfId="22722"/>
    <cellStyle name="注释 2 2 2 6 5 2 6" xfId="38354"/>
    <cellStyle name="注释 2 2 2 6 5 3" xfId="16701"/>
    <cellStyle name="注释 2 2 2 6 5 3 2" xfId="17968"/>
    <cellStyle name="注释 2 2 2 6 5 3 2 2" xfId="38361"/>
    <cellStyle name="注释 2 2 2 6 5 3 3" xfId="22725"/>
    <cellStyle name="注释 2 2 2 6 5 3 4" xfId="38360"/>
    <cellStyle name="注释 2 2 2 6 5 4" xfId="16702"/>
    <cellStyle name="注释 2 2 2 6 5 4 2" xfId="21148"/>
    <cellStyle name="注释 2 2 2 6 5 4 2 2" xfId="38363"/>
    <cellStyle name="注释 2 2 2 6 5 4 3" xfId="22726"/>
    <cellStyle name="注释 2 2 2 6 5 4 4" xfId="38362"/>
    <cellStyle name="注释 2 2 2 6 5 5" xfId="21840"/>
    <cellStyle name="注释 2 2 2 6 5 5 2" xfId="38364"/>
    <cellStyle name="注释 2 2 2 6 5 6" xfId="38353"/>
    <cellStyle name="注释 2 2 2 6 6" xfId="16703"/>
    <cellStyle name="注释 2 2 2 6 6 2" xfId="16704"/>
    <cellStyle name="注释 2 2 2 6 6 2 2" xfId="8802"/>
    <cellStyle name="注释 2 2 2 6 6 2 2 2" xfId="38367"/>
    <cellStyle name="注释 2 2 2 6 6 2 3" xfId="22728"/>
    <cellStyle name="注释 2 2 2 6 6 2 4" xfId="38366"/>
    <cellStyle name="注释 2 2 2 6 6 3" xfId="16705"/>
    <cellStyle name="注释 2 2 2 6 6 3 2" xfId="17967"/>
    <cellStyle name="注释 2 2 2 6 6 3 2 2" xfId="38369"/>
    <cellStyle name="注释 2 2 2 6 6 3 3" xfId="22729"/>
    <cellStyle name="注释 2 2 2 6 6 3 4" xfId="38368"/>
    <cellStyle name="注释 2 2 2 6 6 4" xfId="18529"/>
    <cellStyle name="注释 2 2 2 6 6 4 2" xfId="38370"/>
    <cellStyle name="注释 2 2 2 6 6 5" xfId="22727"/>
    <cellStyle name="注释 2 2 2 6 6 6" xfId="38365"/>
    <cellStyle name="注释 2 2 2 6 7" xfId="16706"/>
    <cellStyle name="注释 2 2 2 6 7 2" xfId="17966"/>
    <cellStyle name="注释 2 2 2 6 7 2 2" xfId="38372"/>
    <cellStyle name="注释 2 2 2 6 7 3" xfId="22730"/>
    <cellStyle name="注释 2 2 2 6 7 4" xfId="38371"/>
    <cellStyle name="注释 2 2 2 6 8" xfId="16707"/>
    <cellStyle name="注释 2 2 2 6 8 2" xfId="17965"/>
    <cellStyle name="注释 2 2 2 6 8 2 2" xfId="38374"/>
    <cellStyle name="注释 2 2 2 6 8 3" xfId="22731"/>
    <cellStyle name="注释 2 2 2 6 8 4" xfId="38373"/>
    <cellStyle name="注释 2 2 2 6 9" xfId="21837"/>
    <cellStyle name="注释 2 2 2 6 9 2" xfId="38375"/>
    <cellStyle name="注释 2 2 2 7" xfId="10636"/>
    <cellStyle name="注释 2 2 2 7 10" xfId="38376"/>
    <cellStyle name="注释 2 2 2 7 2" xfId="10637"/>
    <cellStyle name="注释 2 2 2 7 2 2" xfId="16708"/>
    <cellStyle name="注释 2 2 2 7 2 2 2" xfId="16709"/>
    <cellStyle name="注释 2 2 2 7 2 2 2 2" xfId="17963"/>
    <cellStyle name="注释 2 2 2 7 2 2 2 2 2" xfId="38380"/>
    <cellStyle name="注释 2 2 2 7 2 2 2 3" xfId="22733"/>
    <cellStyle name="注释 2 2 2 7 2 2 2 4" xfId="38379"/>
    <cellStyle name="注释 2 2 2 7 2 2 3" xfId="16710"/>
    <cellStyle name="注释 2 2 2 7 2 2 3 2" xfId="18673"/>
    <cellStyle name="注释 2 2 2 7 2 2 3 2 2" xfId="38382"/>
    <cellStyle name="注释 2 2 2 7 2 2 3 3" xfId="22734"/>
    <cellStyle name="注释 2 2 2 7 2 2 3 4" xfId="38381"/>
    <cellStyle name="注释 2 2 2 7 2 2 4" xfId="17964"/>
    <cellStyle name="注释 2 2 2 7 2 2 4 2" xfId="38383"/>
    <cellStyle name="注释 2 2 2 7 2 2 5" xfId="22732"/>
    <cellStyle name="注释 2 2 2 7 2 2 6" xfId="38378"/>
    <cellStyle name="注释 2 2 2 7 2 3" xfId="16711"/>
    <cellStyle name="注释 2 2 2 7 2 3 2" xfId="17962"/>
    <cellStyle name="注释 2 2 2 7 2 3 2 2" xfId="38385"/>
    <cellStyle name="注释 2 2 2 7 2 3 3" xfId="22735"/>
    <cellStyle name="注释 2 2 2 7 2 3 4" xfId="38384"/>
    <cellStyle name="注释 2 2 2 7 2 4" xfId="16712"/>
    <cellStyle name="注释 2 2 2 7 2 4 2" xfId="17961"/>
    <cellStyle name="注释 2 2 2 7 2 4 2 2" xfId="38387"/>
    <cellStyle name="注释 2 2 2 7 2 4 3" xfId="22736"/>
    <cellStyle name="注释 2 2 2 7 2 4 4" xfId="38386"/>
    <cellStyle name="注释 2 2 2 7 2 5" xfId="21842"/>
    <cellStyle name="注释 2 2 2 7 2 5 2" xfId="38388"/>
    <cellStyle name="注释 2 2 2 7 2 6" xfId="38377"/>
    <cellStyle name="注释 2 2 2 7 3" xfId="10638"/>
    <cellStyle name="注释 2 2 2 7 3 2" xfId="16713"/>
    <cellStyle name="注释 2 2 2 7 3 2 2" xfId="16714"/>
    <cellStyle name="注释 2 2 2 7 3 2 2 2" xfId="17959"/>
    <cellStyle name="注释 2 2 2 7 3 2 2 2 2" xfId="38392"/>
    <cellStyle name="注释 2 2 2 7 3 2 2 3" xfId="22738"/>
    <cellStyle name="注释 2 2 2 7 3 2 2 4" xfId="38391"/>
    <cellStyle name="注释 2 2 2 7 3 2 3" xfId="16715"/>
    <cellStyle name="注释 2 2 2 7 3 2 3 2" xfId="8803"/>
    <cellStyle name="注释 2 2 2 7 3 2 3 2 2" xfId="38394"/>
    <cellStyle name="注释 2 2 2 7 3 2 3 3" xfId="22739"/>
    <cellStyle name="注释 2 2 2 7 3 2 3 4" xfId="38393"/>
    <cellStyle name="注释 2 2 2 7 3 2 4" xfId="17960"/>
    <cellStyle name="注释 2 2 2 7 3 2 4 2" xfId="38395"/>
    <cellStyle name="注释 2 2 2 7 3 2 5" xfId="22737"/>
    <cellStyle name="注释 2 2 2 7 3 2 6" xfId="38390"/>
    <cellStyle name="注释 2 2 2 7 3 3" xfId="16716"/>
    <cellStyle name="注释 2 2 2 7 3 3 2" xfId="17958"/>
    <cellStyle name="注释 2 2 2 7 3 3 2 2" xfId="38397"/>
    <cellStyle name="注释 2 2 2 7 3 3 3" xfId="22740"/>
    <cellStyle name="注释 2 2 2 7 3 3 4" xfId="38396"/>
    <cellStyle name="注释 2 2 2 7 3 4" xfId="16717"/>
    <cellStyle name="注释 2 2 2 7 3 4 2" xfId="21147"/>
    <cellStyle name="注释 2 2 2 7 3 4 2 2" xfId="38399"/>
    <cellStyle name="注释 2 2 2 7 3 4 3" xfId="22741"/>
    <cellStyle name="注释 2 2 2 7 3 4 4" xfId="38398"/>
    <cellStyle name="注释 2 2 2 7 3 5" xfId="21843"/>
    <cellStyle name="注释 2 2 2 7 3 5 2" xfId="38400"/>
    <cellStyle name="注释 2 2 2 7 3 6" xfId="38389"/>
    <cellStyle name="注释 2 2 2 7 4" xfId="10639"/>
    <cellStyle name="注释 2 2 2 7 4 2" xfId="16718"/>
    <cellStyle name="注释 2 2 2 7 4 2 2" xfId="16719"/>
    <cellStyle name="注释 2 2 2 7 4 2 2 2" xfId="17956"/>
    <cellStyle name="注释 2 2 2 7 4 2 2 2 2" xfId="38404"/>
    <cellStyle name="注释 2 2 2 7 4 2 2 3" xfId="22743"/>
    <cellStyle name="注释 2 2 2 7 4 2 2 4" xfId="38403"/>
    <cellStyle name="注释 2 2 2 7 4 2 3" xfId="16720"/>
    <cellStyle name="注释 2 2 2 7 4 2 3 2" xfId="17955"/>
    <cellStyle name="注释 2 2 2 7 4 2 3 2 2" xfId="38406"/>
    <cellStyle name="注释 2 2 2 7 4 2 3 3" xfId="22744"/>
    <cellStyle name="注释 2 2 2 7 4 2 3 4" xfId="38405"/>
    <cellStyle name="注释 2 2 2 7 4 2 4" xfId="17957"/>
    <cellStyle name="注释 2 2 2 7 4 2 4 2" xfId="38407"/>
    <cellStyle name="注释 2 2 2 7 4 2 5" xfId="22742"/>
    <cellStyle name="注释 2 2 2 7 4 2 6" xfId="38402"/>
    <cellStyle name="注释 2 2 2 7 4 3" xfId="16721"/>
    <cellStyle name="注释 2 2 2 7 4 3 2" xfId="8804"/>
    <cellStyle name="注释 2 2 2 7 4 3 2 2" xfId="38409"/>
    <cellStyle name="注释 2 2 2 7 4 3 3" xfId="22745"/>
    <cellStyle name="注释 2 2 2 7 4 3 4" xfId="38408"/>
    <cellStyle name="注释 2 2 2 7 4 4" xfId="16722"/>
    <cellStyle name="注释 2 2 2 7 4 4 2" xfId="17954"/>
    <cellStyle name="注释 2 2 2 7 4 4 2 2" xfId="38411"/>
    <cellStyle name="注释 2 2 2 7 4 4 3" xfId="22746"/>
    <cellStyle name="注释 2 2 2 7 4 4 4" xfId="38410"/>
    <cellStyle name="注释 2 2 2 7 4 5" xfId="17851"/>
    <cellStyle name="注释 2 2 2 7 4 5 2" xfId="38412"/>
    <cellStyle name="注释 2 2 2 7 4 6" xfId="38401"/>
    <cellStyle name="注释 2 2 2 7 5" xfId="10640"/>
    <cellStyle name="注释 2 2 2 7 5 2" xfId="16723"/>
    <cellStyle name="注释 2 2 2 7 5 2 2" xfId="16724"/>
    <cellStyle name="注释 2 2 2 7 5 2 2 2" xfId="17952"/>
    <cellStyle name="注释 2 2 2 7 5 2 2 2 2" xfId="38416"/>
    <cellStyle name="注释 2 2 2 7 5 2 2 3" xfId="22748"/>
    <cellStyle name="注释 2 2 2 7 5 2 2 4" xfId="38415"/>
    <cellStyle name="注释 2 2 2 7 5 2 3" xfId="16725"/>
    <cellStyle name="注释 2 2 2 7 5 2 3 2" xfId="17951"/>
    <cellStyle name="注释 2 2 2 7 5 2 3 2 2" xfId="38418"/>
    <cellStyle name="注释 2 2 2 7 5 2 3 3" xfId="22749"/>
    <cellStyle name="注释 2 2 2 7 5 2 3 4" xfId="38417"/>
    <cellStyle name="注释 2 2 2 7 5 2 4" xfId="17953"/>
    <cellStyle name="注释 2 2 2 7 5 2 4 2" xfId="38419"/>
    <cellStyle name="注释 2 2 2 7 5 2 5" xfId="22747"/>
    <cellStyle name="注释 2 2 2 7 5 2 6" xfId="38414"/>
    <cellStyle name="注释 2 2 2 7 5 3" xfId="16726"/>
    <cellStyle name="注释 2 2 2 7 5 3 2" xfId="17950"/>
    <cellStyle name="注释 2 2 2 7 5 3 2 2" xfId="38421"/>
    <cellStyle name="注释 2 2 2 7 5 3 3" xfId="22750"/>
    <cellStyle name="注释 2 2 2 7 5 3 4" xfId="38420"/>
    <cellStyle name="注释 2 2 2 7 5 4" xfId="16727"/>
    <cellStyle name="注释 2 2 2 7 5 4 2" xfId="8805"/>
    <cellStyle name="注释 2 2 2 7 5 4 2 2" xfId="38423"/>
    <cellStyle name="注释 2 2 2 7 5 4 3" xfId="22751"/>
    <cellStyle name="注释 2 2 2 7 5 4 4" xfId="38422"/>
    <cellStyle name="注释 2 2 2 7 5 5" xfId="21844"/>
    <cellStyle name="注释 2 2 2 7 5 5 2" xfId="38424"/>
    <cellStyle name="注释 2 2 2 7 5 6" xfId="38413"/>
    <cellStyle name="注释 2 2 2 7 6" xfId="16728"/>
    <cellStyle name="注释 2 2 2 7 6 2" xfId="16729"/>
    <cellStyle name="注释 2 2 2 7 6 2 2" xfId="17948"/>
    <cellStyle name="注释 2 2 2 7 6 2 2 2" xfId="38427"/>
    <cellStyle name="注释 2 2 2 7 6 2 3" xfId="22753"/>
    <cellStyle name="注释 2 2 2 7 6 2 4" xfId="38426"/>
    <cellStyle name="注释 2 2 2 7 6 3" xfId="16730"/>
    <cellStyle name="注释 2 2 2 7 6 3 2" xfId="21146"/>
    <cellStyle name="注释 2 2 2 7 6 3 2 2" xfId="38429"/>
    <cellStyle name="注释 2 2 2 7 6 3 3" xfId="22754"/>
    <cellStyle name="注释 2 2 2 7 6 3 4" xfId="38428"/>
    <cellStyle name="注释 2 2 2 7 6 4" xfId="17949"/>
    <cellStyle name="注释 2 2 2 7 6 4 2" xfId="38430"/>
    <cellStyle name="注释 2 2 2 7 6 5" xfId="22752"/>
    <cellStyle name="注释 2 2 2 7 6 6" xfId="38425"/>
    <cellStyle name="注释 2 2 2 7 7" xfId="16731"/>
    <cellStyle name="注释 2 2 2 7 7 2" xfId="21145"/>
    <cellStyle name="注释 2 2 2 7 7 2 2" xfId="38432"/>
    <cellStyle name="注释 2 2 2 7 7 3" xfId="22755"/>
    <cellStyle name="注释 2 2 2 7 7 4" xfId="38431"/>
    <cellStyle name="注释 2 2 2 7 8" xfId="16732"/>
    <cellStyle name="注释 2 2 2 7 8 2" xfId="17947"/>
    <cellStyle name="注释 2 2 2 7 8 2 2" xfId="38434"/>
    <cellStyle name="注释 2 2 2 7 8 3" xfId="22756"/>
    <cellStyle name="注释 2 2 2 7 8 4" xfId="38433"/>
    <cellStyle name="注释 2 2 2 7 9" xfId="21841"/>
    <cellStyle name="注释 2 2 2 7 9 2" xfId="38435"/>
    <cellStyle name="注释 2 2 2 8" xfId="10641"/>
    <cellStyle name="注释 2 2 2 8 10" xfId="38436"/>
    <cellStyle name="注释 2 2 2 8 2" xfId="10642"/>
    <cellStyle name="注释 2 2 2 8 2 2" xfId="16733"/>
    <cellStyle name="注释 2 2 2 8 2 2 2" xfId="16734"/>
    <cellStyle name="注释 2 2 2 8 2 2 2 2" xfId="20576"/>
    <cellStyle name="注释 2 2 2 8 2 2 2 2 2" xfId="38440"/>
    <cellStyle name="注释 2 2 2 8 2 2 2 3" xfId="22758"/>
    <cellStyle name="注释 2 2 2 8 2 2 2 4" xfId="38439"/>
    <cellStyle name="注释 2 2 2 8 2 2 3" xfId="16735"/>
    <cellStyle name="注释 2 2 2 8 2 2 3 2" xfId="17946"/>
    <cellStyle name="注释 2 2 2 8 2 2 3 2 2" xfId="38442"/>
    <cellStyle name="注释 2 2 2 8 2 2 3 3" xfId="22759"/>
    <cellStyle name="注释 2 2 2 8 2 2 3 4" xfId="38441"/>
    <cellStyle name="注释 2 2 2 8 2 2 4" xfId="8806"/>
    <cellStyle name="注释 2 2 2 8 2 2 4 2" xfId="38443"/>
    <cellStyle name="注释 2 2 2 8 2 2 5" xfId="22757"/>
    <cellStyle name="注释 2 2 2 8 2 2 6" xfId="38438"/>
    <cellStyle name="注释 2 2 2 8 2 3" xfId="16736"/>
    <cellStyle name="注释 2 2 2 8 2 3 2" xfId="8807"/>
    <cellStyle name="注释 2 2 2 8 2 3 2 2" xfId="38445"/>
    <cellStyle name="注释 2 2 2 8 2 3 3" xfId="22760"/>
    <cellStyle name="注释 2 2 2 8 2 3 4" xfId="38444"/>
    <cellStyle name="注释 2 2 2 8 2 4" xfId="16737"/>
    <cellStyle name="注释 2 2 2 8 2 4 2" xfId="8808"/>
    <cellStyle name="注释 2 2 2 8 2 4 2 2" xfId="38447"/>
    <cellStyle name="注释 2 2 2 8 2 4 3" xfId="22761"/>
    <cellStyle name="注释 2 2 2 8 2 4 4" xfId="38446"/>
    <cellStyle name="注释 2 2 2 8 2 5" xfId="21845"/>
    <cellStyle name="注释 2 2 2 8 2 5 2" xfId="38448"/>
    <cellStyle name="注释 2 2 2 8 2 6" xfId="38437"/>
    <cellStyle name="注释 2 2 2 8 3" xfId="10643"/>
    <cellStyle name="注释 2 2 2 8 3 2" xfId="16738"/>
    <cellStyle name="注释 2 2 2 8 3 2 2" xfId="16739"/>
    <cellStyle name="注释 2 2 2 8 3 2 2 2" xfId="8810"/>
    <cellStyle name="注释 2 2 2 8 3 2 2 2 2" xfId="38452"/>
    <cellStyle name="注释 2 2 2 8 3 2 2 3" xfId="22763"/>
    <cellStyle name="注释 2 2 2 8 3 2 2 4" xfId="38451"/>
    <cellStyle name="注释 2 2 2 8 3 2 3" xfId="16740"/>
    <cellStyle name="注释 2 2 2 8 3 2 3 2" xfId="8811"/>
    <cellStyle name="注释 2 2 2 8 3 2 3 2 2" xfId="38454"/>
    <cellStyle name="注释 2 2 2 8 3 2 3 3" xfId="22764"/>
    <cellStyle name="注释 2 2 2 8 3 2 3 4" xfId="38453"/>
    <cellStyle name="注释 2 2 2 8 3 2 4" xfId="8809"/>
    <cellStyle name="注释 2 2 2 8 3 2 4 2" xfId="38455"/>
    <cellStyle name="注释 2 2 2 8 3 2 5" xfId="22762"/>
    <cellStyle name="注释 2 2 2 8 3 2 6" xfId="38450"/>
    <cellStyle name="注释 2 2 2 8 3 3" xfId="16741"/>
    <cellStyle name="注释 2 2 2 8 3 3 2" xfId="20575"/>
    <cellStyle name="注释 2 2 2 8 3 3 2 2" xfId="38457"/>
    <cellStyle name="注释 2 2 2 8 3 3 3" xfId="22765"/>
    <cellStyle name="注释 2 2 2 8 3 3 4" xfId="38456"/>
    <cellStyle name="注释 2 2 2 8 3 4" xfId="16742"/>
    <cellStyle name="注释 2 2 2 8 3 4 2" xfId="8812"/>
    <cellStyle name="注释 2 2 2 8 3 4 2 2" xfId="38459"/>
    <cellStyle name="注释 2 2 2 8 3 4 3" xfId="22766"/>
    <cellStyle name="注释 2 2 2 8 3 4 4" xfId="38458"/>
    <cellStyle name="注释 2 2 2 8 3 5" xfId="21846"/>
    <cellStyle name="注释 2 2 2 8 3 5 2" xfId="38460"/>
    <cellStyle name="注释 2 2 2 8 3 6" xfId="38449"/>
    <cellStyle name="注释 2 2 2 8 4" xfId="10644"/>
    <cellStyle name="注释 2 2 2 8 4 2" xfId="16743"/>
    <cellStyle name="注释 2 2 2 8 4 2 2" xfId="16744"/>
    <cellStyle name="注释 2 2 2 8 4 2 2 2" xfId="8814"/>
    <cellStyle name="注释 2 2 2 8 4 2 2 2 2" xfId="38464"/>
    <cellStyle name="注释 2 2 2 8 4 2 2 3" xfId="22768"/>
    <cellStyle name="注释 2 2 2 8 4 2 2 4" xfId="38463"/>
    <cellStyle name="注释 2 2 2 8 4 2 3" xfId="16745"/>
    <cellStyle name="注释 2 2 2 8 4 2 3 2" xfId="8815"/>
    <cellStyle name="注释 2 2 2 8 4 2 3 2 2" xfId="38466"/>
    <cellStyle name="注释 2 2 2 8 4 2 3 3" xfId="22769"/>
    <cellStyle name="注释 2 2 2 8 4 2 3 4" xfId="38465"/>
    <cellStyle name="注释 2 2 2 8 4 2 4" xfId="8813"/>
    <cellStyle name="注释 2 2 2 8 4 2 4 2" xfId="38467"/>
    <cellStyle name="注释 2 2 2 8 4 2 5" xfId="22767"/>
    <cellStyle name="注释 2 2 2 8 4 2 6" xfId="38462"/>
    <cellStyle name="注释 2 2 2 8 4 3" xfId="16746"/>
    <cellStyle name="注释 2 2 2 8 4 3 2" xfId="8816"/>
    <cellStyle name="注释 2 2 2 8 4 3 2 2" xfId="38469"/>
    <cellStyle name="注释 2 2 2 8 4 3 3" xfId="22770"/>
    <cellStyle name="注释 2 2 2 8 4 3 4" xfId="38468"/>
    <cellStyle name="注释 2 2 2 8 4 4" xfId="16747"/>
    <cellStyle name="注释 2 2 2 8 4 4 2" xfId="8817"/>
    <cellStyle name="注释 2 2 2 8 4 4 2 2" xfId="38471"/>
    <cellStyle name="注释 2 2 2 8 4 4 3" xfId="22771"/>
    <cellStyle name="注释 2 2 2 8 4 4 4" xfId="38470"/>
    <cellStyle name="注释 2 2 2 8 4 5" xfId="21847"/>
    <cellStyle name="注释 2 2 2 8 4 5 2" xfId="38472"/>
    <cellStyle name="注释 2 2 2 8 4 6" xfId="38461"/>
    <cellStyle name="注释 2 2 2 8 5" xfId="10645"/>
    <cellStyle name="注释 2 2 2 8 5 2" xfId="16748"/>
    <cellStyle name="注释 2 2 2 8 5 2 2" xfId="16749"/>
    <cellStyle name="注释 2 2 2 8 5 2 2 2" xfId="17945"/>
    <cellStyle name="注释 2 2 2 8 5 2 2 2 2" xfId="38476"/>
    <cellStyle name="注释 2 2 2 8 5 2 2 3" xfId="22773"/>
    <cellStyle name="注释 2 2 2 8 5 2 2 4" xfId="38475"/>
    <cellStyle name="注释 2 2 2 8 5 2 3" xfId="16750"/>
    <cellStyle name="注释 2 2 2 8 5 2 3 2" xfId="17944"/>
    <cellStyle name="注释 2 2 2 8 5 2 3 2 2" xfId="38478"/>
    <cellStyle name="注释 2 2 2 8 5 2 3 3" xfId="22774"/>
    <cellStyle name="注释 2 2 2 8 5 2 3 4" xfId="38477"/>
    <cellStyle name="注释 2 2 2 8 5 2 4" xfId="8818"/>
    <cellStyle name="注释 2 2 2 8 5 2 4 2" xfId="38479"/>
    <cellStyle name="注释 2 2 2 8 5 2 5" xfId="22772"/>
    <cellStyle name="注释 2 2 2 8 5 2 6" xfId="38474"/>
    <cellStyle name="注释 2 2 2 8 5 3" xfId="16751"/>
    <cellStyle name="注释 2 2 2 8 5 3 2" xfId="17943"/>
    <cellStyle name="注释 2 2 2 8 5 3 2 2" xfId="38481"/>
    <cellStyle name="注释 2 2 2 8 5 3 3" xfId="22775"/>
    <cellStyle name="注释 2 2 2 8 5 3 4" xfId="38480"/>
    <cellStyle name="注释 2 2 2 8 5 4" xfId="16752"/>
    <cellStyle name="注释 2 2 2 8 5 4 2" xfId="21144"/>
    <cellStyle name="注释 2 2 2 8 5 4 2 2" xfId="38483"/>
    <cellStyle name="注释 2 2 2 8 5 4 3" xfId="22776"/>
    <cellStyle name="注释 2 2 2 8 5 4 4" xfId="38482"/>
    <cellStyle name="注释 2 2 2 8 5 5" xfId="17852"/>
    <cellStyle name="注释 2 2 2 8 5 5 2" xfId="38484"/>
    <cellStyle name="注释 2 2 2 8 5 6" xfId="38473"/>
    <cellStyle name="注释 2 2 2 8 6" xfId="16753"/>
    <cellStyle name="注释 2 2 2 8 6 2" xfId="16754"/>
    <cellStyle name="注释 2 2 2 8 6 2 2" xfId="17941"/>
    <cellStyle name="注释 2 2 2 8 6 2 2 2" xfId="38487"/>
    <cellStyle name="注释 2 2 2 8 6 2 3" xfId="22778"/>
    <cellStyle name="注释 2 2 2 8 6 2 4" xfId="38486"/>
    <cellStyle name="注释 2 2 2 8 6 3" xfId="16755"/>
    <cellStyle name="注释 2 2 2 8 6 3 2" xfId="17940"/>
    <cellStyle name="注释 2 2 2 8 6 3 2 2" xfId="38489"/>
    <cellStyle name="注释 2 2 2 8 6 3 3" xfId="22779"/>
    <cellStyle name="注释 2 2 2 8 6 3 4" xfId="38488"/>
    <cellStyle name="注释 2 2 2 8 6 4" xfId="17942"/>
    <cellStyle name="注释 2 2 2 8 6 4 2" xfId="38490"/>
    <cellStyle name="注释 2 2 2 8 6 5" xfId="22777"/>
    <cellStyle name="注释 2 2 2 8 6 6" xfId="38485"/>
    <cellStyle name="注释 2 2 2 8 7" xfId="16756"/>
    <cellStyle name="注释 2 2 2 8 7 2" xfId="17939"/>
    <cellStyle name="注释 2 2 2 8 7 2 2" xfId="38492"/>
    <cellStyle name="注释 2 2 2 8 7 3" xfId="22780"/>
    <cellStyle name="注释 2 2 2 8 7 4" xfId="38491"/>
    <cellStyle name="注释 2 2 2 8 8" xfId="16757"/>
    <cellStyle name="注释 2 2 2 8 8 2" xfId="8819"/>
    <cellStyle name="注释 2 2 2 8 8 2 2" xfId="38494"/>
    <cellStyle name="注释 2 2 2 8 8 3" xfId="22781"/>
    <cellStyle name="注释 2 2 2 8 8 4" xfId="38493"/>
    <cellStyle name="注释 2 2 2 8 9" xfId="18852"/>
    <cellStyle name="注释 2 2 2 8 9 2" xfId="38495"/>
    <cellStyle name="注释 2 2 2 9" xfId="10646"/>
    <cellStyle name="注释 2 2 2 9 10" xfId="38496"/>
    <cellStyle name="注释 2 2 2 9 2" xfId="10647"/>
    <cellStyle name="注释 2 2 2 9 2 2" xfId="16758"/>
    <cellStyle name="注释 2 2 2 9 2 2 2" xfId="16759"/>
    <cellStyle name="注释 2 2 2 9 2 2 2 2" xfId="21143"/>
    <cellStyle name="注释 2 2 2 9 2 2 2 2 2" xfId="38500"/>
    <cellStyle name="注释 2 2 2 9 2 2 2 3" xfId="22783"/>
    <cellStyle name="注释 2 2 2 9 2 2 2 4" xfId="38499"/>
    <cellStyle name="注释 2 2 2 9 2 2 3" xfId="16760"/>
    <cellStyle name="注释 2 2 2 9 2 2 3 2" xfId="17937"/>
    <cellStyle name="注释 2 2 2 9 2 2 3 2 2" xfId="38502"/>
    <cellStyle name="注释 2 2 2 9 2 2 3 3" xfId="22784"/>
    <cellStyle name="注释 2 2 2 9 2 2 3 4" xfId="38501"/>
    <cellStyle name="注释 2 2 2 9 2 2 4" xfId="17938"/>
    <cellStyle name="注释 2 2 2 9 2 2 4 2" xfId="38503"/>
    <cellStyle name="注释 2 2 2 9 2 2 5" xfId="22782"/>
    <cellStyle name="注释 2 2 2 9 2 2 6" xfId="38498"/>
    <cellStyle name="注释 2 2 2 9 2 3" xfId="16761"/>
    <cellStyle name="注释 2 2 2 9 2 3 2" xfId="17936"/>
    <cellStyle name="注释 2 2 2 9 2 3 2 2" xfId="38505"/>
    <cellStyle name="注释 2 2 2 9 2 3 3" xfId="22785"/>
    <cellStyle name="注释 2 2 2 9 2 3 4" xfId="38504"/>
    <cellStyle name="注释 2 2 2 9 2 4" xfId="16762"/>
    <cellStyle name="注释 2 2 2 9 2 4 2" xfId="8820"/>
    <cellStyle name="注释 2 2 2 9 2 4 2 2" xfId="38507"/>
    <cellStyle name="注释 2 2 2 9 2 4 3" xfId="22786"/>
    <cellStyle name="注释 2 2 2 9 2 4 4" xfId="38506"/>
    <cellStyle name="注释 2 2 2 9 2 5" xfId="21849"/>
    <cellStyle name="注释 2 2 2 9 2 5 2" xfId="38508"/>
    <cellStyle name="注释 2 2 2 9 2 6" xfId="38497"/>
    <cellStyle name="注释 2 2 2 9 3" xfId="10648"/>
    <cellStyle name="注释 2 2 2 9 3 2" xfId="16763"/>
    <cellStyle name="注释 2 2 2 9 3 2 2" xfId="16764"/>
    <cellStyle name="注释 2 2 2 9 3 2 2 2" xfId="20574"/>
    <cellStyle name="注释 2 2 2 9 3 2 2 2 2" xfId="38512"/>
    <cellStyle name="注释 2 2 2 9 3 2 2 3" xfId="22788"/>
    <cellStyle name="注释 2 2 2 9 3 2 2 4" xfId="38511"/>
    <cellStyle name="注释 2 2 2 9 3 2 3" xfId="16765"/>
    <cellStyle name="注释 2 2 2 9 3 2 3 2" xfId="20573"/>
    <cellStyle name="注释 2 2 2 9 3 2 3 2 2" xfId="38514"/>
    <cellStyle name="注释 2 2 2 9 3 2 3 3" xfId="22789"/>
    <cellStyle name="注释 2 2 2 9 3 2 3 4" xfId="38513"/>
    <cellStyle name="注释 2 2 2 9 3 2 4" xfId="8821"/>
    <cellStyle name="注释 2 2 2 9 3 2 4 2" xfId="38515"/>
    <cellStyle name="注释 2 2 2 9 3 2 5" xfId="22787"/>
    <cellStyle name="注释 2 2 2 9 3 2 6" xfId="38510"/>
    <cellStyle name="注释 2 2 2 9 3 3" xfId="16766"/>
    <cellStyle name="注释 2 2 2 9 3 3 2" xfId="8822"/>
    <cellStyle name="注释 2 2 2 9 3 3 2 2" xfId="38517"/>
    <cellStyle name="注释 2 2 2 9 3 3 3" xfId="22790"/>
    <cellStyle name="注释 2 2 2 9 3 3 4" xfId="38516"/>
    <cellStyle name="注释 2 2 2 9 3 4" xfId="16767"/>
    <cellStyle name="注释 2 2 2 9 3 4 2" xfId="8823"/>
    <cellStyle name="注释 2 2 2 9 3 4 2 2" xfId="38519"/>
    <cellStyle name="注释 2 2 2 9 3 4 3" xfId="22791"/>
    <cellStyle name="注释 2 2 2 9 3 4 4" xfId="38518"/>
    <cellStyle name="注释 2 2 2 9 3 5" xfId="18853"/>
    <cellStyle name="注释 2 2 2 9 3 5 2" xfId="38520"/>
    <cellStyle name="注释 2 2 2 9 3 6" xfId="38509"/>
    <cellStyle name="注释 2 2 2 9 4" xfId="10649"/>
    <cellStyle name="注释 2 2 2 9 4 2" xfId="16768"/>
    <cellStyle name="注释 2 2 2 9 4 2 2" xfId="16769"/>
    <cellStyle name="注释 2 2 2 9 4 2 2 2" xfId="8825"/>
    <cellStyle name="注释 2 2 2 9 4 2 2 2 2" xfId="38524"/>
    <cellStyle name="注释 2 2 2 9 4 2 2 3" xfId="22793"/>
    <cellStyle name="注释 2 2 2 9 4 2 2 4" xfId="38523"/>
    <cellStyle name="注释 2 2 2 9 4 2 3" xfId="16770"/>
    <cellStyle name="注释 2 2 2 9 4 2 3 2" xfId="8826"/>
    <cellStyle name="注释 2 2 2 9 4 2 3 2 2" xfId="38526"/>
    <cellStyle name="注释 2 2 2 9 4 2 3 3" xfId="22794"/>
    <cellStyle name="注释 2 2 2 9 4 2 3 4" xfId="38525"/>
    <cellStyle name="注释 2 2 2 9 4 2 4" xfId="8824"/>
    <cellStyle name="注释 2 2 2 9 4 2 4 2" xfId="38527"/>
    <cellStyle name="注释 2 2 2 9 4 2 5" xfId="22792"/>
    <cellStyle name="注释 2 2 2 9 4 2 6" xfId="38522"/>
    <cellStyle name="注释 2 2 2 9 4 3" xfId="16771"/>
    <cellStyle name="注释 2 2 2 9 4 3 2" xfId="20572"/>
    <cellStyle name="注释 2 2 2 9 4 3 2 2" xfId="38529"/>
    <cellStyle name="注释 2 2 2 9 4 3 3" xfId="22795"/>
    <cellStyle name="注释 2 2 2 9 4 3 4" xfId="38528"/>
    <cellStyle name="注释 2 2 2 9 4 4" xfId="16772"/>
    <cellStyle name="注释 2 2 2 9 4 4 2" xfId="8827"/>
    <cellStyle name="注释 2 2 2 9 4 4 2 2" xfId="38531"/>
    <cellStyle name="注释 2 2 2 9 4 4 3" xfId="22796"/>
    <cellStyle name="注释 2 2 2 9 4 4 4" xfId="38530"/>
    <cellStyle name="注释 2 2 2 9 4 5" xfId="21850"/>
    <cellStyle name="注释 2 2 2 9 4 5 2" xfId="38532"/>
    <cellStyle name="注释 2 2 2 9 4 6" xfId="38521"/>
    <cellStyle name="注释 2 2 2 9 5" xfId="10650"/>
    <cellStyle name="注释 2 2 2 9 5 2" xfId="16773"/>
    <cellStyle name="注释 2 2 2 9 5 2 2" xfId="16774"/>
    <cellStyle name="注释 2 2 2 9 5 2 2 2" xfId="8829"/>
    <cellStyle name="注释 2 2 2 9 5 2 2 2 2" xfId="38536"/>
    <cellStyle name="注释 2 2 2 9 5 2 2 3" xfId="22798"/>
    <cellStyle name="注释 2 2 2 9 5 2 2 4" xfId="38535"/>
    <cellStyle name="注释 2 2 2 9 5 2 3" xfId="16775"/>
    <cellStyle name="注释 2 2 2 9 5 2 3 2" xfId="8830"/>
    <cellStyle name="注释 2 2 2 9 5 2 3 2 2" xfId="38538"/>
    <cellStyle name="注释 2 2 2 9 5 2 3 3" xfId="22799"/>
    <cellStyle name="注释 2 2 2 9 5 2 3 4" xfId="38537"/>
    <cellStyle name="注释 2 2 2 9 5 2 4" xfId="8828"/>
    <cellStyle name="注释 2 2 2 9 5 2 4 2" xfId="38539"/>
    <cellStyle name="注释 2 2 2 9 5 2 5" xfId="22797"/>
    <cellStyle name="注释 2 2 2 9 5 2 6" xfId="38534"/>
    <cellStyle name="注释 2 2 2 9 5 3" xfId="16776"/>
    <cellStyle name="注释 2 2 2 9 5 3 2" xfId="8831"/>
    <cellStyle name="注释 2 2 2 9 5 3 2 2" xfId="38541"/>
    <cellStyle name="注释 2 2 2 9 5 3 3" xfId="22800"/>
    <cellStyle name="注释 2 2 2 9 5 3 4" xfId="38540"/>
    <cellStyle name="注释 2 2 2 9 5 4" xfId="16777"/>
    <cellStyle name="注释 2 2 2 9 5 4 2" xfId="18528"/>
    <cellStyle name="注释 2 2 2 9 5 4 2 2" xfId="38543"/>
    <cellStyle name="注释 2 2 2 9 5 4 3" xfId="22801"/>
    <cellStyle name="注释 2 2 2 9 5 4 4" xfId="38542"/>
    <cellStyle name="注释 2 2 2 9 5 5" xfId="21851"/>
    <cellStyle name="注释 2 2 2 9 5 5 2" xfId="38544"/>
    <cellStyle name="注释 2 2 2 9 5 6" xfId="38533"/>
    <cellStyle name="注释 2 2 2 9 6" xfId="16778"/>
    <cellStyle name="注释 2 2 2 9 6 2" xfId="16779"/>
    <cellStyle name="注释 2 2 2 9 6 2 2" xfId="8833"/>
    <cellStyle name="注释 2 2 2 9 6 2 2 2" xfId="38547"/>
    <cellStyle name="注释 2 2 2 9 6 2 3" xfId="22803"/>
    <cellStyle name="注释 2 2 2 9 6 2 4" xfId="38546"/>
    <cellStyle name="注释 2 2 2 9 6 3" xfId="16780"/>
    <cellStyle name="注释 2 2 2 9 6 3 2" xfId="8838"/>
    <cellStyle name="注释 2 2 2 9 6 3 2 2" xfId="38549"/>
    <cellStyle name="注释 2 2 2 9 6 3 3" xfId="22804"/>
    <cellStyle name="注释 2 2 2 9 6 3 4" xfId="38548"/>
    <cellStyle name="注释 2 2 2 9 6 4" xfId="8832"/>
    <cellStyle name="注释 2 2 2 9 6 4 2" xfId="38550"/>
    <cellStyle name="注释 2 2 2 9 6 5" xfId="22802"/>
    <cellStyle name="注释 2 2 2 9 6 6" xfId="38545"/>
    <cellStyle name="注释 2 2 2 9 7" xfId="16781"/>
    <cellStyle name="注释 2 2 2 9 7 2" xfId="8844"/>
    <cellStyle name="注释 2 2 2 9 7 2 2" xfId="38552"/>
    <cellStyle name="注释 2 2 2 9 7 3" xfId="22805"/>
    <cellStyle name="注释 2 2 2 9 7 4" xfId="38551"/>
    <cellStyle name="注释 2 2 2 9 8" xfId="16782"/>
    <cellStyle name="注释 2 2 2 9 8 2" xfId="8845"/>
    <cellStyle name="注释 2 2 2 9 8 2 2" xfId="38554"/>
    <cellStyle name="注释 2 2 2 9 8 3" xfId="22806"/>
    <cellStyle name="注释 2 2 2 9 8 4" xfId="38553"/>
    <cellStyle name="注释 2 2 2 9 9" xfId="21848"/>
    <cellStyle name="注释 2 2 2 9 9 2" xfId="38555"/>
    <cellStyle name="注释 2 2 20" xfId="10585"/>
    <cellStyle name="注释 2 2 20 2" xfId="38557"/>
    <cellStyle name="注释 2 2 20 3" xfId="38556"/>
    <cellStyle name="注释 2 2 21" xfId="17844"/>
    <cellStyle name="注释 2 2 21 2" xfId="38558"/>
    <cellStyle name="注释 2 2 22" xfId="38559"/>
    <cellStyle name="注释 2 2 23" xfId="37769"/>
    <cellStyle name="注释 2 2 3" xfId="5487"/>
    <cellStyle name="注释 2 2 3 10" xfId="17853"/>
    <cellStyle name="注释 2 2 3 11" xfId="38560"/>
    <cellStyle name="注释 2 2 3 2" xfId="10652"/>
    <cellStyle name="注释 2 2 3 2 2" xfId="16783"/>
    <cellStyle name="注释 2 2 3 2 2 2" xfId="16784"/>
    <cellStyle name="注释 2 2 3 2 2 2 2" xfId="8846"/>
    <cellStyle name="注释 2 2 3 2 2 2 2 2" xfId="38564"/>
    <cellStyle name="注释 2 2 3 2 2 2 3" xfId="22808"/>
    <cellStyle name="注释 2 2 3 2 2 2 4" xfId="38563"/>
    <cellStyle name="注释 2 2 3 2 2 3" xfId="16785"/>
    <cellStyle name="注释 2 2 3 2 2 3 2" xfId="8847"/>
    <cellStyle name="注释 2 2 3 2 2 3 2 2" xfId="38566"/>
    <cellStyle name="注释 2 2 3 2 2 3 3" xfId="22809"/>
    <cellStyle name="注释 2 2 3 2 2 3 4" xfId="38565"/>
    <cellStyle name="注释 2 2 3 2 2 4" xfId="18527"/>
    <cellStyle name="注释 2 2 3 2 2 4 2" xfId="38567"/>
    <cellStyle name="注释 2 2 3 2 2 5" xfId="22807"/>
    <cellStyle name="注释 2 2 3 2 2 6" xfId="38562"/>
    <cellStyle name="注释 2 2 3 2 3" xfId="16786"/>
    <cellStyle name="注释 2 2 3 2 3 2" xfId="8848"/>
    <cellStyle name="注释 2 2 3 2 3 2 2" xfId="38569"/>
    <cellStyle name="注释 2 2 3 2 3 3" xfId="22810"/>
    <cellStyle name="注释 2 2 3 2 3 4" xfId="38568"/>
    <cellStyle name="注释 2 2 3 2 4" xfId="16787"/>
    <cellStyle name="注释 2 2 3 2 4 2" xfId="8849"/>
    <cellStyle name="注释 2 2 3 2 4 2 2" xfId="38571"/>
    <cellStyle name="注释 2 2 3 2 4 3" xfId="22811"/>
    <cellStyle name="注释 2 2 3 2 4 4" xfId="38570"/>
    <cellStyle name="注释 2 2 3 2 5" xfId="21852"/>
    <cellStyle name="注释 2 2 3 2 5 2" xfId="38572"/>
    <cellStyle name="注释 2 2 3 2 6" xfId="38561"/>
    <cellStyle name="注释 2 2 3 3" xfId="10653"/>
    <cellStyle name="注释 2 2 3 3 2" xfId="16788"/>
    <cellStyle name="注释 2 2 3 3 2 2" xfId="16789"/>
    <cellStyle name="注释 2 2 3 3 2 2 2" xfId="8851"/>
    <cellStyle name="注释 2 2 3 3 2 2 2 2" xfId="38576"/>
    <cellStyle name="注释 2 2 3 3 2 2 3" xfId="22813"/>
    <cellStyle name="注释 2 2 3 3 2 2 4" xfId="38575"/>
    <cellStyle name="注释 2 2 3 3 2 3" xfId="16790"/>
    <cellStyle name="注释 2 2 3 3 2 3 2" xfId="8852"/>
    <cellStyle name="注释 2 2 3 3 2 3 2 2" xfId="38578"/>
    <cellStyle name="注释 2 2 3 3 2 3 3" xfId="22814"/>
    <cellStyle name="注释 2 2 3 3 2 3 4" xfId="38577"/>
    <cellStyle name="注释 2 2 3 3 2 4" xfId="8850"/>
    <cellStyle name="注释 2 2 3 3 2 4 2" xfId="38579"/>
    <cellStyle name="注释 2 2 3 3 2 5" xfId="22812"/>
    <cellStyle name="注释 2 2 3 3 2 6" xfId="38574"/>
    <cellStyle name="注释 2 2 3 3 3" xfId="16791"/>
    <cellStyle name="注释 2 2 3 3 3 2" xfId="8853"/>
    <cellStyle name="注释 2 2 3 3 3 2 2" xfId="38581"/>
    <cellStyle name="注释 2 2 3 3 3 3" xfId="22815"/>
    <cellStyle name="注释 2 2 3 3 3 4" xfId="38580"/>
    <cellStyle name="注释 2 2 3 3 4" xfId="16792"/>
    <cellStyle name="注释 2 2 3 3 4 2" xfId="8854"/>
    <cellStyle name="注释 2 2 3 3 4 2 2" xfId="38583"/>
    <cellStyle name="注释 2 2 3 3 4 3" xfId="22816"/>
    <cellStyle name="注释 2 2 3 3 4 4" xfId="38582"/>
    <cellStyle name="注释 2 2 3 3 5" xfId="21853"/>
    <cellStyle name="注释 2 2 3 3 5 2" xfId="38584"/>
    <cellStyle name="注释 2 2 3 3 6" xfId="38573"/>
    <cellStyle name="注释 2 2 3 4" xfId="10654"/>
    <cellStyle name="注释 2 2 3 4 2" xfId="16793"/>
    <cellStyle name="注释 2 2 3 4 2 2" xfId="16794"/>
    <cellStyle name="注释 2 2 3 4 2 2 2" xfId="17934"/>
    <cellStyle name="注释 2 2 3 4 2 2 2 2" xfId="38588"/>
    <cellStyle name="注释 2 2 3 4 2 2 3" xfId="22818"/>
    <cellStyle name="注释 2 2 3 4 2 2 4" xfId="38587"/>
    <cellStyle name="注释 2 2 3 4 2 3" xfId="16795"/>
    <cellStyle name="注释 2 2 3 4 2 3 2" xfId="17933"/>
    <cellStyle name="注释 2 2 3 4 2 3 2 2" xfId="38590"/>
    <cellStyle name="注释 2 2 3 4 2 3 3" xfId="22819"/>
    <cellStyle name="注释 2 2 3 4 2 3 4" xfId="38589"/>
    <cellStyle name="注释 2 2 3 4 2 4" xfId="17935"/>
    <cellStyle name="注释 2 2 3 4 2 4 2" xfId="38591"/>
    <cellStyle name="注释 2 2 3 4 2 5" xfId="22817"/>
    <cellStyle name="注释 2 2 3 4 2 6" xfId="38586"/>
    <cellStyle name="注释 2 2 3 4 3" xfId="16796"/>
    <cellStyle name="注释 2 2 3 4 3 2" xfId="18672"/>
    <cellStyle name="注释 2 2 3 4 3 2 2" xfId="38593"/>
    <cellStyle name="注释 2 2 3 4 3 3" xfId="22820"/>
    <cellStyle name="注释 2 2 3 4 3 4" xfId="38592"/>
    <cellStyle name="注释 2 2 3 4 4" xfId="16797"/>
    <cellStyle name="注释 2 2 3 4 4 2" xfId="17932"/>
    <cellStyle name="注释 2 2 3 4 4 2 2" xfId="38595"/>
    <cellStyle name="注释 2 2 3 4 4 3" xfId="22821"/>
    <cellStyle name="注释 2 2 3 4 4 4" xfId="38594"/>
    <cellStyle name="注释 2 2 3 4 5" xfId="21854"/>
    <cellStyle name="注释 2 2 3 4 5 2" xfId="38596"/>
    <cellStyle name="注释 2 2 3 4 6" xfId="38585"/>
    <cellStyle name="注释 2 2 3 5" xfId="10655"/>
    <cellStyle name="注释 2 2 3 5 2" xfId="16798"/>
    <cellStyle name="注释 2 2 3 5 2 2" xfId="16799"/>
    <cellStyle name="注释 2 2 3 5 2 2 2" xfId="17930"/>
    <cellStyle name="注释 2 2 3 5 2 2 2 2" xfId="38600"/>
    <cellStyle name="注释 2 2 3 5 2 2 3" xfId="22823"/>
    <cellStyle name="注释 2 2 3 5 2 2 4" xfId="38599"/>
    <cellStyle name="注释 2 2 3 5 2 3" xfId="16800"/>
    <cellStyle name="注释 2 2 3 5 2 3 2" xfId="17929"/>
    <cellStyle name="注释 2 2 3 5 2 3 2 2" xfId="38602"/>
    <cellStyle name="注释 2 2 3 5 2 3 3" xfId="22824"/>
    <cellStyle name="注释 2 2 3 5 2 3 4" xfId="38601"/>
    <cellStyle name="注释 2 2 3 5 2 4" xfId="17931"/>
    <cellStyle name="注释 2 2 3 5 2 4 2" xfId="38603"/>
    <cellStyle name="注释 2 2 3 5 2 5" xfId="22822"/>
    <cellStyle name="注释 2 2 3 5 2 6" xfId="38598"/>
    <cellStyle name="注释 2 2 3 5 3" xfId="16801"/>
    <cellStyle name="注释 2 2 3 5 3 2" xfId="17928"/>
    <cellStyle name="注释 2 2 3 5 3 2 2" xfId="38605"/>
    <cellStyle name="注释 2 2 3 5 3 3" xfId="22825"/>
    <cellStyle name="注释 2 2 3 5 3 4" xfId="38604"/>
    <cellStyle name="注释 2 2 3 5 4" xfId="16802"/>
    <cellStyle name="注释 2 2 3 5 4 2" xfId="8855"/>
    <cellStyle name="注释 2 2 3 5 4 2 2" xfId="38607"/>
    <cellStyle name="注释 2 2 3 5 4 3" xfId="22826"/>
    <cellStyle name="注释 2 2 3 5 4 4" xfId="38606"/>
    <cellStyle name="注释 2 2 3 5 5" xfId="18854"/>
    <cellStyle name="注释 2 2 3 5 5 2" xfId="38608"/>
    <cellStyle name="注释 2 2 3 5 6" xfId="38597"/>
    <cellStyle name="注释 2 2 3 6" xfId="16803"/>
    <cellStyle name="注释 2 2 3 6 2" xfId="16804"/>
    <cellStyle name="注释 2 2 3 6 2 2" xfId="17926"/>
    <cellStyle name="注释 2 2 3 6 2 2 2" xfId="38611"/>
    <cellStyle name="注释 2 2 3 6 2 3" xfId="22828"/>
    <cellStyle name="注释 2 2 3 6 2 4" xfId="38610"/>
    <cellStyle name="注释 2 2 3 6 3" xfId="16805"/>
    <cellStyle name="注释 2 2 3 6 3 2" xfId="17925"/>
    <cellStyle name="注释 2 2 3 6 3 2 2" xfId="38613"/>
    <cellStyle name="注释 2 2 3 6 3 3" xfId="22829"/>
    <cellStyle name="注释 2 2 3 6 3 4" xfId="38612"/>
    <cellStyle name="注释 2 2 3 6 4" xfId="17927"/>
    <cellStyle name="注释 2 2 3 6 4 2" xfId="38614"/>
    <cellStyle name="注释 2 2 3 6 5" xfId="22827"/>
    <cellStyle name="注释 2 2 3 6 6" xfId="38609"/>
    <cellStyle name="注释 2 2 3 7" xfId="16806"/>
    <cellStyle name="注释 2 2 3 7 2" xfId="17924"/>
    <cellStyle name="注释 2 2 3 7 2 2" xfId="38616"/>
    <cellStyle name="注释 2 2 3 7 3" xfId="22830"/>
    <cellStyle name="注释 2 2 3 7 4" xfId="38615"/>
    <cellStyle name="注释 2 2 3 8" xfId="16807"/>
    <cellStyle name="注释 2 2 3 8 2" xfId="17923"/>
    <cellStyle name="注释 2 2 3 8 2 2" xfId="38618"/>
    <cellStyle name="注释 2 2 3 8 3" xfId="22831"/>
    <cellStyle name="注释 2 2 3 8 4" xfId="38617"/>
    <cellStyle name="注释 2 2 3 9" xfId="10651"/>
    <cellStyle name="注释 2 2 3 9 2" xfId="38619"/>
    <cellStyle name="注释 2 2 4" xfId="10656"/>
    <cellStyle name="注释 2 2 4 10" xfId="38620"/>
    <cellStyle name="注释 2 2 4 2" xfId="10657"/>
    <cellStyle name="注释 2 2 4 2 2" xfId="16808"/>
    <cellStyle name="注释 2 2 4 2 2 2" xfId="16809"/>
    <cellStyle name="注释 2 2 4 2 2 2 2" xfId="21142"/>
    <cellStyle name="注释 2 2 4 2 2 2 2 2" xfId="38624"/>
    <cellStyle name="注释 2 2 4 2 2 2 3" xfId="22833"/>
    <cellStyle name="注释 2 2 4 2 2 2 4" xfId="38623"/>
    <cellStyle name="注释 2 2 4 2 2 3" xfId="16810"/>
    <cellStyle name="注释 2 2 4 2 2 3 2" xfId="21141"/>
    <cellStyle name="注释 2 2 4 2 2 3 2 2" xfId="38626"/>
    <cellStyle name="注释 2 2 4 2 2 3 3" xfId="22834"/>
    <cellStyle name="注释 2 2 4 2 2 3 4" xfId="38625"/>
    <cellStyle name="注释 2 2 4 2 2 4" xfId="20571"/>
    <cellStyle name="注释 2 2 4 2 2 4 2" xfId="38627"/>
    <cellStyle name="注释 2 2 4 2 2 5" xfId="22832"/>
    <cellStyle name="注释 2 2 4 2 2 6" xfId="38622"/>
    <cellStyle name="注释 2 2 4 2 3" xfId="16811"/>
    <cellStyle name="注释 2 2 4 2 3 2" xfId="17922"/>
    <cellStyle name="注释 2 2 4 2 3 2 2" xfId="38629"/>
    <cellStyle name="注释 2 2 4 2 3 3" xfId="22835"/>
    <cellStyle name="注释 2 2 4 2 3 4" xfId="38628"/>
    <cellStyle name="注释 2 2 4 2 4" xfId="16812"/>
    <cellStyle name="注释 2 2 4 2 4 2" xfId="17921"/>
    <cellStyle name="注释 2 2 4 2 4 2 2" xfId="38631"/>
    <cellStyle name="注释 2 2 4 2 4 3" xfId="22836"/>
    <cellStyle name="注释 2 2 4 2 4 4" xfId="38630"/>
    <cellStyle name="注释 2 2 4 2 5" xfId="17854"/>
    <cellStyle name="注释 2 2 4 2 5 2" xfId="38632"/>
    <cellStyle name="注释 2 2 4 2 6" xfId="38621"/>
    <cellStyle name="注释 2 2 4 3" xfId="10658"/>
    <cellStyle name="注释 2 2 4 3 2" xfId="16813"/>
    <cellStyle name="注释 2 2 4 3 2 2" xfId="16814"/>
    <cellStyle name="注释 2 2 4 3 2 2 2" xfId="8856"/>
    <cellStyle name="注释 2 2 4 3 2 2 2 2" xfId="38636"/>
    <cellStyle name="注释 2 2 4 3 2 2 3" xfId="22838"/>
    <cellStyle name="注释 2 2 4 3 2 2 4" xfId="38635"/>
    <cellStyle name="注释 2 2 4 3 2 3" xfId="16815"/>
    <cellStyle name="注释 2 2 4 3 2 3 2" xfId="17919"/>
    <cellStyle name="注释 2 2 4 3 2 3 2 2" xfId="38638"/>
    <cellStyle name="注释 2 2 4 3 2 3 3" xfId="22839"/>
    <cellStyle name="注释 2 2 4 3 2 3 4" xfId="38637"/>
    <cellStyle name="注释 2 2 4 3 2 4" xfId="17920"/>
    <cellStyle name="注释 2 2 4 3 2 4 2" xfId="38639"/>
    <cellStyle name="注释 2 2 4 3 2 5" xfId="22837"/>
    <cellStyle name="注释 2 2 4 3 2 6" xfId="38634"/>
    <cellStyle name="注释 2 2 4 3 3" xfId="16816"/>
    <cellStyle name="注释 2 2 4 3 3 2" xfId="17918"/>
    <cellStyle name="注释 2 2 4 3 3 2 2" xfId="38641"/>
    <cellStyle name="注释 2 2 4 3 3 3" xfId="22840"/>
    <cellStyle name="注释 2 2 4 3 3 4" xfId="38640"/>
    <cellStyle name="注释 2 2 4 3 4" xfId="16817"/>
    <cellStyle name="注释 2 2 4 3 4 2" xfId="21140"/>
    <cellStyle name="注释 2 2 4 3 4 2 2" xfId="38643"/>
    <cellStyle name="注释 2 2 4 3 4 3" xfId="22841"/>
    <cellStyle name="注释 2 2 4 3 4 4" xfId="38642"/>
    <cellStyle name="注释 2 2 4 3 5" xfId="21856"/>
    <cellStyle name="注释 2 2 4 3 5 2" xfId="38644"/>
    <cellStyle name="注释 2 2 4 3 6" xfId="38633"/>
    <cellStyle name="注释 2 2 4 4" xfId="10659"/>
    <cellStyle name="注释 2 2 4 4 2" xfId="16818"/>
    <cellStyle name="注释 2 2 4 4 2 2" xfId="16819"/>
    <cellStyle name="注释 2 2 4 4 2 2 2" xfId="17916"/>
    <cellStyle name="注释 2 2 4 4 2 2 2 2" xfId="38648"/>
    <cellStyle name="注释 2 2 4 4 2 2 3" xfId="22843"/>
    <cellStyle name="注释 2 2 4 4 2 2 4" xfId="38647"/>
    <cellStyle name="注释 2 2 4 4 2 3" xfId="16820"/>
    <cellStyle name="注释 2 2 4 4 2 3 2" xfId="8857"/>
    <cellStyle name="注释 2 2 4 4 2 3 2 2" xfId="38650"/>
    <cellStyle name="注释 2 2 4 4 2 3 3" xfId="22844"/>
    <cellStyle name="注释 2 2 4 4 2 3 4" xfId="38649"/>
    <cellStyle name="注释 2 2 4 4 2 4" xfId="17917"/>
    <cellStyle name="注释 2 2 4 4 2 4 2" xfId="38651"/>
    <cellStyle name="注释 2 2 4 4 2 5" xfId="22842"/>
    <cellStyle name="注释 2 2 4 4 2 6" xfId="38646"/>
    <cellStyle name="注释 2 2 4 4 3" xfId="16821"/>
    <cellStyle name="注释 2 2 4 4 3 2" xfId="17915"/>
    <cellStyle name="注释 2 2 4 4 3 2 2" xfId="38653"/>
    <cellStyle name="注释 2 2 4 4 3 3" xfId="22845"/>
    <cellStyle name="注释 2 2 4 4 3 4" xfId="38652"/>
    <cellStyle name="注释 2 2 4 4 4" xfId="16822"/>
    <cellStyle name="注释 2 2 4 4 4 2" xfId="17914"/>
    <cellStyle name="注释 2 2 4 4 4 2 2" xfId="38655"/>
    <cellStyle name="注释 2 2 4 4 4 3" xfId="22846"/>
    <cellStyle name="注释 2 2 4 4 4 4" xfId="38654"/>
    <cellStyle name="注释 2 2 4 4 5" xfId="21857"/>
    <cellStyle name="注释 2 2 4 4 5 2" xfId="38656"/>
    <cellStyle name="注释 2 2 4 4 6" xfId="38645"/>
    <cellStyle name="注释 2 2 4 5" xfId="10660"/>
    <cellStyle name="注释 2 2 4 5 2" xfId="16823"/>
    <cellStyle name="注释 2 2 4 5 2 2" xfId="16824"/>
    <cellStyle name="注释 2 2 4 5 2 2 2" xfId="21139"/>
    <cellStyle name="注释 2 2 4 5 2 2 2 2" xfId="38660"/>
    <cellStyle name="注释 2 2 4 5 2 2 3" xfId="22848"/>
    <cellStyle name="注释 2 2 4 5 2 2 4" xfId="38659"/>
    <cellStyle name="注释 2 2 4 5 2 3" xfId="16825"/>
    <cellStyle name="注释 2 2 4 5 2 3 2" xfId="17912"/>
    <cellStyle name="注释 2 2 4 5 2 3 2 2" xfId="38662"/>
    <cellStyle name="注释 2 2 4 5 2 3 3" xfId="22849"/>
    <cellStyle name="注释 2 2 4 5 2 3 4" xfId="38661"/>
    <cellStyle name="注释 2 2 4 5 2 4" xfId="17913"/>
    <cellStyle name="注释 2 2 4 5 2 4 2" xfId="38663"/>
    <cellStyle name="注释 2 2 4 5 2 5" xfId="22847"/>
    <cellStyle name="注释 2 2 4 5 2 6" xfId="38658"/>
    <cellStyle name="注释 2 2 4 5 3" xfId="16826"/>
    <cellStyle name="注释 2 2 4 5 3 2" xfId="17911"/>
    <cellStyle name="注释 2 2 4 5 3 2 2" xfId="38665"/>
    <cellStyle name="注释 2 2 4 5 3 3" xfId="22850"/>
    <cellStyle name="注释 2 2 4 5 3 4" xfId="38664"/>
    <cellStyle name="注释 2 2 4 5 4" xfId="16827"/>
    <cellStyle name="注释 2 2 4 5 4 2" xfId="17910"/>
    <cellStyle name="注释 2 2 4 5 4 2 2" xfId="38667"/>
    <cellStyle name="注释 2 2 4 5 4 3" xfId="22851"/>
    <cellStyle name="注释 2 2 4 5 4 4" xfId="38666"/>
    <cellStyle name="注释 2 2 4 5 5" xfId="21858"/>
    <cellStyle name="注释 2 2 4 5 5 2" xfId="38668"/>
    <cellStyle name="注释 2 2 4 5 6" xfId="38657"/>
    <cellStyle name="注释 2 2 4 6" xfId="16828"/>
    <cellStyle name="注释 2 2 4 6 2" xfId="16829"/>
    <cellStyle name="注释 2 2 4 6 2 2" xfId="17908"/>
    <cellStyle name="注释 2 2 4 6 2 2 2" xfId="38671"/>
    <cellStyle name="注释 2 2 4 6 2 3" xfId="22853"/>
    <cellStyle name="注释 2 2 4 6 2 4" xfId="38670"/>
    <cellStyle name="注释 2 2 4 6 3" xfId="16830"/>
    <cellStyle name="注释 2 2 4 6 3 2" xfId="21138"/>
    <cellStyle name="注释 2 2 4 6 3 2 2" xfId="38673"/>
    <cellStyle name="注释 2 2 4 6 3 3" xfId="22854"/>
    <cellStyle name="注释 2 2 4 6 3 4" xfId="38672"/>
    <cellStyle name="注释 2 2 4 6 4" xfId="17909"/>
    <cellStyle name="注释 2 2 4 6 4 2" xfId="38674"/>
    <cellStyle name="注释 2 2 4 6 5" xfId="22852"/>
    <cellStyle name="注释 2 2 4 6 6" xfId="38669"/>
    <cellStyle name="注释 2 2 4 7" xfId="16831"/>
    <cellStyle name="注释 2 2 4 7 2" xfId="8860"/>
    <cellStyle name="注释 2 2 4 7 2 2" xfId="38676"/>
    <cellStyle name="注释 2 2 4 7 3" xfId="22855"/>
    <cellStyle name="注释 2 2 4 7 4" xfId="38675"/>
    <cellStyle name="注释 2 2 4 8" xfId="16832"/>
    <cellStyle name="注释 2 2 4 8 2" xfId="17907"/>
    <cellStyle name="注释 2 2 4 8 2 2" xfId="38678"/>
    <cellStyle name="注释 2 2 4 8 3" xfId="22856"/>
    <cellStyle name="注释 2 2 4 8 4" xfId="38677"/>
    <cellStyle name="注释 2 2 4 9" xfId="21855"/>
    <cellStyle name="注释 2 2 4 9 2" xfId="38679"/>
    <cellStyle name="注释 2 2 5" xfId="10661"/>
    <cellStyle name="注释 2 2 5 10" xfId="38680"/>
    <cellStyle name="注释 2 2 5 2" xfId="10662"/>
    <cellStyle name="注释 2 2 5 2 2" xfId="16833"/>
    <cellStyle name="注释 2 2 5 2 2 2" xfId="16834"/>
    <cellStyle name="注释 2 2 5 2 2 2 2" xfId="17905"/>
    <cellStyle name="注释 2 2 5 2 2 2 2 2" xfId="38684"/>
    <cellStyle name="注释 2 2 5 2 2 2 3" xfId="22858"/>
    <cellStyle name="注释 2 2 5 2 2 2 4" xfId="38683"/>
    <cellStyle name="注释 2 2 5 2 2 3" xfId="16835"/>
    <cellStyle name="注释 2 2 5 2 2 3 2" xfId="17904"/>
    <cellStyle name="注释 2 2 5 2 2 3 2 2" xfId="38686"/>
    <cellStyle name="注释 2 2 5 2 2 3 3" xfId="22859"/>
    <cellStyle name="注释 2 2 5 2 2 3 4" xfId="38685"/>
    <cellStyle name="注释 2 2 5 2 2 4" xfId="17906"/>
    <cellStyle name="注释 2 2 5 2 2 4 2" xfId="38687"/>
    <cellStyle name="注释 2 2 5 2 2 5" xfId="22857"/>
    <cellStyle name="注释 2 2 5 2 2 6" xfId="38682"/>
    <cellStyle name="注释 2 2 5 2 3" xfId="16836"/>
    <cellStyle name="注释 2 2 5 2 3 2" xfId="17903"/>
    <cellStyle name="注释 2 2 5 2 3 2 2" xfId="38689"/>
    <cellStyle name="注释 2 2 5 2 3 3" xfId="22860"/>
    <cellStyle name="注释 2 2 5 2 3 4" xfId="38688"/>
    <cellStyle name="注释 2 2 5 2 4" xfId="16837"/>
    <cellStyle name="注释 2 2 5 2 4 2" xfId="8861"/>
    <cellStyle name="注释 2 2 5 2 4 2 2" xfId="38691"/>
    <cellStyle name="注释 2 2 5 2 4 3" xfId="22861"/>
    <cellStyle name="注释 2 2 5 2 4 4" xfId="38690"/>
    <cellStyle name="注释 2 2 5 2 5" xfId="21860"/>
    <cellStyle name="注释 2 2 5 2 5 2" xfId="38692"/>
    <cellStyle name="注释 2 2 5 2 6" xfId="38681"/>
    <cellStyle name="注释 2 2 5 3" xfId="10663"/>
    <cellStyle name="注释 2 2 5 3 2" xfId="16838"/>
    <cellStyle name="注释 2 2 5 3 2 2" xfId="16839"/>
    <cellStyle name="注释 2 2 5 3 2 2 2" xfId="17901"/>
    <cellStyle name="注释 2 2 5 3 2 2 2 2" xfId="38696"/>
    <cellStyle name="注释 2 2 5 3 2 2 3" xfId="22863"/>
    <cellStyle name="注释 2 2 5 3 2 2 4" xfId="38695"/>
    <cellStyle name="注释 2 2 5 3 2 3" xfId="16840"/>
    <cellStyle name="注释 2 2 5 3 2 3 2" xfId="17900"/>
    <cellStyle name="注释 2 2 5 3 2 3 2 2" xfId="38698"/>
    <cellStyle name="注释 2 2 5 3 2 3 3" xfId="22864"/>
    <cellStyle name="注释 2 2 5 3 2 3 4" xfId="38697"/>
    <cellStyle name="注释 2 2 5 3 2 4" xfId="17902"/>
    <cellStyle name="注释 2 2 5 3 2 4 2" xfId="38699"/>
    <cellStyle name="注释 2 2 5 3 2 5" xfId="22862"/>
    <cellStyle name="注释 2 2 5 3 2 6" xfId="38694"/>
    <cellStyle name="注释 2 2 5 3 3" xfId="16841"/>
    <cellStyle name="注释 2 2 5 3 3 2" xfId="17899"/>
    <cellStyle name="注释 2 2 5 3 3 2 2" xfId="38701"/>
    <cellStyle name="注释 2 2 5 3 3 3" xfId="22865"/>
    <cellStyle name="注释 2 2 5 3 3 4" xfId="38700"/>
    <cellStyle name="注释 2 2 5 3 4" xfId="16842"/>
    <cellStyle name="注释 2 2 5 3 4 2" xfId="17898"/>
    <cellStyle name="注释 2 2 5 3 4 2 2" xfId="38703"/>
    <cellStyle name="注释 2 2 5 3 4 3" xfId="22866"/>
    <cellStyle name="注释 2 2 5 3 4 4" xfId="38702"/>
    <cellStyle name="注释 2 2 5 3 5" xfId="17855"/>
    <cellStyle name="注释 2 2 5 3 5 2" xfId="38704"/>
    <cellStyle name="注释 2 2 5 3 6" xfId="38693"/>
    <cellStyle name="注释 2 2 5 4" xfId="10664"/>
    <cellStyle name="注释 2 2 5 4 2" xfId="16843"/>
    <cellStyle name="注释 2 2 5 4 2 2" xfId="16844"/>
    <cellStyle name="注释 2 2 5 4 2 2 2" xfId="18671"/>
    <cellStyle name="注释 2 2 5 4 2 2 2 2" xfId="38708"/>
    <cellStyle name="注释 2 2 5 4 2 2 3" xfId="22868"/>
    <cellStyle name="注释 2 2 5 4 2 2 4" xfId="38707"/>
    <cellStyle name="注释 2 2 5 4 2 3" xfId="16845"/>
    <cellStyle name="注释 2 2 5 4 2 3 2" xfId="21137"/>
    <cellStyle name="注释 2 2 5 4 2 3 2 2" xfId="38710"/>
    <cellStyle name="注释 2 2 5 4 2 3 3" xfId="22869"/>
    <cellStyle name="注释 2 2 5 4 2 3 4" xfId="38709"/>
    <cellStyle name="注释 2 2 5 4 2 4" xfId="8862"/>
    <cellStyle name="注释 2 2 5 4 2 4 2" xfId="38711"/>
    <cellStyle name="注释 2 2 5 4 2 5" xfId="22867"/>
    <cellStyle name="注释 2 2 5 4 2 6" xfId="38706"/>
    <cellStyle name="注释 2 2 5 4 3" xfId="16846"/>
    <cellStyle name="注释 2 2 5 4 3 2" xfId="17897"/>
    <cellStyle name="注释 2 2 5 4 3 2 2" xfId="38713"/>
    <cellStyle name="注释 2 2 5 4 3 3" xfId="22870"/>
    <cellStyle name="注释 2 2 5 4 3 4" xfId="38712"/>
    <cellStyle name="注释 2 2 5 4 4" xfId="16847"/>
    <cellStyle name="注释 2 2 5 4 4 2" xfId="17896"/>
    <cellStyle name="注释 2 2 5 4 4 2 2" xfId="38715"/>
    <cellStyle name="注释 2 2 5 4 4 3" xfId="22871"/>
    <cellStyle name="注释 2 2 5 4 4 4" xfId="38714"/>
    <cellStyle name="注释 2 2 5 4 5" xfId="21861"/>
    <cellStyle name="注释 2 2 5 4 5 2" xfId="38716"/>
    <cellStyle name="注释 2 2 5 4 6" xfId="38705"/>
    <cellStyle name="注释 2 2 5 5" xfId="10665"/>
    <cellStyle name="注释 2 2 5 5 2" xfId="16848"/>
    <cellStyle name="注释 2 2 5 5 2 2" xfId="16849"/>
    <cellStyle name="注释 2 2 5 5 2 2 2" xfId="20570"/>
    <cellStyle name="注释 2 2 5 5 2 2 2 2" xfId="38720"/>
    <cellStyle name="注释 2 2 5 5 2 2 3" xfId="22873"/>
    <cellStyle name="注释 2 2 5 5 2 2 4" xfId="38719"/>
    <cellStyle name="注释 2 2 5 5 2 3" xfId="16850"/>
    <cellStyle name="注释 2 2 5 5 2 3 2" xfId="8865"/>
    <cellStyle name="注释 2 2 5 5 2 3 2 2" xfId="38722"/>
    <cellStyle name="注释 2 2 5 5 2 3 3" xfId="22874"/>
    <cellStyle name="注释 2 2 5 5 2 3 4" xfId="38721"/>
    <cellStyle name="注释 2 2 5 5 2 4" xfId="17895"/>
    <cellStyle name="注释 2 2 5 5 2 4 2" xfId="38723"/>
    <cellStyle name="注释 2 2 5 5 2 5" xfId="22872"/>
    <cellStyle name="注释 2 2 5 5 2 6" xfId="38718"/>
    <cellStyle name="注释 2 2 5 5 3" xfId="16851"/>
    <cellStyle name="注释 2 2 5 5 3 2" xfId="17894"/>
    <cellStyle name="注释 2 2 5 5 3 2 2" xfId="38725"/>
    <cellStyle name="注释 2 2 5 5 3 3" xfId="22875"/>
    <cellStyle name="注释 2 2 5 5 3 4" xfId="38724"/>
    <cellStyle name="注释 2 2 5 5 4" xfId="16852"/>
    <cellStyle name="注释 2 2 5 5 4 2" xfId="17893"/>
    <cellStyle name="注释 2 2 5 5 4 2 2" xfId="38727"/>
    <cellStyle name="注释 2 2 5 5 4 3" xfId="22876"/>
    <cellStyle name="注释 2 2 5 5 4 4" xfId="38726"/>
    <cellStyle name="注释 2 2 5 5 5" xfId="21862"/>
    <cellStyle name="注释 2 2 5 5 5 2" xfId="38728"/>
    <cellStyle name="注释 2 2 5 5 6" xfId="38717"/>
    <cellStyle name="注释 2 2 5 6" xfId="16853"/>
    <cellStyle name="注释 2 2 5 6 2" xfId="16854"/>
    <cellStyle name="注释 2 2 5 6 2 2" xfId="17892"/>
    <cellStyle name="注释 2 2 5 6 2 2 2" xfId="38731"/>
    <cellStyle name="注释 2 2 5 6 2 3" xfId="22878"/>
    <cellStyle name="注释 2 2 5 6 2 4" xfId="38730"/>
    <cellStyle name="注释 2 2 5 6 3" xfId="16855"/>
    <cellStyle name="注释 2 2 5 6 3 2" xfId="17891"/>
    <cellStyle name="注释 2 2 5 6 3 2 2" xfId="38733"/>
    <cellStyle name="注释 2 2 5 6 3 3" xfId="22879"/>
    <cellStyle name="注释 2 2 5 6 3 4" xfId="38732"/>
    <cellStyle name="注释 2 2 5 6 4" xfId="21136"/>
    <cellStyle name="注释 2 2 5 6 4 2" xfId="38734"/>
    <cellStyle name="注释 2 2 5 6 5" xfId="22877"/>
    <cellStyle name="注释 2 2 5 6 6" xfId="38729"/>
    <cellStyle name="注释 2 2 5 7" xfId="16856"/>
    <cellStyle name="注释 2 2 5 7 2" xfId="17890"/>
    <cellStyle name="注释 2 2 5 7 2 2" xfId="38736"/>
    <cellStyle name="注释 2 2 5 7 3" xfId="22880"/>
    <cellStyle name="注释 2 2 5 7 4" xfId="38735"/>
    <cellStyle name="注释 2 2 5 8" xfId="16857"/>
    <cellStyle name="注释 2 2 5 8 2" xfId="17889"/>
    <cellStyle name="注释 2 2 5 8 2 2" xfId="38738"/>
    <cellStyle name="注释 2 2 5 8 3" xfId="22881"/>
    <cellStyle name="注释 2 2 5 8 4" xfId="38737"/>
    <cellStyle name="注释 2 2 5 9" xfId="21859"/>
    <cellStyle name="注释 2 2 5 9 2" xfId="38739"/>
    <cellStyle name="注释 2 2 6" xfId="10666"/>
    <cellStyle name="注释 2 2 6 10" xfId="38740"/>
    <cellStyle name="注释 2 2 6 2" xfId="10667"/>
    <cellStyle name="注释 2 2 6 2 2" xfId="16858"/>
    <cellStyle name="注释 2 2 6 2 2 2" xfId="16859"/>
    <cellStyle name="注释 2 2 6 2 2 2 2" xfId="21135"/>
    <cellStyle name="注释 2 2 6 2 2 2 2 2" xfId="38744"/>
    <cellStyle name="注释 2 2 6 2 2 2 3" xfId="22883"/>
    <cellStyle name="注释 2 2 6 2 2 2 4" xfId="38743"/>
    <cellStyle name="注释 2 2 6 2 2 3" xfId="16860"/>
    <cellStyle name="注释 2 2 6 2 2 3 2" xfId="17887"/>
    <cellStyle name="注释 2 2 6 2 2 3 2 2" xfId="38746"/>
    <cellStyle name="注释 2 2 6 2 2 3 3" xfId="22884"/>
    <cellStyle name="注释 2 2 6 2 2 3 4" xfId="38745"/>
    <cellStyle name="注释 2 2 6 2 2 4" xfId="17888"/>
    <cellStyle name="注释 2 2 6 2 2 4 2" xfId="38747"/>
    <cellStyle name="注释 2 2 6 2 2 5" xfId="22882"/>
    <cellStyle name="注释 2 2 6 2 2 6" xfId="38742"/>
    <cellStyle name="注释 2 2 6 2 3" xfId="16861"/>
    <cellStyle name="注释 2 2 6 2 3 2" xfId="8866"/>
    <cellStyle name="注释 2 2 6 2 3 2 2" xfId="38749"/>
    <cellStyle name="注释 2 2 6 2 3 3" xfId="22885"/>
    <cellStyle name="注释 2 2 6 2 3 4" xfId="38748"/>
    <cellStyle name="注释 2 2 6 2 4" xfId="16862"/>
    <cellStyle name="注释 2 2 6 2 4 2" xfId="17886"/>
    <cellStyle name="注释 2 2 6 2 4 2 2" xfId="38751"/>
    <cellStyle name="注释 2 2 6 2 4 3" xfId="22886"/>
    <cellStyle name="注释 2 2 6 2 4 4" xfId="38750"/>
    <cellStyle name="注释 2 2 6 2 5" xfId="18856"/>
    <cellStyle name="注释 2 2 6 2 5 2" xfId="38752"/>
    <cellStyle name="注释 2 2 6 2 6" xfId="38741"/>
    <cellStyle name="注释 2 2 6 3" xfId="10668"/>
    <cellStyle name="注释 2 2 6 3 2" xfId="16863"/>
    <cellStyle name="注释 2 2 6 3 2 2" xfId="16864"/>
    <cellStyle name="注释 2 2 6 3 2 2 2" xfId="17884"/>
    <cellStyle name="注释 2 2 6 3 2 2 2 2" xfId="38756"/>
    <cellStyle name="注释 2 2 6 3 2 2 3" xfId="22888"/>
    <cellStyle name="注释 2 2 6 3 2 2 4" xfId="38755"/>
    <cellStyle name="注释 2 2 6 3 2 3" xfId="16865"/>
    <cellStyle name="注释 2 2 6 3 2 3 2" xfId="17883"/>
    <cellStyle name="注释 2 2 6 3 2 3 2 2" xfId="38758"/>
    <cellStyle name="注释 2 2 6 3 2 3 3" xfId="22889"/>
    <cellStyle name="注释 2 2 6 3 2 3 4" xfId="38757"/>
    <cellStyle name="注释 2 2 6 3 2 4" xfId="17885"/>
    <cellStyle name="注释 2 2 6 3 2 4 2" xfId="38759"/>
    <cellStyle name="注释 2 2 6 3 2 5" xfId="22887"/>
    <cellStyle name="注释 2 2 6 3 2 6" xfId="38754"/>
    <cellStyle name="注释 2 2 6 3 3" xfId="16866"/>
    <cellStyle name="注释 2 2 6 3 3 2" xfId="21134"/>
    <cellStyle name="注释 2 2 6 3 3 2 2" xfId="38761"/>
    <cellStyle name="注释 2 2 6 3 3 3" xfId="22890"/>
    <cellStyle name="注释 2 2 6 3 3 4" xfId="38760"/>
    <cellStyle name="注释 2 2 6 3 4" xfId="16867"/>
    <cellStyle name="注释 2 2 6 3 4 2" xfId="8867"/>
    <cellStyle name="注释 2 2 6 3 4 2 2" xfId="38763"/>
    <cellStyle name="注释 2 2 6 3 4 3" xfId="22891"/>
    <cellStyle name="注释 2 2 6 3 4 4" xfId="38762"/>
    <cellStyle name="注释 2 2 6 3 5" xfId="21863"/>
    <cellStyle name="注释 2 2 6 3 5 2" xfId="38764"/>
    <cellStyle name="注释 2 2 6 3 6" xfId="38753"/>
    <cellStyle name="注释 2 2 6 4" xfId="10669"/>
    <cellStyle name="注释 2 2 6 4 2" xfId="16868"/>
    <cellStyle name="注释 2 2 6 4 2 2" xfId="16869"/>
    <cellStyle name="注释 2 2 6 4 2 2 2" xfId="17881"/>
    <cellStyle name="注释 2 2 6 4 2 2 2 2" xfId="38768"/>
    <cellStyle name="注释 2 2 6 4 2 2 3" xfId="22893"/>
    <cellStyle name="注释 2 2 6 4 2 2 4" xfId="38767"/>
    <cellStyle name="注释 2 2 6 4 2 3" xfId="16870"/>
    <cellStyle name="注释 2 2 6 4 2 3 2" xfId="17880"/>
    <cellStyle name="注释 2 2 6 4 2 3 2 2" xfId="38770"/>
    <cellStyle name="注释 2 2 6 4 2 3 3" xfId="22894"/>
    <cellStyle name="注释 2 2 6 4 2 3 4" xfId="38769"/>
    <cellStyle name="注释 2 2 6 4 2 4" xfId="17882"/>
    <cellStyle name="注释 2 2 6 4 2 4 2" xfId="38771"/>
    <cellStyle name="注释 2 2 6 4 2 5" xfId="22892"/>
    <cellStyle name="注释 2 2 6 4 2 6" xfId="38766"/>
    <cellStyle name="注释 2 2 6 4 3" xfId="16871"/>
    <cellStyle name="注释 2 2 6 4 3 2" xfId="17879"/>
    <cellStyle name="注释 2 2 6 4 3 2 2" xfId="38773"/>
    <cellStyle name="注释 2 2 6 4 3 3" xfId="22895"/>
    <cellStyle name="注释 2 2 6 4 3 4" xfId="38772"/>
    <cellStyle name="注释 2 2 6 4 4" xfId="16872"/>
    <cellStyle name="注释 2 2 6 4 4 2" xfId="17878"/>
    <cellStyle name="注释 2 2 6 4 4 2 2" xfId="38775"/>
    <cellStyle name="注释 2 2 6 4 4 3" xfId="22896"/>
    <cellStyle name="注释 2 2 6 4 4 4" xfId="38774"/>
    <cellStyle name="注释 2 2 6 4 5" xfId="21864"/>
    <cellStyle name="注释 2 2 6 4 5 2" xfId="38776"/>
    <cellStyle name="注释 2 2 6 4 6" xfId="38765"/>
    <cellStyle name="注释 2 2 6 5" xfId="10670"/>
    <cellStyle name="注释 2 2 6 5 2" xfId="16873"/>
    <cellStyle name="注释 2 2 6 5 2 2" xfId="16874"/>
    <cellStyle name="注释 2 2 6 5 2 2 2" xfId="17877"/>
    <cellStyle name="注释 2 2 6 5 2 2 2 2" xfId="38780"/>
    <cellStyle name="注释 2 2 6 5 2 2 3" xfId="22898"/>
    <cellStyle name="注释 2 2 6 5 2 2 4" xfId="38779"/>
    <cellStyle name="注释 2 2 6 5 2 3" xfId="16875"/>
    <cellStyle name="注释 2 2 6 5 2 3 2" xfId="17876"/>
    <cellStyle name="注释 2 2 6 5 2 3 2 2" xfId="38782"/>
    <cellStyle name="注释 2 2 6 5 2 3 3" xfId="22899"/>
    <cellStyle name="注释 2 2 6 5 2 3 4" xfId="38781"/>
    <cellStyle name="注释 2 2 6 5 2 4" xfId="8868"/>
    <cellStyle name="注释 2 2 6 5 2 4 2" xfId="38783"/>
    <cellStyle name="注释 2 2 6 5 2 5" xfId="22897"/>
    <cellStyle name="注释 2 2 6 5 2 6" xfId="38778"/>
    <cellStyle name="注释 2 2 6 5 3" xfId="16876"/>
    <cellStyle name="注释 2 2 6 5 3 2" xfId="17875"/>
    <cellStyle name="注释 2 2 6 5 3 2 2" xfId="38785"/>
    <cellStyle name="注释 2 2 6 5 3 3" xfId="22900"/>
    <cellStyle name="注释 2 2 6 5 3 4" xfId="38784"/>
    <cellStyle name="注释 2 2 6 5 4" xfId="16877"/>
    <cellStyle name="注释 2 2 6 5 4 2" xfId="17874"/>
    <cellStyle name="注释 2 2 6 5 4 2 2" xfId="38787"/>
    <cellStyle name="注释 2 2 6 5 4 3" xfId="22901"/>
    <cellStyle name="注释 2 2 6 5 4 4" xfId="38786"/>
    <cellStyle name="注释 2 2 6 5 5" xfId="21865"/>
    <cellStyle name="注释 2 2 6 5 5 2" xfId="38788"/>
    <cellStyle name="注释 2 2 6 5 6" xfId="38777"/>
    <cellStyle name="注释 2 2 6 6" xfId="16878"/>
    <cellStyle name="注释 2 2 6 6 2" xfId="16879"/>
    <cellStyle name="注释 2 2 6 6 2 2" xfId="8869"/>
    <cellStyle name="注释 2 2 6 6 2 2 2" xfId="38791"/>
    <cellStyle name="注释 2 2 6 6 2 3" xfId="22903"/>
    <cellStyle name="注释 2 2 6 6 2 4" xfId="38790"/>
    <cellStyle name="注释 2 2 6 6 3" xfId="16880"/>
    <cellStyle name="注释 2 2 6 6 3 2" xfId="20569"/>
    <cellStyle name="注释 2 2 6 6 3 2 2" xfId="38793"/>
    <cellStyle name="注释 2 2 6 6 3 3" xfId="22904"/>
    <cellStyle name="注释 2 2 6 6 3 4" xfId="38792"/>
    <cellStyle name="注释 2 2 6 6 4" xfId="17873"/>
    <cellStyle name="注释 2 2 6 6 4 2" xfId="38794"/>
    <cellStyle name="注释 2 2 6 6 5" xfId="22902"/>
    <cellStyle name="注释 2 2 6 6 6" xfId="38789"/>
    <cellStyle name="注释 2 2 6 7" xfId="16881"/>
    <cellStyle name="注释 2 2 6 7 2" xfId="21133"/>
    <cellStyle name="注释 2 2 6 7 2 2" xfId="38796"/>
    <cellStyle name="注释 2 2 6 7 3" xfId="22905"/>
    <cellStyle name="注释 2 2 6 7 4" xfId="38795"/>
    <cellStyle name="注释 2 2 6 8" xfId="16882"/>
    <cellStyle name="注释 2 2 6 8 2" xfId="8870"/>
    <cellStyle name="注释 2 2 6 8 2 2" xfId="38798"/>
    <cellStyle name="注释 2 2 6 8 3" xfId="22906"/>
    <cellStyle name="注释 2 2 6 8 4" xfId="38797"/>
    <cellStyle name="注释 2 2 6 9" xfId="18855"/>
    <cellStyle name="注释 2 2 6 9 2" xfId="38799"/>
    <cellStyle name="注释 2 2 7" xfId="10671"/>
    <cellStyle name="注释 2 2 7 10" xfId="38800"/>
    <cellStyle name="注释 2 2 7 2" xfId="10672"/>
    <cellStyle name="注释 2 2 7 2 2" xfId="16883"/>
    <cellStyle name="注释 2 2 7 2 2 2" xfId="16884"/>
    <cellStyle name="注释 2 2 7 2 2 2 2" xfId="8872"/>
    <cellStyle name="注释 2 2 7 2 2 2 2 2" xfId="38804"/>
    <cellStyle name="注释 2 2 7 2 2 2 3" xfId="22908"/>
    <cellStyle name="注释 2 2 7 2 2 2 4" xfId="38803"/>
    <cellStyle name="注释 2 2 7 2 2 3" xfId="16885"/>
    <cellStyle name="注释 2 2 7 2 2 3 2" xfId="8873"/>
    <cellStyle name="注释 2 2 7 2 2 3 2 2" xfId="38806"/>
    <cellStyle name="注释 2 2 7 2 2 3 3" xfId="22909"/>
    <cellStyle name="注释 2 2 7 2 2 3 4" xfId="38805"/>
    <cellStyle name="注释 2 2 7 2 2 4" xfId="8871"/>
    <cellStyle name="注释 2 2 7 2 2 4 2" xfId="38807"/>
    <cellStyle name="注释 2 2 7 2 2 5" xfId="22907"/>
    <cellStyle name="注释 2 2 7 2 2 6" xfId="38802"/>
    <cellStyle name="注释 2 2 7 2 3" xfId="16886"/>
    <cellStyle name="注释 2 2 7 2 3 2" xfId="8874"/>
    <cellStyle name="注释 2 2 7 2 3 2 2" xfId="38809"/>
    <cellStyle name="注释 2 2 7 2 3 3" xfId="22910"/>
    <cellStyle name="注释 2 2 7 2 3 4" xfId="38808"/>
    <cellStyle name="注释 2 2 7 2 4" xfId="16887"/>
    <cellStyle name="注释 2 2 7 2 4 2" xfId="20568"/>
    <cellStyle name="注释 2 2 7 2 4 2 2" xfId="38811"/>
    <cellStyle name="注释 2 2 7 2 4 3" xfId="22911"/>
    <cellStyle name="注释 2 2 7 2 4 4" xfId="38810"/>
    <cellStyle name="注释 2 2 7 2 5" xfId="17856"/>
    <cellStyle name="注释 2 2 7 2 5 2" xfId="38812"/>
    <cellStyle name="注释 2 2 7 2 6" xfId="38801"/>
    <cellStyle name="注释 2 2 7 3" xfId="10673"/>
    <cellStyle name="注释 2 2 7 3 2" xfId="16888"/>
    <cellStyle name="注释 2 2 7 3 2 2" xfId="16889"/>
    <cellStyle name="注释 2 2 7 3 2 2 2" xfId="8876"/>
    <cellStyle name="注释 2 2 7 3 2 2 2 2" xfId="38816"/>
    <cellStyle name="注释 2 2 7 3 2 2 3" xfId="22913"/>
    <cellStyle name="注释 2 2 7 3 2 2 4" xfId="38815"/>
    <cellStyle name="注释 2 2 7 3 2 3" xfId="16890"/>
    <cellStyle name="注释 2 2 7 3 2 3 2" xfId="8877"/>
    <cellStyle name="注释 2 2 7 3 2 3 2 2" xfId="38818"/>
    <cellStyle name="注释 2 2 7 3 2 3 3" xfId="22914"/>
    <cellStyle name="注释 2 2 7 3 2 3 4" xfId="38817"/>
    <cellStyle name="注释 2 2 7 3 2 4" xfId="8875"/>
    <cellStyle name="注释 2 2 7 3 2 4 2" xfId="38819"/>
    <cellStyle name="注释 2 2 7 3 2 5" xfId="22912"/>
    <cellStyle name="注释 2 2 7 3 2 6" xfId="38814"/>
    <cellStyle name="注释 2 2 7 3 3" xfId="16891"/>
    <cellStyle name="注释 2 2 7 3 3 2" xfId="8878"/>
    <cellStyle name="注释 2 2 7 3 3 2 2" xfId="38821"/>
    <cellStyle name="注释 2 2 7 3 3 3" xfId="22915"/>
    <cellStyle name="注释 2 2 7 3 3 4" xfId="38820"/>
    <cellStyle name="注释 2 2 7 3 4" xfId="16892"/>
    <cellStyle name="注释 2 2 7 3 4 2" xfId="8879"/>
    <cellStyle name="注释 2 2 7 3 4 2 2" xfId="38823"/>
    <cellStyle name="注释 2 2 7 3 4 3" xfId="22916"/>
    <cellStyle name="注释 2 2 7 3 4 4" xfId="38822"/>
    <cellStyle name="注释 2 2 7 3 5" xfId="21866"/>
    <cellStyle name="注释 2 2 7 3 5 2" xfId="38824"/>
    <cellStyle name="注释 2 2 7 3 6" xfId="38813"/>
    <cellStyle name="注释 2 2 7 4" xfId="10674"/>
    <cellStyle name="注释 2 2 7 4 2" xfId="16893"/>
    <cellStyle name="注释 2 2 7 4 2 2" xfId="16894"/>
    <cellStyle name="注释 2 2 7 4 2 2 2" xfId="8881"/>
    <cellStyle name="注释 2 2 7 4 2 2 2 2" xfId="38828"/>
    <cellStyle name="注释 2 2 7 4 2 2 3" xfId="22918"/>
    <cellStyle name="注释 2 2 7 4 2 2 4" xfId="38827"/>
    <cellStyle name="注释 2 2 7 4 2 3" xfId="16895"/>
    <cellStyle name="注释 2 2 7 4 2 3 2" xfId="8882"/>
    <cellStyle name="注释 2 2 7 4 2 3 2 2" xfId="38830"/>
    <cellStyle name="注释 2 2 7 4 2 3 3" xfId="22919"/>
    <cellStyle name="注释 2 2 7 4 2 3 4" xfId="38829"/>
    <cellStyle name="注释 2 2 7 4 2 4" xfId="8880"/>
    <cellStyle name="注释 2 2 7 4 2 4 2" xfId="38831"/>
    <cellStyle name="注释 2 2 7 4 2 5" xfId="22917"/>
    <cellStyle name="注释 2 2 7 4 2 6" xfId="38826"/>
    <cellStyle name="注释 2 2 7 4 3" xfId="16896"/>
    <cellStyle name="注释 2 2 7 4 3 2" xfId="20567"/>
    <cellStyle name="注释 2 2 7 4 3 2 2" xfId="38833"/>
    <cellStyle name="注释 2 2 7 4 3 3" xfId="22920"/>
    <cellStyle name="注释 2 2 7 4 3 4" xfId="38832"/>
    <cellStyle name="注释 2 2 7 4 4" xfId="16897"/>
    <cellStyle name="注释 2 2 7 4 4 2" xfId="20566"/>
    <cellStyle name="注释 2 2 7 4 4 2 2" xfId="38835"/>
    <cellStyle name="注释 2 2 7 4 4 3" xfId="22921"/>
    <cellStyle name="注释 2 2 7 4 4 4" xfId="38834"/>
    <cellStyle name="注释 2 2 7 4 5" xfId="21867"/>
    <cellStyle name="注释 2 2 7 4 5 2" xfId="38836"/>
    <cellStyle name="注释 2 2 7 4 6" xfId="38825"/>
    <cellStyle name="注释 2 2 7 5" xfId="10675"/>
    <cellStyle name="注释 2 2 7 5 2" xfId="16898"/>
    <cellStyle name="注释 2 2 7 5 2 2" xfId="16899"/>
    <cellStyle name="注释 2 2 7 5 2 2 2" xfId="8884"/>
    <cellStyle name="注释 2 2 7 5 2 2 2 2" xfId="38840"/>
    <cellStyle name="注释 2 2 7 5 2 2 3" xfId="22923"/>
    <cellStyle name="注释 2 2 7 5 2 2 4" xfId="38839"/>
    <cellStyle name="注释 2 2 7 5 2 3" xfId="16900"/>
    <cellStyle name="注释 2 2 7 5 2 3 2" xfId="8885"/>
    <cellStyle name="注释 2 2 7 5 2 3 2 2" xfId="38842"/>
    <cellStyle name="注释 2 2 7 5 2 3 3" xfId="22924"/>
    <cellStyle name="注释 2 2 7 5 2 3 4" xfId="38841"/>
    <cellStyle name="注释 2 2 7 5 2 4" xfId="8883"/>
    <cellStyle name="注释 2 2 7 5 2 4 2" xfId="38843"/>
    <cellStyle name="注释 2 2 7 5 2 5" xfId="22922"/>
    <cellStyle name="注释 2 2 7 5 2 6" xfId="38838"/>
    <cellStyle name="注释 2 2 7 5 3" xfId="16901"/>
    <cellStyle name="注释 2 2 7 5 3 2" xfId="8886"/>
    <cellStyle name="注释 2 2 7 5 3 2 2" xfId="38845"/>
    <cellStyle name="注释 2 2 7 5 3 3" xfId="22925"/>
    <cellStyle name="注释 2 2 7 5 3 4" xfId="38844"/>
    <cellStyle name="注释 2 2 7 5 4" xfId="16902"/>
    <cellStyle name="注释 2 2 7 5 4 2" xfId="8887"/>
    <cellStyle name="注释 2 2 7 5 4 2 2" xfId="38847"/>
    <cellStyle name="注释 2 2 7 5 4 3" xfId="22926"/>
    <cellStyle name="注释 2 2 7 5 4 4" xfId="38846"/>
    <cellStyle name="注释 2 2 7 5 5" xfId="18857"/>
    <cellStyle name="注释 2 2 7 5 5 2" xfId="38848"/>
    <cellStyle name="注释 2 2 7 5 6" xfId="38837"/>
    <cellStyle name="注释 2 2 7 6" xfId="16903"/>
    <cellStyle name="注释 2 2 7 6 2" xfId="16904"/>
    <cellStyle name="注释 2 2 7 6 2 2" xfId="8888"/>
    <cellStyle name="注释 2 2 7 6 2 2 2" xfId="38851"/>
    <cellStyle name="注释 2 2 7 6 2 3" xfId="22928"/>
    <cellStyle name="注释 2 2 7 6 2 4" xfId="38850"/>
    <cellStyle name="注释 2 2 7 6 3" xfId="16905"/>
    <cellStyle name="注释 2 2 7 6 3 2" xfId="8889"/>
    <cellStyle name="注释 2 2 7 6 3 2 2" xfId="38853"/>
    <cellStyle name="注释 2 2 7 6 3 3" xfId="22929"/>
    <cellStyle name="注释 2 2 7 6 3 4" xfId="38852"/>
    <cellStyle name="注释 2 2 7 6 4" xfId="20565"/>
    <cellStyle name="注释 2 2 7 6 4 2" xfId="38854"/>
    <cellStyle name="注释 2 2 7 6 5" xfId="22927"/>
    <cellStyle name="注释 2 2 7 6 6" xfId="38849"/>
    <cellStyle name="注释 2 2 7 7" xfId="16906"/>
    <cellStyle name="注释 2 2 7 7 2" xfId="8890"/>
    <cellStyle name="注释 2 2 7 7 2 2" xfId="38856"/>
    <cellStyle name="注释 2 2 7 7 3" xfId="22930"/>
    <cellStyle name="注释 2 2 7 7 4" xfId="38855"/>
    <cellStyle name="注释 2 2 7 8" xfId="16907"/>
    <cellStyle name="注释 2 2 7 8 2" xfId="8891"/>
    <cellStyle name="注释 2 2 7 8 2 2" xfId="38858"/>
    <cellStyle name="注释 2 2 7 8 3" xfId="22931"/>
    <cellStyle name="注释 2 2 7 8 4" xfId="38857"/>
    <cellStyle name="注释 2 2 7 9" xfId="21130"/>
    <cellStyle name="注释 2 2 7 9 2" xfId="38859"/>
    <cellStyle name="注释 2 2 8" xfId="10676"/>
    <cellStyle name="注释 2 2 8 10" xfId="38860"/>
    <cellStyle name="注释 2 2 8 2" xfId="10677"/>
    <cellStyle name="注释 2 2 8 2 2" xfId="16908"/>
    <cellStyle name="注释 2 2 8 2 2 2" xfId="16909"/>
    <cellStyle name="注释 2 2 8 2 2 2 2" xfId="20564"/>
    <cellStyle name="注释 2 2 8 2 2 2 2 2" xfId="38864"/>
    <cellStyle name="注释 2 2 8 2 2 2 3" xfId="22933"/>
    <cellStyle name="注释 2 2 8 2 2 2 4" xfId="38863"/>
    <cellStyle name="注释 2 2 8 2 2 3" xfId="16910"/>
    <cellStyle name="注释 2 2 8 2 2 3 2" xfId="8893"/>
    <cellStyle name="注释 2 2 8 2 2 3 2 2" xfId="38866"/>
    <cellStyle name="注释 2 2 8 2 2 3 3" xfId="22934"/>
    <cellStyle name="注释 2 2 8 2 2 3 4" xfId="38865"/>
    <cellStyle name="注释 2 2 8 2 2 4" xfId="8892"/>
    <cellStyle name="注释 2 2 8 2 2 4 2" xfId="38867"/>
    <cellStyle name="注释 2 2 8 2 2 5" xfId="22932"/>
    <cellStyle name="注释 2 2 8 2 2 6" xfId="38862"/>
    <cellStyle name="注释 2 2 8 2 3" xfId="16911"/>
    <cellStyle name="注释 2 2 8 2 3 2" xfId="8894"/>
    <cellStyle name="注释 2 2 8 2 3 2 2" xfId="38869"/>
    <cellStyle name="注释 2 2 8 2 3 3" xfId="22935"/>
    <cellStyle name="注释 2 2 8 2 3 4" xfId="38868"/>
    <cellStyle name="注释 2 2 8 2 4" xfId="16912"/>
    <cellStyle name="注释 2 2 8 2 4 2" xfId="8895"/>
    <cellStyle name="注释 2 2 8 2 4 2 2" xfId="38871"/>
    <cellStyle name="注释 2 2 8 2 4 3" xfId="22936"/>
    <cellStyle name="注释 2 2 8 2 4 4" xfId="38870"/>
    <cellStyle name="注释 2 2 8 2 5" xfId="21869"/>
    <cellStyle name="注释 2 2 8 2 5 2" xfId="38872"/>
    <cellStyle name="注释 2 2 8 2 6" xfId="38861"/>
    <cellStyle name="注释 2 2 8 3" xfId="10678"/>
    <cellStyle name="注释 2 2 8 3 2" xfId="16913"/>
    <cellStyle name="注释 2 2 8 3 2 2" xfId="16914"/>
    <cellStyle name="注释 2 2 8 3 2 2 2" xfId="8897"/>
    <cellStyle name="注释 2 2 8 3 2 2 2 2" xfId="38876"/>
    <cellStyle name="注释 2 2 8 3 2 2 3" xfId="22938"/>
    <cellStyle name="注释 2 2 8 3 2 2 4" xfId="38875"/>
    <cellStyle name="注释 2 2 8 3 2 3" xfId="16915"/>
    <cellStyle name="注释 2 2 8 3 2 3 2" xfId="20563"/>
    <cellStyle name="注释 2 2 8 3 2 3 2 2" xfId="38878"/>
    <cellStyle name="注释 2 2 8 3 2 3 3" xfId="22939"/>
    <cellStyle name="注释 2 2 8 3 2 3 4" xfId="38877"/>
    <cellStyle name="注释 2 2 8 3 2 4" xfId="8896"/>
    <cellStyle name="注释 2 2 8 3 2 4 2" xfId="38879"/>
    <cellStyle name="注释 2 2 8 3 2 5" xfId="22937"/>
    <cellStyle name="注释 2 2 8 3 2 6" xfId="38874"/>
    <cellStyle name="注释 2 2 8 3 3" xfId="16916"/>
    <cellStyle name="注释 2 2 8 3 3 2" xfId="8898"/>
    <cellStyle name="注释 2 2 8 3 3 2 2" xfId="38881"/>
    <cellStyle name="注释 2 2 8 3 3 3" xfId="22940"/>
    <cellStyle name="注释 2 2 8 3 3 4" xfId="38880"/>
    <cellStyle name="注释 2 2 8 3 4" xfId="16917"/>
    <cellStyle name="注释 2 2 8 3 4 2" xfId="8899"/>
    <cellStyle name="注释 2 2 8 3 4 2 2" xfId="38883"/>
    <cellStyle name="注释 2 2 8 3 4 3" xfId="22941"/>
    <cellStyle name="注释 2 2 8 3 4 4" xfId="38882"/>
    <cellStyle name="注释 2 2 8 3 5" xfId="17857"/>
    <cellStyle name="注释 2 2 8 3 5 2" xfId="38884"/>
    <cellStyle name="注释 2 2 8 3 6" xfId="38873"/>
    <cellStyle name="注释 2 2 8 4" xfId="10679"/>
    <cellStyle name="注释 2 2 8 4 2" xfId="16918"/>
    <cellStyle name="注释 2 2 8 4 2 2" xfId="16919"/>
    <cellStyle name="注释 2 2 8 4 2 2 2" xfId="8901"/>
    <cellStyle name="注释 2 2 8 4 2 2 2 2" xfId="38888"/>
    <cellStyle name="注释 2 2 8 4 2 2 3" xfId="22943"/>
    <cellStyle name="注释 2 2 8 4 2 2 4" xfId="38887"/>
    <cellStyle name="注释 2 2 8 4 2 3" xfId="16920"/>
    <cellStyle name="注释 2 2 8 4 2 3 2" xfId="8902"/>
    <cellStyle name="注释 2 2 8 4 2 3 2 2" xfId="38890"/>
    <cellStyle name="注释 2 2 8 4 2 3 3" xfId="22944"/>
    <cellStyle name="注释 2 2 8 4 2 3 4" xfId="38889"/>
    <cellStyle name="注释 2 2 8 4 2 4" xfId="8900"/>
    <cellStyle name="注释 2 2 8 4 2 4 2" xfId="38891"/>
    <cellStyle name="注释 2 2 8 4 2 5" xfId="22942"/>
    <cellStyle name="注释 2 2 8 4 2 6" xfId="38886"/>
    <cellStyle name="注释 2 2 8 4 3" xfId="16921"/>
    <cellStyle name="注释 2 2 8 4 3 2" xfId="8903"/>
    <cellStyle name="注释 2 2 8 4 3 2 2" xfId="38893"/>
    <cellStyle name="注释 2 2 8 4 3 3" xfId="22945"/>
    <cellStyle name="注释 2 2 8 4 3 4" xfId="38892"/>
    <cellStyle name="注释 2 2 8 4 4" xfId="16922"/>
    <cellStyle name="注释 2 2 8 4 4 2" xfId="8904"/>
    <cellStyle name="注释 2 2 8 4 4 2 2" xfId="38895"/>
    <cellStyle name="注释 2 2 8 4 4 3" xfId="22946"/>
    <cellStyle name="注释 2 2 8 4 4 4" xfId="38894"/>
    <cellStyle name="注释 2 2 8 4 5" xfId="21870"/>
    <cellStyle name="注释 2 2 8 4 5 2" xfId="38896"/>
    <cellStyle name="注释 2 2 8 4 6" xfId="38885"/>
    <cellStyle name="注释 2 2 8 5" xfId="10680"/>
    <cellStyle name="注释 2 2 8 5 2" xfId="16923"/>
    <cellStyle name="注释 2 2 8 5 2 2" xfId="16924"/>
    <cellStyle name="注释 2 2 8 5 2 2 2" xfId="8906"/>
    <cellStyle name="注释 2 2 8 5 2 2 2 2" xfId="38900"/>
    <cellStyle name="注释 2 2 8 5 2 2 3" xfId="22948"/>
    <cellStyle name="注释 2 2 8 5 2 2 4" xfId="38899"/>
    <cellStyle name="注释 2 2 8 5 2 3" xfId="16925"/>
    <cellStyle name="注释 2 2 8 5 2 3 2" xfId="8907"/>
    <cellStyle name="注释 2 2 8 5 2 3 2 2" xfId="38902"/>
    <cellStyle name="注释 2 2 8 5 2 3 3" xfId="22949"/>
    <cellStyle name="注释 2 2 8 5 2 3 4" xfId="38901"/>
    <cellStyle name="注释 2 2 8 5 2 4" xfId="8905"/>
    <cellStyle name="注释 2 2 8 5 2 4 2" xfId="38903"/>
    <cellStyle name="注释 2 2 8 5 2 5" xfId="22947"/>
    <cellStyle name="注释 2 2 8 5 2 6" xfId="38898"/>
    <cellStyle name="注释 2 2 8 5 3" xfId="16926"/>
    <cellStyle name="注释 2 2 8 5 3 2" xfId="20562"/>
    <cellStyle name="注释 2 2 8 5 3 2 2" xfId="38905"/>
    <cellStyle name="注释 2 2 8 5 3 3" xfId="22950"/>
    <cellStyle name="注释 2 2 8 5 3 4" xfId="38904"/>
    <cellStyle name="注释 2 2 8 5 4" xfId="16927"/>
    <cellStyle name="注释 2 2 8 5 4 2" xfId="18526"/>
    <cellStyle name="注释 2 2 8 5 4 2 2" xfId="38907"/>
    <cellStyle name="注释 2 2 8 5 4 3" xfId="22951"/>
    <cellStyle name="注释 2 2 8 5 4 4" xfId="38906"/>
    <cellStyle name="注释 2 2 8 5 5" xfId="21871"/>
    <cellStyle name="注释 2 2 8 5 5 2" xfId="38908"/>
    <cellStyle name="注释 2 2 8 5 6" xfId="38897"/>
    <cellStyle name="注释 2 2 8 6" xfId="16928"/>
    <cellStyle name="注释 2 2 8 6 2" xfId="16929"/>
    <cellStyle name="注释 2 2 8 6 2 2" xfId="8909"/>
    <cellStyle name="注释 2 2 8 6 2 2 2" xfId="38911"/>
    <cellStyle name="注释 2 2 8 6 2 3" xfId="22953"/>
    <cellStyle name="注释 2 2 8 6 2 4" xfId="38910"/>
    <cellStyle name="注释 2 2 8 6 3" xfId="16930"/>
    <cellStyle name="注释 2 2 8 6 3 2" xfId="8910"/>
    <cellStyle name="注释 2 2 8 6 3 2 2" xfId="38913"/>
    <cellStyle name="注释 2 2 8 6 3 3" xfId="22954"/>
    <cellStyle name="注释 2 2 8 6 3 4" xfId="38912"/>
    <cellStyle name="注释 2 2 8 6 4" xfId="8908"/>
    <cellStyle name="注释 2 2 8 6 4 2" xfId="38914"/>
    <cellStyle name="注释 2 2 8 6 5" xfId="22952"/>
    <cellStyle name="注释 2 2 8 6 6" xfId="38909"/>
    <cellStyle name="注释 2 2 8 7" xfId="16931"/>
    <cellStyle name="注释 2 2 8 7 2" xfId="8911"/>
    <cellStyle name="注释 2 2 8 7 2 2" xfId="38916"/>
    <cellStyle name="注释 2 2 8 7 3" xfId="22955"/>
    <cellStyle name="注释 2 2 8 7 4" xfId="38915"/>
    <cellStyle name="注释 2 2 8 8" xfId="16932"/>
    <cellStyle name="注释 2 2 8 8 2" xfId="8912"/>
    <cellStyle name="注释 2 2 8 8 2 2" xfId="38918"/>
    <cellStyle name="注释 2 2 8 8 3" xfId="22956"/>
    <cellStyle name="注释 2 2 8 8 4" xfId="38917"/>
    <cellStyle name="注释 2 2 8 9" xfId="21868"/>
    <cellStyle name="注释 2 2 8 9 2" xfId="38919"/>
    <cellStyle name="注释 2 2 9" xfId="10681"/>
    <cellStyle name="注释 2 2 9 10" xfId="38920"/>
    <cellStyle name="注释 2 2 9 2" xfId="10682"/>
    <cellStyle name="注释 2 2 9 2 2" xfId="16933"/>
    <cellStyle name="注释 2 2 9 2 2 2" xfId="16934"/>
    <cellStyle name="注释 2 2 9 2 2 2 2" xfId="8913"/>
    <cellStyle name="注释 2 2 9 2 2 2 2 2" xfId="38924"/>
    <cellStyle name="注释 2 2 9 2 2 2 3" xfId="22958"/>
    <cellStyle name="注释 2 2 9 2 2 2 4" xfId="38923"/>
    <cellStyle name="注释 2 2 9 2 2 3" xfId="16935"/>
    <cellStyle name="注释 2 2 9 2 2 3 2" xfId="8914"/>
    <cellStyle name="注释 2 2 9 2 2 3 2 2" xfId="38926"/>
    <cellStyle name="注释 2 2 9 2 2 3 3" xfId="22959"/>
    <cellStyle name="注释 2 2 9 2 2 3 4" xfId="38925"/>
    <cellStyle name="注释 2 2 9 2 2 4" xfId="20561"/>
    <cellStyle name="注释 2 2 9 2 2 4 2" xfId="38927"/>
    <cellStyle name="注释 2 2 9 2 2 5" xfId="22957"/>
    <cellStyle name="注释 2 2 9 2 2 6" xfId="38922"/>
    <cellStyle name="注释 2 2 9 2 3" xfId="16936"/>
    <cellStyle name="注释 2 2 9 2 3 2" xfId="8915"/>
    <cellStyle name="注释 2 2 9 2 3 2 2" xfId="38929"/>
    <cellStyle name="注释 2 2 9 2 3 3" xfId="22960"/>
    <cellStyle name="注释 2 2 9 2 3 4" xfId="38928"/>
    <cellStyle name="注释 2 2 9 2 4" xfId="16937"/>
    <cellStyle name="注释 2 2 9 2 4 2" xfId="8916"/>
    <cellStyle name="注释 2 2 9 2 4 2 2" xfId="38931"/>
    <cellStyle name="注释 2 2 9 2 4 3" xfId="22961"/>
    <cellStyle name="注释 2 2 9 2 4 4" xfId="38930"/>
    <cellStyle name="注释 2 2 9 2 5" xfId="18858"/>
    <cellStyle name="注释 2 2 9 2 5 2" xfId="38932"/>
    <cellStyle name="注释 2 2 9 2 6" xfId="38921"/>
    <cellStyle name="注释 2 2 9 3" xfId="10683"/>
    <cellStyle name="注释 2 2 9 3 2" xfId="16938"/>
    <cellStyle name="注释 2 2 9 3 2 2" xfId="16939"/>
    <cellStyle name="注释 2 2 9 3 2 2 2" xfId="20560"/>
    <cellStyle name="注释 2 2 9 3 2 2 2 2" xfId="38936"/>
    <cellStyle name="注释 2 2 9 3 2 2 3" xfId="22963"/>
    <cellStyle name="注释 2 2 9 3 2 2 4" xfId="38935"/>
    <cellStyle name="注释 2 2 9 3 2 3" xfId="16940"/>
    <cellStyle name="注释 2 2 9 3 2 3 2" xfId="8918"/>
    <cellStyle name="注释 2 2 9 3 2 3 2 2" xfId="38938"/>
    <cellStyle name="注释 2 2 9 3 2 3 3" xfId="22964"/>
    <cellStyle name="注释 2 2 9 3 2 3 4" xfId="38937"/>
    <cellStyle name="注释 2 2 9 3 2 4" xfId="8917"/>
    <cellStyle name="注释 2 2 9 3 2 4 2" xfId="38939"/>
    <cellStyle name="注释 2 2 9 3 2 5" xfId="22962"/>
    <cellStyle name="注释 2 2 9 3 2 6" xfId="38934"/>
    <cellStyle name="注释 2 2 9 3 3" xfId="16941"/>
    <cellStyle name="注释 2 2 9 3 3 2" xfId="8919"/>
    <cellStyle name="注释 2 2 9 3 3 2 2" xfId="38941"/>
    <cellStyle name="注释 2 2 9 3 3 3" xfId="22965"/>
    <cellStyle name="注释 2 2 9 3 3 4" xfId="38940"/>
    <cellStyle name="注释 2 2 9 3 4" xfId="16942"/>
    <cellStyle name="注释 2 2 9 3 4 2" xfId="8920"/>
    <cellStyle name="注释 2 2 9 3 4 2 2" xfId="38943"/>
    <cellStyle name="注释 2 2 9 3 4 3" xfId="22966"/>
    <cellStyle name="注释 2 2 9 3 4 4" xfId="38942"/>
    <cellStyle name="注释 2 2 9 3 5" xfId="21873"/>
    <cellStyle name="注释 2 2 9 3 5 2" xfId="38944"/>
    <cellStyle name="注释 2 2 9 3 6" xfId="38933"/>
    <cellStyle name="注释 2 2 9 4" xfId="10684"/>
    <cellStyle name="注释 2 2 9 4 2" xfId="16943"/>
    <cellStyle name="注释 2 2 9 4 2 2" xfId="16944"/>
    <cellStyle name="注释 2 2 9 4 2 2 2" xfId="8922"/>
    <cellStyle name="注释 2 2 9 4 2 2 2 2" xfId="38948"/>
    <cellStyle name="注释 2 2 9 4 2 2 3" xfId="22968"/>
    <cellStyle name="注释 2 2 9 4 2 2 4" xfId="38947"/>
    <cellStyle name="注释 2 2 9 4 2 3" xfId="16945"/>
    <cellStyle name="注释 2 2 9 4 2 3 2" xfId="20559"/>
    <cellStyle name="注释 2 2 9 4 2 3 2 2" xfId="38950"/>
    <cellStyle name="注释 2 2 9 4 2 3 3" xfId="22969"/>
    <cellStyle name="注释 2 2 9 4 2 3 4" xfId="38949"/>
    <cellStyle name="注释 2 2 9 4 2 4" xfId="8921"/>
    <cellStyle name="注释 2 2 9 4 2 4 2" xfId="38951"/>
    <cellStyle name="注释 2 2 9 4 2 5" xfId="22967"/>
    <cellStyle name="注释 2 2 9 4 2 6" xfId="38946"/>
    <cellStyle name="注释 2 2 9 4 3" xfId="16946"/>
    <cellStyle name="注释 2 2 9 4 3 2" xfId="8923"/>
    <cellStyle name="注释 2 2 9 4 3 2 2" xfId="38953"/>
    <cellStyle name="注释 2 2 9 4 3 3" xfId="22970"/>
    <cellStyle name="注释 2 2 9 4 3 4" xfId="38952"/>
    <cellStyle name="注释 2 2 9 4 4" xfId="16947"/>
    <cellStyle name="注释 2 2 9 4 4 2" xfId="8924"/>
    <cellStyle name="注释 2 2 9 4 4 2 2" xfId="38955"/>
    <cellStyle name="注释 2 2 9 4 4 3" xfId="22971"/>
    <cellStyle name="注释 2 2 9 4 4 4" xfId="38954"/>
    <cellStyle name="注释 2 2 9 4 5" xfId="17858"/>
    <cellStyle name="注释 2 2 9 4 5 2" xfId="38956"/>
    <cellStyle name="注释 2 2 9 4 6" xfId="38945"/>
    <cellStyle name="注释 2 2 9 5" xfId="10685"/>
    <cellStyle name="注释 2 2 9 5 2" xfId="16948"/>
    <cellStyle name="注释 2 2 9 5 2 2" xfId="16949"/>
    <cellStyle name="注释 2 2 9 5 2 2 2" xfId="8926"/>
    <cellStyle name="注释 2 2 9 5 2 2 2 2" xfId="38960"/>
    <cellStyle name="注释 2 2 9 5 2 2 3" xfId="22973"/>
    <cellStyle name="注释 2 2 9 5 2 2 4" xfId="38959"/>
    <cellStyle name="注释 2 2 9 5 2 3" xfId="16950"/>
    <cellStyle name="注释 2 2 9 5 2 3 2" xfId="8927"/>
    <cellStyle name="注释 2 2 9 5 2 3 2 2" xfId="38962"/>
    <cellStyle name="注释 2 2 9 5 2 3 3" xfId="22974"/>
    <cellStyle name="注释 2 2 9 5 2 3 4" xfId="38961"/>
    <cellStyle name="注释 2 2 9 5 2 4" xfId="8925"/>
    <cellStyle name="注释 2 2 9 5 2 4 2" xfId="38963"/>
    <cellStyle name="注释 2 2 9 5 2 5" xfId="22972"/>
    <cellStyle name="注释 2 2 9 5 2 6" xfId="38958"/>
    <cellStyle name="注释 2 2 9 5 3" xfId="16951"/>
    <cellStyle name="注释 2 2 9 5 3 2" xfId="8928"/>
    <cellStyle name="注释 2 2 9 5 3 2 2" xfId="38965"/>
    <cellStyle name="注释 2 2 9 5 3 3" xfId="22975"/>
    <cellStyle name="注释 2 2 9 5 3 4" xfId="38964"/>
    <cellStyle name="注释 2 2 9 5 4" xfId="16952"/>
    <cellStyle name="注释 2 2 9 5 4 2" xfId="8929"/>
    <cellStyle name="注释 2 2 9 5 4 2 2" xfId="38967"/>
    <cellStyle name="注释 2 2 9 5 4 3" xfId="22976"/>
    <cellStyle name="注释 2 2 9 5 4 4" xfId="38966"/>
    <cellStyle name="注释 2 2 9 5 5" xfId="21874"/>
    <cellStyle name="注释 2 2 9 5 5 2" xfId="38968"/>
    <cellStyle name="注释 2 2 9 5 6" xfId="38957"/>
    <cellStyle name="注释 2 2 9 6" xfId="16953"/>
    <cellStyle name="注释 2 2 9 6 2" xfId="16954"/>
    <cellStyle name="注释 2 2 9 6 2 2" xfId="8931"/>
    <cellStyle name="注释 2 2 9 6 2 2 2" xfId="38971"/>
    <cellStyle name="注释 2 2 9 6 2 3" xfId="22978"/>
    <cellStyle name="注释 2 2 9 6 2 4" xfId="38970"/>
    <cellStyle name="注释 2 2 9 6 3" xfId="16955"/>
    <cellStyle name="注释 2 2 9 6 3 2" xfId="8932"/>
    <cellStyle name="注释 2 2 9 6 3 2 2" xfId="38973"/>
    <cellStyle name="注释 2 2 9 6 3 3" xfId="22979"/>
    <cellStyle name="注释 2 2 9 6 3 4" xfId="38972"/>
    <cellStyle name="注释 2 2 9 6 4" xfId="8930"/>
    <cellStyle name="注释 2 2 9 6 4 2" xfId="38974"/>
    <cellStyle name="注释 2 2 9 6 5" xfId="22977"/>
    <cellStyle name="注释 2 2 9 6 6" xfId="38969"/>
    <cellStyle name="注释 2 2 9 7" xfId="16956"/>
    <cellStyle name="注释 2 2 9 7 2" xfId="20558"/>
    <cellStyle name="注释 2 2 9 7 2 2" xfId="38976"/>
    <cellStyle name="注释 2 2 9 7 3" xfId="22980"/>
    <cellStyle name="注释 2 2 9 7 4" xfId="38975"/>
    <cellStyle name="注释 2 2 9 8" xfId="16957"/>
    <cellStyle name="注释 2 2 9 8 2" xfId="20557"/>
    <cellStyle name="注释 2 2 9 8 2 2" xfId="38978"/>
    <cellStyle name="注释 2 2 9 8 3" xfId="22981"/>
    <cellStyle name="注释 2 2 9 8 4" xfId="38977"/>
    <cellStyle name="注释 2 2 9 9" xfId="21872"/>
    <cellStyle name="注释 2 2 9 9 2" xfId="38979"/>
    <cellStyle name="注释 2 20" xfId="10686"/>
    <cellStyle name="注释 2 20 2" xfId="16958"/>
    <cellStyle name="注释 2 20 2 2" xfId="16959"/>
    <cellStyle name="注释 2 20 2 2 2" xfId="8934"/>
    <cellStyle name="注释 2 20 2 2 2 2" xfId="38983"/>
    <cellStyle name="注释 2 20 2 2 3" xfId="22983"/>
    <cellStyle name="注释 2 20 2 2 4" xfId="38982"/>
    <cellStyle name="注释 2 20 2 3" xfId="16960"/>
    <cellStyle name="注释 2 20 2 3 2" xfId="8935"/>
    <cellStyle name="注释 2 20 2 3 2 2" xfId="38985"/>
    <cellStyle name="注释 2 20 2 3 3" xfId="22984"/>
    <cellStyle name="注释 2 20 2 3 4" xfId="38984"/>
    <cellStyle name="注释 2 20 2 4" xfId="8933"/>
    <cellStyle name="注释 2 20 2 4 2" xfId="38986"/>
    <cellStyle name="注释 2 20 2 5" xfId="22982"/>
    <cellStyle name="注释 2 20 2 6" xfId="38981"/>
    <cellStyle name="注释 2 20 3" xfId="16961"/>
    <cellStyle name="注释 2 20 3 2" xfId="8936"/>
    <cellStyle name="注释 2 20 3 2 2" xfId="38988"/>
    <cellStyle name="注释 2 20 3 3" xfId="22985"/>
    <cellStyle name="注释 2 20 3 4" xfId="38987"/>
    <cellStyle name="注释 2 20 4" xfId="16962"/>
    <cellStyle name="注释 2 20 4 2" xfId="8937"/>
    <cellStyle name="注释 2 20 4 2 2" xfId="38990"/>
    <cellStyle name="注释 2 20 4 3" xfId="22986"/>
    <cellStyle name="注释 2 20 4 4" xfId="38989"/>
    <cellStyle name="注释 2 20 5" xfId="21875"/>
    <cellStyle name="注释 2 20 5 2" xfId="38991"/>
    <cellStyle name="注释 2 20 6" xfId="38980"/>
    <cellStyle name="注释 2 21" xfId="10687"/>
    <cellStyle name="注释 2 21 2" xfId="16963"/>
    <cellStyle name="注释 2 21 2 2" xfId="16964"/>
    <cellStyle name="注释 2 21 2 2 2" xfId="8938"/>
    <cellStyle name="注释 2 21 2 2 2 2" xfId="38995"/>
    <cellStyle name="注释 2 21 2 2 3" xfId="22988"/>
    <cellStyle name="注释 2 21 2 2 4" xfId="38994"/>
    <cellStyle name="注释 2 21 2 3" xfId="16965"/>
    <cellStyle name="注释 2 21 2 3 2" xfId="8939"/>
    <cellStyle name="注释 2 21 2 3 2 2" xfId="38997"/>
    <cellStyle name="注释 2 21 2 3 3" xfId="22989"/>
    <cellStyle name="注释 2 21 2 3 4" xfId="38996"/>
    <cellStyle name="注释 2 21 2 4" xfId="18525"/>
    <cellStyle name="注释 2 21 2 4 2" xfId="38998"/>
    <cellStyle name="注释 2 21 2 5" xfId="22987"/>
    <cellStyle name="注释 2 21 2 6" xfId="38993"/>
    <cellStyle name="注释 2 21 3" xfId="16966"/>
    <cellStyle name="注释 2 21 3 2" xfId="8940"/>
    <cellStyle name="注释 2 21 3 2 2" xfId="39000"/>
    <cellStyle name="注释 2 21 3 3" xfId="22990"/>
    <cellStyle name="注释 2 21 3 4" xfId="38999"/>
    <cellStyle name="注释 2 21 4" xfId="16967"/>
    <cellStyle name="注释 2 21 4 2" xfId="8941"/>
    <cellStyle name="注释 2 21 4 2 2" xfId="39002"/>
    <cellStyle name="注释 2 21 4 3" xfId="22991"/>
    <cellStyle name="注释 2 21 4 4" xfId="39001"/>
    <cellStyle name="注释 2 21 5" xfId="21876"/>
    <cellStyle name="注释 2 21 5 2" xfId="39003"/>
    <cellStyle name="注释 2 21 6" xfId="38992"/>
    <cellStyle name="注释 2 22" xfId="10688"/>
    <cellStyle name="注释 2 22 2" xfId="16968"/>
    <cellStyle name="注释 2 22 2 2" xfId="16969"/>
    <cellStyle name="注释 2 22 2 2 2" xfId="20556"/>
    <cellStyle name="注释 2 22 2 2 2 2" xfId="39007"/>
    <cellStyle name="注释 2 22 2 2 3" xfId="22993"/>
    <cellStyle name="注释 2 22 2 2 4" xfId="39006"/>
    <cellStyle name="注释 2 22 2 3" xfId="16970"/>
    <cellStyle name="注释 2 22 2 3 2" xfId="8943"/>
    <cellStyle name="注释 2 22 2 3 2 2" xfId="39009"/>
    <cellStyle name="注释 2 22 2 3 3" xfId="22994"/>
    <cellStyle name="注释 2 22 2 3 4" xfId="39008"/>
    <cellStyle name="注释 2 22 2 4" xfId="8942"/>
    <cellStyle name="注释 2 22 2 4 2" xfId="39010"/>
    <cellStyle name="注释 2 22 2 5" xfId="22992"/>
    <cellStyle name="注释 2 22 2 6" xfId="39005"/>
    <cellStyle name="注释 2 22 3" xfId="16971"/>
    <cellStyle name="注释 2 22 3 2" xfId="8944"/>
    <cellStyle name="注释 2 22 3 2 2" xfId="39012"/>
    <cellStyle name="注释 2 22 3 3" xfId="22995"/>
    <cellStyle name="注释 2 22 3 4" xfId="39011"/>
    <cellStyle name="注释 2 22 4" xfId="16972"/>
    <cellStyle name="注释 2 22 4 2" xfId="8945"/>
    <cellStyle name="注释 2 22 4 2 2" xfId="39014"/>
    <cellStyle name="注释 2 22 4 3" xfId="22996"/>
    <cellStyle name="注释 2 22 4 4" xfId="39013"/>
    <cellStyle name="注释 2 22 5" xfId="21877"/>
    <cellStyle name="注释 2 22 5 2" xfId="39015"/>
    <cellStyle name="注释 2 22 6" xfId="39004"/>
    <cellStyle name="注释 2 23" xfId="10689"/>
    <cellStyle name="注释 2 23 2" xfId="16973"/>
    <cellStyle name="注释 2 23 2 2" xfId="16974"/>
    <cellStyle name="注释 2 23 2 2 2" xfId="8947"/>
    <cellStyle name="注释 2 23 2 2 2 2" xfId="39019"/>
    <cellStyle name="注释 2 23 2 2 3" xfId="22998"/>
    <cellStyle name="注释 2 23 2 2 4" xfId="39018"/>
    <cellStyle name="注释 2 23 2 3" xfId="8946"/>
    <cellStyle name="注释 2 23 2 3 2" xfId="39020"/>
    <cellStyle name="注释 2 23 2 4" xfId="22997"/>
    <cellStyle name="注释 2 23 2 5" xfId="39017"/>
    <cellStyle name="注释 2 23 3" xfId="16975"/>
    <cellStyle name="注释 2 23 3 2" xfId="20555"/>
    <cellStyle name="注释 2 23 3 2 2" xfId="39022"/>
    <cellStyle name="注释 2 23 3 3" xfId="22999"/>
    <cellStyle name="注释 2 23 3 4" xfId="39021"/>
    <cellStyle name="注释 2 23 4" xfId="18859"/>
    <cellStyle name="注释 2 23 4 2" xfId="39023"/>
    <cellStyle name="注释 2 23 5" xfId="39016"/>
    <cellStyle name="注释 2 24" xfId="16976"/>
    <cellStyle name="注释 2 24 2" xfId="16977"/>
    <cellStyle name="注释 2 24 2 2" xfId="8949"/>
    <cellStyle name="注释 2 24 2 2 2" xfId="39026"/>
    <cellStyle name="注释 2 24 2 3" xfId="23001"/>
    <cellStyle name="注释 2 24 2 4" xfId="39025"/>
    <cellStyle name="注释 2 24 3" xfId="16978"/>
    <cellStyle name="注释 2 24 3 2" xfId="8950"/>
    <cellStyle name="注释 2 24 3 2 2" xfId="39028"/>
    <cellStyle name="注释 2 24 3 3" xfId="23002"/>
    <cellStyle name="注释 2 24 3 4" xfId="39027"/>
    <cellStyle name="注释 2 24 4" xfId="8948"/>
    <cellStyle name="注释 2 24 4 2" xfId="39029"/>
    <cellStyle name="注释 2 24 5" xfId="23000"/>
    <cellStyle name="注释 2 24 6" xfId="39024"/>
    <cellStyle name="注释 2 25" xfId="16979"/>
    <cellStyle name="注释 2 25 2" xfId="8951"/>
    <cellStyle name="注释 2 25 2 2" xfId="39031"/>
    <cellStyle name="注释 2 25 3" xfId="23003"/>
    <cellStyle name="注释 2 25 4" xfId="39030"/>
    <cellStyle name="注释 2 26" xfId="16980"/>
    <cellStyle name="注释 2 26 2" xfId="8952"/>
    <cellStyle name="注释 2 26 2 2" xfId="39033"/>
    <cellStyle name="注释 2 26 3" xfId="23004"/>
    <cellStyle name="注释 2 26 4" xfId="39032"/>
    <cellStyle name="注释 2 27" xfId="10538"/>
    <cellStyle name="注释 2 27 2" xfId="39035"/>
    <cellStyle name="注释 2 27 3" xfId="39034"/>
    <cellStyle name="注释 2 28" xfId="21777"/>
    <cellStyle name="注释 2 28 2" xfId="39037"/>
    <cellStyle name="注释 2 28 3" xfId="39036"/>
    <cellStyle name="注释 2 29" xfId="39038"/>
    <cellStyle name="注释 2 3" xfId="5488"/>
    <cellStyle name="注释 2 3 10" xfId="17859"/>
    <cellStyle name="注释 2 3 10 2" xfId="39040"/>
    <cellStyle name="注释 2 3 11" xfId="39039"/>
    <cellStyle name="注释 2 3 2" xfId="5489"/>
    <cellStyle name="注释 2 3 2 2" xfId="16981"/>
    <cellStyle name="注释 2 3 2 2 2" xfId="16982"/>
    <cellStyle name="注释 2 3 2 2 2 2" xfId="8954"/>
    <cellStyle name="注释 2 3 2 2 2 2 2" xfId="39044"/>
    <cellStyle name="注释 2 3 2 2 2 3" xfId="23006"/>
    <cellStyle name="注释 2 3 2 2 2 4" xfId="39043"/>
    <cellStyle name="注释 2 3 2 2 3" xfId="16983"/>
    <cellStyle name="注释 2 3 2 2 3 2" xfId="8955"/>
    <cellStyle name="注释 2 3 2 2 3 2 2" xfId="39046"/>
    <cellStyle name="注释 2 3 2 2 3 3" xfId="23007"/>
    <cellStyle name="注释 2 3 2 2 3 4" xfId="39045"/>
    <cellStyle name="注释 2 3 2 2 4" xfId="8953"/>
    <cellStyle name="注释 2 3 2 2 4 2" xfId="39047"/>
    <cellStyle name="注释 2 3 2 2 5" xfId="23005"/>
    <cellStyle name="注释 2 3 2 2 6" xfId="39042"/>
    <cellStyle name="注释 2 3 2 3" xfId="16984"/>
    <cellStyle name="注释 2 3 2 3 2" xfId="8956"/>
    <cellStyle name="注释 2 3 2 3 2 2" xfId="39049"/>
    <cellStyle name="注释 2 3 2 3 3" xfId="23008"/>
    <cellStyle name="注释 2 3 2 3 4" xfId="39048"/>
    <cellStyle name="注释 2 3 2 4" xfId="16985"/>
    <cellStyle name="注释 2 3 2 4 2" xfId="8957"/>
    <cellStyle name="注释 2 3 2 4 2 2" xfId="39051"/>
    <cellStyle name="注释 2 3 2 4 3" xfId="23009"/>
    <cellStyle name="注释 2 3 2 4 4" xfId="39050"/>
    <cellStyle name="注释 2 3 2 5" xfId="10691"/>
    <cellStyle name="注释 2 3 2 5 2" xfId="39052"/>
    <cellStyle name="注释 2 3 2 6" xfId="21878"/>
    <cellStyle name="注释 2 3 2 7" xfId="39041"/>
    <cellStyle name="注释 2 3 3" xfId="10692"/>
    <cellStyle name="注释 2 3 3 2" xfId="16986"/>
    <cellStyle name="注释 2 3 3 2 2" xfId="16987"/>
    <cellStyle name="注释 2 3 3 2 2 2" xfId="20553"/>
    <cellStyle name="注释 2 3 3 2 2 2 2" xfId="39056"/>
    <cellStyle name="注释 2 3 3 2 2 3" xfId="23011"/>
    <cellStyle name="注释 2 3 3 2 2 4" xfId="39055"/>
    <cellStyle name="注释 2 3 3 2 3" xfId="16988"/>
    <cellStyle name="注释 2 3 3 2 3 2" xfId="8958"/>
    <cellStyle name="注释 2 3 3 2 3 2 2" xfId="39058"/>
    <cellStyle name="注释 2 3 3 2 3 3" xfId="23012"/>
    <cellStyle name="注释 2 3 3 2 3 4" xfId="39057"/>
    <cellStyle name="注释 2 3 3 2 4" xfId="20554"/>
    <cellStyle name="注释 2 3 3 2 4 2" xfId="39059"/>
    <cellStyle name="注释 2 3 3 2 5" xfId="23010"/>
    <cellStyle name="注释 2 3 3 2 6" xfId="39054"/>
    <cellStyle name="注释 2 3 3 3" xfId="16989"/>
    <cellStyle name="注释 2 3 3 3 2" xfId="8959"/>
    <cellStyle name="注释 2 3 3 3 2 2" xfId="39061"/>
    <cellStyle name="注释 2 3 3 3 3" xfId="23013"/>
    <cellStyle name="注释 2 3 3 3 4" xfId="39060"/>
    <cellStyle name="注释 2 3 3 4" xfId="16990"/>
    <cellStyle name="注释 2 3 3 4 2" xfId="8960"/>
    <cellStyle name="注释 2 3 3 4 2 2" xfId="39063"/>
    <cellStyle name="注释 2 3 3 4 3" xfId="23014"/>
    <cellStyle name="注释 2 3 3 4 4" xfId="39062"/>
    <cellStyle name="注释 2 3 3 5" xfId="21879"/>
    <cellStyle name="注释 2 3 3 5 2" xfId="39064"/>
    <cellStyle name="注释 2 3 3 6" xfId="39053"/>
    <cellStyle name="注释 2 3 4" xfId="10693"/>
    <cellStyle name="注释 2 3 4 2" xfId="16991"/>
    <cellStyle name="注释 2 3 4 2 2" xfId="16992"/>
    <cellStyle name="注释 2 3 4 2 2 2" xfId="8962"/>
    <cellStyle name="注释 2 3 4 2 2 2 2" xfId="39068"/>
    <cellStyle name="注释 2 3 4 2 2 3" xfId="23016"/>
    <cellStyle name="注释 2 3 4 2 2 4" xfId="39067"/>
    <cellStyle name="注释 2 3 4 2 3" xfId="16993"/>
    <cellStyle name="注释 2 3 4 2 3 2" xfId="20552"/>
    <cellStyle name="注释 2 3 4 2 3 2 2" xfId="39070"/>
    <cellStyle name="注释 2 3 4 2 3 3" xfId="23017"/>
    <cellStyle name="注释 2 3 4 2 3 4" xfId="39069"/>
    <cellStyle name="注释 2 3 4 2 4" xfId="8961"/>
    <cellStyle name="注释 2 3 4 2 4 2" xfId="39071"/>
    <cellStyle name="注释 2 3 4 2 5" xfId="23015"/>
    <cellStyle name="注释 2 3 4 2 6" xfId="39066"/>
    <cellStyle name="注释 2 3 4 3" xfId="16994"/>
    <cellStyle name="注释 2 3 4 3 2" xfId="8963"/>
    <cellStyle name="注释 2 3 4 3 2 2" xfId="39073"/>
    <cellStyle name="注释 2 3 4 3 3" xfId="23018"/>
    <cellStyle name="注释 2 3 4 3 4" xfId="39072"/>
    <cellStyle name="注释 2 3 4 4" xfId="16995"/>
    <cellStyle name="注释 2 3 4 4 2" xfId="8964"/>
    <cellStyle name="注释 2 3 4 4 2 2" xfId="39075"/>
    <cellStyle name="注释 2 3 4 4 3" xfId="23019"/>
    <cellStyle name="注释 2 3 4 4 4" xfId="39074"/>
    <cellStyle name="注释 2 3 4 5" xfId="21880"/>
    <cellStyle name="注释 2 3 4 5 2" xfId="39076"/>
    <cellStyle name="注释 2 3 4 6" xfId="39065"/>
    <cellStyle name="注释 2 3 5" xfId="10694"/>
    <cellStyle name="注释 2 3 5 2" xfId="16996"/>
    <cellStyle name="注释 2 3 5 2 2" xfId="16997"/>
    <cellStyle name="注释 2 3 5 2 2 2" xfId="8966"/>
    <cellStyle name="注释 2 3 5 2 2 2 2" xfId="39080"/>
    <cellStyle name="注释 2 3 5 2 2 3" xfId="23021"/>
    <cellStyle name="注释 2 3 5 2 2 4" xfId="39079"/>
    <cellStyle name="注释 2 3 5 2 3" xfId="16998"/>
    <cellStyle name="注释 2 3 5 2 3 2" xfId="8967"/>
    <cellStyle name="注释 2 3 5 2 3 2 2" xfId="39082"/>
    <cellStyle name="注释 2 3 5 2 3 3" xfId="23022"/>
    <cellStyle name="注释 2 3 5 2 3 4" xfId="39081"/>
    <cellStyle name="注释 2 3 5 2 4" xfId="8965"/>
    <cellStyle name="注释 2 3 5 2 4 2" xfId="39083"/>
    <cellStyle name="注释 2 3 5 2 5" xfId="23020"/>
    <cellStyle name="注释 2 3 5 2 6" xfId="39078"/>
    <cellStyle name="注释 2 3 5 3" xfId="16999"/>
    <cellStyle name="注释 2 3 5 3 2" xfId="18524"/>
    <cellStyle name="注释 2 3 5 3 2 2" xfId="39085"/>
    <cellStyle name="注释 2 3 5 3 3" xfId="23023"/>
    <cellStyle name="注释 2 3 5 3 4" xfId="39084"/>
    <cellStyle name="注释 2 3 5 4" xfId="17000"/>
    <cellStyle name="注释 2 3 5 4 2" xfId="8968"/>
    <cellStyle name="注释 2 3 5 4 2 2" xfId="39087"/>
    <cellStyle name="注释 2 3 5 4 3" xfId="23024"/>
    <cellStyle name="注释 2 3 5 4 4" xfId="39086"/>
    <cellStyle name="注释 2 3 5 5" xfId="21881"/>
    <cellStyle name="注释 2 3 5 5 2" xfId="39088"/>
    <cellStyle name="注释 2 3 5 6" xfId="39077"/>
    <cellStyle name="注释 2 3 6" xfId="17001"/>
    <cellStyle name="注释 2 3 6 2" xfId="17002"/>
    <cellStyle name="注释 2 3 6 2 2" xfId="8970"/>
    <cellStyle name="注释 2 3 6 2 2 2" xfId="39091"/>
    <cellStyle name="注释 2 3 6 2 3" xfId="23026"/>
    <cellStyle name="注释 2 3 6 2 4" xfId="39090"/>
    <cellStyle name="注释 2 3 6 3" xfId="17003"/>
    <cellStyle name="注释 2 3 6 3 2" xfId="8971"/>
    <cellStyle name="注释 2 3 6 3 2 2" xfId="39093"/>
    <cellStyle name="注释 2 3 6 3 3" xfId="23027"/>
    <cellStyle name="注释 2 3 6 3 4" xfId="39092"/>
    <cellStyle name="注释 2 3 6 4" xfId="8969"/>
    <cellStyle name="注释 2 3 6 4 2" xfId="39094"/>
    <cellStyle name="注释 2 3 6 5" xfId="23025"/>
    <cellStyle name="注释 2 3 6 6" xfId="39089"/>
    <cellStyle name="注释 2 3 7" xfId="17004"/>
    <cellStyle name="注释 2 3 7 2" xfId="8972"/>
    <cellStyle name="注释 2 3 7 2 2" xfId="39096"/>
    <cellStyle name="注释 2 3 7 3" xfId="23028"/>
    <cellStyle name="注释 2 3 7 4" xfId="39095"/>
    <cellStyle name="注释 2 3 8" xfId="17005"/>
    <cellStyle name="注释 2 3 8 2" xfId="20551"/>
    <cellStyle name="注释 2 3 8 2 2" xfId="39098"/>
    <cellStyle name="注释 2 3 8 3" xfId="23029"/>
    <cellStyle name="注释 2 3 8 4" xfId="39097"/>
    <cellStyle name="注释 2 3 9" xfId="10690"/>
    <cellStyle name="注释 2 3 9 2" xfId="39099"/>
    <cellStyle name="注释 2 30" xfId="39100"/>
    <cellStyle name="注释 2 31" xfId="37216"/>
    <cellStyle name="注释 2 32" xfId="770"/>
    <cellStyle name="注释 2 33" xfId="61112"/>
    <cellStyle name="注释 2 4" xfId="10695"/>
    <cellStyle name="注释 2 4 10" xfId="39101"/>
    <cellStyle name="注释 2 4 2" xfId="10696"/>
    <cellStyle name="注释 2 4 2 2" xfId="17006"/>
    <cellStyle name="注释 2 4 2 2 2" xfId="17007"/>
    <cellStyle name="注释 2 4 2 2 2 2" xfId="8974"/>
    <cellStyle name="注释 2 4 2 2 2 2 2" xfId="39105"/>
    <cellStyle name="注释 2 4 2 2 2 3" xfId="23031"/>
    <cellStyle name="注释 2 4 2 2 2 4" xfId="39104"/>
    <cellStyle name="注释 2 4 2 2 3" xfId="17008"/>
    <cellStyle name="注释 2 4 2 2 3 2" xfId="8975"/>
    <cellStyle name="注释 2 4 2 2 3 2 2" xfId="39107"/>
    <cellStyle name="注释 2 4 2 2 3 3" xfId="23032"/>
    <cellStyle name="注释 2 4 2 2 3 4" xfId="39106"/>
    <cellStyle name="注释 2 4 2 2 4" xfId="8973"/>
    <cellStyle name="注释 2 4 2 2 4 2" xfId="39108"/>
    <cellStyle name="注释 2 4 2 2 5" xfId="23030"/>
    <cellStyle name="注释 2 4 2 2 6" xfId="39103"/>
    <cellStyle name="注释 2 4 2 3" xfId="17009"/>
    <cellStyle name="注释 2 4 2 3 2" xfId="8976"/>
    <cellStyle name="注释 2 4 2 3 2 2" xfId="39110"/>
    <cellStyle name="注释 2 4 2 3 3" xfId="23033"/>
    <cellStyle name="注释 2 4 2 3 4" xfId="39109"/>
    <cellStyle name="注释 2 4 2 4" xfId="17010"/>
    <cellStyle name="注释 2 4 2 4 2" xfId="8977"/>
    <cellStyle name="注释 2 4 2 4 2 2" xfId="39112"/>
    <cellStyle name="注释 2 4 2 4 3" xfId="23034"/>
    <cellStyle name="注释 2 4 2 4 4" xfId="39111"/>
    <cellStyle name="注释 2 4 2 5" xfId="17860"/>
    <cellStyle name="注释 2 4 2 5 2" xfId="39113"/>
    <cellStyle name="注释 2 4 2 6" xfId="39102"/>
    <cellStyle name="注释 2 4 3" xfId="10697"/>
    <cellStyle name="注释 2 4 3 2" xfId="17011"/>
    <cellStyle name="注释 2 4 3 2 2" xfId="17012"/>
    <cellStyle name="注释 2 4 3 2 2 2" xfId="8979"/>
    <cellStyle name="注释 2 4 3 2 2 2 2" xfId="39117"/>
    <cellStyle name="注释 2 4 3 2 2 3" xfId="23036"/>
    <cellStyle name="注释 2 4 3 2 2 4" xfId="39116"/>
    <cellStyle name="注释 2 4 3 2 3" xfId="17013"/>
    <cellStyle name="注释 2 4 3 2 3 2" xfId="8980"/>
    <cellStyle name="注释 2 4 3 2 3 2 2" xfId="39119"/>
    <cellStyle name="注释 2 4 3 2 3 3" xfId="23037"/>
    <cellStyle name="注释 2 4 3 2 3 4" xfId="39118"/>
    <cellStyle name="注释 2 4 3 2 4" xfId="8978"/>
    <cellStyle name="注释 2 4 3 2 4 2" xfId="39120"/>
    <cellStyle name="注释 2 4 3 2 5" xfId="23035"/>
    <cellStyle name="注释 2 4 3 2 6" xfId="39115"/>
    <cellStyle name="注释 2 4 3 3" xfId="17014"/>
    <cellStyle name="注释 2 4 3 3 2" xfId="8981"/>
    <cellStyle name="注释 2 4 3 3 2 2" xfId="39122"/>
    <cellStyle name="注释 2 4 3 3 3" xfId="23038"/>
    <cellStyle name="注释 2 4 3 3 4" xfId="39121"/>
    <cellStyle name="注释 2 4 3 4" xfId="17015"/>
    <cellStyle name="注释 2 4 3 4 2" xfId="8982"/>
    <cellStyle name="注释 2 4 3 4 2 2" xfId="39124"/>
    <cellStyle name="注释 2 4 3 4 3" xfId="23039"/>
    <cellStyle name="注释 2 4 3 4 4" xfId="39123"/>
    <cellStyle name="注释 2 4 3 5" xfId="18860"/>
    <cellStyle name="注释 2 4 3 5 2" xfId="39125"/>
    <cellStyle name="注释 2 4 3 6" xfId="39114"/>
    <cellStyle name="注释 2 4 4" xfId="10698"/>
    <cellStyle name="注释 2 4 4 2" xfId="17016"/>
    <cellStyle name="注释 2 4 4 2 2" xfId="17017"/>
    <cellStyle name="注释 2 4 4 2 2 2" xfId="20549"/>
    <cellStyle name="注释 2 4 4 2 2 2 2" xfId="39129"/>
    <cellStyle name="注释 2 4 4 2 2 3" xfId="23041"/>
    <cellStyle name="注释 2 4 4 2 2 4" xfId="39128"/>
    <cellStyle name="注释 2 4 4 2 3" xfId="17018"/>
    <cellStyle name="注释 2 4 4 2 3 2" xfId="8983"/>
    <cellStyle name="注释 2 4 4 2 3 2 2" xfId="39131"/>
    <cellStyle name="注释 2 4 4 2 3 3" xfId="23042"/>
    <cellStyle name="注释 2 4 4 2 3 4" xfId="39130"/>
    <cellStyle name="注释 2 4 4 2 4" xfId="20550"/>
    <cellStyle name="注释 2 4 4 2 4 2" xfId="39132"/>
    <cellStyle name="注释 2 4 4 2 5" xfId="23040"/>
    <cellStyle name="注释 2 4 4 2 6" xfId="39127"/>
    <cellStyle name="注释 2 4 4 3" xfId="17019"/>
    <cellStyle name="注释 2 4 4 3 2" xfId="8984"/>
    <cellStyle name="注释 2 4 4 3 2 2" xfId="39134"/>
    <cellStyle name="注释 2 4 4 3 3" xfId="23043"/>
    <cellStyle name="注释 2 4 4 3 4" xfId="39133"/>
    <cellStyle name="注释 2 4 4 4" xfId="17020"/>
    <cellStyle name="注释 2 4 4 4 2" xfId="8985"/>
    <cellStyle name="注释 2 4 4 4 2 2" xfId="39136"/>
    <cellStyle name="注释 2 4 4 4 3" xfId="23044"/>
    <cellStyle name="注释 2 4 4 4 4" xfId="39135"/>
    <cellStyle name="注释 2 4 4 5" xfId="21883"/>
    <cellStyle name="注释 2 4 4 5 2" xfId="39137"/>
    <cellStyle name="注释 2 4 4 6" xfId="39126"/>
    <cellStyle name="注释 2 4 5" xfId="10699"/>
    <cellStyle name="注释 2 4 5 2" xfId="17021"/>
    <cellStyle name="注释 2 4 5 2 2" xfId="17022"/>
    <cellStyle name="注释 2 4 5 2 2 2" xfId="8987"/>
    <cellStyle name="注释 2 4 5 2 2 2 2" xfId="39141"/>
    <cellStyle name="注释 2 4 5 2 2 3" xfId="23046"/>
    <cellStyle name="注释 2 4 5 2 2 4" xfId="39140"/>
    <cellStyle name="注释 2 4 5 2 3" xfId="17023"/>
    <cellStyle name="注释 2 4 5 2 3 2" xfId="20548"/>
    <cellStyle name="注释 2 4 5 2 3 2 2" xfId="39143"/>
    <cellStyle name="注释 2 4 5 2 3 3" xfId="23047"/>
    <cellStyle name="注释 2 4 5 2 3 4" xfId="39142"/>
    <cellStyle name="注释 2 4 5 2 4" xfId="8986"/>
    <cellStyle name="注释 2 4 5 2 4 2" xfId="39144"/>
    <cellStyle name="注释 2 4 5 2 5" xfId="23045"/>
    <cellStyle name="注释 2 4 5 2 6" xfId="39139"/>
    <cellStyle name="注释 2 4 5 3" xfId="17024"/>
    <cellStyle name="注释 2 4 5 3 2" xfId="8988"/>
    <cellStyle name="注释 2 4 5 3 2 2" xfId="39146"/>
    <cellStyle name="注释 2 4 5 3 3" xfId="23048"/>
    <cellStyle name="注释 2 4 5 3 4" xfId="39145"/>
    <cellStyle name="注释 2 4 5 4" xfId="17025"/>
    <cellStyle name="注释 2 4 5 4 2" xfId="8989"/>
    <cellStyle name="注释 2 4 5 4 2 2" xfId="39148"/>
    <cellStyle name="注释 2 4 5 4 3" xfId="23049"/>
    <cellStyle name="注释 2 4 5 4 4" xfId="39147"/>
    <cellStyle name="注释 2 4 5 5" xfId="21884"/>
    <cellStyle name="注释 2 4 5 5 2" xfId="39149"/>
    <cellStyle name="注释 2 4 5 6" xfId="39138"/>
    <cellStyle name="注释 2 4 6" xfId="17026"/>
    <cellStyle name="注释 2 4 6 2" xfId="17027"/>
    <cellStyle name="注释 2 4 6 2 2" xfId="8991"/>
    <cellStyle name="注释 2 4 6 2 2 2" xfId="39152"/>
    <cellStyle name="注释 2 4 6 2 3" xfId="23051"/>
    <cellStyle name="注释 2 4 6 2 4" xfId="39151"/>
    <cellStyle name="注释 2 4 6 3" xfId="17028"/>
    <cellStyle name="注释 2 4 6 3 2" xfId="8992"/>
    <cellStyle name="注释 2 4 6 3 2 2" xfId="39154"/>
    <cellStyle name="注释 2 4 6 3 3" xfId="23052"/>
    <cellStyle name="注释 2 4 6 3 4" xfId="39153"/>
    <cellStyle name="注释 2 4 6 4" xfId="8990"/>
    <cellStyle name="注释 2 4 6 4 2" xfId="39155"/>
    <cellStyle name="注释 2 4 6 5" xfId="23050"/>
    <cellStyle name="注释 2 4 6 6" xfId="39150"/>
    <cellStyle name="注释 2 4 7" xfId="17029"/>
    <cellStyle name="注释 2 4 7 2" xfId="20547"/>
    <cellStyle name="注释 2 4 7 2 2" xfId="39157"/>
    <cellStyle name="注释 2 4 7 3" xfId="23053"/>
    <cellStyle name="注释 2 4 7 4" xfId="39156"/>
    <cellStyle name="注释 2 4 8" xfId="17030"/>
    <cellStyle name="注释 2 4 8 2" xfId="8993"/>
    <cellStyle name="注释 2 4 8 2 2" xfId="39159"/>
    <cellStyle name="注释 2 4 8 3" xfId="23054"/>
    <cellStyle name="注释 2 4 8 4" xfId="39158"/>
    <cellStyle name="注释 2 4 9" xfId="21882"/>
    <cellStyle name="注释 2 4 9 2" xfId="39160"/>
    <cellStyle name="注释 2 5" xfId="10700"/>
    <cellStyle name="注释 2 5 10" xfId="39161"/>
    <cellStyle name="注释 2 5 2" xfId="10701"/>
    <cellStyle name="注释 2 5 2 2" xfId="17031"/>
    <cellStyle name="注释 2 5 2 2 2" xfId="17032"/>
    <cellStyle name="注释 2 5 2 2 2 2" xfId="8995"/>
    <cellStyle name="注释 2 5 2 2 2 2 2" xfId="39165"/>
    <cellStyle name="注释 2 5 2 2 2 3" xfId="23056"/>
    <cellStyle name="注释 2 5 2 2 2 4" xfId="39164"/>
    <cellStyle name="注释 2 5 2 2 3" xfId="17033"/>
    <cellStyle name="注释 2 5 2 2 3 2" xfId="8996"/>
    <cellStyle name="注释 2 5 2 2 3 2 2" xfId="39167"/>
    <cellStyle name="注释 2 5 2 2 3 3" xfId="23057"/>
    <cellStyle name="注释 2 5 2 2 3 4" xfId="39166"/>
    <cellStyle name="注释 2 5 2 2 4" xfId="8994"/>
    <cellStyle name="注释 2 5 2 2 4 2" xfId="39168"/>
    <cellStyle name="注释 2 5 2 2 5" xfId="23055"/>
    <cellStyle name="注释 2 5 2 2 6" xfId="39163"/>
    <cellStyle name="注释 2 5 2 3" xfId="17034"/>
    <cellStyle name="注释 2 5 2 3 2" xfId="8997"/>
    <cellStyle name="注释 2 5 2 3 2 2" xfId="39170"/>
    <cellStyle name="注释 2 5 2 3 3" xfId="23058"/>
    <cellStyle name="注释 2 5 2 3 4" xfId="39169"/>
    <cellStyle name="注释 2 5 2 4" xfId="17035"/>
    <cellStyle name="注释 2 5 2 4 2" xfId="18523"/>
    <cellStyle name="注释 2 5 2 4 2 2" xfId="39172"/>
    <cellStyle name="注释 2 5 2 4 3" xfId="23059"/>
    <cellStyle name="注释 2 5 2 4 4" xfId="39171"/>
    <cellStyle name="注释 2 5 2 5" xfId="21886"/>
    <cellStyle name="注释 2 5 2 5 2" xfId="39173"/>
    <cellStyle name="注释 2 5 2 6" xfId="39162"/>
    <cellStyle name="注释 2 5 3" xfId="10702"/>
    <cellStyle name="注释 2 5 3 2" xfId="17036"/>
    <cellStyle name="注释 2 5 3 2 2" xfId="17037"/>
    <cellStyle name="注释 2 5 3 2 2 2" xfId="8999"/>
    <cellStyle name="注释 2 5 3 2 2 2 2" xfId="39177"/>
    <cellStyle name="注释 2 5 3 2 2 3" xfId="23061"/>
    <cellStyle name="注释 2 5 3 2 2 4" xfId="39176"/>
    <cellStyle name="注释 2 5 3 2 3" xfId="17038"/>
    <cellStyle name="注释 2 5 3 2 3 2" xfId="9000"/>
    <cellStyle name="注释 2 5 3 2 3 2 2" xfId="39179"/>
    <cellStyle name="注释 2 5 3 2 3 3" xfId="23062"/>
    <cellStyle name="注释 2 5 3 2 3 4" xfId="39178"/>
    <cellStyle name="注释 2 5 3 2 4" xfId="8998"/>
    <cellStyle name="注释 2 5 3 2 4 2" xfId="39180"/>
    <cellStyle name="注释 2 5 3 2 5" xfId="23060"/>
    <cellStyle name="注释 2 5 3 2 6" xfId="39175"/>
    <cellStyle name="注释 2 5 3 3" xfId="17039"/>
    <cellStyle name="注释 2 5 3 3 2" xfId="9001"/>
    <cellStyle name="注释 2 5 3 3 2 2" xfId="39182"/>
    <cellStyle name="注释 2 5 3 3 3" xfId="23063"/>
    <cellStyle name="注释 2 5 3 3 4" xfId="39181"/>
    <cellStyle name="注释 2 5 3 4" xfId="17040"/>
    <cellStyle name="注释 2 5 3 4 2" xfId="9002"/>
    <cellStyle name="注释 2 5 3 4 2 2" xfId="39184"/>
    <cellStyle name="注释 2 5 3 4 3" xfId="23064"/>
    <cellStyle name="注释 2 5 3 4 4" xfId="39183"/>
    <cellStyle name="注释 2 5 3 5" xfId="21887"/>
    <cellStyle name="注释 2 5 3 5 2" xfId="39185"/>
    <cellStyle name="注释 2 5 3 6" xfId="39174"/>
    <cellStyle name="注释 2 5 4" xfId="10703"/>
    <cellStyle name="注释 2 5 4 2" xfId="17041"/>
    <cellStyle name="注释 2 5 4 2 2" xfId="17042"/>
    <cellStyle name="注释 2 5 4 2 2 2" xfId="9004"/>
    <cellStyle name="注释 2 5 4 2 2 2 2" xfId="39189"/>
    <cellStyle name="注释 2 5 4 2 2 3" xfId="23066"/>
    <cellStyle name="注释 2 5 4 2 2 4" xfId="39188"/>
    <cellStyle name="注释 2 5 4 2 3" xfId="17043"/>
    <cellStyle name="注释 2 5 4 2 3 2" xfId="9005"/>
    <cellStyle name="注释 2 5 4 2 3 2 2" xfId="39191"/>
    <cellStyle name="注释 2 5 4 2 3 3" xfId="23067"/>
    <cellStyle name="注释 2 5 4 2 3 4" xfId="39190"/>
    <cellStyle name="注释 2 5 4 2 4" xfId="9003"/>
    <cellStyle name="注释 2 5 4 2 4 2" xfId="39192"/>
    <cellStyle name="注释 2 5 4 2 5" xfId="23065"/>
    <cellStyle name="注释 2 5 4 2 6" xfId="39187"/>
    <cellStyle name="注释 2 5 4 3" xfId="17044"/>
    <cellStyle name="注释 2 5 4 3 2" xfId="9006"/>
    <cellStyle name="注释 2 5 4 3 2 2" xfId="39194"/>
    <cellStyle name="注释 2 5 4 3 3" xfId="23068"/>
    <cellStyle name="注释 2 5 4 3 4" xfId="39193"/>
    <cellStyle name="注释 2 5 4 4" xfId="17045"/>
    <cellStyle name="注释 2 5 4 4 2" xfId="9007"/>
    <cellStyle name="注释 2 5 4 4 2 2" xfId="39196"/>
    <cellStyle name="注释 2 5 4 4 3" xfId="23069"/>
    <cellStyle name="注释 2 5 4 4 4" xfId="39195"/>
    <cellStyle name="注释 2 5 4 5" xfId="21888"/>
    <cellStyle name="注释 2 5 4 5 2" xfId="39197"/>
    <cellStyle name="注释 2 5 4 6" xfId="39186"/>
    <cellStyle name="注释 2 5 5" xfId="10704"/>
    <cellStyle name="注释 2 5 5 2" xfId="17046"/>
    <cellStyle name="注释 2 5 5 2 2" xfId="17047"/>
    <cellStyle name="注释 2 5 5 2 2 2" xfId="20546"/>
    <cellStyle name="注释 2 5 5 2 2 2 2" xfId="39201"/>
    <cellStyle name="注释 2 5 5 2 2 3" xfId="23071"/>
    <cellStyle name="注释 2 5 5 2 2 4" xfId="39200"/>
    <cellStyle name="注释 2 5 5 2 3" xfId="17048"/>
    <cellStyle name="注释 2 5 5 2 3 2" xfId="9008"/>
    <cellStyle name="注释 2 5 5 2 3 2 2" xfId="39203"/>
    <cellStyle name="注释 2 5 5 2 3 3" xfId="23072"/>
    <cellStyle name="注释 2 5 5 2 3 4" xfId="39202"/>
    <cellStyle name="注释 2 5 5 2 4" xfId="18522"/>
    <cellStyle name="注释 2 5 5 2 4 2" xfId="39204"/>
    <cellStyle name="注释 2 5 5 2 5" xfId="23070"/>
    <cellStyle name="注释 2 5 5 2 6" xfId="39199"/>
    <cellStyle name="注释 2 5 5 3" xfId="17049"/>
    <cellStyle name="注释 2 5 5 3 2" xfId="9009"/>
    <cellStyle name="注释 2 5 5 3 2 2" xfId="39206"/>
    <cellStyle name="注释 2 5 5 3 3" xfId="23073"/>
    <cellStyle name="注释 2 5 5 3 4" xfId="39205"/>
    <cellStyle name="注释 2 5 5 4" xfId="17050"/>
    <cellStyle name="注释 2 5 5 4 2" xfId="9010"/>
    <cellStyle name="注释 2 5 5 4 2 2" xfId="39208"/>
    <cellStyle name="注释 2 5 5 4 3" xfId="23074"/>
    <cellStyle name="注释 2 5 5 4 4" xfId="39207"/>
    <cellStyle name="注释 2 5 5 5" xfId="21889"/>
    <cellStyle name="注释 2 5 5 5 2" xfId="39209"/>
    <cellStyle name="注释 2 5 5 6" xfId="39198"/>
    <cellStyle name="注释 2 5 6" xfId="17051"/>
    <cellStyle name="注释 2 5 6 2" xfId="17052"/>
    <cellStyle name="注释 2 5 6 2 2" xfId="9012"/>
    <cellStyle name="注释 2 5 6 2 2 2" xfId="39212"/>
    <cellStyle name="注释 2 5 6 2 3" xfId="23076"/>
    <cellStyle name="注释 2 5 6 2 4" xfId="39211"/>
    <cellStyle name="注释 2 5 6 3" xfId="17053"/>
    <cellStyle name="注释 2 5 6 3 2" xfId="20545"/>
    <cellStyle name="注释 2 5 6 3 2 2" xfId="39214"/>
    <cellStyle name="注释 2 5 6 3 3" xfId="23077"/>
    <cellStyle name="注释 2 5 6 3 4" xfId="39213"/>
    <cellStyle name="注释 2 5 6 4" xfId="9011"/>
    <cellStyle name="注释 2 5 6 4 2" xfId="39215"/>
    <cellStyle name="注释 2 5 6 5" xfId="23075"/>
    <cellStyle name="注释 2 5 6 6" xfId="39210"/>
    <cellStyle name="注释 2 5 7" xfId="17054"/>
    <cellStyle name="注释 2 5 7 2" xfId="9013"/>
    <cellStyle name="注释 2 5 7 2 2" xfId="39217"/>
    <cellStyle name="注释 2 5 7 3" xfId="23078"/>
    <cellStyle name="注释 2 5 7 4" xfId="39216"/>
    <cellStyle name="注释 2 5 8" xfId="17055"/>
    <cellStyle name="注释 2 5 8 2" xfId="9014"/>
    <cellStyle name="注释 2 5 8 2 2" xfId="39219"/>
    <cellStyle name="注释 2 5 8 3" xfId="23079"/>
    <cellStyle name="注释 2 5 8 4" xfId="39218"/>
    <cellStyle name="注释 2 5 9" xfId="21885"/>
    <cellStyle name="注释 2 5 9 2" xfId="39220"/>
    <cellStyle name="注释 2 6" xfId="10705"/>
    <cellStyle name="注释 2 6 10" xfId="39221"/>
    <cellStyle name="注释 2 6 2" xfId="10706"/>
    <cellStyle name="注释 2 6 2 2" xfId="17056"/>
    <cellStyle name="注释 2 6 2 2 2" xfId="17057"/>
    <cellStyle name="注释 2 6 2 2 2 2" xfId="9016"/>
    <cellStyle name="注释 2 6 2 2 2 2 2" xfId="39225"/>
    <cellStyle name="注释 2 6 2 2 2 3" xfId="23081"/>
    <cellStyle name="注释 2 6 2 2 2 4" xfId="39224"/>
    <cellStyle name="注释 2 6 2 2 3" xfId="17058"/>
    <cellStyle name="注释 2 6 2 2 3 2" xfId="9017"/>
    <cellStyle name="注释 2 6 2 2 3 2 2" xfId="39227"/>
    <cellStyle name="注释 2 6 2 2 3 3" xfId="23082"/>
    <cellStyle name="注释 2 6 2 2 3 4" xfId="39226"/>
    <cellStyle name="注释 2 6 2 2 4" xfId="9015"/>
    <cellStyle name="注释 2 6 2 2 4 2" xfId="39228"/>
    <cellStyle name="注释 2 6 2 2 5" xfId="23080"/>
    <cellStyle name="注释 2 6 2 2 6" xfId="39223"/>
    <cellStyle name="注释 2 6 2 3" xfId="17059"/>
    <cellStyle name="注释 2 6 2 3 2" xfId="20544"/>
    <cellStyle name="注释 2 6 2 3 2 2" xfId="39230"/>
    <cellStyle name="注释 2 6 2 3 3" xfId="23083"/>
    <cellStyle name="注释 2 6 2 3 4" xfId="39229"/>
    <cellStyle name="注释 2 6 2 4" xfId="17060"/>
    <cellStyle name="注释 2 6 2 4 2" xfId="9018"/>
    <cellStyle name="注释 2 6 2 4 2 2" xfId="39232"/>
    <cellStyle name="注释 2 6 2 4 3" xfId="23084"/>
    <cellStyle name="注释 2 6 2 4 4" xfId="39231"/>
    <cellStyle name="注释 2 6 2 5" xfId="21131"/>
    <cellStyle name="注释 2 6 2 5 2" xfId="39233"/>
    <cellStyle name="注释 2 6 2 6" xfId="39222"/>
    <cellStyle name="注释 2 6 3" xfId="10707"/>
    <cellStyle name="注释 2 6 3 2" xfId="17061"/>
    <cellStyle name="注释 2 6 3 2 2" xfId="17062"/>
    <cellStyle name="注释 2 6 3 2 2 2" xfId="9020"/>
    <cellStyle name="注释 2 6 3 2 2 2 2" xfId="39237"/>
    <cellStyle name="注释 2 6 3 2 2 3" xfId="23086"/>
    <cellStyle name="注释 2 6 3 2 2 4" xfId="39236"/>
    <cellStyle name="注释 2 6 3 2 3" xfId="17063"/>
    <cellStyle name="注释 2 6 3 2 3 2" xfId="9021"/>
    <cellStyle name="注释 2 6 3 2 3 2 2" xfId="39239"/>
    <cellStyle name="注释 2 6 3 2 3 3" xfId="23087"/>
    <cellStyle name="注释 2 6 3 2 3 4" xfId="39238"/>
    <cellStyle name="注释 2 6 3 2 4" xfId="9019"/>
    <cellStyle name="注释 2 6 3 2 4 2" xfId="39240"/>
    <cellStyle name="注释 2 6 3 2 5" xfId="23085"/>
    <cellStyle name="注释 2 6 3 2 6" xfId="39235"/>
    <cellStyle name="注释 2 6 3 3" xfId="17064"/>
    <cellStyle name="注释 2 6 3 3 2" xfId="9022"/>
    <cellStyle name="注释 2 6 3 3 2 2" xfId="39242"/>
    <cellStyle name="注释 2 6 3 3 3" xfId="23088"/>
    <cellStyle name="注释 2 6 3 3 4" xfId="39241"/>
    <cellStyle name="注释 2 6 3 4" xfId="17065"/>
    <cellStyle name="注释 2 6 3 4 2" xfId="20543"/>
    <cellStyle name="注释 2 6 3 4 2 2" xfId="39244"/>
    <cellStyle name="注释 2 6 3 4 3" xfId="23089"/>
    <cellStyle name="注释 2 6 3 4 4" xfId="39243"/>
    <cellStyle name="注释 2 6 3 5" xfId="21890"/>
    <cellStyle name="注释 2 6 3 5 2" xfId="39245"/>
    <cellStyle name="注释 2 6 3 6" xfId="39234"/>
    <cellStyle name="注释 2 6 4" xfId="10708"/>
    <cellStyle name="注释 2 6 4 2" xfId="17066"/>
    <cellStyle name="注释 2 6 4 2 2" xfId="17067"/>
    <cellStyle name="注释 2 6 4 2 2 2" xfId="9024"/>
    <cellStyle name="注释 2 6 4 2 2 2 2" xfId="39249"/>
    <cellStyle name="注释 2 6 4 2 2 3" xfId="23091"/>
    <cellStyle name="注释 2 6 4 2 2 4" xfId="39248"/>
    <cellStyle name="注释 2 6 4 2 3" xfId="17068"/>
    <cellStyle name="注释 2 6 4 2 3 2" xfId="9025"/>
    <cellStyle name="注释 2 6 4 2 3 2 2" xfId="39251"/>
    <cellStyle name="注释 2 6 4 2 3 3" xfId="23092"/>
    <cellStyle name="注释 2 6 4 2 3 4" xfId="39250"/>
    <cellStyle name="注释 2 6 4 2 4" xfId="9023"/>
    <cellStyle name="注释 2 6 4 2 4 2" xfId="39252"/>
    <cellStyle name="注释 2 6 4 2 5" xfId="23090"/>
    <cellStyle name="注释 2 6 4 2 6" xfId="39247"/>
    <cellStyle name="注释 2 6 4 3" xfId="17069"/>
    <cellStyle name="注释 2 6 4 3 2" xfId="9026"/>
    <cellStyle name="注释 2 6 4 3 2 2" xfId="39254"/>
    <cellStyle name="注释 2 6 4 3 3" xfId="23093"/>
    <cellStyle name="注释 2 6 4 3 4" xfId="39253"/>
    <cellStyle name="注释 2 6 4 4" xfId="17070"/>
    <cellStyle name="注释 2 6 4 4 2" xfId="9027"/>
    <cellStyle name="注释 2 6 4 4 2 2" xfId="39256"/>
    <cellStyle name="注释 2 6 4 4 3" xfId="23094"/>
    <cellStyle name="注释 2 6 4 4 4" xfId="39255"/>
    <cellStyle name="注释 2 6 4 5" xfId="18861"/>
    <cellStyle name="注释 2 6 4 5 2" xfId="39257"/>
    <cellStyle name="注释 2 6 4 6" xfId="39246"/>
    <cellStyle name="注释 2 6 5" xfId="10709"/>
    <cellStyle name="注释 2 6 5 2" xfId="17071"/>
    <cellStyle name="注释 2 6 5 2 2" xfId="17072"/>
    <cellStyle name="注释 2 6 5 2 2 2" xfId="9029"/>
    <cellStyle name="注释 2 6 5 2 2 2 2" xfId="39261"/>
    <cellStyle name="注释 2 6 5 2 2 3" xfId="23096"/>
    <cellStyle name="注释 2 6 5 2 2 4" xfId="39260"/>
    <cellStyle name="注释 2 6 5 2 3" xfId="17073"/>
    <cellStyle name="注释 2 6 5 2 3 2" xfId="9030"/>
    <cellStyle name="注释 2 6 5 2 3 2 2" xfId="39263"/>
    <cellStyle name="注释 2 6 5 2 3 3" xfId="23097"/>
    <cellStyle name="注释 2 6 5 2 3 4" xfId="39262"/>
    <cellStyle name="注释 2 6 5 2 4" xfId="9028"/>
    <cellStyle name="注释 2 6 5 2 4 2" xfId="39264"/>
    <cellStyle name="注释 2 6 5 2 5" xfId="23095"/>
    <cellStyle name="注释 2 6 5 2 6" xfId="39259"/>
    <cellStyle name="注释 2 6 5 3" xfId="17074"/>
    <cellStyle name="注释 2 6 5 3 2" xfId="9031"/>
    <cellStyle name="注释 2 6 5 3 2 2" xfId="39266"/>
    <cellStyle name="注释 2 6 5 3 3" xfId="23098"/>
    <cellStyle name="注释 2 6 5 3 4" xfId="39265"/>
    <cellStyle name="注释 2 6 5 4" xfId="17075"/>
    <cellStyle name="注释 2 6 5 4 2" xfId="9032"/>
    <cellStyle name="注释 2 6 5 4 2 2" xfId="39268"/>
    <cellStyle name="注释 2 6 5 4 3" xfId="23099"/>
    <cellStyle name="注释 2 6 5 4 4" xfId="39267"/>
    <cellStyle name="注释 2 6 5 5" xfId="18862"/>
    <cellStyle name="注释 2 6 5 5 2" xfId="39269"/>
    <cellStyle name="注释 2 6 5 6" xfId="39258"/>
    <cellStyle name="注释 2 6 6" xfId="17076"/>
    <cellStyle name="注释 2 6 6 2" xfId="17077"/>
    <cellStyle name="注释 2 6 6 2 2" xfId="20541"/>
    <cellStyle name="注释 2 6 6 2 2 2" xfId="39272"/>
    <cellStyle name="注释 2 6 6 2 3" xfId="23101"/>
    <cellStyle name="注释 2 6 6 2 4" xfId="39271"/>
    <cellStyle name="注释 2 6 6 3" xfId="17078"/>
    <cellStyle name="注释 2 6 6 3 2" xfId="9033"/>
    <cellStyle name="注释 2 6 6 3 2 2" xfId="39274"/>
    <cellStyle name="注释 2 6 6 3 3" xfId="23102"/>
    <cellStyle name="注释 2 6 6 3 4" xfId="39273"/>
    <cellStyle name="注释 2 6 6 4" xfId="20542"/>
    <cellStyle name="注释 2 6 6 4 2" xfId="39275"/>
    <cellStyle name="注释 2 6 6 5" xfId="23100"/>
    <cellStyle name="注释 2 6 6 6" xfId="39270"/>
    <cellStyle name="注释 2 6 7" xfId="17079"/>
    <cellStyle name="注释 2 6 7 2" xfId="9034"/>
    <cellStyle name="注释 2 6 7 2 2" xfId="39277"/>
    <cellStyle name="注释 2 6 7 3" xfId="23103"/>
    <cellStyle name="注释 2 6 7 4" xfId="39276"/>
    <cellStyle name="注释 2 6 8" xfId="17080"/>
    <cellStyle name="注释 2 6 8 2" xfId="9035"/>
    <cellStyle name="注释 2 6 8 2 2" xfId="39279"/>
    <cellStyle name="注释 2 6 8 3" xfId="23104"/>
    <cellStyle name="注释 2 6 8 4" xfId="39278"/>
    <cellStyle name="注释 2 6 9" xfId="18670"/>
    <cellStyle name="注释 2 6 9 2" xfId="39280"/>
    <cellStyle name="注释 2 7" xfId="10710"/>
    <cellStyle name="注释 2 7 10" xfId="39281"/>
    <cellStyle name="注释 2 7 2" xfId="10711"/>
    <cellStyle name="注释 2 7 2 2" xfId="17081"/>
    <cellStyle name="注释 2 7 2 2 2" xfId="17082"/>
    <cellStyle name="注释 2 7 2 2 2 2" xfId="9037"/>
    <cellStyle name="注释 2 7 2 2 2 2 2" xfId="39285"/>
    <cellStyle name="注释 2 7 2 2 2 3" xfId="23106"/>
    <cellStyle name="注释 2 7 2 2 2 4" xfId="39284"/>
    <cellStyle name="注释 2 7 2 2 3" xfId="17083"/>
    <cellStyle name="注释 2 7 2 2 3 2" xfId="20540"/>
    <cellStyle name="注释 2 7 2 2 3 2 2" xfId="39287"/>
    <cellStyle name="注释 2 7 2 2 3 3" xfId="23107"/>
    <cellStyle name="注释 2 7 2 2 3 4" xfId="39286"/>
    <cellStyle name="注释 2 7 2 2 4" xfId="9036"/>
    <cellStyle name="注释 2 7 2 2 4 2" xfId="39288"/>
    <cellStyle name="注释 2 7 2 2 5" xfId="23105"/>
    <cellStyle name="注释 2 7 2 2 6" xfId="39283"/>
    <cellStyle name="注释 2 7 2 3" xfId="17084"/>
    <cellStyle name="注释 2 7 2 3 2" xfId="9038"/>
    <cellStyle name="注释 2 7 2 3 2 2" xfId="39290"/>
    <cellStyle name="注释 2 7 2 3 3" xfId="23108"/>
    <cellStyle name="注释 2 7 2 3 4" xfId="39289"/>
    <cellStyle name="注释 2 7 2 4" xfId="17085"/>
    <cellStyle name="注释 2 7 2 4 2" xfId="9039"/>
    <cellStyle name="注释 2 7 2 4 2 2" xfId="39292"/>
    <cellStyle name="注释 2 7 2 4 3" xfId="23109"/>
    <cellStyle name="注释 2 7 2 4 4" xfId="39291"/>
    <cellStyle name="注释 2 7 2 5" xfId="21892"/>
    <cellStyle name="注释 2 7 2 5 2" xfId="39293"/>
    <cellStyle name="注释 2 7 2 6" xfId="39282"/>
    <cellStyle name="注释 2 7 3" xfId="10712"/>
    <cellStyle name="注释 2 7 3 2" xfId="17086"/>
    <cellStyle name="注释 2 7 3 2 2" xfId="17087"/>
    <cellStyle name="注释 2 7 3 2 2 2" xfId="9041"/>
    <cellStyle name="注释 2 7 3 2 2 2 2" xfId="39297"/>
    <cellStyle name="注释 2 7 3 2 2 3" xfId="23111"/>
    <cellStyle name="注释 2 7 3 2 2 4" xfId="39296"/>
    <cellStyle name="注释 2 7 3 2 3" xfId="17088"/>
    <cellStyle name="注释 2 7 3 2 3 2" xfId="9042"/>
    <cellStyle name="注释 2 7 3 2 3 2 2" xfId="39299"/>
    <cellStyle name="注释 2 7 3 2 3 3" xfId="23112"/>
    <cellStyle name="注释 2 7 3 2 3 4" xfId="39298"/>
    <cellStyle name="注释 2 7 3 2 4" xfId="9040"/>
    <cellStyle name="注释 2 7 3 2 4 2" xfId="39300"/>
    <cellStyle name="注释 2 7 3 2 5" xfId="23110"/>
    <cellStyle name="注释 2 7 3 2 6" xfId="39295"/>
    <cellStyle name="注释 2 7 3 3" xfId="17089"/>
    <cellStyle name="注释 2 7 3 3 2" xfId="20539"/>
    <cellStyle name="注释 2 7 3 3 2 2" xfId="39302"/>
    <cellStyle name="注释 2 7 3 3 3" xfId="23113"/>
    <cellStyle name="注释 2 7 3 3 4" xfId="39301"/>
    <cellStyle name="注释 2 7 3 4" xfId="17090"/>
    <cellStyle name="注释 2 7 3 4 2" xfId="9043"/>
    <cellStyle name="注释 2 7 3 4 2 2" xfId="39304"/>
    <cellStyle name="注释 2 7 3 4 3" xfId="23114"/>
    <cellStyle name="注释 2 7 3 4 4" xfId="39303"/>
    <cellStyle name="注释 2 7 3 5" xfId="17861"/>
    <cellStyle name="注释 2 7 3 5 2" xfId="39305"/>
    <cellStyle name="注释 2 7 3 6" xfId="39294"/>
    <cellStyle name="注释 2 7 4" xfId="10713"/>
    <cellStyle name="注释 2 7 4 2" xfId="17091"/>
    <cellStyle name="注释 2 7 4 2 2" xfId="17092"/>
    <cellStyle name="注释 2 7 4 2 2 2" xfId="9045"/>
    <cellStyle name="注释 2 7 4 2 2 2 2" xfId="39309"/>
    <cellStyle name="注释 2 7 4 2 2 3" xfId="23116"/>
    <cellStyle name="注释 2 7 4 2 2 4" xfId="39308"/>
    <cellStyle name="注释 2 7 4 2 3" xfId="17093"/>
    <cellStyle name="注释 2 7 4 2 3 2" xfId="9046"/>
    <cellStyle name="注释 2 7 4 2 3 2 2" xfId="39311"/>
    <cellStyle name="注释 2 7 4 2 3 3" xfId="23117"/>
    <cellStyle name="注释 2 7 4 2 3 4" xfId="39310"/>
    <cellStyle name="注释 2 7 4 2 4" xfId="9044"/>
    <cellStyle name="注释 2 7 4 2 4 2" xfId="39312"/>
    <cellStyle name="注释 2 7 4 2 5" xfId="23115"/>
    <cellStyle name="注释 2 7 4 2 6" xfId="39307"/>
    <cellStyle name="注释 2 7 4 3" xfId="17094"/>
    <cellStyle name="注释 2 7 4 3 2" xfId="9047"/>
    <cellStyle name="注释 2 7 4 3 2 2" xfId="39314"/>
    <cellStyle name="注释 2 7 4 3 3" xfId="23118"/>
    <cellStyle name="注释 2 7 4 3 4" xfId="39313"/>
    <cellStyle name="注释 2 7 4 4" xfId="17095"/>
    <cellStyle name="注释 2 7 4 4 2" xfId="20538"/>
    <cellStyle name="注释 2 7 4 4 2 2" xfId="39316"/>
    <cellStyle name="注释 2 7 4 4 3" xfId="23119"/>
    <cellStyle name="注释 2 7 4 4 4" xfId="39315"/>
    <cellStyle name="注释 2 7 4 5" xfId="21893"/>
    <cellStyle name="注释 2 7 4 5 2" xfId="39317"/>
    <cellStyle name="注释 2 7 4 6" xfId="39306"/>
    <cellStyle name="注释 2 7 5" xfId="10714"/>
    <cellStyle name="注释 2 7 5 2" xfId="17096"/>
    <cellStyle name="注释 2 7 5 2 2" xfId="17097"/>
    <cellStyle name="注释 2 7 5 2 2 2" xfId="9049"/>
    <cellStyle name="注释 2 7 5 2 2 2 2" xfId="39321"/>
    <cellStyle name="注释 2 7 5 2 2 3" xfId="23121"/>
    <cellStyle name="注释 2 7 5 2 2 4" xfId="39320"/>
    <cellStyle name="注释 2 7 5 2 3" xfId="17098"/>
    <cellStyle name="注释 2 7 5 2 3 2" xfId="9050"/>
    <cellStyle name="注释 2 7 5 2 3 2 2" xfId="39323"/>
    <cellStyle name="注释 2 7 5 2 3 3" xfId="23122"/>
    <cellStyle name="注释 2 7 5 2 3 4" xfId="39322"/>
    <cellStyle name="注释 2 7 5 2 4" xfId="9048"/>
    <cellStyle name="注释 2 7 5 2 4 2" xfId="39324"/>
    <cellStyle name="注释 2 7 5 2 5" xfId="23120"/>
    <cellStyle name="注释 2 7 5 2 6" xfId="39319"/>
    <cellStyle name="注释 2 7 5 3" xfId="17099"/>
    <cellStyle name="注释 2 7 5 3 2" xfId="9051"/>
    <cellStyle name="注释 2 7 5 3 2 2" xfId="39326"/>
    <cellStyle name="注释 2 7 5 3 3" xfId="23123"/>
    <cellStyle name="注释 2 7 5 3 4" xfId="39325"/>
    <cellStyle name="注释 2 7 5 4" xfId="17100"/>
    <cellStyle name="注释 2 7 5 4 2" xfId="9052"/>
    <cellStyle name="注释 2 7 5 4 2 2" xfId="39328"/>
    <cellStyle name="注释 2 7 5 4 3" xfId="23124"/>
    <cellStyle name="注释 2 7 5 4 4" xfId="39327"/>
    <cellStyle name="注释 2 7 5 5" xfId="21894"/>
    <cellStyle name="注释 2 7 5 5 2" xfId="39329"/>
    <cellStyle name="注释 2 7 5 6" xfId="39318"/>
    <cellStyle name="注释 2 7 6" xfId="17101"/>
    <cellStyle name="注释 2 7 6 2" xfId="17102"/>
    <cellStyle name="注释 2 7 6 2 2" xfId="9054"/>
    <cellStyle name="注释 2 7 6 2 2 2" xfId="39332"/>
    <cellStyle name="注释 2 7 6 2 3" xfId="23126"/>
    <cellStyle name="注释 2 7 6 2 4" xfId="39331"/>
    <cellStyle name="注释 2 7 6 3" xfId="17103"/>
    <cellStyle name="注释 2 7 6 3 2" xfId="9055"/>
    <cellStyle name="注释 2 7 6 3 2 2" xfId="39334"/>
    <cellStyle name="注释 2 7 6 3 3" xfId="23127"/>
    <cellStyle name="注释 2 7 6 3 4" xfId="39333"/>
    <cellStyle name="注释 2 7 6 4" xfId="9053"/>
    <cellStyle name="注释 2 7 6 4 2" xfId="39335"/>
    <cellStyle name="注释 2 7 6 5" xfId="23125"/>
    <cellStyle name="注释 2 7 6 6" xfId="39330"/>
    <cellStyle name="注释 2 7 7" xfId="17104"/>
    <cellStyle name="注释 2 7 7 2" xfId="9056"/>
    <cellStyle name="注释 2 7 7 2 2" xfId="39337"/>
    <cellStyle name="注释 2 7 7 3" xfId="23128"/>
    <cellStyle name="注释 2 7 7 4" xfId="39336"/>
    <cellStyle name="注释 2 7 8" xfId="17105"/>
    <cellStyle name="注释 2 7 8 2" xfId="9057"/>
    <cellStyle name="注释 2 7 8 2 2" xfId="39339"/>
    <cellStyle name="注释 2 7 8 3" xfId="23129"/>
    <cellStyle name="注释 2 7 8 4" xfId="39338"/>
    <cellStyle name="注释 2 7 9" xfId="21891"/>
    <cellStyle name="注释 2 7 9 2" xfId="39340"/>
    <cellStyle name="注释 2 8" xfId="10715"/>
    <cellStyle name="注释 2 8 10" xfId="39341"/>
    <cellStyle name="注释 2 8 2" xfId="10716"/>
    <cellStyle name="注释 2 8 2 2" xfId="17106"/>
    <cellStyle name="注释 2 8 2 2 2" xfId="17107"/>
    <cellStyle name="注释 2 8 2 2 2 2" xfId="18521"/>
    <cellStyle name="注释 2 8 2 2 2 2 2" xfId="39345"/>
    <cellStyle name="注释 2 8 2 2 2 3" xfId="23131"/>
    <cellStyle name="注释 2 8 2 2 2 4" xfId="39344"/>
    <cellStyle name="注释 2 8 2 2 3" xfId="17108"/>
    <cellStyle name="注释 2 8 2 2 3 2" xfId="9058"/>
    <cellStyle name="注释 2 8 2 2 3 2 2" xfId="39347"/>
    <cellStyle name="注释 2 8 2 2 3 3" xfId="23132"/>
    <cellStyle name="注释 2 8 2 2 3 4" xfId="39346"/>
    <cellStyle name="注释 2 8 2 2 4" xfId="20537"/>
    <cellStyle name="注释 2 8 2 2 4 2" xfId="39348"/>
    <cellStyle name="注释 2 8 2 2 5" xfId="23130"/>
    <cellStyle name="注释 2 8 2 2 6" xfId="39343"/>
    <cellStyle name="注释 2 8 2 3" xfId="17109"/>
    <cellStyle name="注释 2 8 2 3 2" xfId="20536"/>
    <cellStyle name="注释 2 8 2 3 2 2" xfId="39350"/>
    <cellStyle name="注释 2 8 2 3 3" xfId="23133"/>
    <cellStyle name="注释 2 8 2 3 4" xfId="39349"/>
    <cellStyle name="注释 2 8 2 4" xfId="17110"/>
    <cellStyle name="注释 2 8 2 4 2" xfId="20535"/>
    <cellStyle name="注释 2 8 2 4 2 2" xfId="39352"/>
    <cellStyle name="注释 2 8 2 4 3" xfId="23134"/>
    <cellStyle name="注释 2 8 2 4 4" xfId="39351"/>
    <cellStyle name="注释 2 8 2 5" xfId="18863"/>
    <cellStyle name="注释 2 8 2 5 2" xfId="39353"/>
    <cellStyle name="注释 2 8 2 6" xfId="39342"/>
    <cellStyle name="注释 2 8 3" xfId="10717"/>
    <cellStyle name="注释 2 8 3 2" xfId="17111"/>
    <cellStyle name="注释 2 8 3 2 2" xfId="17112"/>
    <cellStyle name="注释 2 8 3 2 2 2" xfId="9060"/>
    <cellStyle name="注释 2 8 3 2 2 2 2" xfId="39357"/>
    <cellStyle name="注释 2 8 3 2 2 3" xfId="23136"/>
    <cellStyle name="注释 2 8 3 2 2 4" xfId="39356"/>
    <cellStyle name="注释 2 8 3 2 3" xfId="17113"/>
    <cellStyle name="注释 2 8 3 2 3 2" xfId="9061"/>
    <cellStyle name="注释 2 8 3 2 3 2 2" xfId="39359"/>
    <cellStyle name="注释 2 8 3 2 3 3" xfId="23137"/>
    <cellStyle name="注释 2 8 3 2 3 4" xfId="39358"/>
    <cellStyle name="注释 2 8 3 2 4" xfId="9059"/>
    <cellStyle name="注释 2 8 3 2 4 2" xfId="39360"/>
    <cellStyle name="注释 2 8 3 2 5" xfId="23135"/>
    <cellStyle name="注释 2 8 3 2 6" xfId="39355"/>
    <cellStyle name="注释 2 8 3 3" xfId="17114"/>
    <cellStyle name="注释 2 8 3 3 2" xfId="9062"/>
    <cellStyle name="注释 2 8 3 3 2 2" xfId="39362"/>
    <cellStyle name="注释 2 8 3 3 3" xfId="23138"/>
    <cellStyle name="注释 2 8 3 3 4" xfId="39361"/>
    <cellStyle name="注释 2 8 3 4" xfId="17115"/>
    <cellStyle name="注释 2 8 3 4 2" xfId="9063"/>
    <cellStyle name="注释 2 8 3 4 2 2" xfId="39364"/>
    <cellStyle name="注释 2 8 3 4 3" xfId="23139"/>
    <cellStyle name="注释 2 8 3 4 4" xfId="39363"/>
    <cellStyle name="注释 2 8 3 5" xfId="21896"/>
    <cellStyle name="注释 2 8 3 5 2" xfId="39365"/>
    <cellStyle name="注释 2 8 3 6" xfId="39354"/>
    <cellStyle name="注释 2 8 4" xfId="10718"/>
    <cellStyle name="注释 2 8 4 2" xfId="17116"/>
    <cellStyle name="注释 2 8 4 2 2" xfId="17117"/>
    <cellStyle name="注释 2 8 4 2 2 2" xfId="9064"/>
    <cellStyle name="注释 2 8 4 2 2 2 2" xfId="39369"/>
    <cellStyle name="注释 2 8 4 2 2 3" xfId="23141"/>
    <cellStyle name="注释 2 8 4 2 2 4" xfId="39368"/>
    <cellStyle name="注释 2 8 4 2 3" xfId="17118"/>
    <cellStyle name="注释 2 8 4 2 3 2" xfId="9065"/>
    <cellStyle name="注释 2 8 4 2 3 2 2" xfId="39371"/>
    <cellStyle name="注释 2 8 4 2 3 3" xfId="23142"/>
    <cellStyle name="注释 2 8 4 2 3 4" xfId="39370"/>
    <cellStyle name="注释 2 8 4 2 4" xfId="20534"/>
    <cellStyle name="注释 2 8 4 2 4 2" xfId="39372"/>
    <cellStyle name="注释 2 8 4 2 5" xfId="23140"/>
    <cellStyle name="注释 2 8 4 2 6" xfId="39367"/>
    <cellStyle name="注释 2 8 4 3" xfId="17119"/>
    <cellStyle name="注释 2 8 4 3 2" xfId="9066"/>
    <cellStyle name="注释 2 8 4 3 2 2" xfId="39374"/>
    <cellStyle name="注释 2 8 4 3 3" xfId="23143"/>
    <cellStyle name="注释 2 8 4 3 4" xfId="39373"/>
    <cellStyle name="注释 2 8 4 4" xfId="17120"/>
    <cellStyle name="注释 2 8 4 4 2" xfId="9067"/>
    <cellStyle name="注释 2 8 4 4 2 2" xfId="39376"/>
    <cellStyle name="注释 2 8 4 4 3" xfId="23144"/>
    <cellStyle name="注释 2 8 4 4 4" xfId="39375"/>
    <cellStyle name="注释 2 8 4 5" xfId="17862"/>
    <cellStyle name="注释 2 8 4 5 2" xfId="39377"/>
    <cellStyle name="注释 2 8 4 6" xfId="39366"/>
    <cellStyle name="注释 2 8 5" xfId="10719"/>
    <cellStyle name="注释 2 8 5 2" xfId="17121"/>
    <cellStyle name="注释 2 8 5 2 2" xfId="17122"/>
    <cellStyle name="注释 2 8 5 2 2 2" xfId="20533"/>
    <cellStyle name="注释 2 8 5 2 2 2 2" xfId="39381"/>
    <cellStyle name="注释 2 8 5 2 2 3" xfId="23146"/>
    <cellStyle name="注释 2 8 5 2 2 4" xfId="39380"/>
    <cellStyle name="注释 2 8 5 2 3" xfId="17123"/>
    <cellStyle name="注释 2 8 5 2 3 2" xfId="9069"/>
    <cellStyle name="注释 2 8 5 2 3 2 2" xfId="39383"/>
    <cellStyle name="注释 2 8 5 2 3 3" xfId="23147"/>
    <cellStyle name="注释 2 8 5 2 3 4" xfId="39382"/>
    <cellStyle name="注释 2 8 5 2 4" xfId="9068"/>
    <cellStyle name="注释 2 8 5 2 4 2" xfId="39384"/>
    <cellStyle name="注释 2 8 5 2 5" xfId="23145"/>
    <cellStyle name="注释 2 8 5 2 6" xfId="39379"/>
    <cellStyle name="注释 2 8 5 3" xfId="17124"/>
    <cellStyle name="注释 2 8 5 3 2" xfId="9070"/>
    <cellStyle name="注释 2 8 5 3 2 2" xfId="39386"/>
    <cellStyle name="注释 2 8 5 3 3" xfId="23148"/>
    <cellStyle name="注释 2 8 5 3 4" xfId="39385"/>
    <cellStyle name="注释 2 8 5 4" xfId="17125"/>
    <cellStyle name="注释 2 8 5 4 2" xfId="9071"/>
    <cellStyle name="注释 2 8 5 4 2 2" xfId="39388"/>
    <cellStyle name="注释 2 8 5 4 3" xfId="23149"/>
    <cellStyle name="注释 2 8 5 4 4" xfId="39387"/>
    <cellStyle name="注释 2 8 5 5" xfId="21897"/>
    <cellStyle name="注释 2 8 5 5 2" xfId="39389"/>
    <cellStyle name="注释 2 8 5 6" xfId="39378"/>
    <cellStyle name="注释 2 8 6" xfId="17126"/>
    <cellStyle name="注释 2 8 6 2" xfId="17127"/>
    <cellStyle name="注释 2 8 6 2 2" xfId="9073"/>
    <cellStyle name="注释 2 8 6 2 2 2" xfId="39392"/>
    <cellStyle name="注释 2 8 6 2 3" xfId="23151"/>
    <cellStyle name="注释 2 8 6 2 4" xfId="39391"/>
    <cellStyle name="注释 2 8 6 3" xfId="17128"/>
    <cellStyle name="注释 2 8 6 3 2" xfId="20532"/>
    <cellStyle name="注释 2 8 6 3 2 2" xfId="39394"/>
    <cellStyle name="注释 2 8 6 3 3" xfId="23152"/>
    <cellStyle name="注释 2 8 6 3 4" xfId="39393"/>
    <cellStyle name="注释 2 8 6 4" xfId="9072"/>
    <cellStyle name="注释 2 8 6 4 2" xfId="39395"/>
    <cellStyle name="注释 2 8 6 5" xfId="23150"/>
    <cellStyle name="注释 2 8 6 6" xfId="39390"/>
    <cellStyle name="注释 2 8 7" xfId="17129"/>
    <cellStyle name="注释 2 8 7 2" xfId="9074"/>
    <cellStyle name="注释 2 8 7 2 2" xfId="39397"/>
    <cellStyle name="注释 2 8 7 3" xfId="23153"/>
    <cellStyle name="注释 2 8 7 4" xfId="39396"/>
    <cellStyle name="注释 2 8 8" xfId="17130"/>
    <cellStyle name="注释 2 8 8 2" xfId="9075"/>
    <cellStyle name="注释 2 8 8 2 2" xfId="39399"/>
    <cellStyle name="注释 2 8 8 3" xfId="23154"/>
    <cellStyle name="注释 2 8 8 4" xfId="39398"/>
    <cellStyle name="注释 2 8 9" xfId="21895"/>
    <cellStyle name="注释 2 8 9 2" xfId="39400"/>
    <cellStyle name="注释 2 9" xfId="10720"/>
    <cellStyle name="注释 2 9 10" xfId="39401"/>
    <cellStyle name="注释 2 9 2" xfId="10721"/>
    <cellStyle name="注释 2 9 2 2" xfId="17131"/>
    <cellStyle name="注释 2 9 2 2 2" xfId="17132"/>
    <cellStyle name="注释 2 9 2 2 2 2" xfId="9077"/>
    <cellStyle name="注释 2 9 2 2 2 2 2" xfId="39405"/>
    <cellStyle name="注释 2 9 2 2 2 3" xfId="23156"/>
    <cellStyle name="注释 2 9 2 2 2 4" xfId="39404"/>
    <cellStyle name="注释 2 9 2 2 3" xfId="17133"/>
    <cellStyle name="注释 2 9 2 2 3 2" xfId="9078"/>
    <cellStyle name="注释 2 9 2 2 3 2 2" xfId="39407"/>
    <cellStyle name="注释 2 9 2 2 3 3" xfId="23157"/>
    <cellStyle name="注释 2 9 2 2 3 4" xfId="39406"/>
    <cellStyle name="注释 2 9 2 2 4" xfId="9076"/>
    <cellStyle name="注释 2 9 2 2 4 2" xfId="39408"/>
    <cellStyle name="注释 2 9 2 2 5" xfId="23155"/>
    <cellStyle name="注释 2 9 2 2 6" xfId="39403"/>
    <cellStyle name="注释 2 9 2 3" xfId="17134"/>
    <cellStyle name="注释 2 9 2 3 2" xfId="18520"/>
    <cellStyle name="注释 2 9 2 3 2 2" xfId="39410"/>
    <cellStyle name="注释 2 9 2 3 3" xfId="23158"/>
    <cellStyle name="注释 2 9 2 3 4" xfId="39409"/>
    <cellStyle name="注释 2 9 2 4" xfId="17135"/>
    <cellStyle name="注释 2 9 2 4 2" xfId="9079"/>
    <cellStyle name="注释 2 9 2 4 2 2" xfId="39412"/>
    <cellStyle name="注释 2 9 2 4 3" xfId="23159"/>
    <cellStyle name="注释 2 9 2 4 4" xfId="39411"/>
    <cellStyle name="注释 2 9 2 5" xfId="21899"/>
    <cellStyle name="注释 2 9 2 5 2" xfId="39413"/>
    <cellStyle name="注释 2 9 2 6" xfId="39402"/>
    <cellStyle name="注释 2 9 3" xfId="10722"/>
    <cellStyle name="注释 2 9 3 2" xfId="17136"/>
    <cellStyle name="注释 2 9 3 2 2" xfId="17137"/>
    <cellStyle name="注释 2 9 3 2 2 2" xfId="9081"/>
    <cellStyle name="注释 2 9 3 2 2 2 2" xfId="39417"/>
    <cellStyle name="注释 2 9 3 2 2 3" xfId="23161"/>
    <cellStyle name="注释 2 9 3 2 2 4" xfId="39416"/>
    <cellStyle name="注释 2 9 3 2 3" xfId="17138"/>
    <cellStyle name="注释 2 9 3 2 3 2" xfId="9082"/>
    <cellStyle name="注释 2 9 3 2 3 2 2" xfId="39419"/>
    <cellStyle name="注释 2 9 3 2 3 3" xfId="23162"/>
    <cellStyle name="注释 2 9 3 2 3 4" xfId="39418"/>
    <cellStyle name="注释 2 9 3 2 4" xfId="9080"/>
    <cellStyle name="注释 2 9 3 2 4 2" xfId="39420"/>
    <cellStyle name="注释 2 9 3 2 5" xfId="23160"/>
    <cellStyle name="注释 2 9 3 2 6" xfId="39415"/>
    <cellStyle name="注释 2 9 3 3" xfId="17139"/>
    <cellStyle name="注释 2 9 3 3 2" xfId="9083"/>
    <cellStyle name="注释 2 9 3 3 2 2" xfId="39422"/>
    <cellStyle name="注释 2 9 3 3 3" xfId="23163"/>
    <cellStyle name="注释 2 9 3 3 4" xfId="39421"/>
    <cellStyle name="注释 2 9 3 4" xfId="17140"/>
    <cellStyle name="注释 2 9 3 4 2" xfId="9084"/>
    <cellStyle name="注释 2 9 3 4 2 2" xfId="39424"/>
    <cellStyle name="注释 2 9 3 4 3" xfId="23164"/>
    <cellStyle name="注释 2 9 3 4 4" xfId="39423"/>
    <cellStyle name="注释 2 9 3 5" xfId="21900"/>
    <cellStyle name="注释 2 9 3 5 2" xfId="39425"/>
    <cellStyle name="注释 2 9 3 6" xfId="39414"/>
    <cellStyle name="注释 2 9 4" xfId="10723"/>
    <cellStyle name="注释 2 9 4 2" xfId="17141"/>
    <cellStyle name="注释 2 9 4 2 2" xfId="17142"/>
    <cellStyle name="注释 2 9 4 2 2 2" xfId="9086"/>
    <cellStyle name="注释 2 9 4 2 2 2 2" xfId="39429"/>
    <cellStyle name="注释 2 9 4 2 2 3" xfId="23166"/>
    <cellStyle name="注释 2 9 4 2 2 4" xfId="39428"/>
    <cellStyle name="注释 2 9 4 2 3" xfId="17143"/>
    <cellStyle name="注释 2 9 4 2 3 2" xfId="20531"/>
    <cellStyle name="注释 2 9 4 2 3 2 2" xfId="39431"/>
    <cellStyle name="注释 2 9 4 2 3 3" xfId="23167"/>
    <cellStyle name="注释 2 9 4 2 3 4" xfId="39430"/>
    <cellStyle name="注释 2 9 4 2 4" xfId="9085"/>
    <cellStyle name="注释 2 9 4 2 4 2" xfId="39432"/>
    <cellStyle name="注释 2 9 4 2 5" xfId="23165"/>
    <cellStyle name="注释 2 9 4 2 6" xfId="39427"/>
    <cellStyle name="注释 2 9 4 3" xfId="17144"/>
    <cellStyle name="注释 2 9 4 3 2" xfId="9087"/>
    <cellStyle name="注释 2 9 4 3 2 2" xfId="39434"/>
    <cellStyle name="注释 2 9 4 3 3" xfId="23168"/>
    <cellStyle name="注释 2 9 4 3 4" xfId="39433"/>
    <cellStyle name="注释 2 9 4 4" xfId="17145"/>
    <cellStyle name="注释 2 9 4 4 2" xfId="9088"/>
    <cellStyle name="注释 2 9 4 4 2 2" xfId="39436"/>
    <cellStyle name="注释 2 9 4 4 3" xfId="23169"/>
    <cellStyle name="注释 2 9 4 4 4" xfId="39435"/>
    <cellStyle name="注释 2 9 4 5" xfId="18864"/>
    <cellStyle name="注释 2 9 4 5 2" xfId="39437"/>
    <cellStyle name="注释 2 9 4 6" xfId="39426"/>
    <cellStyle name="注释 2 9 5" xfId="10724"/>
    <cellStyle name="注释 2 9 5 2" xfId="17146"/>
    <cellStyle name="注释 2 9 5 2 2" xfId="17147"/>
    <cellStyle name="注释 2 9 5 2 2 2" xfId="9090"/>
    <cellStyle name="注释 2 9 5 2 2 2 2" xfId="39441"/>
    <cellStyle name="注释 2 9 5 2 2 3" xfId="23171"/>
    <cellStyle name="注释 2 9 5 2 2 4" xfId="39440"/>
    <cellStyle name="注释 2 9 5 2 3" xfId="17148"/>
    <cellStyle name="注释 2 9 5 2 3 2" xfId="9091"/>
    <cellStyle name="注释 2 9 5 2 3 2 2" xfId="39443"/>
    <cellStyle name="注释 2 9 5 2 3 3" xfId="23172"/>
    <cellStyle name="注释 2 9 5 2 3 4" xfId="39442"/>
    <cellStyle name="注释 2 9 5 2 4" xfId="9089"/>
    <cellStyle name="注释 2 9 5 2 4 2" xfId="39444"/>
    <cellStyle name="注释 2 9 5 2 5" xfId="23170"/>
    <cellStyle name="注释 2 9 5 2 6" xfId="39439"/>
    <cellStyle name="注释 2 9 5 3" xfId="17149"/>
    <cellStyle name="注释 2 9 5 3 2" xfId="20530"/>
    <cellStyle name="注释 2 9 5 3 2 2" xfId="39446"/>
    <cellStyle name="注释 2 9 5 3 3" xfId="23173"/>
    <cellStyle name="注释 2 9 5 3 4" xfId="39445"/>
    <cellStyle name="注释 2 9 5 4" xfId="17150"/>
    <cellStyle name="注释 2 9 5 4 2" xfId="9092"/>
    <cellStyle name="注释 2 9 5 4 2 2" xfId="39448"/>
    <cellStyle name="注释 2 9 5 4 3" xfId="23174"/>
    <cellStyle name="注释 2 9 5 4 4" xfId="39447"/>
    <cellStyle name="注释 2 9 5 5" xfId="17863"/>
    <cellStyle name="注释 2 9 5 5 2" xfId="39449"/>
    <cellStyle name="注释 2 9 5 6" xfId="39438"/>
    <cellStyle name="注释 2 9 6" xfId="17151"/>
    <cellStyle name="注释 2 9 6 2" xfId="17152"/>
    <cellStyle name="注释 2 9 6 2 2" xfId="9094"/>
    <cellStyle name="注释 2 9 6 2 2 2" xfId="39452"/>
    <cellStyle name="注释 2 9 6 2 3" xfId="23176"/>
    <cellStyle name="注释 2 9 6 2 4" xfId="39451"/>
    <cellStyle name="注释 2 9 6 3" xfId="17153"/>
    <cellStyle name="注释 2 9 6 3 2" xfId="9095"/>
    <cellStyle name="注释 2 9 6 3 2 2" xfId="39454"/>
    <cellStyle name="注释 2 9 6 3 3" xfId="23177"/>
    <cellStyle name="注释 2 9 6 3 4" xfId="39453"/>
    <cellStyle name="注释 2 9 6 4" xfId="9093"/>
    <cellStyle name="注释 2 9 6 4 2" xfId="39455"/>
    <cellStyle name="注释 2 9 6 5" xfId="23175"/>
    <cellStyle name="注释 2 9 6 6" xfId="39450"/>
    <cellStyle name="注释 2 9 7" xfId="17154"/>
    <cellStyle name="注释 2 9 7 2" xfId="9096"/>
    <cellStyle name="注释 2 9 7 2 2" xfId="39457"/>
    <cellStyle name="注释 2 9 7 3" xfId="23178"/>
    <cellStyle name="注释 2 9 7 4" xfId="39456"/>
    <cellStyle name="注释 2 9 8" xfId="17155"/>
    <cellStyle name="注释 2 9 8 2" xfId="20529"/>
    <cellStyle name="注释 2 9 8 2 2" xfId="39459"/>
    <cellStyle name="注释 2 9 8 3" xfId="23179"/>
    <cellStyle name="注释 2 9 8 4" xfId="39458"/>
    <cellStyle name="注释 2 9 9" xfId="21898"/>
    <cellStyle name="注释 2 9 9 2" xfId="39460"/>
    <cellStyle name="注释 2_培训名单通知" xfId="10725"/>
    <cellStyle name="注释 3" xfId="5490"/>
    <cellStyle name="注释 3 10" xfId="17156"/>
    <cellStyle name="注释 3 10 2" xfId="9097"/>
    <cellStyle name="注释 3 10 2 2" xfId="39463"/>
    <cellStyle name="注释 3 10 3" xfId="23180"/>
    <cellStyle name="注释 3 10 4" xfId="39462"/>
    <cellStyle name="注释 3 11" xfId="10726"/>
    <cellStyle name="注释 3 11 2" xfId="39465"/>
    <cellStyle name="注释 3 11 2 2" xfId="60774"/>
    <cellStyle name="注释 3 11 3" xfId="39464"/>
    <cellStyle name="注释 3 11 4" xfId="60775"/>
    <cellStyle name="注释 3 12" xfId="21901"/>
    <cellStyle name="注释 3 12 2" xfId="39467"/>
    <cellStyle name="注释 3 12 2 2" xfId="60776"/>
    <cellStyle name="注释 3 12 3" xfId="39466"/>
    <cellStyle name="注释 3 13" xfId="39468"/>
    <cellStyle name="注释 3 13 2" xfId="60777"/>
    <cellStyle name="注释 3 13 2 2" xfId="60778"/>
    <cellStyle name="注释 3 13 3" xfId="60779"/>
    <cellStyle name="注释 3 13 4" xfId="60780"/>
    <cellStyle name="注释 3 14" xfId="39469"/>
    <cellStyle name="注释 3 14 2" xfId="60781"/>
    <cellStyle name="注释 3 14 3" xfId="60782"/>
    <cellStyle name="注释 3 15" xfId="39461"/>
    <cellStyle name="注释 3 15 2" xfId="60783"/>
    <cellStyle name="注释 3 16" xfId="60784"/>
    <cellStyle name="注释 3 16 2" xfId="60785"/>
    <cellStyle name="注释 3 16 3" xfId="60786"/>
    <cellStyle name="注释 3 17" xfId="60787"/>
    <cellStyle name="注释 3 18" xfId="60788"/>
    <cellStyle name="注释 3 2" xfId="5491"/>
    <cellStyle name="注释 3 2 10" xfId="10727"/>
    <cellStyle name="注释 3 2 10 2" xfId="39472"/>
    <cellStyle name="注释 3 2 10 2 2" xfId="60789"/>
    <cellStyle name="注释 3 2 10 3" xfId="39471"/>
    <cellStyle name="注释 3 2 11" xfId="21902"/>
    <cellStyle name="注释 3 2 11 2" xfId="39474"/>
    <cellStyle name="注释 3 2 11 2 2" xfId="60790"/>
    <cellStyle name="注释 3 2 11 3" xfId="39473"/>
    <cellStyle name="注释 3 2 12" xfId="39475"/>
    <cellStyle name="注释 3 2 13" xfId="39470"/>
    <cellStyle name="注释 3 2 2" xfId="5492"/>
    <cellStyle name="注释 3 2 2 2" xfId="17157"/>
    <cellStyle name="注释 3 2 2 2 2" xfId="17158"/>
    <cellStyle name="注释 3 2 2 2 2 2" xfId="9099"/>
    <cellStyle name="注释 3 2 2 2 2 2 2" xfId="39479"/>
    <cellStyle name="注释 3 2 2 2 2 3" xfId="23182"/>
    <cellStyle name="注释 3 2 2 2 2 4" xfId="39478"/>
    <cellStyle name="注释 3 2 2 2 3" xfId="17159"/>
    <cellStyle name="注释 3 2 2 2 3 2" xfId="9100"/>
    <cellStyle name="注释 3 2 2 2 3 2 2" xfId="39481"/>
    <cellStyle name="注释 3 2 2 2 3 3" xfId="23183"/>
    <cellStyle name="注释 3 2 2 2 3 4" xfId="39480"/>
    <cellStyle name="注释 3 2 2 2 4" xfId="9098"/>
    <cellStyle name="注释 3 2 2 2 4 2" xfId="39482"/>
    <cellStyle name="注释 3 2 2 2 5" xfId="23181"/>
    <cellStyle name="注释 3 2 2 2 6" xfId="39477"/>
    <cellStyle name="注释 3 2 2 3" xfId="17160"/>
    <cellStyle name="注释 3 2 2 3 2" xfId="9101"/>
    <cellStyle name="注释 3 2 2 3 2 2" xfId="39484"/>
    <cellStyle name="注释 3 2 2 3 3" xfId="23184"/>
    <cellStyle name="注释 3 2 2 3 4" xfId="39483"/>
    <cellStyle name="注释 3 2 2 4" xfId="17161"/>
    <cellStyle name="注释 3 2 2 4 2" xfId="20528"/>
    <cellStyle name="注释 3 2 2 4 2 2" xfId="39486"/>
    <cellStyle name="注释 3 2 2 4 3" xfId="23185"/>
    <cellStyle name="注释 3 2 2 4 4" xfId="39485"/>
    <cellStyle name="注释 3 2 2 5" xfId="10728"/>
    <cellStyle name="注释 3 2 2 5 2" xfId="39487"/>
    <cellStyle name="注释 3 2 2 6" xfId="21903"/>
    <cellStyle name="注释 3 2 2 7" xfId="39476"/>
    <cellStyle name="注释 3 2 3" xfId="5493"/>
    <cellStyle name="注释 3 2 3 2" xfId="17162"/>
    <cellStyle name="注释 3 2 3 2 2" xfId="17163"/>
    <cellStyle name="注释 3 2 3 2 2 2" xfId="9103"/>
    <cellStyle name="注释 3 2 3 2 2 2 2" xfId="39491"/>
    <cellStyle name="注释 3 2 3 2 2 3" xfId="23187"/>
    <cellStyle name="注释 3 2 3 2 2 4" xfId="39490"/>
    <cellStyle name="注释 3 2 3 2 3" xfId="17164"/>
    <cellStyle name="注释 3 2 3 2 3 2" xfId="9104"/>
    <cellStyle name="注释 3 2 3 2 3 2 2" xfId="39493"/>
    <cellStyle name="注释 3 2 3 2 3 3" xfId="23188"/>
    <cellStyle name="注释 3 2 3 2 3 4" xfId="39492"/>
    <cellStyle name="注释 3 2 3 2 4" xfId="9102"/>
    <cellStyle name="注释 3 2 3 2 4 2" xfId="39494"/>
    <cellStyle name="注释 3 2 3 2 5" xfId="23186"/>
    <cellStyle name="注释 3 2 3 2 6" xfId="39489"/>
    <cellStyle name="注释 3 2 3 3" xfId="17165"/>
    <cellStyle name="注释 3 2 3 3 2" xfId="9105"/>
    <cellStyle name="注释 3 2 3 3 2 2" xfId="39496"/>
    <cellStyle name="注释 3 2 3 3 3" xfId="23189"/>
    <cellStyle name="注释 3 2 3 3 4" xfId="39495"/>
    <cellStyle name="注释 3 2 3 4" xfId="17166"/>
    <cellStyle name="注释 3 2 3 4 2" xfId="9106"/>
    <cellStyle name="注释 3 2 3 4 2 2" xfId="39498"/>
    <cellStyle name="注释 3 2 3 4 3" xfId="23190"/>
    <cellStyle name="注释 3 2 3 4 4" xfId="39497"/>
    <cellStyle name="注释 3 2 3 5" xfId="10729"/>
    <cellStyle name="注释 3 2 3 5 2" xfId="39499"/>
    <cellStyle name="注释 3 2 3 6" xfId="21904"/>
    <cellStyle name="注释 3 2 3 7" xfId="39488"/>
    <cellStyle name="注释 3 2 4" xfId="10730"/>
    <cellStyle name="注释 3 2 4 2" xfId="17167"/>
    <cellStyle name="注释 3 2 4 2 2" xfId="17168"/>
    <cellStyle name="注释 3 2 4 2 2 2" xfId="9107"/>
    <cellStyle name="注释 3 2 4 2 2 2 2" xfId="39503"/>
    <cellStyle name="注释 3 2 4 2 2 3" xfId="23192"/>
    <cellStyle name="注释 3 2 4 2 2 4" xfId="39502"/>
    <cellStyle name="注释 3 2 4 2 3" xfId="17169"/>
    <cellStyle name="注释 3 2 4 2 3 2" xfId="9108"/>
    <cellStyle name="注释 3 2 4 2 3 2 2" xfId="39505"/>
    <cellStyle name="注释 3 2 4 2 3 3" xfId="23193"/>
    <cellStyle name="注释 3 2 4 2 3 4" xfId="39504"/>
    <cellStyle name="注释 3 2 4 2 4" xfId="20527"/>
    <cellStyle name="注释 3 2 4 2 4 2" xfId="39506"/>
    <cellStyle name="注释 3 2 4 2 5" xfId="23191"/>
    <cellStyle name="注释 3 2 4 2 6" xfId="39501"/>
    <cellStyle name="注释 3 2 4 3" xfId="17170"/>
    <cellStyle name="注释 3 2 4 3 2" xfId="9109"/>
    <cellStyle name="注释 3 2 4 3 2 2" xfId="39508"/>
    <cellStyle name="注释 3 2 4 3 3" xfId="23194"/>
    <cellStyle name="注释 3 2 4 3 4" xfId="39507"/>
    <cellStyle name="注释 3 2 4 4" xfId="17171"/>
    <cellStyle name="注释 3 2 4 4 2" xfId="9110"/>
    <cellStyle name="注释 3 2 4 4 2 2" xfId="39510"/>
    <cellStyle name="注释 3 2 4 4 3" xfId="23195"/>
    <cellStyle name="注释 3 2 4 4 4" xfId="39509"/>
    <cellStyle name="注释 3 2 4 5" xfId="17864"/>
    <cellStyle name="注释 3 2 4 5 2" xfId="39511"/>
    <cellStyle name="注释 3 2 4 6" xfId="39500"/>
    <cellStyle name="注释 3 2 5" xfId="10731"/>
    <cellStyle name="注释 3 2 5 2" xfId="17172"/>
    <cellStyle name="注释 3 2 5 2 2" xfId="17173"/>
    <cellStyle name="注释 3 2 5 2 2 2" xfId="9112"/>
    <cellStyle name="注释 3 2 5 2 2 2 2" xfId="39515"/>
    <cellStyle name="注释 3 2 5 2 2 3" xfId="23197"/>
    <cellStyle name="注释 3 2 5 2 2 4" xfId="39514"/>
    <cellStyle name="注释 3 2 5 2 3" xfId="17174"/>
    <cellStyle name="注释 3 2 5 2 3 2" xfId="9113"/>
    <cellStyle name="注释 3 2 5 2 3 2 2" xfId="39517"/>
    <cellStyle name="注释 3 2 5 2 3 3" xfId="23198"/>
    <cellStyle name="注释 3 2 5 2 3 4" xfId="39516"/>
    <cellStyle name="注释 3 2 5 2 4" xfId="9111"/>
    <cellStyle name="注释 3 2 5 2 4 2" xfId="39518"/>
    <cellStyle name="注释 3 2 5 2 5" xfId="23196"/>
    <cellStyle name="注释 3 2 5 2 6" xfId="39513"/>
    <cellStyle name="注释 3 2 5 3" xfId="17175"/>
    <cellStyle name="注释 3 2 5 3 2" xfId="18519"/>
    <cellStyle name="注释 3 2 5 3 2 2" xfId="39520"/>
    <cellStyle name="注释 3 2 5 3 3" xfId="23199"/>
    <cellStyle name="注释 3 2 5 3 4" xfId="39519"/>
    <cellStyle name="注释 3 2 5 4" xfId="17176"/>
    <cellStyle name="注释 3 2 5 4 2" xfId="20526"/>
    <cellStyle name="注释 3 2 5 4 2 2" xfId="39522"/>
    <cellStyle name="注释 3 2 5 4 3" xfId="23200"/>
    <cellStyle name="注释 3 2 5 4 4" xfId="39521"/>
    <cellStyle name="注释 3 2 5 5" xfId="18865"/>
    <cellStyle name="注释 3 2 5 5 2" xfId="39523"/>
    <cellStyle name="注释 3 2 5 6" xfId="39512"/>
    <cellStyle name="注释 3 2 6" xfId="10732"/>
    <cellStyle name="注释 3 2 6 2" xfId="17177"/>
    <cellStyle name="注释 3 2 6 2 2" xfId="17178"/>
    <cellStyle name="注释 3 2 6 2 2 2" xfId="9115"/>
    <cellStyle name="注释 3 2 6 2 2 2 2" xfId="39527"/>
    <cellStyle name="注释 3 2 6 2 2 3" xfId="23202"/>
    <cellStyle name="注释 3 2 6 2 2 4" xfId="39526"/>
    <cellStyle name="注释 3 2 6 2 3" xfId="9114"/>
    <cellStyle name="注释 3 2 6 2 3 2" xfId="39528"/>
    <cellStyle name="注释 3 2 6 2 4" xfId="23201"/>
    <cellStyle name="注释 3 2 6 2 5" xfId="39525"/>
    <cellStyle name="注释 3 2 6 3" xfId="17179"/>
    <cellStyle name="注释 3 2 6 3 2" xfId="9116"/>
    <cellStyle name="注释 3 2 6 3 2 2" xfId="39530"/>
    <cellStyle name="注释 3 2 6 3 3" xfId="23203"/>
    <cellStyle name="注释 3 2 6 3 4" xfId="39529"/>
    <cellStyle name="注释 3 2 6 4" xfId="21905"/>
    <cellStyle name="注释 3 2 6 4 2" xfId="39531"/>
    <cellStyle name="注释 3 2 6 5" xfId="39524"/>
    <cellStyle name="注释 3 2 7" xfId="17180"/>
    <cellStyle name="注释 3 2 7 2" xfId="17181"/>
    <cellStyle name="注释 3 2 7 2 2" xfId="9118"/>
    <cellStyle name="注释 3 2 7 2 2 2" xfId="39534"/>
    <cellStyle name="注释 3 2 7 2 3" xfId="23205"/>
    <cellStyle name="注释 3 2 7 2 4" xfId="39533"/>
    <cellStyle name="注释 3 2 7 3" xfId="17182"/>
    <cellStyle name="注释 3 2 7 3 2" xfId="20525"/>
    <cellStyle name="注释 3 2 7 3 2 2" xfId="39536"/>
    <cellStyle name="注释 3 2 7 3 3" xfId="23206"/>
    <cellStyle name="注释 3 2 7 3 4" xfId="39535"/>
    <cellStyle name="注释 3 2 7 4" xfId="9117"/>
    <cellStyle name="注释 3 2 7 4 2" xfId="39537"/>
    <cellStyle name="注释 3 2 7 5" xfId="23204"/>
    <cellStyle name="注释 3 2 7 6" xfId="39532"/>
    <cellStyle name="注释 3 2 8" xfId="17183"/>
    <cellStyle name="注释 3 2 8 2" xfId="9119"/>
    <cellStyle name="注释 3 2 8 2 2" xfId="39539"/>
    <cellStyle name="注释 3 2 8 3" xfId="23207"/>
    <cellStyle name="注释 3 2 8 4" xfId="39538"/>
    <cellStyle name="注释 3 2 9" xfId="17184"/>
    <cellStyle name="注释 3 2 9 2" xfId="9120"/>
    <cellStyle name="注释 3 2 9 2 2" xfId="39541"/>
    <cellStyle name="注释 3 2 9 3" xfId="23208"/>
    <cellStyle name="注释 3 2 9 4" xfId="39540"/>
    <cellStyle name="注释 3 3" xfId="5494"/>
    <cellStyle name="注释 3 3 2" xfId="17185"/>
    <cellStyle name="注释 3 3 2 2" xfId="17186"/>
    <cellStyle name="注释 3 3 2 2 2" xfId="9122"/>
    <cellStyle name="注释 3 3 2 2 2 2" xfId="39545"/>
    <cellStyle name="注释 3 3 2 2 3" xfId="23210"/>
    <cellStyle name="注释 3 3 2 2 4" xfId="39544"/>
    <cellStyle name="注释 3 3 2 3" xfId="17187"/>
    <cellStyle name="注释 3 3 2 3 2" xfId="9123"/>
    <cellStyle name="注释 3 3 2 3 2 2" xfId="39547"/>
    <cellStyle name="注释 3 3 2 3 3" xfId="23211"/>
    <cellStyle name="注释 3 3 2 3 4" xfId="39546"/>
    <cellStyle name="注释 3 3 2 4" xfId="9121"/>
    <cellStyle name="注释 3 3 2 4 2" xfId="39548"/>
    <cellStyle name="注释 3 3 2 5" xfId="23209"/>
    <cellStyle name="注释 3 3 2 6" xfId="39543"/>
    <cellStyle name="注释 3 3 3" xfId="17188"/>
    <cellStyle name="注释 3 3 3 2" xfId="20524"/>
    <cellStyle name="注释 3 3 3 2 2" xfId="39550"/>
    <cellStyle name="注释 3 3 3 3" xfId="23212"/>
    <cellStyle name="注释 3 3 3 4" xfId="39549"/>
    <cellStyle name="注释 3 3 4" xfId="17189"/>
    <cellStyle name="注释 3 3 4 2" xfId="9124"/>
    <cellStyle name="注释 3 3 4 2 2" xfId="39552"/>
    <cellStyle name="注释 3 3 4 3" xfId="23213"/>
    <cellStyle name="注释 3 3 4 4" xfId="39551"/>
    <cellStyle name="注释 3 3 5" xfId="10733"/>
    <cellStyle name="注释 3 3 5 2" xfId="39553"/>
    <cellStyle name="注释 3 3 5 2 2" xfId="60791"/>
    <cellStyle name="注释 3 3 5 3" xfId="60792"/>
    <cellStyle name="注释 3 3 6" xfId="21906"/>
    <cellStyle name="注释 3 3 6 2" xfId="60793"/>
    <cellStyle name="注释 3 3 6 2 2" xfId="60794"/>
    <cellStyle name="注释 3 3 6 3" xfId="60795"/>
    <cellStyle name="注释 3 3 7" xfId="39542"/>
    <cellStyle name="注释 3 4" xfId="5495"/>
    <cellStyle name="注释 3 4 2" xfId="17190"/>
    <cellStyle name="注释 3 4 2 2" xfId="17191"/>
    <cellStyle name="注释 3 4 2 2 2" xfId="9126"/>
    <cellStyle name="注释 3 4 2 2 2 2" xfId="39557"/>
    <cellStyle name="注释 3 4 2 2 3" xfId="23215"/>
    <cellStyle name="注释 3 4 2 2 4" xfId="39556"/>
    <cellStyle name="注释 3 4 2 3" xfId="17192"/>
    <cellStyle name="注释 3 4 2 3 2" xfId="9127"/>
    <cellStyle name="注释 3 4 2 3 2 2" xfId="39559"/>
    <cellStyle name="注释 3 4 2 3 3" xfId="23216"/>
    <cellStyle name="注释 3 4 2 3 4" xfId="39558"/>
    <cellStyle name="注释 3 4 2 4" xfId="9125"/>
    <cellStyle name="注释 3 4 2 4 2" xfId="39560"/>
    <cellStyle name="注释 3 4 2 5" xfId="23214"/>
    <cellStyle name="注释 3 4 2 6" xfId="39555"/>
    <cellStyle name="注释 3 4 3" xfId="17193"/>
    <cellStyle name="注释 3 4 3 2" xfId="9128"/>
    <cellStyle name="注释 3 4 3 2 2" xfId="39562"/>
    <cellStyle name="注释 3 4 3 3" xfId="23217"/>
    <cellStyle name="注释 3 4 3 4" xfId="39561"/>
    <cellStyle name="注释 3 4 4" xfId="17194"/>
    <cellStyle name="注释 3 4 4 2" xfId="20523"/>
    <cellStyle name="注释 3 4 4 2 2" xfId="39564"/>
    <cellStyle name="注释 3 4 4 3" xfId="23218"/>
    <cellStyle name="注释 3 4 4 4" xfId="39563"/>
    <cellStyle name="注释 3 4 5" xfId="10734"/>
    <cellStyle name="注释 3 4 5 2" xfId="39565"/>
    <cellStyle name="注释 3 4 5 2 2" xfId="60796"/>
    <cellStyle name="注释 3 4 5 3" xfId="60797"/>
    <cellStyle name="注释 3 4 6" xfId="21907"/>
    <cellStyle name="注释 3 4 6 2" xfId="60798"/>
    <cellStyle name="注释 3 4 6 2 2" xfId="60799"/>
    <cellStyle name="注释 3 4 6 3" xfId="60800"/>
    <cellStyle name="注释 3 4 7" xfId="39554"/>
    <cellStyle name="注释 3 5" xfId="5496"/>
    <cellStyle name="注释 3 5 2" xfId="17195"/>
    <cellStyle name="注释 3 5 2 2" xfId="17196"/>
    <cellStyle name="注释 3 5 2 2 2" xfId="9130"/>
    <cellStyle name="注释 3 5 2 2 2 2" xfId="39569"/>
    <cellStyle name="注释 3 5 2 2 3" xfId="23220"/>
    <cellStyle name="注释 3 5 2 2 4" xfId="39568"/>
    <cellStyle name="注释 3 5 2 3" xfId="17197"/>
    <cellStyle name="注释 3 5 2 3 2" xfId="9131"/>
    <cellStyle name="注释 3 5 2 3 2 2" xfId="39571"/>
    <cellStyle name="注释 3 5 2 3 3" xfId="23221"/>
    <cellStyle name="注释 3 5 2 3 4" xfId="39570"/>
    <cellStyle name="注释 3 5 2 4" xfId="9129"/>
    <cellStyle name="注释 3 5 2 4 2" xfId="39572"/>
    <cellStyle name="注释 3 5 2 5" xfId="23219"/>
    <cellStyle name="注释 3 5 2 6" xfId="39567"/>
    <cellStyle name="注释 3 5 3" xfId="17198"/>
    <cellStyle name="注释 3 5 3 2" xfId="9132"/>
    <cellStyle name="注释 3 5 3 2 2" xfId="39574"/>
    <cellStyle name="注释 3 5 3 3" xfId="23222"/>
    <cellStyle name="注释 3 5 3 4" xfId="39573"/>
    <cellStyle name="注释 3 5 4" xfId="17199"/>
    <cellStyle name="注释 3 5 4 2" xfId="9133"/>
    <cellStyle name="注释 3 5 4 2 2" xfId="39576"/>
    <cellStyle name="注释 3 5 4 3" xfId="23223"/>
    <cellStyle name="注释 3 5 4 4" xfId="39575"/>
    <cellStyle name="注释 3 5 5" xfId="10735"/>
    <cellStyle name="注释 3 5 5 2" xfId="39577"/>
    <cellStyle name="注释 3 5 5 2 2" xfId="60801"/>
    <cellStyle name="注释 3 5 5 3" xfId="60802"/>
    <cellStyle name="注释 3 5 6" xfId="21908"/>
    <cellStyle name="注释 3 5 6 2" xfId="60803"/>
    <cellStyle name="注释 3 5 6 2 2" xfId="60804"/>
    <cellStyle name="注释 3 5 6 3" xfId="60805"/>
    <cellStyle name="注释 3 5 7" xfId="39566"/>
    <cellStyle name="注释 3 6" xfId="5497"/>
    <cellStyle name="注释 3 6 2" xfId="17200"/>
    <cellStyle name="注释 3 6 2 2" xfId="17201"/>
    <cellStyle name="注释 3 6 2 2 2" xfId="9134"/>
    <cellStyle name="注释 3 6 2 2 2 2" xfId="39581"/>
    <cellStyle name="注释 3 6 2 2 3" xfId="23225"/>
    <cellStyle name="注释 3 6 2 2 4" xfId="39580"/>
    <cellStyle name="注释 3 6 2 3" xfId="17202"/>
    <cellStyle name="注释 3 6 2 3 2" xfId="9135"/>
    <cellStyle name="注释 3 6 2 3 2 2" xfId="39583"/>
    <cellStyle name="注释 3 6 2 3 3" xfId="23226"/>
    <cellStyle name="注释 3 6 2 3 4" xfId="39582"/>
    <cellStyle name="注释 3 6 2 4" xfId="20522"/>
    <cellStyle name="注释 3 6 2 4 2" xfId="39584"/>
    <cellStyle name="注释 3 6 2 5" xfId="23224"/>
    <cellStyle name="注释 3 6 2 6" xfId="39579"/>
    <cellStyle name="注释 3 6 3" xfId="17203"/>
    <cellStyle name="注释 3 6 3 2" xfId="9136"/>
    <cellStyle name="注释 3 6 3 2 2" xfId="39586"/>
    <cellStyle name="注释 3 6 3 3" xfId="23227"/>
    <cellStyle name="注释 3 6 3 4" xfId="39585"/>
    <cellStyle name="注释 3 6 4" xfId="17204"/>
    <cellStyle name="注释 3 6 4 2" xfId="9137"/>
    <cellStyle name="注释 3 6 4 2 2" xfId="39588"/>
    <cellStyle name="注释 3 6 4 3" xfId="23228"/>
    <cellStyle name="注释 3 6 4 4" xfId="39587"/>
    <cellStyle name="注释 3 6 5" xfId="10736"/>
    <cellStyle name="注释 3 6 5 2" xfId="39589"/>
    <cellStyle name="注释 3 6 5 2 2" xfId="60806"/>
    <cellStyle name="注释 3 6 5 3" xfId="60807"/>
    <cellStyle name="注释 3 6 6" xfId="21909"/>
    <cellStyle name="注释 3 6 6 2" xfId="60808"/>
    <cellStyle name="注释 3 6 6 2 2" xfId="60809"/>
    <cellStyle name="注释 3 6 6 3" xfId="60810"/>
    <cellStyle name="注释 3 6 7" xfId="39578"/>
    <cellStyle name="注释 3 7" xfId="5498"/>
    <cellStyle name="注释 3 7 2" xfId="17205"/>
    <cellStyle name="注释 3 7 2 2" xfId="17206"/>
    <cellStyle name="注释 3 7 2 2 2" xfId="9149"/>
    <cellStyle name="注释 3 7 2 2 2 2" xfId="39593"/>
    <cellStyle name="注释 3 7 2 2 3" xfId="23230"/>
    <cellStyle name="注释 3 7 2 2 4" xfId="39592"/>
    <cellStyle name="注释 3 7 2 3" xfId="9146"/>
    <cellStyle name="注释 3 7 2 3 2" xfId="39594"/>
    <cellStyle name="注释 3 7 2 4" xfId="23229"/>
    <cellStyle name="注释 3 7 2 5" xfId="39591"/>
    <cellStyle name="注释 3 7 3" xfId="17207"/>
    <cellStyle name="注释 3 7 3 2" xfId="9150"/>
    <cellStyle name="注释 3 7 3 2 2" xfId="39596"/>
    <cellStyle name="注释 3 7 3 3" xfId="23231"/>
    <cellStyle name="注释 3 7 3 4" xfId="39595"/>
    <cellStyle name="注释 3 7 4" xfId="10737"/>
    <cellStyle name="注释 3 7 4 2" xfId="39597"/>
    <cellStyle name="注释 3 7 4 2 2" xfId="60811"/>
    <cellStyle name="注释 3 7 4 3" xfId="60812"/>
    <cellStyle name="注释 3 7 5" xfId="21910"/>
    <cellStyle name="注释 3 7 5 2" xfId="60813"/>
    <cellStyle name="注释 3 7 5 2 2" xfId="60814"/>
    <cellStyle name="注释 3 7 5 3" xfId="60815"/>
    <cellStyle name="注释 3 7 6" xfId="39590"/>
    <cellStyle name="注释 3 7 6 2" xfId="60816"/>
    <cellStyle name="注释 3 7 6 2 2" xfId="60817"/>
    <cellStyle name="注释 3 7 6 3" xfId="60818"/>
    <cellStyle name="注释 3 7 7" xfId="60819"/>
    <cellStyle name="注释 3 8" xfId="17208"/>
    <cellStyle name="注释 3 8 2" xfId="17209"/>
    <cellStyle name="注释 3 8 2 2" xfId="18518"/>
    <cellStyle name="注释 3 8 2 2 2" xfId="39600"/>
    <cellStyle name="注释 3 8 2 3" xfId="23233"/>
    <cellStyle name="注释 3 8 2 4" xfId="39599"/>
    <cellStyle name="注释 3 8 3" xfId="17210"/>
    <cellStyle name="注释 3 8 3 2" xfId="18517"/>
    <cellStyle name="注释 3 8 3 2 2" xfId="39602"/>
    <cellStyle name="注释 3 8 3 3" xfId="23234"/>
    <cellStyle name="注释 3 8 3 4" xfId="39601"/>
    <cellStyle name="注释 3 8 4" xfId="9152"/>
    <cellStyle name="注释 3 8 4 2" xfId="39603"/>
    <cellStyle name="注释 3 8 4 2 2" xfId="60820"/>
    <cellStyle name="注释 3 8 4 3" xfId="60821"/>
    <cellStyle name="注释 3 8 5" xfId="23232"/>
    <cellStyle name="注释 3 8 5 2" xfId="60822"/>
    <cellStyle name="注释 3 8 6" xfId="39598"/>
    <cellStyle name="注释 3 9" xfId="17211"/>
    <cellStyle name="注释 3 9 2" xfId="9159"/>
    <cellStyle name="注释 3 9 2 2" xfId="39605"/>
    <cellStyle name="注释 3 9 2 2 2" xfId="60823"/>
    <cellStyle name="注释 3 9 2 3" xfId="60824"/>
    <cellStyle name="注释 3 9 2 4" xfId="60825"/>
    <cellStyle name="注释 3 9 3" xfId="23235"/>
    <cellStyle name="注释 3 9 3 2" xfId="60826"/>
    <cellStyle name="注释 3 9 4" xfId="39604"/>
    <cellStyle name="注释 3 9 5" xfId="60827"/>
    <cellStyle name="注释 4" xfId="5499"/>
    <cellStyle name="注释 4 10" xfId="10738"/>
    <cellStyle name="注释 4 10 2" xfId="39608"/>
    <cellStyle name="注释 4 10 3" xfId="39607"/>
    <cellStyle name="注释 4 11" xfId="21911"/>
    <cellStyle name="注释 4 11 2" xfId="39609"/>
    <cellStyle name="注释 4 12" xfId="39606"/>
    <cellStyle name="注释 4 2" xfId="5500"/>
    <cellStyle name="注释 4 2 2" xfId="17212"/>
    <cellStyle name="注释 4 2 2 2" xfId="17213"/>
    <cellStyle name="注释 4 2 2 2 2" xfId="9161"/>
    <cellStyle name="注释 4 2 2 2 2 2" xfId="39613"/>
    <cellStyle name="注释 4 2 2 2 3" xfId="23237"/>
    <cellStyle name="注释 4 2 2 2 4" xfId="39612"/>
    <cellStyle name="注释 4 2 2 3" xfId="17214"/>
    <cellStyle name="注释 4 2 2 3 2" xfId="9162"/>
    <cellStyle name="注释 4 2 2 3 2 2" xfId="39615"/>
    <cellStyle name="注释 4 2 2 3 3" xfId="23238"/>
    <cellStyle name="注释 4 2 2 3 4" xfId="39614"/>
    <cellStyle name="注释 4 2 2 4" xfId="9160"/>
    <cellStyle name="注释 4 2 2 4 2" xfId="39616"/>
    <cellStyle name="注释 4 2 2 5" xfId="23236"/>
    <cellStyle name="注释 4 2 2 6" xfId="39611"/>
    <cellStyle name="注释 4 2 3" xfId="17215"/>
    <cellStyle name="注释 4 2 3 2" xfId="9163"/>
    <cellStyle name="注释 4 2 3 2 2" xfId="39618"/>
    <cellStyle name="注释 4 2 3 3" xfId="23239"/>
    <cellStyle name="注释 4 2 3 4" xfId="39617"/>
    <cellStyle name="注释 4 2 4" xfId="17216"/>
    <cellStyle name="注释 4 2 4 2" xfId="20521"/>
    <cellStyle name="注释 4 2 4 2 2" xfId="39620"/>
    <cellStyle name="注释 4 2 4 3" xfId="23240"/>
    <cellStyle name="注释 4 2 4 4" xfId="39619"/>
    <cellStyle name="注释 4 2 5" xfId="10739"/>
    <cellStyle name="注释 4 2 5 2" xfId="39621"/>
    <cellStyle name="注释 4 2 6" xfId="17865"/>
    <cellStyle name="注释 4 2 7" xfId="39610"/>
    <cellStyle name="注释 4 3" xfId="10740"/>
    <cellStyle name="注释 4 3 2" xfId="17217"/>
    <cellStyle name="注释 4 3 2 2" xfId="17218"/>
    <cellStyle name="注释 4 3 2 2 2" xfId="9166"/>
    <cellStyle name="注释 4 3 2 2 2 2" xfId="39625"/>
    <cellStyle name="注释 4 3 2 2 3" xfId="23242"/>
    <cellStyle name="注释 4 3 2 2 4" xfId="39624"/>
    <cellStyle name="注释 4 3 2 3" xfId="17219"/>
    <cellStyle name="注释 4 3 2 3 2" xfId="9169"/>
    <cellStyle name="注释 4 3 2 3 2 2" xfId="39627"/>
    <cellStyle name="注释 4 3 2 3 3" xfId="23243"/>
    <cellStyle name="注释 4 3 2 3 4" xfId="39626"/>
    <cellStyle name="注释 4 3 2 4" xfId="9164"/>
    <cellStyle name="注释 4 3 2 4 2" xfId="39628"/>
    <cellStyle name="注释 4 3 2 5" xfId="23241"/>
    <cellStyle name="注释 4 3 2 6" xfId="39623"/>
    <cellStyle name="注释 4 3 3" xfId="17220"/>
    <cellStyle name="注释 4 3 3 2" xfId="9170"/>
    <cellStyle name="注释 4 3 3 2 2" xfId="39630"/>
    <cellStyle name="注释 4 3 3 3" xfId="23244"/>
    <cellStyle name="注释 4 3 3 4" xfId="39629"/>
    <cellStyle name="注释 4 3 4" xfId="17221"/>
    <cellStyle name="注释 4 3 4 2" xfId="9171"/>
    <cellStyle name="注释 4 3 4 2 2" xfId="39632"/>
    <cellStyle name="注释 4 3 4 3" xfId="23245"/>
    <cellStyle name="注释 4 3 4 4" xfId="39631"/>
    <cellStyle name="注释 4 3 5" xfId="17866"/>
    <cellStyle name="注释 4 3 5 2" xfId="39633"/>
    <cellStyle name="注释 4 3 6" xfId="39622"/>
    <cellStyle name="注释 4 4" xfId="10741"/>
    <cellStyle name="注释 4 4 2" xfId="17222"/>
    <cellStyle name="注释 4 4 2 2" xfId="17223"/>
    <cellStyle name="注释 4 4 2 2 2" xfId="9173"/>
    <cellStyle name="注释 4 4 2 2 2 2" xfId="39637"/>
    <cellStyle name="注释 4 4 2 2 3" xfId="23247"/>
    <cellStyle name="注释 4 4 2 2 4" xfId="39636"/>
    <cellStyle name="注释 4 4 2 3" xfId="17224"/>
    <cellStyle name="注释 4 4 2 3 2" xfId="9174"/>
    <cellStyle name="注释 4 4 2 3 2 2" xfId="39639"/>
    <cellStyle name="注释 4 4 2 3 3" xfId="23248"/>
    <cellStyle name="注释 4 4 2 3 4" xfId="39638"/>
    <cellStyle name="注释 4 4 2 4" xfId="20520"/>
    <cellStyle name="注释 4 4 2 4 2" xfId="39640"/>
    <cellStyle name="注释 4 4 2 5" xfId="23246"/>
    <cellStyle name="注释 4 4 2 6" xfId="39635"/>
    <cellStyle name="注释 4 4 3" xfId="17225"/>
    <cellStyle name="注释 4 4 3 2" xfId="9178"/>
    <cellStyle name="注释 4 4 3 2 2" xfId="39642"/>
    <cellStyle name="注释 4 4 3 3" xfId="23249"/>
    <cellStyle name="注释 4 4 3 4" xfId="39641"/>
    <cellStyle name="注释 4 4 4" xfId="17226"/>
    <cellStyle name="注释 4 4 4 2" xfId="9179"/>
    <cellStyle name="注释 4 4 4 2 2" xfId="39644"/>
    <cellStyle name="注释 4 4 4 3" xfId="23250"/>
    <cellStyle name="注释 4 4 4 4" xfId="39643"/>
    <cellStyle name="注释 4 4 5" xfId="21912"/>
    <cellStyle name="注释 4 4 5 2" xfId="39645"/>
    <cellStyle name="注释 4 4 6" xfId="39634"/>
    <cellStyle name="注释 4 5" xfId="10742"/>
    <cellStyle name="注释 4 5 2" xfId="17227"/>
    <cellStyle name="注释 4 5 2 2" xfId="17228"/>
    <cellStyle name="注释 4 5 2 2 2" xfId="20519"/>
    <cellStyle name="注释 4 5 2 2 2 2" xfId="39649"/>
    <cellStyle name="注释 4 5 2 2 3" xfId="23252"/>
    <cellStyle name="注释 4 5 2 2 4" xfId="39648"/>
    <cellStyle name="注释 4 5 2 3" xfId="17229"/>
    <cellStyle name="注释 4 5 2 3 2" xfId="9199"/>
    <cellStyle name="注释 4 5 2 3 2 2" xfId="39651"/>
    <cellStyle name="注释 4 5 2 3 3" xfId="23253"/>
    <cellStyle name="注释 4 5 2 3 4" xfId="39650"/>
    <cellStyle name="注释 4 5 2 4" xfId="9185"/>
    <cellStyle name="注释 4 5 2 4 2" xfId="39652"/>
    <cellStyle name="注释 4 5 2 5" xfId="23251"/>
    <cellStyle name="注释 4 5 2 6" xfId="39647"/>
    <cellStyle name="注释 4 5 3" xfId="17230"/>
    <cellStyle name="注释 4 5 3 2" xfId="9208"/>
    <cellStyle name="注释 4 5 3 2 2" xfId="39654"/>
    <cellStyle name="注释 4 5 3 3" xfId="23254"/>
    <cellStyle name="注释 4 5 3 4" xfId="39653"/>
    <cellStyle name="注释 4 5 4" xfId="17231"/>
    <cellStyle name="注释 4 5 4 2" xfId="9209"/>
    <cellStyle name="注释 4 5 4 2 2" xfId="39656"/>
    <cellStyle name="注释 4 5 4 3" xfId="23255"/>
    <cellStyle name="注释 4 5 4 4" xfId="39655"/>
    <cellStyle name="注释 4 5 5" xfId="21913"/>
    <cellStyle name="注释 4 5 5 2" xfId="39657"/>
    <cellStyle name="注释 4 5 6" xfId="39646"/>
    <cellStyle name="注释 4 6" xfId="10743"/>
    <cellStyle name="注释 4 6 2" xfId="17232"/>
    <cellStyle name="注释 4 6 2 2" xfId="17233"/>
    <cellStyle name="注释 4 6 2 2 2" xfId="9237"/>
    <cellStyle name="注释 4 6 2 2 2 2" xfId="39661"/>
    <cellStyle name="注释 4 6 2 2 3" xfId="23257"/>
    <cellStyle name="注释 4 6 2 2 4" xfId="39660"/>
    <cellStyle name="注释 4 6 2 3" xfId="9236"/>
    <cellStyle name="注释 4 6 2 3 2" xfId="39662"/>
    <cellStyle name="注释 4 6 2 4" xfId="23256"/>
    <cellStyle name="注释 4 6 2 5" xfId="39659"/>
    <cellStyle name="注释 4 6 3" xfId="17234"/>
    <cellStyle name="注释 4 6 3 2" xfId="20518"/>
    <cellStyle name="注释 4 6 3 2 2" xfId="39664"/>
    <cellStyle name="注释 4 6 3 3" xfId="23258"/>
    <cellStyle name="注释 4 6 3 4" xfId="39663"/>
    <cellStyle name="注释 4 6 4" xfId="21914"/>
    <cellStyle name="注释 4 6 4 2" xfId="39665"/>
    <cellStyle name="注释 4 6 5" xfId="39658"/>
    <cellStyle name="注释 4 7" xfId="17235"/>
    <cellStyle name="注释 4 7 2" xfId="17236"/>
    <cellStyle name="注释 4 7 2 2" xfId="9249"/>
    <cellStyle name="注释 4 7 2 2 2" xfId="39668"/>
    <cellStyle name="注释 4 7 2 3" xfId="23260"/>
    <cellStyle name="注释 4 7 2 4" xfId="39667"/>
    <cellStyle name="注释 4 7 3" xfId="17237"/>
    <cellStyle name="注释 4 7 3 2" xfId="9250"/>
    <cellStyle name="注释 4 7 3 2 2" xfId="39670"/>
    <cellStyle name="注释 4 7 3 3" xfId="23261"/>
    <cellStyle name="注释 4 7 3 4" xfId="39669"/>
    <cellStyle name="注释 4 7 4" xfId="9247"/>
    <cellStyle name="注释 4 7 4 2" xfId="39671"/>
    <cellStyle name="注释 4 7 5" xfId="23259"/>
    <cellStyle name="注释 4 7 6" xfId="39666"/>
    <cellStyle name="注释 4 8" xfId="17238"/>
    <cellStyle name="注释 4 8 2" xfId="9251"/>
    <cellStyle name="注释 4 8 2 2" xfId="39673"/>
    <cellStyle name="注释 4 8 3" xfId="23262"/>
    <cellStyle name="注释 4 8 4" xfId="39672"/>
    <cellStyle name="注释 4 9" xfId="17239"/>
    <cellStyle name="注释 4 9 2" xfId="9252"/>
    <cellStyle name="注释 4 9 2 2" xfId="39675"/>
    <cellStyle name="注释 4 9 3" xfId="23263"/>
    <cellStyle name="注释 4 9 4" xfId="39674"/>
    <cellStyle name="注释 5" xfId="10744"/>
    <cellStyle name="注释 5 10" xfId="18866"/>
    <cellStyle name="注释 5 10 2" xfId="39678"/>
    <cellStyle name="注释 5 10 3" xfId="39677"/>
    <cellStyle name="注释 5 11" xfId="39679"/>
    <cellStyle name="注释 5 12" xfId="39676"/>
    <cellStyle name="注释 5 2" xfId="10745"/>
    <cellStyle name="注释 5 2 2" xfId="17240"/>
    <cellStyle name="注释 5 2 2 2" xfId="17241"/>
    <cellStyle name="注释 5 2 2 2 2" xfId="9254"/>
    <cellStyle name="注释 5 2 2 2 2 2" xfId="39683"/>
    <cellStyle name="注释 5 2 2 2 3" xfId="23265"/>
    <cellStyle name="注释 5 2 2 2 4" xfId="39682"/>
    <cellStyle name="注释 5 2 2 3" xfId="17242"/>
    <cellStyle name="注释 5 2 2 3 2" xfId="9255"/>
    <cellStyle name="注释 5 2 2 3 2 2" xfId="39685"/>
    <cellStyle name="注释 5 2 2 3 3" xfId="23266"/>
    <cellStyle name="注释 5 2 2 3 4" xfId="39684"/>
    <cellStyle name="注释 5 2 2 4" xfId="9253"/>
    <cellStyle name="注释 5 2 2 4 2" xfId="39686"/>
    <cellStyle name="注释 5 2 2 5" xfId="23264"/>
    <cellStyle name="注释 5 2 2 6" xfId="39681"/>
    <cellStyle name="注释 5 2 3" xfId="17243"/>
    <cellStyle name="注释 5 2 3 2" xfId="20517"/>
    <cellStyle name="注释 5 2 3 2 2" xfId="39688"/>
    <cellStyle name="注释 5 2 3 3" xfId="23267"/>
    <cellStyle name="注释 5 2 3 4" xfId="39687"/>
    <cellStyle name="注释 5 2 4" xfId="17244"/>
    <cellStyle name="注释 5 2 4 2" xfId="20516"/>
    <cellStyle name="注释 5 2 4 2 2" xfId="39690"/>
    <cellStyle name="注释 5 2 4 3" xfId="23268"/>
    <cellStyle name="注释 5 2 4 4" xfId="39689"/>
    <cellStyle name="注释 5 2 5" xfId="18867"/>
    <cellStyle name="注释 5 2 5 2" xfId="39691"/>
    <cellStyle name="注释 5 2 6" xfId="39680"/>
    <cellStyle name="注释 5 3" xfId="10746"/>
    <cellStyle name="注释 5 3 2" xfId="17245"/>
    <cellStyle name="注释 5 3 2 2" xfId="17246"/>
    <cellStyle name="注释 5 3 2 2 2" xfId="9261"/>
    <cellStyle name="注释 5 3 2 2 2 2" xfId="39695"/>
    <cellStyle name="注释 5 3 2 2 3" xfId="23270"/>
    <cellStyle name="注释 5 3 2 2 4" xfId="39694"/>
    <cellStyle name="注释 5 3 2 3" xfId="17247"/>
    <cellStyle name="注释 5 3 2 3 2" xfId="9262"/>
    <cellStyle name="注释 5 3 2 3 2 2" xfId="39697"/>
    <cellStyle name="注释 5 3 2 3 3" xfId="23271"/>
    <cellStyle name="注释 5 3 2 3 4" xfId="39696"/>
    <cellStyle name="注释 5 3 2 4" xfId="9260"/>
    <cellStyle name="注释 5 3 2 4 2" xfId="39698"/>
    <cellStyle name="注释 5 3 2 5" xfId="23269"/>
    <cellStyle name="注释 5 3 2 6" xfId="39693"/>
    <cellStyle name="注释 5 3 3" xfId="17248"/>
    <cellStyle name="注释 5 3 3 2" xfId="9263"/>
    <cellStyle name="注释 5 3 3 2 2" xfId="39700"/>
    <cellStyle name="注释 5 3 3 3" xfId="23272"/>
    <cellStyle name="注释 5 3 3 4" xfId="39699"/>
    <cellStyle name="注释 5 3 4" xfId="17249"/>
    <cellStyle name="注释 5 3 4 2" xfId="9264"/>
    <cellStyle name="注释 5 3 4 2 2" xfId="39702"/>
    <cellStyle name="注释 5 3 4 3" xfId="23273"/>
    <cellStyle name="注释 5 3 4 4" xfId="39701"/>
    <cellStyle name="注释 5 3 5" xfId="17867"/>
    <cellStyle name="注释 5 3 5 2" xfId="39703"/>
    <cellStyle name="注释 5 3 6" xfId="39692"/>
    <cellStyle name="注释 5 4" xfId="10747"/>
    <cellStyle name="注释 5 4 2" xfId="17250"/>
    <cellStyle name="注释 5 4 2 2" xfId="17251"/>
    <cellStyle name="注释 5 4 2 2 2" xfId="9265"/>
    <cellStyle name="注释 5 4 2 2 2 2" xfId="39707"/>
    <cellStyle name="注释 5 4 2 2 3" xfId="23275"/>
    <cellStyle name="注释 5 4 2 2 4" xfId="39706"/>
    <cellStyle name="注释 5 4 2 3" xfId="17252"/>
    <cellStyle name="注释 5 4 2 3 2" xfId="9266"/>
    <cellStyle name="注释 5 4 2 3 2 2" xfId="39709"/>
    <cellStyle name="注释 5 4 2 3 3" xfId="23276"/>
    <cellStyle name="注释 5 4 2 3 4" xfId="39708"/>
    <cellStyle name="注释 5 4 2 4" xfId="20515"/>
    <cellStyle name="注释 5 4 2 4 2" xfId="39710"/>
    <cellStyle name="注释 5 4 2 5" xfId="23274"/>
    <cellStyle name="注释 5 4 2 6" xfId="39705"/>
    <cellStyle name="注释 5 4 3" xfId="17253"/>
    <cellStyle name="注释 5 4 3 2" xfId="9267"/>
    <cellStyle name="注释 5 4 3 2 2" xfId="39712"/>
    <cellStyle name="注释 5 4 3 3" xfId="23277"/>
    <cellStyle name="注释 5 4 3 4" xfId="39711"/>
    <cellStyle name="注释 5 4 4" xfId="17254"/>
    <cellStyle name="注释 5 4 4 2" xfId="9268"/>
    <cellStyle name="注释 5 4 4 2 2" xfId="39714"/>
    <cellStyle name="注释 5 4 4 3" xfId="23278"/>
    <cellStyle name="注释 5 4 4 4" xfId="39713"/>
    <cellStyle name="注释 5 4 5" xfId="21915"/>
    <cellStyle name="注释 5 4 5 2" xfId="39715"/>
    <cellStyle name="注释 5 4 6" xfId="39704"/>
    <cellStyle name="注释 5 5" xfId="10748"/>
    <cellStyle name="注释 5 5 2" xfId="17255"/>
    <cellStyle name="注释 5 5 2 2" xfId="17256"/>
    <cellStyle name="注释 5 5 2 2 2" xfId="20514"/>
    <cellStyle name="注释 5 5 2 2 2 2" xfId="39719"/>
    <cellStyle name="注释 5 5 2 2 3" xfId="23280"/>
    <cellStyle name="注释 5 5 2 2 4" xfId="39718"/>
    <cellStyle name="注释 5 5 2 3" xfId="17257"/>
    <cellStyle name="注释 5 5 2 3 2" xfId="9270"/>
    <cellStyle name="注释 5 5 2 3 2 2" xfId="39721"/>
    <cellStyle name="注释 5 5 2 3 3" xfId="23281"/>
    <cellStyle name="注释 5 5 2 3 4" xfId="39720"/>
    <cellStyle name="注释 5 5 2 4" xfId="9269"/>
    <cellStyle name="注释 5 5 2 4 2" xfId="39722"/>
    <cellStyle name="注释 5 5 2 5" xfId="23279"/>
    <cellStyle name="注释 5 5 2 6" xfId="39717"/>
    <cellStyle name="注释 5 5 3" xfId="17258"/>
    <cellStyle name="注释 5 5 3 2" xfId="9271"/>
    <cellStyle name="注释 5 5 3 2 2" xfId="39724"/>
    <cellStyle name="注释 5 5 3 3" xfId="23282"/>
    <cellStyle name="注释 5 5 3 4" xfId="39723"/>
    <cellStyle name="注释 5 5 4" xfId="17259"/>
    <cellStyle name="注释 5 5 4 2" xfId="9272"/>
    <cellStyle name="注释 5 5 4 2 2" xfId="39726"/>
    <cellStyle name="注释 5 5 4 3" xfId="23283"/>
    <cellStyle name="注释 5 5 4 4" xfId="39725"/>
    <cellStyle name="注释 5 5 5" xfId="21916"/>
    <cellStyle name="注释 5 5 5 2" xfId="39727"/>
    <cellStyle name="注释 5 5 6" xfId="39716"/>
    <cellStyle name="注释 5 6" xfId="10749"/>
    <cellStyle name="注释 5 6 2" xfId="17260"/>
    <cellStyle name="注释 5 6 2 2" xfId="17261"/>
    <cellStyle name="注释 5 6 2 2 2" xfId="9274"/>
    <cellStyle name="注释 5 6 2 2 2 2" xfId="39731"/>
    <cellStyle name="注释 5 6 2 2 3" xfId="23285"/>
    <cellStyle name="注释 5 6 2 2 4" xfId="39730"/>
    <cellStyle name="注释 5 6 2 3" xfId="9273"/>
    <cellStyle name="注释 5 6 2 3 2" xfId="39732"/>
    <cellStyle name="注释 5 6 2 4" xfId="23284"/>
    <cellStyle name="注释 5 6 2 5" xfId="39729"/>
    <cellStyle name="注释 5 6 3" xfId="17262"/>
    <cellStyle name="注释 5 6 3 2" xfId="20513"/>
    <cellStyle name="注释 5 6 3 2 2" xfId="39734"/>
    <cellStyle name="注释 5 6 3 3" xfId="23286"/>
    <cellStyle name="注释 5 6 3 4" xfId="39733"/>
    <cellStyle name="注释 5 6 4" xfId="21917"/>
    <cellStyle name="注释 5 6 4 2" xfId="39735"/>
    <cellStyle name="注释 5 6 5" xfId="39728"/>
    <cellStyle name="注释 5 7" xfId="17263"/>
    <cellStyle name="注释 5 7 2" xfId="17264"/>
    <cellStyle name="注释 5 7 2 2" xfId="9276"/>
    <cellStyle name="注释 5 7 2 2 2" xfId="39738"/>
    <cellStyle name="注释 5 7 2 3" xfId="23288"/>
    <cellStyle name="注释 5 7 2 4" xfId="39737"/>
    <cellStyle name="注释 5 7 3" xfId="17265"/>
    <cellStyle name="注释 5 7 3 2" xfId="9277"/>
    <cellStyle name="注释 5 7 3 2 2" xfId="39740"/>
    <cellStyle name="注释 5 7 3 3" xfId="23289"/>
    <cellStyle name="注释 5 7 3 4" xfId="39739"/>
    <cellStyle name="注释 5 7 4" xfId="9275"/>
    <cellStyle name="注释 5 7 4 2" xfId="39741"/>
    <cellStyle name="注释 5 7 5" xfId="23287"/>
    <cellStyle name="注释 5 7 6" xfId="39736"/>
    <cellStyle name="注释 5 8" xfId="17266"/>
    <cellStyle name="注释 5 8 2" xfId="9798"/>
    <cellStyle name="注释 5 8 2 2" xfId="39743"/>
    <cellStyle name="注释 5 8 3" xfId="23290"/>
    <cellStyle name="注释 5 8 4" xfId="39742"/>
    <cellStyle name="注释 5 9" xfId="17267"/>
    <cellStyle name="注释 5 9 2" xfId="9810"/>
    <cellStyle name="注释 5 9 2 2" xfId="39745"/>
    <cellStyle name="注释 5 9 3" xfId="23291"/>
    <cellStyle name="注释 5 9 4" xfId="39744"/>
    <cellStyle name="注释 6" xfId="10750"/>
    <cellStyle name="注释 6 10" xfId="39746"/>
    <cellStyle name="注释 6 2" xfId="10751"/>
    <cellStyle name="注释 6 2 2" xfId="17268"/>
    <cellStyle name="注释 6 2 2 2" xfId="17269"/>
    <cellStyle name="注释 6 2 2 2 2" xfId="9815"/>
    <cellStyle name="注释 6 2 2 2 2 2" xfId="39750"/>
    <cellStyle name="注释 6 2 2 2 3" xfId="23293"/>
    <cellStyle name="注释 6 2 2 2 4" xfId="39749"/>
    <cellStyle name="注释 6 2 2 3" xfId="17270"/>
    <cellStyle name="注释 6 2 2 3 2" xfId="9816"/>
    <cellStyle name="注释 6 2 2 3 2 2" xfId="39752"/>
    <cellStyle name="注释 6 2 2 3 3" xfId="23294"/>
    <cellStyle name="注释 6 2 2 3 4" xfId="39751"/>
    <cellStyle name="注释 6 2 2 4" xfId="9811"/>
    <cellStyle name="注释 6 2 2 4 2" xfId="39753"/>
    <cellStyle name="注释 6 2 2 5" xfId="23292"/>
    <cellStyle name="注释 6 2 2 6" xfId="39748"/>
    <cellStyle name="注释 6 2 3" xfId="17271"/>
    <cellStyle name="注释 6 2 3 2" xfId="9820"/>
    <cellStyle name="注释 6 2 3 2 2" xfId="39755"/>
    <cellStyle name="注释 6 2 3 3" xfId="23295"/>
    <cellStyle name="注释 6 2 3 4" xfId="39754"/>
    <cellStyle name="注释 6 2 4" xfId="17272"/>
    <cellStyle name="注释 6 2 4 2" xfId="9821"/>
    <cellStyle name="注释 6 2 4 2 2" xfId="39757"/>
    <cellStyle name="注释 6 2 4 3" xfId="23296"/>
    <cellStyle name="注释 6 2 4 4" xfId="39756"/>
    <cellStyle name="注释 6 2 5" xfId="21919"/>
    <cellStyle name="注释 6 2 5 2" xfId="39758"/>
    <cellStyle name="注释 6 2 6" xfId="39747"/>
    <cellStyle name="注释 6 3" xfId="10752"/>
    <cellStyle name="注释 6 3 2" xfId="17273"/>
    <cellStyle name="注释 6 3 2 2" xfId="17274"/>
    <cellStyle name="注释 6 3 2 2 2" xfId="18516"/>
    <cellStyle name="注释 6 3 2 2 2 2" xfId="39762"/>
    <cellStyle name="注释 6 3 2 2 3" xfId="23298"/>
    <cellStyle name="注释 6 3 2 2 4" xfId="39761"/>
    <cellStyle name="注释 6 3 2 3" xfId="17275"/>
    <cellStyle name="注释 6 3 2 3 2" xfId="9825"/>
    <cellStyle name="注释 6 3 2 3 2 2" xfId="39764"/>
    <cellStyle name="注释 6 3 2 3 3" xfId="23299"/>
    <cellStyle name="注释 6 3 2 3 4" xfId="39763"/>
    <cellStyle name="注释 6 3 2 4" xfId="20512"/>
    <cellStyle name="注释 6 3 2 4 2" xfId="39765"/>
    <cellStyle name="注释 6 3 2 5" xfId="23297"/>
    <cellStyle name="注释 6 3 2 6" xfId="39760"/>
    <cellStyle name="注释 6 3 3" xfId="17276"/>
    <cellStyle name="注释 6 3 3 2" xfId="9826"/>
    <cellStyle name="注释 6 3 3 2 2" xfId="39767"/>
    <cellStyle name="注释 6 3 3 3" xfId="23300"/>
    <cellStyle name="注释 6 3 3 4" xfId="39766"/>
    <cellStyle name="注释 6 3 4" xfId="17277"/>
    <cellStyle name="注释 6 3 4 2" xfId="9827"/>
    <cellStyle name="注释 6 3 4 2 2" xfId="39769"/>
    <cellStyle name="注释 6 3 4 3" xfId="23301"/>
    <cellStyle name="注释 6 3 4 4" xfId="39768"/>
    <cellStyle name="注释 6 3 5" xfId="17868"/>
    <cellStyle name="注释 6 3 5 2" xfId="39770"/>
    <cellStyle name="注释 6 3 6" xfId="39759"/>
    <cellStyle name="注释 6 4" xfId="10753"/>
    <cellStyle name="注释 6 4 2" xfId="17278"/>
    <cellStyle name="注释 6 4 2 2" xfId="17279"/>
    <cellStyle name="注释 6 4 2 2 2" xfId="9831"/>
    <cellStyle name="注释 6 4 2 2 2 2" xfId="39774"/>
    <cellStyle name="注释 6 4 2 2 3" xfId="23303"/>
    <cellStyle name="注释 6 4 2 2 4" xfId="39773"/>
    <cellStyle name="注释 6 4 2 3" xfId="17280"/>
    <cellStyle name="注释 6 4 2 3 2" xfId="20511"/>
    <cellStyle name="注释 6 4 2 3 2 2" xfId="39776"/>
    <cellStyle name="注释 6 4 2 3 3" xfId="23304"/>
    <cellStyle name="注释 6 4 2 3 4" xfId="39775"/>
    <cellStyle name="注释 6 4 2 4" xfId="9830"/>
    <cellStyle name="注释 6 4 2 4 2" xfId="39777"/>
    <cellStyle name="注释 6 4 2 5" xfId="23302"/>
    <cellStyle name="注释 6 4 2 6" xfId="39772"/>
    <cellStyle name="注释 6 4 3" xfId="17281"/>
    <cellStyle name="注释 6 4 3 2" xfId="9832"/>
    <cellStyle name="注释 6 4 3 2 2" xfId="39779"/>
    <cellStyle name="注释 6 4 3 3" xfId="23305"/>
    <cellStyle name="注释 6 4 3 4" xfId="39778"/>
    <cellStyle name="注释 6 4 4" xfId="17282"/>
    <cellStyle name="注释 6 4 4 2" xfId="9835"/>
    <cellStyle name="注释 6 4 4 2 2" xfId="39781"/>
    <cellStyle name="注释 6 4 4 3" xfId="23306"/>
    <cellStyle name="注释 6 4 4 4" xfId="39780"/>
    <cellStyle name="注释 6 4 5" xfId="18868"/>
    <cellStyle name="注释 6 4 5 2" xfId="39782"/>
    <cellStyle name="注释 6 4 6" xfId="39771"/>
    <cellStyle name="注释 6 5" xfId="10754"/>
    <cellStyle name="注释 6 5 2" xfId="17283"/>
    <cellStyle name="注释 6 5 2 2" xfId="17284"/>
    <cellStyle name="注释 6 5 2 2 2" xfId="9837"/>
    <cellStyle name="注释 6 5 2 2 2 2" xfId="39786"/>
    <cellStyle name="注释 6 5 2 2 3" xfId="23308"/>
    <cellStyle name="注释 6 5 2 2 4" xfId="39785"/>
    <cellStyle name="注释 6 5 2 3" xfId="17285"/>
    <cellStyle name="注释 6 5 2 3 2" xfId="9839"/>
    <cellStyle name="注释 6 5 2 3 2 2" xfId="39788"/>
    <cellStyle name="注释 6 5 2 3 3" xfId="23309"/>
    <cellStyle name="注释 6 5 2 3 4" xfId="39787"/>
    <cellStyle name="注释 6 5 2 4" xfId="9836"/>
    <cellStyle name="注释 6 5 2 4 2" xfId="39789"/>
    <cellStyle name="注释 6 5 2 5" xfId="23307"/>
    <cellStyle name="注释 6 5 2 6" xfId="39784"/>
    <cellStyle name="注释 6 5 3" xfId="17286"/>
    <cellStyle name="注释 6 5 3 2" xfId="20510"/>
    <cellStyle name="注释 6 5 3 2 2" xfId="39791"/>
    <cellStyle name="注释 6 5 3 3" xfId="23310"/>
    <cellStyle name="注释 6 5 3 4" xfId="39790"/>
    <cellStyle name="注释 6 5 4" xfId="17287"/>
    <cellStyle name="注释 6 5 4 2" xfId="9840"/>
    <cellStyle name="注释 6 5 4 2 2" xfId="39793"/>
    <cellStyle name="注释 6 5 4 3" xfId="23311"/>
    <cellStyle name="注释 6 5 4 4" xfId="39792"/>
    <cellStyle name="注释 6 5 5" xfId="21920"/>
    <cellStyle name="注释 6 5 5 2" xfId="39794"/>
    <cellStyle name="注释 6 5 6" xfId="39783"/>
    <cellStyle name="注释 6 6" xfId="17288"/>
    <cellStyle name="注释 6 6 2" xfId="17289"/>
    <cellStyle name="注释 6 6 2 2" xfId="9842"/>
    <cellStyle name="注释 6 6 2 2 2" xfId="39797"/>
    <cellStyle name="注释 6 6 2 3" xfId="23313"/>
    <cellStyle name="注释 6 6 2 4" xfId="39796"/>
    <cellStyle name="注释 6 6 3" xfId="17290"/>
    <cellStyle name="注释 6 6 3 2" xfId="9843"/>
    <cellStyle name="注释 6 6 3 2 2" xfId="39799"/>
    <cellStyle name="注释 6 6 3 3" xfId="23314"/>
    <cellStyle name="注释 6 6 3 4" xfId="39798"/>
    <cellStyle name="注释 6 6 4" xfId="9841"/>
    <cellStyle name="注释 6 6 4 2" xfId="39800"/>
    <cellStyle name="注释 6 6 5" xfId="23312"/>
    <cellStyle name="注释 6 6 6" xfId="39795"/>
    <cellStyle name="注释 6 7" xfId="17291"/>
    <cellStyle name="注释 6 7 2" xfId="9844"/>
    <cellStyle name="注释 6 7 2 2" xfId="39802"/>
    <cellStyle name="注释 6 7 3" xfId="23315"/>
    <cellStyle name="注释 6 7 4" xfId="39801"/>
    <cellStyle name="注释 6 8" xfId="17292"/>
    <cellStyle name="注释 6 8 2" xfId="20509"/>
    <cellStyle name="注释 6 8 2 2" xfId="39804"/>
    <cellStyle name="注释 6 8 3" xfId="23316"/>
    <cellStyle name="注释 6 8 4" xfId="39803"/>
    <cellStyle name="注释 6 9" xfId="21918"/>
    <cellStyle name="注释 6 9 2" xfId="39805"/>
    <cellStyle name="注释 7" xfId="10755"/>
    <cellStyle name="注释 7 10" xfId="39806"/>
    <cellStyle name="注释 7 2" xfId="10756"/>
    <cellStyle name="注释 7 2 2" xfId="17293"/>
    <cellStyle name="注释 7 2 2 2" xfId="17294"/>
    <cellStyle name="注释 7 2 2 2 2" xfId="9848"/>
    <cellStyle name="注释 7 2 2 2 2 2" xfId="39810"/>
    <cellStyle name="注释 7 2 2 2 3" xfId="23318"/>
    <cellStyle name="注释 7 2 2 2 4" xfId="39809"/>
    <cellStyle name="注释 7 2 2 3" xfId="17295"/>
    <cellStyle name="注释 7 2 2 3 2" xfId="9853"/>
    <cellStyle name="注释 7 2 2 3 2 2" xfId="39812"/>
    <cellStyle name="注释 7 2 2 3 3" xfId="23319"/>
    <cellStyle name="注释 7 2 2 3 4" xfId="39811"/>
    <cellStyle name="注释 7 2 2 4" xfId="9845"/>
    <cellStyle name="注释 7 2 2 4 2" xfId="39813"/>
    <cellStyle name="注释 7 2 2 5" xfId="23317"/>
    <cellStyle name="注释 7 2 2 6" xfId="39808"/>
    <cellStyle name="注释 7 2 3" xfId="17296"/>
    <cellStyle name="注释 7 2 3 2" xfId="9856"/>
    <cellStyle name="注释 7 2 3 2 2" xfId="39815"/>
    <cellStyle name="注释 7 2 3 3" xfId="23320"/>
    <cellStyle name="注释 7 2 3 4" xfId="39814"/>
    <cellStyle name="注释 7 2 4" xfId="17297"/>
    <cellStyle name="注释 7 2 4 2" xfId="9860"/>
    <cellStyle name="注释 7 2 4 2 2" xfId="39817"/>
    <cellStyle name="注释 7 2 4 3" xfId="23321"/>
    <cellStyle name="注释 7 2 4 4" xfId="39816"/>
    <cellStyle name="注释 7 2 5" xfId="21922"/>
    <cellStyle name="注释 7 2 5 2" xfId="39818"/>
    <cellStyle name="注释 7 2 6" xfId="39807"/>
    <cellStyle name="注释 7 3" xfId="10757"/>
    <cellStyle name="注释 7 3 2" xfId="17298"/>
    <cellStyle name="注释 7 3 2 2" xfId="17299"/>
    <cellStyle name="注释 7 3 2 2 2" xfId="9862"/>
    <cellStyle name="注释 7 3 2 2 2 2" xfId="39822"/>
    <cellStyle name="注释 7 3 2 2 3" xfId="23323"/>
    <cellStyle name="注释 7 3 2 2 4" xfId="39821"/>
    <cellStyle name="注释 7 3 2 3" xfId="17300"/>
    <cellStyle name="注释 7 3 2 3 2" xfId="9864"/>
    <cellStyle name="注释 7 3 2 3 2 2" xfId="39824"/>
    <cellStyle name="注释 7 3 2 3 3" xfId="23324"/>
    <cellStyle name="注释 7 3 2 3 4" xfId="39823"/>
    <cellStyle name="注释 7 3 2 4" xfId="9861"/>
    <cellStyle name="注释 7 3 2 4 2" xfId="39825"/>
    <cellStyle name="注释 7 3 2 5" xfId="23322"/>
    <cellStyle name="注释 7 3 2 6" xfId="39820"/>
    <cellStyle name="注释 7 3 3" xfId="17301"/>
    <cellStyle name="注释 7 3 3 2" xfId="9865"/>
    <cellStyle name="注释 7 3 3 2 2" xfId="39827"/>
    <cellStyle name="注释 7 3 3 3" xfId="23325"/>
    <cellStyle name="注释 7 3 3 4" xfId="39826"/>
    <cellStyle name="注释 7 3 4" xfId="17302"/>
    <cellStyle name="注释 7 3 4 2" xfId="9866"/>
    <cellStyle name="注释 7 3 4 2 2" xfId="39829"/>
    <cellStyle name="注释 7 3 4 3" xfId="23326"/>
    <cellStyle name="注释 7 3 4 4" xfId="39828"/>
    <cellStyle name="注释 7 3 5" xfId="21923"/>
    <cellStyle name="注释 7 3 5 2" xfId="39830"/>
    <cellStyle name="注释 7 3 6" xfId="39819"/>
    <cellStyle name="注释 7 4" xfId="10758"/>
    <cellStyle name="注释 7 4 2" xfId="17303"/>
    <cellStyle name="注释 7 4 2 2" xfId="17304"/>
    <cellStyle name="注释 7 4 2 2 2" xfId="20507"/>
    <cellStyle name="注释 7 4 2 2 2 2" xfId="39834"/>
    <cellStyle name="注释 7 4 2 2 3" xfId="23328"/>
    <cellStyle name="注释 7 4 2 2 4" xfId="39833"/>
    <cellStyle name="注释 7 4 2 3" xfId="17305"/>
    <cellStyle name="注释 7 4 2 3 2" xfId="9868"/>
    <cellStyle name="注释 7 4 2 3 2 2" xfId="39836"/>
    <cellStyle name="注释 7 4 2 3 3" xfId="23329"/>
    <cellStyle name="注释 7 4 2 3 4" xfId="39835"/>
    <cellStyle name="注释 7 4 2 4" xfId="20508"/>
    <cellStyle name="注释 7 4 2 4 2" xfId="39837"/>
    <cellStyle name="注释 7 4 2 5" xfId="23327"/>
    <cellStyle name="注释 7 4 2 6" xfId="39832"/>
    <cellStyle name="注释 7 4 3" xfId="17306"/>
    <cellStyle name="注释 7 4 3 2" xfId="9869"/>
    <cellStyle name="注释 7 4 3 2 2" xfId="39839"/>
    <cellStyle name="注释 7 4 3 3" xfId="23330"/>
    <cellStyle name="注释 7 4 3 4" xfId="39838"/>
    <cellStyle name="注释 7 4 4" xfId="17307"/>
    <cellStyle name="注释 7 4 4 2" xfId="9870"/>
    <cellStyle name="注释 7 4 4 2 2" xfId="39841"/>
    <cellStyle name="注释 7 4 4 3" xfId="23331"/>
    <cellStyle name="注释 7 4 4 4" xfId="39840"/>
    <cellStyle name="注释 7 4 5" xfId="17869"/>
    <cellStyle name="注释 7 4 5 2" xfId="39842"/>
    <cellStyle name="注释 7 4 6" xfId="39831"/>
    <cellStyle name="注释 7 5" xfId="10759"/>
    <cellStyle name="注释 7 5 2" xfId="17308"/>
    <cellStyle name="注释 7 5 2 2" xfId="17309"/>
    <cellStyle name="注释 7 5 2 2 2" xfId="9875"/>
    <cellStyle name="注释 7 5 2 2 2 2" xfId="39846"/>
    <cellStyle name="注释 7 5 2 2 3" xfId="23333"/>
    <cellStyle name="注释 7 5 2 2 4" xfId="39845"/>
    <cellStyle name="注释 7 5 2 3" xfId="17310"/>
    <cellStyle name="注释 7 5 2 3 2" xfId="18515"/>
    <cellStyle name="注释 7 5 2 3 2 2" xfId="39848"/>
    <cellStyle name="注释 7 5 2 3 3" xfId="23334"/>
    <cellStyle name="注释 7 5 2 3 4" xfId="39847"/>
    <cellStyle name="注释 7 5 2 4" xfId="9874"/>
    <cellStyle name="注释 7 5 2 4 2" xfId="39849"/>
    <cellStyle name="注释 7 5 2 5" xfId="23332"/>
    <cellStyle name="注释 7 5 2 6" xfId="39844"/>
    <cellStyle name="注释 7 5 3" xfId="17311"/>
    <cellStyle name="注释 7 5 3 2" xfId="9876"/>
    <cellStyle name="注释 7 5 3 2 2" xfId="39851"/>
    <cellStyle name="注释 7 5 3 3" xfId="23335"/>
    <cellStyle name="注释 7 5 3 4" xfId="39850"/>
    <cellStyle name="注释 7 5 4" xfId="17312"/>
    <cellStyle name="注释 7 5 4 2" xfId="9880"/>
    <cellStyle name="注释 7 5 4 2 2" xfId="39853"/>
    <cellStyle name="注释 7 5 4 3" xfId="23336"/>
    <cellStyle name="注释 7 5 4 4" xfId="39852"/>
    <cellStyle name="注释 7 5 5" xfId="21924"/>
    <cellStyle name="注释 7 5 5 2" xfId="39854"/>
    <cellStyle name="注释 7 5 6" xfId="39843"/>
    <cellStyle name="注释 7 6" xfId="17313"/>
    <cellStyle name="注释 7 6 2" xfId="17314"/>
    <cellStyle name="注释 7 6 2 2" xfId="9893"/>
    <cellStyle name="注释 7 6 2 2 2" xfId="39857"/>
    <cellStyle name="注释 7 6 2 3" xfId="23338"/>
    <cellStyle name="注释 7 6 2 4" xfId="39856"/>
    <cellStyle name="注释 7 6 3" xfId="17315"/>
    <cellStyle name="注释 7 6 3 2" xfId="9894"/>
    <cellStyle name="注释 7 6 3 2 2" xfId="39859"/>
    <cellStyle name="注释 7 6 3 3" xfId="23339"/>
    <cellStyle name="注释 7 6 3 4" xfId="39858"/>
    <cellStyle name="注释 7 6 4" xfId="9889"/>
    <cellStyle name="注释 7 6 4 2" xfId="39860"/>
    <cellStyle name="注释 7 6 5" xfId="23337"/>
    <cellStyle name="注释 7 6 6" xfId="39855"/>
    <cellStyle name="注释 7 7" xfId="17316"/>
    <cellStyle name="注释 7 7 2" xfId="20506"/>
    <cellStyle name="注释 7 7 2 2" xfId="39862"/>
    <cellStyle name="注释 7 7 3" xfId="23340"/>
    <cellStyle name="注释 7 7 4" xfId="39861"/>
    <cellStyle name="注释 7 8" xfId="17317"/>
    <cellStyle name="注释 7 8 2" xfId="9895"/>
    <cellStyle name="注释 7 8 2 2" xfId="39864"/>
    <cellStyle name="注释 7 8 3" xfId="23341"/>
    <cellStyle name="注释 7 8 4" xfId="39863"/>
    <cellStyle name="注释 7 9" xfId="21921"/>
    <cellStyle name="注释 7 9 2" xfId="39865"/>
    <cellStyle name="注释 8" xfId="10760"/>
    <cellStyle name="注释 8 10" xfId="39866"/>
    <cellStyle name="注释 8 2" xfId="10761"/>
    <cellStyle name="注释 8 2 2" xfId="17318"/>
    <cellStyle name="注释 8 2 2 2" xfId="17319"/>
    <cellStyle name="注释 8 2 2 2 2" xfId="9897"/>
    <cellStyle name="注释 8 2 2 2 2 2" xfId="39870"/>
    <cellStyle name="注释 8 2 2 2 3" xfId="23343"/>
    <cellStyle name="注释 8 2 2 2 4" xfId="39869"/>
    <cellStyle name="注释 8 2 2 3" xfId="17320"/>
    <cellStyle name="注释 8 2 2 3 2" xfId="9898"/>
    <cellStyle name="注释 8 2 2 3 2 2" xfId="39872"/>
    <cellStyle name="注释 8 2 2 3 3" xfId="23344"/>
    <cellStyle name="注释 8 2 2 3 4" xfId="39871"/>
    <cellStyle name="注释 8 2 2 4" xfId="9896"/>
    <cellStyle name="注释 8 2 2 4 2" xfId="39873"/>
    <cellStyle name="注释 8 2 2 5" xfId="23342"/>
    <cellStyle name="注释 8 2 2 6" xfId="39868"/>
    <cellStyle name="注释 8 2 3" xfId="17321"/>
    <cellStyle name="注释 8 2 3 2" xfId="9899"/>
    <cellStyle name="注释 8 2 3 2 2" xfId="39875"/>
    <cellStyle name="注释 8 2 3 3" xfId="23345"/>
    <cellStyle name="注释 8 2 3 4" xfId="39874"/>
    <cellStyle name="注释 8 2 4" xfId="17322"/>
    <cellStyle name="注释 8 2 4 2" xfId="20505"/>
    <cellStyle name="注释 8 2 4 2 2" xfId="39877"/>
    <cellStyle name="注释 8 2 4 3" xfId="23346"/>
    <cellStyle name="注释 8 2 4 4" xfId="39876"/>
    <cellStyle name="注释 8 2 5" xfId="21925"/>
    <cellStyle name="注释 8 2 5 2" xfId="39878"/>
    <cellStyle name="注释 8 2 6" xfId="39867"/>
    <cellStyle name="注释 8 3" xfId="10762"/>
    <cellStyle name="注释 8 3 2" xfId="17323"/>
    <cellStyle name="注释 8 3 2 2" xfId="17324"/>
    <cellStyle name="注释 8 3 2 2 2" xfId="9902"/>
    <cellStyle name="注释 8 3 2 2 2 2" xfId="39882"/>
    <cellStyle name="注释 8 3 2 2 3" xfId="23348"/>
    <cellStyle name="注释 8 3 2 2 4" xfId="39881"/>
    <cellStyle name="注释 8 3 2 3" xfId="17325"/>
    <cellStyle name="注释 8 3 2 3 2" xfId="9903"/>
    <cellStyle name="注释 8 3 2 3 2 2" xfId="39884"/>
    <cellStyle name="注释 8 3 2 3 3" xfId="23349"/>
    <cellStyle name="注释 8 3 2 3 4" xfId="39883"/>
    <cellStyle name="注释 8 3 2 4" xfId="9900"/>
    <cellStyle name="注释 8 3 2 4 2" xfId="39885"/>
    <cellStyle name="注释 8 3 2 5" xfId="23347"/>
    <cellStyle name="注释 8 3 2 6" xfId="39880"/>
    <cellStyle name="注释 8 3 3" xfId="17326"/>
    <cellStyle name="注释 8 3 3 2" xfId="9904"/>
    <cellStyle name="注释 8 3 3 2 2" xfId="39887"/>
    <cellStyle name="注释 8 3 3 3" xfId="23350"/>
    <cellStyle name="注释 8 3 3 4" xfId="39886"/>
    <cellStyle name="注释 8 3 4" xfId="17327"/>
    <cellStyle name="注释 8 3 4 2" xfId="9906"/>
    <cellStyle name="注释 8 3 4 2 2" xfId="39889"/>
    <cellStyle name="注释 8 3 4 3" xfId="23351"/>
    <cellStyle name="注释 8 3 4 4" xfId="39888"/>
    <cellStyle name="注释 8 3 5" xfId="21926"/>
    <cellStyle name="注释 8 3 5 2" xfId="39890"/>
    <cellStyle name="注释 8 3 6" xfId="39879"/>
    <cellStyle name="注释 8 4" xfId="10763"/>
    <cellStyle name="注释 8 4 2" xfId="17328"/>
    <cellStyle name="注释 8 4 2 2" xfId="17329"/>
    <cellStyle name="注释 8 4 2 2 2" xfId="9908"/>
    <cellStyle name="注释 8 4 2 2 2 2" xfId="39894"/>
    <cellStyle name="注释 8 4 2 2 3" xfId="23353"/>
    <cellStyle name="注释 8 4 2 2 4" xfId="39893"/>
    <cellStyle name="注释 8 4 2 3" xfId="17330"/>
    <cellStyle name="注释 8 4 2 3 2" xfId="9909"/>
    <cellStyle name="注释 8 4 2 3 2 2" xfId="39896"/>
    <cellStyle name="注释 8 4 2 3 3" xfId="23354"/>
    <cellStyle name="注释 8 4 2 3 4" xfId="39895"/>
    <cellStyle name="注释 8 4 2 4" xfId="9907"/>
    <cellStyle name="注释 8 4 2 4 2" xfId="39897"/>
    <cellStyle name="注释 8 4 2 5" xfId="23352"/>
    <cellStyle name="注释 8 4 2 6" xfId="39892"/>
    <cellStyle name="注释 8 4 3" xfId="17331"/>
    <cellStyle name="注释 8 4 3 2" xfId="9910"/>
    <cellStyle name="注释 8 4 3 2 2" xfId="39899"/>
    <cellStyle name="注释 8 4 3 3" xfId="23355"/>
    <cellStyle name="注释 8 4 3 4" xfId="39898"/>
    <cellStyle name="注释 8 4 4" xfId="17332"/>
    <cellStyle name="注释 8 4 4 2" xfId="9913"/>
    <cellStyle name="注释 8 4 4 2 2" xfId="39901"/>
    <cellStyle name="注释 8 4 4 3" xfId="23356"/>
    <cellStyle name="注释 8 4 4 4" xfId="39900"/>
    <cellStyle name="注释 8 4 5" xfId="21927"/>
    <cellStyle name="注释 8 4 5 2" xfId="39902"/>
    <cellStyle name="注释 8 4 6" xfId="39891"/>
    <cellStyle name="注释 8 5" xfId="10764"/>
    <cellStyle name="注释 8 5 2" xfId="17333"/>
    <cellStyle name="注释 8 5 2 2" xfId="17334"/>
    <cellStyle name="注释 8 5 2 2 2" xfId="20503"/>
    <cellStyle name="注释 8 5 2 2 2 2" xfId="39906"/>
    <cellStyle name="注释 8 5 2 2 3" xfId="23358"/>
    <cellStyle name="注释 8 5 2 2 4" xfId="39905"/>
    <cellStyle name="注释 8 5 2 3" xfId="17335"/>
    <cellStyle name="注释 8 5 2 3 2" xfId="9914"/>
    <cellStyle name="注释 8 5 2 3 2 2" xfId="39908"/>
    <cellStyle name="注释 8 5 2 3 3" xfId="23359"/>
    <cellStyle name="注释 8 5 2 3 4" xfId="39907"/>
    <cellStyle name="注释 8 5 2 4" xfId="20504"/>
    <cellStyle name="注释 8 5 2 4 2" xfId="39909"/>
    <cellStyle name="注释 8 5 2 5" xfId="23357"/>
    <cellStyle name="注释 8 5 2 6" xfId="39904"/>
    <cellStyle name="注释 8 5 3" xfId="17336"/>
    <cellStyle name="注释 8 5 3 2" xfId="9915"/>
    <cellStyle name="注释 8 5 3 2 2" xfId="39911"/>
    <cellStyle name="注释 8 5 3 3" xfId="23360"/>
    <cellStyle name="注释 8 5 3 4" xfId="39910"/>
    <cellStyle name="注释 8 5 4" xfId="17337"/>
    <cellStyle name="注释 8 5 4 2" xfId="9916"/>
    <cellStyle name="注释 8 5 4 2 2" xfId="39913"/>
    <cellStyle name="注释 8 5 4 3" xfId="23361"/>
    <cellStyle name="注释 8 5 4 4" xfId="39912"/>
    <cellStyle name="注释 8 5 5" xfId="21928"/>
    <cellStyle name="注释 8 5 5 2" xfId="39914"/>
    <cellStyle name="注释 8 5 6" xfId="39903"/>
    <cellStyle name="注释 8 6" xfId="17338"/>
    <cellStyle name="注释 8 6 2" xfId="17339"/>
    <cellStyle name="注释 8 6 2 2" xfId="9918"/>
    <cellStyle name="注释 8 6 2 2 2" xfId="39917"/>
    <cellStyle name="注释 8 6 2 3" xfId="23363"/>
    <cellStyle name="注释 8 6 2 4" xfId="39916"/>
    <cellStyle name="注释 8 6 3" xfId="17340"/>
    <cellStyle name="注释 8 6 3 2" xfId="20502"/>
    <cellStyle name="注释 8 6 3 2 2" xfId="39919"/>
    <cellStyle name="注释 8 6 3 3" xfId="23364"/>
    <cellStyle name="注释 8 6 3 4" xfId="39918"/>
    <cellStyle name="注释 8 6 4" xfId="9917"/>
    <cellStyle name="注释 8 6 4 2" xfId="39920"/>
    <cellStyle name="注释 8 6 5" xfId="23362"/>
    <cellStyle name="注释 8 6 6" xfId="39915"/>
    <cellStyle name="注释 8 7" xfId="17341"/>
    <cellStyle name="注释 8 7 2" xfId="9919"/>
    <cellStyle name="注释 8 7 2 2" xfId="39922"/>
    <cellStyle name="注释 8 7 3" xfId="23365"/>
    <cellStyle name="注释 8 7 4" xfId="39921"/>
    <cellStyle name="注释 8 8" xfId="17342"/>
    <cellStyle name="注释 8 8 2" xfId="9922"/>
    <cellStyle name="注释 8 8 2 2" xfId="39924"/>
    <cellStyle name="注释 8 8 3" xfId="23366"/>
    <cellStyle name="注释 8 8 4" xfId="39923"/>
    <cellStyle name="注释 8 9" xfId="18869"/>
    <cellStyle name="注释 8 9 2" xfId="39925"/>
    <cellStyle name="注释 9" xfId="10765"/>
    <cellStyle name="注释 9 10" xfId="39926"/>
    <cellStyle name="注释 9 2" xfId="10766"/>
    <cellStyle name="注释 9 2 2" xfId="17343"/>
    <cellStyle name="注释 9 2 2 2" xfId="17344"/>
    <cellStyle name="注释 9 2 2 2 2" xfId="9938"/>
    <cellStyle name="注释 9 2 2 2 2 2" xfId="39930"/>
    <cellStyle name="注释 9 2 2 2 3" xfId="23368"/>
    <cellStyle name="注释 9 2 2 2 4" xfId="39929"/>
    <cellStyle name="注释 9 2 2 3" xfId="17345"/>
    <cellStyle name="注释 9 2 2 3 2" xfId="9946"/>
    <cellStyle name="注释 9 2 2 3 2 2" xfId="39932"/>
    <cellStyle name="注释 9 2 2 3 3" xfId="23369"/>
    <cellStyle name="注释 9 2 2 3 4" xfId="39931"/>
    <cellStyle name="注释 9 2 2 4" xfId="9930"/>
    <cellStyle name="注释 9 2 2 4 2" xfId="39933"/>
    <cellStyle name="注释 9 2 2 5" xfId="23367"/>
    <cellStyle name="注释 9 2 2 6" xfId="39928"/>
    <cellStyle name="注释 9 2 3" xfId="17346"/>
    <cellStyle name="注释 9 2 3 2" xfId="18514"/>
    <cellStyle name="注释 9 2 3 2 2" xfId="39935"/>
    <cellStyle name="注释 9 2 3 3" xfId="23370"/>
    <cellStyle name="注释 9 2 3 4" xfId="39934"/>
    <cellStyle name="注释 9 2 4" xfId="17347"/>
    <cellStyle name="注释 9 2 4 2" xfId="9954"/>
    <cellStyle name="注释 9 2 4 2 2" xfId="39937"/>
    <cellStyle name="注释 9 2 4 3" xfId="23371"/>
    <cellStyle name="注释 9 2 4 4" xfId="39936"/>
    <cellStyle name="注释 9 2 5" xfId="18870"/>
    <cellStyle name="注释 9 2 5 2" xfId="39938"/>
    <cellStyle name="注释 9 2 6" xfId="39927"/>
    <cellStyle name="注释 9 3" xfId="10767"/>
    <cellStyle name="注释 9 3 2" xfId="17348"/>
    <cellStyle name="注释 9 3 2 2" xfId="17349"/>
    <cellStyle name="注释 9 3 2 2 2" xfId="10022"/>
    <cellStyle name="注释 9 3 2 2 2 2" xfId="39942"/>
    <cellStyle name="注释 9 3 2 2 3" xfId="23373"/>
    <cellStyle name="注释 9 3 2 2 4" xfId="39941"/>
    <cellStyle name="注释 9 3 2 3" xfId="17350"/>
    <cellStyle name="注释 9 3 2 3 2" xfId="10509"/>
    <cellStyle name="注释 9 3 2 3 2 2" xfId="39944"/>
    <cellStyle name="注释 9 3 2 3 3" xfId="23374"/>
    <cellStyle name="注释 9 3 2 3 4" xfId="39943"/>
    <cellStyle name="注释 9 3 2 4" xfId="9962"/>
    <cellStyle name="注释 9 3 2 4 2" xfId="39945"/>
    <cellStyle name="注释 9 3 2 5" xfId="23372"/>
    <cellStyle name="注释 9 3 2 6" xfId="39940"/>
    <cellStyle name="注释 9 3 3" xfId="17351"/>
    <cellStyle name="注释 9 3 3 2" xfId="10514"/>
    <cellStyle name="注释 9 3 3 2 2" xfId="39947"/>
    <cellStyle name="注释 9 3 3 3" xfId="23375"/>
    <cellStyle name="注释 9 3 3 4" xfId="39946"/>
    <cellStyle name="注释 9 3 4" xfId="17352"/>
    <cellStyle name="注释 9 3 4 2" xfId="20501"/>
    <cellStyle name="注释 9 3 4 2 2" xfId="39949"/>
    <cellStyle name="注释 9 3 4 3" xfId="23376"/>
    <cellStyle name="注释 9 3 4 4" xfId="39948"/>
    <cellStyle name="注释 9 3 5" xfId="21930"/>
    <cellStyle name="注释 9 3 5 2" xfId="39950"/>
    <cellStyle name="注释 9 3 6" xfId="39939"/>
    <cellStyle name="注释 9 4" xfId="10768"/>
    <cellStyle name="注释 9 4 2" xfId="17353"/>
    <cellStyle name="注释 9 4 2 2" xfId="17354"/>
    <cellStyle name="注释 9 4 2 2 2" xfId="21934"/>
    <cellStyle name="注释 9 4 2 2 2 2" xfId="39954"/>
    <cellStyle name="注释 9 4 2 2 3" xfId="23378"/>
    <cellStyle name="注释 9 4 2 2 4" xfId="39953"/>
    <cellStyle name="注释 9 4 2 3" xfId="17355"/>
    <cellStyle name="注释 9 4 2 3 2" xfId="21935"/>
    <cellStyle name="注释 9 4 2 3 2 2" xfId="39956"/>
    <cellStyle name="注释 9 4 2 3 3" xfId="23379"/>
    <cellStyle name="注释 9 4 2 3 4" xfId="39955"/>
    <cellStyle name="注释 9 4 2 4" xfId="21933"/>
    <cellStyle name="注释 9 4 2 4 2" xfId="39957"/>
    <cellStyle name="注释 9 4 2 5" xfId="23377"/>
    <cellStyle name="注释 9 4 2 6" xfId="39952"/>
    <cellStyle name="注释 9 4 3" xfId="17356"/>
    <cellStyle name="注释 9 4 3 2" xfId="21936"/>
    <cellStyle name="注释 9 4 3 2 2" xfId="39959"/>
    <cellStyle name="注释 9 4 3 3" xfId="23380"/>
    <cellStyle name="注释 9 4 3 4" xfId="39958"/>
    <cellStyle name="注释 9 4 4" xfId="17357"/>
    <cellStyle name="注释 9 4 4 2" xfId="21937"/>
    <cellStyle name="注释 9 4 4 2 2" xfId="39961"/>
    <cellStyle name="注释 9 4 4 3" xfId="23381"/>
    <cellStyle name="注释 9 4 4 4" xfId="39960"/>
    <cellStyle name="注释 9 4 5" xfId="21931"/>
    <cellStyle name="注释 9 4 5 2" xfId="39962"/>
    <cellStyle name="注释 9 4 6" xfId="39951"/>
    <cellStyle name="注释 9 5" xfId="10769"/>
    <cellStyle name="注释 9 5 2" xfId="17358"/>
    <cellStyle name="注释 9 5 2 2" xfId="17359"/>
    <cellStyle name="注释 9 5 2 2 2" xfId="21939"/>
    <cellStyle name="注释 9 5 2 2 2 2" xfId="39966"/>
    <cellStyle name="注释 9 5 2 2 3" xfId="23383"/>
    <cellStyle name="注释 9 5 2 2 4" xfId="39965"/>
    <cellStyle name="注释 9 5 2 3" xfId="17360"/>
    <cellStyle name="注释 9 5 2 3 2" xfId="21950"/>
    <cellStyle name="注释 9 5 2 3 2 2" xfId="39968"/>
    <cellStyle name="注释 9 5 2 3 3" xfId="23384"/>
    <cellStyle name="注释 9 5 2 3 4" xfId="39967"/>
    <cellStyle name="注释 9 5 2 4" xfId="21938"/>
    <cellStyle name="注释 9 5 2 4 2" xfId="39969"/>
    <cellStyle name="注释 9 5 2 5" xfId="23382"/>
    <cellStyle name="注释 9 5 2 6" xfId="39964"/>
    <cellStyle name="注释 9 5 3" xfId="17361"/>
    <cellStyle name="注释 9 5 3 2" xfId="21951"/>
    <cellStyle name="注释 9 5 3 2 2" xfId="39971"/>
    <cellStyle name="注释 9 5 3 3" xfId="23385"/>
    <cellStyle name="注释 9 5 3 4" xfId="39970"/>
    <cellStyle name="注释 9 5 4" xfId="17362"/>
    <cellStyle name="注释 9 5 4 2" xfId="21952"/>
    <cellStyle name="注释 9 5 4 2 2" xfId="39973"/>
    <cellStyle name="注释 9 5 4 3" xfId="23386"/>
    <cellStyle name="注释 9 5 4 4" xfId="39972"/>
    <cellStyle name="注释 9 5 5" xfId="17870"/>
    <cellStyle name="注释 9 5 5 2" xfId="39974"/>
    <cellStyle name="注释 9 5 6" xfId="39963"/>
    <cellStyle name="注释 9 6" xfId="17363"/>
    <cellStyle name="注释 9 6 2" xfId="17364"/>
    <cellStyle name="注释 9 6 2 2" xfId="21954"/>
    <cellStyle name="注释 9 6 2 2 2" xfId="39977"/>
    <cellStyle name="注释 9 6 2 3" xfId="23388"/>
    <cellStyle name="注释 9 6 2 4" xfId="39976"/>
    <cellStyle name="注释 9 6 3" xfId="17365"/>
    <cellStyle name="注释 9 6 3 2" xfId="21955"/>
    <cellStyle name="注释 9 6 3 2 2" xfId="39979"/>
    <cellStyle name="注释 9 6 3 3" xfId="23389"/>
    <cellStyle name="注释 9 6 3 4" xfId="39978"/>
    <cellStyle name="注释 9 6 4" xfId="21953"/>
    <cellStyle name="注释 9 6 4 2" xfId="39980"/>
    <cellStyle name="注释 9 6 5" xfId="23387"/>
    <cellStyle name="注释 9 6 6" xfId="39975"/>
    <cellStyle name="注释 9 7" xfId="17366"/>
    <cellStyle name="注释 9 7 2" xfId="21956"/>
    <cellStyle name="注释 9 7 2 2" xfId="39982"/>
    <cellStyle name="注释 9 7 3" xfId="23390"/>
    <cellStyle name="注释 9 7 4" xfId="39981"/>
    <cellStyle name="注释 9 8" xfId="17367"/>
    <cellStyle name="注释 9 8 2" xfId="21957"/>
    <cellStyle name="注释 9 8 2 2" xfId="39984"/>
    <cellStyle name="注释 9 8 3" xfId="23391"/>
    <cellStyle name="注释 9 8 4" xfId="39983"/>
    <cellStyle name="注释 9 9" xfId="21929"/>
    <cellStyle name="注释 9 9 2" xfId="3998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</dxfs>
  <tableStyles count="1" defaultTableStyle="TableStyleMedium9">
    <tableStyle name="MySqlDefault" pivot="0" table="0" count="0"/>
  </tableStyles>
  <colors>
    <mruColors>
      <color rgb="FF43E9FB"/>
      <color rgb="FF00FF00"/>
      <color rgb="FF40F5FE"/>
      <color rgb="FFF2F2F2"/>
      <color rgb="FFCCECFF"/>
      <color rgb="FFCCFFFF"/>
      <color rgb="FFFFCC00"/>
      <color rgb="FFF79646"/>
      <color rgb="FFD9D9D9"/>
      <color rgb="FFF9FE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1085022</xdr:colOff>
      <xdr:row>0</xdr:row>
      <xdr:rowOff>231913</xdr:rowOff>
    </xdr:from>
    <xdr:to>
      <xdr:col>13</xdr:col>
      <xdr:colOff>57978</xdr:colOff>
      <xdr:row>2</xdr:row>
      <xdr:rowOff>66261</xdr:rowOff>
    </xdr:to>
    <xdr:sp macro="" textlink="">
      <xdr:nvSpPr>
        <xdr:cNvPr id="2" name="圆角矩形 1"/>
        <xdr:cNvSpPr/>
      </xdr:nvSpPr>
      <xdr:spPr>
        <a:xfrm>
          <a:off x="1524000" y="231913"/>
          <a:ext cx="1051891" cy="405848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FF0000"/>
  </sheetPr>
  <dimension ref="A1:BH299"/>
  <sheetViews>
    <sheetView tabSelected="1" zoomScale="130" zoomScaleNormal="130" workbookViewId="0">
      <pane xSplit="19" ySplit="3" topLeftCell="AN72" activePane="bottomRight" state="frozen"/>
      <selection activeCell="K1" sqref="K1"/>
      <selection pane="topRight" activeCell="T1" sqref="T1"/>
      <selection pane="bottomLeft" activeCell="K4" sqref="K4"/>
      <selection pane="bottomRight" activeCell="X137" sqref="X137"/>
    </sheetView>
  </sheetViews>
  <sheetFormatPr defaultColWidth="8.625" defaultRowHeight="15.75" customHeight="1" outlineLevelCol="1"/>
  <cols>
    <col min="1" max="1" width="7.875" style="79" hidden="1" customWidth="1" outlineLevel="1"/>
    <col min="2" max="2" width="17.75" style="79" hidden="1" customWidth="1" outlineLevel="1"/>
    <col min="3" max="3" width="5.125" style="80" hidden="1" customWidth="1" outlineLevel="1"/>
    <col min="4" max="4" width="5.625" style="79" hidden="1" customWidth="1" outlineLevel="1"/>
    <col min="5" max="5" width="8.5" style="79" hidden="1" customWidth="1" outlineLevel="1"/>
    <col min="6" max="6" width="3.875" style="79" hidden="1" customWidth="1" outlineLevel="1"/>
    <col min="7" max="7" width="11.875" style="79" hidden="1" customWidth="1" outlineLevel="1"/>
    <col min="8" max="8" width="14.75" style="79" hidden="1" customWidth="1" outlineLevel="1"/>
    <col min="9" max="9" width="5.75" style="81" hidden="1" customWidth="1" outlineLevel="1"/>
    <col min="10" max="10" width="7.875" style="79" hidden="1" customWidth="1" outlineLevel="1"/>
    <col min="11" max="11" width="5.75" style="79" customWidth="1" collapsed="1"/>
    <col min="12" max="12" width="11.375" style="79" customWidth="1"/>
    <col min="13" max="13" width="15.75" style="79" customWidth="1"/>
    <col min="14" max="14" width="5.875" style="82" customWidth="1"/>
    <col min="15" max="15" width="4.125" style="82" customWidth="1"/>
    <col min="16" max="16" width="5.625" style="79" customWidth="1"/>
    <col min="17" max="17" width="3.25" style="83" customWidth="1"/>
    <col min="18" max="18" width="2.875" style="84" customWidth="1"/>
    <col min="19" max="19" width="10.375" style="107" customWidth="1"/>
    <col min="20" max="20" width="4.5" style="87" customWidth="1"/>
    <col min="21" max="21" width="5.125" style="221" customWidth="1"/>
    <col min="22" max="22" width="5.125" style="39" customWidth="1"/>
    <col min="23" max="23" width="5.875" style="87" customWidth="1"/>
    <col min="24" max="24" width="5" style="216" customWidth="1"/>
    <col min="25" max="27" width="4" style="87" customWidth="1"/>
    <col min="28" max="58" width="5.875" style="41" customWidth="1"/>
    <col min="59" max="59" width="4.875" style="40" customWidth="1"/>
    <col min="60" max="60" width="21.5" style="16" customWidth="1"/>
    <col min="61" max="16384" width="8.625" style="16"/>
  </cols>
  <sheetData>
    <row r="1" spans="1:60" s="17" customFormat="1" ht="23.25" customHeight="1">
      <c r="A1" s="116" t="s">
        <v>209</v>
      </c>
      <c r="B1" s="117">
        <v>45962</v>
      </c>
      <c r="C1" s="118" t="s">
        <v>210</v>
      </c>
      <c r="D1" s="119"/>
      <c r="E1" s="119"/>
      <c r="F1" s="119"/>
      <c r="G1" s="119"/>
      <c r="H1" s="119"/>
      <c r="I1" s="120"/>
      <c r="J1" s="119"/>
      <c r="K1" s="121" t="s">
        <v>211</v>
      </c>
      <c r="L1" s="122" t="s">
        <v>230</v>
      </c>
      <c r="M1" s="123" t="s">
        <v>212</v>
      </c>
      <c r="N1" s="242" t="s">
        <v>564</v>
      </c>
      <c r="O1" s="124" t="s">
        <v>213</v>
      </c>
      <c r="P1" s="125"/>
      <c r="Q1" s="147"/>
      <c r="R1" s="148"/>
      <c r="S1" s="149"/>
      <c r="T1" s="305" t="s">
        <v>232</v>
      </c>
      <c r="U1" s="305"/>
      <c r="V1" s="305"/>
      <c r="W1" s="305"/>
      <c r="X1" s="305"/>
      <c r="Y1" s="305"/>
      <c r="Z1" s="305"/>
      <c r="AA1" s="306"/>
      <c r="AB1" s="150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2"/>
      <c r="BH1" s="153"/>
    </row>
    <row r="2" spans="1:60" s="19" customFormat="1" ht="21.75" customHeight="1">
      <c r="A2" s="126">
        <f ca="1">TODAY()</f>
        <v>45978</v>
      </c>
      <c r="B2" s="127">
        <f>B1+1</f>
        <v>45963</v>
      </c>
      <c r="C2" s="128"/>
      <c r="D2" s="129"/>
      <c r="E2" s="130"/>
      <c r="F2" s="131"/>
      <c r="G2" s="132"/>
      <c r="H2" s="133">
        <f ca="1">L2+1</f>
        <v>45979</v>
      </c>
      <c r="I2" s="134"/>
      <c r="J2" s="135" t="s">
        <v>214</v>
      </c>
      <c r="K2" s="136">
        <f>B1</f>
        <v>45962</v>
      </c>
      <c r="L2" s="137">
        <f ca="1">A2</f>
        <v>45978</v>
      </c>
      <c r="M2" s="138" t="s">
        <v>581</v>
      </c>
      <c r="N2" s="138" t="s">
        <v>905</v>
      </c>
      <c r="O2" s="139"/>
      <c r="P2" s="139"/>
      <c r="Q2" s="140"/>
      <c r="R2" s="154"/>
      <c r="S2" s="155"/>
      <c r="T2" s="156" t="s">
        <v>231</v>
      </c>
      <c r="U2" s="217"/>
      <c r="V2" s="156"/>
      <c r="W2" s="156"/>
      <c r="X2" s="212"/>
      <c r="Y2" s="156"/>
      <c r="Z2" s="156"/>
      <c r="AA2" s="156"/>
      <c r="AB2" s="157" t="s">
        <v>215</v>
      </c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157"/>
      <c r="AY2" s="157"/>
      <c r="AZ2" s="157"/>
      <c r="BA2" s="157"/>
      <c r="BB2" s="157"/>
      <c r="BC2" s="157"/>
      <c r="BD2" s="157"/>
      <c r="BE2" s="157"/>
      <c r="BF2" s="157"/>
      <c r="BG2" s="158"/>
      <c r="BH2" s="159"/>
    </row>
    <row r="3" spans="1:60" s="66" customFormat="1" ht="24" customHeight="1">
      <c r="A3" s="64" t="s">
        <v>216</v>
      </c>
      <c r="B3" s="65" t="s">
        <v>217</v>
      </c>
      <c r="C3" s="65" t="s">
        <v>185</v>
      </c>
      <c r="D3" s="65" t="s">
        <v>94</v>
      </c>
      <c r="E3" s="65" t="s">
        <v>186</v>
      </c>
      <c r="F3" s="65" t="s">
        <v>187</v>
      </c>
      <c r="G3" s="65" t="s">
        <v>218</v>
      </c>
      <c r="H3" s="65" t="s">
        <v>219</v>
      </c>
      <c r="I3" s="141" t="s">
        <v>220</v>
      </c>
      <c r="J3" s="142" t="s">
        <v>221</v>
      </c>
      <c r="K3" s="143"/>
      <c r="L3" s="144" t="s">
        <v>222</v>
      </c>
      <c r="M3" s="144" t="s">
        <v>223</v>
      </c>
      <c r="N3" s="145" t="s">
        <v>224</v>
      </c>
      <c r="O3" s="146" t="s">
        <v>225</v>
      </c>
      <c r="P3" s="144" t="s">
        <v>226</v>
      </c>
      <c r="Q3" s="144" t="s">
        <v>9</v>
      </c>
      <c r="R3" s="160" t="s">
        <v>8</v>
      </c>
      <c r="S3" s="161" t="s">
        <v>227</v>
      </c>
      <c r="T3" s="162" t="s">
        <v>228</v>
      </c>
      <c r="U3" s="218" t="s">
        <v>2</v>
      </c>
      <c r="V3" s="163" t="s">
        <v>3</v>
      </c>
      <c r="W3" s="162" t="s">
        <v>4</v>
      </c>
      <c r="X3" s="213" t="s">
        <v>1</v>
      </c>
      <c r="Y3" s="162" t="s">
        <v>5</v>
      </c>
      <c r="Z3" s="164" t="s">
        <v>6</v>
      </c>
      <c r="AA3" s="164" t="s">
        <v>7</v>
      </c>
      <c r="AB3" s="165">
        <f>B1</f>
        <v>45962</v>
      </c>
      <c r="AC3" s="165">
        <f>AB3+1</f>
        <v>45963</v>
      </c>
      <c r="AD3" s="165">
        <f>AC3+1</f>
        <v>45964</v>
      </c>
      <c r="AE3" s="165">
        <f t="shared" ref="AE3:BF3" si="0">AD3+1</f>
        <v>45965</v>
      </c>
      <c r="AF3" s="165">
        <f t="shared" si="0"/>
        <v>45966</v>
      </c>
      <c r="AG3" s="165">
        <f t="shared" si="0"/>
        <v>45967</v>
      </c>
      <c r="AH3" s="165">
        <f t="shared" si="0"/>
        <v>45968</v>
      </c>
      <c r="AI3" s="165">
        <f t="shared" si="0"/>
        <v>45969</v>
      </c>
      <c r="AJ3" s="165">
        <f t="shared" si="0"/>
        <v>45970</v>
      </c>
      <c r="AK3" s="165">
        <f t="shared" si="0"/>
        <v>45971</v>
      </c>
      <c r="AL3" s="165">
        <f t="shared" si="0"/>
        <v>45972</v>
      </c>
      <c r="AM3" s="165">
        <f t="shared" si="0"/>
        <v>45973</v>
      </c>
      <c r="AN3" s="165">
        <f t="shared" si="0"/>
        <v>45974</v>
      </c>
      <c r="AO3" s="165">
        <f t="shared" si="0"/>
        <v>45975</v>
      </c>
      <c r="AP3" s="165">
        <f t="shared" si="0"/>
        <v>45976</v>
      </c>
      <c r="AQ3" s="165">
        <f t="shared" si="0"/>
        <v>45977</v>
      </c>
      <c r="AR3" s="165">
        <f t="shared" si="0"/>
        <v>45978</v>
      </c>
      <c r="AS3" s="165">
        <f t="shared" si="0"/>
        <v>45979</v>
      </c>
      <c r="AT3" s="165">
        <f t="shared" si="0"/>
        <v>45980</v>
      </c>
      <c r="AU3" s="165">
        <f t="shared" si="0"/>
        <v>45981</v>
      </c>
      <c r="AV3" s="165">
        <f t="shared" si="0"/>
        <v>45982</v>
      </c>
      <c r="AW3" s="165">
        <f t="shared" si="0"/>
        <v>45983</v>
      </c>
      <c r="AX3" s="165">
        <f t="shared" si="0"/>
        <v>45984</v>
      </c>
      <c r="AY3" s="165">
        <f t="shared" si="0"/>
        <v>45985</v>
      </c>
      <c r="AZ3" s="165">
        <f t="shared" si="0"/>
        <v>45986</v>
      </c>
      <c r="BA3" s="165">
        <f t="shared" si="0"/>
        <v>45987</v>
      </c>
      <c r="BB3" s="165">
        <f t="shared" si="0"/>
        <v>45988</v>
      </c>
      <c r="BC3" s="165">
        <f t="shared" si="0"/>
        <v>45989</v>
      </c>
      <c r="BD3" s="165">
        <f t="shared" si="0"/>
        <v>45990</v>
      </c>
      <c r="BE3" s="165">
        <f t="shared" si="0"/>
        <v>45991</v>
      </c>
      <c r="BF3" s="165">
        <f t="shared" si="0"/>
        <v>45992</v>
      </c>
      <c r="BG3" s="141" t="s">
        <v>220</v>
      </c>
      <c r="BH3" s="166" t="s">
        <v>229</v>
      </c>
    </row>
    <row r="4" spans="1:60" ht="15.75" customHeight="1">
      <c r="A4" s="232">
        <v>101729</v>
      </c>
      <c r="B4" s="233" t="s">
        <v>559</v>
      </c>
      <c r="C4" s="69" t="s">
        <v>175</v>
      </c>
      <c r="D4" s="68"/>
      <c r="E4" s="68" t="s">
        <v>561</v>
      </c>
      <c r="F4" s="68" t="s">
        <v>560</v>
      </c>
      <c r="G4" s="68" t="s">
        <v>417</v>
      </c>
      <c r="H4" s="68" t="s">
        <v>563</v>
      </c>
      <c r="I4" s="71" t="s">
        <v>197</v>
      </c>
      <c r="J4" s="68"/>
      <c r="K4" s="234">
        <f>VLOOKUP($A4,订货1!$A4:$A243,1,0)</f>
        <v>101729</v>
      </c>
      <c r="L4" s="244" t="str">
        <f>VLOOKUP($A4,订货1!$A4:$G243,7,0)</f>
        <v>熠沣实业（上海）有限公司</v>
      </c>
      <c r="M4" s="235" t="str">
        <f>VLOOKUP($A4,订货1!$A4:$B243,2,0)</f>
        <v>可可粉</v>
      </c>
      <c r="N4" s="229">
        <v>45978</v>
      </c>
      <c r="O4" s="49" t="str">
        <f>VLOOKUP($A4,订货1!$A4:$C243,3,0)</f>
        <v>常温</v>
      </c>
      <c r="P4" s="44" t="str">
        <f>VLOOKUP($A4,订货1!$A4:$E243,5,0)</f>
        <v>0.5kg</v>
      </c>
      <c r="Q4" s="49" t="str">
        <f>VLOOKUP($A4,订货1!$A4:$F243,6,0)</f>
        <v>包</v>
      </c>
      <c r="R4" s="167">
        <f t="shared" ref="R4:R65" ca="1" si="1">IF(ROUNDUP(W4-Y4-X4,0)&gt;=0,ROUNDUP((W4-Y4-X4),0),0)</f>
        <v>0</v>
      </c>
      <c r="S4" s="105" t="s">
        <v>199</v>
      </c>
      <c r="T4" s="85">
        <f ca="1">SUMIF(预估营业额3!$B$3:$B$39,"&gt;="&amp;$H$2,预估营业额3!$E$3:$E$39)-SUMIF(预估营业额3!$B$3:$B$39,"&gt;"&amp;N4,预估营业额3!$E$3:$E$39)</f>
        <v>0</v>
      </c>
      <c r="U4" s="219">
        <v>4.1935168229916553E-3</v>
      </c>
      <c r="V4" s="168">
        <v>1</v>
      </c>
      <c r="W4" s="182">
        <f t="shared" ref="W4" ca="1" si="2">T4*U4*V4</f>
        <v>0</v>
      </c>
      <c r="X4" s="214">
        <v>1</v>
      </c>
      <c r="Y4" s="62">
        <f t="shared" ref="Y4" si="3">Z4+AA4</f>
        <v>0</v>
      </c>
      <c r="Z4" s="54"/>
      <c r="AA4" s="54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169" t="str">
        <f>VLOOKUP($A4,订货1!$A4:$I243,9,0)</f>
        <v>由仓库</v>
      </c>
      <c r="BH4" s="47" t="str">
        <f>VLOOKUP($A4,订货1!$A4:$H243,8,0)</f>
        <v>启东欧瑞食品有限公司</v>
      </c>
    </row>
    <row r="5" spans="1:60" ht="15.75" customHeight="1">
      <c r="A5" s="232">
        <v>101727</v>
      </c>
      <c r="B5" s="233" t="s">
        <v>551</v>
      </c>
      <c r="C5" s="70" t="s">
        <v>174</v>
      </c>
      <c r="D5" s="68"/>
      <c r="E5" s="68" t="s">
        <v>552</v>
      </c>
      <c r="F5" s="68" t="s">
        <v>18</v>
      </c>
      <c r="G5" s="68" t="s">
        <v>553</v>
      </c>
      <c r="H5" s="68" t="s">
        <v>553</v>
      </c>
      <c r="I5" s="71" t="s">
        <v>197</v>
      </c>
      <c r="J5" s="68"/>
      <c r="K5" s="257">
        <f>VLOOKUP($A5,订货1!$A5:$A244,1,0)</f>
        <v>101727</v>
      </c>
      <c r="L5" s="258" t="str">
        <f>VLOOKUP($A5,订货1!$A5:$G244,7,0)</f>
        <v>青岛亚是加食品有限公司</v>
      </c>
      <c r="M5" s="259" t="str">
        <f>VLOOKUP($A5,订货1!$A5:$B244,2,0)</f>
        <v>冷冻意大利面</v>
      </c>
      <c r="N5" s="72">
        <f>$N$4</f>
        <v>45978</v>
      </c>
      <c r="O5" s="49" t="str">
        <f>VLOOKUP($A5,订货1!$A5:$C244,3,0)</f>
        <v>冷凍</v>
      </c>
      <c r="P5" s="44" t="str">
        <f>VLOOKUP($A5,订货1!$A5:$E244,5,0)</f>
        <v>200g*30</v>
      </c>
      <c r="Q5" s="49" t="str">
        <f>VLOOKUP($A5,订货1!$A5:$F244,6,0)</f>
        <v>箱</v>
      </c>
      <c r="R5" s="167">
        <f t="shared" ca="1" si="1"/>
        <v>0</v>
      </c>
      <c r="S5" s="260" t="s">
        <v>207</v>
      </c>
      <c r="T5" s="85">
        <f ca="1">SUMIF(预估营业额3!$B$3:$B$39,"&gt;="&amp;$H$2,预估营业额3!$E$3:$E$39)-SUMIF(预估营业额3!$B$3:$B$39,"&gt;"&amp;N5,预估营业额3!$E$3:$E$39)</f>
        <v>0</v>
      </c>
      <c r="U5" s="219">
        <v>0</v>
      </c>
      <c r="V5" s="168">
        <v>1</v>
      </c>
      <c r="W5" s="182">
        <f t="shared" ref="W5:W66" ca="1" si="4">T5*U5*V5</f>
        <v>0</v>
      </c>
      <c r="X5" s="214">
        <v>0</v>
      </c>
      <c r="Y5" s="62">
        <f t="shared" ref="Y5:Y66" si="5">Z5+AA5</f>
        <v>0</v>
      </c>
      <c r="Z5" s="54"/>
      <c r="AA5" s="54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169" t="str">
        <f>VLOOKUP($A5,订货1!$A5:$I244,9,0)</f>
        <v>由仓库</v>
      </c>
      <c r="BH5" s="47" t="str">
        <f>VLOOKUP($A5,订货1!$A5:$H244,8,0)</f>
        <v>青岛亚是加食品有限公司</v>
      </c>
    </row>
    <row r="6" spans="1:60" ht="15.75" customHeight="1">
      <c r="A6" s="232">
        <v>101730</v>
      </c>
      <c r="B6" s="233" t="s">
        <v>558</v>
      </c>
      <c r="C6" s="69" t="s">
        <v>175</v>
      </c>
      <c r="D6" s="68"/>
      <c r="E6" s="68" t="s">
        <v>562</v>
      </c>
      <c r="F6" s="68" t="s">
        <v>18</v>
      </c>
      <c r="G6" s="68" t="s">
        <v>496</v>
      </c>
      <c r="H6" s="68" t="s">
        <v>496</v>
      </c>
      <c r="I6" s="71" t="s">
        <v>197</v>
      </c>
      <c r="J6" s="68"/>
      <c r="K6" s="234">
        <f>VLOOKUP($A6,订货1!$A6:$A245,1,0)</f>
        <v>101730</v>
      </c>
      <c r="L6" s="244" t="str">
        <f>VLOOKUP($A6,订货1!$A6:$G245,7,0)</f>
        <v>卓典食品科技（江苏）有限公司</v>
      </c>
      <c r="M6" s="235" t="str">
        <f>VLOOKUP($A6,订货1!$A6:$B245,2,0)</f>
        <v>利梭多粉</v>
      </c>
      <c r="N6" s="72">
        <f t="shared" ref="N6:N67" si="6">$N$4</f>
        <v>45978</v>
      </c>
      <c r="O6" s="49" t="str">
        <f>VLOOKUP($A6,订货1!$A6:$C245,3,0)</f>
        <v>常温</v>
      </c>
      <c r="P6" s="44" t="str">
        <f>VLOOKUP($A6,订货1!$A6:$E245,5,0)</f>
        <v>33g*20包*20袋/箱</v>
      </c>
      <c r="Q6" s="49" t="str">
        <f>VLOOKUP($A6,订货1!$A6:$F245,6,0)</f>
        <v>箱</v>
      </c>
      <c r="R6" s="167">
        <f t="shared" ca="1" si="1"/>
        <v>0</v>
      </c>
      <c r="S6" s="228" t="s">
        <v>199</v>
      </c>
      <c r="T6" s="85">
        <f ca="1">SUMIF(预估营业额3!$B$3:$B$39,"&gt;="&amp;$H$2,预估营业额3!$E$3:$E$39)-SUMIF(预估营业额3!$B$3:$B$39,"&gt;"&amp;N6,预估营业额3!$E$3:$E$39)</f>
        <v>0</v>
      </c>
      <c r="U6" s="219">
        <v>4.5429765582409602E-3</v>
      </c>
      <c r="V6" s="168">
        <v>1</v>
      </c>
      <c r="W6" s="182">
        <f t="shared" ca="1" si="4"/>
        <v>0</v>
      </c>
      <c r="X6" s="214">
        <v>0.25</v>
      </c>
      <c r="Y6" s="62">
        <f t="shared" si="5"/>
        <v>0</v>
      </c>
      <c r="Z6" s="54"/>
      <c r="AA6" s="54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169" t="str">
        <f>VLOOKUP($A6,订货1!$A6:$I245,9,0)</f>
        <v>由仓库</v>
      </c>
      <c r="BH6" s="47" t="str">
        <f>VLOOKUP($A6,订货1!$A6:$H245,8,0)</f>
        <v>卓典食品科技（江苏）有限公司</v>
      </c>
    </row>
    <row r="7" spans="1:60" ht="15.75" hidden="1" customHeight="1">
      <c r="A7" s="255">
        <v>101739</v>
      </c>
      <c r="B7" s="256" t="s">
        <v>732</v>
      </c>
      <c r="C7" s="69" t="s">
        <v>174</v>
      </c>
      <c r="D7" s="68"/>
      <c r="E7" s="68" t="s">
        <v>733</v>
      </c>
      <c r="F7" s="68" t="s">
        <v>18</v>
      </c>
      <c r="G7" s="68" t="s">
        <v>116</v>
      </c>
      <c r="H7" s="68" t="s">
        <v>116</v>
      </c>
      <c r="I7" s="71" t="s">
        <v>197</v>
      </c>
      <c r="J7" s="68"/>
      <c r="K7" s="234">
        <f>VLOOKUP($A7,订货1!$A7:$A246,1,0)</f>
        <v>101739</v>
      </c>
      <c r="L7" s="244" t="str">
        <f>VLOOKUP($A7,订货1!$A7:$G246,7,0)</f>
        <v>沈阳华美食品有限公司</v>
      </c>
      <c r="M7" s="235" t="str">
        <f>VLOOKUP($A7,订货1!$A7:$B246,2,0)</f>
        <v>华美裹粉鸡胗</v>
      </c>
      <c r="N7" s="72">
        <f t="shared" si="6"/>
        <v>45978</v>
      </c>
      <c r="O7" s="49" t="str">
        <f>VLOOKUP($A7,订货1!$A7:$C246,3,0)</f>
        <v>冷凍</v>
      </c>
      <c r="P7" s="44" t="str">
        <f>VLOOKUP($A7,订货1!$A7:$E246,5,0)</f>
        <v>40g*20*12</v>
      </c>
      <c r="Q7" s="49" t="str">
        <f>VLOOKUP($A7,订货1!$A7:$F246,6,0)</f>
        <v>箱</v>
      </c>
      <c r="R7" s="167">
        <f t="shared" ca="1" si="1"/>
        <v>0</v>
      </c>
      <c r="S7" s="228" t="s">
        <v>199</v>
      </c>
      <c r="T7" s="85">
        <f ca="1">SUMIF(预估营业额3!$B$3:$B$39,"&gt;="&amp;$H$2,预估营业额3!$E$3:$E$39)-SUMIF(预估营业额3!$B$3:$B$39,"&gt;"&amp;N7,预估营业额3!$E$3:$E$39)</f>
        <v>0</v>
      </c>
      <c r="U7" s="219">
        <v>2.5743533830032105E-2</v>
      </c>
      <c r="V7" s="168">
        <v>1</v>
      </c>
      <c r="W7" s="182">
        <f t="shared" ca="1" si="4"/>
        <v>0</v>
      </c>
      <c r="X7" s="214">
        <v>0</v>
      </c>
      <c r="Y7" s="62">
        <f t="shared" si="5"/>
        <v>0</v>
      </c>
      <c r="Z7" s="54"/>
      <c r="AA7" s="54"/>
      <c r="AB7" s="222"/>
      <c r="AC7" s="222"/>
      <c r="AD7" s="222"/>
      <c r="AE7" s="222"/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169" t="str">
        <f>VLOOKUP($A7,订货1!$A7:$I246,9,0)</f>
        <v>由仓库</v>
      </c>
      <c r="BH7" s="47" t="str">
        <f>VLOOKUP($A7,订货1!$A7:$H246,8,0)</f>
        <v>沈阳华美食品有限公司</v>
      </c>
    </row>
    <row r="8" spans="1:60" ht="15.75" customHeight="1">
      <c r="A8" s="268">
        <v>101752</v>
      </c>
      <c r="B8" s="269" t="s">
        <v>772</v>
      </c>
      <c r="C8" s="69" t="s">
        <v>174</v>
      </c>
      <c r="D8" s="68"/>
      <c r="E8" s="68" t="s">
        <v>773</v>
      </c>
      <c r="F8" s="68" t="s">
        <v>18</v>
      </c>
      <c r="G8" s="68" t="s">
        <v>446</v>
      </c>
      <c r="H8" s="68" t="s">
        <v>446</v>
      </c>
      <c r="I8" s="71" t="s">
        <v>197</v>
      </c>
      <c r="J8" s="68" t="s">
        <v>578</v>
      </c>
      <c r="K8" s="270">
        <f>VLOOKUP($A8,订货1!$A8:$A248,1,0)</f>
        <v>101752</v>
      </c>
      <c r="L8" s="271" t="str">
        <f>VLOOKUP($A8,订货1!$A8:$G248,7,0)</f>
        <v>山東三涛食品有限公司</v>
      </c>
      <c r="M8" s="272" t="str">
        <f>VLOOKUP($A8,订货1!$A8:$B248,2,0)</f>
        <v>冷冻土豆泥</v>
      </c>
      <c r="N8" s="72">
        <f t="shared" si="6"/>
        <v>45978</v>
      </c>
      <c r="O8" s="49" t="str">
        <f>VLOOKUP($A8,订货1!$A8:$C248,3,0)</f>
        <v>冷凍</v>
      </c>
      <c r="P8" s="44" t="str">
        <f>VLOOKUP($A8,订货1!$A8:$E248,5,0)</f>
        <v>1kg*10</v>
      </c>
      <c r="Q8" s="49" t="str">
        <f>VLOOKUP($A8,订货1!$A8:$F248,6,0)</f>
        <v>箱</v>
      </c>
      <c r="R8" s="167">
        <f t="shared" ca="1" si="1"/>
        <v>0</v>
      </c>
      <c r="S8" s="260" t="s">
        <v>207</v>
      </c>
      <c r="T8" s="85">
        <f ca="1">SUMIF(预估营业额3!$B$3:$B$39,"&gt;="&amp;$H$2,预估营业额3!$E$3:$E$39)-SUMIF(预估营业额3!$B$3:$B$39,"&gt;"&amp;N8,预估营业额3!$E$3:$E$39)</f>
        <v>0</v>
      </c>
      <c r="U8" s="219">
        <v>0</v>
      </c>
      <c r="V8" s="168">
        <v>1</v>
      </c>
      <c r="W8" s="182">
        <f t="shared" ca="1" si="4"/>
        <v>0</v>
      </c>
      <c r="X8" s="214">
        <v>0</v>
      </c>
      <c r="Y8" s="62">
        <f t="shared" si="5"/>
        <v>0</v>
      </c>
      <c r="Z8" s="54"/>
      <c r="AA8" s="54"/>
      <c r="AB8" s="222"/>
      <c r="AC8" s="222"/>
      <c r="AD8" s="222"/>
      <c r="AE8" s="222"/>
      <c r="AF8" s="222"/>
      <c r="AG8" s="222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222"/>
      <c r="BC8" s="222"/>
      <c r="BD8" s="222"/>
      <c r="BE8" s="222"/>
      <c r="BF8" s="222"/>
      <c r="BG8" s="169" t="str">
        <f>VLOOKUP($A8,订货1!$A8:$I248,9,0)</f>
        <v>由仓库</v>
      </c>
      <c r="BH8" s="47" t="str">
        <f>VLOOKUP($A8,订货1!$A8:$H248,8,0)</f>
        <v>山東三涛食品有限公司</v>
      </c>
    </row>
    <row r="9" spans="1:60" ht="15.75" customHeight="1">
      <c r="A9" s="67">
        <v>101686</v>
      </c>
      <c r="B9" s="68" t="s">
        <v>465</v>
      </c>
      <c r="C9" s="69" t="s">
        <v>175</v>
      </c>
      <c r="D9" s="68"/>
      <c r="E9" s="68" t="s">
        <v>466</v>
      </c>
      <c r="F9" s="68" t="s">
        <v>18</v>
      </c>
      <c r="G9" s="68" t="s">
        <v>505</v>
      </c>
      <c r="H9" s="68" t="s">
        <v>433</v>
      </c>
      <c r="I9" s="71" t="s">
        <v>197</v>
      </c>
      <c r="J9" s="68" t="s">
        <v>579</v>
      </c>
      <c r="K9" s="234">
        <f>VLOOKUP($A9,订货1!$A9:$A250,1,0)</f>
        <v>101686</v>
      </c>
      <c r="L9" s="244" t="str">
        <f>VLOOKUP($A9,订货1!$A9:$G250,7,0)</f>
        <v>融滋合味（上海）科技有限公司</v>
      </c>
      <c r="M9" s="235" t="str">
        <f>VLOOKUP($A9,订货1!$A9:$B250,2,0)</f>
        <v>黄桃丁罐头（825g）</v>
      </c>
      <c r="N9" s="72">
        <f t="shared" si="6"/>
        <v>45978</v>
      </c>
      <c r="O9" s="49" t="str">
        <f>VLOOKUP($A9,订货1!$A9:$C250,3,0)</f>
        <v>常温</v>
      </c>
      <c r="P9" s="44" t="str">
        <f>VLOOKUP($A9,订货1!$A9:$E250,5,0)</f>
        <v>0.825kg*24can</v>
      </c>
      <c r="Q9" s="49" t="str">
        <f>VLOOKUP($A9,订货1!$A9:$F250,6,0)</f>
        <v>箱</v>
      </c>
      <c r="R9" s="167">
        <f t="shared" ca="1" si="1"/>
        <v>0</v>
      </c>
      <c r="S9" s="228" t="s">
        <v>199</v>
      </c>
      <c r="T9" s="85">
        <f ca="1">SUMIF(预估营业额3!$B$3:$B$39,"&gt;="&amp;$H$2,预估营业额3!$E$3:$E$39)-SUMIF(预估营业额3!$B$3:$B$39,"&gt;"&amp;N9,预估营业额3!$E$3:$E$39)</f>
        <v>0</v>
      </c>
      <c r="U9" s="219">
        <v>3.9023003769505675E-2</v>
      </c>
      <c r="V9" s="168">
        <v>1</v>
      </c>
      <c r="W9" s="182">
        <f t="shared" ca="1" si="4"/>
        <v>0</v>
      </c>
      <c r="X9" s="214">
        <v>0.5</v>
      </c>
      <c r="Y9" s="62">
        <f t="shared" si="5"/>
        <v>0</v>
      </c>
      <c r="Z9" s="54"/>
      <c r="AA9" s="54"/>
      <c r="AB9" s="222"/>
      <c r="AC9" s="222"/>
      <c r="AD9" s="222"/>
      <c r="AE9" s="222"/>
      <c r="AF9" s="222"/>
      <c r="AG9" s="222"/>
      <c r="AH9" s="222"/>
      <c r="AI9" s="222">
        <v>1</v>
      </c>
      <c r="AJ9" s="222"/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222"/>
      <c r="BC9" s="222"/>
      <c r="BD9" s="222"/>
      <c r="BE9" s="222"/>
      <c r="BF9" s="222"/>
      <c r="BG9" s="169" t="str">
        <f>VLOOKUP($A9,订货1!$A9:$I250,9,0)</f>
        <v>由仓库</v>
      </c>
      <c r="BH9" s="47" t="str">
        <f>VLOOKUP($A9,订货1!$A9:$H250,8,0)</f>
        <v>宿州皇冠食品有限公司</v>
      </c>
    </row>
    <row r="10" spans="1:60" ht="15.75" customHeight="1">
      <c r="A10" s="67">
        <v>101112</v>
      </c>
      <c r="B10" s="68" t="s">
        <v>377</v>
      </c>
      <c r="C10" s="69" t="s">
        <v>175</v>
      </c>
      <c r="D10" s="68"/>
      <c r="E10" s="68" t="s">
        <v>240</v>
      </c>
      <c r="F10" s="68" t="s">
        <v>18</v>
      </c>
      <c r="G10" s="68" t="s">
        <v>97</v>
      </c>
      <c r="H10" s="68" t="s">
        <v>376</v>
      </c>
      <c r="I10" s="71" t="s">
        <v>197</v>
      </c>
      <c r="J10" s="68" t="s">
        <v>580</v>
      </c>
      <c r="K10" s="234">
        <f>VLOOKUP($A10,订货1!$A10:$A251,1,0)</f>
        <v>101112</v>
      </c>
      <c r="L10" s="244" t="str">
        <f>VLOOKUP($A10,订货1!$A10:$G251,7,0)</f>
        <v>上海捷仪经贸有限公司</v>
      </c>
      <c r="M10" s="235" t="str">
        <f>VLOOKUP($A10,订货1!$A10:$B251,2,0)</f>
        <v>亨氏番茄调味酱</v>
      </c>
      <c r="N10" s="72">
        <f t="shared" si="6"/>
        <v>45978</v>
      </c>
      <c r="O10" s="49" t="str">
        <f>VLOOKUP($A10,订货1!$A10:$C251,3,0)</f>
        <v>常温</v>
      </c>
      <c r="P10" s="44" t="str">
        <f>VLOOKUP($A10,订货1!$A10:$E251,5,0)</f>
        <v>10g*600pc</v>
      </c>
      <c r="Q10" s="49" t="str">
        <f>VLOOKUP($A10,订货1!$A10:$F251,6,0)</f>
        <v>箱</v>
      </c>
      <c r="R10" s="167">
        <f t="shared" ca="1" si="1"/>
        <v>0</v>
      </c>
      <c r="S10" s="228" t="s">
        <v>199</v>
      </c>
      <c r="T10" s="85">
        <f ca="1">SUMIF(预估营业额3!$B$3:$B$39,"&gt;="&amp;$H$2,预估营业额3!$E$3:$E$39)-SUMIF(预估营业额3!$B$3:$B$39,"&gt;"&amp;N10,预估营业额3!$E$3:$E$39)</f>
        <v>0</v>
      </c>
      <c r="U10" s="219">
        <v>3.1008727174454957E-2</v>
      </c>
      <c r="V10" s="168">
        <v>1</v>
      </c>
      <c r="W10" s="182">
        <f t="shared" ca="1" si="4"/>
        <v>0</v>
      </c>
      <c r="X10" s="214">
        <v>0.3</v>
      </c>
      <c r="Y10" s="62">
        <f t="shared" si="5"/>
        <v>0</v>
      </c>
      <c r="Z10" s="54"/>
      <c r="AA10" s="54"/>
      <c r="AB10" s="222"/>
      <c r="AC10" s="222">
        <v>1</v>
      </c>
      <c r="AD10" s="222"/>
      <c r="AE10" s="222"/>
      <c r="AF10" s="222"/>
      <c r="AG10" s="222"/>
      <c r="AH10" s="222"/>
      <c r="AI10" s="222"/>
      <c r="AJ10" s="222"/>
      <c r="AK10" s="222"/>
      <c r="AL10" s="222"/>
      <c r="AM10" s="222">
        <v>1</v>
      </c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169" t="str">
        <f>VLOOKUP($A10,订货1!$A10:$I251,9,0)</f>
        <v>由仓库</v>
      </c>
      <c r="BH10" s="47" t="str">
        <f>VLOOKUP($A10,订货1!$A10:$H251,8,0)</f>
        <v>亨氏（青岛）食品有限公司</v>
      </c>
    </row>
    <row r="11" spans="1:60" ht="15.75" customHeight="1">
      <c r="A11" s="67">
        <v>101687</v>
      </c>
      <c r="B11" s="68" t="s">
        <v>467</v>
      </c>
      <c r="C11" s="69" t="s">
        <v>175</v>
      </c>
      <c r="D11" s="68"/>
      <c r="E11" s="68" t="s">
        <v>468</v>
      </c>
      <c r="F11" s="68" t="s">
        <v>18</v>
      </c>
      <c r="G11" s="68" t="s">
        <v>115</v>
      </c>
      <c r="H11" s="68" t="s">
        <v>119</v>
      </c>
      <c r="I11" s="71" t="s">
        <v>197</v>
      </c>
      <c r="J11" s="68" t="s">
        <v>581</v>
      </c>
      <c r="K11" s="234">
        <f>VLOOKUP($A11,订货1!$A11:$A252,1,0)</f>
        <v>101687</v>
      </c>
      <c r="L11" s="244" t="str">
        <f>VLOOKUP($A11,订货1!$A11:$G252,7,0)</f>
        <v>上海潜深实业有限公司</v>
      </c>
      <c r="M11" s="235" t="str">
        <f>VLOOKUP($A11,订货1!$A11:$B252,2,0)</f>
        <v>椰果罐头（850g）</v>
      </c>
      <c r="N11" s="72">
        <f t="shared" si="6"/>
        <v>45978</v>
      </c>
      <c r="O11" s="49" t="str">
        <f>VLOOKUP($A11,订货1!$A11:$C252,3,0)</f>
        <v>常温</v>
      </c>
      <c r="P11" s="44" t="str">
        <f>VLOOKUP($A11,订货1!$A11:$E252,5,0)</f>
        <v>0.85kg*12can</v>
      </c>
      <c r="Q11" s="49" t="str">
        <f>VLOOKUP($A11,订货1!$A11:$F252,6,0)</f>
        <v>箱</v>
      </c>
      <c r="R11" s="167">
        <f t="shared" ca="1" si="1"/>
        <v>0</v>
      </c>
      <c r="S11" s="228" t="s">
        <v>199</v>
      </c>
      <c r="T11" s="85">
        <f ca="1">SUMIF(预估营业额3!$B$3:$B$39,"&gt;="&amp;$H$2,预估营业额3!$E$3:$E$39)-SUMIF(预估营业额3!$B$3:$B$39,"&gt;"&amp;N11,预估营业额3!$E$3:$E$39)</f>
        <v>0</v>
      </c>
      <c r="U11" s="219">
        <v>6.4067618129039203E-2</v>
      </c>
      <c r="V11" s="168">
        <v>1</v>
      </c>
      <c r="W11" s="182">
        <f t="shared" ca="1" si="4"/>
        <v>0</v>
      </c>
      <c r="X11" s="214">
        <v>1</v>
      </c>
      <c r="Y11" s="62">
        <f t="shared" si="5"/>
        <v>0</v>
      </c>
      <c r="Z11" s="54"/>
      <c r="AA11" s="54"/>
      <c r="AB11" s="222"/>
      <c r="AC11" s="222"/>
      <c r="AD11" s="222"/>
      <c r="AE11" s="222"/>
      <c r="AF11" s="222"/>
      <c r="AG11" s="222">
        <v>1</v>
      </c>
      <c r="AH11" s="222"/>
      <c r="AI11" s="222"/>
      <c r="AJ11" s="222"/>
      <c r="AK11" s="222"/>
      <c r="AL11" s="222"/>
      <c r="AM11" s="222">
        <v>1</v>
      </c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169" t="str">
        <f>VLOOKUP($A11,订货1!$A11:$I252,9,0)</f>
        <v>由仓库</v>
      </c>
      <c r="BH11" s="47" t="str">
        <f>VLOOKUP($A11,订货1!$A11:$H252,8,0)</f>
        <v>雷州市绿河食品实业有限公司</v>
      </c>
    </row>
    <row r="12" spans="1:60" ht="15.75" customHeight="1">
      <c r="A12" s="255">
        <v>101738</v>
      </c>
      <c r="B12" s="256" t="s">
        <v>756</v>
      </c>
      <c r="C12" s="69" t="s">
        <v>174</v>
      </c>
      <c r="D12" s="68"/>
      <c r="E12" s="68" t="s">
        <v>757</v>
      </c>
      <c r="F12" s="68" t="s">
        <v>758</v>
      </c>
      <c r="G12" s="68" t="s">
        <v>734</v>
      </c>
      <c r="H12" s="68" t="s">
        <v>734</v>
      </c>
      <c r="I12" s="71" t="s">
        <v>197</v>
      </c>
      <c r="J12" s="68" t="s">
        <v>582</v>
      </c>
      <c r="K12" s="234">
        <f>VLOOKUP($A12,订货1!$A12:$A253,1,0)</f>
        <v>101738</v>
      </c>
      <c r="L12" s="244" t="str">
        <f>VLOOKUP($A12,订货1!$A12:$G253,7,0)</f>
        <v>苏州欧福蛋液股份有限公司</v>
      </c>
      <c r="M12" s="235" t="str">
        <f>VLOOKUP($A12,订货1!$A12:$B253,2,0)</f>
        <v>（组）巴氏杀菌冰全蛋</v>
      </c>
      <c r="N12" s="72">
        <f t="shared" si="6"/>
        <v>45978</v>
      </c>
      <c r="O12" s="49" t="str">
        <f>VLOOKUP($A12,订货1!$A12:$C253,3,0)</f>
        <v>冷凍</v>
      </c>
      <c r="P12" s="183" t="str">
        <f>VLOOKUP($A12,订货1!$A12:$E253,5,0)</f>
        <v>970g*6</v>
      </c>
      <c r="Q12" s="186" t="str">
        <f>VLOOKUP($A12,订货1!$A12:$F253,6,0)</f>
        <v>组</v>
      </c>
      <c r="R12" s="167">
        <f t="shared" ca="1" si="1"/>
        <v>0</v>
      </c>
      <c r="S12" s="228" t="s">
        <v>199</v>
      </c>
      <c r="T12" s="85">
        <f ca="1">SUMIF(预估营业额3!$B$3:$B$39,"&gt;="&amp;$H$2,预估营业额3!$E$3:$E$39)-SUMIF(预估营业额3!$B$3:$B$39,"&gt;"&amp;N12,预估营业额3!$E$3:$E$39)</f>
        <v>0</v>
      </c>
      <c r="U12" s="219">
        <v>9.0381575925543495E-2</v>
      </c>
      <c r="V12" s="168">
        <v>1</v>
      </c>
      <c r="W12" s="182">
        <f t="shared" ca="1" si="4"/>
        <v>0</v>
      </c>
      <c r="X12" s="214">
        <v>0.6</v>
      </c>
      <c r="Y12" s="62">
        <f t="shared" si="5"/>
        <v>1</v>
      </c>
      <c r="Z12" s="54">
        <v>1</v>
      </c>
      <c r="AA12" s="54"/>
      <c r="AB12" s="222"/>
      <c r="AC12" s="222"/>
      <c r="AD12" s="222"/>
      <c r="AE12" s="222"/>
      <c r="AF12" s="222"/>
      <c r="AG12" s="222">
        <v>1</v>
      </c>
      <c r="AH12" s="222"/>
      <c r="AI12" s="222"/>
      <c r="AJ12" s="222"/>
      <c r="AK12" s="222"/>
      <c r="AL12" s="222"/>
      <c r="AM12" s="222"/>
      <c r="AN12" s="222">
        <v>1</v>
      </c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169" t="str">
        <f>VLOOKUP($A12,订货1!$A12:$I253,9,0)</f>
        <v>由仓库</v>
      </c>
      <c r="BH12" s="47" t="str">
        <f>VLOOKUP($A12,订货1!$A12:$H253,8,0)</f>
        <v>苏州欧福蛋液股份有限公司</v>
      </c>
    </row>
    <row r="13" spans="1:60" ht="15.75" customHeight="1">
      <c r="A13" s="67">
        <v>101688</v>
      </c>
      <c r="B13" s="68" t="s">
        <v>414</v>
      </c>
      <c r="C13" s="69" t="s">
        <v>174</v>
      </c>
      <c r="D13" s="68"/>
      <c r="E13" s="68" t="s">
        <v>438</v>
      </c>
      <c r="F13" s="68" t="s">
        <v>18</v>
      </c>
      <c r="G13" s="68" t="s">
        <v>461</v>
      </c>
      <c r="H13" s="68" t="s">
        <v>416</v>
      </c>
      <c r="I13" s="71" t="s">
        <v>197</v>
      </c>
      <c r="J13" s="68" t="s">
        <v>583</v>
      </c>
      <c r="K13" s="234">
        <f>VLOOKUP($A13,订货1!$A13:$A254,1,0)</f>
        <v>101688</v>
      </c>
      <c r="L13" s="244" t="str">
        <f>VLOOKUP($A13,订货1!$A13:$G254,7,0)</f>
        <v>上海宝立食品科技股份有限公司</v>
      </c>
      <c r="M13" s="235" t="str">
        <f>VLOOKUP($A13,订货1!$A13:$B254,2,0)</f>
        <v>奶油蘑菇汤</v>
      </c>
      <c r="N13" s="72">
        <f t="shared" si="6"/>
        <v>45978</v>
      </c>
      <c r="O13" s="49" t="str">
        <f>VLOOKUP($A13,订货1!$A13:$C254,3,0)</f>
        <v>冷凍</v>
      </c>
      <c r="P13" s="44" t="str">
        <f>VLOOKUP($A13,订货1!$A13:$E254,5,0)</f>
        <v>0.16kg*50pc</v>
      </c>
      <c r="Q13" s="49" t="str">
        <f>VLOOKUP($A13,订货1!$A13:$F254,6,0)</f>
        <v>箱</v>
      </c>
      <c r="R13" s="167">
        <f t="shared" ca="1" si="1"/>
        <v>0</v>
      </c>
      <c r="S13" s="228" t="s">
        <v>199</v>
      </c>
      <c r="T13" s="85">
        <f ca="1">SUMIF(预估营业额3!$B$3:$B$39,"&gt;="&amp;$H$2,预估营业额3!$E$3:$E$39)-SUMIF(预估营业额3!$B$3:$B$39,"&gt;"&amp;N13,预估营业额3!$E$3:$E$39)</f>
        <v>0</v>
      </c>
      <c r="U13" s="219">
        <v>0.4</v>
      </c>
      <c r="V13" s="168">
        <v>1</v>
      </c>
      <c r="W13" s="182">
        <f t="shared" ca="1" si="4"/>
        <v>0</v>
      </c>
      <c r="X13" s="214">
        <v>1.3</v>
      </c>
      <c r="Y13" s="62">
        <f t="shared" si="5"/>
        <v>2</v>
      </c>
      <c r="Z13" s="54">
        <v>2</v>
      </c>
      <c r="AA13" s="54"/>
      <c r="AB13" s="222">
        <v>1</v>
      </c>
      <c r="AC13" s="222"/>
      <c r="AD13" s="222"/>
      <c r="AE13" s="222">
        <v>2</v>
      </c>
      <c r="AF13" s="222">
        <v>1</v>
      </c>
      <c r="AG13" s="222">
        <v>2</v>
      </c>
      <c r="AH13" s="222"/>
      <c r="AI13" s="222">
        <v>1</v>
      </c>
      <c r="AJ13" s="222"/>
      <c r="AK13" s="222"/>
      <c r="AL13" s="222"/>
      <c r="AM13" s="222">
        <v>2</v>
      </c>
      <c r="AN13" s="222">
        <v>2</v>
      </c>
      <c r="AO13" s="222">
        <v>1</v>
      </c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169" t="str">
        <f>VLOOKUP($A13,订货1!$A13:$I254,9,0)</f>
        <v>由仓库</v>
      </c>
      <c r="BH13" s="47" t="str">
        <f>VLOOKUP($A13,订货1!$A13:$H254,8,0)</f>
        <v>浙江宝立食品科技有限公司</v>
      </c>
    </row>
    <row r="14" spans="1:60" ht="15.75" customHeight="1">
      <c r="A14" s="67">
        <v>101290</v>
      </c>
      <c r="B14" s="68" t="s">
        <v>143</v>
      </c>
      <c r="C14" s="69" t="s">
        <v>175</v>
      </c>
      <c r="D14" s="68"/>
      <c r="E14" s="68" t="s">
        <v>178</v>
      </c>
      <c r="F14" s="68" t="s">
        <v>15</v>
      </c>
      <c r="G14" s="68" t="s">
        <v>97</v>
      </c>
      <c r="H14" s="265" t="s">
        <v>765</v>
      </c>
      <c r="I14" s="71" t="s">
        <v>197</v>
      </c>
      <c r="J14" s="68" t="s">
        <v>584</v>
      </c>
      <c r="K14" s="236">
        <f>VLOOKUP($A14,订货1!$A14:$A255,1,0)</f>
        <v>101290</v>
      </c>
      <c r="L14" s="245" t="str">
        <f>VLOOKUP($A14,订货1!$A14:$G255,7,0)</f>
        <v>上海捷仪经贸有限公司</v>
      </c>
      <c r="M14" s="237" t="str">
        <f>VLOOKUP($A14,订货1!$A14:$B255,2,0)</f>
        <v>黑胡椒碎</v>
      </c>
      <c r="N14" s="72">
        <f t="shared" si="6"/>
        <v>45978</v>
      </c>
      <c r="O14" s="49" t="str">
        <f>VLOOKUP($A14,订货1!$A14:$C255,3,0)</f>
        <v>常温</v>
      </c>
      <c r="P14" s="44" t="str">
        <f>VLOOKUP($A14,订货1!$A14:$E255,5,0)</f>
        <v>1kg</v>
      </c>
      <c r="Q14" s="49" t="str">
        <f>VLOOKUP($A14,订货1!$A14:$F255,6,0)</f>
        <v>袋</v>
      </c>
      <c r="R14" s="167">
        <f t="shared" ca="1" si="1"/>
        <v>0</v>
      </c>
      <c r="S14" s="105" t="s">
        <v>199</v>
      </c>
      <c r="T14" s="85">
        <f ca="1">SUMIF(预估营业额3!$B$3:$B$39,"&gt;="&amp;$H$2,预估营业额3!$E$3:$E$39)-SUMIF(预估营业额3!$B$3:$B$39,"&gt;"&amp;N14,预估营业额3!$E$3:$E$39)</f>
        <v>0</v>
      </c>
      <c r="U14" s="219">
        <v>6.989194704986091E-3</v>
      </c>
      <c r="V14" s="168">
        <v>1</v>
      </c>
      <c r="W14" s="182">
        <f t="shared" ca="1" si="4"/>
        <v>0</v>
      </c>
      <c r="X14" s="214">
        <v>1</v>
      </c>
      <c r="Y14" s="62">
        <f t="shared" si="5"/>
        <v>0</v>
      </c>
      <c r="Z14" s="54"/>
      <c r="AA14" s="54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169" t="str">
        <f>VLOOKUP($A14,订货1!$A14:$I255,9,0)</f>
        <v>由仓库</v>
      </c>
      <c r="BH14" s="47" t="str">
        <f>VLOOKUP($A14,订货1!$A14:$H255,8,0)</f>
        <v>泰州顶淳食品有限公司</v>
      </c>
    </row>
    <row r="15" spans="1:60" ht="15.75" customHeight="1">
      <c r="A15" s="67">
        <v>101398</v>
      </c>
      <c r="B15" s="68" t="s">
        <v>146</v>
      </c>
      <c r="C15" s="69" t="s">
        <v>175</v>
      </c>
      <c r="D15" s="68"/>
      <c r="E15" s="68" t="s">
        <v>242</v>
      </c>
      <c r="F15" s="68" t="s">
        <v>15</v>
      </c>
      <c r="G15" s="68" t="s">
        <v>97</v>
      </c>
      <c r="H15" s="68" t="s">
        <v>104</v>
      </c>
      <c r="I15" s="71" t="s">
        <v>197</v>
      </c>
      <c r="J15" s="68" t="s">
        <v>585</v>
      </c>
      <c r="K15" s="236">
        <f>VLOOKUP($A15,订货1!$A15:$A256,1,0)</f>
        <v>101398</v>
      </c>
      <c r="L15" s="245" t="str">
        <f>VLOOKUP($A15,订货1!$A15:$G256,7,0)</f>
        <v>上海捷仪经贸有限公司</v>
      </c>
      <c r="M15" s="237" t="str">
        <f>VLOOKUP($A15,订货1!$A15:$B256,2,0)</f>
        <v>好日子红茶</v>
      </c>
      <c r="N15" s="72">
        <f t="shared" si="6"/>
        <v>45978</v>
      </c>
      <c r="O15" s="49" t="str">
        <f>VLOOKUP($A15,订货1!$A15:$C256,3,0)</f>
        <v>常温</v>
      </c>
      <c r="P15" s="44" t="str">
        <f>VLOOKUP($A15,订货1!$A15:$E256,5,0)</f>
        <v>2g*100pc*30pc大</v>
      </c>
      <c r="Q15" s="49" t="str">
        <f>VLOOKUP($A15,订货1!$A15:$F256,6,0)</f>
        <v>袋</v>
      </c>
      <c r="R15" s="167">
        <f t="shared" ca="1" si="1"/>
        <v>0</v>
      </c>
      <c r="S15" s="105" t="s">
        <v>199</v>
      </c>
      <c r="T15" s="85">
        <f ca="1">SUMIF(预估营业额3!$B$3:$B$39,"&gt;="&amp;$H$2,预估营业额3!$E$3:$E$39)-SUMIF(预估营业额3!$B$3:$B$39,"&gt;"&amp;N15,预估营业额3!$E$3:$E$39)</f>
        <v>0</v>
      </c>
      <c r="U15" s="219">
        <v>1.3139686045373852E-2</v>
      </c>
      <c r="V15" s="168">
        <v>1</v>
      </c>
      <c r="W15" s="182">
        <f t="shared" ca="1" si="4"/>
        <v>0</v>
      </c>
      <c r="X15" s="214">
        <v>1</v>
      </c>
      <c r="Y15" s="62">
        <f t="shared" si="5"/>
        <v>0</v>
      </c>
      <c r="Z15" s="54"/>
      <c r="AA15" s="54"/>
      <c r="AB15" s="222"/>
      <c r="AC15" s="222"/>
      <c r="AD15" s="222"/>
      <c r="AE15" s="222"/>
      <c r="AF15" s="222"/>
      <c r="AG15" s="222"/>
      <c r="AH15" s="222"/>
      <c r="AI15" s="222"/>
      <c r="AJ15" s="222"/>
      <c r="AK15" s="222"/>
      <c r="AL15" s="222"/>
      <c r="AM15" s="222"/>
      <c r="AN15" s="222"/>
      <c r="AO15" s="222"/>
      <c r="AP15" s="222"/>
      <c r="AQ15" s="222"/>
      <c r="AR15" s="222"/>
      <c r="AS15" s="222"/>
      <c r="AT15" s="222"/>
      <c r="AU15" s="222"/>
      <c r="AV15" s="222"/>
      <c r="AW15" s="222"/>
      <c r="AX15" s="222"/>
      <c r="AY15" s="222"/>
      <c r="AZ15" s="222"/>
      <c r="BA15" s="222"/>
      <c r="BB15" s="222"/>
      <c r="BC15" s="222"/>
      <c r="BD15" s="222"/>
      <c r="BE15" s="222"/>
      <c r="BF15" s="222"/>
      <c r="BG15" s="169" t="str">
        <f>VLOOKUP($A15,订货1!$A15:$I256,9,0)</f>
        <v>由仓库</v>
      </c>
      <c r="BH15" s="47" t="str">
        <f>VLOOKUP($A15,订货1!$A15:$H256,8,0)</f>
        <v>福建好日子食品有限公司</v>
      </c>
    </row>
    <row r="16" spans="1:60" ht="15.75" customHeight="1">
      <c r="A16" s="67">
        <v>101399</v>
      </c>
      <c r="B16" s="68" t="s">
        <v>147</v>
      </c>
      <c r="C16" s="70" t="s">
        <v>175</v>
      </c>
      <c r="D16" s="68"/>
      <c r="E16" s="68" t="s">
        <v>242</v>
      </c>
      <c r="F16" s="68" t="s">
        <v>15</v>
      </c>
      <c r="G16" s="68" t="s">
        <v>97</v>
      </c>
      <c r="H16" s="68" t="s">
        <v>104</v>
      </c>
      <c r="I16" s="71" t="s">
        <v>197</v>
      </c>
      <c r="J16" s="68" t="s">
        <v>586</v>
      </c>
      <c r="K16" s="236">
        <f>VLOOKUP($A16,订货1!$A16:$A257,1,0)</f>
        <v>101399</v>
      </c>
      <c r="L16" s="245" t="str">
        <f>VLOOKUP($A16,订货1!$A16:$G257,7,0)</f>
        <v>上海捷仪经贸有限公司</v>
      </c>
      <c r="M16" s="237" t="str">
        <f>VLOOKUP($A16,订货1!$A16:$B257,2,0)</f>
        <v>好日子绿茶</v>
      </c>
      <c r="N16" s="72">
        <f t="shared" si="6"/>
        <v>45978</v>
      </c>
      <c r="O16" s="49" t="str">
        <f>VLOOKUP($A16,订货1!$A16:$C257,3,0)</f>
        <v>常温</v>
      </c>
      <c r="P16" s="44" t="str">
        <f>VLOOKUP($A16,订货1!$A16:$E257,5,0)</f>
        <v>2g*100pc*30pc大</v>
      </c>
      <c r="Q16" s="49" t="str">
        <f>VLOOKUP($A16,订货1!$A16:$F257,6,0)</f>
        <v>袋</v>
      </c>
      <c r="R16" s="167">
        <f t="shared" ca="1" si="1"/>
        <v>0</v>
      </c>
      <c r="S16" s="105" t="s">
        <v>199</v>
      </c>
      <c r="T16" s="85">
        <f ca="1">SUMIF(预估营业额3!$B$3:$B$39,"&gt;="&amp;$H$2,预估营业额3!$E$3:$E$39)-SUMIF(预估营业额3!$B$3:$B$39,"&gt;"&amp;N16,预估营业额3!$E$3:$E$39)</f>
        <v>0</v>
      </c>
      <c r="U16" s="219">
        <v>3.7741651406924897E-3</v>
      </c>
      <c r="V16" s="168">
        <v>1</v>
      </c>
      <c r="W16" s="182">
        <f t="shared" ca="1" si="4"/>
        <v>0</v>
      </c>
      <c r="X16" s="214">
        <v>0.1</v>
      </c>
      <c r="Y16" s="62">
        <f t="shared" si="5"/>
        <v>0</v>
      </c>
      <c r="Z16" s="54"/>
      <c r="AA16" s="54"/>
      <c r="AB16" s="222"/>
      <c r="AC16" s="222"/>
      <c r="AD16" s="222"/>
      <c r="AE16" s="222"/>
      <c r="AF16" s="222"/>
      <c r="AG16" s="222"/>
      <c r="AH16" s="222"/>
      <c r="AI16" s="222"/>
      <c r="AJ16" s="222"/>
      <c r="AK16" s="222"/>
      <c r="AL16" s="222"/>
      <c r="AM16" s="222"/>
      <c r="AN16" s="222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2"/>
      <c r="BA16" s="222"/>
      <c r="BB16" s="222"/>
      <c r="BC16" s="222"/>
      <c r="BD16" s="222"/>
      <c r="BE16" s="222"/>
      <c r="BF16" s="222"/>
      <c r="BG16" s="169" t="str">
        <f>VLOOKUP($A16,订货1!$A16:$I257,9,0)</f>
        <v>由仓库</v>
      </c>
      <c r="BH16" s="47" t="str">
        <f>VLOOKUP($A16,订货1!$A16:$H257,8,0)</f>
        <v>福建好日子食品有限公司</v>
      </c>
    </row>
    <row r="17" spans="1:60" ht="15.75" customHeight="1">
      <c r="A17" s="67">
        <v>101400</v>
      </c>
      <c r="B17" s="68" t="s">
        <v>148</v>
      </c>
      <c r="C17" s="70" t="s">
        <v>175</v>
      </c>
      <c r="D17" s="68"/>
      <c r="E17" s="68" t="s">
        <v>242</v>
      </c>
      <c r="F17" s="68" t="s">
        <v>15</v>
      </c>
      <c r="G17" s="68" t="s">
        <v>97</v>
      </c>
      <c r="H17" s="68" t="s">
        <v>104</v>
      </c>
      <c r="I17" s="71" t="s">
        <v>197</v>
      </c>
      <c r="J17" s="68" t="s">
        <v>587</v>
      </c>
      <c r="K17" s="236">
        <f>VLOOKUP($A17,订货1!$A17:$A258,1,0)</f>
        <v>101400</v>
      </c>
      <c r="L17" s="245" t="str">
        <f>VLOOKUP($A17,订货1!$A17:$G258,7,0)</f>
        <v>上海捷仪经贸有限公司</v>
      </c>
      <c r="M17" s="237" t="str">
        <f>VLOOKUP($A17,订货1!$A17:$B258,2,0)</f>
        <v>好日子茉莉花茶</v>
      </c>
      <c r="N17" s="72">
        <f t="shared" si="6"/>
        <v>45978</v>
      </c>
      <c r="O17" s="49" t="str">
        <f>VLOOKUP($A17,订货1!$A17:$C258,3,0)</f>
        <v>常温</v>
      </c>
      <c r="P17" s="44" t="str">
        <f>VLOOKUP($A17,订货1!$A17:$E258,5,0)</f>
        <v>2g*100pc*30pc大</v>
      </c>
      <c r="Q17" s="49" t="str">
        <f>VLOOKUP($A17,订货1!$A17:$F258,6,0)</f>
        <v>袋</v>
      </c>
      <c r="R17" s="167">
        <f t="shared" ca="1" si="1"/>
        <v>0</v>
      </c>
      <c r="S17" s="105" t="s">
        <v>199</v>
      </c>
      <c r="T17" s="85">
        <f ca="1">SUMIF(预估营业额3!$B$3:$B$39,"&gt;="&amp;$H$2,预估营业额3!$E$3:$E$39)-SUMIF(预估营业额3!$B$3:$B$39,"&gt;"&amp;N17,预估营业额3!$E$3:$E$39)</f>
        <v>0</v>
      </c>
      <c r="U17" s="219">
        <v>1.7752554550664674E-2</v>
      </c>
      <c r="V17" s="168">
        <v>1</v>
      </c>
      <c r="W17" s="182">
        <f t="shared" ca="1" si="4"/>
        <v>0</v>
      </c>
      <c r="X17" s="214">
        <v>1</v>
      </c>
      <c r="Y17" s="62">
        <f t="shared" si="5"/>
        <v>0</v>
      </c>
      <c r="Z17" s="54"/>
      <c r="AA17" s="54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>
        <v>1</v>
      </c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169" t="str">
        <f>VLOOKUP($A17,订货1!$A17:$I258,9,0)</f>
        <v>由仓库</v>
      </c>
      <c r="BH17" s="47" t="str">
        <f>VLOOKUP($A17,订货1!$A17:$H258,8,0)</f>
        <v>福建好日子食品有限公司</v>
      </c>
    </row>
    <row r="18" spans="1:60" ht="15.75" customHeight="1">
      <c r="A18" s="67">
        <v>201276</v>
      </c>
      <c r="B18" s="172" t="s">
        <v>379</v>
      </c>
      <c r="C18" s="70" t="s">
        <v>175</v>
      </c>
      <c r="D18" s="68"/>
      <c r="E18" s="68" t="s">
        <v>300</v>
      </c>
      <c r="F18" s="68" t="s">
        <v>15</v>
      </c>
      <c r="G18" s="68" t="s">
        <v>97</v>
      </c>
      <c r="H18" s="68" t="s">
        <v>122</v>
      </c>
      <c r="I18" s="71" t="s">
        <v>197</v>
      </c>
      <c r="J18" s="68" t="s">
        <v>588</v>
      </c>
      <c r="K18" s="236">
        <f>VLOOKUP($A18,订货1!$A18:$A259,1,0)</f>
        <v>201276</v>
      </c>
      <c r="L18" s="245" t="str">
        <f>VLOOKUP($A18,订货1!$A18:$G259,7,0)</f>
        <v>上海捷仪经贸有限公司</v>
      </c>
      <c r="M18" s="237" t="str">
        <f>VLOOKUP($A18,订货1!$A18:$B259,2,0)</f>
        <v>白糖包</v>
      </c>
      <c r="N18" s="72">
        <f t="shared" si="6"/>
        <v>45978</v>
      </c>
      <c r="O18" s="49" t="str">
        <f>VLOOKUP($A18,订货1!$A18:$C259,3,0)</f>
        <v>常温</v>
      </c>
      <c r="P18" s="44" t="str">
        <f>VLOOKUP($A18,订货1!$A18:$E259,5,0)</f>
        <v>7g*250pc</v>
      </c>
      <c r="Q18" s="49" t="str">
        <f>VLOOKUP($A18,订货1!$A18:$F259,6,0)</f>
        <v>袋</v>
      </c>
      <c r="R18" s="167">
        <f t="shared" ca="1" si="1"/>
        <v>0</v>
      </c>
      <c r="S18" s="105" t="s">
        <v>199</v>
      </c>
      <c r="T18" s="85">
        <f ca="1">SUMIF(预估营业额3!$B$3:$B$39,"&gt;="&amp;$H$2,预估营业额3!$E$3:$E$39)-SUMIF(预估营业额3!$B$3:$B$39,"&gt;"&amp;N18,预估营业额3!$E$3:$E$39)</f>
        <v>0</v>
      </c>
      <c r="U18" s="219">
        <v>5.0322201875899857E-3</v>
      </c>
      <c r="V18" s="168">
        <v>1</v>
      </c>
      <c r="W18" s="182">
        <f t="shared" ca="1" si="4"/>
        <v>0</v>
      </c>
      <c r="X18" s="214">
        <v>1</v>
      </c>
      <c r="Y18" s="62">
        <f t="shared" si="5"/>
        <v>0</v>
      </c>
      <c r="Z18" s="54"/>
      <c r="AA18" s="54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>
        <v>1</v>
      </c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169" t="str">
        <f>VLOOKUP($A18,订货1!$A18:$I259,9,0)</f>
        <v>由仓库</v>
      </c>
      <c r="BH18" s="47" t="str">
        <f>VLOOKUP($A18,订货1!$A18:$H259,8,0)</f>
        <v>广州华糖食品有限公司</v>
      </c>
    </row>
    <row r="19" spans="1:60" ht="15.75" customHeight="1">
      <c r="A19" s="67">
        <v>101650</v>
      </c>
      <c r="B19" s="172" t="s">
        <v>424</v>
      </c>
      <c r="C19" s="69" t="s">
        <v>175</v>
      </c>
      <c r="D19" s="68"/>
      <c r="E19" s="68" t="s">
        <v>316</v>
      </c>
      <c r="F19" s="68" t="s">
        <v>18</v>
      </c>
      <c r="G19" s="68" t="s">
        <v>344</v>
      </c>
      <c r="H19" s="68" t="s">
        <v>425</v>
      </c>
      <c r="I19" s="71" t="s">
        <v>197</v>
      </c>
      <c r="J19" s="68" t="s">
        <v>281</v>
      </c>
      <c r="K19" s="236">
        <f>VLOOKUP($A19,订货1!$A19:$A260,1,0)</f>
        <v>101650</v>
      </c>
      <c r="L19" s="245" t="str">
        <f>VLOOKUP($A19,订货1!$A19:$G260,7,0)</f>
        <v>川商（大連）貿易有限公司</v>
      </c>
      <c r="M19" s="237" t="str">
        <f>VLOOKUP($A19,订货1!$A19:$B260,2,0)</f>
        <v>干辣椒段</v>
      </c>
      <c r="N19" s="72">
        <f t="shared" si="6"/>
        <v>45978</v>
      </c>
      <c r="O19" s="49" t="str">
        <f>VLOOKUP($A19,订货1!$A19:$C260,3,0)</f>
        <v>常温</v>
      </c>
      <c r="P19" s="44" t="str">
        <f>VLOOKUP($A19,订货1!$A19:$E260,5,0)</f>
        <v>1kg</v>
      </c>
      <c r="Q19" s="49" t="str">
        <f>VLOOKUP($A19,订货1!$A19:$F260,6,0)</f>
        <v>箱</v>
      </c>
      <c r="R19" s="167">
        <f t="shared" ca="1" si="1"/>
        <v>0</v>
      </c>
      <c r="S19" s="105" t="s">
        <v>199</v>
      </c>
      <c r="T19" s="85">
        <f ca="1">SUMIF(预估营业额3!$B$3:$B$39,"&gt;="&amp;$H$2,预估营业额3!$E$3:$E$39)-SUMIF(预估营业额3!$B$3:$B$39,"&gt;"&amp;N19,预估营业额3!$E$3:$E$39)</f>
        <v>0</v>
      </c>
      <c r="U19" s="219">
        <v>3.6343812465927675E-2</v>
      </c>
      <c r="V19" s="168">
        <v>1</v>
      </c>
      <c r="W19" s="182">
        <f t="shared" ca="1" si="4"/>
        <v>0</v>
      </c>
      <c r="X19" s="214">
        <v>1</v>
      </c>
      <c r="Y19" s="62">
        <f t="shared" si="5"/>
        <v>0</v>
      </c>
      <c r="Z19" s="54"/>
      <c r="AA19" s="54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>
        <v>1</v>
      </c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169" t="str">
        <f>VLOOKUP($A19,订货1!$A19:$I260,9,0)</f>
        <v>由仓库</v>
      </c>
      <c r="BH19" s="47" t="str">
        <f>VLOOKUP($A19,订货1!$A19:$H260,8,0)</f>
        <v>河北乾亿食品股份有限公司</v>
      </c>
    </row>
    <row r="20" spans="1:60" ht="15.75" customHeight="1">
      <c r="A20" s="67">
        <v>101025</v>
      </c>
      <c r="B20" s="68" t="s">
        <v>32</v>
      </c>
      <c r="C20" s="70" t="s">
        <v>174</v>
      </c>
      <c r="D20" s="68"/>
      <c r="E20" s="68" t="s">
        <v>243</v>
      </c>
      <c r="F20" s="68" t="s">
        <v>18</v>
      </c>
      <c r="G20" s="68" t="s">
        <v>100</v>
      </c>
      <c r="H20" s="68" t="s">
        <v>100</v>
      </c>
      <c r="I20" s="71" t="s">
        <v>197</v>
      </c>
      <c r="J20" s="68" t="s">
        <v>280</v>
      </c>
      <c r="K20" s="236">
        <f>VLOOKUP($A20,订货1!$A20:$A261,1,0)</f>
        <v>101025</v>
      </c>
      <c r="L20" s="245" t="str">
        <f>VLOOKUP($A20,订货1!$A20:$G261,7,0)</f>
        <v>嘉兴铃吉食品有限公司</v>
      </c>
      <c r="M20" s="237" t="str">
        <f>VLOOKUP($A20,订货1!$A20:$B261,2,0)</f>
        <v>大蒜黄油</v>
      </c>
      <c r="N20" s="72">
        <f t="shared" si="6"/>
        <v>45978</v>
      </c>
      <c r="O20" s="49" t="str">
        <f>VLOOKUP($A20,订货1!$A20:$C261,3,0)</f>
        <v>冷凍</v>
      </c>
      <c r="P20" s="44" t="str">
        <f>VLOOKUP($A20,订货1!$A20:$E261,5,0)</f>
        <v>3kg*4pc</v>
      </c>
      <c r="Q20" s="49" t="str">
        <f>VLOOKUP($A20,订货1!$A20:$F261,6,0)</f>
        <v>箱</v>
      </c>
      <c r="R20" s="167">
        <f t="shared" ca="1" si="1"/>
        <v>0</v>
      </c>
      <c r="S20" s="243" t="s">
        <v>829</v>
      </c>
      <c r="T20" s="85">
        <f ca="1">SUMIF(预估营业额3!$B$3:$B$39,"&gt;="&amp;$H$2,预估营业额3!$E$3:$E$39)-SUMIF(预估营业额3!$B$3:$B$39,"&gt;"&amp;N20,预估营业额3!$E$3:$E$39)</f>
        <v>0</v>
      </c>
      <c r="U20" s="219">
        <v>0</v>
      </c>
      <c r="V20" s="168">
        <v>1</v>
      </c>
      <c r="W20" s="182">
        <f t="shared" ca="1" si="4"/>
        <v>0</v>
      </c>
      <c r="X20" s="214">
        <v>2.25</v>
      </c>
      <c r="Y20" s="62">
        <f t="shared" si="5"/>
        <v>0</v>
      </c>
      <c r="Z20" s="54"/>
      <c r="AA20" s="54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22"/>
      <c r="AP20" s="222"/>
      <c r="AQ20" s="222"/>
      <c r="AR20" s="222"/>
      <c r="AS20" s="222"/>
      <c r="AT20" s="222"/>
      <c r="AU20" s="222"/>
      <c r="AV20" s="222"/>
      <c r="AW20" s="222"/>
      <c r="AX20" s="222"/>
      <c r="AY20" s="222"/>
      <c r="AZ20" s="222"/>
      <c r="BA20" s="222"/>
      <c r="BB20" s="222"/>
      <c r="BC20" s="222"/>
      <c r="BD20" s="222"/>
      <c r="BE20" s="222"/>
      <c r="BF20" s="222"/>
      <c r="BG20" s="169" t="str">
        <f>VLOOKUP($A20,订货1!$A20:$I261,9,0)</f>
        <v>由仓库</v>
      </c>
      <c r="BH20" s="47" t="str">
        <f>VLOOKUP($A20,订货1!$A20:$H261,8,0)</f>
        <v>嘉兴铃吉食品有限公司</v>
      </c>
    </row>
    <row r="21" spans="1:60" ht="15.75" customHeight="1">
      <c r="A21" s="67">
        <v>101027</v>
      </c>
      <c r="B21" s="68" t="s">
        <v>35</v>
      </c>
      <c r="C21" s="69" t="s">
        <v>174</v>
      </c>
      <c r="D21" s="68"/>
      <c r="E21" s="68" t="s">
        <v>244</v>
      </c>
      <c r="F21" s="68" t="s">
        <v>18</v>
      </c>
      <c r="G21" s="68" t="s">
        <v>100</v>
      </c>
      <c r="H21" s="68" t="s">
        <v>100</v>
      </c>
      <c r="I21" s="71" t="s">
        <v>197</v>
      </c>
      <c r="J21" s="68" t="s">
        <v>279</v>
      </c>
      <c r="K21" s="236">
        <f>VLOOKUP($A21,订货1!$A21:$A262,1,0)</f>
        <v>101027</v>
      </c>
      <c r="L21" s="245" t="str">
        <f>VLOOKUP($A21,订货1!$A21:$G262,7,0)</f>
        <v>嘉兴铃吉食品有限公司</v>
      </c>
      <c r="M21" s="237" t="str">
        <f>VLOOKUP($A21,订货1!$A21:$B262,2,0)</f>
        <v>酱蒜汁</v>
      </c>
      <c r="N21" s="72">
        <f t="shared" si="6"/>
        <v>45978</v>
      </c>
      <c r="O21" s="49" t="str">
        <f>VLOOKUP($A21,订货1!$A21:$C262,3,0)</f>
        <v>冷凍</v>
      </c>
      <c r="P21" s="44" t="str">
        <f>VLOOKUP($A21,订货1!$A21:$E262,5,0)</f>
        <v>1kg*6pc</v>
      </c>
      <c r="Q21" s="49" t="str">
        <f>VLOOKUP($A21,订货1!$A21:$F262,6,0)</f>
        <v>箱</v>
      </c>
      <c r="R21" s="167">
        <f t="shared" ca="1" si="1"/>
        <v>0</v>
      </c>
      <c r="S21" s="105" t="s">
        <v>199</v>
      </c>
      <c r="T21" s="85">
        <f ca="1">SUMIF(预估营业额3!$B$3:$B$39,"&gt;="&amp;$H$2,预估营业额3!$E$3:$E$39)-SUMIF(预估营业额3!$B$3:$B$39,"&gt;"&amp;N21,预估营业额3!$E$3:$E$39)</f>
        <v>0</v>
      </c>
      <c r="U21" s="219">
        <v>3.3781107740766106E-2</v>
      </c>
      <c r="V21" s="168">
        <v>1</v>
      </c>
      <c r="W21" s="182">
        <f t="shared" ca="1" si="4"/>
        <v>0</v>
      </c>
      <c r="X21" s="214">
        <v>0.83333333333333337</v>
      </c>
      <c r="Y21" s="62">
        <f t="shared" si="5"/>
        <v>0</v>
      </c>
      <c r="Z21" s="54"/>
      <c r="AA21" s="54"/>
      <c r="AB21" s="222"/>
      <c r="AC21" s="222"/>
      <c r="AD21" s="222"/>
      <c r="AE21" s="222"/>
      <c r="AF21" s="222"/>
      <c r="AG21" s="222"/>
      <c r="AH21" s="222">
        <v>1</v>
      </c>
      <c r="AI21" s="222"/>
      <c r="AJ21" s="222"/>
      <c r="AK21" s="222"/>
      <c r="AL21" s="222"/>
      <c r="AM21" s="222"/>
      <c r="AN21" s="222"/>
      <c r="AO21" s="222"/>
      <c r="AP21" s="222"/>
      <c r="AQ21" s="222"/>
      <c r="AR21" s="222"/>
      <c r="AS21" s="222"/>
      <c r="AT21" s="222"/>
      <c r="AU21" s="222"/>
      <c r="AV21" s="222"/>
      <c r="AW21" s="222"/>
      <c r="AX21" s="222"/>
      <c r="AY21" s="222"/>
      <c r="AZ21" s="222"/>
      <c r="BA21" s="222"/>
      <c r="BB21" s="222"/>
      <c r="BC21" s="222"/>
      <c r="BD21" s="222"/>
      <c r="BE21" s="222"/>
      <c r="BF21" s="222"/>
      <c r="BG21" s="169" t="str">
        <f>VLOOKUP($A21,订货1!$A21:$I262,9,0)</f>
        <v>由仓库</v>
      </c>
      <c r="BH21" s="47" t="str">
        <f>VLOOKUP($A21,订货1!$A21:$H262,8,0)</f>
        <v>嘉兴铃吉食品有限公司</v>
      </c>
    </row>
    <row r="22" spans="1:60" ht="15.75" customHeight="1">
      <c r="A22" s="248">
        <v>101732</v>
      </c>
      <c r="B22" s="249" t="s">
        <v>565</v>
      </c>
      <c r="C22" s="69" t="s">
        <v>174</v>
      </c>
      <c r="D22" s="68"/>
      <c r="E22" s="68" t="s">
        <v>575</v>
      </c>
      <c r="F22" s="68" t="s">
        <v>574</v>
      </c>
      <c r="G22" s="68" t="s">
        <v>505</v>
      </c>
      <c r="H22" s="68" t="s">
        <v>566</v>
      </c>
      <c r="I22" s="71" t="s">
        <v>197</v>
      </c>
      <c r="J22" s="68" t="s">
        <v>278</v>
      </c>
      <c r="K22" s="234">
        <f>VLOOKUP($A22,订货1!$A22:$A263,1,0)</f>
        <v>101732</v>
      </c>
      <c r="L22" s="244" t="str">
        <f>VLOOKUP($A22,订货1!$A22:$G263,7,0)</f>
        <v>融滋合味（上海）科技有限公司</v>
      </c>
      <c r="M22" s="235" t="str">
        <f>VLOOKUP($A22,订货1!$A22:$B263,2,0)</f>
        <v>榴莲果肉</v>
      </c>
      <c r="N22" s="72">
        <f t="shared" si="6"/>
        <v>45978</v>
      </c>
      <c r="O22" s="49" t="str">
        <f>VLOOKUP($A22,订货1!$A22:$C263,3,0)</f>
        <v>冷凍</v>
      </c>
      <c r="P22" s="183" t="str">
        <f>VLOOKUP($A22,订货1!$A22:$E263,5,0)</f>
        <v>1kg</v>
      </c>
      <c r="Q22" s="186" t="str">
        <f>VLOOKUP($A22,订货1!$A22:$F263,6,0)</f>
        <v>包</v>
      </c>
      <c r="R22" s="167">
        <f t="shared" ca="1" si="1"/>
        <v>0</v>
      </c>
      <c r="S22" s="105" t="s">
        <v>199</v>
      </c>
      <c r="T22" s="85">
        <f ca="1">SUMIF(预估营业额3!$B$3:$B$39,"&gt;="&amp;$H$2,预估营业额3!$E$3:$E$39)-SUMIF(预估营业额3!$B$3:$B$39,"&gt;"&amp;N22,预估营业额3!$E$3:$E$39)</f>
        <v>0</v>
      </c>
      <c r="U22" s="219">
        <v>0.7</v>
      </c>
      <c r="V22" s="168">
        <v>1</v>
      </c>
      <c r="W22" s="182">
        <f t="shared" ca="1" si="4"/>
        <v>0</v>
      </c>
      <c r="X22" s="214">
        <v>3</v>
      </c>
      <c r="Y22" s="62">
        <f t="shared" si="5"/>
        <v>2</v>
      </c>
      <c r="Z22" s="54">
        <v>2</v>
      </c>
      <c r="AA22" s="54"/>
      <c r="AB22" s="222">
        <v>1</v>
      </c>
      <c r="AC22" s="222">
        <v>2</v>
      </c>
      <c r="AD22" s="222"/>
      <c r="AE22" s="222">
        <v>1</v>
      </c>
      <c r="AF22" s="222">
        <v>2</v>
      </c>
      <c r="AG22" s="222">
        <v>2</v>
      </c>
      <c r="AH22" s="222"/>
      <c r="AI22" s="222"/>
      <c r="AJ22" s="222">
        <v>2</v>
      </c>
      <c r="AK22" s="222"/>
      <c r="AL22" s="222"/>
      <c r="AM22" s="222">
        <v>3</v>
      </c>
      <c r="AN22" s="222">
        <v>2</v>
      </c>
      <c r="AO22" s="222">
        <v>1</v>
      </c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169" t="str">
        <f>VLOOKUP($A22,订货1!$A22:$I263,9,0)</f>
        <v>由仓库</v>
      </c>
      <c r="BH22" s="47" t="str">
        <f>VLOOKUP($A22,订货1!$A22:$H263,8,0)</f>
        <v>Sunshine International Co., Ltd</v>
      </c>
    </row>
    <row r="23" spans="1:60" ht="15.75" customHeight="1">
      <c r="A23" s="173">
        <v>101617</v>
      </c>
      <c r="B23" s="172" t="s">
        <v>357</v>
      </c>
      <c r="C23" s="69" t="s">
        <v>174</v>
      </c>
      <c r="D23" s="68"/>
      <c r="E23" s="68" t="s">
        <v>348</v>
      </c>
      <c r="F23" s="68" t="s">
        <v>18</v>
      </c>
      <c r="G23" s="68" t="s">
        <v>101</v>
      </c>
      <c r="H23" s="68" t="s">
        <v>101</v>
      </c>
      <c r="I23" s="71" t="s">
        <v>197</v>
      </c>
      <c r="J23" s="68" t="s">
        <v>277</v>
      </c>
      <c r="K23" s="236">
        <f>VLOOKUP($A23,订货1!$A23:$A264,1,0)</f>
        <v>101617</v>
      </c>
      <c r="L23" s="245" t="str">
        <f>VLOOKUP($A23,订货1!$A23:$G264,7,0)</f>
        <v>丹东永明食品有限公司</v>
      </c>
      <c r="M23" s="237" t="str">
        <f>VLOOKUP($A23,订货1!$A23:$B264,2,0)</f>
        <v>冻鱿鱼</v>
      </c>
      <c r="N23" s="72">
        <f t="shared" si="6"/>
        <v>45978</v>
      </c>
      <c r="O23" s="49" t="str">
        <f>VLOOKUP($A23,订货1!$A23:$C264,3,0)</f>
        <v>冷凍</v>
      </c>
      <c r="P23" s="44" t="str">
        <f>VLOOKUP($A23,订货1!$A23:$E264,5,0)</f>
        <v>1kg*10pkt</v>
      </c>
      <c r="Q23" s="49" t="str">
        <f>VLOOKUP($A23,订货1!$A23:$F264,6,0)</f>
        <v>箱</v>
      </c>
      <c r="R23" s="167">
        <f t="shared" ca="1" si="1"/>
        <v>0</v>
      </c>
      <c r="S23" s="105" t="s">
        <v>199</v>
      </c>
      <c r="T23" s="85">
        <f ca="1">SUMIF(预估营业额3!$B$3:$B$39,"&gt;="&amp;$H$2,预估营业额3!$E$3:$E$39)-SUMIF(预估营业额3!$B$3:$B$39,"&gt;"&amp;N23,预估营业额3!$E$3:$E$39)</f>
        <v>0</v>
      </c>
      <c r="U23" s="219">
        <v>0.13559037727673018</v>
      </c>
      <c r="V23" s="168">
        <v>1</v>
      </c>
      <c r="W23" s="182">
        <f t="shared" ca="1" si="4"/>
        <v>0</v>
      </c>
      <c r="X23" s="214">
        <v>1</v>
      </c>
      <c r="Y23" s="62">
        <f t="shared" si="5"/>
        <v>0</v>
      </c>
      <c r="Z23" s="54"/>
      <c r="AA23" s="54"/>
      <c r="AB23" s="222"/>
      <c r="AC23" s="222"/>
      <c r="AD23" s="222"/>
      <c r="AE23" s="222"/>
      <c r="AF23" s="222">
        <v>1</v>
      </c>
      <c r="AG23" s="222"/>
      <c r="AH23" s="222"/>
      <c r="AI23" s="222"/>
      <c r="AJ23" s="222">
        <v>1</v>
      </c>
      <c r="AK23" s="222"/>
      <c r="AL23" s="222"/>
      <c r="AM23" s="222">
        <v>1</v>
      </c>
      <c r="AN23" s="222"/>
      <c r="AO23" s="222">
        <v>1</v>
      </c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169" t="str">
        <f>VLOOKUP($A23,订货1!$A23:$I264,9,0)</f>
        <v>由仓库</v>
      </c>
      <c r="BH23" s="47" t="str">
        <f>VLOOKUP($A23,订货1!$A23:$H264,8,0)</f>
        <v>丹东永明食品有限公司</v>
      </c>
    </row>
    <row r="24" spans="1:60" ht="15.75" customHeight="1">
      <c r="A24" s="67">
        <v>101030</v>
      </c>
      <c r="B24" s="68" t="s">
        <v>138</v>
      </c>
      <c r="C24" s="69" t="s">
        <v>174</v>
      </c>
      <c r="D24" s="68"/>
      <c r="E24" s="68" t="s">
        <v>246</v>
      </c>
      <c r="F24" s="68" t="s">
        <v>18</v>
      </c>
      <c r="G24" s="68" t="s">
        <v>100</v>
      </c>
      <c r="H24" s="68" t="s">
        <v>100</v>
      </c>
      <c r="I24" s="71" t="s">
        <v>197</v>
      </c>
      <c r="J24" s="68" t="s">
        <v>589</v>
      </c>
      <c r="K24" s="236">
        <f>VLOOKUP($A24,订货1!$A24:$A265,1,0)</f>
        <v>101030</v>
      </c>
      <c r="L24" s="245" t="str">
        <f>VLOOKUP($A24,订货1!$A24:$G265,7,0)</f>
        <v>嘉兴铃吉食品有限公司</v>
      </c>
      <c r="M24" s="237" t="str">
        <f>VLOOKUP($A24,订货1!$A24:$B265,2,0)</f>
        <v>海鲜味调味汁</v>
      </c>
      <c r="N24" s="72">
        <f t="shared" si="6"/>
        <v>45978</v>
      </c>
      <c r="O24" s="49" t="str">
        <f>VLOOKUP($A24,订货1!$A24:$C265,3,0)</f>
        <v>冷凍</v>
      </c>
      <c r="P24" s="44" t="str">
        <f>VLOOKUP($A24,订货1!$A24:$E265,5,0)</f>
        <v>2kg*5pc</v>
      </c>
      <c r="Q24" s="49" t="str">
        <f>VLOOKUP($A24,订货1!$A24:$F265,6,0)</f>
        <v>箱</v>
      </c>
      <c r="R24" s="167">
        <f t="shared" ca="1" si="1"/>
        <v>0</v>
      </c>
      <c r="S24" s="105" t="s">
        <v>199</v>
      </c>
      <c r="T24" s="85">
        <f ca="1">SUMIF(预估营业额3!$B$3:$B$39,"&gt;="&amp;$H$2,预估营业额3!$E$3:$E$39)-SUMIF(预估营业额3!$B$3:$B$39,"&gt;"&amp;N24,预估营业额3!$E$3:$E$39)</f>
        <v>0</v>
      </c>
      <c r="U24" s="219">
        <v>0.1031605138455947</v>
      </c>
      <c r="V24" s="168">
        <v>1</v>
      </c>
      <c r="W24" s="182">
        <f t="shared" ca="1" si="4"/>
        <v>0</v>
      </c>
      <c r="X24" s="214">
        <v>1</v>
      </c>
      <c r="Y24" s="62">
        <f t="shared" si="5"/>
        <v>1</v>
      </c>
      <c r="Z24" s="54">
        <v>1</v>
      </c>
      <c r="AA24" s="54"/>
      <c r="AB24" s="222"/>
      <c r="AC24" s="222"/>
      <c r="AD24" s="222"/>
      <c r="AE24" s="222"/>
      <c r="AF24" s="222"/>
      <c r="AG24" s="222">
        <v>1</v>
      </c>
      <c r="AH24" s="222"/>
      <c r="AI24" s="222">
        <v>1</v>
      </c>
      <c r="AJ24" s="222"/>
      <c r="AK24" s="222"/>
      <c r="AL24" s="222"/>
      <c r="AM24" s="222"/>
      <c r="AN24" s="222">
        <v>1</v>
      </c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169" t="str">
        <f>VLOOKUP($A24,订货1!$A24:$I265,9,0)</f>
        <v>由仓库</v>
      </c>
      <c r="BH24" s="47" t="str">
        <f>VLOOKUP($A24,订货1!$A24:$H265,8,0)</f>
        <v>嘉兴铃吉食品有限公司</v>
      </c>
    </row>
    <row r="25" spans="1:60" ht="15.75" customHeight="1">
      <c r="A25" s="67">
        <v>101055</v>
      </c>
      <c r="B25" s="68" t="s">
        <v>41</v>
      </c>
      <c r="C25" s="69" t="s">
        <v>174</v>
      </c>
      <c r="D25" s="68"/>
      <c r="E25" s="68" t="s">
        <v>136</v>
      </c>
      <c r="F25" s="68" t="s">
        <v>18</v>
      </c>
      <c r="G25" s="68" t="s">
        <v>100</v>
      </c>
      <c r="H25" s="68" t="s">
        <v>100</v>
      </c>
      <c r="I25" s="71" t="s">
        <v>197</v>
      </c>
      <c r="J25" s="68" t="s">
        <v>276</v>
      </c>
      <c r="K25" s="236">
        <f>VLOOKUP($A25,订货1!$A25:$A266,1,0)</f>
        <v>101055</v>
      </c>
      <c r="L25" s="245" t="str">
        <f>VLOOKUP($A25,订货1!$A25:$G266,7,0)</f>
        <v>嘉兴铃吉食品有限公司</v>
      </c>
      <c r="M25" s="237" t="str">
        <f>VLOOKUP($A25,订货1!$A25:$B266,2,0)</f>
        <v>蔬菜汤</v>
      </c>
      <c r="N25" s="72">
        <f t="shared" si="6"/>
        <v>45978</v>
      </c>
      <c r="O25" s="49" t="str">
        <f>VLOOKUP($A25,订货1!$A25:$C266,3,0)</f>
        <v>冷凍</v>
      </c>
      <c r="P25" s="44" t="str">
        <f>VLOOKUP($A25,订货1!$A25:$E266,5,0)</f>
        <v>1kg*10pc</v>
      </c>
      <c r="Q25" s="49" t="str">
        <f>VLOOKUP($A25,订货1!$A25:$F266,6,0)</f>
        <v>箱</v>
      </c>
      <c r="R25" s="167">
        <f t="shared" ca="1" si="1"/>
        <v>0</v>
      </c>
      <c r="S25" s="105" t="s">
        <v>199</v>
      </c>
      <c r="T25" s="85">
        <f ca="1">SUMIF(预估营业额3!$B$3:$B$39,"&gt;="&amp;$H$2,预估营业额3!$E$3:$E$39)-SUMIF(预估营业额3!$B$3:$B$39,"&gt;"&amp;N25,预估营业额3!$E$3:$E$39)</f>
        <v>0</v>
      </c>
      <c r="U25" s="219">
        <v>7.2687624931855335E-2</v>
      </c>
      <c r="V25" s="168">
        <v>1</v>
      </c>
      <c r="W25" s="182">
        <f t="shared" ca="1" si="4"/>
        <v>0</v>
      </c>
      <c r="X25" s="214">
        <v>1</v>
      </c>
      <c r="Y25" s="62">
        <f t="shared" si="5"/>
        <v>0</v>
      </c>
      <c r="Z25" s="54"/>
      <c r="AA25" s="54"/>
      <c r="AB25" s="222"/>
      <c r="AC25" s="222"/>
      <c r="AD25" s="222"/>
      <c r="AE25" s="222"/>
      <c r="AF25" s="222">
        <v>1</v>
      </c>
      <c r="AG25" s="222"/>
      <c r="AH25" s="222"/>
      <c r="AI25" s="222"/>
      <c r="AJ25" s="222"/>
      <c r="AK25" s="222"/>
      <c r="AL25" s="222"/>
      <c r="AM25" s="222">
        <v>1</v>
      </c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169" t="str">
        <f>VLOOKUP($A25,订货1!$A25:$I266,9,0)</f>
        <v>由仓库</v>
      </c>
      <c r="BH25" s="47" t="str">
        <f>VLOOKUP($A25,订货1!$A25:$H266,8,0)</f>
        <v>嘉兴铃吉食品有限公司</v>
      </c>
    </row>
    <row r="26" spans="1:60" ht="15.75" customHeight="1">
      <c r="A26" s="67">
        <v>101597</v>
      </c>
      <c r="B26" s="68" t="s">
        <v>388</v>
      </c>
      <c r="C26" s="69" t="s">
        <v>174</v>
      </c>
      <c r="D26" s="68"/>
      <c r="E26" s="68" t="s">
        <v>136</v>
      </c>
      <c r="F26" s="68" t="s">
        <v>18</v>
      </c>
      <c r="G26" s="68" t="s">
        <v>100</v>
      </c>
      <c r="H26" s="68" t="s">
        <v>100</v>
      </c>
      <c r="I26" s="71" t="s">
        <v>197</v>
      </c>
      <c r="J26" s="68" t="s">
        <v>275</v>
      </c>
      <c r="K26" s="236">
        <f>VLOOKUP($A26,订货1!$A26:$A267,1,0)</f>
        <v>101597</v>
      </c>
      <c r="L26" s="245" t="str">
        <f>VLOOKUP($A26,订货1!$A26:$G267,7,0)</f>
        <v>嘉兴铃吉食品有限公司</v>
      </c>
      <c r="M26" s="237" t="str">
        <f>VLOOKUP($A26,订货1!$A26:$B267,2,0)</f>
        <v>黑胡椒酱</v>
      </c>
      <c r="N26" s="72">
        <f t="shared" si="6"/>
        <v>45978</v>
      </c>
      <c r="O26" s="49" t="str">
        <f>VLOOKUP($A26,订货1!$A26:$C267,3,0)</f>
        <v>冷凍</v>
      </c>
      <c r="P26" s="44" t="str">
        <f>VLOOKUP($A26,订货1!$A26:$E267,5,0)</f>
        <v>1kg*10pc</v>
      </c>
      <c r="Q26" s="49" t="str">
        <f>VLOOKUP($A26,订货1!$A26:$F267,6,0)</f>
        <v>箱</v>
      </c>
      <c r="R26" s="167">
        <f t="shared" ca="1" si="1"/>
        <v>0</v>
      </c>
      <c r="S26" s="105" t="s">
        <v>199</v>
      </c>
      <c r="T26" s="85">
        <f ca="1">SUMIF(预估营业额3!$B$3:$B$39,"&gt;="&amp;$H$2,预估营业额3!$E$3:$E$39)-SUMIF(预估营业额3!$B$3:$B$39,"&gt;"&amp;N26,预估营业额3!$E$3:$E$39)</f>
        <v>0</v>
      </c>
      <c r="U26" s="219">
        <v>7.8278980695844214E-2</v>
      </c>
      <c r="V26" s="168">
        <v>1.1000000000000001</v>
      </c>
      <c r="W26" s="182">
        <f t="shared" ca="1" si="4"/>
        <v>0</v>
      </c>
      <c r="X26" s="214">
        <v>1</v>
      </c>
      <c r="Y26" s="62">
        <f t="shared" si="5"/>
        <v>0</v>
      </c>
      <c r="Z26" s="54"/>
      <c r="AA26" s="54"/>
      <c r="AB26" s="222"/>
      <c r="AC26" s="222"/>
      <c r="AD26" s="222"/>
      <c r="AE26" s="222"/>
      <c r="AF26" s="222"/>
      <c r="AG26" s="222">
        <v>1</v>
      </c>
      <c r="AH26" s="222"/>
      <c r="AI26" s="222"/>
      <c r="AJ26" s="222"/>
      <c r="AK26" s="222"/>
      <c r="AL26" s="222"/>
      <c r="AM26" s="222">
        <v>1</v>
      </c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169" t="str">
        <f>VLOOKUP($A26,订货1!$A26:$I267,9,0)</f>
        <v>由仓库</v>
      </c>
      <c r="BH26" s="47" t="str">
        <f>VLOOKUP($A26,订货1!$A26:$H267,8,0)</f>
        <v>嘉兴铃吉食品有限公司</v>
      </c>
    </row>
    <row r="27" spans="1:60" ht="15.75" customHeight="1">
      <c r="A27" s="300">
        <v>101769</v>
      </c>
      <c r="B27" s="301" t="s">
        <v>840</v>
      </c>
      <c r="C27" s="302" t="s">
        <v>175</v>
      </c>
      <c r="D27" s="301"/>
      <c r="E27" s="301" t="s">
        <v>739</v>
      </c>
      <c r="F27" s="301" t="s">
        <v>18</v>
      </c>
      <c r="G27" s="301" t="s">
        <v>470</v>
      </c>
      <c r="H27" s="68" t="s">
        <v>470</v>
      </c>
      <c r="I27" s="71" t="s">
        <v>197</v>
      </c>
      <c r="J27" s="68" t="s">
        <v>274</v>
      </c>
      <c r="K27" s="275">
        <f>VLOOKUP($A27,订货1!$A27:$A268,1,0)</f>
        <v>101769</v>
      </c>
      <c r="L27" s="276" t="str">
        <f>VLOOKUP($A27,订货1!$A27:$G268,7,0)</f>
        <v>杭州洲际食品有限公司</v>
      </c>
      <c r="M27" s="277" t="str">
        <f>VLOOKUP($A27,订货1!$A27:$B268,2,0)</f>
        <v>扁可颂面包</v>
      </c>
      <c r="N27" s="72">
        <f t="shared" si="6"/>
        <v>45978</v>
      </c>
      <c r="O27" s="49" t="str">
        <f>VLOOKUP($A27,订货1!$A27:$C268,3,0)</f>
        <v>常温</v>
      </c>
      <c r="P27" s="44" t="str">
        <f>VLOOKUP($A27,订货1!$A27:$E268,5,0)</f>
        <v>20g*50pc</v>
      </c>
      <c r="Q27" s="49" t="str">
        <f>VLOOKUP($A27,订货1!$A27:$F268,6,0)</f>
        <v>箱</v>
      </c>
      <c r="R27" s="167">
        <f t="shared" ca="1" si="1"/>
        <v>0</v>
      </c>
      <c r="S27" s="260" t="s">
        <v>207</v>
      </c>
      <c r="T27" s="85">
        <f ca="1">SUMIF(预估营业额3!$B$3:$B$39,"&gt;="&amp;$H$2,预估营业额3!$E$3:$E$39)-SUMIF(预估营业额3!$B$3:$B$39,"&gt;"&amp;N27,预估营业额3!$E$3:$E$39)</f>
        <v>0</v>
      </c>
      <c r="U27" s="219">
        <v>0</v>
      </c>
      <c r="V27" s="168">
        <v>1</v>
      </c>
      <c r="W27" s="182">
        <f t="shared" ca="1" si="4"/>
        <v>0</v>
      </c>
      <c r="X27" s="214">
        <v>0</v>
      </c>
      <c r="Y27" s="62">
        <f t="shared" si="5"/>
        <v>0</v>
      </c>
      <c r="Z27" s="54"/>
      <c r="AA27" s="54"/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2"/>
      <c r="AM27" s="222"/>
      <c r="AN27" s="222"/>
      <c r="AO27" s="222"/>
      <c r="AP27" s="222"/>
      <c r="AQ27" s="222"/>
      <c r="AR27" s="222"/>
      <c r="AS27" s="222"/>
      <c r="AT27" s="222"/>
      <c r="AU27" s="222"/>
      <c r="AV27" s="222"/>
      <c r="AW27" s="222"/>
      <c r="AX27" s="222"/>
      <c r="AY27" s="222"/>
      <c r="AZ27" s="222"/>
      <c r="BA27" s="222"/>
      <c r="BB27" s="222"/>
      <c r="BC27" s="222"/>
      <c r="BD27" s="222"/>
      <c r="BE27" s="222"/>
      <c r="BF27" s="222"/>
      <c r="BG27" s="169" t="str">
        <f>VLOOKUP($A27,订货1!$A27:$I268,9,0)</f>
        <v>由仓库</v>
      </c>
      <c r="BH27" s="47" t="str">
        <f>VLOOKUP($A27,订货1!$A27:$H268,8,0)</f>
        <v>杭州洲际食品有限公司</v>
      </c>
    </row>
    <row r="28" spans="1:60" ht="15.75" customHeight="1">
      <c r="A28" s="67">
        <v>101508</v>
      </c>
      <c r="B28" s="68" t="s">
        <v>149</v>
      </c>
      <c r="C28" s="70" t="s">
        <v>174</v>
      </c>
      <c r="D28" s="68"/>
      <c r="E28" s="68" t="s">
        <v>136</v>
      </c>
      <c r="F28" s="68" t="s">
        <v>18</v>
      </c>
      <c r="G28" s="68" t="s">
        <v>100</v>
      </c>
      <c r="H28" s="68" t="s">
        <v>100</v>
      </c>
      <c r="I28" s="71" t="s">
        <v>197</v>
      </c>
      <c r="J28" s="68" t="s">
        <v>590</v>
      </c>
      <c r="K28" s="236">
        <f>VLOOKUP($A28,订货1!$A28:$A269,1,0)</f>
        <v>101508</v>
      </c>
      <c r="L28" s="245" t="str">
        <f>VLOOKUP($A28,订货1!$A28:$G269,7,0)</f>
        <v>嘉兴铃吉食品有限公司</v>
      </c>
      <c r="M28" s="237" t="str">
        <f>VLOOKUP($A28,订货1!$A28:$B269,2,0)</f>
        <v>肉酱</v>
      </c>
      <c r="N28" s="72">
        <f t="shared" si="6"/>
        <v>45978</v>
      </c>
      <c r="O28" s="49" t="str">
        <f>VLOOKUP($A28,订货1!$A28:$C269,3,0)</f>
        <v>冷凍</v>
      </c>
      <c r="P28" s="44" t="str">
        <f>VLOOKUP($A28,订货1!$A28:$E269,5,0)</f>
        <v>1kg*10pc</v>
      </c>
      <c r="Q28" s="49" t="str">
        <f>VLOOKUP($A28,订货1!$A28:$F269,6,0)</f>
        <v>箱</v>
      </c>
      <c r="R28" s="167">
        <f t="shared" ca="1" si="1"/>
        <v>0</v>
      </c>
      <c r="S28" s="185" t="s">
        <v>830</v>
      </c>
      <c r="T28" s="85">
        <f ca="1">SUMIF(预估营业额3!$B$3:$B$39,"&gt;="&amp;$H$2,预估营业额3!$E$3:$E$39)-SUMIF(预估营业额3!$B$3:$B$39,"&gt;"&amp;N28,预估营业额3!$E$3:$E$39)</f>
        <v>0</v>
      </c>
      <c r="U28" s="219">
        <v>0</v>
      </c>
      <c r="V28" s="168">
        <v>1.1000000000000001</v>
      </c>
      <c r="W28" s="182">
        <f t="shared" ca="1" si="4"/>
        <v>0</v>
      </c>
      <c r="X28" s="214">
        <v>0</v>
      </c>
      <c r="Y28" s="62">
        <f t="shared" si="5"/>
        <v>0</v>
      </c>
      <c r="Z28" s="54"/>
      <c r="AA28" s="54"/>
      <c r="AB28" s="222"/>
      <c r="AC28" s="222"/>
      <c r="AD28" s="222"/>
      <c r="AE28" s="222"/>
      <c r="AF28" s="222"/>
      <c r="AG28" s="222"/>
      <c r="AH28" s="222"/>
      <c r="AI28" s="222"/>
      <c r="AJ28" s="222"/>
      <c r="AK28" s="222"/>
      <c r="AL28" s="222"/>
      <c r="AM28" s="222"/>
      <c r="AN28" s="222"/>
      <c r="AO28" s="222"/>
      <c r="AP28" s="222"/>
      <c r="AQ28" s="222"/>
      <c r="AR28" s="222"/>
      <c r="AS28" s="222"/>
      <c r="AT28" s="222"/>
      <c r="AU28" s="222"/>
      <c r="AV28" s="222"/>
      <c r="AW28" s="222"/>
      <c r="AX28" s="222"/>
      <c r="AY28" s="222"/>
      <c r="AZ28" s="222"/>
      <c r="BA28" s="222"/>
      <c r="BB28" s="222"/>
      <c r="BC28" s="222"/>
      <c r="BD28" s="222"/>
      <c r="BE28" s="222"/>
      <c r="BF28" s="222"/>
      <c r="BG28" s="169" t="str">
        <f>VLOOKUP($A28,订货1!$A28:$I269,9,0)</f>
        <v>由仓库</v>
      </c>
      <c r="BH28" s="47" t="str">
        <f>VLOOKUP($A28,订货1!$A28:$H269,8,0)</f>
        <v>嘉兴铃吉食品有限公司</v>
      </c>
    </row>
    <row r="29" spans="1:60" ht="15.75" customHeight="1">
      <c r="A29" s="67">
        <v>101347</v>
      </c>
      <c r="B29" s="68" t="s">
        <v>12</v>
      </c>
      <c r="C29" s="70" t="s">
        <v>175</v>
      </c>
      <c r="D29" s="68"/>
      <c r="E29" s="68" t="s">
        <v>141</v>
      </c>
      <c r="F29" s="68" t="s">
        <v>18</v>
      </c>
      <c r="G29" s="68" t="s">
        <v>95</v>
      </c>
      <c r="H29" s="68" t="s">
        <v>95</v>
      </c>
      <c r="I29" s="71" t="s">
        <v>197</v>
      </c>
      <c r="J29" s="68" t="s">
        <v>591</v>
      </c>
      <c r="K29" s="236">
        <f>VLOOKUP($A29,订货1!$A29:$A270,1,0)</f>
        <v>101347</v>
      </c>
      <c r="L29" s="245" t="str">
        <f>VLOOKUP($A29,订货1!$A29:$G270,7,0)</f>
        <v>上海申美饮料食品有限公司</v>
      </c>
      <c r="M29" s="237" t="str">
        <f>VLOOKUP($A29,订货1!$A29:$B270,2,0)</f>
        <v>雪碧糖浆</v>
      </c>
      <c r="N29" s="72">
        <f t="shared" si="6"/>
        <v>45978</v>
      </c>
      <c r="O29" s="49" t="str">
        <f>VLOOKUP($A29,订货1!$A29:$C270,3,0)</f>
        <v>常温</v>
      </c>
      <c r="P29" s="44" t="str">
        <f>VLOOKUP($A29,订货1!$A29:$E270,5,0)</f>
        <v>10L</v>
      </c>
      <c r="Q29" s="49" t="str">
        <f>VLOOKUP($A29,订货1!$A29:$F270,6,0)</f>
        <v>箱</v>
      </c>
      <c r="R29" s="167">
        <f t="shared" ca="1" si="1"/>
        <v>0</v>
      </c>
      <c r="S29" s="105" t="s">
        <v>404</v>
      </c>
      <c r="T29" s="85">
        <f ca="1">SUMIF(预估营业额3!$B$3:$B$39,"&gt;="&amp;$H$2,预估营业额3!$E$3:$E$39)-SUMIF(预估营业额3!$B$3:$B$39,"&gt;"&amp;N29,预估营业额3!$E$3:$E$39)</f>
        <v>0</v>
      </c>
      <c r="U29" s="219">
        <v>6.2902752344874815E-2</v>
      </c>
      <c r="V29" s="168">
        <v>1</v>
      </c>
      <c r="W29" s="182">
        <f t="shared" ca="1" si="4"/>
        <v>0</v>
      </c>
      <c r="X29" s="214">
        <v>1</v>
      </c>
      <c r="Y29" s="62">
        <f t="shared" si="5"/>
        <v>0</v>
      </c>
      <c r="Z29" s="54"/>
      <c r="AA29" s="54"/>
      <c r="AB29" s="222">
        <v>1</v>
      </c>
      <c r="AC29" s="222"/>
      <c r="AD29" s="222"/>
      <c r="AE29" s="222"/>
      <c r="AF29" s="222"/>
      <c r="AG29" s="222"/>
      <c r="AH29" s="222"/>
      <c r="AI29" s="222">
        <v>1</v>
      </c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169" t="str">
        <f>VLOOKUP($A29,订货1!$A29:$I270,9,0)</f>
        <v>由仓库</v>
      </c>
      <c r="BH29" s="47" t="str">
        <f>VLOOKUP($A29,订货1!$A29:$H270,8,0)</f>
        <v>上海申美饮料食品有限公司</v>
      </c>
    </row>
    <row r="30" spans="1:60" ht="15.75" customHeight="1">
      <c r="A30" s="67">
        <v>101348</v>
      </c>
      <c r="B30" s="68" t="s">
        <v>142</v>
      </c>
      <c r="C30" s="70" t="s">
        <v>175</v>
      </c>
      <c r="D30" s="68"/>
      <c r="E30" s="68" t="s">
        <v>141</v>
      </c>
      <c r="F30" s="68" t="s">
        <v>18</v>
      </c>
      <c r="G30" s="68" t="s">
        <v>95</v>
      </c>
      <c r="H30" s="68" t="s">
        <v>95</v>
      </c>
      <c r="I30" s="71" t="s">
        <v>197</v>
      </c>
      <c r="J30" s="68" t="s">
        <v>28</v>
      </c>
      <c r="K30" s="236">
        <f>VLOOKUP($A30,订货1!$A30:$A271,1,0)</f>
        <v>101348</v>
      </c>
      <c r="L30" s="245" t="str">
        <f>VLOOKUP($A30,订货1!$A30:$G271,7,0)</f>
        <v>上海申美饮料食品有限公司</v>
      </c>
      <c r="M30" s="237" t="str">
        <f>VLOOKUP($A30,订货1!$A30:$B271,2,0)</f>
        <v>飞想茶糖浆</v>
      </c>
      <c r="N30" s="72">
        <f t="shared" si="6"/>
        <v>45978</v>
      </c>
      <c r="O30" s="49" t="str">
        <f>VLOOKUP($A30,订货1!$A30:$C271,3,0)</f>
        <v>常温</v>
      </c>
      <c r="P30" s="44" t="str">
        <f>VLOOKUP($A30,订货1!$A30:$E271,5,0)</f>
        <v>10L</v>
      </c>
      <c r="Q30" s="49" t="str">
        <f>VLOOKUP($A30,订货1!$A30:$F271,6,0)</f>
        <v>箱</v>
      </c>
      <c r="R30" s="167">
        <f t="shared" ca="1" si="1"/>
        <v>0</v>
      </c>
      <c r="S30" s="105" t="s">
        <v>404</v>
      </c>
      <c r="T30" s="85">
        <f ca="1">SUMIF(预估营业额3!$B$3:$B$39,"&gt;="&amp;$H$2,预估营业额3!$E$3:$E$39)-SUMIF(预估营业额3!$B$3:$B$39,"&gt;"&amp;N30,预估营业额3!$E$3:$E$39)</f>
        <v>0</v>
      </c>
      <c r="U30" s="219">
        <v>4.7526523993905417E-2</v>
      </c>
      <c r="V30" s="168">
        <v>1</v>
      </c>
      <c r="W30" s="182">
        <f t="shared" ca="1" si="4"/>
        <v>0</v>
      </c>
      <c r="X30" s="214">
        <v>1</v>
      </c>
      <c r="Y30" s="62">
        <f t="shared" si="5"/>
        <v>0</v>
      </c>
      <c r="Z30" s="54"/>
      <c r="AA30" s="54"/>
      <c r="AB30" s="222">
        <v>1</v>
      </c>
      <c r="AC30" s="222"/>
      <c r="AD30" s="222"/>
      <c r="AE30" s="222"/>
      <c r="AF30" s="222"/>
      <c r="AG30" s="222"/>
      <c r="AH30" s="222"/>
      <c r="AI30" s="222"/>
      <c r="AJ30" s="222"/>
      <c r="AK30" s="222"/>
      <c r="AL30" s="222">
        <v>1</v>
      </c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169" t="str">
        <f>VLOOKUP($A30,订货1!$A30:$I271,9,0)</f>
        <v>由仓库</v>
      </c>
      <c r="BH30" s="47" t="str">
        <f>VLOOKUP($A30,订货1!$A30:$H271,8,0)</f>
        <v>上海申美饮料食品有限公司</v>
      </c>
    </row>
    <row r="31" spans="1:60" ht="15.75" customHeight="1">
      <c r="A31" s="67">
        <v>101355</v>
      </c>
      <c r="B31" s="68" t="s">
        <v>17</v>
      </c>
      <c r="C31" s="70" t="s">
        <v>175</v>
      </c>
      <c r="D31" s="68"/>
      <c r="E31" s="68" t="s">
        <v>179</v>
      </c>
      <c r="F31" s="68" t="s">
        <v>18</v>
      </c>
      <c r="G31" s="68" t="s">
        <v>95</v>
      </c>
      <c r="H31" s="68" t="s">
        <v>95</v>
      </c>
      <c r="I31" s="71" t="s">
        <v>197</v>
      </c>
      <c r="J31" s="68" t="s">
        <v>29</v>
      </c>
      <c r="K31" s="236">
        <f>VLOOKUP($A31,订货1!$A31:$A272,1,0)</f>
        <v>101355</v>
      </c>
      <c r="L31" s="245" t="str">
        <f>VLOOKUP($A31,订货1!$A31:$G272,7,0)</f>
        <v>上海申美饮料食品有限公司</v>
      </c>
      <c r="M31" s="237" t="str">
        <f>VLOOKUP($A31,订货1!$A31:$B272,2,0)</f>
        <v>可乐糖浆</v>
      </c>
      <c r="N31" s="72">
        <f t="shared" si="6"/>
        <v>45978</v>
      </c>
      <c r="O31" s="49" t="str">
        <f>VLOOKUP($A31,订货1!$A31:$C272,3,0)</f>
        <v>常温</v>
      </c>
      <c r="P31" s="44" t="str">
        <f>VLOOKUP($A31,订货1!$A31:$E272,5,0)</f>
        <v>20L</v>
      </c>
      <c r="Q31" s="49" t="str">
        <f>VLOOKUP($A31,订货1!$A31:$F272,6,0)</f>
        <v>箱</v>
      </c>
      <c r="R31" s="167">
        <f t="shared" ca="1" si="1"/>
        <v>0</v>
      </c>
      <c r="S31" s="105" t="s">
        <v>404</v>
      </c>
      <c r="T31" s="85">
        <f ca="1">SUMIF(预估营业额3!$B$3:$B$39,"&gt;="&amp;$H$2,预估营业额3!$E$3:$E$39)-SUMIF(预估营业额3!$B$3:$B$39,"&gt;"&amp;N31,预估营业额3!$E$3:$E$39)</f>
        <v>0</v>
      </c>
      <c r="U31" s="219">
        <v>6.8494108108863694E-2</v>
      </c>
      <c r="V31" s="168">
        <v>1</v>
      </c>
      <c r="W31" s="182">
        <f t="shared" ca="1" si="4"/>
        <v>0</v>
      </c>
      <c r="X31" s="214">
        <v>0</v>
      </c>
      <c r="Y31" s="62">
        <f t="shared" si="5"/>
        <v>0</v>
      </c>
      <c r="Z31" s="54"/>
      <c r="AA31" s="54"/>
      <c r="AB31" s="222"/>
      <c r="AC31" s="222"/>
      <c r="AD31" s="222"/>
      <c r="AE31" s="222">
        <v>1</v>
      </c>
      <c r="AF31" s="222"/>
      <c r="AG31" s="222"/>
      <c r="AH31" s="222"/>
      <c r="AI31" s="222"/>
      <c r="AJ31" s="222"/>
      <c r="AK31" s="222"/>
      <c r="AL31" s="222"/>
      <c r="AM31" s="222"/>
      <c r="AN31" s="222"/>
      <c r="AO31" s="222">
        <v>1</v>
      </c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169" t="str">
        <f>VLOOKUP($A31,订货1!$A31:$I272,9,0)</f>
        <v>由仓库</v>
      </c>
      <c r="BH31" s="47" t="str">
        <f>VLOOKUP($A31,订货1!$A31:$H272,8,0)</f>
        <v>上海申美饮料食品有限公司</v>
      </c>
    </row>
    <row r="32" spans="1:60" ht="15.75" customHeight="1">
      <c r="A32" s="67">
        <v>101356</v>
      </c>
      <c r="B32" s="68" t="s">
        <v>19</v>
      </c>
      <c r="C32" s="70" t="s">
        <v>175</v>
      </c>
      <c r="D32" s="68"/>
      <c r="E32" s="68" t="s">
        <v>141</v>
      </c>
      <c r="F32" s="68" t="s">
        <v>18</v>
      </c>
      <c r="G32" s="68" t="s">
        <v>95</v>
      </c>
      <c r="H32" s="68" t="s">
        <v>95</v>
      </c>
      <c r="I32" s="71" t="s">
        <v>197</v>
      </c>
      <c r="J32" s="68" t="s">
        <v>30</v>
      </c>
      <c r="K32" s="236">
        <f>VLOOKUP($A32,订货1!$A32:$A273,1,0)</f>
        <v>101356</v>
      </c>
      <c r="L32" s="245" t="str">
        <f>VLOOKUP($A32,订货1!$A32:$G273,7,0)</f>
        <v>上海申美饮料食品有限公司</v>
      </c>
      <c r="M32" s="237" t="str">
        <f>VLOOKUP($A32,订货1!$A32:$B273,2,0)</f>
        <v>芬达糖浆</v>
      </c>
      <c r="N32" s="72">
        <f t="shared" si="6"/>
        <v>45978</v>
      </c>
      <c r="O32" s="49" t="str">
        <f>VLOOKUP($A32,订货1!$A32:$C273,3,0)</f>
        <v>常温</v>
      </c>
      <c r="P32" s="44" t="str">
        <f>VLOOKUP($A32,订货1!$A32:$E273,5,0)</f>
        <v>10L</v>
      </c>
      <c r="Q32" s="49" t="str">
        <f>VLOOKUP($A32,订货1!$A32:$F273,6,0)</f>
        <v>箱</v>
      </c>
      <c r="R32" s="167">
        <f t="shared" ca="1" si="1"/>
        <v>0</v>
      </c>
      <c r="S32" s="105" t="s">
        <v>404</v>
      </c>
      <c r="T32" s="85">
        <f ca="1">SUMIF(预估营业额3!$B$3:$B$39,"&gt;="&amp;$H$2,预估营业额3!$E$3:$E$39)-SUMIF(预估营业额3!$B$3:$B$39,"&gt;"&amp;N32,预估营业额3!$E$3:$E$39)</f>
        <v>0</v>
      </c>
      <c r="U32" s="219">
        <v>5.3117879757894289E-2</v>
      </c>
      <c r="V32" s="168">
        <v>1</v>
      </c>
      <c r="W32" s="182">
        <f t="shared" ca="1" si="4"/>
        <v>0</v>
      </c>
      <c r="X32" s="214">
        <v>1</v>
      </c>
      <c r="Y32" s="62">
        <f t="shared" si="5"/>
        <v>0</v>
      </c>
      <c r="Z32" s="54"/>
      <c r="AA32" s="54"/>
      <c r="AB32" s="222"/>
      <c r="AC32" s="222"/>
      <c r="AD32" s="222"/>
      <c r="AE32" s="222"/>
      <c r="AF32" s="222"/>
      <c r="AG32" s="222"/>
      <c r="AH32" s="222">
        <v>1</v>
      </c>
      <c r="AI32" s="222"/>
      <c r="AJ32" s="222"/>
      <c r="AK32" s="222"/>
      <c r="AL32" s="222"/>
      <c r="AM32" s="222"/>
      <c r="AN32" s="222"/>
      <c r="AO32" s="222"/>
      <c r="AP32" s="222"/>
      <c r="AQ32" s="222"/>
      <c r="AR32" s="222"/>
      <c r="AS32" s="222"/>
      <c r="AT32" s="222"/>
      <c r="AU32" s="222"/>
      <c r="AV32" s="222"/>
      <c r="AW32" s="222"/>
      <c r="AX32" s="222"/>
      <c r="AY32" s="222"/>
      <c r="AZ32" s="222"/>
      <c r="BA32" s="222"/>
      <c r="BB32" s="222"/>
      <c r="BC32" s="222"/>
      <c r="BD32" s="222"/>
      <c r="BE32" s="222"/>
      <c r="BF32" s="222"/>
      <c r="BG32" s="169" t="str">
        <f>VLOOKUP($A32,订货1!$A32:$I273,9,0)</f>
        <v>由仓库</v>
      </c>
      <c r="BH32" s="47" t="str">
        <f>VLOOKUP($A32,订货1!$A32:$H273,8,0)</f>
        <v>上海申美饮料食品有限公司</v>
      </c>
    </row>
    <row r="33" spans="1:60" ht="15.75" customHeight="1">
      <c r="A33" s="67">
        <v>101483</v>
      </c>
      <c r="B33" s="68" t="s">
        <v>88</v>
      </c>
      <c r="C33" s="70" t="s">
        <v>175</v>
      </c>
      <c r="D33" s="68"/>
      <c r="E33" s="68" t="s">
        <v>141</v>
      </c>
      <c r="F33" s="68" t="s">
        <v>18</v>
      </c>
      <c r="G33" s="68" t="s">
        <v>95</v>
      </c>
      <c r="H33" s="68" t="s">
        <v>95</v>
      </c>
      <c r="I33" s="71" t="s">
        <v>197</v>
      </c>
      <c r="J33" s="68" t="s">
        <v>31</v>
      </c>
      <c r="K33" s="236">
        <f>VLOOKUP($A33,订货1!$A33:$A274,1,0)</f>
        <v>101483</v>
      </c>
      <c r="L33" s="245" t="str">
        <f>VLOOKUP($A33,订货1!$A33:$G274,7,0)</f>
        <v>上海申美饮料食品有限公司</v>
      </c>
      <c r="M33" s="237" t="str">
        <f>VLOOKUP($A33,订货1!$A33:$B274,2,0)</f>
        <v>柠檬+C糖浆</v>
      </c>
      <c r="N33" s="72">
        <f t="shared" si="6"/>
        <v>45978</v>
      </c>
      <c r="O33" s="49" t="str">
        <f>VLOOKUP($A33,订货1!$A33:$C274,3,0)</f>
        <v>常温</v>
      </c>
      <c r="P33" s="44" t="str">
        <f>VLOOKUP($A33,订货1!$A33:$E274,5,0)</f>
        <v>10L</v>
      </c>
      <c r="Q33" s="49" t="str">
        <f>VLOOKUP($A33,订货1!$A33:$F274,6,0)</f>
        <v>箱</v>
      </c>
      <c r="R33" s="167">
        <f t="shared" ca="1" si="1"/>
        <v>0</v>
      </c>
      <c r="S33" s="105" t="s">
        <v>404</v>
      </c>
      <c r="T33" s="85">
        <f ca="1">SUMIF(预估营业额3!$B$3:$B$39,"&gt;="&amp;$H$2,预估营业额3!$E$3:$E$39)-SUMIF(预估营业额3!$B$3:$B$39,"&gt;"&amp;N33,预估营业额3!$E$3:$E$39)</f>
        <v>0</v>
      </c>
      <c r="U33" s="219">
        <v>4.4730846111910985E-2</v>
      </c>
      <c r="V33" s="168">
        <v>1</v>
      </c>
      <c r="W33" s="182">
        <f t="shared" ca="1" si="4"/>
        <v>0</v>
      </c>
      <c r="X33" s="214">
        <v>1</v>
      </c>
      <c r="Y33" s="62">
        <f t="shared" si="5"/>
        <v>0</v>
      </c>
      <c r="Z33" s="54"/>
      <c r="AA33" s="54"/>
      <c r="AB33" s="222"/>
      <c r="AC33" s="222"/>
      <c r="AD33" s="222"/>
      <c r="AE33" s="222"/>
      <c r="AF33" s="222">
        <v>1</v>
      </c>
      <c r="AG33" s="222"/>
      <c r="AH33" s="222"/>
      <c r="AI33" s="222"/>
      <c r="AJ33" s="222">
        <v>1</v>
      </c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169" t="str">
        <f>VLOOKUP($A33,订货1!$A33:$I274,9,0)</f>
        <v>由仓库</v>
      </c>
      <c r="BH33" s="47" t="str">
        <f>VLOOKUP($A33,订货1!$A33:$H274,8,0)</f>
        <v>上海申美饮料食品有限公司</v>
      </c>
    </row>
    <row r="34" spans="1:60" ht="15.75" customHeight="1">
      <c r="A34" s="67">
        <v>700000</v>
      </c>
      <c r="B34" s="68" t="s">
        <v>405</v>
      </c>
      <c r="C34" s="70" t="s">
        <v>175</v>
      </c>
      <c r="D34" s="68"/>
      <c r="E34" s="68" t="s">
        <v>141</v>
      </c>
      <c r="F34" s="68" t="s">
        <v>11</v>
      </c>
      <c r="G34" s="68" t="s">
        <v>95</v>
      </c>
      <c r="H34" s="68" t="s">
        <v>95</v>
      </c>
      <c r="I34" s="71" t="s">
        <v>198</v>
      </c>
      <c r="J34" s="68" t="s">
        <v>33</v>
      </c>
      <c r="K34" s="236">
        <f>VLOOKUP($A34,订货1!$A34:$A275,1,0)</f>
        <v>700000</v>
      </c>
      <c r="L34" s="245" t="str">
        <f>VLOOKUP($A34,订货1!$A34:$G275,7,0)</f>
        <v>上海申美饮料食品有限公司</v>
      </c>
      <c r="M34" s="237" t="str">
        <f>VLOOKUP($A34,订货1!$A34:$B275,2,0)</f>
        <v>申美碳酸</v>
      </c>
      <c r="N34" s="229"/>
      <c r="O34" s="49" t="str">
        <f>VLOOKUP($A34,订货1!$A34:$C275,3,0)</f>
        <v>常温</v>
      </c>
      <c r="P34" s="44" t="str">
        <f>VLOOKUP($A34,订货1!$A34:$E275,5,0)</f>
        <v>10L</v>
      </c>
      <c r="Q34" s="49" t="str">
        <f>VLOOKUP($A34,订货1!$A34:$F275,6,0)</f>
        <v>桶</v>
      </c>
      <c r="R34" s="167">
        <f t="shared" ca="1" si="1"/>
        <v>0</v>
      </c>
      <c r="S34" s="105" t="s">
        <v>404</v>
      </c>
      <c r="T34" s="85">
        <f ca="1">SUMIF(预估营业额3!$B$3:$B$39,"&gt;="&amp;$H$2,预估营业额3!$E$3:$E$39)-SUMIF(预估营业额3!$B$3:$B$39,"&gt;"&amp;N34,预估营业额3!$E$3:$E$39)</f>
        <v>38.299999999999997</v>
      </c>
      <c r="U34" s="219">
        <v>1.3978389409972182E-2</v>
      </c>
      <c r="V34" s="168">
        <v>1</v>
      </c>
      <c r="W34" s="182">
        <f t="shared" ca="1" si="4"/>
        <v>0.53537231440193456</v>
      </c>
      <c r="X34" s="214">
        <v>2</v>
      </c>
      <c r="Y34" s="62">
        <f t="shared" si="5"/>
        <v>0</v>
      </c>
      <c r="Z34" s="54"/>
      <c r="AA34" s="54"/>
      <c r="AB34" s="222"/>
      <c r="AC34" s="222"/>
      <c r="AD34" s="222"/>
      <c r="AE34" s="222"/>
      <c r="AF34" s="222"/>
      <c r="AG34" s="222"/>
      <c r="AH34" s="222"/>
      <c r="AI34" s="222"/>
      <c r="AJ34" s="222"/>
      <c r="AK34" s="222"/>
      <c r="AL34" s="222"/>
      <c r="AM34" s="222"/>
      <c r="AN34" s="222"/>
      <c r="AO34" s="222"/>
      <c r="AP34" s="222"/>
      <c r="AQ34" s="222"/>
      <c r="AR34" s="222"/>
      <c r="AS34" s="222"/>
      <c r="AT34" s="222"/>
      <c r="AU34" s="222"/>
      <c r="AV34" s="222"/>
      <c r="AW34" s="222"/>
      <c r="AX34" s="222"/>
      <c r="AY34" s="222"/>
      <c r="AZ34" s="222"/>
      <c r="BA34" s="222"/>
      <c r="BB34" s="222"/>
      <c r="BC34" s="222"/>
      <c r="BD34" s="222"/>
      <c r="BE34" s="222"/>
      <c r="BF34" s="222"/>
      <c r="BG34" s="169" t="str">
        <f>VLOOKUP($A34,订货1!$A34:$I275,9,0)</f>
        <v>由厂商</v>
      </c>
      <c r="BH34" s="47" t="str">
        <f>VLOOKUP($A34,订货1!$A34:$H275,8,0)</f>
        <v>上海申美饮料食品有限公司</v>
      </c>
    </row>
    <row r="35" spans="1:60" ht="15.75" customHeight="1">
      <c r="A35" s="67">
        <v>730003</v>
      </c>
      <c r="B35" s="68" t="s">
        <v>370</v>
      </c>
      <c r="C35" s="70" t="s">
        <v>176</v>
      </c>
      <c r="D35" s="68"/>
      <c r="E35" s="68" t="s">
        <v>177</v>
      </c>
      <c r="F35" s="68" t="s">
        <v>15</v>
      </c>
      <c r="G35" s="68" t="s">
        <v>577</v>
      </c>
      <c r="H35" s="68" t="s">
        <v>272</v>
      </c>
      <c r="I35" s="71" t="s">
        <v>198</v>
      </c>
      <c r="J35" s="68" t="s">
        <v>34</v>
      </c>
      <c r="K35" s="236">
        <f>VLOOKUP($A35,订货1!$A35:$A276,1,0)</f>
        <v>730003</v>
      </c>
      <c r="L35" s="245" t="str">
        <f>VLOOKUP($A35,订货1!$A35:$G276,7,0)</f>
        <v>赛沛弗科技发展（浙江）有限公司</v>
      </c>
      <c r="M35" s="237" t="str">
        <f>VLOOKUP($A35,订货1!$A35:$B276,2,0)</f>
        <v>樱桃番茄</v>
      </c>
      <c r="N35" s="229"/>
      <c r="O35" s="49" t="str">
        <f>VLOOKUP($A35,订货1!$A35:$C276,3,0)</f>
        <v>冷蔵</v>
      </c>
      <c r="P35" s="44" t="str">
        <f>VLOOKUP($A35,订货1!$A35:$E276,5,0)</f>
        <v>0.5kg</v>
      </c>
      <c r="Q35" s="49" t="str">
        <f>VLOOKUP($A35,订货1!$A35:$F276,6,0)</f>
        <v>袋</v>
      </c>
      <c r="R35" s="167">
        <f t="shared" ca="1" si="1"/>
        <v>0</v>
      </c>
      <c r="S35" s="105" t="s">
        <v>404</v>
      </c>
      <c r="T35" s="85">
        <f ca="1">SUMIF(预估营业额3!$B$3:$B$39,"&gt;="&amp;$H$2,预估营业额3!$E$3:$E$39)-SUMIF(预估营业额3!$B$3:$B$39,"&gt;"&amp;N35,预估营业额3!$E$3:$E$39)</f>
        <v>38.299999999999997</v>
      </c>
      <c r="U35" s="219">
        <v>0</v>
      </c>
      <c r="V35" s="168">
        <v>1</v>
      </c>
      <c r="W35" s="182">
        <f t="shared" ca="1" si="4"/>
        <v>0</v>
      </c>
      <c r="X35" s="214">
        <v>0</v>
      </c>
      <c r="Y35" s="62">
        <f t="shared" si="5"/>
        <v>0</v>
      </c>
      <c r="Z35" s="54"/>
      <c r="AA35" s="54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2"/>
      <c r="AQ35" s="222"/>
      <c r="AR35" s="222"/>
      <c r="AS35" s="222"/>
      <c r="AT35" s="222"/>
      <c r="AU35" s="222"/>
      <c r="AV35" s="222"/>
      <c r="AW35" s="222"/>
      <c r="AX35" s="222"/>
      <c r="AY35" s="222"/>
      <c r="AZ35" s="222"/>
      <c r="BA35" s="222"/>
      <c r="BB35" s="222"/>
      <c r="BC35" s="222"/>
      <c r="BD35" s="222"/>
      <c r="BE35" s="222"/>
      <c r="BF35" s="222"/>
      <c r="BG35" s="169" t="str">
        <f>VLOOKUP($A35,订货1!$A35:$I276,9,0)</f>
        <v>由厂商</v>
      </c>
      <c r="BH35" s="47" t="str">
        <f>VLOOKUP($A35,订货1!$A35:$H276,8,0)</f>
        <v>上海亚太国际蔬菜有限公司</v>
      </c>
    </row>
    <row r="36" spans="1:60" ht="15.75" customHeight="1">
      <c r="A36" s="273">
        <v>730004</v>
      </c>
      <c r="B36" s="274" t="s">
        <v>786</v>
      </c>
      <c r="C36" s="281" t="s">
        <v>176</v>
      </c>
      <c r="D36" s="274"/>
      <c r="E36" s="274" t="s">
        <v>787</v>
      </c>
      <c r="F36" s="274" t="s">
        <v>15</v>
      </c>
      <c r="G36" s="274" t="s">
        <v>577</v>
      </c>
      <c r="H36" s="68" t="s">
        <v>272</v>
      </c>
      <c r="I36" s="71" t="s">
        <v>198</v>
      </c>
      <c r="J36" s="68" t="s">
        <v>36</v>
      </c>
      <c r="K36" s="275">
        <f>VLOOKUP($A36,订货1!$A36:$A277,1,0)</f>
        <v>730004</v>
      </c>
      <c r="L36" s="276" t="str">
        <f>VLOOKUP($A36,订货1!$A36:$G277,7,0)</f>
        <v>赛沛弗科技发展（浙江）有限公司</v>
      </c>
      <c r="M36" s="277" t="str">
        <f>VLOOKUP($A36,订货1!$A36:$B277,2,0)</f>
        <v>彩椒丝</v>
      </c>
      <c r="N36" s="171">
        <f>$N$35</f>
        <v>0</v>
      </c>
      <c r="O36" s="49" t="str">
        <f>VLOOKUP($A36,订货1!$A36:$C277,3,0)</f>
        <v>冷蔵</v>
      </c>
      <c r="P36" s="44" t="str">
        <f>VLOOKUP($A36,订货1!$A36:$E277,5,0)</f>
        <v>0.2kg</v>
      </c>
      <c r="Q36" s="49" t="str">
        <f>VLOOKUP($A36,订货1!$A36:$F277,6,0)</f>
        <v>袋</v>
      </c>
      <c r="R36" s="167">
        <f t="shared" ca="1" si="1"/>
        <v>0</v>
      </c>
      <c r="S36" s="260" t="s">
        <v>207</v>
      </c>
      <c r="T36" s="85">
        <f ca="1">SUMIF(预估营业额3!$B$3:$B$39,"&gt;="&amp;$H$2,预估营业额3!$E$3:$E$39)-SUMIF(预估营业额3!$B$3:$B$39,"&gt;"&amp;N36,预估营业额3!$E$3:$E$39)</f>
        <v>-39.438000000000017</v>
      </c>
      <c r="U36" s="219">
        <v>0</v>
      </c>
      <c r="V36" s="168">
        <v>1</v>
      </c>
      <c r="W36" s="182">
        <f t="shared" ca="1" si="4"/>
        <v>0</v>
      </c>
      <c r="X36" s="214">
        <v>0</v>
      </c>
      <c r="Y36" s="62">
        <f t="shared" si="5"/>
        <v>0</v>
      </c>
      <c r="Z36" s="54"/>
      <c r="AA36" s="54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2"/>
      <c r="AM36" s="222"/>
      <c r="AN36" s="222"/>
      <c r="AO36" s="222"/>
      <c r="AP36" s="222"/>
      <c r="AQ36" s="222"/>
      <c r="AR36" s="222"/>
      <c r="AS36" s="222"/>
      <c r="AT36" s="222"/>
      <c r="AU36" s="222"/>
      <c r="AV36" s="222"/>
      <c r="AW36" s="222"/>
      <c r="AX36" s="222"/>
      <c r="AY36" s="222"/>
      <c r="AZ36" s="222"/>
      <c r="BA36" s="222"/>
      <c r="BB36" s="222"/>
      <c r="BC36" s="222"/>
      <c r="BD36" s="222"/>
      <c r="BE36" s="222"/>
      <c r="BF36" s="222"/>
      <c r="BG36" s="169" t="str">
        <f>VLOOKUP($A36,订货1!$A36:$I277,9,0)</f>
        <v>由厂商</v>
      </c>
      <c r="BH36" s="47" t="str">
        <f>VLOOKUP($A36,订货1!$A36:$H277,8,0)</f>
        <v>上海亚太国际蔬菜有限公司</v>
      </c>
    </row>
    <row r="37" spans="1:60" ht="15.75" customHeight="1">
      <c r="A37" s="67">
        <v>730005</v>
      </c>
      <c r="B37" s="68" t="s">
        <v>20</v>
      </c>
      <c r="C37" s="70" t="s">
        <v>176</v>
      </c>
      <c r="D37" s="68"/>
      <c r="E37" s="68" t="s">
        <v>178</v>
      </c>
      <c r="F37" s="68" t="s">
        <v>15</v>
      </c>
      <c r="G37" s="68" t="s">
        <v>577</v>
      </c>
      <c r="H37" s="68" t="s">
        <v>498</v>
      </c>
      <c r="I37" s="71" t="s">
        <v>198</v>
      </c>
      <c r="J37" s="68" t="s">
        <v>37</v>
      </c>
      <c r="K37" s="236">
        <f>VLOOKUP($A37,订货1!$A37:$A278,1,0)</f>
        <v>730005</v>
      </c>
      <c r="L37" s="245" t="str">
        <f>VLOOKUP($A37,订货1!$A37:$G278,7,0)</f>
        <v>赛沛弗科技发展（浙江）有限公司</v>
      </c>
      <c r="M37" s="237" t="str">
        <f>VLOOKUP($A37,订货1!$A37:$B278,2,0)</f>
        <v>蔬菜底料</v>
      </c>
      <c r="N37" s="171">
        <f t="shared" ref="N37:N48" si="7">$N$35</f>
        <v>0</v>
      </c>
      <c r="O37" s="49" t="str">
        <f>VLOOKUP($A37,订货1!$A37:$C278,3,0)</f>
        <v>冷蔵</v>
      </c>
      <c r="P37" s="44" t="str">
        <f>VLOOKUP($A37,订货1!$A37:$E278,5,0)</f>
        <v>1kg</v>
      </c>
      <c r="Q37" s="49" t="str">
        <f>VLOOKUP($A37,订货1!$A37:$F278,6,0)</f>
        <v>袋</v>
      </c>
      <c r="R37" s="167">
        <f t="shared" ca="1" si="1"/>
        <v>0</v>
      </c>
      <c r="S37" s="105" t="s">
        <v>404</v>
      </c>
      <c r="T37" s="85">
        <f ca="1">SUMIF(预估营业额3!$B$3:$B$39,"&gt;="&amp;$H$2,预估营业额3!$E$3:$E$39)-SUMIF(预估营业额3!$B$3:$B$39,"&gt;"&amp;N37,预估营业额3!$E$3:$E$39)</f>
        <v>-39.438000000000017</v>
      </c>
      <c r="U37" s="219">
        <v>0</v>
      </c>
      <c r="V37" s="168">
        <v>1</v>
      </c>
      <c r="W37" s="182">
        <f t="shared" ca="1" si="4"/>
        <v>0</v>
      </c>
      <c r="X37" s="214">
        <v>0</v>
      </c>
      <c r="Y37" s="62">
        <f t="shared" si="5"/>
        <v>0</v>
      </c>
      <c r="Z37" s="54"/>
      <c r="AA37" s="54"/>
      <c r="AB37" s="222"/>
      <c r="AC37" s="222"/>
      <c r="AD37" s="222"/>
      <c r="AE37" s="222"/>
      <c r="AF37" s="222"/>
      <c r="AG37" s="222"/>
      <c r="AH37" s="222"/>
      <c r="AI37" s="222"/>
      <c r="AJ37" s="222"/>
      <c r="AK37" s="222"/>
      <c r="AL37" s="222"/>
      <c r="AM37" s="222"/>
      <c r="AN37" s="222"/>
      <c r="AO37" s="222"/>
      <c r="AP37" s="222"/>
      <c r="AQ37" s="222"/>
      <c r="AR37" s="222"/>
      <c r="AS37" s="222"/>
      <c r="AT37" s="222"/>
      <c r="AU37" s="222"/>
      <c r="AV37" s="222"/>
      <c r="AW37" s="222"/>
      <c r="AX37" s="222"/>
      <c r="AY37" s="222"/>
      <c r="AZ37" s="222"/>
      <c r="BA37" s="222"/>
      <c r="BB37" s="222"/>
      <c r="BC37" s="222"/>
      <c r="BD37" s="222"/>
      <c r="BE37" s="222"/>
      <c r="BF37" s="222"/>
      <c r="BG37" s="169" t="str">
        <f>VLOOKUP($A37,订货1!$A37:$I278,9,0)</f>
        <v>由厂商</v>
      </c>
      <c r="BH37" s="47" t="str">
        <f>VLOOKUP($A37,订货1!$A37:$H278,8,0)</f>
        <v>上海盛科果蔬专业合作社</v>
      </c>
    </row>
    <row r="38" spans="1:60" ht="15.75" hidden="1" customHeight="1">
      <c r="A38" s="67">
        <v>730006</v>
      </c>
      <c r="B38" s="68" t="s">
        <v>371</v>
      </c>
      <c r="C38" s="70" t="s">
        <v>176</v>
      </c>
      <c r="D38" s="68"/>
      <c r="E38" s="68" t="s">
        <v>178</v>
      </c>
      <c r="F38" s="68" t="s">
        <v>15</v>
      </c>
      <c r="G38" s="68" t="s">
        <v>577</v>
      </c>
      <c r="H38" s="68" t="s">
        <v>272</v>
      </c>
      <c r="I38" s="71" t="s">
        <v>198</v>
      </c>
      <c r="J38" s="68" t="s">
        <v>38</v>
      </c>
      <c r="K38" s="236">
        <f>VLOOKUP($A38,订货1!$A38:$A279,1,0)</f>
        <v>730006</v>
      </c>
      <c r="L38" s="245" t="str">
        <f>VLOOKUP($A38,订货1!$A38:$G279,7,0)</f>
        <v>赛沛弗科技发展（浙江）有限公司</v>
      </c>
      <c r="M38" s="237" t="str">
        <f>VLOOKUP($A38,订货1!$A38:$B279,2,0)</f>
        <v>脆爽沙拉</v>
      </c>
      <c r="N38" s="171">
        <f t="shared" si="7"/>
        <v>0</v>
      </c>
      <c r="O38" s="49" t="str">
        <f>VLOOKUP($A38,订货1!$A38:$C279,3,0)</f>
        <v>冷蔵</v>
      </c>
      <c r="P38" s="44" t="str">
        <f>VLOOKUP($A38,订货1!$A38:$E279,5,0)</f>
        <v>1kg</v>
      </c>
      <c r="Q38" s="49" t="str">
        <f>VLOOKUP($A38,订货1!$A38:$F279,6,0)</f>
        <v>袋</v>
      </c>
      <c r="R38" s="167">
        <f t="shared" ca="1" si="1"/>
        <v>0</v>
      </c>
      <c r="S38" s="105" t="s">
        <v>404</v>
      </c>
      <c r="T38" s="85">
        <f ca="1">SUMIF(预估营业额3!$B$3:$B$39,"&gt;="&amp;$H$2,预估营业额3!$E$3:$E$39)-SUMIF(预估营业额3!$B$3:$B$39,"&gt;"&amp;N38,预估营业额3!$E$3:$E$39)</f>
        <v>-39.438000000000017</v>
      </c>
      <c r="U38" s="219">
        <v>0</v>
      </c>
      <c r="V38" s="168">
        <v>1</v>
      </c>
      <c r="W38" s="182">
        <f t="shared" ca="1" si="4"/>
        <v>0</v>
      </c>
      <c r="X38" s="214"/>
      <c r="Y38" s="62">
        <f t="shared" si="5"/>
        <v>0</v>
      </c>
      <c r="Z38" s="54"/>
      <c r="AA38" s="54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  <c r="AM38" s="222"/>
      <c r="AN38" s="222"/>
      <c r="AO38" s="222"/>
      <c r="AP38" s="222"/>
      <c r="AQ38" s="222"/>
      <c r="AR38" s="222"/>
      <c r="AS38" s="222"/>
      <c r="AT38" s="222"/>
      <c r="AU38" s="222"/>
      <c r="AV38" s="222"/>
      <c r="AW38" s="222"/>
      <c r="AX38" s="222"/>
      <c r="AY38" s="222"/>
      <c r="AZ38" s="222"/>
      <c r="BA38" s="222"/>
      <c r="BB38" s="222"/>
      <c r="BC38" s="222"/>
      <c r="BD38" s="222"/>
      <c r="BE38" s="222"/>
      <c r="BF38" s="222"/>
      <c r="BG38" s="169" t="str">
        <f>VLOOKUP($A38,订货1!$A38:$I279,9,0)</f>
        <v>由厂商</v>
      </c>
      <c r="BH38" s="47" t="str">
        <f>VLOOKUP($A38,订货1!$A38:$H279,8,0)</f>
        <v>上海亚太国际蔬菜有限公司</v>
      </c>
    </row>
    <row r="39" spans="1:60" ht="15.75" hidden="1" customHeight="1">
      <c r="A39" s="173">
        <v>730018</v>
      </c>
      <c r="B39" s="172" t="s">
        <v>426</v>
      </c>
      <c r="C39" s="70" t="s">
        <v>176</v>
      </c>
      <c r="D39" s="68"/>
      <c r="E39" s="68" t="s">
        <v>430</v>
      </c>
      <c r="F39" s="68" t="s">
        <v>15</v>
      </c>
      <c r="G39" s="68" t="s">
        <v>577</v>
      </c>
      <c r="H39" s="68" t="s">
        <v>272</v>
      </c>
      <c r="I39" s="71" t="s">
        <v>198</v>
      </c>
      <c r="J39" s="68" t="s">
        <v>39</v>
      </c>
      <c r="K39" s="236">
        <f>VLOOKUP($A39,订货1!$A39:$A280,1,0)</f>
        <v>730018</v>
      </c>
      <c r="L39" s="245" t="str">
        <f>VLOOKUP($A39,订货1!$A39:$G280,7,0)</f>
        <v>赛沛弗科技发展（浙江）有限公司</v>
      </c>
      <c r="M39" s="237" t="str">
        <f>VLOOKUP($A39,订货1!$A39:$B280,2,0)</f>
        <v>小青菜</v>
      </c>
      <c r="N39" s="171">
        <f t="shared" si="7"/>
        <v>0</v>
      </c>
      <c r="O39" s="49" t="str">
        <f>VLOOKUP($A39,订货1!$A39:$C280,3,0)</f>
        <v>冷蔵</v>
      </c>
      <c r="P39" s="44" t="str">
        <f>VLOOKUP($A39,订货1!$A39:$E280,5,0)</f>
        <v>0.5kg</v>
      </c>
      <c r="Q39" s="49" t="str">
        <f>VLOOKUP($A39,订货1!$A39:$F280,6,0)</f>
        <v>袋</v>
      </c>
      <c r="R39" s="167">
        <f t="shared" ca="1" si="1"/>
        <v>0</v>
      </c>
      <c r="S39" s="105" t="s">
        <v>404</v>
      </c>
      <c r="T39" s="85">
        <f ca="1">SUMIF(预估营业额3!$B$3:$B$39,"&gt;="&amp;$H$2,预估营业额3!$E$3:$E$39)-SUMIF(预估营业额3!$B$3:$B$39,"&gt;"&amp;N39,预估营业额3!$E$3:$E$39)</f>
        <v>-39.438000000000017</v>
      </c>
      <c r="U39" s="219">
        <v>0</v>
      </c>
      <c r="V39" s="168">
        <v>1</v>
      </c>
      <c r="W39" s="182">
        <f t="shared" ca="1" si="4"/>
        <v>0</v>
      </c>
      <c r="X39" s="214"/>
      <c r="Y39" s="62">
        <f t="shared" si="5"/>
        <v>0</v>
      </c>
      <c r="Z39" s="54"/>
      <c r="AA39" s="54"/>
      <c r="AB39" s="222"/>
      <c r="AC39" s="222"/>
      <c r="AD39" s="222"/>
      <c r="AE39" s="222"/>
      <c r="AF39" s="222"/>
      <c r="AG39" s="222"/>
      <c r="AH39" s="222"/>
      <c r="AI39" s="222"/>
      <c r="AJ39" s="222"/>
      <c r="AK39" s="222"/>
      <c r="AL39" s="222"/>
      <c r="AM39" s="222"/>
      <c r="AN39" s="222"/>
      <c r="AO39" s="222"/>
      <c r="AP39" s="222"/>
      <c r="AQ39" s="222"/>
      <c r="AR39" s="222"/>
      <c r="AS39" s="222"/>
      <c r="AT39" s="222"/>
      <c r="AU39" s="222"/>
      <c r="AV39" s="222"/>
      <c r="AW39" s="222"/>
      <c r="AX39" s="222"/>
      <c r="AY39" s="222"/>
      <c r="AZ39" s="222"/>
      <c r="BA39" s="222"/>
      <c r="BB39" s="222"/>
      <c r="BC39" s="222"/>
      <c r="BD39" s="222"/>
      <c r="BE39" s="222"/>
      <c r="BF39" s="222"/>
      <c r="BG39" s="169" t="str">
        <f>VLOOKUP($A39,订货1!$A39:$I280,9,0)</f>
        <v>由厂商</v>
      </c>
      <c r="BH39" s="47" t="str">
        <f>VLOOKUP($A39,订货1!$A39:$H280,8,0)</f>
        <v>上海亚太国际蔬菜有限公司</v>
      </c>
    </row>
    <row r="40" spans="1:60" ht="15.6" hidden="1" customHeight="1">
      <c r="A40" s="67">
        <v>730008</v>
      </c>
      <c r="B40" s="68" t="s">
        <v>23</v>
      </c>
      <c r="C40" s="70" t="s">
        <v>176</v>
      </c>
      <c r="D40" s="68"/>
      <c r="E40" s="68" t="s">
        <v>200</v>
      </c>
      <c r="F40" s="68" t="s">
        <v>16</v>
      </c>
      <c r="G40" s="68" t="s">
        <v>577</v>
      </c>
      <c r="H40" s="68" t="s">
        <v>498</v>
      </c>
      <c r="I40" s="71" t="s">
        <v>198</v>
      </c>
      <c r="J40" s="68" t="s">
        <v>40</v>
      </c>
      <c r="K40" s="236">
        <f>VLOOKUP($A40,订货1!$A40:$A281,1,0)</f>
        <v>730008</v>
      </c>
      <c r="L40" s="245" t="str">
        <f>VLOOKUP($A40,订货1!$A40:$G281,7,0)</f>
        <v>赛沛弗科技发展（浙江）有限公司</v>
      </c>
      <c r="M40" s="237" t="str">
        <f>VLOOKUP($A40,订货1!$A40:$B281,2,0)</f>
        <v>猕猴桃</v>
      </c>
      <c r="N40" s="171">
        <f t="shared" si="7"/>
        <v>0</v>
      </c>
      <c r="O40" s="49" t="str">
        <f>VLOOKUP($A40,订货1!$A40:$C281,3,0)</f>
        <v>冷蔵</v>
      </c>
      <c r="P40" s="44" t="str">
        <f>VLOOKUP($A40,订货1!$A40:$E281,5,0)</f>
        <v>0.08kg</v>
      </c>
      <c r="Q40" s="49" t="str">
        <f>VLOOKUP($A40,订货1!$A40:$F281,6,0)</f>
        <v>个</v>
      </c>
      <c r="R40" s="167">
        <f t="shared" ca="1" si="1"/>
        <v>0</v>
      </c>
      <c r="S40" s="105" t="s">
        <v>404</v>
      </c>
      <c r="T40" s="85">
        <f ca="1">SUMIF(预估营业额3!$B$3:$B$39,"&gt;="&amp;$H$2,预估营业额3!$E$3:$E$39)-SUMIF(预估营业额3!$B$3:$B$39,"&gt;"&amp;N40,预估营业额3!$E$3:$E$39)</f>
        <v>-39.438000000000017</v>
      </c>
      <c r="U40" s="219">
        <v>0</v>
      </c>
      <c r="V40" s="168">
        <v>1</v>
      </c>
      <c r="W40" s="182">
        <f t="shared" ca="1" si="4"/>
        <v>0</v>
      </c>
      <c r="X40" s="214"/>
      <c r="Y40" s="62">
        <f t="shared" si="5"/>
        <v>0</v>
      </c>
      <c r="Z40" s="54"/>
      <c r="AA40" s="54"/>
      <c r="AB40" s="222"/>
      <c r="AC40" s="222"/>
      <c r="AD40" s="222"/>
      <c r="AE40" s="222"/>
      <c r="AF40" s="222"/>
      <c r="AG40" s="222"/>
      <c r="AH40" s="222"/>
      <c r="AI40" s="222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2"/>
      <c r="AU40" s="222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22"/>
      <c r="BG40" s="169" t="str">
        <f>VLOOKUP($A40,订货1!$A40:$I281,9,0)</f>
        <v>由厂商</v>
      </c>
      <c r="BH40" s="47" t="str">
        <f>VLOOKUP($A40,订货1!$A40:$H281,8,0)</f>
        <v>上海盛科果蔬专业合作社</v>
      </c>
    </row>
    <row r="41" spans="1:60" ht="15.75" hidden="1" customHeight="1">
      <c r="A41" s="67">
        <v>730009</v>
      </c>
      <c r="B41" s="68" t="s">
        <v>24</v>
      </c>
      <c r="C41" s="70" t="s">
        <v>176</v>
      </c>
      <c r="D41" s="68"/>
      <c r="E41" s="68" t="s">
        <v>177</v>
      </c>
      <c r="F41" s="68" t="s">
        <v>15</v>
      </c>
      <c r="G41" s="68" t="s">
        <v>577</v>
      </c>
      <c r="H41" s="68" t="s">
        <v>272</v>
      </c>
      <c r="I41" s="71" t="s">
        <v>198</v>
      </c>
      <c r="J41" s="68" t="s">
        <v>42</v>
      </c>
      <c r="K41" s="236">
        <f>VLOOKUP($A41,订货1!$A41:$A282,1,0)</f>
        <v>730009</v>
      </c>
      <c r="L41" s="245" t="str">
        <f>VLOOKUP($A41,订货1!$A41:$G282,7,0)</f>
        <v>赛沛弗科技发展（浙江）有限公司</v>
      </c>
      <c r="M41" s="237" t="str">
        <f>VLOOKUP($A41,订货1!$A41:$B282,2,0)</f>
        <v>大蒜</v>
      </c>
      <c r="N41" s="171">
        <f t="shared" si="7"/>
        <v>0</v>
      </c>
      <c r="O41" s="49" t="str">
        <f>VLOOKUP($A41,订货1!$A41:$C282,3,0)</f>
        <v>冷蔵</v>
      </c>
      <c r="P41" s="44" t="str">
        <f>VLOOKUP($A41,订货1!$A41:$E282,5,0)</f>
        <v>0.5kg</v>
      </c>
      <c r="Q41" s="49" t="str">
        <f>VLOOKUP($A41,订货1!$A41:$F282,6,0)</f>
        <v>袋</v>
      </c>
      <c r="R41" s="167">
        <f t="shared" ca="1" si="1"/>
        <v>0</v>
      </c>
      <c r="S41" s="105" t="s">
        <v>207</v>
      </c>
      <c r="T41" s="85">
        <f ca="1">SUMIF(预估营业额3!$B$3:$B$39,"&gt;="&amp;$H$2,预估营业额3!$E$3:$E$39)-SUMIF(预估营业额3!$B$3:$B$39,"&gt;"&amp;N41,预估营业额3!$E$3:$E$39)</f>
        <v>-39.438000000000017</v>
      </c>
      <c r="U41" s="219">
        <v>0</v>
      </c>
      <c r="V41" s="168">
        <v>1</v>
      </c>
      <c r="W41" s="182">
        <f t="shared" ca="1" si="4"/>
        <v>0</v>
      </c>
      <c r="X41" s="214"/>
      <c r="Y41" s="62">
        <f t="shared" si="5"/>
        <v>0</v>
      </c>
      <c r="Z41" s="54"/>
      <c r="AA41" s="54"/>
      <c r="AB41" s="222"/>
      <c r="AC41" s="222"/>
      <c r="AD41" s="222"/>
      <c r="AE41" s="222"/>
      <c r="AF41" s="222"/>
      <c r="AG41" s="222"/>
      <c r="AH41" s="222"/>
      <c r="AI41" s="222"/>
      <c r="AJ41" s="222"/>
      <c r="AK41" s="222"/>
      <c r="AL41" s="222"/>
      <c r="AM41" s="222"/>
      <c r="AN41" s="222"/>
      <c r="AO41" s="222"/>
      <c r="AP41" s="222"/>
      <c r="AQ41" s="222"/>
      <c r="AR41" s="222"/>
      <c r="AS41" s="222"/>
      <c r="AT41" s="222"/>
      <c r="AU41" s="222"/>
      <c r="AV41" s="222"/>
      <c r="AW41" s="222"/>
      <c r="AX41" s="222"/>
      <c r="AY41" s="222"/>
      <c r="AZ41" s="222"/>
      <c r="BA41" s="222"/>
      <c r="BB41" s="222"/>
      <c r="BC41" s="222"/>
      <c r="BD41" s="222"/>
      <c r="BE41" s="222"/>
      <c r="BF41" s="222"/>
      <c r="BG41" s="169" t="str">
        <f>VLOOKUP($A41,订货1!$A41:$I282,9,0)</f>
        <v>由厂商</v>
      </c>
      <c r="BH41" s="47" t="str">
        <f>VLOOKUP($A41,订货1!$A41:$H282,8,0)</f>
        <v>上海亚太国际蔬菜有限公司</v>
      </c>
    </row>
    <row r="42" spans="1:60" ht="15.75" hidden="1" customHeight="1">
      <c r="A42" s="67">
        <v>730010</v>
      </c>
      <c r="B42" s="68" t="s">
        <v>25</v>
      </c>
      <c r="C42" s="70" t="s">
        <v>176</v>
      </c>
      <c r="D42" s="68"/>
      <c r="E42" s="68" t="s">
        <v>177</v>
      </c>
      <c r="F42" s="68" t="s">
        <v>15</v>
      </c>
      <c r="G42" s="68" t="s">
        <v>577</v>
      </c>
      <c r="H42" s="68" t="s">
        <v>272</v>
      </c>
      <c r="I42" s="71" t="s">
        <v>198</v>
      </c>
      <c r="J42" s="68" t="s">
        <v>43</v>
      </c>
      <c r="K42" s="236">
        <f>VLOOKUP($A42,订货1!$A42:$A283,1,0)</f>
        <v>730010</v>
      </c>
      <c r="L42" s="245" t="str">
        <f>VLOOKUP($A42,订货1!$A42:$G283,7,0)</f>
        <v>赛沛弗科技发展（浙江）有限公司</v>
      </c>
      <c r="M42" s="237" t="str">
        <f>VLOOKUP($A42,订货1!$A42:$B283,2,0)</f>
        <v>番茄</v>
      </c>
      <c r="N42" s="171">
        <f t="shared" si="7"/>
        <v>0</v>
      </c>
      <c r="O42" s="49" t="str">
        <f>VLOOKUP($A42,订货1!$A42:$C283,3,0)</f>
        <v>冷蔵</v>
      </c>
      <c r="P42" s="44" t="str">
        <f>VLOOKUP($A42,订货1!$A42:$E283,5,0)</f>
        <v>0.5kg</v>
      </c>
      <c r="Q42" s="49" t="str">
        <f>VLOOKUP($A42,订货1!$A42:$F283,6,0)</f>
        <v>袋</v>
      </c>
      <c r="R42" s="167">
        <f t="shared" ca="1" si="1"/>
        <v>0</v>
      </c>
      <c r="S42" s="105" t="s">
        <v>207</v>
      </c>
      <c r="T42" s="85">
        <f ca="1">SUMIF(预估营业额3!$B$3:$B$39,"&gt;="&amp;$H$2,预估营业额3!$E$3:$E$39)-SUMIF(预估营业额3!$B$3:$B$39,"&gt;"&amp;N42,预估营业额3!$E$3:$E$39)</f>
        <v>-39.438000000000017</v>
      </c>
      <c r="U42" s="219">
        <v>0</v>
      </c>
      <c r="V42" s="168">
        <v>1</v>
      </c>
      <c r="W42" s="182">
        <f t="shared" ca="1" si="4"/>
        <v>0</v>
      </c>
      <c r="X42" s="214"/>
      <c r="Y42" s="62">
        <f t="shared" si="5"/>
        <v>0</v>
      </c>
      <c r="Z42" s="54"/>
      <c r="AA42" s="54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222"/>
      <c r="AP42" s="222"/>
      <c r="AQ42" s="222"/>
      <c r="AR42" s="222"/>
      <c r="AS42" s="222"/>
      <c r="AT42" s="222"/>
      <c r="AU42" s="222"/>
      <c r="AV42" s="222"/>
      <c r="AW42" s="222"/>
      <c r="AX42" s="222"/>
      <c r="AY42" s="222"/>
      <c r="AZ42" s="222"/>
      <c r="BA42" s="222"/>
      <c r="BB42" s="222"/>
      <c r="BC42" s="222"/>
      <c r="BD42" s="222"/>
      <c r="BE42" s="222"/>
      <c r="BF42" s="222"/>
      <c r="BG42" s="169" t="str">
        <f>VLOOKUP($A42,订货1!$A42:$I283,9,0)</f>
        <v>由厂商</v>
      </c>
      <c r="BH42" s="47" t="str">
        <f>VLOOKUP($A42,订货1!$A42:$H283,8,0)</f>
        <v>上海亚太国际蔬菜有限公司</v>
      </c>
    </row>
    <row r="43" spans="1:60" ht="15.75" customHeight="1">
      <c r="A43" s="248">
        <v>730011</v>
      </c>
      <c r="B43" s="249" t="s">
        <v>22</v>
      </c>
      <c r="C43" s="69" t="s">
        <v>176</v>
      </c>
      <c r="D43" s="68"/>
      <c r="E43" s="68" t="s">
        <v>201</v>
      </c>
      <c r="F43" s="68" t="s">
        <v>15</v>
      </c>
      <c r="G43" s="68" t="s">
        <v>577</v>
      </c>
      <c r="H43" s="68" t="s">
        <v>272</v>
      </c>
      <c r="I43" s="71" t="s">
        <v>198</v>
      </c>
      <c r="J43" s="68" t="s">
        <v>44</v>
      </c>
      <c r="K43" s="234">
        <f>VLOOKUP($A43,订货1!$A43:$A284,1,0)</f>
        <v>730011</v>
      </c>
      <c r="L43" s="244" t="str">
        <f>VLOOKUP($A43,订货1!$A43:$G284,7,0)</f>
        <v>赛沛弗科技发展（浙江）有限公司</v>
      </c>
      <c r="M43" s="235" t="str">
        <f>VLOOKUP($A43,订货1!$A43:$B284,2,0)</f>
        <v>芝麻菜</v>
      </c>
      <c r="N43" s="171">
        <f t="shared" si="7"/>
        <v>0</v>
      </c>
      <c r="O43" s="49" t="str">
        <f>VLOOKUP($A43,订货1!$A43:$C284,3,0)</f>
        <v>冷蔵</v>
      </c>
      <c r="P43" s="44" t="str">
        <f>VLOOKUP($A43,订货1!$A43:$E284,5,0)</f>
        <v>0.2kg</v>
      </c>
      <c r="Q43" s="49" t="str">
        <f>VLOOKUP($A43,订货1!$A43:$F284,6,0)</f>
        <v>袋</v>
      </c>
      <c r="R43" s="167">
        <f t="shared" ca="1" si="1"/>
        <v>0</v>
      </c>
      <c r="S43" s="228" t="s">
        <v>199</v>
      </c>
      <c r="T43" s="85">
        <f ca="1">SUMIF(预估营业额3!$B$3:$B$39,"&gt;="&amp;$H$2,预估营业额3!$E$3:$E$39)-SUMIF(预估营业额3!$B$3:$B$39,"&gt;"&amp;N43,预估营业额3!$E$3:$E$39)</f>
        <v>-39.438000000000017</v>
      </c>
      <c r="U43" s="219">
        <v>0</v>
      </c>
      <c r="V43" s="168">
        <v>1</v>
      </c>
      <c r="W43" s="182">
        <f t="shared" ca="1" si="4"/>
        <v>0</v>
      </c>
      <c r="X43" s="214">
        <v>0</v>
      </c>
      <c r="Y43" s="62">
        <f t="shared" si="5"/>
        <v>0</v>
      </c>
      <c r="Z43" s="54"/>
      <c r="AA43" s="54"/>
      <c r="AB43" s="222"/>
      <c r="AC43" s="222"/>
      <c r="AD43" s="222"/>
      <c r="AE43" s="222"/>
      <c r="AF43" s="222"/>
      <c r="AG43" s="222"/>
      <c r="AH43" s="222"/>
      <c r="AI43" s="222"/>
      <c r="AJ43" s="222"/>
      <c r="AK43" s="222"/>
      <c r="AL43" s="222"/>
      <c r="AM43" s="222"/>
      <c r="AN43" s="222"/>
      <c r="AO43" s="222"/>
      <c r="AP43" s="222"/>
      <c r="AQ43" s="222"/>
      <c r="AR43" s="222"/>
      <c r="AS43" s="222"/>
      <c r="AT43" s="222"/>
      <c r="AU43" s="222"/>
      <c r="AV43" s="222"/>
      <c r="AW43" s="222"/>
      <c r="AX43" s="222"/>
      <c r="AY43" s="222"/>
      <c r="AZ43" s="222"/>
      <c r="BA43" s="222"/>
      <c r="BB43" s="222"/>
      <c r="BC43" s="222"/>
      <c r="BD43" s="222"/>
      <c r="BE43" s="222"/>
      <c r="BF43" s="222"/>
      <c r="BG43" s="169" t="str">
        <f>VLOOKUP($A43,订货1!$A43:$I284,9,0)</f>
        <v>由厂商</v>
      </c>
      <c r="BH43" s="47" t="str">
        <f>VLOOKUP($A43,订货1!$A43:$H284,8,0)</f>
        <v>上海亚太国际蔬菜有限公司</v>
      </c>
    </row>
    <row r="44" spans="1:60" ht="15.75" hidden="1" customHeight="1">
      <c r="A44" s="67">
        <v>730012</v>
      </c>
      <c r="B44" s="68" t="s">
        <v>26</v>
      </c>
      <c r="C44" s="69" t="s">
        <v>176</v>
      </c>
      <c r="D44" s="68"/>
      <c r="E44" s="68" t="s">
        <v>200</v>
      </c>
      <c r="F44" s="68" t="s">
        <v>15</v>
      </c>
      <c r="G44" s="68" t="s">
        <v>577</v>
      </c>
      <c r="H44" s="68" t="s">
        <v>272</v>
      </c>
      <c r="I44" s="71" t="s">
        <v>198</v>
      </c>
      <c r="J44" s="68" t="s">
        <v>45</v>
      </c>
      <c r="K44" s="234">
        <f>VLOOKUP($A44,订货1!$A44:$A285,1,0)</f>
        <v>730012</v>
      </c>
      <c r="L44" s="244" t="str">
        <f>VLOOKUP($A44,订货1!$A44:$G285,7,0)</f>
        <v>赛沛弗科技发展（浙江）有限公司</v>
      </c>
      <c r="M44" s="235" t="str">
        <f>VLOOKUP($A44,订货1!$A44:$B285,2,0)</f>
        <v>柠檬</v>
      </c>
      <c r="N44" s="171">
        <f t="shared" si="7"/>
        <v>0</v>
      </c>
      <c r="O44" s="49" t="str">
        <f>VLOOKUP($A44,订货1!$A44:$C285,3,0)</f>
        <v>冷蔵</v>
      </c>
      <c r="P44" s="44" t="str">
        <f>VLOOKUP($A44,订货1!$A44:$E285,5,0)</f>
        <v>0.08kg</v>
      </c>
      <c r="Q44" s="49" t="str">
        <f>VLOOKUP($A44,订货1!$A44:$F285,6,0)</f>
        <v>袋</v>
      </c>
      <c r="R44" s="167">
        <f t="shared" ca="1" si="1"/>
        <v>0</v>
      </c>
      <c r="S44" s="105" t="s">
        <v>207</v>
      </c>
      <c r="T44" s="85">
        <f ca="1">SUMIF(预估营业额3!$B$3:$B$39,"&gt;="&amp;$H$2,预估营业额3!$E$3:$E$39)-SUMIF(预估营业额3!$B$3:$B$39,"&gt;"&amp;N44,预估营业额3!$E$3:$E$39)</f>
        <v>-39.438000000000017</v>
      </c>
      <c r="U44" s="219">
        <v>0</v>
      </c>
      <c r="V44" s="168">
        <v>1</v>
      </c>
      <c r="W44" s="182">
        <f t="shared" ca="1" si="4"/>
        <v>0</v>
      </c>
      <c r="X44" s="214"/>
      <c r="Y44" s="62">
        <f t="shared" si="5"/>
        <v>0</v>
      </c>
      <c r="Z44" s="54"/>
      <c r="AA44" s="54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/>
      <c r="AL44" s="222"/>
      <c r="AM44" s="222"/>
      <c r="AN44" s="222"/>
      <c r="AO44" s="222"/>
      <c r="AP44" s="222"/>
      <c r="AQ44" s="222"/>
      <c r="AR44" s="222"/>
      <c r="AS44" s="222"/>
      <c r="AT44" s="222"/>
      <c r="AU44" s="222"/>
      <c r="AV44" s="222"/>
      <c r="AW44" s="222"/>
      <c r="AX44" s="222"/>
      <c r="AY44" s="222"/>
      <c r="AZ44" s="222"/>
      <c r="BA44" s="222"/>
      <c r="BB44" s="222"/>
      <c r="BC44" s="222"/>
      <c r="BD44" s="222"/>
      <c r="BE44" s="222"/>
      <c r="BF44" s="222"/>
      <c r="BG44" s="169" t="str">
        <f>VLOOKUP($A44,订货1!$A44:$I285,9,0)</f>
        <v>由厂商</v>
      </c>
      <c r="BH44" s="47" t="str">
        <f>VLOOKUP($A44,订货1!$A44:$H285,8,0)</f>
        <v>上海亚太国际蔬菜有限公司</v>
      </c>
    </row>
    <row r="45" spans="1:60" ht="15.75" hidden="1" customHeight="1">
      <c r="A45" s="67">
        <v>730013</v>
      </c>
      <c r="B45" s="68" t="s">
        <v>131</v>
      </c>
      <c r="C45" s="69" t="s">
        <v>176</v>
      </c>
      <c r="D45" s="68"/>
      <c r="E45" s="68" t="s">
        <v>202</v>
      </c>
      <c r="F45" s="68" t="s">
        <v>16</v>
      </c>
      <c r="G45" s="68" t="s">
        <v>577</v>
      </c>
      <c r="H45" s="68" t="s">
        <v>498</v>
      </c>
      <c r="I45" s="71" t="s">
        <v>198</v>
      </c>
      <c r="J45" s="68" t="s">
        <v>46</v>
      </c>
      <c r="K45" s="234">
        <f>VLOOKUP($A45,订货1!$A45:$A286,1,0)</f>
        <v>730013</v>
      </c>
      <c r="L45" s="244" t="str">
        <f>VLOOKUP($A45,订货1!$A45:$G286,7,0)</f>
        <v>赛沛弗科技发展（浙江）有限公司</v>
      </c>
      <c r="M45" s="235" t="str">
        <f>VLOOKUP($A45,订货1!$A45:$B286,2,0)</f>
        <v>火龙果</v>
      </c>
      <c r="N45" s="171">
        <f t="shared" si="7"/>
        <v>0</v>
      </c>
      <c r="O45" s="49" t="str">
        <f>VLOOKUP($A45,订货1!$A45:$C286,3,0)</f>
        <v>冷蔵</v>
      </c>
      <c r="P45" s="44" t="str">
        <f>VLOOKUP($A45,订货1!$A45:$E286,5,0)</f>
        <v>0.6kg</v>
      </c>
      <c r="Q45" s="49" t="str">
        <f>VLOOKUP($A45,订货1!$A45:$F286,6,0)</f>
        <v>个</v>
      </c>
      <c r="R45" s="167">
        <f t="shared" ca="1" si="1"/>
        <v>0</v>
      </c>
      <c r="S45" s="105" t="s">
        <v>404</v>
      </c>
      <c r="T45" s="85">
        <f ca="1">SUMIF(预估营业额3!$B$3:$B$39,"&gt;="&amp;$H$2,预估营业额3!$E$3:$E$39)-SUMIF(预估营业额3!$B$3:$B$39,"&gt;"&amp;N45,预估营业额3!$E$3:$E$39)</f>
        <v>-39.438000000000017</v>
      </c>
      <c r="U45" s="219">
        <v>0</v>
      </c>
      <c r="V45" s="168">
        <v>1.1000000000000001</v>
      </c>
      <c r="W45" s="182">
        <f t="shared" ca="1" si="4"/>
        <v>0</v>
      </c>
      <c r="X45" s="214"/>
      <c r="Y45" s="62">
        <f t="shared" si="5"/>
        <v>0</v>
      </c>
      <c r="Z45" s="54"/>
      <c r="AA45" s="54"/>
      <c r="AB45" s="222"/>
      <c r="AC45" s="222"/>
      <c r="AD45" s="222"/>
      <c r="AE45" s="222"/>
      <c r="AF45" s="222"/>
      <c r="AG45" s="222"/>
      <c r="AH45" s="222"/>
      <c r="AI45" s="222"/>
      <c r="AJ45" s="222"/>
      <c r="AK45" s="222"/>
      <c r="AL45" s="222"/>
      <c r="AM45" s="222"/>
      <c r="AN45" s="222"/>
      <c r="AO45" s="222"/>
      <c r="AP45" s="222"/>
      <c r="AQ45" s="222"/>
      <c r="AR45" s="222"/>
      <c r="AS45" s="222"/>
      <c r="AT45" s="222"/>
      <c r="AU45" s="222"/>
      <c r="AV45" s="222"/>
      <c r="AW45" s="222"/>
      <c r="AX45" s="222"/>
      <c r="AY45" s="222"/>
      <c r="AZ45" s="222"/>
      <c r="BA45" s="222"/>
      <c r="BB45" s="222"/>
      <c r="BC45" s="222"/>
      <c r="BD45" s="222"/>
      <c r="BE45" s="222"/>
      <c r="BF45" s="222"/>
      <c r="BG45" s="169" t="str">
        <f>VLOOKUP($A45,订货1!$A45:$I286,9,0)</f>
        <v>由厂商</v>
      </c>
      <c r="BH45" s="47" t="str">
        <f>VLOOKUP($A45,订货1!$A45:$H286,8,0)</f>
        <v>上海盛科果蔬专业合作社</v>
      </c>
    </row>
    <row r="46" spans="1:60" ht="15.75" hidden="1" customHeight="1">
      <c r="A46" s="67">
        <v>730014</v>
      </c>
      <c r="B46" s="68" t="s">
        <v>159</v>
      </c>
      <c r="C46" s="70" t="s">
        <v>176</v>
      </c>
      <c r="D46" s="68"/>
      <c r="E46" s="68" t="s">
        <v>203</v>
      </c>
      <c r="F46" s="68" t="s">
        <v>15</v>
      </c>
      <c r="G46" s="68" t="s">
        <v>577</v>
      </c>
      <c r="H46" s="68" t="s">
        <v>272</v>
      </c>
      <c r="I46" s="71" t="s">
        <v>198</v>
      </c>
      <c r="J46" s="68" t="s">
        <v>47</v>
      </c>
      <c r="K46" s="234">
        <f>VLOOKUP($A46,订货1!$A46:$A287,1,0)</f>
        <v>730014</v>
      </c>
      <c r="L46" s="244" t="str">
        <f>VLOOKUP($A46,订货1!$A46:$G287,7,0)</f>
        <v>赛沛弗科技发展（浙江）有限公司</v>
      </c>
      <c r="M46" s="235" t="str">
        <f>VLOOKUP($A46,订货1!$A46:$B287,2,0)</f>
        <v>牛肚配菜(实验店铺用）</v>
      </c>
      <c r="N46" s="171">
        <f t="shared" si="7"/>
        <v>0</v>
      </c>
      <c r="O46" s="49" t="str">
        <f>VLOOKUP($A46,订货1!$A46:$C287,3,0)</f>
        <v>冷蔵</v>
      </c>
      <c r="P46" s="44" t="str">
        <f>VLOOKUP($A46,订货1!$A46:$E287,5,0)</f>
        <v>0.1kg</v>
      </c>
      <c r="Q46" s="49" t="str">
        <f>VLOOKUP($A46,订货1!$A46:$F287,6,0)</f>
        <v>袋</v>
      </c>
      <c r="R46" s="167">
        <f t="shared" ca="1" si="1"/>
        <v>0</v>
      </c>
      <c r="S46" s="105" t="s">
        <v>207</v>
      </c>
      <c r="T46" s="85">
        <f ca="1">SUMIF(预估营业额3!$B$3:$B$39,"&gt;="&amp;$H$2,预估营业额3!$E$3:$E$39)-SUMIF(预估营业额3!$B$3:$B$39,"&gt;"&amp;N46,预估营业额3!$E$3:$E$39)</f>
        <v>-39.438000000000017</v>
      </c>
      <c r="U46" s="219">
        <v>0</v>
      </c>
      <c r="V46" s="168">
        <v>1</v>
      </c>
      <c r="W46" s="182">
        <f t="shared" ca="1" si="4"/>
        <v>0</v>
      </c>
      <c r="X46" s="214"/>
      <c r="Y46" s="62">
        <f t="shared" si="5"/>
        <v>0</v>
      </c>
      <c r="Z46" s="54"/>
      <c r="AA46" s="54"/>
      <c r="AB46" s="222"/>
      <c r="AC46" s="222"/>
      <c r="AD46" s="222"/>
      <c r="AE46" s="222"/>
      <c r="AF46" s="222"/>
      <c r="AG46" s="222"/>
      <c r="AH46" s="222"/>
      <c r="AI46" s="222"/>
      <c r="AJ46" s="222"/>
      <c r="AK46" s="222"/>
      <c r="AL46" s="222"/>
      <c r="AM46" s="222"/>
      <c r="AN46" s="222"/>
      <c r="AO46" s="222"/>
      <c r="AP46" s="222"/>
      <c r="AQ46" s="222"/>
      <c r="AR46" s="222"/>
      <c r="AS46" s="222"/>
      <c r="AT46" s="222"/>
      <c r="AU46" s="222"/>
      <c r="AV46" s="222"/>
      <c r="AW46" s="222"/>
      <c r="AX46" s="222"/>
      <c r="AY46" s="222"/>
      <c r="AZ46" s="222"/>
      <c r="BA46" s="222"/>
      <c r="BB46" s="222"/>
      <c r="BC46" s="222"/>
      <c r="BD46" s="222"/>
      <c r="BE46" s="222"/>
      <c r="BF46" s="222"/>
      <c r="BG46" s="169" t="str">
        <f>VLOOKUP($A46,订货1!$A46:$I287,9,0)</f>
        <v>由厂商</v>
      </c>
      <c r="BH46" s="47" t="str">
        <f>VLOOKUP($A46,订货1!$A46:$H287,8,0)</f>
        <v>上海亚太国际蔬菜有限公司</v>
      </c>
    </row>
    <row r="47" spans="1:60" ht="15.75" customHeight="1">
      <c r="A47" s="173">
        <v>730017</v>
      </c>
      <c r="B47" s="172" t="s">
        <v>372</v>
      </c>
      <c r="C47" s="70" t="s">
        <v>176</v>
      </c>
      <c r="D47" s="68"/>
      <c r="E47" s="68" t="s">
        <v>358</v>
      </c>
      <c r="F47" s="68" t="s">
        <v>15</v>
      </c>
      <c r="G47" s="68" t="s">
        <v>577</v>
      </c>
      <c r="H47" s="68" t="s">
        <v>272</v>
      </c>
      <c r="I47" s="71" t="s">
        <v>198</v>
      </c>
      <c r="J47" s="68" t="s">
        <v>49</v>
      </c>
      <c r="K47" s="234">
        <f>VLOOKUP($A47,订货1!$A47:$A288,1,0)</f>
        <v>730017</v>
      </c>
      <c r="L47" s="244" t="str">
        <f>VLOOKUP($A47,订货1!$A47:$G288,7,0)</f>
        <v>赛沛弗科技发展（浙江）有限公司</v>
      </c>
      <c r="M47" s="235" t="str">
        <f>VLOOKUP($A47,订货1!$A47:$B288,2,0)</f>
        <v>柏林沙拉（新）</v>
      </c>
      <c r="N47" s="171">
        <f t="shared" si="7"/>
        <v>0</v>
      </c>
      <c r="O47" s="49" t="str">
        <f>VLOOKUP($A47,订货1!$A47:$C288,3,0)</f>
        <v>冷蔵</v>
      </c>
      <c r="P47" s="44" t="str">
        <f>VLOOKUP($A47,订货1!$A47:$E288,5,0)</f>
        <v>0.6kg</v>
      </c>
      <c r="Q47" s="49" t="str">
        <f>VLOOKUP($A47,订货1!$A47:$F288,6,0)</f>
        <v>袋</v>
      </c>
      <c r="R47" s="167">
        <f t="shared" ca="1" si="1"/>
        <v>0</v>
      </c>
      <c r="S47" s="105" t="s">
        <v>404</v>
      </c>
      <c r="T47" s="85">
        <f ca="1">SUMIF(预估营业额3!$B$3:$B$39,"&gt;="&amp;$H$2,预估营业额3!$E$3:$E$39)-SUMIF(预估营业额3!$B$3:$B$39,"&gt;"&amp;N47,预估营业额3!$E$3:$E$39)</f>
        <v>-39.438000000000017</v>
      </c>
      <c r="U47" s="219">
        <v>0</v>
      </c>
      <c r="V47" s="168">
        <v>1</v>
      </c>
      <c r="W47" s="182">
        <f t="shared" ca="1" si="4"/>
        <v>0</v>
      </c>
      <c r="X47" s="214">
        <v>0</v>
      </c>
      <c r="Y47" s="62">
        <f t="shared" si="5"/>
        <v>0</v>
      </c>
      <c r="Z47" s="54"/>
      <c r="AA47" s="54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22"/>
      <c r="BG47" s="169" t="str">
        <f>VLOOKUP($A47,订货1!$A47:$I288,9,0)</f>
        <v>由厂商</v>
      </c>
      <c r="BH47" s="47" t="str">
        <f>VLOOKUP($A47,订货1!$A47:$H288,8,0)</f>
        <v>上海亚太国际蔬菜有限公司</v>
      </c>
    </row>
    <row r="48" spans="1:60" ht="15.75" hidden="1" customHeight="1">
      <c r="A48" s="67">
        <v>730016</v>
      </c>
      <c r="B48" s="68" t="s">
        <v>235</v>
      </c>
      <c r="C48" s="70" t="s">
        <v>176</v>
      </c>
      <c r="D48" s="68"/>
      <c r="E48" s="68" t="s">
        <v>204</v>
      </c>
      <c r="F48" s="68" t="s">
        <v>27</v>
      </c>
      <c r="G48" s="68" t="s">
        <v>272</v>
      </c>
      <c r="H48" s="68" t="s">
        <v>272</v>
      </c>
      <c r="I48" s="71" t="s">
        <v>198</v>
      </c>
      <c r="J48" s="68" t="s">
        <v>50</v>
      </c>
      <c r="K48" s="234">
        <f>VLOOKUP($A48,订货1!$A48:$A289,1,0)</f>
        <v>730016</v>
      </c>
      <c r="L48" s="244" t="str">
        <f>VLOOKUP($A48,订货1!$A48:$G289,7,0)</f>
        <v>上海亚太国际蔬菜有限公司</v>
      </c>
      <c r="M48" s="235" t="str">
        <f>VLOOKUP($A48,订货1!$A48:$B289,2,0)</f>
        <v>盒色拉</v>
      </c>
      <c r="N48" s="171">
        <f t="shared" si="7"/>
        <v>0</v>
      </c>
      <c r="O48" s="49" t="str">
        <f>VLOOKUP($A48,订货1!$A48:$C289,3,0)</f>
        <v>冷蔵</v>
      </c>
      <c r="P48" s="44" t="str">
        <f>VLOOKUP($A48,订货1!$A48:$E289,5,0)</f>
        <v>0.095kg</v>
      </c>
      <c r="Q48" s="49" t="str">
        <f>VLOOKUP($A48,订货1!$A48:$F289,6,0)</f>
        <v>盒</v>
      </c>
      <c r="R48" s="167">
        <f t="shared" ca="1" si="1"/>
        <v>0</v>
      </c>
      <c r="S48" s="105" t="s">
        <v>207</v>
      </c>
      <c r="T48" s="85">
        <f ca="1">SUMIF(预估营业额3!$B$3:$B$39,"&gt;="&amp;$H$2,预估营业额3!$E$3:$E$39)-SUMIF(预估营业额3!$B$3:$B$39,"&gt;"&amp;N48,预估营业额3!$E$3:$E$39)</f>
        <v>-39.438000000000017</v>
      </c>
      <c r="U48" s="219">
        <v>0</v>
      </c>
      <c r="V48" s="168">
        <v>1</v>
      </c>
      <c r="W48" s="182">
        <f t="shared" ca="1" si="4"/>
        <v>0</v>
      </c>
      <c r="X48" s="214"/>
      <c r="Y48" s="62">
        <f t="shared" si="5"/>
        <v>0</v>
      </c>
      <c r="Z48" s="54"/>
      <c r="AA48" s="54"/>
      <c r="AB48" s="222"/>
      <c r="AC48" s="222"/>
      <c r="AD48" s="222"/>
      <c r="AE48" s="222"/>
      <c r="AF48" s="222"/>
      <c r="AG48" s="222"/>
      <c r="AH48" s="222"/>
      <c r="AI48" s="222"/>
      <c r="AJ48" s="222"/>
      <c r="AK48" s="222"/>
      <c r="AL48" s="222"/>
      <c r="AM48" s="222"/>
      <c r="AN48" s="222"/>
      <c r="AO48" s="222"/>
      <c r="AP48" s="222"/>
      <c r="AQ48" s="222"/>
      <c r="AR48" s="222"/>
      <c r="AS48" s="222"/>
      <c r="AT48" s="222"/>
      <c r="AU48" s="222"/>
      <c r="AV48" s="222"/>
      <c r="AW48" s="222"/>
      <c r="AX48" s="222"/>
      <c r="AY48" s="222"/>
      <c r="AZ48" s="222"/>
      <c r="BA48" s="222"/>
      <c r="BB48" s="222"/>
      <c r="BC48" s="222"/>
      <c r="BD48" s="222"/>
      <c r="BE48" s="222"/>
      <c r="BF48" s="222"/>
      <c r="BG48" s="169" t="str">
        <f>VLOOKUP($A48,订货1!$A48:$I289,9,0)</f>
        <v>由厂商</v>
      </c>
      <c r="BH48" s="47" t="str">
        <f>VLOOKUP($A48,订货1!$A48:$H289,8,0)</f>
        <v>上海亚太国际蔬菜有限公司</v>
      </c>
    </row>
    <row r="49" spans="1:60" ht="15.75" hidden="1" customHeight="1">
      <c r="A49" s="67">
        <v>101135</v>
      </c>
      <c r="B49" s="68" t="s">
        <v>385</v>
      </c>
      <c r="C49" s="70" t="s">
        <v>174</v>
      </c>
      <c r="D49" s="68"/>
      <c r="E49" s="68" t="s">
        <v>247</v>
      </c>
      <c r="F49" s="68" t="s">
        <v>18</v>
      </c>
      <c r="G49" s="68" t="s">
        <v>114</v>
      </c>
      <c r="H49" s="68" t="s">
        <v>114</v>
      </c>
      <c r="I49" s="71" t="s">
        <v>197</v>
      </c>
      <c r="J49" s="68" t="s">
        <v>51</v>
      </c>
      <c r="K49" s="234">
        <f>VLOOKUP($A49,订货1!$A49:$A290,1,0)</f>
        <v>101135</v>
      </c>
      <c r="L49" s="244" t="str">
        <f>VLOOKUP($A49,订货1!$A49:$G290,7,0)</f>
        <v>娜米克食品（昆山）有限公司</v>
      </c>
      <c r="M49" s="235" t="str">
        <f>VLOOKUP($A49,订货1!$A49:$B290,2,0)</f>
        <v>披萨专用面团</v>
      </c>
      <c r="N49" s="72">
        <f t="shared" si="6"/>
        <v>45978</v>
      </c>
      <c r="O49" s="49" t="str">
        <f>VLOOKUP($A49,订货1!$A49:$C290,3,0)</f>
        <v>冷凍</v>
      </c>
      <c r="P49" s="44" t="str">
        <f>VLOOKUP($A49,订货1!$A49:$E290,5,0)</f>
        <v>210g*80</v>
      </c>
      <c r="Q49" s="49" t="str">
        <f>VLOOKUP($A49,订货1!$A49:$F290,6,0)</f>
        <v>箱</v>
      </c>
      <c r="R49" s="167">
        <f t="shared" ca="1" si="1"/>
        <v>0</v>
      </c>
      <c r="S49" s="105" t="s">
        <v>199</v>
      </c>
      <c r="T49" s="85">
        <f ca="1">SUMIF(预估营业额3!$B$3:$B$39,"&gt;="&amp;$H$2,预估营业额3!$E$3:$E$39)-SUMIF(预估营业额3!$B$3:$B$39,"&gt;"&amp;N49,预估营业额3!$E$3:$E$39)</f>
        <v>0</v>
      </c>
      <c r="U49" s="219">
        <v>0</v>
      </c>
      <c r="V49" s="168">
        <v>1.3</v>
      </c>
      <c r="W49" s="182">
        <f t="shared" ca="1" si="4"/>
        <v>0</v>
      </c>
      <c r="X49" s="214"/>
      <c r="Y49" s="62">
        <f t="shared" si="5"/>
        <v>0</v>
      </c>
      <c r="Z49" s="54"/>
      <c r="AA49" s="54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222"/>
      <c r="AP49" s="222"/>
      <c r="AQ49" s="222"/>
      <c r="AR49" s="222"/>
      <c r="AS49" s="222"/>
      <c r="AT49" s="222"/>
      <c r="AU49" s="222"/>
      <c r="AV49" s="222"/>
      <c r="AW49" s="222"/>
      <c r="AX49" s="222"/>
      <c r="AY49" s="222"/>
      <c r="AZ49" s="222"/>
      <c r="BA49" s="222"/>
      <c r="BB49" s="222"/>
      <c r="BC49" s="222"/>
      <c r="BD49" s="222"/>
      <c r="BE49" s="222"/>
      <c r="BF49" s="222"/>
      <c r="BG49" s="169" t="str">
        <f>VLOOKUP($A49,订货1!$A49:$I290,9,0)</f>
        <v>由仓库</v>
      </c>
      <c r="BH49" s="47" t="str">
        <f>VLOOKUP($A49,订货1!$A49:$H290,8,0)</f>
        <v>娜米克食品（昆山）有限公司</v>
      </c>
    </row>
    <row r="50" spans="1:60" ht="15.75" customHeight="1">
      <c r="A50" s="67">
        <v>101543</v>
      </c>
      <c r="B50" s="68" t="s">
        <v>233</v>
      </c>
      <c r="C50" s="70" t="s">
        <v>174</v>
      </c>
      <c r="D50" s="68"/>
      <c r="E50" s="68" t="s">
        <v>248</v>
      </c>
      <c r="F50" s="68" t="s">
        <v>18</v>
      </c>
      <c r="G50" s="68" t="s">
        <v>114</v>
      </c>
      <c r="H50" s="68" t="s">
        <v>114</v>
      </c>
      <c r="I50" s="71" t="s">
        <v>197</v>
      </c>
      <c r="J50" s="68" t="s">
        <v>52</v>
      </c>
      <c r="K50" s="234">
        <f>VLOOKUP($A50,订货1!$A50:$A291,1,0)</f>
        <v>101543</v>
      </c>
      <c r="L50" s="244" t="str">
        <f>VLOOKUP($A50,订货1!$A50:$G291,7,0)</f>
        <v>娜米克食品（昆山）有限公司</v>
      </c>
      <c r="M50" s="235" t="str">
        <f>VLOOKUP($A50,订货1!$A50:$B291,2,0)</f>
        <v>9寸实验饼底</v>
      </c>
      <c r="N50" s="72">
        <f t="shared" si="6"/>
        <v>45978</v>
      </c>
      <c r="O50" s="49" t="str">
        <f>VLOOKUP($A50,订货1!$A50:$C291,3,0)</f>
        <v>冷凍</v>
      </c>
      <c r="P50" s="44" t="str">
        <f>VLOOKUP($A50,订货1!$A50:$E291,5,0)</f>
        <v>160g*60</v>
      </c>
      <c r="Q50" s="49" t="str">
        <f>VLOOKUP($A50,订货1!$A50:$F291,6,0)</f>
        <v>箱</v>
      </c>
      <c r="R50" s="167">
        <f t="shared" ca="1" si="1"/>
        <v>0</v>
      </c>
      <c r="S50" s="228" t="s">
        <v>199</v>
      </c>
      <c r="T50" s="85">
        <f ca="1">SUMIF(预估营业额3!$B$3:$B$39,"&gt;="&amp;$H$2,预估营业额3!$E$3:$E$39)-SUMIF(预估营业额3!$B$3:$B$39,"&gt;"&amp;N50,预估营业额3!$E$3:$E$39)</f>
        <v>0</v>
      </c>
      <c r="U50" s="219"/>
      <c r="V50" s="168">
        <v>1.3</v>
      </c>
      <c r="W50" s="182">
        <f t="shared" ca="1" si="4"/>
        <v>0</v>
      </c>
      <c r="X50" s="214">
        <v>0</v>
      </c>
      <c r="Y50" s="62">
        <f t="shared" si="5"/>
        <v>0</v>
      </c>
      <c r="Z50" s="54"/>
      <c r="AA50" s="54"/>
      <c r="AB50" s="222"/>
      <c r="AC50" s="222"/>
      <c r="AD50" s="222"/>
      <c r="AE50" s="222"/>
      <c r="AF50" s="222"/>
      <c r="AG50" s="222"/>
      <c r="AH50" s="222"/>
      <c r="AI50" s="222"/>
      <c r="AJ50" s="222"/>
      <c r="AK50" s="222"/>
      <c r="AL50" s="222"/>
      <c r="AM50" s="222"/>
      <c r="AN50" s="222"/>
      <c r="AO50" s="222"/>
      <c r="AP50" s="222"/>
      <c r="AQ50" s="222"/>
      <c r="AR50" s="222"/>
      <c r="AS50" s="222"/>
      <c r="AT50" s="222"/>
      <c r="AU50" s="222"/>
      <c r="AV50" s="222"/>
      <c r="AW50" s="222"/>
      <c r="AX50" s="222"/>
      <c r="AY50" s="222"/>
      <c r="AZ50" s="222"/>
      <c r="BA50" s="222"/>
      <c r="BB50" s="222"/>
      <c r="BC50" s="222"/>
      <c r="BD50" s="222"/>
      <c r="BE50" s="222"/>
      <c r="BF50" s="222"/>
      <c r="BG50" s="169" t="str">
        <f>VLOOKUP($A50,订货1!$A50:$I291,9,0)</f>
        <v>由仓库</v>
      </c>
      <c r="BH50" s="47" t="str">
        <f>VLOOKUP($A50,订货1!$A50:$H291,8,0)</f>
        <v>娜米克食品（昆山）有限公司</v>
      </c>
    </row>
    <row r="51" spans="1:60" ht="15.75" customHeight="1">
      <c r="A51" s="255">
        <v>101746</v>
      </c>
      <c r="B51" s="256" t="s">
        <v>735</v>
      </c>
      <c r="C51" s="70" t="s">
        <v>176</v>
      </c>
      <c r="D51" s="68"/>
      <c r="E51" s="68" t="s">
        <v>751</v>
      </c>
      <c r="F51" s="68" t="s">
        <v>18</v>
      </c>
      <c r="G51" s="68" t="s">
        <v>502</v>
      </c>
      <c r="H51" s="68" t="s">
        <v>503</v>
      </c>
      <c r="I51" s="71" t="s">
        <v>197</v>
      </c>
      <c r="J51" s="68" t="s">
        <v>53</v>
      </c>
      <c r="K51" s="234">
        <f>VLOOKUP($A51,订货1!$A51:$A292,1,0)</f>
        <v>101746</v>
      </c>
      <c r="L51" s="244" t="str">
        <f>VLOOKUP($A51,订货1!$A51:$G292,7,0)</f>
        <v>上海妙可蓝多食品科技股份有限公司</v>
      </c>
      <c r="M51" s="235" t="str">
        <f>VLOOKUP($A51,订货1!$A51:$B292,2,0)</f>
        <v>稀奶油</v>
      </c>
      <c r="N51" s="72">
        <f t="shared" si="6"/>
        <v>45978</v>
      </c>
      <c r="O51" s="49" t="str">
        <f>VLOOKUP($A51,订货1!$A51:$C292,3,0)</f>
        <v>冷蔵</v>
      </c>
      <c r="P51" s="211" t="str">
        <f>VLOOKUP($A51,订货1!$A51:$E292,5,0)</f>
        <v>1L*12</v>
      </c>
      <c r="Q51" s="226" t="str">
        <f>VLOOKUP($A51,订货1!$A51:$F292,6,0)</f>
        <v>箱</v>
      </c>
      <c r="R51" s="167">
        <f t="shared" ca="1" si="1"/>
        <v>0</v>
      </c>
      <c r="S51" s="228" t="s">
        <v>199</v>
      </c>
      <c r="T51" s="85">
        <f ca="1">SUMIF(预估营业额3!$B$3:$B$39,"&gt;="&amp;$H$2,预估营业额3!$E$3:$E$39)-SUMIF(预估营业额3!$B$3:$B$39,"&gt;"&amp;N51,预估营业额3!$E$3:$E$39)</f>
        <v>0</v>
      </c>
      <c r="U51" s="219">
        <v>5.3086200890286359E-2</v>
      </c>
      <c r="V51" s="168">
        <v>1.1000000000000001</v>
      </c>
      <c r="W51" s="182">
        <f t="shared" ca="1" si="4"/>
        <v>0</v>
      </c>
      <c r="X51" s="214">
        <v>1.0833333333333333</v>
      </c>
      <c r="Y51" s="62">
        <f t="shared" si="5"/>
        <v>0</v>
      </c>
      <c r="Z51" s="54"/>
      <c r="AA51" s="54"/>
      <c r="AB51" s="222"/>
      <c r="AC51" s="222"/>
      <c r="AD51" s="222"/>
      <c r="AE51" s="222"/>
      <c r="AF51" s="222"/>
      <c r="AG51" s="222">
        <v>1</v>
      </c>
      <c r="AH51" s="222"/>
      <c r="AI51" s="222"/>
      <c r="AJ51" s="222"/>
      <c r="AK51" s="222"/>
      <c r="AL51" s="222"/>
      <c r="AM51" s="222"/>
      <c r="AN51" s="222"/>
      <c r="AO51" s="222"/>
      <c r="AP51" s="222"/>
      <c r="AQ51" s="222"/>
      <c r="AR51" s="222"/>
      <c r="AS51" s="222"/>
      <c r="AT51" s="222"/>
      <c r="AU51" s="222"/>
      <c r="AV51" s="222"/>
      <c r="AW51" s="222"/>
      <c r="AX51" s="222"/>
      <c r="AY51" s="222"/>
      <c r="AZ51" s="222"/>
      <c r="BA51" s="222"/>
      <c r="BB51" s="222"/>
      <c r="BC51" s="222"/>
      <c r="BD51" s="222"/>
      <c r="BE51" s="222"/>
      <c r="BF51" s="222"/>
      <c r="BG51" s="169" t="str">
        <f>VLOOKUP($A51,订货1!$A51:$I292,9,0)</f>
        <v>由仓库</v>
      </c>
      <c r="BH51" s="47" t="str">
        <f>VLOOKUP($A51,订货1!$A51:$H292,8,0)</f>
        <v>妙可蓝多（天津）食品科技有限公司</v>
      </c>
    </row>
    <row r="52" spans="1:60" ht="15.75" hidden="1" customHeight="1">
      <c r="A52" s="67">
        <v>101702</v>
      </c>
      <c r="B52" s="68" t="s">
        <v>491</v>
      </c>
      <c r="C52" s="69" t="s">
        <v>174</v>
      </c>
      <c r="D52" s="68"/>
      <c r="E52" s="68" t="s">
        <v>492</v>
      </c>
      <c r="F52" s="68" t="s">
        <v>18</v>
      </c>
      <c r="G52" s="68" t="s">
        <v>96</v>
      </c>
      <c r="H52" s="68" t="s">
        <v>415</v>
      </c>
      <c r="I52" s="71" t="s">
        <v>197</v>
      </c>
      <c r="J52" s="68" t="s">
        <v>54</v>
      </c>
      <c r="K52" s="236">
        <f>VLOOKUP($A52,订货1!$A52:$A293,1,0)</f>
        <v>101702</v>
      </c>
      <c r="L52" s="245" t="str">
        <f>VLOOKUP($A52,订货1!$A52:$G293,7,0)</f>
        <v>日冷食品贸易（上海）有限公司</v>
      </c>
      <c r="M52" s="237" t="str">
        <f>VLOOKUP($A52,订货1!$A52:$B293,2,0)</f>
        <v>茄汁千层面</v>
      </c>
      <c r="N52" s="72">
        <f t="shared" si="6"/>
        <v>45978</v>
      </c>
      <c r="O52" s="49" t="str">
        <f>VLOOKUP($A52,订货1!$A52:$C293,3,0)</f>
        <v>冷凍</v>
      </c>
      <c r="P52" s="44" t="str">
        <f>VLOOKUP($A52,订货1!$A52:$E293,5,0)</f>
        <v>0.1kg*64pc</v>
      </c>
      <c r="Q52" s="49" t="str">
        <f>VLOOKUP($A52,订货1!$A52:$F293,6,0)</f>
        <v>箱</v>
      </c>
      <c r="R52" s="167">
        <f t="shared" ca="1" si="1"/>
        <v>0</v>
      </c>
      <c r="S52" s="228" t="s">
        <v>199</v>
      </c>
      <c r="T52" s="85">
        <f ca="1">SUMIF(预估营业额3!$B$3:$B$39,"&gt;="&amp;$H$2,预估营业额3!$E$3:$E$39)-SUMIF(预估营业额3!$B$3:$B$39,"&gt;"&amp;N52,预估营业额3!$E$3:$E$39)</f>
        <v>0</v>
      </c>
      <c r="U52" s="219">
        <v>2.8830428158067627E-2</v>
      </c>
      <c r="V52" s="168">
        <v>1</v>
      </c>
      <c r="W52" s="182">
        <f t="shared" ca="1" si="4"/>
        <v>0</v>
      </c>
      <c r="X52" s="214">
        <v>0</v>
      </c>
      <c r="Y52" s="62">
        <f t="shared" si="5"/>
        <v>0</v>
      </c>
      <c r="Z52" s="54"/>
      <c r="AA52" s="54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222"/>
      <c r="AP52" s="222"/>
      <c r="AQ52" s="222"/>
      <c r="AR52" s="222"/>
      <c r="AS52" s="222"/>
      <c r="AT52" s="222"/>
      <c r="AU52" s="222"/>
      <c r="AV52" s="222"/>
      <c r="AW52" s="222"/>
      <c r="AX52" s="222"/>
      <c r="AY52" s="222"/>
      <c r="AZ52" s="222"/>
      <c r="BA52" s="222"/>
      <c r="BB52" s="222"/>
      <c r="BC52" s="222"/>
      <c r="BD52" s="222"/>
      <c r="BE52" s="222"/>
      <c r="BF52" s="222"/>
      <c r="BG52" s="169" t="str">
        <f>VLOOKUP($A52,订货1!$A52:$I293,9,0)</f>
        <v>由仓库</v>
      </c>
      <c r="BH52" s="47" t="str">
        <f>VLOOKUP($A52,订货1!$A52:$H293,8,0)</f>
        <v>锦州新和盛食品有限公司</v>
      </c>
    </row>
    <row r="53" spans="1:60" ht="15.75" customHeight="1">
      <c r="A53" s="173">
        <v>101595</v>
      </c>
      <c r="B53" s="68" t="s">
        <v>387</v>
      </c>
      <c r="C53" s="69" t="s">
        <v>174</v>
      </c>
      <c r="D53" s="68"/>
      <c r="E53" s="68" t="s">
        <v>136</v>
      </c>
      <c r="F53" s="68" t="s">
        <v>18</v>
      </c>
      <c r="G53" s="68" t="s">
        <v>100</v>
      </c>
      <c r="H53" s="68" t="s">
        <v>100</v>
      </c>
      <c r="I53" s="71" t="s">
        <v>197</v>
      </c>
      <c r="J53" s="68" t="s">
        <v>55</v>
      </c>
      <c r="K53" s="236">
        <f>VLOOKUP($A53,订货1!$A53:$A296,1,0)</f>
        <v>101595</v>
      </c>
      <c r="L53" s="245" t="str">
        <f>VLOOKUP($A53,订货1!$A53:$G296,7,0)</f>
        <v>嘉兴铃吉食品有限公司</v>
      </c>
      <c r="M53" s="237" t="str">
        <f>VLOOKUP($A53,订货1!$A53:$B296,2,0)</f>
        <v>罗勒松子酱</v>
      </c>
      <c r="N53" s="72">
        <f t="shared" si="6"/>
        <v>45978</v>
      </c>
      <c r="O53" s="49" t="str">
        <f>VLOOKUP($A53,订货1!$A53:$C296,3,0)</f>
        <v>冷凍</v>
      </c>
      <c r="P53" s="44" t="str">
        <f>VLOOKUP($A53,订货1!$A53:$E296,5,0)</f>
        <v>1kg*10pc</v>
      </c>
      <c r="Q53" s="49" t="str">
        <f>VLOOKUP($A53,订货1!$A53:$F296,6,0)</f>
        <v>箱</v>
      </c>
      <c r="R53" s="167">
        <f t="shared" ca="1" si="1"/>
        <v>0</v>
      </c>
      <c r="S53" s="228" t="s">
        <v>199</v>
      </c>
      <c r="T53" s="85">
        <f ca="1">SUMIF(预估营业额3!$B$3:$B$39,"&gt;="&amp;$H$2,预估营业额3!$E$3:$E$39)-SUMIF(预估营业额3!$B$3:$B$39,"&gt;"&amp;N53,预估营业额3!$E$3:$E$39)</f>
        <v>0</v>
      </c>
      <c r="U53" s="219">
        <v>2.1107368009057995E-2</v>
      </c>
      <c r="V53" s="168">
        <v>1</v>
      </c>
      <c r="W53" s="182">
        <f t="shared" ca="1" si="4"/>
        <v>0</v>
      </c>
      <c r="X53" s="214">
        <v>0.6</v>
      </c>
      <c r="Y53" s="62">
        <f t="shared" si="5"/>
        <v>0</v>
      </c>
      <c r="Z53" s="54"/>
      <c r="AA53" s="54"/>
      <c r="AB53" s="222"/>
      <c r="AC53" s="222"/>
      <c r="AD53" s="222"/>
      <c r="AE53" s="222"/>
      <c r="AF53" s="222"/>
      <c r="AG53" s="222">
        <v>1</v>
      </c>
      <c r="AH53" s="222"/>
      <c r="AI53" s="222"/>
      <c r="AJ53" s="222"/>
      <c r="AK53" s="222"/>
      <c r="AL53" s="222"/>
      <c r="AM53" s="222"/>
      <c r="AN53" s="222"/>
      <c r="AO53" s="222"/>
      <c r="AP53" s="222"/>
      <c r="AQ53" s="222"/>
      <c r="AR53" s="222"/>
      <c r="AS53" s="222"/>
      <c r="AT53" s="222"/>
      <c r="AU53" s="222"/>
      <c r="AV53" s="222"/>
      <c r="AW53" s="222"/>
      <c r="AX53" s="222"/>
      <c r="AY53" s="222"/>
      <c r="AZ53" s="222"/>
      <c r="BA53" s="222"/>
      <c r="BB53" s="222"/>
      <c r="BC53" s="222"/>
      <c r="BD53" s="222"/>
      <c r="BE53" s="222"/>
      <c r="BF53" s="222"/>
      <c r="BG53" s="169" t="str">
        <f>VLOOKUP($A53,订货1!$A53:$I296,9,0)</f>
        <v>由仓库</v>
      </c>
      <c r="BH53" s="47" t="str">
        <f>VLOOKUP($A53,订货1!$A53:$H296,8,0)</f>
        <v>嘉兴铃吉食品有限公司</v>
      </c>
    </row>
    <row r="54" spans="1:60" ht="15.75" customHeight="1">
      <c r="A54" s="67">
        <v>101700</v>
      </c>
      <c r="B54" s="68" t="s">
        <v>378</v>
      </c>
      <c r="C54" s="69" t="s">
        <v>175</v>
      </c>
      <c r="D54" s="68"/>
      <c r="E54" s="68" t="s">
        <v>241</v>
      </c>
      <c r="F54" s="68" t="s">
        <v>18</v>
      </c>
      <c r="G54" s="68" t="s">
        <v>115</v>
      </c>
      <c r="H54" s="68" t="s">
        <v>488</v>
      </c>
      <c r="I54" s="71" t="s">
        <v>197</v>
      </c>
      <c r="J54" s="68" t="s">
        <v>592</v>
      </c>
      <c r="K54" s="234">
        <f>VLOOKUP($A54,订货1!$A54:$A295,1,0)</f>
        <v>101700</v>
      </c>
      <c r="L54" s="244" t="str">
        <f>VLOOKUP($A54,订货1!$A54:$G295,7,0)</f>
        <v>上海潜深实业有限公司</v>
      </c>
      <c r="M54" s="235" t="str">
        <f>VLOOKUP($A54,订货1!$A54:$B295,2,0)</f>
        <v>白砂糖</v>
      </c>
      <c r="N54" s="225">
        <f t="shared" si="6"/>
        <v>45978</v>
      </c>
      <c r="O54" s="49" t="str">
        <f>VLOOKUP($A54,订货1!$A54:$C295,3,0)</f>
        <v>常温</v>
      </c>
      <c r="P54" s="44" t="str">
        <f>VLOOKUP($A54,订货1!$A54:$E295,5,0)</f>
        <v>1kg*20pc</v>
      </c>
      <c r="Q54" s="49" t="str">
        <f>VLOOKUP($A54,订货1!$A54:$F295,6,0)</f>
        <v>箱</v>
      </c>
      <c r="R54" s="167">
        <f t="shared" ca="1" si="1"/>
        <v>0</v>
      </c>
      <c r="S54" s="228" t="s">
        <v>199</v>
      </c>
      <c r="T54" s="85">
        <f ca="1">SUMIF(预估营业额3!$B$3:$B$39,"&gt;="&amp;$H$2,预估营业额3!$E$3:$E$39)-SUMIF(预估营业额3!$B$3:$B$39,"&gt;"&amp;N54,预估营业额3!$E$3:$E$39)</f>
        <v>0</v>
      </c>
      <c r="U54" s="219">
        <v>1.0483792057479135E-2</v>
      </c>
      <c r="V54" s="168">
        <v>1</v>
      </c>
      <c r="W54" s="182">
        <f t="shared" ca="1" si="4"/>
        <v>0</v>
      </c>
      <c r="X54" s="214">
        <v>0.8</v>
      </c>
      <c r="Y54" s="62">
        <f t="shared" si="5"/>
        <v>0</v>
      </c>
      <c r="Z54" s="54"/>
      <c r="AA54" s="54"/>
      <c r="AB54" s="222"/>
      <c r="AC54" s="222"/>
      <c r="AD54" s="222"/>
      <c r="AE54" s="222"/>
      <c r="AF54" s="222"/>
      <c r="AG54" s="222"/>
      <c r="AH54" s="222"/>
      <c r="AI54" s="222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2"/>
      <c r="AU54" s="222"/>
      <c r="AV54" s="222"/>
      <c r="AW54" s="222"/>
      <c r="AX54" s="222"/>
      <c r="AY54" s="222"/>
      <c r="AZ54" s="222"/>
      <c r="BA54" s="222"/>
      <c r="BB54" s="222"/>
      <c r="BC54" s="222"/>
      <c r="BD54" s="222"/>
      <c r="BE54" s="222"/>
      <c r="BF54" s="222"/>
      <c r="BG54" s="169" t="str">
        <f>VLOOKUP($A54,订货1!$A54:$I295,9,0)</f>
        <v>由仓库</v>
      </c>
      <c r="BH54" s="47" t="str">
        <f>VLOOKUP($A54,订货1!$A54:$H295,8,0)</f>
        <v>大丰英茂糖业有限公司</v>
      </c>
    </row>
    <row r="55" spans="1:60" ht="15.75" customHeight="1">
      <c r="A55" s="67">
        <v>101594</v>
      </c>
      <c r="B55" s="68" t="s">
        <v>386</v>
      </c>
      <c r="C55" s="70" t="s">
        <v>174</v>
      </c>
      <c r="D55" s="68"/>
      <c r="E55" s="68" t="s">
        <v>136</v>
      </c>
      <c r="F55" s="68" t="s">
        <v>18</v>
      </c>
      <c r="G55" s="68" t="s">
        <v>100</v>
      </c>
      <c r="H55" s="68" t="s">
        <v>100</v>
      </c>
      <c r="I55" s="71" t="s">
        <v>197</v>
      </c>
      <c r="J55" s="68" t="s">
        <v>56</v>
      </c>
      <c r="K55" s="236">
        <f>VLOOKUP($A55,订货1!$A55:$A296,1,0)</f>
        <v>101594</v>
      </c>
      <c r="L55" s="245" t="str">
        <f>VLOOKUP($A55,订货1!$A55:$G296,7,0)</f>
        <v>嘉兴铃吉食品有限公司</v>
      </c>
      <c r="M55" s="237" t="str">
        <f>VLOOKUP($A55,订货1!$A55:$B296,2,0)</f>
        <v>麻辣肉酱</v>
      </c>
      <c r="N55" s="72">
        <f t="shared" si="6"/>
        <v>45978</v>
      </c>
      <c r="O55" s="49" t="str">
        <f>VLOOKUP($A55,订货1!$A55:$C296,3,0)</f>
        <v>冷凍</v>
      </c>
      <c r="P55" s="44" t="str">
        <f>VLOOKUP($A55,订货1!$A55:$E296,5,0)</f>
        <v>1kg*10pc</v>
      </c>
      <c r="Q55" s="49" t="str">
        <f>VLOOKUP($A55,订货1!$A55:$F296,6,0)</f>
        <v>箱</v>
      </c>
      <c r="R55" s="167">
        <f t="shared" ca="1" si="1"/>
        <v>0</v>
      </c>
      <c r="S55" s="105" t="s">
        <v>199</v>
      </c>
      <c r="T55" s="85">
        <f ca="1">SUMIF(预估营业额3!$B$3:$B$39,"&gt;="&amp;$H$2,预估营业额3!$E$3:$E$39)-SUMIF(预估营业额3!$B$3:$B$39,"&gt;"&amp;N55,预估营业额3!$E$3:$E$39)</f>
        <v>0</v>
      </c>
      <c r="U55" s="219">
        <v>0.13740756790002656</v>
      </c>
      <c r="V55" s="168">
        <v>1</v>
      </c>
      <c r="W55" s="182">
        <f t="shared" ca="1" si="4"/>
        <v>0</v>
      </c>
      <c r="X55" s="214">
        <v>1</v>
      </c>
      <c r="Y55" s="62">
        <f t="shared" si="5"/>
        <v>0</v>
      </c>
      <c r="Z55" s="54"/>
      <c r="AA55" s="54"/>
      <c r="AB55" s="222"/>
      <c r="AC55" s="222"/>
      <c r="AD55" s="222"/>
      <c r="AE55" s="222"/>
      <c r="AF55" s="222">
        <v>1</v>
      </c>
      <c r="AG55" s="222"/>
      <c r="AH55" s="222"/>
      <c r="AI55" s="222">
        <v>1</v>
      </c>
      <c r="AJ55" s="222"/>
      <c r="AK55" s="222"/>
      <c r="AL55" s="222"/>
      <c r="AM55" s="222">
        <v>1</v>
      </c>
      <c r="AN55" s="222"/>
      <c r="AO55" s="222">
        <v>1</v>
      </c>
      <c r="AP55" s="222"/>
      <c r="AQ55" s="222"/>
      <c r="AR55" s="222"/>
      <c r="AS55" s="222"/>
      <c r="AT55" s="222"/>
      <c r="AU55" s="222"/>
      <c r="AV55" s="222"/>
      <c r="AW55" s="222"/>
      <c r="AX55" s="222"/>
      <c r="AY55" s="222"/>
      <c r="AZ55" s="222"/>
      <c r="BA55" s="222"/>
      <c r="BB55" s="222"/>
      <c r="BC55" s="222"/>
      <c r="BD55" s="222"/>
      <c r="BE55" s="222"/>
      <c r="BF55" s="222"/>
      <c r="BG55" s="169" t="str">
        <f>VLOOKUP($A55,订货1!$A55:$I296,9,0)</f>
        <v>由仓库</v>
      </c>
      <c r="BH55" s="47" t="str">
        <f>VLOOKUP($A55,订货1!$A55:$H296,8,0)</f>
        <v>嘉兴铃吉食品有限公司</v>
      </c>
    </row>
    <row r="56" spans="1:60" ht="15.75" customHeight="1">
      <c r="A56" s="67">
        <v>101642</v>
      </c>
      <c r="B56" s="68" t="s">
        <v>408</v>
      </c>
      <c r="C56" s="69" t="s">
        <v>175</v>
      </c>
      <c r="D56" s="68"/>
      <c r="E56" s="68" t="s">
        <v>838</v>
      </c>
      <c r="F56" s="68" t="s">
        <v>15</v>
      </c>
      <c r="G56" s="68" t="s">
        <v>105</v>
      </c>
      <c r="H56" s="68" t="s">
        <v>105</v>
      </c>
      <c r="I56" s="71" t="s">
        <v>197</v>
      </c>
      <c r="J56" s="68" t="s">
        <v>57</v>
      </c>
      <c r="K56" s="236">
        <f>VLOOKUP($A56,订货1!$A56:$A297,1,0)</f>
        <v>101642</v>
      </c>
      <c r="L56" s="245" t="str">
        <f>VLOOKUP($A56,订货1!$A56:$G297,7,0)</f>
        <v>上海亮珠米业有限公司</v>
      </c>
      <c r="M56" s="237" t="str">
        <f>VLOOKUP($A56,订货1!$A56:$B297,2,0)</f>
        <v>长粒香大米</v>
      </c>
      <c r="N56" s="72">
        <f t="shared" si="6"/>
        <v>45978</v>
      </c>
      <c r="O56" s="49" t="str">
        <f>VLOOKUP($A56,订货1!$A56:$C297,3,0)</f>
        <v>常温</v>
      </c>
      <c r="P56" s="44" t="str">
        <f>VLOOKUP($A56,订货1!$A56:$E297,5,0)</f>
        <v>1.1kg*10pc</v>
      </c>
      <c r="Q56" s="49" t="str">
        <f>VLOOKUP($A56,订货1!$A56:$F297,6,0)</f>
        <v>袋</v>
      </c>
      <c r="R56" s="167">
        <f t="shared" ca="1" si="1"/>
        <v>0</v>
      </c>
      <c r="S56" s="185" t="s">
        <v>828</v>
      </c>
      <c r="T56" s="85">
        <f ca="1">SUMIF(预估营业额3!$B$3:$B$39,"&gt;="&amp;$H$2,预估营业额3!$E$3:$E$39)-SUMIF(预估营业额3!$B$3:$B$39,"&gt;"&amp;N56,预估营业额3!$E$3:$E$39)</f>
        <v>0</v>
      </c>
      <c r="U56" s="219">
        <v>0</v>
      </c>
      <c r="V56" s="168">
        <v>1</v>
      </c>
      <c r="W56" s="182">
        <f t="shared" ca="1" si="4"/>
        <v>0</v>
      </c>
      <c r="X56" s="214">
        <v>0</v>
      </c>
      <c r="Y56" s="62">
        <f t="shared" si="5"/>
        <v>0</v>
      </c>
      <c r="Z56" s="54"/>
      <c r="AA56" s="54"/>
      <c r="AB56" s="222"/>
      <c r="AC56" s="222"/>
      <c r="AD56" s="222"/>
      <c r="AE56" s="222"/>
      <c r="AF56" s="222"/>
      <c r="AG56" s="222"/>
      <c r="AH56" s="222"/>
      <c r="AI56" s="222"/>
      <c r="AJ56" s="222"/>
      <c r="AK56" s="222"/>
      <c r="AL56" s="222"/>
      <c r="AM56" s="222"/>
      <c r="AN56" s="222"/>
      <c r="AO56" s="222"/>
      <c r="AP56" s="222"/>
      <c r="AQ56" s="222"/>
      <c r="AR56" s="222"/>
      <c r="AS56" s="222"/>
      <c r="AT56" s="222"/>
      <c r="AU56" s="222"/>
      <c r="AV56" s="222"/>
      <c r="AW56" s="222"/>
      <c r="AX56" s="222"/>
      <c r="AY56" s="222"/>
      <c r="AZ56" s="222"/>
      <c r="BA56" s="222"/>
      <c r="BB56" s="222"/>
      <c r="BC56" s="222"/>
      <c r="BD56" s="222"/>
      <c r="BE56" s="222"/>
      <c r="BF56" s="222"/>
      <c r="BG56" s="169" t="str">
        <f>VLOOKUP($A56,订货1!$A56:$I297,9,0)</f>
        <v>由仓库</v>
      </c>
      <c r="BH56" s="47" t="str">
        <f>VLOOKUP($A56,订货1!$A56:$H297,8,0)</f>
        <v>上海亮珠米业有限公司</v>
      </c>
    </row>
    <row r="57" spans="1:60" ht="15.75" customHeight="1">
      <c r="A57" s="67">
        <v>101015</v>
      </c>
      <c r="B57" s="68" t="s">
        <v>389</v>
      </c>
      <c r="C57" s="69" t="s">
        <v>174</v>
      </c>
      <c r="D57" s="68"/>
      <c r="E57" s="68" t="s">
        <v>136</v>
      </c>
      <c r="F57" s="68" t="s">
        <v>18</v>
      </c>
      <c r="G57" s="68" t="s">
        <v>101</v>
      </c>
      <c r="H57" s="68" t="s">
        <v>101</v>
      </c>
      <c r="I57" s="71" t="s">
        <v>197</v>
      </c>
      <c r="J57" s="68" t="s">
        <v>58</v>
      </c>
      <c r="K57" s="236">
        <f>VLOOKUP($A57,订货1!$A57:$A298,1,0)</f>
        <v>101015</v>
      </c>
      <c r="L57" s="245" t="str">
        <f>VLOOKUP($A57,订货1!$A57:$G298,7,0)</f>
        <v>丹东永明食品有限公司</v>
      </c>
      <c r="M57" s="237" t="str">
        <f>VLOOKUP($A57,订货1!$A57:$B298,2,0)</f>
        <v>冻鱿鱼圈</v>
      </c>
      <c r="N57" s="72">
        <f t="shared" si="6"/>
        <v>45978</v>
      </c>
      <c r="O57" s="49" t="str">
        <f>VLOOKUP($A57,订货1!$A57:$C298,3,0)</f>
        <v>冷凍</v>
      </c>
      <c r="P57" s="44" t="str">
        <f>VLOOKUP($A57,订货1!$A57:$E298,5,0)</f>
        <v>1kg*10pc</v>
      </c>
      <c r="Q57" s="49" t="str">
        <f>VLOOKUP($A57,订货1!$A57:$F298,6,0)</f>
        <v>箱</v>
      </c>
      <c r="R57" s="167">
        <f t="shared" ca="1" si="1"/>
        <v>0</v>
      </c>
      <c r="S57" s="105" t="s">
        <v>199</v>
      </c>
      <c r="T57" s="85">
        <f ca="1">SUMIF(预估营业额3!$B$3:$B$39,"&gt;="&amp;$H$2,预估营业额3!$E$3:$E$39)-SUMIF(预估营业额3!$B$3:$B$39,"&gt;"&amp;N57,预估营业额3!$E$3:$E$39)</f>
        <v>0</v>
      </c>
      <c r="U57" s="219">
        <v>6.0246858356980112E-2</v>
      </c>
      <c r="V57" s="168">
        <v>1</v>
      </c>
      <c r="W57" s="182">
        <f t="shared" ca="1" si="4"/>
        <v>0</v>
      </c>
      <c r="X57" s="214">
        <v>1</v>
      </c>
      <c r="Y57" s="62">
        <f t="shared" si="5"/>
        <v>0</v>
      </c>
      <c r="Z57" s="54"/>
      <c r="AA57" s="54"/>
      <c r="AB57" s="222"/>
      <c r="AC57" s="222"/>
      <c r="AD57" s="222"/>
      <c r="AE57" s="222"/>
      <c r="AF57" s="222"/>
      <c r="AG57" s="222"/>
      <c r="AH57" s="222"/>
      <c r="AI57" s="222"/>
      <c r="AJ57" s="222"/>
      <c r="AK57" s="222"/>
      <c r="AL57" s="222"/>
      <c r="AM57" s="222">
        <v>1</v>
      </c>
      <c r="AN57" s="222"/>
      <c r="AO57" s="222"/>
      <c r="AP57" s="222"/>
      <c r="AQ57" s="222"/>
      <c r="AR57" s="222"/>
      <c r="AS57" s="222"/>
      <c r="AT57" s="222"/>
      <c r="AU57" s="222"/>
      <c r="AV57" s="222"/>
      <c r="AW57" s="222"/>
      <c r="AX57" s="222"/>
      <c r="AY57" s="222"/>
      <c r="AZ57" s="222"/>
      <c r="BA57" s="222"/>
      <c r="BB57" s="222"/>
      <c r="BC57" s="222"/>
      <c r="BD57" s="222"/>
      <c r="BE57" s="222"/>
      <c r="BF57" s="222"/>
      <c r="BG57" s="169" t="str">
        <f>VLOOKUP($A57,订货1!$A57:$I298,9,0)</f>
        <v>由仓库</v>
      </c>
      <c r="BH57" s="47" t="str">
        <f>VLOOKUP($A57,订货1!$A57:$H298,8,0)</f>
        <v>丹东永明食品有限公司</v>
      </c>
    </row>
    <row r="58" spans="1:60" ht="15.75" customHeight="1">
      <c r="A58" s="67">
        <v>101040</v>
      </c>
      <c r="B58" s="68" t="s">
        <v>390</v>
      </c>
      <c r="C58" s="70" t="s">
        <v>174</v>
      </c>
      <c r="D58" s="68"/>
      <c r="E58" s="68" t="s">
        <v>249</v>
      </c>
      <c r="F58" s="68" t="s">
        <v>18</v>
      </c>
      <c r="G58" s="68" t="s">
        <v>101</v>
      </c>
      <c r="H58" s="68" t="s">
        <v>101</v>
      </c>
      <c r="I58" s="71" t="s">
        <v>197</v>
      </c>
      <c r="J58" s="68" t="s">
        <v>59</v>
      </c>
      <c r="K58" s="236">
        <f>VLOOKUP($A58,订货1!$A58:$A299,1,0)</f>
        <v>101040</v>
      </c>
      <c r="L58" s="245" t="str">
        <f>VLOOKUP($A58,订货1!$A58:$G299,7,0)</f>
        <v>丹东永明食品有限公司</v>
      </c>
      <c r="M58" s="237" t="str">
        <f>VLOOKUP($A58,订货1!$A58:$B299,2,0)</f>
        <v>冻煮杂色蛤</v>
      </c>
      <c r="N58" s="72">
        <f t="shared" si="6"/>
        <v>45978</v>
      </c>
      <c r="O58" s="49" t="str">
        <f>VLOOKUP($A58,订货1!$A58:$C299,3,0)</f>
        <v>冷凍</v>
      </c>
      <c r="P58" s="44" t="str">
        <f>VLOOKUP($A58,订货1!$A58:$E299,5,0)</f>
        <v>96g*50pc</v>
      </c>
      <c r="Q58" s="49" t="str">
        <f>VLOOKUP($A58,订货1!$A58:$F299,6,0)</f>
        <v>箱</v>
      </c>
      <c r="R58" s="167">
        <f t="shared" ca="1" si="1"/>
        <v>0</v>
      </c>
      <c r="S58" s="105" t="s">
        <v>199</v>
      </c>
      <c r="T58" s="85">
        <f ca="1">SUMIF(预估营业额3!$B$3:$B$39,"&gt;="&amp;$H$2,预估营业额3!$E$3:$E$39)-SUMIF(预估营业额3!$B$3:$B$39,"&gt;"&amp;N58,预估营业额3!$E$3:$E$39)</f>
        <v>0</v>
      </c>
      <c r="U58" s="219">
        <v>0.45</v>
      </c>
      <c r="V58" s="168">
        <v>1</v>
      </c>
      <c r="W58" s="182">
        <f t="shared" ca="1" si="4"/>
        <v>0</v>
      </c>
      <c r="X58" s="214">
        <v>2</v>
      </c>
      <c r="Y58" s="62">
        <f t="shared" si="5"/>
        <v>2</v>
      </c>
      <c r="Z58" s="54">
        <v>2</v>
      </c>
      <c r="AA58" s="54"/>
      <c r="AB58" s="222"/>
      <c r="AC58" s="222">
        <v>2</v>
      </c>
      <c r="AD58" s="222"/>
      <c r="AE58" s="222">
        <v>1</v>
      </c>
      <c r="AF58" s="222">
        <v>2</v>
      </c>
      <c r="AG58" s="222">
        <v>2</v>
      </c>
      <c r="AH58" s="222">
        <v>1</v>
      </c>
      <c r="AI58" s="222">
        <v>1</v>
      </c>
      <c r="AJ58" s="222">
        <v>1</v>
      </c>
      <c r="AK58" s="222"/>
      <c r="AL58" s="222"/>
      <c r="AM58" s="222">
        <v>2</v>
      </c>
      <c r="AN58" s="222">
        <v>2</v>
      </c>
      <c r="AO58" s="222"/>
      <c r="AP58" s="222"/>
      <c r="AQ58" s="222"/>
      <c r="AR58" s="222"/>
      <c r="AS58" s="222"/>
      <c r="AT58" s="222"/>
      <c r="AU58" s="222"/>
      <c r="AV58" s="222"/>
      <c r="AW58" s="222"/>
      <c r="AX58" s="222"/>
      <c r="AY58" s="222"/>
      <c r="AZ58" s="222"/>
      <c r="BA58" s="222"/>
      <c r="BB58" s="222"/>
      <c r="BC58" s="222"/>
      <c r="BD58" s="222"/>
      <c r="BE58" s="222"/>
      <c r="BF58" s="222"/>
      <c r="BG58" s="169" t="str">
        <f>VLOOKUP($A58,订货1!$A58:$I299,9,0)</f>
        <v>由仓库</v>
      </c>
      <c r="BH58" s="47" t="str">
        <f>VLOOKUP($A58,订货1!$A58:$H299,8,0)</f>
        <v>丹东永明食品有限公司</v>
      </c>
    </row>
    <row r="59" spans="1:60" ht="15.75" customHeight="1">
      <c r="A59" s="173">
        <v>101726</v>
      </c>
      <c r="B59" s="172" t="s">
        <v>546</v>
      </c>
      <c r="C59" s="69" t="s">
        <v>175</v>
      </c>
      <c r="D59" s="68"/>
      <c r="E59" s="68" t="s">
        <v>547</v>
      </c>
      <c r="F59" s="68" t="s">
        <v>18</v>
      </c>
      <c r="G59" s="68" t="s">
        <v>417</v>
      </c>
      <c r="H59" s="68" t="s">
        <v>548</v>
      </c>
      <c r="I59" s="71" t="s">
        <v>197</v>
      </c>
      <c r="J59" s="68" t="s">
        <v>593</v>
      </c>
      <c r="K59" s="234">
        <f>VLOOKUP($A59,订货1!$A59:$A300,1,0)</f>
        <v>101726</v>
      </c>
      <c r="L59" s="244" t="str">
        <f>VLOOKUP($A59,订货1!$A59:$G300,7,0)</f>
        <v>熠沣实业（上海）有限公司</v>
      </c>
      <c r="M59" s="235" t="str">
        <f>VLOOKUP($A59,订货1!$A59:$B300,2,0)</f>
        <v>辣泡椒</v>
      </c>
      <c r="N59" s="72">
        <f t="shared" si="6"/>
        <v>45978</v>
      </c>
      <c r="O59" s="49" t="str">
        <f>VLOOKUP($A59,订货1!$A59:$C300,3,0)</f>
        <v>常温</v>
      </c>
      <c r="P59" s="44" t="str">
        <f>VLOOKUP($A59,订货1!$A59:$E300,5,0)</f>
        <v>0.5kg*30pc</v>
      </c>
      <c r="Q59" s="49" t="str">
        <f>VLOOKUP($A59,订货1!$A59:$F300,6,0)</f>
        <v>箱</v>
      </c>
      <c r="R59" s="167">
        <f t="shared" ca="1" si="1"/>
        <v>0</v>
      </c>
      <c r="S59" s="228" t="s">
        <v>199</v>
      </c>
      <c r="T59" s="85">
        <f ca="1">SUMIF(预估营业额3!$B$3:$B$39,"&gt;="&amp;$H$2,预估营业额3!$E$3:$E$39)-SUMIF(预估营业额3!$B$3:$B$39,"&gt;"&amp;N59,预估营业额3!$E$3:$E$39)</f>
        <v>0</v>
      </c>
      <c r="U59" s="219">
        <v>1.7938933076130967E-2</v>
      </c>
      <c r="V59" s="168">
        <v>1</v>
      </c>
      <c r="W59" s="182">
        <f t="shared" ca="1" si="4"/>
        <v>0</v>
      </c>
      <c r="X59" s="214">
        <v>1</v>
      </c>
      <c r="Y59" s="62">
        <f t="shared" si="5"/>
        <v>0</v>
      </c>
      <c r="Z59" s="54"/>
      <c r="AA59" s="54"/>
      <c r="AB59" s="222"/>
      <c r="AC59" s="222"/>
      <c r="AD59" s="222"/>
      <c r="AE59" s="222"/>
      <c r="AF59" s="222"/>
      <c r="AG59" s="222"/>
      <c r="AH59" s="222"/>
      <c r="AI59" s="222"/>
      <c r="AJ59" s="222"/>
      <c r="AK59" s="222"/>
      <c r="AL59" s="222"/>
      <c r="AM59" s="222">
        <v>1</v>
      </c>
      <c r="AN59" s="222"/>
      <c r="AO59" s="222"/>
      <c r="AP59" s="222"/>
      <c r="AQ59" s="222"/>
      <c r="AR59" s="222"/>
      <c r="AS59" s="222"/>
      <c r="AT59" s="222"/>
      <c r="AU59" s="222"/>
      <c r="AV59" s="222"/>
      <c r="AW59" s="222"/>
      <c r="AX59" s="222"/>
      <c r="AY59" s="222"/>
      <c r="AZ59" s="222"/>
      <c r="BA59" s="222"/>
      <c r="BB59" s="222"/>
      <c r="BC59" s="222"/>
      <c r="BD59" s="222"/>
      <c r="BE59" s="222"/>
      <c r="BF59" s="222"/>
      <c r="BG59" s="169" t="str">
        <f>VLOOKUP($A59,订货1!$A59:$I300,9,0)</f>
        <v>由仓库</v>
      </c>
      <c r="BH59" s="47" t="str">
        <f>VLOOKUP($A59,订货1!$A59:$H300,8,0)</f>
        <v>贵州省贵三红食品有限公司</v>
      </c>
    </row>
    <row r="60" spans="1:60" ht="15.75" customHeight="1">
      <c r="A60" s="173">
        <v>101590</v>
      </c>
      <c r="B60" s="68" t="s">
        <v>328</v>
      </c>
      <c r="C60" s="69" t="s">
        <v>175</v>
      </c>
      <c r="D60" s="68"/>
      <c r="E60" s="68" t="s">
        <v>329</v>
      </c>
      <c r="F60" s="68" t="s">
        <v>18</v>
      </c>
      <c r="G60" s="68" t="s">
        <v>108</v>
      </c>
      <c r="H60" s="68" t="s">
        <v>330</v>
      </c>
      <c r="I60" s="71" t="s">
        <v>197</v>
      </c>
      <c r="J60" s="68" t="s">
        <v>60</v>
      </c>
      <c r="K60" s="236">
        <f>VLOOKUP($A60,订货1!$A60:$A301,1,0)</f>
        <v>101590</v>
      </c>
      <c r="L60" s="245" t="str">
        <f>VLOOKUP($A60,订货1!$A60:$G301,7,0)</f>
        <v>承武贸易（上海）有限公司</v>
      </c>
      <c r="M60" s="237" t="str">
        <f>VLOOKUP($A60,订货1!$A60:$B301,2,0)</f>
        <v>金牌巴西甜橙（糖浆）</v>
      </c>
      <c r="N60" s="72">
        <f t="shared" si="6"/>
        <v>45978</v>
      </c>
      <c r="O60" s="49" t="str">
        <f>VLOOKUP($A60,订货1!$A60:$C301,3,0)</f>
        <v>常温</v>
      </c>
      <c r="P60" s="44" t="str">
        <f>VLOOKUP($A60,订货1!$A60:$E301,5,0)</f>
        <v>5kg*4pc</v>
      </c>
      <c r="Q60" s="49" t="str">
        <f>VLOOKUP($A60,订货1!$A60:$F301,6,0)</f>
        <v>箱</v>
      </c>
      <c r="R60" s="167">
        <f t="shared" ca="1" si="1"/>
        <v>0</v>
      </c>
      <c r="S60" s="228" t="s">
        <v>404</v>
      </c>
      <c r="T60" s="85">
        <f ca="1">SUMIF(预估营业额3!$B$3:$B$39,"&gt;="&amp;$H$2,预估营业额3!$E$3:$E$39)-SUMIF(预估营业额3!$B$3:$B$39,"&gt;"&amp;N60,预估营业额3!$E$3:$E$39)</f>
        <v>0</v>
      </c>
      <c r="U60" s="219">
        <v>2.7257859349445759E-2</v>
      </c>
      <c r="V60" s="168">
        <v>1</v>
      </c>
      <c r="W60" s="182">
        <f t="shared" ca="1" si="4"/>
        <v>0</v>
      </c>
      <c r="X60" s="214">
        <v>0.5</v>
      </c>
      <c r="Y60" s="62">
        <f t="shared" si="5"/>
        <v>0</v>
      </c>
      <c r="Z60" s="54"/>
      <c r="AA60" s="54"/>
      <c r="AB60" s="222"/>
      <c r="AC60" s="222"/>
      <c r="AD60" s="222"/>
      <c r="AE60" s="222"/>
      <c r="AF60" s="222"/>
      <c r="AG60" s="222"/>
      <c r="AH60" s="222"/>
      <c r="AI60" s="222"/>
      <c r="AJ60" s="222">
        <v>1</v>
      </c>
      <c r="AK60" s="222"/>
      <c r="AL60" s="222"/>
      <c r="AM60" s="222"/>
      <c r="AN60" s="222"/>
      <c r="AO60" s="222"/>
      <c r="AP60" s="222"/>
      <c r="AQ60" s="222"/>
      <c r="AR60" s="222"/>
      <c r="AS60" s="222"/>
      <c r="AT60" s="222"/>
      <c r="AU60" s="222"/>
      <c r="AV60" s="222"/>
      <c r="AW60" s="222"/>
      <c r="AX60" s="222"/>
      <c r="AY60" s="222"/>
      <c r="AZ60" s="222"/>
      <c r="BA60" s="222"/>
      <c r="BB60" s="222"/>
      <c r="BC60" s="222"/>
      <c r="BD60" s="222"/>
      <c r="BE60" s="222"/>
      <c r="BF60" s="222"/>
      <c r="BG60" s="169" t="str">
        <f>VLOOKUP($A60,订货1!$A60:$I301,9,0)</f>
        <v>由仓库</v>
      </c>
      <c r="BH60" s="47" t="str">
        <f>VLOOKUP($A60,订货1!$A60:$H301,8,0)</f>
        <v>山东泰乐源农业科技有限公司</v>
      </c>
    </row>
    <row r="61" spans="1:60" ht="15.75" customHeight="1">
      <c r="A61" s="300">
        <v>101767</v>
      </c>
      <c r="B61" s="301" t="s">
        <v>811</v>
      </c>
      <c r="C61" s="303" t="s">
        <v>174</v>
      </c>
      <c r="D61" s="301"/>
      <c r="E61" s="304" t="s">
        <v>814</v>
      </c>
      <c r="F61" s="301" t="s">
        <v>18</v>
      </c>
      <c r="G61" s="301" t="s">
        <v>107</v>
      </c>
      <c r="H61" s="301" t="s">
        <v>812</v>
      </c>
      <c r="I61" s="71" t="s">
        <v>197</v>
      </c>
      <c r="J61" s="68" t="s">
        <v>61</v>
      </c>
      <c r="K61" s="275">
        <f>VLOOKUP($A61,订货1!$A61:$A302,1,0)</f>
        <v>101767</v>
      </c>
      <c r="L61" s="276" t="str">
        <f>VLOOKUP($A61,订货1!$A61:$G302,7,0)</f>
        <v>福建圣农食品有限公司</v>
      </c>
      <c r="M61" s="277" t="str">
        <f>VLOOKUP($A61,订货1!$A61:$B302,2,0)</f>
        <v>薄脆茄红烤翅</v>
      </c>
      <c r="N61" s="289">
        <f t="shared" si="6"/>
        <v>45978</v>
      </c>
      <c r="O61" s="290" t="str">
        <f>VLOOKUP($A61,订货1!$A61:$C302,3,0)</f>
        <v>冷凍</v>
      </c>
      <c r="P61" s="291" t="str">
        <f>VLOOKUP($A61,订货1!$A61:$E302,5,0)</f>
        <v>1kg*12pc</v>
      </c>
      <c r="Q61" s="290" t="str">
        <f>VLOOKUP($A61,订货1!$A61:$F302,6,0)</f>
        <v>箱</v>
      </c>
      <c r="R61" s="295">
        <f t="shared" ca="1" si="1"/>
        <v>0</v>
      </c>
      <c r="S61" s="260" t="s">
        <v>207</v>
      </c>
      <c r="T61" s="85">
        <f ca="1">SUMIF(预估营业额3!$B$3:$B$39,"&gt;="&amp;$H$2,预估营业额3!$E$3:$E$39)-SUMIF(预估营业额3!$B$3:$B$39,"&gt;"&amp;N61,预估营业额3!$E$3:$E$39)</f>
        <v>0</v>
      </c>
      <c r="U61" s="219">
        <v>0</v>
      </c>
      <c r="V61" s="168">
        <v>1.1000000000000001</v>
      </c>
      <c r="W61" s="182">
        <f t="shared" ca="1" si="4"/>
        <v>0</v>
      </c>
      <c r="X61" s="214">
        <v>0</v>
      </c>
      <c r="Y61" s="62">
        <f t="shared" si="5"/>
        <v>0</v>
      </c>
      <c r="Z61" s="54"/>
      <c r="AA61" s="54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222"/>
      <c r="AP61" s="222"/>
      <c r="AQ61" s="222"/>
      <c r="AR61" s="222"/>
      <c r="AS61" s="222"/>
      <c r="AT61" s="222"/>
      <c r="AU61" s="222"/>
      <c r="AV61" s="222"/>
      <c r="AW61" s="222"/>
      <c r="AX61" s="222"/>
      <c r="AY61" s="222"/>
      <c r="AZ61" s="222"/>
      <c r="BA61" s="222"/>
      <c r="BB61" s="222"/>
      <c r="BC61" s="222"/>
      <c r="BD61" s="222"/>
      <c r="BE61" s="222"/>
      <c r="BF61" s="222"/>
      <c r="BG61" s="169" t="str">
        <f>VLOOKUP($A61,订货1!$A61:$I302,9,0)</f>
        <v>由仓库</v>
      </c>
      <c r="BH61" s="47" t="str">
        <f>VLOOKUP($A61,订货1!$A61:$H302,8,0)</f>
        <v>福建圣农食品(浦城)有限公司</v>
      </c>
    </row>
    <row r="62" spans="1:60" ht="15.75" customHeight="1">
      <c r="A62" s="67">
        <v>101635</v>
      </c>
      <c r="B62" s="68" t="s">
        <v>400</v>
      </c>
      <c r="C62" s="70" t="s">
        <v>175</v>
      </c>
      <c r="D62" s="68"/>
      <c r="E62" s="68" t="s">
        <v>813</v>
      </c>
      <c r="F62" s="68" t="s">
        <v>18</v>
      </c>
      <c r="G62" s="68" t="s">
        <v>513</v>
      </c>
      <c r="H62" s="68" t="s">
        <v>271</v>
      </c>
      <c r="I62" s="71" t="s">
        <v>197</v>
      </c>
      <c r="J62" s="68" t="s">
        <v>62</v>
      </c>
      <c r="K62" s="236">
        <f>VLOOKUP($A62,订货1!$A62:$A303,1,0)</f>
        <v>101635</v>
      </c>
      <c r="L62" s="245" t="str">
        <f>VLOOKUP($A62,订货1!$A62:$G303,7,0)</f>
        <v>曼可顿（上海）实业有限公司</v>
      </c>
      <c r="M62" s="237" t="str">
        <f>VLOOKUP($A62,订货1!$A62:$B303,2,0)</f>
        <v>萨莉亚冷冻小法棍600g</v>
      </c>
      <c r="N62" s="72">
        <f t="shared" si="6"/>
        <v>45978</v>
      </c>
      <c r="O62" s="49" t="str">
        <f>VLOOKUP($A62,订货1!$A62:$C303,3,0)</f>
        <v>常温</v>
      </c>
      <c r="P62" s="44" t="str">
        <f>VLOOKUP($A62,订货1!$A62:$E303,5,0)</f>
        <v>0.6kg*6pkt</v>
      </c>
      <c r="Q62" s="49" t="str">
        <f>VLOOKUP($A62,订货1!$A62:$F303,6,0)</f>
        <v>箱</v>
      </c>
      <c r="R62" s="167">
        <f t="shared" ca="1" si="1"/>
        <v>0</v>
      </c>
      <c r="S62" s="105" t="s">
        <v>199</v>
      </c>
      <c r="T62" s="85">
        <f ca="1">SUMIF(预估营业额3!$B$3:$B$39,"&gt;="&amp;$H$2,预估营业额3!$E$3:$E$39)-SUMIF(预估营业额3!$B$3:$B$39,"&gt;"&amp;N62,预估营业额3!$E$3:$E$39)</f>
        <v>0</v>
      </c>
      <c r="U62" s="219">
        <v>0.4582581994902547</v>
      </c>
      <c r="V62" s="168">
        <v>1</v>
      </c>
      <c r="W62" s="182">
        <f t="shared" ca="1" si="4"/>
        <v>0</v>
      </c>
      <c r="X62" s="214">
        <v>2</v>
      </c>
      <c r="Y62" s="62">
        <f t="shared" si="5"/>
        <v>1</v>
      </c>
      <c r="Z62" s="54">
        <v>1</v>
      </c>
      <c r="AA62" s="54"/>
      <c r="AB62" s="222"/>
      <c r="AC62" s="222">
        <v>2</v>
      </c>
      <c r="AD62" s="222"/>
      <c r="AE62" s="222">
        <v>2</v>
      </c>
      <c r="AF62" s="222">
        <v>1</v>
      </c>
      <c r="AG62" s="222">
        <v>2</v>
      </c>
      <c r="AH62" s="222"/>
      <c r="AI62" s="222">
        <v>2</v>
      </c>
      <c r="AJ62" s="222">
        <v>1</v>
      </c>
      <c r="AK62" s="222"/>
      <c r="AL62" s="222"/>
      <c r="AM62" s="222">
        <v>3</v>
      </c>
      <c r="AN62" s="222">
        <v>1</v>
      </c>
      <c r="AO62" s="222">
        <v>1</v>
      </c>
      <c r="AP62" s="222"/>
      <c r="AQ62" s="222"/>
      <c r="AR62" s="222"/>
      <c r="AS62" s="222"/>
      <c r="AT62" s="222"/>
      <c r="AU62" s="222"/>
      <c r="AV62" s="222"/>
      <c r="AW62" s="222"/>
      <c r="AX62" s="222"/>
      <c r="AY62" s="222"/>
      <c r="AZ62" s="222"/>
      <c r="BA62" s="222"/>
      <c r="BB62" s="222"/>
      <c r="BC62" s="222"/>
      <c r="BD62" s="222"/>
      <c r="BE62" s="222"/>
      <c r="BF62" s="222"/>
      <c r="BG62" s="169" t="str">
        <f>VLOOKUP($A62,订货1!$A62:$I303,9,0)</f>
        <v>由仓库</v>
      </c>
      <c r="BH62" s="47" t="str">
        <f>VLOOKUP($A62,订货1!$A62:$H303,8,0)</f>
        <v>曼可顿食品（上海）有限公司</v>
      </c>
    </row>
    <row r="63" spans="1:60" ht="15.75" customHeight="1">
      <c r="A63" s="67">
        <v>101266</v>
      </c>
      <c r="B63" s="68" t="s">
        <v>134</v>
      </c>
      <c r="C63" s="70" t="s">
        <v>175</v>
      </c>
      <c r="D63" s="68"/>
      <c r="E63" s="68" t="s">
        <v>243</v>
      </c>
      <c r="F63" s="68" t="s">
        <v>18</v>
      </c>
      <c r="G63" s="68" t="s">
        <v>117</v>
      </c>
      <c r="H63" s="68" t="s">
        <v>166</v>
      </c>
      <c r="I63" s="71" t="s">
        <v>197</v>
      </c>
      <c r="J63" s="68" t="s">
        <v>63</v>
      </c>
      <c r="K63" s="236">
        <f>VLOOKUP($A63,订货1!$A63:$A304,1,0)</f>
        <v>101266</v>
      </c>
      <c r="L63" s="245" t="str">
        <f>VLOOKUP($A63,订货1!$A63:$G304,7,0)</f>
        <v>辣西西里（北京）国际贸易有限公司</v>
      </c>
      <c r="M63" s="237" t="str">
        <f>VLOOKUP($A63,订货1!$A63:$B304,2,0)</f>
        <v>辣西西里5#直条形意大利面</v>
      </c>
      <c r="N63" s="72">
        <f t="shared" si="6"/>
        <v>45978</v>
      </c>
      <c r="O63" s="49" t="str">
        <f>VLOOKUP($A63,订货1!$A63:$C304,3,0)</f>
        <v>常温</v>
      </c>
      <c r="P63" s="44" t="str">
        <f>VLOOKUP($A63,订货1!$A63:$E304,5,0)</f>
        <v>3kg*4pc</v>
      </c>
      <c r="Q63" s="49" t="str">
        <f>VLOOKUP($A63,订货1!$A63:$F304,6,0)</f>
        <v>箱</v>
      </c>
      <c r="R63" s="167">
        <f t="shared" ca="1" si="1"/>
        <v>0</v>
      </c>
      <c r="S63" s="185" t="s">
        <v>831</v>
      </c>
      <c r="T63" s="85">
        <f ca="1">SUMIF(预估营业额3!$B$3:$B$39,"&gt;="&amp;$H$2,预估营业额3!$E$3:$E$39)-SUMIF(预估营业额3!$B$3:$B$39,"&gt;"&amp;N63,预估营业额3!$E$3:$E$39)</f>
        <v>0</v>
      </c>
      <c r="U63" s="219">
        <v>0.81505658917979473</v>
      </c>
      <c r="V63" s="168">
        <v>1.1000000000000001</v>
      </c>
      <c r="W63" s="182">
        <f t="shared" ca="1" si="4"/>
        <v>0</v>
      </c>
      <c r="X63" s="214">
        <v>2</v>
      </c>
      <c r="Y63" s="62">
        <f t="shared" si="5"/>
        <v>3</v>
      </c>
      <c r="Z63" s="54">
        <v>3</v>
      </c>
      <c r="AA63" s="54"/>
      <c r="AB63" s="222">
        <v>1</v>
      </c>
      <c r="AC63" s="222">
        <v>2</v>
      </c>
      <c r="AD63" s="222"/>
      <c r="AE63" s="222">
        <v>3</v>
      </c>
      <c r="AF63" s="222">
        <v>3</v>
      </c>
      <c r="AG63" s="222">
        <v>3</v>
      </c>
      <c r="AH63" s="222">
        <v>1</v>
      </c>
      <c r="AI63" s="222">
        <v>2</v>
      </c>
      <c r="AJ63" s="222">
        <v>2</v>
      </c>
      <c r="AK63" s="222"/>
      <c r="AL63" s="222"/>
      <c r="AM63" s="222">
        <v>5</v>
      </c>
      <c r="AN63" s="222">
        <v>3</v>
      </c>
      <c r="AO63" s="222">
        <v>3</v>
      </c>
      <c r="AP63" s="222"/>
      <c r="AQ63" s="222"/>
      <c r="AR63" s="222"/>
      <c r="AS63" s="222"/>
      <c r="AT63" s="222"/>
      <c r="AU63" s="222"/>
      <c r="AV63" s="222"/>
      <c r="AW63" s="222"/>
      <c r="AX63" s="222"/>
      <c r="AY63" s="222"/>
      <c r="AZ63" s="222"/>
      <c r="BA63" s="222"/>
      <c r="BB63" s="222"/>
      <c r="BC63" s="222"/>
      <c r="BD63" s="222"/>
      <c r="BE63" s="222"/>
      <c r="BF63" s="222"/>
      <c r="BG63" s="169" t="str">
        <f>VLOOKUP($A63,订货1!$A63:$I304,9,0)</f>
        <v>由仓库</v>
      </c>
      <c r="BH63" s="47" t="str">
        <f>VLOOKUP($A63,订货1!$A63:$H304,8,0)</f>
        <v>Pastificio Guido Ferrara S.p.A</v>
      </c>
    </row>
    <row r="64" spans="1:60" ht="15.75" customHeight="1">
      <c r="A64" s="67">
        <v>101289</v>
      </c>
      <c r="B64" s="68" t="s">
        <v>135</v>
      </c>
      <c r="C64" s="70" t="s">
        <v>175</v>
      </c>
      <c r="D64" s="68"/>
      <c r="E64" s="68" t="s">
        <v>252</v>
      </c>
      <c r="F64" s="68" t="s">
        <v>18</v>
      </c>
      <c r="G64" s="68" t="s">
        <v>117</v>
      </c>
      <c r="H64" s="68" t="s">
        <v>167</v>
      </c>
      <c r="I64" s="71" t="s">
        <v>197</v>
      </c>
      <c r="J64" s="68" t="s">
        <v>64</v>
      </c>
      <c r="K64" s="236">
        <f>VLOOKUP($A64,订货1!$A64:$A305,1,0)</f>
        <v>101289</v>
      </c>
      <c r="L64" s="245" t="str">
        <f>VLOOKUP($A64,订货1!$A64:$G305,7,0)</f>
        <v>辣西西里（北京）国际贸易有限公司</v>
      </c>
      <c r="M64" s="237" t="str">
        <f>VLOOKUP($A64,订货1!$A64:$B305,2,0)</f>
        <v>辣西西里特级初榨橄榄油</v>
      </c>
      <c r="N64" s="72">
        <f t="shared" si="6"/>
        <v>45978</v>
      </c>
      <c r="O64" s="49" t="str">
        <f>VLOOKUP($A64,订货1!$A64:$C305,3,0)</f>
        <v>常温</v>
      </c>
      <c r="P64" s="44" t="str">
        <f>VLOOKUP($A64,订货1!$A64:$E305,5,0)</f>
        <v>1L*12本</v>
      </c>
      <c r="Q64" s="49" t="str">
        <f>VLOOKUP($A64,订货1!$A64:$F305,6,0)</f>
        <v>箱</v>
      </c>
      <c r="R64" s="167">
        <f t="shared" ca="1" si="1"/>
        <v>0</v>
      </c>
      <c r="S64" s="105" t="s">
        <v>199</v>
      </c>
      <c r="T64" s="85">
        <f ca="1">SUMIF(预估营业额3!$B$3:$B$39,"&gt;="&amp;$H$2,预估营业额3!$E$3:$E$39)-SUMIF(预估营业额3!$B$3:$B$39,"&gt;"&amp;N64,预估营业额3!$E$3:$E$39)</f>
        <v>0</v>
      </c>
      <c r="U64" s="219">
        <v>1.1648657841643486E-2</v>
      </c>
      <c r="V64" s="168">
        <v>1</v>
      </c>
      <c r="W64" s="182">
        <f t="shared" ca="1" si="4"/>
        <v>0</v>
      </c>
      <c r="X64" s="214">
        <v>0.41666666666666669</v>
      </c>
      <c r="Y64" s="62">
        <f t="shared" si="5"/>
        <v>0</v>
      </c>
      <c r="Z64" s="54"/>
      <c r="AA64" s="54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222"/>
      <c r="AP64" s="222"/>
      <c r="AQ64" s="222"/>
      <c r="AR64" s="222"/>
      <c r="AS64" s="222"/>
      <c r="AT64" s="222"/>
      <c r="AU64" s="222"/>
      <c r="AV64" s="222"/>
      <c r="AW64" s="222"/>
      <c r="AX64" s="222"/>
      <c r="AY64" s="222"/>
      <c r="AZ64" s="222"/>
      <c r="BA64" s="222"/>
      <c r="BB64" s="222"/>
      <c r="BC64" s="222"/>
      <c r="BD64" s="222"/>
      <c r="BE64" s="222"/>
      <c r="BF64" s="222"/>
      <c r="BG64" s="169" t="str">
        <f>VLOOKUP($A64,订货1!$A64:$I305,9,0)</f>
        <v>由仓库</v>
      </c>
      <c r="BH64" s="47" t="str">
        <f>VLOOKUP($A64,订货1!$A64:$H305,8,0)</f>
        <v>Biolevante Srl</v>
      </c>
    </row>
    <row r="65" spans="1:60" ht="15.75" customHeight="1">
      <c r="A65" s="67">
        <v>101359</v>
      </c>
      <c r="B65" s="68" t="s">
        <v>132</v>
      </c>
      <c r="C65" s="70" t="s">
        <v>174</v>
      </c>
      <c r="D65" s="68"/>
      <c r="E65" s="68" t="s">
        <v>253</v>
      </c>
      <c r="F65" s="68" t="s">
        <v>18</v>
      </c>
      <c r="G65" s="68" t="s">
        <v>117</v>
      </c>
      <c r="H65" s="68" t="s">
        <v>168</v>
      </c>
      <c r="I65" s="71" t="s">
        <v>197</v>
      </c>
      <c r="J65" s="68" t="s">
        <v>317</v>
      </c>
      <c r="K65" s="236">
        <f>VLOOKUP($A65,订货1!$A65:$A306,1,0)</f>
        <v>101359</v>
      </c>
      <c r="L65" s="245" t="str">
        <f>VLOOKUP($A65,订货1!$A65:$G306,7,0)</f>
        <v>辣西西里（北京）国际贸易有限公司</v>
      </c>
      <c r="M65" s="237" t="str">
        <f>VLOOKUP($A65,订货1!$A65:$B306,2,0)</f>
        <v>卡利酒庄蓝布鲁斯科低泡葡萄酒</v>
      </c>
      <c r="N65" s="72">
        <f t="shared" si="6"/>
        <v>45978</v>
      </c>
      <c r="O65" s="49" t="str">
        <f>VLOOKUP($A65,订货1!$A65:$C306,3,0)</f>
        <v>冷凍</v>
      </c>
      <c r="P65" s="44" t="str">
        <f>VLOOKUP($A65,订货1!$A65:$E306,5,0)</f>
        <v>750ml*6本</v>
      </c>
      <c r="Q65" s="49" t="str">
        <f>VLOOKUP($A65,订货1!$A65:$F306,6,0)</f>
        <v>箱</v>
      </c>
      <c r="R65" s="167">
        <f t="shared" ca="1" si="1"/>
        <v>0</v>
      </c>
      <c r="S65" s="105" t="s">
        <v>199</v>
      </c>
      <c r="T65" s="85">
        <f ca="1">SUMIF(预估营业额3!$B$3:$B$39,"&gt;="&amp;$H$2,预估营业额3!$E$3:$E$39)-SUMIF(预估营业额3!$B$3:$B$39,"&gt;"&amp;N65,预估营业额3!$E$3:$E$39)</f>
        <v>0</v>
      </c>
      <c r="U65" s="219">
        <v>5.7078423424053087E-2</v>
      </c>
      <c r="V65" s="168">
        <v>1</v>
      </c>
      <c r="W65" s="182">
        <f t="shared" ca="1" si="4"/>
        <v>0</v>
      </c>
      <c r="X65" s="214">
        <v>1</v>
      </c>
      <c r="Y65" s="62">
        <f t="shared" si="5"/>
        <v>0</v>
      </c>
      <c r="Z65" s="54"/>
      <c r="AA65" s="54"/>
      <c r="AB65" s="222">
        <v>1</v>
      </c>
      <c r="AC65" s="222"/>
      <c r="AD65" s="222"/>
      <c r="AE65" s="222">
        <v>1</v>
      </c>
      <c r="AF65" s="222"/>
      <c r="AG65" s="222"/>
      <c r="AH65" s="222"/>
      <c r="AI65" s="222"/>
      <c r="AJ65" s="222"/>
      <c r="AK65" s="222"/>
      <c r="AL65" s="222"/>
      <c r="AM65" s="222"/>
      <c r="AN65" s="222"/>
      <c r="AO65" s="222"/>
      <c r="AP65" s="222"/>
      <c r="AQ65" s="222"/>
      <c r="AR65" s="222"/>
      <c r="AS65" s="222"/>
      <c r="AT65" s="222"/>
      <c r="AU65" s="222"/>
      <c r="AV65" s="222"/>
      <c r="AW65" s="222"/>
      <c r="AX65" s="222"/>
      <c r="AY65" s="222"/>
      <c r="AZ65" s="222"/>
      <c r="BA65" s="222"/>
      <c r="BB65" s="222"/>
      <c r="BC65" s="222"/>
      <c r="BD65" s="222"/>
      <c r="BE65" s="222"/>
      <c r="BF65" s="222"/>
      <c r="BG65" s="169" t="str">
        <f>VLOOKUP($A65,订货1!$A65:$I306,9,0)</f>
        <v>由仓库</v>
      </c>
      <c r="BH65" s="47" t="str">
        <f>VLOOKUP($A65,订货1!$A65:$H306,8,0)</f>
        <v>PR.I.V.I. SRL CHIARLI 1860</v>
      </c>
    </row>
    <row r="66" spans="1:60" ht="15.75" customHeight="1">
      <c r="A66" s="67">
        <v>101362</v>
      </c>
      <c r="B66" s="68" t="s">
        <v>133</v>
      </c>
      <c r="C66" s="69" t="s">
        <v>174</v>
      </c>
      <c r="D66" s="68"/>
      <c r="E66" s="68" t="s">
        <v>254</v>
      </c>
      <c r="F66" s="68" t="s">
        <v>18</v>
      </c>
      <c r="G66" s="68" t="s">
        <v>117</v>
      </c>
      <c r="H66" s="68" t="s">
        <v>169</v>
      </c>
      <c r="I66" s="71" t="s">
        <v>197</v>
      </c>
      <c r="J66" s="68" t="s">
        <v>318</v>
      </c>
      <c r="K66" s="236">
        <f>VLOOKUP($A66,订货1!$A66:$A307,1,0)</f>
        <v>101362</v>
      </c>
      <c r="L66" s="245" t="str">
        <f>VLOOKUP($A66,订货1!$A66:$G307,7,0)</f>
        <v>辣西西里（北京）国际贸易有限公司</v>
      </c>
      <c r="M66" s="237" t="str">
        <f>VLOOKUP($A66,订货1!$A66:$B307,2,0)</f>
        <v>马塞研磨干酪粉</v>
      </c>
      <c r="N66" s="72">
        <f t="shared" si="6"/>
        <v>45978</v>
      </c>
      <c r="O66" s="49" t="str">
        <f>VLOOKUP($A66,订货1!$A66:$C307,3,0)</f>
        <v>冷凍</v>
      </c>
      <c r="P66" s="44" t="str">
        <f>VLOOKUP($A66,订货1!$A66:$E307,5,0)</f>
        <v>1kg*6</v>
      </c>
      <c r="Q66" s="49" t="str">
        <f>VLOOKUP($A66,订货1!$A66:$F307,6,0)</f>
        <v>箱</v>
      </c>
      <c r="R66" s="167">
        <f t="shared" ref="R66:R126" ca="1" si="8">IF(ROUNDUP(W66-Y66-X66,0)&gt;=0,ROUNDUP((W66-Y66-X66),0),0)</f>
        <v>0</v>
      </c>
      <c r="S66" s="185" t="s">
        <v>832</v>
      </c>
      <c r="T66" s="85">
        <f ca="1">SUMIF(预估营业额3!$B$3:$B$39,"&gt;="&amp;$H$2,预估营业额3!$E$3:$E$39)-SUMIF(预估营业额3!$B$3:$B$39,"&gt;"&amp;N66,预估营业额3!$E$3:$E$39)</f>
        <v>0</v>
      </c>
      <c r="U66" s="219">
        <v>0.10949738371144878</v>
      </c>
      <c r="V66" s="168">
        <v>1</v>
      </c>
      <c r="W66" s="182">
        <f t="shared" ca="1" si="4"/>
        <v>0</v>
      </c>
      <c r="X66" s="214">
        <v>0.9</v>
      </c>
      <c r="Y66" s="62">
        <f t="shared" si="5"/>
        <v>1</v>
      </c>
      <c r="Z66" s="54">
        <v>1</v>
      </c>
      <c r="AA66" s="54"/>
      <c r="AB66" s="222"/>
      <c r="AC66" s="222"/>
      <c r="AD66" s="222"/>
      <c r="AE66" s="222"/>
      <c r="AF66" s="222">
        <v>1</v>
      </c>
      <c r="AG66" s="222"/>
      <c r="AH66" s="222"/>
      <c r="AI66" s="222">
        <v>1</v>
      </c>
      <c r="AJ66" s="222"/>
      <c r="AK66" s="222"/>
      <c r="AL66" s="222"/>
      <c r="AM66" s="222"/>
      <c r="AN66" s="222">
        <v>1</v>
      </c>
      <c r="AO66" s="222"/>
      <c r="AP66" s="222"/>
      <c r="AQ66" s="222"/>
      <c r="AR66" s="222"/>
      <c r="AS66" s="222"/>
      <c r="AT66" s="222"/>
      <c r="AU66" s="222"/>
      <c r="AV66" s="222"/>
      <c r="AW66" s="222"/>
      <c r="AX66" s="222"/>
      <c r="AY66" s="222"/>
      <c r="AZ66" s="222"/>
      <c r="BA66" s="222"/>
      <c r="BB66" s="222"/>
      <c r="BC66" s="222"/>
      <c r="BD66" s="222"/>
      <c r="BE66" s="222"/>
      <c r="BF66" s="222"/>
      <c r="BG66" s="169" t="str">
        <f>VLOOKUP($A66,订货1!$A66:$I307,9,0)</f>
        <v>由仓库</v>
      </c>
      <c r="BH66" s="47" t="str">
        <f>VLOOKUP($A66,订货1!$A66:$H307,8,0)</f>
        <v>Basso Sebastiano Srl</v>
      </c>
    </row>
    <row r="67" spans="1:60" ht="15.75" customHeight="1">
      <c r="A67" s="255">
        <v>101742</v>
      </c>
      <c r="B67" s="256" t="s">
        <v>761</v>
      </c>
      <c r="C67" s="70" t="s">
        <v>174</v>
      </c>
      <c r="D67" s="68"/>
      <c r="E67" s="68" t="s">
        <v>251</v>
      </c>
      <c r="F67" s="68" t="s">
        <v>18</v>
      </c>
      <c r="G67" s="68" t="s">
        <v>361</v>
      </c>
      <c r="H67" s="68" t="s">
        <v>361</v>
      </c>
      <c r="I67" s="71" t="s">
        <v>197</v>
      </c>
      <c r="J67" s="68" t="s">
        <v>319</v>
      </c>
      <c r="K67" s="234">
        <f>VLOOKUP($A67,订货1!$A67:$A308,1,0)</f>
        <v>101742</v>
      </c>
      <c r="L67" s="244" t="str">
        <f>VLOOKUP($A67,订货1!$A67:$G308,7,0)</f>
        <v>上海香尚香食品有限公司</v>
      </c>
      <c r="M67" s="235" t="str">
        <f>VLOOKUP($A67,订货1!$A67:$B308,2,0)</f>
        <v>牛肝菌菌菇调理包</v>
      </c>
      <c r="N67" s="72">
        <f t="shared" si="6"/>
        <v>45978</v>
      </c>
      <c r="O67" s="49" t="str">
        <f>VLOOKUP($A67,订货1!$A67:$C308,3,0)</f>
        <v>冷凍</v>
      </c>
      <c r="P67" s="44" t="str">
        <f>VLOOKUP($A67,订货1!$A67:$E308,5,0)</f>
        <v>1kg*10</v>
      </c>
      <c r="Q67" s="49" t="str">
        <f>VLOOKUP($A67,订货1!$A67:$F308,6,0)</f>
        <v>箱</v>
      </c>
      <c r="R67" s="167">
        <f t="shared" ca="1" si="8"/>
        <v>0</v>
      </c>
      <c r="S67" s="228" t="s">
        <v>199</v>
      </c>
      <c r="T67" s="85">
        <f ca="1">SUMIF(预估营业额3!$B$3:$B$39,"&gt;="&amp;$H$2,预估营业额3!$E$3:$E$39)-SUMIF(预估营业额3!$B$3:$B$39,"&gt;"&amp;N67,预估营业额3!$E$3:$E$39)</f>
        <v>0</v>
      </c>
      <c r="U67" s="219">
        <v>0.12</v>
      </c>
      <c r="V67" s="168">
        <v>1</v>
      </c>
      <c r="W67" s="182">
        <f t="shared" ref="W67:W127" ca="1" si="9">T67*U67*V67</f>
        <v>0</v>
      </c>
      <c r="X67" s="214">
        <v>0.7</v>
      </c>
      <c r="Y67" s="62">
        <f t="shared" ref="Y67:Y127" si="10">Z67+AA67</f>
        <v>0</v>
      </c>
      <c r="Z67" s="54"/>
      <c r="AA67" s="54"/>
      <c r="AB67" s="222"/>
      <c r="AC67" s="222"/>
      <c r="AD67" s="222"/>
      <c r="AE67" s="222"/>
      <c r="AF67" s="222">
        <v>1</v>
      </c>
      <c r="AG67" s="222"/>
      <c r="AH67" s="222"/>
      <c r="AI67" s="222"/>
      <c r="AJ67" s="222"/>
      <c r="AK67" s="222"/>
      <c r="AL67" s="222"/>
      <c r="AM67" s="222"/>
      <c r="AN67" s="222"/>
      <c r="AO67" s="222">
        <v>1</v>
      </c>
      <c r="AP67" s="222"/>
      <c r="AQ67" s="222"/>
      <c r="AR67" s="222"/>
      <c r="AS67" s="222"/>
      <c r="AT67" s="222"/>
      <c r="AU67" s="222"/>
      <c r="AV67" s="222"/>
      <c r="AW67" s="222"/>
      <c r="AX67" s="222"/>
      <c r="AY67" s="222"/>
      <c r="AZ67" s="222"/>
      <c r="BA67" s="222"/>
      <c r="BB67" s="222"/>
      <c r="BC67" s="222"/>
      <c r="BD67" s="222"/>
      <c r="BE67" s="222"/>
      <c r="BF67" s="222"/>
      <c r="BG67" s="169" t="str">
        <f>VLOOKUP($A67,订货1!$A67:$I308,9,0)</f>
        <v>由仓库</v>
      </c>
      <c r="BH67" s="47" t="str">
        <f>VLOOKUP($A67,订货1!$A67:$H308,8,0)</f>
        <v>上海香尚香食品有限公司</v>
      </c>
    </row>
    <row r="68" spans="1:60" ht="15.75" hidden="1" customHeight="1">
      <c r="A68" s="173">
        <v>101708</v>
      </c>
      <c r="B68" s="172" t="s">
        <v>519</v>
      </c>
      <c r="C68" s="70" t="s">
        <v>174</v>
      </c>
      <c r="D68" s="68"/>
      <c r="E68" s="68" t="s">
        <v>520</v>
      </c>
      <c r="F68" s="68" t="s">
        <v>18</v>
      </c>
      <c r="G68" s="68" t="s">
        <v>521</v>
      </c>
      <c r="H68" s="68" t="s">
        <v>521</v>
      </c>
      <c r="I68" s="71" t="s">
        <v>197</v>
      </c>
      <c r="J68" s="68" t="s">
        <v>65</v>
      </c>
      <c r="K68" s="234">
        <f>VLOOKUP($A68,订货1!$A68:$A309,1,0)</f>
        <v>101708</v>
      </c>
      <c r="L68" s="244" t="str">
        <f>VLOOKUP($A68,订货1!$A68:$G309,7,0)</f>
        <v>麦西恩食品（上海）有限公司</v>
      </c>
      <c r="M68" s="235" t="str">
        <f>VLOOKUP($A68,订货1!$A68:$B309,2,0)</f>
        <v>超薄脆比萨饼底</v>
      </c>
      <c r="N68" s="72">
        <f t="shared" ref="N68:N128" si="11">$N$4</f>
        <v>45978</v>
      </c>
      <c r="O68" s="49" t="str">
        <f>VLOOKUP($A68,订货1!$A68:$C309,3,0)</f>
        <v>冷凍</v>
      </c>
      <c r="P68" s="44" t="str">
        <f>VLOOKUP($A68,订货1!$A68:$E309,5,0)</f>
        <v>15*4pc</v>
      </c>
      <c r="Q68" s="49" t="str">
        <f>VLOOKUP($A68,订货1!$A68:$F309,6,0)</f>
        <v>箱</v>
      </c>
      <c r="R68" s="167">
        <f t="shared" ca="1" si="8"/>
        <v>0</v>
      </c>
      <c r="S68" s="228" t="s">
        <v>199</v>
      </c>
      <c r="T68" s="85">
        <f ca="1">SUMIF(预估营业额3!$B$3:$B$39,"&gt;="&amp;$H$2,预估营业额3!$E$3:$E$39)-SUMIF(预估营业额3!$B$3:$B$39,"&gt;"&amp;N68,预估营业额3!$E$3:$E$39)</f>
        <v>0</v>
      </c>
      <c r="U68" s="219">
        <v>0.31451376172437412</v>
      </c>
      <c r="V68" s="168">
        <v>1</v>
      </c>
      <c r="W68" s="182">
        <f t="shared" ca="1" si="9"/>
        <v>0</v>
      </c>
      <c r="X68" s="214">
        <v>0</v>
      </c>
      <c r="Y68" s="62">
        <f t="shared" si="10"/>
        <v>0</v>
      </c>
      <c r="Z68" s="54"/>
      <c r="AA68" s="54"/>
      <c r="AB68" s="222"/>
      <c r="AC68" s="222"/>
      <c r="AD68" s="222"/>
      <c r="AE68" s="222"/>
      <c r="AF68" s="222"/>
      <c r="AG68" s="222"/>
      <c r="AH68" s="222"/>
      <c r="AI68" s="222"/>
      <c r="AJ68" s="222"/>
      <c r="AK68" s="222"/>
      <c r="AL68" s="222"/>
      <c r="AM68" s="222"/>
      <c r="AN68" s="222"/>
      <c r="AO68" s="222"/>
      <c r="AP68" s="222"/>
      <c r="AQ68" s="222"/>
      <c r="AR68" s="222"/>
      <c r="AS68" s="222"/>
      <c r="AT68" s="222"/>
      <c r="AU68" s="222"/>
      <c r="AV68" s="222"/>
      <c r="AW68" s="222"/>
      <c r="AX68" s="222"/>
      <c r="AY68" s="222"/>
      <c r="AZ68" s="222"/>
      <c r="BA68" s="222"/>
      <c r="BB68" s="222"/>
      <c r="BC68" s="222"/>
      <c r="BD68" s="222"/>
      <c r="BE68" s="222"/>
      <c r="BF68" s="222"/>
      <c r="BG68" s="169" t="str">
        <f>VLOOKUP($A68,订货1!$A68:$I309,9,0)</f>
        <v>由仓库</v>
      </c>
      <c r="BH68" s="47" t="str">
        <f>VLOOKUP($A68,订货1!$A68:$H309,8,0)</f>
        <v>麦西恩食品（上海）有限公司</v>
      </c>
    </row>
    <row r="69" spans="1:60" ht="15.75" hidden="1" customHeight="1">
      <c r="A69" s="67">
        <v>101748</v>
      </c>
      <c r="B69" s="68" t="s">
        <v>783</v>
      </c>
      <c r="C69" s="70" t="s">
        <v>174</v>
      </c>
      <c r="D69" s="68"/>
      <c r="E69" s="68" t="s">
        <v>763</v>
      </c>
      <c r="F69" s="68" t="s">
        <v>759</v>
      </c>
      <c r="G69" s="68" t="s">
        <v>117</v>
      </c>
      <c r="H69" s="68" t="s">
        <v>170</v>
      </c>
      <c r="I69" s="71" t="s">
        <v>197</v>
      </c>
      <c r="J69" s="68" t="s">
        <v>66</v>
      </c>
      <c r="K69" s="283">
        <f>VLOOKUP($A69,订货1!$A69:$A310,1,0)</f>
        <v>101748</v>
      </c>
      <c r="L69" s="284" t="str">
        <f>VLOOKUP($A69,订货1!$A69:$G310,7,0)</f>
        <v>辣西西里（北京）国际贸易有限公司</v>
      </c>
      <c r="M69" s="285" t="str">
        <f>VLOOKUP($A69,订货1!$A69:$B310,2,0)</f>
        <v>酥皮蛋糕</v>
      </c>
      <c r="N69" s="286">
        <f t="shared" si="11"/>
        <v>45978</v>
      </c>
      <c r="O69" s="287" t="str">
        <f>VLOOKUP($A69,订货1!$A69:$C310,3,0)</f>
        <v>冷凍</v>
      </c>
      <c r="P69" s="288" t="str">
        <f>VLOOKUP($A69,订货1!$A69:$E310,5,0)</f>
        <v>60g*4*4</v>
      </c>
      <c r="Q69" s="287" t="str">
        <f>VLOOKUP($A69,订货1!$A69:$F310,6,0)</f>
        <v>盒</v>
      </c>
      <c r="R69" s="227">
        <f t="shared" ca="1" si="8"/>
        <v>0</v>
      </c>
      <c r="S69" s="228" t="s">
        <v>199</v>
      </c>
      <c r="T69" s="85">
        <f ca="1">SUMIF(预估营业额3!$B$3:$B$39,"&gt;="&amp;$H$2,预估营业额3!$E$3:$E$39)-SUMIF(预估营业额3!$B$3:$B$39,"&gt;"&amp;N69,预估营业额3!$E$3:$E$39)</f>
        <v>0</v>
      </c>
      <c r="U69" s="219">
        <v>0</v>
      </c>
      <c r="V69" s="168">
        <v>1</v>
      </c>
      <c r="W69" s="182">
        <f t="shared" ca="1" si="9"/>
        <v>0</v>
      </c>
      <c r="X69" s="214">
        <v>0</v>
      </c>
      <c r="Y69" s="62">
        <f t="shared" si="10"/>
        <v>0</v>
      </c>
      <c r="Z69" s="54"/>
      <c r="AA69" s="54"/>
      <c r="AB69" s="222"/>
      <c r="AC69" s="222"/>
      <c r="AD69" s="222"/>
      <c r="AE69" s="222"/>
      <c r="AF69" s="222"/>
      <c r="AG69" s="222"/>
      <c r="AH69" s="222"/>
      <c r="AI69" s="222"/>
      <c r="AJ69" s="222"/>
      <c r="AK69" s="222"/>
      <c r="AL69" s="222"/>
      <c r="AM69" s="222"/>
      <c r="AN69" s="222"/>
      <c r="AO69" s="222"/>
      <c r="AP69" s="222"/>
      <c r="AQ69" s="222"/>
      <c r="AR69" s="222"/>
      <c r="AS69" s="222"/>
      <c r="AT69" s="222"/>
      <c r="AU69" s="222"/>
      <c r="AV69" s="222"/>
      <c r="AW69" s="222"/>
      <c r="AX69" s="222"/>
      <c r="AY69" s="222"/>
      <c r="AZ69" s="222"/>
      <c r="BA69" s="222"/>
      <c r="BB69" s="222"/>
      <c r="BC69" s="222"/>
      <c r="BD69" s="222"/>
      <c r="BE69" s="222"/>
      <c r="BF69" s="222"/>
      <c r="BG69" s="169" t="str">
        <f>VLOOKUP($A69,订货1!$A69:$I310,9,0)</f>
        <v>由仓库</v>
      </c>
      <c r="BH69" s="47" t="str">
        <f>VLOOKUP($A69,订货1!$A69:$H310,8,0)</f>
        <v>Dolceria Alba SPA</v>
      </c>
    </row>
    <row r="70" spans="1:60" ht="15.75" customHeight="1">
      <c r="A70" s="67">
        <v>101554</v>
      </c>
      <c r="B70" s="68" t="s">
        <v>150</v>
      </c>
      <c r="C70" s="70" t="s">
        <v>174</v>
      </c>
      <c r="D70" s="68"/>
      <c r="E70" s="68" t="s">
        <v>255</v>
      </c>
      <c r="F70" s="68" t="s">
        <v>27</v>
      </c>
      <c r="G70" s="68" t="s">
        <v>117</v>
      </c>
      <c r="H70" s="68" t="s">
        <v>170</v>
      </c>
      <c r="I70" s="71" t="s">
        <v>197</v>
      </c>
      <c r="J70" s="68" t="s">
        <v>594</v>
      </c>
      <c r="K70" s="236">
        <f>VLOOKUP($A70,订货1!$A70:$A312,1,0)</f>
        <v>101554</v>
      </c>
      <c r="L70" s="245" t="str">
        <f>VLOOKUP($A70,订货1!$A70:$G312,7,0)</f>
        <v>辣西西里（北京）国际贸易有限公司</v>
      </c>
      <c r="M70" s="237" t="str">
        <f>VLOOKUP($A70,订货1!$A70:$B312,2,0)</f>
        <v>焦糖布丁蛋糕</v>
      </c>
      <c r="N70" s="72">
        <f t="shared" si="11"/>
        <v>45978</v>
      </c>
      <c r="O70" s="49" t="str">
        <f>VLOOKUP($A70,订货1!$A70:$C312,3,0)</f>
        <v>冷凍</v>
      </c>
      <c r="P70" s="44" t="str">
        <f>VLOOKUP($A70,订货1!$A70:$E312,5,0)</f>
        <v>100g*9块/盒</v>
      </c>
      <c r="Q70" s="49" t="str">
        <f>VLOOKUP($A70,订货1!$A70:$F312,6,0)</f>
        <v>盒</v>
      </c>
      <c r="R70" s="167">
        <f t="shared" ca="1" si="8"/>
        <v>0</v>
      </c>
      <c r="S70" s="243" t="s">
        <v>833</v>
      </c>
      <c r="T70" s="85">
        <f ca="1">SUMIF(预估营业额3!$B$3:$B$39,"&gt;="&amp;$H$2,预估营业额3!$E$3:$E$39)-SUMIF(预估营业额3!$B$3:$B$39,"&gt;"&amp;N70,预估营业额3!$E$3:$E$39)</f>
        <v>0</v>
      </c>
      <c r="U70" s="219">
        <v>0.64455906723760625</v>
      </c>
      <c r="V70" s="168">
        <v>1</v>
      </c>
      <c r="W70" s="182">
        <f t="shared" ca="1" si="9"/>
        <v>0</v>
      </c>
      <c r="X70" s="214">
        <v>3</v>
      </c>
      <c r="Y70" s="62">
        <f t="shared" si="10"/>
        <v>3</v>
      </c>
      <c r="Z70" s="54">
        <v>3</v>
      </c>
      <c r="AA70" s="54"/>
      <c r="AB70" s="222">
        <v>1</v>
      </c>
      <c r="AC70" s="222"/>
      <c r="AD70" s="222"/>
      <c r="AE70" s="222">
        <v>1</v>
      </c>
      <c r="AF70" s="222">
        <v>2</v>
      </c>
      <c r="AG70" s="222">
        <v>3</v>
      </c>
      <c r="AH70" s="222"/>
      <c r="AI70" s="222"/>
      <c r="AJ70" s="222">
        <v>2</v>
      </c>
      <c r="AK70" s="222"/>
      <c r="AL70" s="222">
        <v>1</v>
      </c>
      <c r="AM70" s="222">
        <v>2</v>
      </c>
      <c r="AN70" s="222">
        <v>3</v>
      </c>
      <c r="AO70" s="222"/>
      <c r="AP70" s="222"/>
      <c r="AQ70" s="222"/>
      <c r="AR70" s="222"/>
      <c r="AS70" s="222"/>
      <c r="AT70" s="222"/>
      <c r="AU70" s="222"/>
      <c r="AV70" s="222"/>
      <c r="AW70" s="222"/>
      <c r="AX70" s="222"/>
      <c r="AY70" s="222"/>
      <c r="AZ70" s="222"/>
      <c r="BA70" s="222"/>
      <c r="BB70" s="222"/>
      <c r="BC70" s="222"/>
      <c r="BD70" s="222"/>
      <c r="BE70" s="222"/>
      <c r="BF70" s="222"/>
      <c r="BG70" s="169" t="str">
        <f>VLOOKUP($A70,订货1!$A70:$I312,9,0)</f>
        <v>由仓库</v>
      </c>
      <c r="BH70" s="47" t="str">
        <f>VLOOKUP($A70,订货1!$A70:$H312,8,0)</f>
        <v>Dolceria Alba SPA</v>
      </c>
    </row>
    <row r="71" spans="1:60" ht="15.75" customHeight="1">
      <c r="A71" s="67">
        <v>101587</v>
      </c>
      <c r="B71" s="68" t="s">
        <v>331</v>
      </c>
      <c r="C71" s="69" t="s">
        <v>175</v>
      </c>
      <c r="D71" s="68"/>
      <c r="E71" s="68" t="s">
        <v>329</v>
      </c>
      <c r="F71" s="68" t="s">
        <v>27</v>
      </c>
      <c r="G71" s="68" t="s">
        <v>108</v>
      </c>
      <c r="H71" s="68" t="s">
        <v>330</v>
      </c>
      <c r="I71" s="71" t="s">
        <v>197</v>
      </c>
      <c r="J71" s="68" t="s">
        <v>68</v>
      </c>
      <c r="K71" s="236">
        <f>VLOOKUP($A71,订货1!$A71:$A313,1,0)</f>
        <v>101587</v>
      </c>
      <c r="L71" s="245" t="str">
        <f>VLOOKUP($A71,订货1!$A71:$G313,7,0)</f>
        <v>承武贸易（上海）有限公司</v>
      </c>
      <c r="M71" s="237" t="str">
        <f>VLOOKUP($A71,订货1!$A71:$B313,2,0)</f>
        <v>金牌印度阿方索芒果（糖浆）</v>
      </c>
      <c r="N71" s="72">
        <f t="shared" si="11"/>
        <v>45978</v>
      </c>
      <c r="O71" s="49" t="str">
        <f>VLOOKUP($A71,订货1!$A71:$C313,3,0)</f>
        <v>常温</v>
      </c>
      <c r="P71" s="44" t="str">
        <f>VLOOKUP($A71,订货1!$A71:$E313,5,0)</f>
        <v>5kg*4pc</v>
      </c>
      <c r="Q71" s="49" t="str">
        <f>VLOOKUP($A71,订货1!$A71:$F313,6,0)</f>
        <v>盒</v>
      </c>
      <c r="R71" s="167">
        <f t="shared" ca="1" si="8"/>
        <v>0</v>
      </c>
      <c r="S71" s="105" t="s">
        <v>404</v>
      </c>
      <c r="T71" s="85">
        <f ca="1">SUMIF(预估营业额3!$B$3:$B$39,"&gt;="&amp;$H$2,预估营业额3!$E$3:$E$39)-SUMIF(预估营业额3!$B$3:$B$39,"&gt;"&amp;N71,预估营业额3!$E$3:$E$39)</f>
        <v>0</v>
      </c>
      <c r="U71" s="219">
        <v>2.2365423055955489E-2</v>
      </c>
      <c r="V71" s="168">
        <v>1</v>
      </c>
      <c r="W71" s="182">
        <f t="shared" ca="1" si="9"/>
        <v>0</v>
      </c>
      <c r="X71" s="214">
        <v>1</v>
      </c>
      <c r="Y71" s="62">
        <f t="shared" si="10"/>
        <v>0</v>
      </c>
      <c r="Z71" s="54"/>
      <c r="AA71" s="54"/>
      <c r="AB71" s="222"/>
      <c r="AC71" s="222"/>
      <c r="AD71" s="222"/>
      <c r="AE71" s="222"/>
      <c r="AF71" s="222"/>
      <c r="AG71" s="222"/>
      <c r="AH71" s="222"/>
      <c r="AI71" s="222">
        <v>1</v>
      </c>
      <c r="AJ71" s="222"/>
      <c r="AK71" s="222"/>
      <c r="AL71" s="222"/>
      <c r="AM71" s="222"/>
      <c r="AN71" s="222"/>
      <c r="AO71" s="222"/>
      <c r="AP71" s="222"/>
      <c r="AQ71" s="222"/>
      <c r="AR71" s="222"/>
      <c r="AS71" s="222"/>
      <c r="AT71" s="222"/>
      <c r="AU71" s="222"/>
      <c r="AV71" s="222"/>
      <c r="AW71" s="222"/>
      <c r="AX71" s="222"/>
      <c r="AY71" s="222"/>
      <c r="AZ71" s="222"/>
      <c r="BA71" s="222"/>
      <c r="BB71" s="222"/>
      <c r="BC71" s="222"/>
      <c r="BD71" s="222"/>
      <c r="BE71" s="222"/>
      <c r="BF71" s="222"/>
      <c r="BG71" s="169" t="str">
        <f>VLOOKUP($A71,订货1!$A71:$I313,9,0)</f>
        <v>由仓库</v>
      </c>
      <c r="BH71" s="47" t="str">
        <f>VLOOKUP($A71,订货1!$A71:$H313,8,0)</f>
        <v>山东泰乐源农业科技有限公司</v>
      </c>
    </row>
    <row r="72" spans="1:60" ht="15.75" customHeight="1">
      <c r="A72" s="67">
        <v>101286</v>
      </c>
      <c r="B72" s="68" t="s">
        <v>362</v>
      </c>
      <c r="C72" s="69" t="s">
        <v>176</v>
      </c>
      <c r="D72" s="68"/>
      <c r="E72" s="68" t="s">
        <v>136</v>
      </c>
      <c r="F72" s="68" t="s">
        <v>18</v>
      </c>
      <c r="G72" s="68" t="s">
        <v>363</v>
      </c>
      <c r="H72" s="68" t="s">
        <v>363</v>
      </c>
      <c r="I72" s="71" t="s">
        <v>197</v>
      </c>
      <c r="J72" s="68" t="s">
        <v>595</v>
      </c>
      <c r="K72" s="236">
        <f>VLOOKUP($A72,订货1!$A72:$A314,1,0)</f>
        <v>101286</v>
      </c>
      <c r="L72" s="245" t="str">
        <f>VLOOKUP($A72,订货1!$A72:$G314,7,0)</f>
        <v>仙波食品（浙江）有限公司</v>
      </c>
      <c r="M72" s="237" t="str">
        <f>VLOOKUP($A72,订货1!$A72:$B314,2,0)</f>
        <v>萨莉亚特制沙拉酱</v>
      </c>
      <c r="N72" s="72">
        <f t="shared" si="11"/>
        <v>45978</v>
      </c>
      <c r="O72" s="49" t="str">
        <f>VLOOKUP($A72,订货1!$A72:$C314,3,0)</f>
        <v>冷蔵</v>
      </c>
      <c r="P72" s="44" t="str">
        <f>VLOOKUP($A72,订货1!$A72:$E314,5,0)</f>
        <v>1kg*10pc</v>
      </c>
      <c r="Q72" s="49" t="str">
        <f>VLOOKUP($A72,订货1!$A72:$F314,6,0)</f>
        <v>箱</v>
      </c>
      <c r="R72" s="167">
        <f t="shared" ca="1" si="8"/>
        <v>0</v>
      </c>
      <c r="S72" s="185" t="s">
        <v>830</v>
      </c>
      <c r="T72" s="85">
        <f ca="1">SUMIF(预估营业额3!$B$3:$B$39,"&gt;="&amp;$H$2,预估营业额3!$E$3:$E$39)-SUMIF(预估营业额3!$B$3:$B$39,"&gt;"&amp;N72,预估营业额3!$E$3:$E$39)</f>
        <v>0</v>
      </c>
      <c r="U72" s="219">
        <v>0</v>
      </c>
      <c r="V72" s="168">
        <v>1.1000000000000001</v>
      </c>
      <c r="W72" s="182">
        <f t="shared" ca="1" si="9"/>
        <v>0</v>
      </c>
      <c r="X72" s="214">
        <v>0</v>
      </c>
      <c r="Y72" s="62">
        <f t="shared" si="10"/>
        <v>0</v>
      </c>
      <c r="Z72" s="54"/>
      <c r="AA72" s="54"/>
      <c r="AB72" s="222"/>
      <c r="AC72" s="222"/>
      <c r="AD72" s="222"/>
      <c r="AE72" s="222"/>
      <c r="AF72" s="222"/>
      <c r="AG72" s="222"/>
      <c r="AH72" s="222"/>
      <c r="AI72" s="222"/>
      <c r="AJ72" s="222"/>
      <c r="AK72" s="222"/>
      <c r="AL72" s="222"/>
      <c r="AM72" s="222"/>
      <c r="AN72" s="222"/>
      <c r="AO72" s="222"/>
      <c r="AP72" s="222"/>
      <c r="AQ72" s="222"/>
      <c r="AR72" s="222"/>
      <c r="AS72" s="222"/>
      <c r="AT72" s="222"/>
      <c r="AU72" s="222"/>
      <c r="AV72" s="222"/>
      <c r="AW72" s="222"/>
      <c r="AX72" s="222"/>
      <c r="AY72" s="222"/>
      <c r="AZ72" s="222"/>
      <c r="BA72" s="222"/>
      <c r="BB72" s="222"/>
      <c r="BC72" s="222"/>
      <c r="BD72" s="222"/>
      <c r="BE72" s="222"/>
      <c r="BF72" s="222"/>
      <c r="BG72" s="169" t="str">
        <f>VLOOKUP($A72,订货1!$A72:$I314,9,0)</f>
        <v>由仓库</v>
      </c>
      <c r="BH72" s="47" t="str">
        <f>VLOOKUP($A72,订货1!$A72:$H314,8,0)</f>
        <v>仙波食品（浙江）有限公司</v>
      </c>
    </row>
    <row r="73" spans="1:60" ht="15.75" customHeight="1">
      <c r="A73" s="67">
        <v>101588</v>
      </c>
      <c r="B73" s="68" t="s">
        <v>871</v>
      </c>
      <c r="C73" s="69" t="s">
        <v>175</v>
      </c>
      <c r="D73" s="68"/>
      <c r="E73" s="68" t="s">
        <v>329</v>
      </c>
      <c r="F73" s="68" t="s">
        <v>18</v>
      </c>
      <c r="G73" s="68" t="s">
        <v>108</v>
      </c>
      <c r="H73" s="68" t="s">
        <v>330</v>
      </c>
      <c r="I73" s="71" t="s">
        <v>197</v>
      </c>
      <c r="J73" s="68" t="s">
        <v>69</v>
      </c>
      <c r="K73" s="236">
        <f>VLOOKUP($A73,订货1!$A73:$A315,1,0)</f>
        <v>101588</v>
      </c>
      <c r="L73" s="245" t="str">
        <f>VLOOKUP($A73,订货1!$A73:$G315,7,0)</f>
        <v>承武贸易（上海）有限公司</v>
      </c>
      <c r="M73" s="237" t="str">
        <f>VLOOKUP($A73,订货1!$A73:$B315,2,0)</f>
        <v>金牌红葡萄（糖浆）</v>
      </c>
      <c r="N73" s="72">
        <f t="shared" si="11"/>
        <v>45978</v>
      </c>
      <c r="O73" s="49" t="str">
        <f>VLOOKUP($A73,订货1!$A73:$C315,3,0)</f>
        <v>常温</v>
      </c>
      <c r="P73" s="44" t="str">
        <f>VLOOKUP($A73,订货1!$A73:$E315,5,0)</f>
        <v>5kg*4pc</v>
      </c>
      <c r="Q73" s="49" t="str">
        <f>VLOOKUP($A73,订货1!$A73:$F315,6,0)</f>
        <v>箱</v>
      </c>
      <c r="R73" s="167">
        <f t="shared" ca="1" si="8"/>
        <v>0</v>
      </c>
      <c r="S73" s="105" t="s">
        <v>404</v>
      </c>
      <c r="T73" s="85">
        <f ca="1">SUMIF(预估营业额3!$B$3:$B$39,"&gt;="&amp;$H$2,预估营业额3!$E$3:$E$39)-SUMIF(预估营业额3!$B$3:$B$39,"&gt;"&amp;N73,预估营业额3!$E$3:$E$39)</f>
        <v>0</v>
      </c>
      <c r="U73" s="219">
        <v>3.8440570877423502E-2</v>
      </c>
      <c r="V73" s="168">
        <v>1</v>
      </c>
      <c r="W73" s="182">
        <f t="shared" ca="1" si="9"/>
        <v>0</v>
      </c>
      <c r="X73" s="214">
        <v>1</v>
      </c>
      <c r="Y73" s="62">
        <f t="shared" si="10"/>
        <v>0</v>
      </c>
      <c r="Z73" s="54"/>
      <c r="AA73" s="54"/>
      <c r="AB73" s="222"/>
      <c r="AC73" s="222">
        <v>1</v>
      </c>
      <c r="AD73" s="222"/>
      <c r="AE73" s="222"/>
      <c r="AF73" s="222"/>
      <c r="AG73" s="222"/>
      <c r="AH73" s="222"/>
      <c r="AI73" s="222"/>
      <c r="AJ73" s="222"/>
      <c r="AK73" s="222"/>
      <c r="AL73" s="222"/>
      <c r="AM73" s="222"/>
      <c r="AN73" s="222"/>
      <c r="AO73" s="222"/>
      <c r="AP73" s="222"/>
      <c r="AQ73" s="222"/>
      <c r="AR73" s="222"/>
      <c r="AS73" s="222"/>
      <c r="AT73" s="222"/>
      <c r="AU73" s="222"/>
      <c r="AV73" s="222"/>
      <c r="AW73" s="222"/>
      <c r="AX73" s="222"/>
      <c r="AY73" s="222"/>
      <c r="AZ73" s="222"/>
      <c r="BA73" s="222"/>
      <c r="BB73" s="222"/>
      <c r="BC73" s="222"/>
      <c r="BD73" s="222"/>
      <c r="BE73" s="222"/>
      <c r="BF73" s="222"/>
      <c r="BG73" s="169" t="str">
        <f>VLOOKUP($A73,订货1!$A73:$I315,9,0)</f>
        <v>由仓库</v>
      </c>
      <c r="BH73" s="47" t="str">
        <f>VLOOKUP($A73,订货1!$A73:$H315,8,0)</f>
        <v>山东泰乐源农业科技有限公司</v>
      </c>
    </row>
    <row r="74" spans="1:60" ht="15.75" customHeight="1">
      <c r="A74" s="300">
        <v>101768</v>
      </c>
      <c r="B74" s="301" t="s">
        <v>815</v>
      </c>
      <c r="C74" s="302" t="s">
        <v>174</v>
      </c>
      <c r="D74" s="301"/>
      <c r="E74" s="301" t="s">
        <v>817</v>
      </c>
      <c r="F74" s="301" t="s">
        <v>18</v>
      </c>
      <c r="G74" s="301" t="s">
        <v>117</v>
      </c>
      <c r="H74" s="301" t="s">
        <v>816</v>
      </c>
      <c r="I74" s="71" t="s">
        <v>197</v>
      </c>
      <c r="J74" s="68" t="s">
        <v>596</v>
      </c>
      <c r="K74" s="275">
        <f>VLOOKUP($A74,订货1!$A74:$A316,1,0)</f>
        <v>101768</v>
      </c>
      <c r="L74" s="276" t="str">
        <f>VLOOKUP($A74,订货1!$A74:$G316,7,0)</f>
        <v>辣西西里（北京）国际贸易有限公司</v>
      </c>
      <c r="M74" s="277" t="str">
        <f>VLOOKUP($A74,订货1!$A74:$B316,2,0)</f>
        <v>苹果派</v>
      </c>
      <c r="N74" s="289">
        <f t="shared" si="11"/>
        <v>45978</v>
      </c>
      <c r="O74" s="290" t="str">
        <f>VLOOKUP($A74,订货1!$A74:$C316,3,0)</f>
        <v>冷凍</v>
      </c>
      <c r="P74" s="291" t="str">
        <f>VLOOKUP($A74,订货1!$A74:$E316,5,0)</f>
        <v>76g*7*4pc</v>
      </c>
      <c r="Q74" s="290" t="str">
        <f>VLOOKUP($A74,订货1!$A74:$F316,6,0)</f>
        <v>箱</v>
      </c>
      <c r="R74" s="167">
        <f t="shared" ca="1" si="8"/>
        <v>0</v>
      </c>
      <c r="S74" s="260" t="s">
        <v>207</v>
      </c>
      <c r="T74" s="85">
        <f ca="1">SUMIF(预估营业额3!$B$3:$B$39,"&gt;="&amp;$H$2,预估营业额3!$E$3:$E$39)-SUMIF(预估营业额3!$B$3:$B$39,"&gt;"&amp;N74,预估营业额3!$E$3:$E$39)</f>
        <v>0</v>
      </c>
      <c r="U74" s="219">
        <v>0</v>
      </c>
      <c r="V74" s="168">
        <v>1</v>
      </c>
      <c r="W74" s="182">
        <f t="shared" ca="1" si="9"/>
        <v>0</v>
      </c>
      <c r="X74" s="214">
        <v>0</v>
      </c>
      <c r="Y74" s="62">
        <f t="shared" si="10"/>
        <v>0</v>
      </c>
      <c r="Z74" s="54"/>
      <c r="AA74" s="54"/>
      <c r="AB74" s="222"/>
      <c r="AC74" s="222"/>
      <c r="AD74" s="222"/>
      <c r="AE74" s="222"/>
      <c r="AF74" s="222"/>
      <c r="AG74" s="222"/>
      <c r="AH74" s="222"/>
      <c r="AI74" s="222"/>
      <c r="AJ74" s="222"/>
      <c r="AK74" s="222"/>
      <c r="AL74" s="222"/>
      <c r="AM74" s="222"/>
      <c r="AN74" s="222"/>
      <c r="AO74" s="222"/>
      <c r="AP74" s="222"/>
      <c r="AQ74" s="222"/>
      <c r="AR74" s="222"/>
      <c r="AS74" s="222"/>
      <c r="AT74" s="222"/>
      <c r="AU74" s="222"/>
      <c r="AV74" s="222"/>
      <c r="AW74" s="222"/>
      <c r="AX74" s="222"/>
      <c r="AY74" s="222"/>
      <c r="AZ74" s="222"/>
      <c r="BA74" s="222"/>
      <c r="BB74" s="222"/>
      <c r="BC74" s="222"/>
      <c r="BD74" s="222"/>
      <c r="BE74" s="222"/>
      <c r="BF74" s="222"/>
      <c r="BG74" s="169" t="str">
        <f>VLOOKUP($A74,订货1!$A74:$I316,9,0)</f>
        <v>由仓库</v>
      </c>
      <c r="BH74" s="47" t="str">
        <f>VLOOKUP($A74,订货1!$A74:$H316,8,0)</f>
        <v>Pan Surgelati Srl</v>
      </c>
    </row>
    <row r="75" spans="1:60" ht="15.75" customHeight="1">
      <c r="A75" s="67">
        <v>101669</v>
      </c>
      <c r="B75" s="68" t="s">
        <v>440</v>
      </c>
      <c r="C75" s="70" t="s">
        <v>175</v>
      </c>
      <c r="D75" s="68"/>
      <c r="E75" s="68" t="s">
        <v>442</v>
      </c>
      <c r="F75" s="68" t="s">
        <v>48</v>
      </c>
      <c r="G75" s="68" t="s">
        <v>117</v>
      </c>
      <c r="H75" s="68" t="s">
        <v>441</v>
      </c>
      <c r="I75" s="71" t="s">
        <v>197</v>
      </c>
      <c r="J75" s="68" t="s">
        <v>70</v>
      </c>
      <c r="K75" s="236">
        <f>VLOOKUP($A75,订货1!$A75:$A317,1,0)</f>
        <v>101669</v>
      </c>
      <c r="L75" s="245" t="str">
        <f>VLOOKUP($A75,订货1!$A75:$G317,7,0)</f>
        <v>辣西西里（北京）国际贸易有限公司</v>
      </c>
      <c r="M75" s="237" t="str">
        <f>VLOOKUP($A75,订货1!$A75:$B317,2,0)</f>
        <v>辣西西里摩德纳黑醋</v>
      </c>
      <c r="N75" s="72">
        <f t="shared" si="11"/>
        <v>45978</v>
      </c>
      <c r="O75" s="49" t="str">
        <f>VLOOKUP($A75,订货1!$A75:$C317,3,0)</f>
        <v>常温</v>
      </c>
      <c r="P75" s="44" t="str">
        <f>VLOOKUP($A75,订货1!$A75:$E317,5,0)</f>
        <v>0.5l</v>
      </c>
      <c r="Q75" s="49" t="str">
        <f>VLOOKUP($A75,订货1!$A75:$F317,6,0)</f>
        <v>瓶</v>
      </c>
      <c r="R75" s="167">
        <f t="shared" ca="1" si="8"/>
        <v>0</v>
      </c>
      <c r="S75" s="228" t="s">
        <v>447</v>
      </c>
      <c r="T75" s="85">
        <f ca="1">SUMIF(预估营业额3!$B$3:$B$39,"&gt;="&amp;$H$2,预估营业额3!$E$3:$E$39)-SUMIF(预估营业额3!$B$3:$B$39,"&gt;"&amp;N75,预估营业额3!$E$3:$E$39)</f>
        <v>0</v>
      </c>
      <c r="U75" s="219">
        <v>4.1935168229916546E-2</v>
      </c>
      <c r="V75" s="168">
        <v>1</v>
      </c>
      <c r="W75" s="182">
        <f t="shared" ca="1" si="9"/>
        <v>0</v>
      </c>
      <c r="X75" s="214">
        <v>1</v>
      </c>
      <c r="Y75" s="62">
        <f t="shared" si="10"/>
        <v>0</v>
      </c>
      <c r="Z75" s="54"/>
      <c r="AA75" s="54"/>
      <c r="AB75" s="222"/>
      <c r="AC75" s="222"/>
      <c r="AD75" s="222"/>
      <c r="AE75" s="222"/>
      <c r="AF75" s="222"/>
      <c r="AG75" s="222"/>
      <c r="AH75" s="222"/>
      <c r="AI75" s="222"/>
      <c r="AJ75" s="222"/>
      <c r="AK75" s="222"/>
      <c r="AL75" s="222"/>
      <c r="AM75" s="222">
        <v>1</v>
      </c>
      <c r="AN75" s="222"/>
      <c r="AO75" s="222"/>
      <c r="AP75" s="222"/>
      <c r="AQ75" s="222"/>
      <c r="AR75" s="222"/>
      <c r="AS75" s="222"/>
      <c r="AT75" s="222"/>
      <c r="AU75" s="222"/>
      <c r="AV75" s="222"/>
      <c r="AW75" s="222"/>
      <c r="AX75" s="222"/>
      <c r="AY75" s="222"/>
      <c r="AZ75" s="222"/>
      <c r="BA75" s="222"/>
      <c r="BB75" s="222"/>
      <c r="BC75" s="222"/>
      <c r="BD75" s="222"/>
      <c r="BE75" s="222"/>
      <c r="BF75" s="222"/>
      <c r="BG75" s="169" t="str">
        <f>VLOOKUP($A75,订货1!$A75:$I317,9,0)</f>
        <v>由仓库</v>
      </c>
      <c r="BH75" s="47" t="str">
        <f>VLOOKUP($A75,订货1!$A75:$H317,8,0)</f>
        <v>Fattorie Giacobazzi srl</v>
      </c>
    </row>
    <row r="76" spans="1:60" ht="15.75" customHeight="1">
      <c r="A76" s="173">
        <v>101709</v>
      </c>
      <c r="B76" s="172" t="s">
        <v>526</v>
      </c>
      <c r="C76" s="224" t="s">
        <v>174</v>
      </c>
      <c r="D76" s="68"/>
      <c r="E76" s="68" t="s">
        <v>745</v>
      </c>
      <c r="F76" s="68" t="s">
        <v>18</v>
      </c>
      <c r="G76" s="68" t="s">
        <v>443</v>
      </c>
      <c r="H76" s="68" t="s">
        <v>443</v>
      </c>
      <c r="I76" s="71" t="s">
        <v>197</v>
      </c>
      <c r="J76" s="68" t="s">
        <v>71</v>
      </c>
      <c r="K76" s="234">
        <f>VLOOKUP($A76,订货1!$A76:$A318,1,0)</f>
        <v>101709</v>
      </c>
      <c r="L76" s="244" t="str">
        <f>VLOOKUP($A76,订货1!$A76:$G318,7,0)</f>
        <v>广州萨莉亚食品有限公司</v>
      </c>
      <c r="M76" s="235" t="str">
        <f>VLOOKUP($A76,订货1!$A76:$B318,2,0)</f>
        <v>蒜蓉辣椒酱</v>
      </c>
      <c r="N76" s="72">
        <f t="shared" si="11"/>
        <v>45978</v>
      </c>
      <c r="O76" s="49" t="str">
        <f>VLOOKUP($A76,订货1!$A76:$C318,3,0)</f>
        <v>冷凍</v>
      </c>
      <c r="P76" s="44" t="str">
        <f>VLOOKUP($A76,订货1!$A76:$E318,5,0)</f>
        <v>500g*20pc</v>
      </c>
      <c r="Q76" s="49" t="str">
        <f>VLOOKUP($A76,订货1!$A76:$F318,6,0)</f>
        <v>箱</v>
      </c>
      <c r="R76" s="167">
        <f t="shared" ca="1" si="8"/>
        <v>0</v>
      </c>
      <c r="S76" s="228" t="s">
        <v>447</v>
      </c>
      <c r="T76" s="85">
        <f ca="1">SUMIF(预估营业额3!$B$3:$B$39,"&gt;="&amp;$H$2,预估营业额3!$E$3:$E$39)-SUMIF(预估营业额3!$B$3:$B$39,"&gt;"&amp;N76,预估营业额3!$E$3:$E$39)</f>
        <v>0</v>
      </c>
      <c r="U76" s="219">
        <v>3.0123429178490049E-2</v>
      </c>
      <c r="V76" s="168">
        <v>1.1000000000000001</v>
      </c>
      <c r="W76" s="182">
        <f t="shared" ca="1" si="9"/>
        <v>0</v>
      </c>
      <c r="X76" s="214">
        <v>0.32</v>
      </c>
      <c r="Y76" s="62">
        <f t="shared" si="10"/>
        <v>1</v>
      </c>
      <c r="Z76" s="54">
        <v>1</v>
      </c>
      <c r="AA76" s="54"/>
      <c r="AB76" s="222"/>
      <c r="AC76" s="222"/>
      <c r="AD76" s="222"/>
      <c r="AE76" s="222"/>
      <c r="AF76" s="222"/>
      <c r="AG76" s="222"/>
      <c r="AH76" s="222"/>
      <c r="AI76" s="222"/>
      <c r="AJ76" s="222"/>
      <c r="AK76" s="222"/>
      <c r="AL76" s="222"/>
      <c r="AM76" s="222"/>
      <c r="AN76" s="222">
        <v>1</v>
      </c>
      <c r="AO76" s="222"/>
      <c r="AP76" s="222"/>
      <c r="AQ76" s="222"/>
      <c r="AR76" s="222"/>
      <c r="AS76" s="222"/>
      <c r="AT76" s="222"/>
      <c r="AU76" s="222"/>
      <c r="AV76" s="222"/>
      <c r="AW76" s="222"/>
      <c r="AX76" s="222"/>
      <c r="AY76" s="222"/>
      <c r="AZ76" s="222"/>
      <c r="BA76" s="222"/>
      <c r="BB76" s="222"/>
      <c r="BC76" s="222"/>
      <c r="BD76" s="222"/>
      <c r="BE76" s="222"/>
      <c r="BF76" s="222"/>
      <c r="BG76" s="169" t="str">
        <f>VLOOKUP($A76,订货1!$A76:$I318,9,0)</f>
        <v>由仓库</v>
      </c>
      <c r="BH76" s="47" t="str">
        <f>VLOOKUP($A76,订货1!$A76:$H318,8,0)</f>
        <v>广州萨莉亚食品有限公司</v>
      </c>
    </row>
    <row r="77" spans="1:60" ht="15.75" customHeight="1">
      <c r="A77" s="173">
        <v>101710</v>
      </c>
      <c r="B77" s="172" t="s">
        <v>524</v>
      </c>
      <c r="C77" s="69" t="s">
        <v>174</v>
      </c>
      <c r="D77" s="68"/>
      <c r="E77" s="68" t="s">
        <v>525</v>
      </c>
      <c r="F77" s="68" t="s">
        <v>27</v>
      </c>
      <c r="G77" s="68" t="s">
        <v>117</v>
      </c>
      <c r="H77" s="68" t="s">
        <v>170</v>
      </c>
      <c r="I77" s="71" t="s">
        <v>197</v>
      </c>
      <c r="J77" s="68" t="s">
        <v>597</v>
      </c>
      <c r="K77" s="234">
        <f>VLOOKUP($A77,订货1!$A77:$A319,1,0)</f>
        <v>101710</v>
      </c>
      <c r="L77" s="244" t="str">
        <f>VLOOKUP($A77,订货1!$A77:$G319,7,0)</f>
        <v>辣西西里（北京）国际贸易有限公司</v>
      </c>
      <c r="M77" s="235" t="str">
        <f>VLOOKUP($A77,订货1!$A77:$B319,2,0)</f>
        <v>双层手指饼提拉米苏蛋糕</v>
      </c>
      <c r="N77" s="72">
        <f t="shared" si="11"/>
        <v>45978</v>
      </c>
      <c r="O77" s="49" t="str">
        <f>VLOOKUP($A77,订货1!$A77:$C319,3,0)</f>
        <v>冷凍</v>
      </c>
      <c r="P77" s="44" t="str">
        <f>VLOOKUP($A77,订货1!$A77:$E319,5,0)</f>
        <v>85g*8个/盒</v>
      </c>
      <c r="Q77" s="49" t="str">
        <f>VLOOKUP($A77,订货1!$A77:$F319,6,0)</f>
        <v>盒</v>
      </c>
      <c r="R77" s="167">
        <f t="shared" ca="1" si="8"/>
        <v>0</v>
      </c>
      <c r="S77" s="228" t="s">
        <v>199</v>
      </c>
      <c r="T77" s="85">
        <f ca="1">SUMIF(预估营业额3!$B$3:$B$39,"&gt;="&amp;$H$2,预估营业额3!$E$3:$E$39)-SUMIF(预估营业额3!$B$3:$B$39,"&gt;"&amp;N77,预估营业额3!$E$3:$E$39)</f>
        <v>0</v>
      </c>
      <c r="U77" s="219">
        <v>0.47526523993905423</v>
      </c>
      <c r="V77" s="168">
        <v>1</v>
      </c>
      <c r="W77" s="182">
        <f t="shared" ca="1" si="9"/>
        <v>0</v>
      </c>
      <c r="X77" s="214">
        <v>3</v>
      </c>
      <c r="Y77" s="62">
        <f t="shared" si="10"/>
        <v>1</v>
      </c>
      <c r="Z77" s="54">
        <v>1</v>
      </c>
      <c r="AA77" s="54"/>
      <c r="AB77" s="222">
        <v>1</v>
      </c>
      <c r="AC77" s="222"/>
      <c r="AD77" s="222"/>
      <c r="AE77" s="222">
        <v>1</v>
      </c>
      <c r="AF77" s="222">
        <v>1</v>
      </c>
      <c r="AG77" s="222">
        <v>2</v>
      </c>
      <c r="AH77" s="222">
        <v>2</v>
      </c>
      <c r="AI77" s="222"/>
      <c r="AJ77" s="222">
        <v>2</v>
      </c>
      <c r="AK77" s="222"/>
      <c r="AL77" s="222"/>
      <c r="AM77" s="222">
        <v>2</v>
      </c>
      <c r="AN77" s="222">
        <v>1</v>
      </c>
      <c r="AO77" s="222">
        <v>1</v>
      </c>
      <c r="AP77" s="222"/>
      <c r="AQ77" s="222"/>
      <c r="AR77" s="222"/>
      <c r="AS77" s="222"/>
      <c r="AT77" s="222"/>
      <c r="AU77" s="222"/>
      <c r="AV77" s="222"/>
      <c r="AW77" s="222"/>
      <c r="AX77" s="222"/>
      <c r="AY77" s="222"/>
      <c r="AZ77" s="222"/>
      <c r="BA77" s="222"/>
      <c r="BB77" s="222"/>
      <c r="BC77" s="222"/>
      <c r="BD77" s="222"/>
      <c r="BE77" s="222"/>
      <c r="BF77" s="222"/>
      <c r="BG77" s="169" t="str">
        <f>VLOOKUP($A77,订货1!$A77:$I319,9,0)</f>
        <v>由仓库</v>
      </c>
      <c r="BH77" s="47" t="str">
        <f>VLOOKUP($A77,订货1!$A77:$H319,8,0)</f>
        <v>Dolceria Alba SPA</v>
      </c>
    </row>
    <row r="78" spans="1:60" ht="15.75" hidden="1" customHeight="1">
      <c r="A78" s="300">
        <v>101770</v>
      </c>
      <c r="B78" s="301" t="s">
        <v>841</v>
      </c>
      <c r="C78" s="302" t="s">
        <v>174</v>
      </c>
      <c r="D78" s="301"/>
      <c r="E78" s="301" t="s">
        <v>843</v>
      </c>
      <c r="F78" s="301" t="s">
        <v>18</v>
      </c>
      <c r="G78" s="301" t="s">
        <v>117</v>
      </c>
      <c r="H78" s="301" t="s">
        <v>842</v>
      </c>
      <c r="I78" s="71" t="s">
        <v>197</v>
      </c>
      <c r="J78" s="68" t="s">
        <v>72</v>
      </c>
      <c r="K78" s="270">
        <f>VLOOKUP($A78,订货1!$A78:$A320,1,0)</f>
        <v>101770</v>
      </c>
      <c r="L78" s="271" t="str">
        <f>VLOOKUP($A78,订货1!$A78:$G320,7,0)</f>
        <v>辣西西里（北京）国际贸易有限公司</v>
      </c>
      <c r="M78" s="272" t="str">
        <f>VLOOKUP($A78,订货1!$A78:$B320,2,0)</f>
        <v>辣西西-布拉塔干酪（迷你）</v>
      </c>
      <c r="N78" s="297">
        <f t="shared" si="11"/>
        <v>45978</v>
      </c>
      <c r="O78" s="280" t="str">
        <f>VLOOKUP($A78,订货1!$A78:$C320,3,0)</f>
        <v>冷凍</v>
      </c>
      <c r="P78" s="279" t="str">
        <f>VLOOKUP($A78,订货1!$A78:$E320,5,0)</f>
        <v>200g*8盒</v>
      </c>
      <c r="Q78" s="49" t="str">
        <f>VLOOKUP($A78,订货1!$A78:$F320,6,0)</f>
        <v>箱</v>
      </c>
      <c r="R78" s="167">
        <f t="shared" ca="1" si="8"/>
        <v>0</v>
      </c>
      <c r="S78" s="260" t="s">
        <v>207</v>
      </c>
      <c r="T78" s="85">
        <f ca="1">SUMIF(预估营业额3!$B$3:$B$39,"&gt;="&amp;$H$2,预估营业额3!$E$3:$E$39)-SUMIF(预估营业额3!$B$3:$B$39,"&gt;"&amp;N78,预估营业额3!$E$3:$E$39)</f>
        <v>0</v>
      </c>
      <c r="U78" s="219">
        <v>0</v>
      </c>
      <c r="V78" s="168">
        <v>1</v>
      </c>
      <c r="W78" s="182">
        <f t="shared" ca="1" si="9"/>
        <v>0</v>
      </c>
      <c r="X78" s="214">
        <v>0</v>
      </c>
      <c r="Y78" s="62">
        <f t="shared" si="10"/>
        <v>0</v>
      </c>
      <c r="Z78" s="54"/>
      <c r="AA78" s="54"/>
      <c r="AB78" s="222"/>
      <c r="AC78" s="222"/>
      <c r="AD78" s="222"/>
      <c r="AE78" s="222"/>
      <c r="AF78" s="222"/>
      <c r="AG78" s="222"/>
      <c r="AH78" s="222"/>
      <c r="AI78" s="222"/>
      <c r="AJ78" s="222"/>
      <c r="AK78" s="222"/>
      <c r="AL78" s="222"/>
      <c r="AM78" s="222"/>
      <c r="AN78" s="222"/>
      <c r="AO78" s="222"/>
      <c r="AP78" s="222"/>
      <c r="AQ78" s="222"/>
      <c r="AR78" s="222"/>
      <c r="AS78" s="222"/>
      <c r="AT78" s="222"/>
      <c r="AU78" s="222"/>
      <c r="AV78" s="222"/>
      <c r="AW78" s="222"/>
      <c r="AX78" s="222"/>
      <c r="AY78" s="222"/>
      <c r="AZ78" s="222"/>
      <c r="BA78" s="222"/>
      <c r="BB78" s="222"/>
      <c r="BC78" s="222"/>
      <c r="BD78" s="222"/>
      <c r="BE78" s="222"/>
      <c r="BF78" s="222"/>
      <c r="BG78" s="169" t="str">
        <f>VLOOKUP($A78,订货1!$A78:$I320,9,0)</f>
        <v>由仓库</v>
      </c>
      <c r="BH78" s="47" t="str">
        <f>VLOOKUP($A78,订货1!$A78:$H320,8,0)</f>
        <v>FORMALACTIS S.r.L</v>
      </c>
    </row>
    <row r="79" spans="1:60" ht="15.75" customHeight="1">
      <c r="A79" s="255">
        <v>101747</v>
      </c>
      <c r="B79" s="256" t="s">
        <v>736</v>
      </c>
      <c r="C79" s="69" t="s">
        <v>174</v>
      </c>
      <c r="D79" s="68"/>
      <c r="E79" s="68" t="s">
        <v>737</v>
      </c>
      <c r="F79" s="68" t="s">
        <v>18</v>
      </c>
      <c r="G79" s="68" t="s">
        <v>521</v>
      </c>
      <c r="H79" s="68" t="s">
        <v>521</v>
      </c>
      <c r="I79" s="71" t="s">
        <v>197</v>
      </c>
      <c r="J79" s="68" t="s">
        <v>73</v>
      </c>
      <c r="K79" s="257">
        <f>VLOOKUP($A79,订货1!$A79:$A321,1,0)</f>
        <v>101747</v>
      </c>
      <c r="L79" s="258" t="str">
        <f>VLOOKUP($A79,订货1!$A79:$G321,7,0)</f>
        <v>麦西恩食品（上海）有限公司</v>
      </c>
      <c r="M79" s="259" t="str">
        <f>VLOOKUP($A79,订货1!$A79:$B321,2,0)</f>
        <v xml:space="preserve">8英寸薄脆比萨饼底 </v>
      </c>
      <c r="N79" s="72">
        <f t="shared" si="11"/>
        <v>45978</v>
      </c>
      <c r="O79" s="49" t="str">
        <f>VLOOKUP($A79,订货1!$A79:$C321,3,0)</f>
        <v>冷凍</v>
      </c>
      <c r="P79" s="44" t="str">
        <f>VLOOKUP($A79,订货1!$A79:$E321,5,0)</f>
        <v>4pc*15</v>
      </c>
      <c r="Q79" s="49" t="str">
        <f>VLOOKUP($A79,订货1!$A79:$F321,6,0)</f>
        <v>箱</v>
      </c>
      <c r="R79" s="167">
        <f t="shared" ca="1" si="8"/>
        <v>0</v>
      </c>
      <c r="S79" s="228" t="s">
        <v>447</v>
      </c>
      <c r="T79" s="85">
        <f ca="1">SUMIF(预估营业额3!$B$3:$B$39,"&gt;="&amp;$H$2,预估营业额3!$E$3:$E$39)-SUMIF(预估营业额3!$B$3:$B$39,"&gt;"&amp;N79,预估营业额3!$E$3:$E$39)</f>
        <v>0</v>
      </c>
      <c r="U79" s="219">
        <v>0.4</v>
      </c>
      <c r="V79" s="168">
        <v>1</v>
      </c>
      <c r="W79" s="182">
        <f t="shared" ca="1" si="9"/>
        <v>0</v>
      </c>
      <c r="X79" s="214">
        <v>2</v>
      </c>
      <c r="Y79" s="62">
        <f t="shared" si="10"/>
        <v>1</v>
      </c>
      <c r="Z79" s="54">
        <v>1</v>
      </c>
      <c r="AA79" s="54"/>
      <c r="AB79" s="222"/>
      <c r="AC79" s="222">
        <v>1</v>
      </c>
      <c r="AD79" s="222"/>
      <c r="AE79" s="222"/>
      <c r="AF79" s="222">
        <v>1</v>
      </c>
      <c r="AG79" s="222">
        <v>2</v>
      </c>
      <c r="AH79" s="222"/>
      <c r="AI79" s="222">
        <v>2</v>
      </c>
      <c r="AJ79" s="222"/>
      <c r="AK79" s="222"/>
      <c r="AL79" s="222"/>
      <c r="AM79" s="222">
        <v>3</v>
      </c>
      <c r="AN79" s="222">
        <v>1</v>
      </c>
      <c r="AO79" s="222">
        <v>1</v>
      </c>
      <c r="AP79" s="222"/>
      <c r="AQ79" s="222"/>
      <c r="AR79" s="222"/>
      <c r="AS79" s="222"/>
      <c r="AT79" s="222"/>
      <c r="AU79" s="222"/>
      <c r="AV79" s="222"/>
      <c r="AW79" s="222"/>
      <c r="AX79" s="222"/>
      <c r="AY79" s="222"/>
      <c r="AZ79" s="222"/>
      <c r="BA79" s="222"/>
      <c r="BB79" s="222"/>
      <c r="BC79" s="222"/>
      <c r="BD79" s="222"/>
      <c r="BE79" s="222"/>
      <c r="BF79" s="222"/>
      <c r="BG79" s="169" t="str">
        <f>VLOOKUP($A79,订货1!$A79:$I321,9,0)</f>
        <v>由仓库</v>
      </c>
      <c r="BH79" s="47" t="str">
        <f>VLOOKUP($A79,订货1!$A79:$H321,8,0)</f>
        <v>麦西恩食品（上海）有限公司</v>
      </c>
    </row>
    <row r="80" spans="1:60" ht="15.75" customHeight="1">
      <c r="A80" s="67">
        <v>101682</v>
      </c>
      <c r="B80" s="68" t="s">
        <v>462</v>
      </c>
      <c r="C80" s="69" t="s">
        <v>174</v>
      </c>
      <c r="D80" s="68"/>
      <c r="E80" s="68" t="s">
        <v>535</v>
      </c>
      <c r="F80" s="68" t="s">
        <v>18</v>
      </c>
      <c r="G80" s="68" t="s">
        <v>446</v>
      </c>
      <c r="H80" s="68" t="s">
        <v>446</v>
      </c>
      <c r="I80" s="71" t="s">
        <v>197</v>
      </c>
      <c r="J80" s="68" t="s">
        <v>74</v>
      </c>
      <c r="K80" s="236">
        <f>VLOOKUP($A80,订货1!$A80:$A322,1,0)</f>
        <v>101682</v>
      </c>
      <c r="L80" s="245" t="str">
        <f>VLOOKUP($A80,订货1!$A80:$G322,7,0)</f>
        <v>山東三涛食品有限公司</v>
      </c>
      <c r="M80" s="237" t="str">
        <f>VLOOKUP($A80,订货1!$A80:$B322,2,0)</f>
        <v>冷冻西兰花</v>
      </c>
      <c r="N80" s="72">
        <f t="shared" si="11"/>
        <v>45978</v>
      </c>
      <c r="O80" s="49" t="str">
        <f>VLOOKUP($A80,订货1!$A80:$C322,3,0)</f>
        <v>冷凍</v>
      </c>
      <c r="P80" s="44" t="str">
        <f>VLOOKUP($A80,订货1!$A80:$E322,5,0)</f>
        <v>1kg*6pc</v>
      </c>
      <c r="Q80" s="186" t="str">
        <f>VLOOKUP($A80,订货1!$A80:$F322,6,0)</f>
        <v>箱</v>
      </c>
      <c r="R80" s="167">
        <f t="shared" ca="1" si="8"/>
        <v>0</v>
      </c>
      <c r="S80" s="105" t="s">
        <v>199</v>
      </c>
      <c r="T80" s="85">
        <f ca="1">SUMIF(预估营业额3!$B$3:$B$39,"&gt;="&amp;$H$2,预估营业额3!$E$3:$E$39)-SUMIF(预估营业额3!$B$3:$B$39,"&gt;"&amp;N80,预估营业额3!$E$3:$E$39)</f>
        <v>0</v>
      </c>
      <c r="U80" s="219">
        <v>0.11</v>
      </c>
      <c r="V80" s="168">
        <v>1</v>
      </c>
      <c r="W80" s="182">
        <f t="shared" ca="1" si="9"/>
        <v>0</v>
      </c>
      <c r="X80" s="214">
        <v>0.9</v>
      </c>
      <c r="Y80" s="62">
        <f t="shared" si="10"/>
        <v>0</v>
      </c>
      <c r="Z80" s="54"/>
      <c r="AA80" s="54"/>
      <c r="AB80" s="222"/>
      <c r="AC80" s="222">
        <v>1</v>
      </c>
      <c r="AD80" s="222"/>
      <c r="AE80" s="222"/>
      <c r="AF80" s="222">
        <v>1</v>
      </c>
      <c r="AG80" s="222"/>
      <c r="AH80" s="222"/>
      <c r="AI80" s="222">
        <v>1</v>
      </c>
      <c r="AJ80" s="222"/>
      <c r="AK80" s="222"/>
      <c r="AL80" s="222"/>
      <c r="AM80" s="222">
        <v>1</v>
      </c>
      <c r="AN80" s="222"/>
      <c r="AO80" s="222">
        <v>1</v>
      </c>
      <c r="AP80" s="222"/>
      <c r="AQ80" s="222"/>
      <c r="AR80" s="222"/>
      <c r="AS80" s="222"/>
      <c r="AT80" s="222"/>
      <c r="AU80" s="222"/>
      <c r="AV80" s="222"/>
      <c r="AW80" s="222"/>
      <c r="AX80" s="222"/>
      <c r="AY80" s="222"/>
      <c r="AZ80" s="222"/>
      <c r="BA80" s="222"/>
      <c r="BB80" s="222"/>
      <c r="BC80" s="222"/>
      <c r="BD80" s="222"/>
      <c r="BE80" s="222"/>
      <c r="BF80" s="222"/>
      <c r="BG80" s="169" t="str">
        <f>VLOOKUP($A80,订货1!$A80:$I322,9,0)</f>
        <v>由仓库</v>
      </c>
      <c r="BH80" s="47" t="str">
        <f>VLOOKUP($A80,订货1!$A80:$H322,8,0)</f>
        <v>山東三涛食品有限公司</v>
      </c>
    </row>
    <row r="81" spans="1:60" ht="15.75" customHeight="1">
      <c r="A81" s="67">
        <v>101073</v>
      </c>
      <c r="B81" s="68" t="s">
        <v>151</v>
      </c>
      <c r="C81" s="69" t="s">
        <v>174</v>
      </c>
      <c r="D81" s="68"/>
      <c r="E81" s="68" t="s">
        <v>256</v>
      </c>
      <c r="F81" s="68" t="s">
        <v>18</v>
      </c>
      <c r="G81" s="68" t="s">
        <v>338</v>
      </c>
      <c r="H81" s="68" t="s">
        <v>338</v>
      </c>
      <c r="I81" s="71" t="s">
        <v>197</v>
      </c>
      <c r="J81" s="68" t="s">
        <v>75</v>
      </c>
      <c r="K81" s="236">
        <f>VLOOKUP($A81,订货1!$A81:$A323,1,0)</f>
        <v>101073</v>
      </c>
      <c r="L81" s="245" t="str">
        <f>VLOOKUP($A81,订货1!$A81:$G323,7,0)</f>
        <v>嘉兴市潜鑫食品有限公司</v>
      </c>
      <c r="M81" s="237" t="str">
        <f>VLOOKUP($A81,订货1!$A81:$B323,2,0)</f>
        <v>萨莉亚速冻蜗牛肉</v>
      </c>
      <c r="N81" s="72">
        <f t="shared" si="11"/>
        <v>45978</v>
      </c>
      <c r="O81" s="49" t="str">
        <f>VLOOKUP($A81,订货1!$A81:$C323,3,0)</f>
        <v>冷凍</v>
      </c>
      <c r="P81" s="44" t="str">
        <f>VLOOKUP($A81,订货1!$A81:$E323,5,0)</f>
        <v>1kg*12pc</v>
      </c>
      <c r="Q81" s="49" t="str">
        <f>VLOOKUP($A81,订货1!$A81:$F323,6,0)</f>
        <v>箱</v>
      </c>
      <c r="R81" s="167">
        <f t="shared" ca="1" si="8"/>
        <v>0</v>
      </c>
      <c r="S81" s="105" t="s">
        <v>199</v>
      </c>
      <c r="T81" s="85">
        <f ca="1">SUMIF(预估营业额3!$B$3:$B$39,"&gt;="&amp;$H$2,预估营业额3!$E$3:$E$39)-SUMIF(预估营业额3!$B$3:$B$39,"&gt;"&amp;N81,预估营业额3!$E$3:$E$39)</f>
        <v>0</v>
      </c>
      <c r="U81" s="219">
        <v>8.9299076960352636E-2</v>
      </c>
      <c r="V81" s="168">
        <v>1</v>
      </c>
      <c r="W81" s="182">
        <f t="shared" ca="1" si="9"/>
        <v>0</v>
      </c>
      <c r="X81" s="214">
        <v>0.5</v>
      </c>
      <c r="Y81" s="62">
        <f t="shared" si="10"/>
        <v>1</v>
      </c>
      <c r="Z81" s="54">
        <v>1</v>
      </c>
      <c r="AA81" s="54"/>
      <c r="AB81" s="222"/>
      <c r="AC81" s="222"/>
      <c r="AD81" s="222"/>
      <c r="AE81" s="222"/>
      <c r="AF81" s="222">
        <v>1</v>
      </c>
      <c r="AG81" s="222"/>
      <c r="AH81" s="222"/>
      <c r="AI81" s="222"/>
      <c r="AJ81" s="222">
        <v>1</v>
      </c>
      <c r="AK81" s="222"/>
      <c r="AL81" s="222"/>
      <c r="AM81" s="222"/>
      <c r="AN81" s="222">
        <v>1</v>
      </c>
      <c r="AO81" s="222"/>
      <c r="AP81" s="222"/>
      <c r="AQ81" s="222"/>
      <c r="AR81" s="222"/>
      <c r="AS81" s="222"/>
      <c r="AT81" s="222"/>
      <c r="AU81" s="222"/>
      <c r="AV81" s="222"/>
      <c r="AW81" s="222"/>
      <c r="AX81" s="222"/>
      <c r="AY81" s="222"/>
      <c r="AZ81" s="222"/>
      <c r="BA81" s="222"/>
      <c r="BB81" s="222"/>
      <c r="BC81" s="222"/>
      <c r="BD81" s="222"/>
      <c r="BE81" s="222"/>
      <c r="BF81" s="222"/>
      <c r="BG81" s="169" t="str">
        <f>VLOOKUP($A81,订货1!$A81:$I323,9,0)</f>
        <v>由仓库</v>
      </c>
      <c r="BH81" s="47" t="str">
        <f>VLOOKUP($A81,订货1!$A81:$H323,8,0)</f>
        <v>嘉兴市潜鑫食品有限公司</v>
      </c>
    </row>
    <row r="82" spans="1:60" ht="15.75" customHeight="1">
      <c r="A82" s="67">
        <v>720003</v>
      </c>
      <c r="B82" s="68" t="s">
        <v>370</v>
      </c>
      <c r="C82" s="69" t="s">
        <v>176</v>
      </c>
      <c r="D82" s="68"/>
      <c r="E82" s="68" t="s">
        <v>177</v>
      </c>
      <c r="F82" s="68" t="s">
        <v>15</v>
      </c>
      <c r="G82" s="68" t="s">
        <v>130</v>
      </c>
      <c r="H82" s="68" t="s">
        <v>381</v>
      </c>
      <c r="I82" s="71" t="s">
        <v>198</v>
      </c>
      <c r="J82" s="68" t="s">
        <v>76</v>
      </c>
      <c r="K82" s="236">
        <f>VLOOKUP($A82,订货1!$A82:$A324,1,0)</f>
        <v>720003</v>
      </c>
      <c r="L82" s="245" t="str">
        <f>VLOOKUP($A82,订货1!$A82:$G324,7,0)</f>
        <v>上海百蒂凯蔬果种植专业合作社</v>
      </c>
      <c r="M82" s="237" t="str">
        <f>VLOOKUP($A82,订货1!$A82:$B324,2,0)</f>
        <v>樱桃番茄</v>
      </c>
      <c r="N82" s="229">
        <v>45978</v>
      </c>
      <c r="O82" s="49" t="str">
        <f>VLOOKUP($A82,订货1!$A82:$C324,3,0)</f>
        <v>冷蔵</v>
      </c>
      <c r="P82" s="44" t="str">
        <f>VLOOKUP($A82,订货1!$A82:$E324,5,0)</f>
        <v>0.5kg</v>
      </c>
      <c r="Q82" s="49" t="str">
        <f>VLOOKUP($A82,订货1!$A82:$F324,6,0)</f>
        <v>袋</v>
      </c>
      <c r="R82" s="167">
        <f t="shared" ca="1" si="8"/>
        <v>0</v>
      </c>
      <c r="S82" s="105" t="s">
        <v>404</v>
      </c>
      <c r="T82" s="85">
        <f ca="1">SUMIF(预估营业额3!$B$3:$B$39,"&gt;="&amp;$H$2,预估营业额3!$E$3:$E$39)-SUMIF(预估营业额3!$B$3:$B$39,"&gt;"&amp;N82,预估营业额3!$E$3:$E$39)</f>
        <v>0</v>
      </c>
      <c r="U82" s="219">
        <v>2.4</v>
      </c>
      <c r="V82" s="168">
        <v>1</v>
      </c>
      <c r="W82" s="182">
        <f t="shared" ca="1" si="9"/>
        <v>0</v>
      </c>
      <c r="X82" s="214">
        <v>6</v>
      </c>
      <c r="Y82" s="62">
        <f t="shared" si="10"/>
        <v>11</v>
      </c>
      <c r="Z82" s="54">
        <v>11</v>
      </c>
      <c r="AA82" s="54"/>
      <c r="AB82" s="222"/>
      <c r="AC82" s="222">
        <v>3</v>
      </c>
      <c r="AD82" s="222"/>
      <c r="AE82" s="222">
        <v>6</v>
      </c>
      <c r="AF82" s="222">
        <v>12</v>
      </c>
      <c r="AG82" s="222">
        <v>9</v>
      </c>
      <c r="AH82" s="222">
        <v>2</v>
      </c>
      <c r="AI82" s="222"/>
      <c r="AJ82" s="222">
        <v>8</v>
      </c>
      <c r="AK82" s="222"/>
      <c r="AL82" s="222">
        <v>1</v>
      </c>
      <c r="AM82" s="222">
        <v>8</v>
      </c>
      <c r="AN82" s="222">
        <v>11</v>
      </c>
      <c r="AO82" s="222">
        <v>4</v>
      </c>
      <c r="AP82" s="222"/>
      <c r="AQ82" s="222"/>
      <c r="AR82" s="222"/>
      <c r="AS82" s="222"/>
      <c r="AT82" s="222"/>
      <c r="AU82" s="222"/>
      <c r="AV82" s="222"/>
      <c r="AW82" s="222"/>
      <c r="AX82" s="222"/>
      <c r="AY82" s="222"/>
      <c r="AZ82" s="222"/>
      <c r="BA82" s="222"/>
      <c r="BB82" s="222"/>
      <c r="BC82" s="222"/>
      <c r="BD82" s="222"/>
      <c r="BE82" s="222"/>
      <c r="BF82" s="222"/>
      <c r="BG82" s="169" t="str">
        <f>VLOOKUP($A82,订货1!$A82:$I324,9,0)</f>
        <v>由厂商</v>
      </c>
      <c r="BH82" s="47" t="str">
        <f>VLOOKUP($A82,订货1!$A82:$H324,8,0)</f>
        <v>上海承祖食品有限公司</v>
      </c>
    </row>
    <row r="83" spans="1:60" ht="15.75" customHeight="1">
      <c r="A83" s="273">
        <v>720004</v>
      </c>
      <c r="B83" s="274" t="s">
        <v>786</v>
      </c>
      <c r="C83" s="282" t="s">
        <v>176</v>
      </c>
      <c r="D83" s="274"/>
      <c r="E83" s="274" t="s">
        <v>177</v>
      </c>
      <c r="F83" s="274" t="s">
        <v>15</v>
      </c>
      <c r="G83" s="274" t="s">
        <v>130</v>
      </c>
      <c r="H83" s="274" t="s">
        <v>381</v>
      </c>
      <c r="I83" s="71" t="s">
        <v>198</v>
      </c>
      <c r="J83" s="68" t="s">
        <v>78</v>
      </c>
      <c r="K83" s="275">
        <f>VLOOKUP($A83,订货1!$A83:$A325,1,0)</f>
        <v>720004</v>
      </c>
      <c r="L83" s="276" t="str">
        <f>VLOOKUP($A83,订货1!$A83:$G325,7,0)</f>
        <v>上海百蒂凯蔬果种植专业合作社</v>
      </c>
      <c r="M83" s="277" t="str">
        <f>VLOOKUP($A83,订货1!$A83:$B325,2,0)</f>
        <v>彩椒丝</v>
      </c>
      <c r="N83" s="171">
        <f>$N$82</f>
        <v>45978</v>
      </c>
      <c r="O83" s="49" t="str">
        <f>VLOOKUP($A83,订货1!$A83:$C325,3,0)</f>
        <v>冷蔵</v>
      </c>
      <c r="P83" s="44" t="str">
        <f>VLOOKUP($A83,订货1!$A83:$E325,5,0)</f>
        <v>0.5kg</v>
      </c>
      <c r="Q83" s="49" t="str">
        <f>VLOOKUP($A83,订货1!$A83:$F325,6,0)</f>
        <v>袋</v>
      </c>
      <c r="R83" s="167">
        <f t="shared" ca="1" si="8"/>
        <v>0</v>
      </c>
      <c r="S83" s="260" t="s">
        <v>207</v>
      </c>
      <c r="T83" s="85">
        <f ca="1">SUMIF(预估营业额3!$B$3:$B$39,"&gt;="&amp;$H$2,预估营业额3!$E$3:$E$39)-SUMIF(预估营业额3!$B$3:$B$39,"&gt;"&amp;N83,预估营业额3!$E$3:$E$39)</f>
        <v>0</v>
      </c>
      <c r="U83" s="219">
        <v>0</v>
      </c>
      <c r="V83" s="168">
        <v>1</v>
      </c>
      <c r="W83" s="182">
        <f t="shared" ca="1" si="9"/>
        <v>0</v>
      </c>
      <c r="X83" s="214">
        <v>0</v>
      </c>
      <c r="Y83" s="62">
        <f t="shared" si="10"/>
        <v>0</v>
      </c>
      <c r="Z83" s="54"/>
      <c r="AA83" s="54"/>
      <c r="AB83" s="222"/>
      <c r="AC83" s="222"/>
      <c r="AD83" s="222"/>
      <c r="AE83" s="222"/>
      <c r="AF83" s="222"/>
      <c r="AG83" s="222"/>
      <c r="AH83" s="222"/>
      <c r="AI83" s="222"/>
      <c r="AJ83" s="222"/>
      <c r="AK83" s="222"/>
      <c r="AL83" s="222"/>
      <c r="AM83" s="222"/>
      <c r="AN83" s="222"/>
      <c r="AO83" s="222"/>
      <c r="AP83" s="222"/>
      <c r="AQ83" s="222"/>
      <c r="AR83" s="222"/>
      <c r="AS83" s="222"/>
      <c r="AT83" s="222"/>
      <c r="AU83" s="222"/>
      <c r="AV83" s="222"/>
      <c r="AW83" s="222"/>
      <c r="AX83" s="222"/>
      <c r="AY83" s="222"/>
      <c r="AZ83" s="222"/>
      <c r="BA83" s="222"/>
      <c r="BB83" s="222"/>
      <c r="BC83" s="222"/>
      <c r="BD83" s="222"/>
      <c r="BE83" s="222"/>
      <c r="BF83" s="222"/>
      <c r="BG83" s="169" t="str">
        <f>VLOOKUP($A83,订货1!$A83:$I325,9,0)</f>
        <v>由厂商</v>
      </c>
      <c r="BH83" s="47" t="str">
        <f>VLOOKUP($A83,订货1!$A83:$H325,8,0)</f>
        <v>上海承祖食品有限公司</v>
      </c>
    </row>
    <row r="84" spans="1:60" ht="15.75" customHeight="1">
      <c r="A84" s="67">
        <v>720005</v>
      </c>
      <c r="B84" s="68" t="s">
        <v>20</v>
      </c>
      <c r="C84" s="70" t="s">
        <v>176</v>
      </c>
      <c r="D84" s="68"/>
      <c r="E84" s="68" t="s">
        <v>178</v>
      </c>
      <c r="F84" s="68" t="s">
        <v>15</v>
      </c>
      <c r="G84" s="68" t="s">
        <v>130</v>
      </c>
      <c r="H84" s="68" t="s">
        <v>381</v>
      </c>
      <c r="I84" s="71" t="s">
        <v>198</v>
      </c>
      <c r="J84" s="68" t="s">
        <v>79</v>
      </c>
      <c r="K84" s="236">
        <f>VLOOKUP($A84,订货1!$A84:$A326,1,0)</f>
        <v>720005</v>
      </c>
      <c r="L84" s="245" t="str">
        <f>VLOOKUP($A84,订货1!$A84:$G326,7,0)</f>
        <v>上海百蒂凯蔬果种植专业合作社</v>
      </c>
      <c r="M84" s="237" t="str">
        <f>VLOOKUP($A84,订货1!$A84:$B326,2,0)</f>
        <v>蔬菜底料</v>
      </c>
      <c r="N84" s="171">
        <f t="shared" ref="N84:N94" si="12">$N$82</f>
        <v>45978</v>
      </c>
      <c r="O84" s="49" t="str">
        <f>VLOOKUP($A84,订货1!$A84:$C326,3,0)</f>
        <v>冷蔵</v>
      </c>
      <c r="P84" s="44" t="str">
        <f>VLOOKUP($A84,订货1!$A84:$E326,5,0)</f>
        <v>1kg</v>
      </c>
      <c r="Q84" s="49" t="str">
        <f>VLOOKUP($A84,订货1!$A84:$F326,6,0)</f>
        <v>袋</v>
      </c>
      <c r="R84" s="167">
        <f t="shared" ca="1" si="8"/>
        <v>0</v>
      </c>
      <c r="S84" s="105" t="s">
        <v>404</v>
      </c>
      <c r="T84" s="85">
        <f ca="1">SUMIF(预估营业额3!$B$3:$B$39,"&gt;="&amp;$H$2,预估营业额3!$E$3:$E$39)-SUMIF(预估营业额3!$B$3:$B$39,"&gt;"&amp;N84,预估营业额3!$E$3:$E$39)</f>
        <v>0</v>
      </c>
      <c r="U84" s="219">
        <v>0.76461790072547842</v>
      </c>
      <c r="V84" s="168">
        <v>1</v>
      </c>
      <c r="W84" s="182">
        <f t="shared" ca="1" si="9"/>
        <v>0</v>
      </c>
      <c r="X84" s="214">
        <v>2</v>
      </c>
      <c r="Y84" s="62">
        <f t="shared" si="10"/>
        <v>2</v>
      </c>
      <c r="Z84" s="54">
        <v>2</v>
      </c>
      <c r="AA84" s="54"/>
      <c r="AB84" s="222">
        <v>3</v>
      </c>
      <c r="AC84" s="222">
        <v>1</v>
      </c>
      <c r="AD84" s="222"/>
      <c r="AE84" s="222">
        <v>3</v>
      </c>
      <c r="AF84" s="222">
        <v>3</v>
      </c>
      <c r="AG84" s="222">
        <v>3</v>
      </c>
      <c r="AH84" s="222">
        <v>1</v>
      </c>
      <c r="AI84" s="222">
        <v>2</v>
      </c>
      <c r="AJ84" s="222">
        <v>2</v>
      </c>
      <c r="AK84" s="222"/>
      <c r="AL84" s="222"/>
      <c r="AM84" s="222">
        <v>6</v>
      </c>
      <c r="AN84" s="222">
        <v>2</v>
      </c>
      <c r="AO84" s="222">
        <v>3</v>
      </c>
      <c r="AP84" s="222"/>
      <c r="AQ84" s="222"/>
      <c r="AR84" s="222"/>
      <c r="AS84" s="222"/>
      <c r="AT84" s="222"/>
      <c r="AU84" s="222"/>
      <c r="AV84" s="222"/>
      <c r="AW84" s="222"/>
      <c r="AX84" s="222"/>
      <c r="AY84" s="222"/>
      <c r="AZ84" s="222"/>
      <c r="BA84" s="222"/>
      <c r="BB84" s="222"/>
      <c r="BC84" s="222"/>
      <c r="BD84" s="222"/>
      <c r="BE84" s="222"/>
      <c r="BF84" s="222"/>
      <c r="BG84" s="169" t="str">
        <f>VLOOKUP($A84,订货1!$A84:$I326,9,0)</f>
        <v>由厂商</v>
      </c>
      <c r="BH84" s="47" t="str">
        <f>VLOOKUP($A84,订货1!$A84:$H326,8,0)</f>
        <v>上海承祖食品有限公司</v>
      </c>
    </row>
    <row r="85" spans="1:60" ht="15.75" hidden="1" customHeight="1">
      <c r="A85" s="67">
        <v>720006</v>
      </c>
      <c r="B85" s="68" t="s">
        <v>21</v>
      </c>
      <c r="C85" s="70" t="s">
        <v>176</v>
      </c>
      <c r="D85" s="68"/>
      <c r="E85" s="68" t="s">
        <v>178</v>
      </c>
      <c r="F85" s="68" t="s">
        <v>15</v>
      </c>
      <c r="G85" s="68" t="s">
        <v>130</v>
      </c>
      <c r="H85" s="68" t="s">
        <v>381</v>
      </c>
      <c r="I85" s="71" t="s">
        <v>198</v>
      </c>
      <c r="J85" s="68" t="s">
        <v>80</v>
      </c>
      <c r="K85" s="236">
        <f>VLOOKUP($A85,订货1!$A85:$A327,1,0)</f>
        <v>720006</v>
      </c>
      <c r="L85" s="245" t="str">
        <f>VLOOKUP($A85,订货1!$A85:$G327,7,0)</f>
        <v>上海百蒂凯蔬果种植专业合作社</v>
      </c>
      <c r="M85" s="237" t="str">
        <f>VLOOKUP($A85,订货1!$A85:$B327,2,0)</f>
        <v>混合生菜</v>
      </c>
      <c r="N85" s="171">
        <f t="shared" si="12"/>
        <v>45978</v>
      </c>
      <c r="O85" s="49" t="str">
        <f>VLOOKUP($A85,订货1!$A85:$C327,3,0)</f>
        <v>冷蔵</v>
      </c>
      <c r="P85" s="44" t="str">
        <f>VLOOKUP($A85,订货1!$A85:$E327,5,0)</f>
        <v>1kg</v>
      </c>
      <c r="Q85" s="49" t="str">
        <f>VLOOKUP($A85,订货1!$A85:$F327,6,0)</f>
        <v>袋</v>
      </c>
      <c r="R85" s="167">
        <f t="shared" ca="1" si="8"/>
        <v>0</v>
      </c>
      <c r="S85" s="105" t="s">
        <v>404</v>
      </c>
      <c r="T85" s="85">
        <f ca="1">SUMIF(预估营业额3!$B$3:$B$39,"&gt;="&amp;$H$2,预估营业额3!$E$3:$E$39)-SUMIF(预估营业额3!$B$3:$B$39,"&gt;"&amp;N85,预估营业额3!$E$3:$E$39)</f>
        <v>0</v>
      </c>
      <c r="U85" s="219">
        <v>0</v>
      </c>
      <c r="V85" s="168">
        <v>1</v>
      </c>
      <c r="W85" s="182">
        <f t="shared" ca="1" si="9"/>
        <v>0</v>
      </c>
      <c r="X85" s="214"/>
      <c r="Y85" s="62">
        <f t="shared" si="10"/>
        <v>0</v>
      </c>
      <c r="Z85" s="54"/>
      <c r="AA85" s="54"/>
      <c r="AB85" s="222"/>
      <c r="AC85" s="222"/>
      <c r="AD85" s="222"/>
      <c r="AE85" s="222"/>
      <c r="AF85" s="222"/>
      <c r="AG85" s="222"/>
      <c r="AH85" s="222"/>
      <c r="AI85" s="222"/>
      <c r="AJ85" s="222"/>
      <c r="AK85" s="222"/>
      <c r="AL85" s="222"/>
      <c r="AM85" s="222"/>
      <c r="AN85" s="222"/>
      <c r="AO85" s="222"/>
      <c r="AP85" s="222"/>
      <c r="AQ85" s="222"/>
      <c r="AR85" s="222"/>
      <c r="AS85" s="222"/>
      <c r="AT85" s="222"/>
      <c r="AU85" s="222"/>
      <c r="AV85" s="222"/>
      <c r="AW85" s="222"/>
      <c r="AX85" s="222"/>
      <c r="AY85" s="222"/>
      <c r="AZ85" s="222"/>
      <c r="BA85" s="222"/>
      <c r="BB85" s="222"/>
      <c r="BC85" s="222"/>
      <c r="BD85" s="222"/>
      <c r="BE85" s="222"/>
      <c r="BF85" s="222"/>
      <c r="BG85" s="169" t="str">
        <f>VLOOKUP($A85,订货1!$A85:$I327,9,0)</f>
        <v>由厂商</v>
      </c>
      <c r="BH85" s="47" t="str">
        <f>VLOOKUP($A85,订货1!$A85:$H327,8,0)</f>
        <v>上海承祖食品有限公司</v>
      </c>
    </row>
    <row r="86" spans="1:60" ht="15.75" hidden="1" customHeight="1">
      <c r="A86" s="67">
        <v>720018</v>
      </c>
      <c r="B86" s="68" t="s">
        <v>426</v>
      </c>
      <c r="C86" s="69" t="s">
        <v>176</v>
      </c>
      <c r="D86" s="68"/>
      <c r="E86" s="68" t="s">
        <v>177</v>
      </c>
      <c r="F86" s="68" t="s">
        <v>15</v>
      </c>
      <c r="G86" s="68" t="s">
        <v>130</v>
      </c>
      <c r="H86" s="68" t="s">
        <v>381</v>
      </c>
      <c r="I86" s="71" t="s">
        <v>198</v>
      </c>
      <c r="J86" s="68" t="s">
        <v>81</v>
      </c>
      <c r="K86" s="236">
        <f>VLOOKUP($A86,订货1!$A86:$A328,1,0)</f>
        <v>720018</v>
      </c>
      <c r="L86" s="245" t="str">
        <f>VLOOKUP($A86,订货1!$A86:$G328,7,0)</f>
        <v>上海百蒂凯蔬果种植专业合作社</v>
      </c>
      <c r="M86" s="237" t="str">
        <f>VLOOKUP($A86,订货1!$A86:$B328,2,0)</f>
        <v>小青菜</v>
      </c>
      <c r="N86" s="171">
        <f t="shared" si="12"/>
        <v>45978</v>
      </c>
      <c r="O86" s="49" t="str">
        <f>VLOOKUP($A86,订货1!$A86:$C328,3,0)</f>
        <v>冷蔵</v>
      </c>
      <c r="P86" s="44" t="str">
        <f>VLOOKUP($A86,订货1!$A86:$E328,5,0)</f>
        <v>0.5kg</v>
      </c>
      <c r="Q86" s="49" t="str">
        <f>VLOOKUP($A86,订货1!$A86:$F328,6,0)</f>
        <v>袋</v>
      </c>
      <c r="R86" s="167">
        <f t="shared" ca="1" si="8"/>
        <v>0</v>
      </c>
      <c r="S86" s="105" t="s">
        <v>404</v>
      </c>
      <c r="T86" s="85">
        <f ca="1">SUMIF(预估营业额3!$B$3:$B$39,"&gt;="&amp;$H$2,预估营业额3!$E$3:$E$39)-SUMIF(预估营业额3!$B$3:$B$39,"&gt;"&amp;N86,预估营业额3!$E$3:$E$39)</f>
        <v>0</v>
      </c>
      <c r="U86" s="219">
        <v>0</v>
      </c>
      <c r="V86" s="168">
        <v>1</v>
      </c>
      <c r="W86" s="182">
        <f t="shared" ca="1" si="9"/>
        <v>0</v>
      </c>
      <c r="X86" s="214"/>
      <c r="Y86" s="62">
        <f t="shared" si="10"/>
        <v>0</v>
      </c>
      <c r="Z86" s="54"/>
      <c r="AA86" s="54"/>
      <c r="AB86" s="222"/>
      <c r="AC86" s="222"/>
      <c r="AD86" s="222"/>
      <c r="AE86" s="222"/>
      <c r="AF86" s="222"/>
      <c r="AG86" s="222"/>
      <c r="AH86" s="222"/>
      <c r="AI86" s="222"/>
      <c r="AJ86" s="222"/>
      <c r="AK86" s="222"/>
      <c r="AL86" s="222"/>
      <c r="AM86" s="222"/>
      <c r="AN86" s="222"/>
      <c r="AO86" s="222"/>
      <c r="AP86" s="222"/>
      <c r="AQ86" s="222"/>
      <c r="AR86" s="222"/>
      <c r="AS86" s="222"/>
      <c r="AT86" s="222"/>
      <c r="AU86" s="222"/>
      <c r="AV86" s="222"/>
      <c r="AW86" s="222"/>
      <c r="AX86" s="222"/>
      <c r="AY86" s="222"/>
      <c r="AZ86" s="222"/>
      <c r="BA86" s="222"/>
      <c r="BB86" s="222"/>
      <c r="BC86" s="222"/>
      <c r="BD86" s="222"/>
      <c r="BE86" s="222"/>
      <c r="BF86" s="222"/>
      <c r="BG86" s="169" t="str">
        <f>VLOOKUP($A86,订货1!$A86:$I328,9,0)</f>
        <v>由厂商</v>
      </c>
      <c r="BH86" s="47" t="str">
        <f>VLOOKUP($A86,订货1!$A86:$H328,8,0)</f>
        <v>上海承祖食品有限公司</v>
      </c>
    </row>
    <row r="87" spans="1:60" ht="15.75" hidden="1" customHeight="1">
      <c r="A87" s="67">
        <v>720008</v>
      </c>
      <c r="B87" s="68" t="s">
        <v>23</v>
      </c>
      <c r="C87" s="69" t="s">
        <v>176</v>
      </c>
      <c r="D87" s="68"/>
      <c r="E87" s="68" t="s">
        <v>200</v>
      </c>
      <c r="F87" s="68" t="s">
        <v>16</v>
      </c>
      <c r="G87" s="68" t="s">
        <v>130</v>
      </c>
      <c r="H87" s="68" t="s">
        <v>381</v>
      </c>
      <c r="I87" s="71" t="s">
        <v>198</v>
      </c>
      <c r="J87" s="68" t="s">
        <v>82</v>
      </c>
      <c r="K87" s="236">
        <f>VLOOKUP($A87,订货1!$A87:$A329,1,0)</f>
        <v>720008</v>
      </c>
      <c r="L87" s="245" t="str">
        <f>VLOOKUP($A87,订货1!$A87:$G329,7,0)</f>
        <v>上海百蒂凯蔬果种植专业合作社</v>
      </c>
      <c r="M87" s="237" t="str">
        <f>VLOOKUP($A87,订货1!$A87:$B329,2,0)</f>
        <v>猕猴桃</v>
      </c>
      <c r="N87" s="171">
        <f t="shared" si="12"/>
        <v>45978</v>
      </c>
      <c r="O87" s="49" t="str">
        <f>VLOOKUP($A87,订货1!$A87:$C329,3,0)</f>
        <v>冷蔵</v>
      </c>
      <c r="P87" s="44" t="str">
        <f>VLOOKUP($A87,订货1!$A87:$E329,5,0)</f>
        <v>0.08kg</v>
      </c>
      <c r="Q87" s="49" t="str">
        <f>VLOOKUP($A87,订货1!$A87:$F329,6,0)</f>
        <v>个</v>
      </c>
      <c r="R87" s="167">
        <f t="shared" ca="1" si="8"/>
        <v>0</v>
      </c>
      <c r="S87" s="105" t="s">
        <v>404</v>
      </c>
      <c r="T87" s="85">
        <f ca="1">SUMIF(预估营业额3!$B$3:$B$39,"&gt;="&amp;$H$2,预估营业额3!$E$3:$E$39)-SUMIF(预估营业额3!$B$3:$B$39,"&gt;"&amp;N87,预估营业额3!$E$3:$E$39)</f>
        <v>0</v>
      </c>
      <c r="U87" s="219">
        <v>0</v>
      </c>
      <c r="V87" s="168">
        <v>1</v>
      </c>
      <c r="W87" s="182">
        <f t="shared" ca="1" si="9"/>
        <v>0</v>
      </c>
      <c r="X87" s="214"/>
      <c r="Y87" s="62">
        <f t="shared" si="10"/>
        <v>0</v>
      </c>
      <c r="Z87" s="54"/>
      <c r="AA87" s="54"/>
      <c r="AB87" s="222"/>
      <c r="AC87" s="222"/>
      <c r="AD87" s="222"/>
      <c r="AE87" s="222"/>
      <c r="AF87" s="222"/>
      <c r="AG87" s="222"/>
      <c r="AH87" s="222"/>
      <c r="AI87" s="222"/>
      <c r="AJ87" s="222"/>
      <c r="AK87" s="222"/>
      <c r="AL87" s="222"/>
      <c r="AM87" s="222"/>
      <c r="AN87" s="222"/>
      <c r="AO87" s="222"/>
      <c r="AP87" s="222"/>
      <c r="AQ87" s="222"/>
      <c r="AR87" s="222"/>
      <c r="AS87" s="222"/>
      <c r="AT87" s="222"/>
      <c r="AU87" s="222"/>
      <c r="AV87" s="222"/>
      <c r="AW87" s="222"/>
      <c r="AX87" s="222"/>
      <c r="AY87" s="222"/>
      <c r="AZ87" s="222"/>
      <c r="BA87" s="222"/>
      <c r="BB87" s="222"/>
      <c r="BC87" s="222"/>
      <c r="BD87" s="222"/>
      <c r="BE87" s="222"/>
      <c r="BF87" s="222"/>
      <c r="BG87" s="169" t="str">
        <f>VLOOKUP($A87,订货1!$A87:$I329,9,0)</f>
        <v>由厂商</v>
      </c>
      <c r="BH87" s="47" t="str">
        <f>VLOOKUP($A87,订货1!$A87:$H329,8,0)</f>
        <v>上海承祖食品有限公司</v>
      </c>
    </row>
    <row r="88" spans="1:60" ht="15.75" hidden="1" customHeight="1">
      <c r="A88" s="67">
        <v>720009</v>
      </c>
      <c r="B88" s="68" t="s">
        <v>24</v>
      </c>
      <c r="C88" s="70" t="s">
        <v>176</v>
      </c>
      <c r="D88" s="68"/>
      <c r="E88" s="68" t="s">
        <v>177</v>
      </c>
      <c r="F88" s="68" t="s">
        <v>15</v>
      </c>
      <c r="G88" s="68" t="s">
        <v>130</v>
      </c>
      <c r="H88" s="68" t="s">
        <v>381</v>
      </c>
      <c r="I88" s="71" t="s">
        <v>198</v>
      </c>
      <c r="J88" s="68" t="s">
        <v>83</v>
      </c>
      <c r="K88" s="236">
        <f>VLOOKUP($A88,订货1!$A88:$A330,1,0)</f>
        <v>720009</v>
      </c>
      <c r="L88" s="245" t="str">
        <f>VLOOKUP($A88,订货1!$A88:$G330,7,0)</f>
        <v>上海百蒂凯蔬果种植专业合作社</v>
      </c>
      <c r="M88" s="237" t="str">
        <f>VLOOKUP($A88,订货1!$A88:$B330,2,0)</f>
        <v>大蒜</v>
      </c>
      <c r="N88" s="171">
        <f t="shared" si="12"/>
        <v>45978</v>
      </c>
      <c r="O88" s="49" t="str">
        <f>VLOOKUP($A88,订货1!$A88:$C330,3,0)</f>
        <v>冷蔵</v>
      </c>
      <c r="P88" s="44" t="str">
        <f>VLOOKUP($A88,订货1!$A88:$E330,5,0)</f>
        <v>0.5kg</v>
      </c>
      <c r="Q88" s="49" t="str">
        <f>VLOOKUP($A88,订货1!$A88:$F330,6,0)</f>
        <v>袋</v>
      </c>
      <c r="R88" s="167">
        <f t="shared" ca="1" si="8"/>
        <v>0</v>
      </c>
      <c r="S88" s="105" t="s">
        <v>486</v>
      </c>
      <c r="T88" s="85">
        <f ca="1">SUMIF(预估营业额3!$B$3:$B$39,"&gt;="&amp;$H$2,预估营业额3!$E$3:$E$39)-SUMIF(预估营业额3!$B$3:$B$39,"&gt;"&amp;N88,预估营业额3!$E$3:$E$39)</f>
        <v>0</v>
      </c>
      <c r="U88" s="219">
        <v>0</v>
      </c>
      <c r="V88" s="168">
        <v>1</v>
      </c>
      <c r="W88" s="182">
        <f t="shared" ca="1" si="9"/>
        <v>0</v>
      </c>
      <c r="X88" s="214"/>
      <c r="Y88" s="62">
        <f t="shared" si="10"/>
        <v>0</v>
      </c>
      <c r="Z88" s="54"/>
      <c r="AA88" s="54"/>
      <c r="AB88" s="222"/>
      <c r="AC88" s="222"/>
      <c r="AD88" s="222"/>
      <c r="AE88" s="222"/>
      <c r="AF88" s="222"/>
      <c r="AG88" s="222"/>
      <c r="AH88" s="222"/>
      <c r="AI88" s="222"/>
      <c r="AJ88" s="222"/>
      <c r="AK88" s="222"/>
      <c r="AL88" s="222"/>
      <c r="AM88" s="222"/>
      <c r="AN88" s="222"/>
      <c r="AO88" s="222"/>
      <c r="AP88" s="222"/>
      <c r="AQ88" s="222"/>
      <c r="AR88" s="222"/>
      <c r="AS88" s="222"/>
      <c r="AT88" s="222"/>
      <c r="AU88" s="222"/>
      <c r="AV88" s="222"/>
      <c r="AW88" s="222"/>
      <c r="AX88" s="222"/>
      <c r="AY88" s="222"/>
      <c r="AZ88" s="222"/>
      <c r="BA88" s="222"/>
      <c r="BB88" s="222"/>
      <c r="BC88" s="222"/>
      <c r="BD88" s="222"/>
      <c r="BE88" s="222"/>
      <c r="BF88" s="222"/>
      <c r="BG88" s="169" t="str">
        <f>VLOOKUP($A88,订货1!$A88:$I330,9,0)</f>
        <v>由厂商</v>
      </c>
      <c r="BH88" s="47" t="str">
        <f>VLOOKUP($A88,订货1!$A88:$H330,8,0)</f>
        <v>上海承祖食品有限公司</v>
      </c>
    </row>
    <row r="89" spans="1:60" ht="15.75" hidden="1" customHeight="1">
      <c r="A89" s="67">
        <v>720010</v>
      </c>
      <c r="B89" s="68" t="s">
        <v>25</v>
      </c>
      <c r="C89" s="70" t="s">
        <v>176</v>
      </c>
      <c r="D89" s="68"/>
      <c r="E89" s="68" t="s">
        <v>177</v>
      </c>
      <c r="F89" s="68" t="s">
        <v>15</v>
      </c>
      <c r="G89" s="68" t="s">
        <v>130</v>
      </c>
      <c r="H89" s="68" t="s">
        <v>381</v>
      </c>
      <c r="I89" s="71" t="s">
        <v>198</v>
      </c>
      <c r="J89" s="68" t="s">
        <v>84</v>
      </c>
      <c r="K89" s="236">
        <f>VLOOKUP($A89,订货1!$A89:$A331,1,0)</f>
        <v>720010</v>
      </c>
      <c r="L89" s="245" t="str">
        <f>VLOOKUP($A89,订货1!$A89:$G331,7,0)</f>
        <v>上海百蒂凯蔬果种植专业合作社</v>
      </c>
      <c r="M89" s="237" t="str">
        <f>VLOOKUP($A89,订货1!$A89:$B331,2,0)</f>
        <v>番茄</v>
      </c>
      <c r="N89" s="171">
        <f t="shared" si="12"/>
        <v>45978</v>
      </c>
      <c r="O89" s="49" t="str">
        <f>VLOOKUP($A89,订货1!$A89:$C331,3,0)</f>
        <v>冷蔵</v>
      </c>
      <c r="P89" s="44" t="str">
        <f>VLOOKUP($A89,订货1!$A89:$E331,5,0)</f>
        <v>0.5kg</v>
      </c>
      <c r="Q89" s="49" t="str">
        <f>VLOOKUP($A89,订货1!$A89:$F331,6,0)</f>
        <v>袋</v>
      </c>
      <c r="R89" s="167">
        <f t="shared" ca="1" si="8"/>
        <v>0</v>
      </c>
      <c r="S89" s="105" t="s">
        <v>486</v>
      </c>
      <c r="T89" s="85">
        <f ca="1">SUMIF(预估营业额3!$B$3:$B$39,"&gt;="&amp;$H$2,预估营业额3!$E$3:$E$39)-SUMIF(预估营业额3!$B$3:$B$39,"&gt;"&amp;N89,预估营业额3!$E$3:$E$39)</f>
        <v>0</v>
      </c>
      <c r="U89" s="219">
        <v>0</v>
      </c>
      <c r="V89" s="168">
        <v>1</v>
      </c>
      <c r="W89" s="182">
        <f t="shared" ca="1" si="9"/>
        <v>0</v>
      </c>
      <c r="X89" s="214"/>
      <c r="Y89" s="62">
        <f t="shared" si="10"/>
        <v>0</v>
      </c>
      <c r="Z89" s="54"/>
      <c r="AA89" s="54"/>
      <c r="AB89" s="222"/>
      <c r="AC89" s="222"/>
      <c r="AD89" s="222"/>
      <c r="AE89" s="222"/>
      <c r="AF89" s="222"/>
      <c r="AG89" s="222"/>
      <c r="AH89" s="222"/>
      <c r="AI89" s="222"/>
      <c r="AJ89" s="222"/>
      <c r="AK89" s="222"/>
      <c r="AL89" s="222"/>
      <c r="AM89" s="222"/>
      <c r="AN89" s="222"/>
      <c r="AO89" s="222"/>
      <c r="AP89" s="222"/>
      <c r="AQ89" s="222"/>
      <c r="AR89" s="222"/>
      <c r="AS89" s="222"/>
      <c r="AT89" s="222"/>
      <c r="AU89" s="222"/>
      <c r="AV89" s="222"/>
      <c r="AW89" s="222"/>
      <c r="AX89" s="222"/>
      <c r="AY89" s="222"/>
      <c r="AZ89" s="222"/>
      <c r="BA89" s="222"/>
      <c r="BB89" s="222"/>
      <c r="BC89" s="222"/>
      <c r="BD89" s="222"/>
      <c r="BE89" s="222"/>
      <c r="BF89" s="222"/>
      <c r="BG89" s="169" t="str">
        <f>VLOOKUP($A89,订货1!$A89:$I331,9,0)</f>
        <v>由厂商</v>
      </c>
      <c r="BH89" s="47" t="str">
        <f>VLOOKUP($A89,订货1!$A89:$H331,8,0)</f>
        <v>上海承祖食品有限公司</v>
      </c>
    </row>
    <row r="90" spans="1:60" ht="15.75" customHeight="1">
      <c r="A90" s="248">
        <v>720011</v>
      </c>
      <c r="B90" s="249" t="s">
        <v>22</v>
      </c>
      <c r="C90" s="70" t="s">
        <v>176</v>
      </c>
      <c r="D90" s="68"/>
      <c r="E90" s="68" t="s">
        <v>201</v>
      </c>
      <c r="F90" s="68" t="s">
        <v>15</v>
      </c>
      <c r="G90" s="68" t="s">
        <v>130</v>
      </c>
      <c r="H90" s="68" t="s">
        <v>381</v>
      </c>
      <c r="I90" s="71" t="s">
        <v>198</v>
      </c>
      <c r="J90" s="68" t="s">
        <v>598</v>
      </c>
      <c r="K90" s="234">
        <f>VLOOKUP($A90,订货1!$A90:$A332,1,0)</f>
        <v>720011</v>
      </c>
      <c r="L90" s="244" t="str">
        <f>VLOOKUP($A90,订货1!$A90:$G332,7,0)</f>
        <v>上海百蒂凯蔬果种植专业合作社</v>
      </c>
      <c r="M90" s="235" t="str">
        <f>VLOOKUP($A90,订货1!$A90:$B332,2,0)</f>
        <v>芝麻菜</v>
      </c>
      <c r="N90" s="171">
        <f t="shared" si="12"/>
        <v>45978</v>
      </c>
      <c r="O90" s="49" t="str">
        <f>VLOOKUP($A90,订货1!$A90:$C332,3,0)</f>
        <v>冷蔵</v>
      </c>
      <c r="P90" s="44" t="str">
        <f>VLOOKUP($A90,订货1!$A90:$E332,5,0)</f>
        <v>0.2kg</v>
      </c>
      <c r="Q90" s="49" t="str">
        <f>VLOOKUP($A90,订货1!$A90:$F332,6,0)</f>
        <v>袋</v>
      </c>
      <c r="R90" s="167">
        <f t="shared" ca="1" si="8"/>
        <v>0</v>
      </c>
      <c r="S90" s="105" t="s">
        <v>199</v>
      </c>
      <c r="T90" s="85">
        <f ca="1">SUMIF(预估营业额3!$B$3:$B$39,"&gt;="&amp;$H$2,预估营业额3!$E$3:$E$39)-SUMIF(预估营业额3!$B$3:$B$39,"&gt;"&amp;N90,预估营业额3!$E$3:$E$39)</f>
        <v>0</v>
      </c>
      <c r="U90" s="219">
        <v>0.75483302813849784</v>
      </c>
      <c r="V90" s="168">
        <v>1</v>
      </c>
      <c r="W90" s="182">
        <f t="shared" ca="1" si="9"/>
        <v>0</v>
      </c>
      <c r="X90" s="214">
        <v>3</v>
      </c>
      <c r="Y90" s="62">
        <f t="shared" si="10"/>
        <v>3</v>
      </c>
      <c r="Z90" s="54">
        <v>3</v>
      </c>
      <c r="AA90" s="54"/>
      <c r="AB90" s="222">
        <v>1</v>
      </c>
      <c r="AC90" s="222">
        <v>2</v>
      </c>
      <c r="AD90" s="222"/>
      <c r="AE90" s="222">
        <v>1</v>
      </c>
      <c r="AF90" s="222">
        <v>3</v>
      </c>
      <c r="AG90" s="222">
        <v>4</v>
      </c>
      <c r="AH90" s="222">
        <v>1</v>
      </c>
      <c r="AI90" s="222">
        <v>1</v>
      </c>
      <c r="AJ90" s="222">
        <v>2</v>
      </c>
      <c r="AK90" s="222"/>
      <c r="AL90" s="222"/>
      <c r="AM90" s="222">
        <v>3</v>
      </c>
      <c r="AN90" s="222">
        <v>3</v>
      </c>
      <c r="AO90" s="222">
        <v>1</v>
      </c>
      <c r="AP90" s="222"/>
      <c r="AQ90" s="222"/>
      <c r="AR90" s="222"/>
      <c r="AS90" s="222"/>
      <c r="AT90" s="222"/>
      <c r="AU90" s="222"/>
      <c r="AV90" s="222"/>
      <c r="AW90" s="222"/>
      <c r="AX90" s="222"/>
      <c r="AY90" s="222"/>
      <c r="AZ90" s="222"/>
      <c r="BA90" s="222"/>
      <c r="BB90" s="222"/>
      <c r="BC90" s="222"/>
      <c r="BD90" s="222"/>
      <c r="BE90" s="222"/>
      <c r="BF90" s="222"/>
      <c r="BG90" s="169" t="str">
        <f>VLOOKUP($A90,订货1!$A90:$I332,9,0)</f>
        <v>由厂商</v>
      </c>
      <c r="BH90" s="47" t="str">
        <f>VLOOKUP($A90,订货1!$A90:$H332,8,0)</f>
        <v>上海承祖食品有限公司</v>
      </c>
    </row>
    <row r="91" spans="1:60" ht="15.75" hidden="1" customHeight="1">
      <c r="A91" s="67">
        <v>720012</v>
      </c>
      <c r="B91" s="68" t="s">
        <v>26</v>
      </c>
      <c r="C91" s="69" t="s">
        <v>176</v>
      </c>
      <c r="D91" s="68"/>
      <c r="E91" s="68" t="s">
        <v>200</v>
      </c>
      <c r="F91" s="68" t="s">
        <v>15</v>
      </c>
      <c r="G91" s="68" t="s">
        <v>130</v>
      </c>
      <c r="H91" s="68" t="s">
        <v>381</v>
      </c>
      <c r="I91" s="71" t="s">
        <v>198</v>
      </c>
      <c r="J91" s="68" t="s">
        <v>298</v>
      </c>
      <c r="K91" s="234">
        <f>VLOOKUP($A91,订货1!$A91:$A333,1,0)</f>
        <v>720012</v>
      </c>
      <c r="L91" s="244" t="str">
        <f>VLOOKUP($A91,订货1!$A91:$G333,7,0)</f>
        <v>上海百蒂凯蔬果种植专业合作社</v>
      </c>
      <c r="M91" s="235" t="str">
        <f>VLOOKUP($A91,订货1!$A91:$B333,2,0)</f>
        <v>柠檬</v>
      </c>
      <c r="N91" s="171">
        <f t="shared" si="12"/>
        <v>45978</v>
      </c>
      <c r="O91" s="49" t="str">
        <f>VLOOKUP($A91,订货1!$A91:$C333,3,0)</f>
        <v>冷蔵</v>
      </c>
      <c r="P91" s="44" t="str">
        <f>VLOOKUP($A91,订货1!$A91:$E333,5,0)</f>
        <v>0.08kg</v>
      </c>
      <c r="Q91" s="49" t="str">
        <f>VLOOKUP($A91,订货1!$A91:$F333,6,0)</f>
        <v>袋</v>
      </c>
      <c r="R91" s="167">
        <f t="shared" ca="1" si="8"/>
        <v>0</v>
      </c>
      <c r="S91" s="105" t="s">
        <v>486</v>
      </c>
      <c r="T91" s="85">
        <f ca="1">SUMIF(预估营业额3!$B$3:$B$39,"&gt;="&amp;$H$2,预估营业额3!$E$3:$E$39)-SUMIF(预估营业额3!$B$3:$B$39,"&gt;"&amp;N91,预估营业额3!$E$3:$E$39)</f>
        <v>0</v>
      </c>
      <c r="U91" s="219">
        <v>0</v>
      </c>
      <c r="V91" s="168">
        <v>1</v>
      </c>
      <c r="W91" s="182">
        <f t="shared" ca="1" si="9"/>
        <v>0</v>
      </c>
      <c r="X91" s="214"/>
      <c r="Y91" s="62">
        <f t="shared" si="10"/>
        <v>0</v>
      </c>
      <c r="Z91" s="54"/>
      <c r="AA91" s="54"/>
      <c r="AB91" s="222"/>
      <c r="AC91" s="222"/>
      <c r="AD91" s="222"/>
      <c r="AE91" s="222"/>
      <c r="AF91" s="222"/>
      <c r="AG91" s="222"/>
      <c r="AH91" s="222"/>
      <c r="AI91" s="222"/>
      <c r="AJ91" s="222"/>
      <c r="AK91" s="222"/>
      <c r="AL91" s="222"/>
      <c r="AM91" s="222"/>
      <c r="AN91" s="222"/>
      <c r="AO91" s="222"/>
      <c r="AP91" s="222"/>
      <c r="AQ91" s="222"/>
      <c r="AR91" s="222"/>
      <c r="AS91" s="222"/>
      <c r="AT91" s="222"/>
      <c r="AU91" s="222"/>
      <c r="AV91" s="222"/>
      <c r="AW91" s="222"/>
      <c r="AX91" s="222"/>
      <c r="AY91" s="222"/>
      <c r="AZ91" s="222"/>
      <c r="BA91" s="222"/>
      <c r="BB91" s="222"/>
      <c r="BC91" s="222"/>
      <c r="BD91" s="222"/>
      <c r="BE91" s="222"/>
      <c r="BF91" s="222"/>
      <c r="BG91" s="169" t="str">
        <f>VLOOKUP($A91,订货1!$A91:$I333,9,0)</f>
        <v>由厂商</v>
      </c>
      <c r="BH91" s="47" t="str">
        <f>VLOOKUP($A91,订货1!$A91:$H333,8,0)</f>
        <v>上海承祖食品有限公司</v>
      </c>
    </row>
    <row r="92" spans="1:60" ht="15.75" hidden="1" customHeight="1">
      <c r="A92" s="67">
        <v>720013</v>
      </c>
      <c r="B92" s="68" t="s">
        <v>131</v>
      </c>
      <c r="C92" s="69" t="s">
        <v>176</v>
      </c>
      <c r="D92" s="68"/>
      <c r="E92" s="68" t="s">
        <v>202</v>
      </c>
      <c r="F92" s="68" t="s">
        <v>16</v>
      </c>
      <c r="G92" s="68" t="s">
        <v>130</v>
      </c>
      <c r="H92" s="68" t="s">
        <v>381</v>
      </c>
      <c r="I92" s="71" t="s">
        <v>198</v>
      </c>
      <c r="J92" s="68" t="s">
        <v>297</v>
      </c>
      <c r="K92" s="234">
        <f>VLOOKUP($A92,订货1!$A92:$A334,1,0)</f>
        <v>720013</v>
      </c>
      <c r="L92" s="244" t="str">
        <f>VLOOKUP($A92,订货1!$A92:$G334,7,0)</f>
        <v>上海百蒂凯蔬果种植专业合作社</v>
      </c>
      <c r="M92" s="235" t="str">
        <f>VLOOKUP($A92,订货1!$A92:$B334,2,0)</f>
        <v>火龙果</v>
      </c>
      <c r="N92" s="171">
        <f t="shared" si="12"/>
        <v>45978</v>
      </c>
      <c r="O92" s="49" t="str">
        <f>VLOOKUP($A92,订货1!$A92:$C334,3,0)</f>
        <v>冷蔵</v>
      </c>
      <c r="P92" s="44" t="str">
        <f>VLOOKUP($A92,订货1!$A92:$E334,5,0)</f>
        <v>0.6kg</v>
      </c>
      <c r="Q92" s="49" t="str">
        <f>VLOOKUP($A92,订货1!$A92:$F334,6,0)</f>
        <v>个</v>
      </c>
      <c r="R92" s="167">
        <f t="shared" ca="1" si="8"/>
        <v>0</v>
      </c>
      <c r="S92" s="105" t="s">
        <v>404</v>
      </c>
      <c r="T92" s="85">
        <f ca="1">SUMIF(预估营业额3!$B$3:$B$39,"&gt;="&amp;$H$2,预估营业额3!$E$3:$E$39)-SUMIF(预估营业额3!$B$3:$B$39,"&gt;"&amp;N92,预估营业额3!$E$3:$E$39)</f>
        <v>0</v>
      </c>
      <c r="U92" s="219">
        <v>0</v>
      </c>
      <c r="V92" s="168">
        <v>1.1000000000000001</v>
      </c>
      <c r="W92" s="182">
        <f t="shared" ca="1" si="9"/>
        <v>0</v>
      </c>
      <c r="X92" s="214"/>
      <c r="Y92" s="62">
        <f t="shared" si="10"/>
        <v>0</v>
      </c>
      <c r="Z92" s="54"/>
      <c r="AA92" s="54"/>
      <c r="AB92" s="222"/>
      <c r="AC92" s="222"/>
      <c r="AD92" s="222"/>
      <c r="AE92" s="222"/>
      <c r="AF92" s="222"/>
      <c r="AG92" s="222"/>
      <c r="AH92" s="222"/>
      <c r="AI92" s="222"/>
      <c r="AJ92" s="222"/>
      <c r="AK92" s="222"/>
      <c r="AL92" s="222"/>
      <c r="AM92" s="222"/>
      <c r="AN92" s="222"/>
      <c r="AO92" s="222"/>
      <c r="AP92" s="222"/>
      <c r="AQ92" s="222"/>
      <c r="AR92" s="222"/>
      <c r="AS92" s="222"/>
      <c r="AT92" s="222"/>
      <c r="AU92" s="222"/>
      <c r="AV92" s="222"/>
      <c r="AW92" s="222"/>
      <c r="AX92" s="222"/>
      <c r="AY92" s="222"/>
      <c r="AZ92" s="222"/>
      <c r="BA92" s="222"/>
      <c r="BB92" s="222"/>
      <c r="BC92" s="222"/>
      <c r="BD92" s="222"/>
      <c r="BE92" s="222"/>
      <c r="BF92" s="222"/>
      <c r="BG92" s="169" t="str">
        <f>VLOOKUP($A92,订货1!$A92:$I334,9,0)</f>
        <v>由厂商</v>
      </c>
      <c r="BH92" s="47" t="str">
        <f>VLOOKUP($A92,订货1!$A92:$H334,8,0)</f>
        <v>上海承祖食品有限公司</v>
      </c>
    </row>
    <row r="93" spans="1:60" ht="15.75" hidden="1" customHeight="1">
      <c r="A93" s="67">
        <v>720014</v>
      </c>
      <c r="B93" s="68" t="s">
        <v>159</v>
      </c>
      <c r="C93" s="69" t="s">
        <v>176</v>
      </c>
      <c r="D93" s="68"/>
      <c r="E93" s="68" t="s">
        <v>203</v>
      </c>
      <c r="F93" s="68" t="s">
        <v>15</v>
      </c>
      <c r="G93" s="68" t="s">
        <v>130</v>
      </c>
      <c r="H93" s="68" t="s">
        <v>381</v>
      </c>
      <c r="I93" s="71" t="s">
        <v>198</v>
      </c>
      <c r="J93" s="68" t="s">
        <v>296</v>
      </c>
      <c r="K93" s="234">
        <f>VLOOKUP($A93,订货1!$A93:$A335,1,0)</f>
        <v>720014</v>
      </c>
      <c r="L93" s="244" t="str">
        <f>VLOOKUP($A93,订货1!$A93:$G335,7,0)</f>
        <v>上海百蒂凯蔬果种植专业合作社</v>
      </c>
      <c r="M93" s="235" t="str">
        <f>VLOOKUP($A93,订货1!$A93:$B335,2,0)</f>
        <v>牛肚配菜(实验店铺用）</v>
      </c>
      <c r="N93" s="171">
        <f t="shared" si="12"/>
        <v>45978</v>
      </c>
      <c r="O93" s="49" t="str">
        <f>VLOOKUP($A93,订货1!$A93:$C335,3,0)</f>
        <v>冷蔵</v>
      </c>
      <c r="P93" s="44" t="str">
        <f>VLOOKUP($A93,订货1!$A93:$E335,5,0)</f>
        <v>0.1kg</v>
      </c>
      <c r="Q93" s="49" t="str">
        <f>VLOOKUP($A93,订货1!$A93:$F335,6,0)</f>
        <v>袋</v>
      </c>
      <c r="R93" s="167">
        <f t="shared" ca="1" si="8"/>
        <v>0</v>
      </c>
      <c r="S93" s="105" t="s">
        <v>486</v>
      </c>
      <c r="T93" s="85">
        <f ca="1">SUMIF(预估营业额3!$B$3:$B$39,"&gt;="&amp;$H$2,预估营业额3!$E$3:$E$39)-SUMIF(预估营业额3!$B$3:$B$39,"&gt;"&amp;N93,预估营业额3!$E$3:$E$39)</f>
        <v>0</v>
      </c>
      <c r="U93" s="219">
        <v>0</v>
      </c>
      <c r="V93" s="168">
        <v>1</v>
      </c>
      <c r="W93" s="182">
        <f t="shared" ca="1" si="9"/>
        <v>0</v>
      </c>
      <c r="X93" s="214"/>
      <c r="Y93" s="62">
        <f t="shared" si="10"/>
        <v>0</v>
      </c>
      <c r="Z93" s="54"/>
      <c r="AA93" s="54"/>
      <c r="AB93" s="222"/>
      <c r="AC93" s="222"/>
      <c r="AD93" s="222"/>
      <c r="AE93" s="222"/>
      <c r="AF93" s="222"/>
      <c r="AG93" s="222"/>
      <c r="AH93" s="222"/>
      <c r="AI93" s="222"/>
      <c r="AJ93" s="222"/>
      <c r="AK93" s="222"/>
      <c r="AL93" s="222"/>
      <c r="AM93" s="222"/>
      <c r="AN93" s="222"/>
      <c r="AO93" s="222"/>
      <c r="AP93" s="222"/>
      <c r="AQ93" s="222"/>
      <c r="AR93" s="222"/>
      <c r="AS93" s="222"/>
      <c r="AT93" s="222"/>
      <c r="AU93" s="222"/>
      <c r="AV93" s="222"/>
      <c r="AW93" s="222"/>
      <c r="AX93" s="222"/>
      <c r="AY93" s="222"/>
      <c r="AZ93" s="222"/>
      <c r="BA93" s="222"/>
      <c r="BB93" s="222"/>
      <c r="BC93" s="222"/>
      <c r="BD93" s="222"/>
      <c r="BE93" s="222"/>
      <c r="BF93" s="222"/>
      <c r="BG93" s="169" t="str">
        <f>VLOOKUP($A93,订货1!$A93:$I335,9,0)</f>
        <v>由厂商</v>
      </c>
      <c r="BH93" s="47" t="str">
        <f>VLOOKUP($A93,订货1!$A93:$H335,8,0)</f>
        <v>上海承祖食品有限公司</v>
      </c>
    </row>
    <row r="94" spans="1:60" ht="15.75" customHeight="1">
      <c r="A94" s="173">
        <v>720017</v>
      </c>
      <c r="B94" s="172" t="s">
        <v>346</v>
      </c>
      <c r="C94" s="70" t="s">
        <v>176</v>
      </c>
      <c r="D94" s="68"/>
      <c r="E94" s="68" t="s">
        <v>358</v>
      </c>
      <c r="F94" s="68" t="s">
        <v>15</v>
      </c>
      <c r="G94" s="68" t="s">
        <v>130</v>
      </c>
      <c r="H94" s="68" t="s">
        <v>381</v>
      </c>
      <c r="I94" s="71" t="s">
        <v>198</v>
      </c>
      <c r="J94" s="68" t="s">
        <v>599</v>
      </c>
      <c r="K94" s="234">
        <f>VLOOKUP($A94,订货1!$A94:$A336,1,0)</f>
        <v>720017</v>
      </c>
      <c r="L94" s="244" t="str">
        <f>VLOOKUP($A94,订货1!$A94:$G336,7,0)</f>
        <v>上海百蒂凯蔬果种植专业合作社</v>
      </c>
      <c r="M94" s="235" t="str">
        <f>VLOOKUP($A94,订货1!$A94:$B336,2,0)</f>
        <v>混合色拉</v>
      </c>
      <c r="N94" s="171">
        <f t="shared" si="12"/>
        <v>45978</v>
      </c>
      <c r="O94" s="49" t="str">
        <f>VLOOKUP($A94,订货1!$A94:$C336,3,0)</f>
        <v>冷蔵</v>
      </c>
      <c r="P94" s="44" t="str">
        <f>VLOOKUP($A94,订货1!$A94:$E336,5,0)</f>
        <v>0.6kg</v>
      </c>
      <c r="Q94" s="49" t="str">
        <f>VLOOKUP($A94,订货1!$A94:$F336,6,0)</f>
        <v>袋</v>
      </c>
      <c r="R94" s="167">
        <f t="shared" ca="1" si="8"/>
        <v>0</v>
      </c>
      <c r="S94" s="105" t="s">
        <v>404</v>
      </c>
      <c r="T94" s="85">
        <f ca="1">SUMIF(预估营业额3!$B$3:$B$39,"&gt;="&amp;$H$2,预估营业额3!$E$3:$E$39)-SUMIF(预估营业额3!$B$3:$B$39,"&gt;"&amp;N94,预估营业额3!$E$3:$E$39)</f>
        <v>0</v>
      </c>
      <c r="U94" s="219">
        <v>2.95</v>
      </c>
      <c r="V94" s="168">
        <v>1</v>
      </c>
      <c r="W94" s="182">
        <f t="shared" ca="1" si="9"/>
        <v>0</v>
      </c>
      <c r="X94" s="214">
        <v>10</v>
      </c>
      <c r="Y94" s="62">
        <f t="shared" si="10"/>
        <v>11</v>
      </c>
      <c r="Z94" s="54">
        <v>11</v>
      </c>
      <c r="AA94" s="54"/>
      <c r="AB94" s="222"/>
      <c r="AC94" s="222">
        <v>5</v>
      </c>
      <c r="AD94" s="222"/>
      <c r="AE94" s="222">
        <v>8</v>
      </c>
      <c r="AF94" s="222">
        <v>14</v>
      </c>
      <c r="AG94" s="222">
        <v>10</v>
      </c>
      <c r="AH94" s="222">
        <v>1</v>
      </c>
      <c r="AI94" s="222">
        <v>3</v>
      </c>
      <c r="AJ94" s="222">
        <v>7</v>
      </c>
      <c r="AK94" s="222"/>
      <c r="AL94" s="222">
        <v>3</v>
      </c>
      <c r="AM94" s="222">
        <v>15</v>
      </c>
      <c r="AN94" s="222">
        <v>11</v>
      </c>
      <c r="AO94" s="222">
        <v>5</v>
      </c>
      <c r="AP94" s="222"/>
      <c r="AQ94" s="222"/>
      <c r="AR94" s="222"/>
      <c r="AS94" s="222"/>
      <c r="AT94" s="222"/>
      <c r="AU94" s="222"/>
      <c r="AV94" s="222"/>
      <c r="AW94" s="222"/>
      <c r="AX94" s="222"/>
      <c r="AY94" s="222"/>
      <c r="AZ94" s="222"/>
      <c r="BA94" s="222"/>
      <c r="BB94" s="222"/>
      <c r="BC94" s="222"/>
      <c r="BD94" s="222"/>
      <c r="BE94" s="222"/>
      <c r="BF94" s="222"/>
      <c r="BG94" s="169" t="str">
        <f>VLOOKUP($A94,订货1!$A94:$I336,9,0)</f>
        <v>由厂商</v>
      </c>
      <c r="BH94" s="47" t="str">
        <f>VLOOKUP($A94,订货1!$A94:$H336,8,0)</f>
        <v>上海承祖食品有限公司</v>
      </c>
    </row>
    <row r="95" spans="1:60" ht="18" customHeight="1">
      <c r="A95" s="67">
        <v>101332</v>
      </c>
      <c r="B95" s="68" t="s">
        <v>184</v>
      </c>
      <c r="C95" s="70" t="s">
        <v>174</v>
      </c>
      <c r="D95" s="68"/>
      <c r="E95" s="68" t="s">
        <v>256</v>
      </c>
      <c r="F95" s="68" t="s">
        <v>18</v>
      </c>
      <c r="G95" s="68" t="s">
        <v>102</v>
      </c>
      <c r="H95" s="68" t="s">
        <v>499</v>
      </c>
      <c r="I95" s="71" t="s">
        <v>197</v>
      </c>
      <c r="J95" s="68" t="s">
        <v>295</v>
      </c>
      <c r="K95" s="234">
        <f>VLOOKUP($A95,订货1!$A95:$A337,1,0)</f>
        <v>101332</v>
      </c>
      <c r="L95" s="244" t="str">
        <f>VLOOKUP($A95,订货1!$A95:$G337,7,0)</f>
        <v>上海蓬澜食品有限公司</v>
      </c>
      <c r="M95" s="235" t="str">
        <f>VLOOKUP($A95,订货1!$A95:$B337,2,0)</f>
        <v>早餐培根1</v>
      </c>
      <c r="N95" s="72">
        <f t="shared" si="11"/>
        <v>45978</v>
      </c>
      <c r="O95" s="49" t="str">
        <f>VLOOKUP($A95,订货1!$A95:$C337,3,0)</f>
        <v>冷凍</v>
      </c>
      <c r="P95" s="44" t="str">
        <f>VLOOKUP($A95,订货1!$A95:$E337,5,0)</f>
        <v>1kg*12pc</v>
      </c>
      <c r="Q95" s="49" t="str">
        <f>VLOOKUP($A95,订货1!$A95:$F337,6,0)</f>
        <v>箱</v>
      </c>
      <c r="R95" s="167">
        <f t="shared" ca="1" si="8"/>
        <v>0</v>
      </c>
      <c r="S95" s="105" t="s">
        <v>199</v>
      </c>
      <c r="T95" s="85">
        <f ca="1">SUMIF(预估营业额3!$B$3:$B$39,"&gt;="&amp;$H$2,预估营业额3!$E$3:$E$39)-SUMIF(预估营业额3!$B$3:$B$39,"&gt;"&amp;N95,预估营业额3!$E$3:$E$39)</f>
        <v>0</v>
      </c>
      <c r="U95" s="219">
        <v>0.13400000000000001</v>
      </c>
      <c r="V95" s="168">
        <v>1</v>
      </c>
      <c r="W95" s="182">
        <f t="shared" ca="1" si="9"/>
        <v>0</v>
      </c>
      <c r="X95" s="214">
        <v>1</v>
      </c>
      <c r="Y95" s="62">
        <f t="shared" si="10"/>
        <v>1</v>
      </c>
      <c r="Z95" s="54">
        <v>1</v>
      </c>
      <c r="AA95" s="54"/>
      <c r="AB95" s="222"/>
      <c r="AC95" s="222"/>
      <c r="AD95" s="222"/>
      <c r="AE95" s="222"/>
      <c r="AF95" s="222"/>
      <c r="AG95" s="222">
        <v>1</v>
      </c>
      <c r="AH95" s="222"/>
      <c r="AI95" s="222"/>
      <c r="AJ95" s="222">
        <v>1</v>
      </c>
      <c r="AK95" s="222"/>
      <c r="AL95" s="222"/>
      <c r="AM95" s="222"/>
      <c r="AN95" s="222">
        <v>1</v>
      </c>
      <c r="AO95" s="222"/>
      <c r="AP95" s="222"/>
      <c r="AQ95" s="222"/>
      <c r="AR95" s="222"/>
      <c r="AS95" s="222"/>
      <c r="AT95" s="222"/>
      <c r="AU95" s="222"/>
      <c r="AV95" s="222"/>
      <c r="AW95" s="222"/>
      <c r="AX95" s="222"/>
      <c r="AY95" s="222"/>
      <c r="AZ95" s="222"/>
      <c r="BA95" s="222"/>
      <c r="BB95" s="222"/>
      <c r="BC95" s="222"/>
      <c r="BD95" s="222"/>
      <c r="BE95" s="222"/>
      <c r="BF95" s="222"/>
      <c r="BG95" s="169" t="str">
        <f>VLOOKUP($A95,订货1!$A95:$I337,9,0)</f>
        <v>由仓库</v>
      </c>
      <c r="BH95" s="47" t="str">
        <f>VLOOKUP($A95,订货1!$A95:$H337,8,0)</f>
        <v>湖南知味大师食品有限公司</v>
      </c>
    </row>
    <row r="96" spans="1:60" ht="15.75" customHeight="1">
      <c r="A96" s="255">
        <v>101745</v>
      </c>
      <c r="B96" s="256" t="s">
        <v>738</v>
      </c>
      <c r="C96" s="69" t="s">
        <v>174</v>
      </c>
      <c r="D96" s="68"/>
      <c r="E96" s="68" t="s">
        <v>739</v>
      </c>
      <c r="F96" s="68" t="s">
        <v>18</v>
      </c>
      <c r="G96" s="265" t="s">
        <v>762</v>
      </c>
      <c r="H96" s="265" t="s">
        <v>762</v>
      </c>
      <c r="I96" s="71" t="s">
        <v>197</v>
      </c>
      <c r="J96" s="68" t="s">
        <v>294</v>
      </c>
      <c r="K96" s="234">
        <f>VLOOKUP($A96,订货1!$A96:$A338,1,0)</f>
        <v>101745</v>
      </c>
      <c r="L96" s="244" t="str">
        <f>VLOOKUP($A96,订货1!$A96:$G338,7,0)</f>
        <v>威海佳康食品有限公司</v>
      </c>
      <c r="M96" s="235" t="str">
        <f>VLOOKUP($A96,订货1!$A96:$B338,2,0)</f>
        <v>小可颂</v>
      </c>
      <c r="N96" s="72">
        <f t="shared" si="11"/>
        <v>45978</v>
      </c>
      <c r="O96" s="49" t="str">
        <f>VLOOKUP($A96,订货1!$A96:$C338,3,0)</f>
        <v>冷凍</v>
      </c>
      <c r="P96" s="44" t="str">
        <f>VLOOKUP($A96,订货1!$A96:$E338,5,0)</f>
        <v>20g*50pc</v>
      </c>
      <c r="Q96" s="49" t="str">
        <f>VLOOKUP($A96,订货1!$A96:$F338,6,0)</f>
        <v>箱</v>
      </c>
      <c r="R96" s="167">
        <f t="shared" ca="1" si="8"/>
        <v>0</v>
      </c>
      <c r="S96" s="105" t="s">
        <v>199</v>
      </c>
      <c r="T96" s="85">
        <f ca="1">SUMIF(预估营业额3!$B$3:$B$39,"&gt;="&amp;$H$2,预估营业额3!$E$3:$E$39)-SUMIF(预估营业额3!$B$3:$B$39,"&gt;"&amp;N96,预估营业额3!$E$3:$E$39)</f>
        <v>0</v>
      </c>
      <c r="U96" s="219">
        <v>5.0322201875899863E-2</v>
      </c>
      <c r="V96" s="168">
        <v>1.1000000000000001</v>
      </c>
      <c r="W96" s="182">
        <f t="shared" ca="1" si="9"/>
        <v>0</v>
      </c>
      <c r="X96" s="214">
        <v>0.5</v>
      </c>
      <c r="Y96" s="62">
        <f t="shared" si="10"/>
        <v>1</v>
      </c>
      <c r="Z96" s="54">
        <v>1</v>
      </c>
      <c r="AA96" s="54"/>
      <c r="AB96" s="222"/>
      <c r="AC96" s="222">
        <v>1</v>
      </c>
      <c r="AD96" s="222"/>
      <c r="AE96" s="222"/>
      <c r="AF96" s="222"/>
      <c r="AG96" s="222"/>
      <c r="AH96" s="222"/>
      <c r="AI96" s="222"/>
      <c r="AJ96" s="222"/>
      <c r="AK96" s="222"/>
      <c r="AL96" s="222"/>
      <c r="AM96" s="222"/>
      <c r="AN96" s="222">
        <v>1</v>
      </c>
      <c r="AO96" s="222"/>
      <c r="AP96" s="222"/>
      <c r="AQ96" s="222"/>
      <c r="AR96" s="222"/>
      <c r="AS96" s="222"/>
      <c r="AT96" s="222"/>
      <c r="AU96" s="222"/>
      <c r="AV96" s="222"/>
      <c r="AW96" s="222"/>
      <c r="AX96" s="222"/>
      <c r="AY96" s="222"/>
      <c r="AZ96" s="222"/>
      <c r="BA96" s="222"/>
      <c r="BB96" s="222"/>
      <c r="BC96" s="222"/>
      <c r="BD96" s="222"/>
      <c r="BE96" s="222"/>
      <c r="BF96" s="222"/>
      <c r="BG96" s="169" t="str">
        <f>VLOOKUP($A96,订货1!$A96:$I338,9,0)</f>
        <v>由仓库</v>
      </c>
      <c r="BH96" s="47" t="str">
        <f>VLOOKUP($A96,订货1!$A96:$H338,8,0)</f>
        <v>威海佳康食品有限公司</v>
      </c>
    </row>
    <row r="97" spans="1:60" ht="15.75" customHeight="1">
      <c r="A97" s="173">
        <v>101589</v>
      </c>
      <c r="B97" s="68" t="s">
        <v>332</v>
      </c>
      <c r="C97" s="69" t="s">
        <v>175</v>
      </c>
      <c r="D97" s="68"/>
      <c r="E97" s="68" t="s">
        <v>329</v>
      </c>
      <c r="F97" s="68" t="s">
        <v>18</v>
      </c>
      <c r="G97" s="68" t="s">
        <v>108</v>
      </c>
      <c r="H97" s="68" t="s">
        <v>330</v>
      </c>
      <c r="I97" s="71" t="s">
        <v>197</v>
      </c>
      <c r="J97" s="68" t="s">
        <v>293</v>
      </c>
      <c r="K97" s="236">
        <f>VLOOKUP($A97,订货1!$A97:$A339,1,0)</f>
        <v>101589</v>
      </c>
      <c r="L97" s="245" t="str">
        <f>VLOOKUP($A97,订货1!$A97:$G339,7,0)</f>
        <v>承武贸易（上海）有限公司</v>
      </c>
      <c r="M97" s="237" t="str">
        <f>VLOOKUP($A97,订货1!$A97:$B339,2,0)</f>
        <v>蓝莓（糖浆）</v>
      </c>
      <c r="N97" s="72">
        <f t="shared" si="11"/>
        <v>45978</v>
      </c>
      <c r="O97" s="49" t="str">
        <f>VLOOKUP($A97,订货1!$A97:$C339,3,0)</f>
        <v>常温</v>
      </c>
      <c r="P97" s="44" t="str">
        <f>VLOOKUP($A97,订货1!$A97:$E339,5,0)</f>
        <v>5kg*4pc</v>
      </c>
      <c r="Q97" s="49" t="str">
        <f>VLOOKUP($A97,订货1!$A97:$F339,6,0)</f>
        <v>箱</v>
      </c>
      <c r="R97" s="167">
        <f t="shared" ca="1" si="8"/>
        <v>0</v>
      </c>
      <c r="S97" s="105" t="s">
        <v>404</v>
      </c>
      <c r="T97" s="85">
        <f ca="1">SUMIF(预估营业额3!$B$3:$B$39,"&gt;="&amp;$H$2,预估营业额3!$E$3:$E$39)-SUMIF(预估营业额3!$B$3:$B$39,"&gt;"&amp;N97,预估营业额3!$E$3:$E$39)</f>
        <v>0</v>
      </c>
      <c r="U97" s="219">
        <v>1.3978389409972185E-2</v>
      </c>
      <c r="V97" s="168">
        <v>1</v>
      </c>
      <c r="W97" s="182">
        <f t="shared" ca="1" si="9"/>
        <v>0</v>
      </c>
      <c r="X97" s="214">
        <v>1</v>
      </c>
      <c r="Y97" s="62">
        <f t="shared" si="10"/>
        <v>0</v>
      </c>
      <c r="Z97" s="54"/>
      <c r="AA97" s="54"/>
      <c r="AB97" s="222"/>
      <c r="AC97" s="222"/>
      <c r="AD97" s="222"/>
      <c r="AE97" s="222"/>
      <c r="AF97" s="222"/>
      <c r="AG97" s="222"/>
      <c r="AH97" s="222"/>
      <c r="AI97" s="222"/>
      <c r="AJ97" s="222"/>
      <c r="AK97" s="222"/>
      <c r="AL97" s="222"/>
      <c r="AM97" s="222"/>
      <c r="AN97" s="222"/>
      <c r="AO97" s="222"/>
      <c r="AP97" s="222"/>
      <c r="AQ97" s="222"/>
      <c r="AR97" s="222"/>
      <c r="AS97" s="222"/>
      <c r="AT97" s="222"/>
      <c r="AU97" s="222"/>
      <c r="AV97" s="222"/>
      <c r="AW97" s="222"/>
      <c r="AX97" s="222"/>
      <c r="AY97" s="222"/>
      <c r="AZ97" s="222"/>
      <c r="BA97" s="222"/>
      <c r="BB97" s="222"/>
      <c r="BC97" s="222"/>
      <c r="BD97" s="222"/>
      <c r="BE97" s="222"/>
      <c r="BF97" s="222"/>
      <c r="BG97" s="169" t="str">
        <f>VLOOKUP($A97,订货1!$A97:$I339,9,0)</f>
        <v>由仓库</v>
      </c>
      <c r="BH97" s="47" t="str">
        <f>VLOOKUP($A97,订货1!$A97:$H339,8,0)</f>
        <v>山东泰乐源农业科技有限公司</v>
      </c>
    </row>
    <row r="98" spans="1:60" ht="15.75" customHeight="1">
      <c r="A98" s="173">
        <v>710001</v>
      </c>
      <c r="B98" s="172" t="s">
        <v>10</v>
      </c>
      <c r="C98" s="69" t="s">
        <v>175</v>
      </c>
      <c r="D98" s="68"/>
      <c r="E98" s="68" t="s">
        <v>179</v>
      </c>
      <c r="F98" s="68" t="s">
        <v>18</v>
      </c>
      <c r="G98" s="68" t="s">
        <v>356</v>
      </c>
      <c r="H98" s="68" t="s">
        <v>356</v>
      </c>
      <c r="I98" s="71" t="s">
        <v>198</v>
      </c>
      <c r="J98" s="68" t="s">
        <v>292</v>
      </c>
      <c r="K98" s="236">
        <f>VLOOKUP($A98,订货1!$A98:$A340,1,0)</f>
        <v>710001</v>
      </c>
      <c r="L98" s="245" t="str">
        <f>VLOOKUP($A98,订货1!$A98:$G340,7,0)</f>
        <v>浙江太古可口可乐饮料有限公司</v>
      </c>
      <c r="M98" s="237" t="str">
        <f>VLOOKUP($A98,订货1!$A98:$B340,2,0)</f>
        <v>可口可乐糖浆</v>
      </c>
      <c r="N98" s="229"/>
      <c r="O98" s="49" t="str">
        <f>VLOOKUP($A98,订货1!$A98:$C340,3,0)</f>
        <v>常温</v>
      </c>
      <c r="P98" s="44" t="str">
        <f>VLOOKUP($A98,订货1!$A98:$E340,5,0)</f>
        <v>20L</v>
      </c>
      <c r="Q98" s="49" t="str">
        <f>VLOOKUP($A98,订货1!$A98:$F340,6,0)</f>
        <v>箱</v>
      </c>
      <c r="R98" s="167">
        <f t="shared" ca="1" si="8"/>
        <v>0</v>
      </c>
      <c r="S98" s="243" t="s">
        <v>836</v>
      </c>
      <c r="T98" s="85">
        <f ca="1">SUMIF(预估营业额3!$B$3:$B$39,"&gt;="&amp;$H$2,预估营业额3!$E$3:$E$39)-SUMIF(预估营业额3!$B$3:$B$39,"&gt;"&amp;N98,预估营业额3!$E$3:$E$39)</f>
        <v>38.299999999999997</v>
      </c>
      <c r="U98" s="219">
        <v>0</v>
      </c>
      <c r="V98" s="168">
        <v>1</v>
      </c>
      <c r="W98" s="182">
        <f t="shared" ca="1" si="9"/>
        <v>0</v>
      </c>
      <c r="X98" s="214">
        <v>0</v>
      </c>
      <c r="Y98" s="62">
        <f t="shared" si="10"/>
        <v>0</v>
      </c>
      <c r="Z98" s="54"/>
      <c r="AA98" s="54"/>
      <c r="AB98" s="222"/>
      <c r="AC98" s="222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222"/>
      <c r="AP98" s="222"/>
      <c r="AQ98" s="222"/>
      <c r="AR98" s="222"/>
      <c r="AS98" s="222"/>
      <c r="AT98" s="222"/>
      <c r="AU98" s="222"/>
      <c r="AV98" s="222"/>
      <c r="AW98" s="222"/>
      <c r="AX98" s="222"/>
      <c r="AY98" s="222"/>
      <c r="AZ98" s="222"/>
      <c r="BA98" s="222"/>
      <c r="BB98" s="222"/>
      <c r="BC98" s="222"/>
      <c r="BD98" s="222"/>
      <c r="BE98" s="222"/>
      <c r="BF98" s="222"/>
      <c r="BG98" s="169" t="str">
        <f>VLOOKUP($A98,订货1!$A98:$I340,9,0)</f>
        <v>由厂商</v>
      </c>
      <c r="BH98" s="47" t="str">
        <f>VLOOKUP($A98,订货1!$A98:$H340,8,0)</f>
        <v>浙江太古可口可乐饮料有限公司</v>
      </c>
    </row>
    <row r="99" spans="1:60" ht="15.75" customHeight="1">
      <c r="A99" s="173">
        <v>710002</v>
      </c>
      <c r="B99" s="172" t="s">
        <v>12</v>
      </c>
      <c r="C99" s="70" t="s">
        <v>175</v>
      </c>
      <c r="D99" s="68"/>
      <c r="E99" s="68" t="s">
        <v>141</v>
      </c>
      <c r="F99" s="68" t="s">
        <v>18</v>
      </c>
      <c r="G99" s="68" t="s">
        <v>356</v>
      </c>
      <c r="H99" s="68" t="s">
        <v>356</v>
      </c>
      <c r="I99" s="71" t="s">
        <v>198</v>
      </c>
      <c r="J99" s="68" t="s">
        <v>600</v>
      </c>
      <c r="K99" s="236">
        <f>VLOOKUP($A99,订货1!$A99:$A341,1,0)</f>
        <v>710002</v>
      </c>
      <c r="L99" s="245" t="str">
        <f>VLOOKUP($A99,订货1!$A99:$G341,7,0)</f>
        <v>浙江太古可口可乐饮料有限公司</v>
      </c>
      <c r="M99" s="237" t="str">
        <f>VLOOKUP($A99,订货1!$A99:$B341,2,0)</f>
        <v>雪碧糖浆</v>
      </c>
      <c r="N99" s="171">
        <f>N98</f>
        <v>0</v>
      </c>
      <c r="O99" s="49" t="str">
        <f>VLOOKUP($A99,订货1!$A99:$C341,3,0)</f>
        <v>常温</v>
      </c>
      <c r="P99" s="44" t="str">
        <f>VLOOKUP($A99,订货1!$A99:$E341,5,0)</f>
        <v>10L</v>
      </c>
      <c r="Q99" s="49" t="str">
        <f>VLOOKUP($A99,订货1!$A99:$F341,6,0)</f>
        <v>箱</v>
      </c>
      <c r="R99" s="167">
        <f t="shared" ca="1" si="8"/>
        <v>0</v>
      </c>
      <c r="S99" s="243" t="s">
        <v>836</v>
      </c>
      <c r="T99" s="85">
        <f ca="1">SUMIF(预估营业额3!$B$3:$B$39,"&gt;="&amp;$H$2,预估营业额3!$E$3:$E$39)-SUMIF(预估营业额3!$B$3:$B$39,"&gt;"&amp;N99,预估营业额3!$E$3:$E$39)</f>
        <v>-39.438000000000017</v>
      </c>
      <c r="U99" s="219">
        <v>0</v>
      </c>
      <c r="V99" s="168">
        <v>1</v>
      </c>
      <c r="W99" s="182">
        <f t="shared" ca="1" si="9"/>
        <v>0</v>
      </c>
      <c r="X99" s="214">
        <v>0</v>
      </c>
      <c r="Y99" s="62">
        <f t="shared" si="10"/>
        <v>0</v>
      </c>
      <c r="Z99" s="54"/>
      <c r="AA99" s="54"/>
      <c r="AB99" s="222"/>
      <c r="AC99" s="222"/>
      <c r="AD99" s="222"/>
      <c r="AE99" s="222"/>
      <c r="AF99" s="222"/>
      <c r="AG99" s="222"/>
      <c r="AH99" s="222"/>
      <c r="AI99" s="222"/>
      <c r="AJ99" s="222"/>
      <c r="AK99" s="222"/>
      <c r="AL99" s="222"/>
      <c r="AM99" s="222"/>
      <c r="AN99" s="222"/>
      <c r="AO99" s="222"/>
      <c r="AP99" s="222"/>
      <c r="AQ99" s="222"/>
      <c r="AR99" s="222"/>
      <c r="AS99" s="222"/>
      <c r="AT99" s="222"/>
      <c r="AU99" s="222"/>
      <c r="AV99" s="222"/>
      <c r="AW99" s="222"/>
      <c r="AX99" s="222"/>
      <c r="AY99" s="222"/>
      <c r="AZ99" s="222"/>
      <c r="BA99" s="222"/>
      <c r="BB99" s="222"/>
      <c r="BC99" s="222"/>
      <c r="BD99" s="222"/>
      <c r="BE99" s="222"/>
      <c r="BF99" s="222"/>
      <c r="BG99" s="169" t="str">
        <f>VLOOKUP($A99,订货1!$A99:$I341,9,0)</f>
        <v>由厂商</v>
      </c>
      <c r="BH99" s="47" t="str">
        <f>VLOOKUP($A99,订货1!$A99:$H341,8,0)</f>
        <v>浙江太古可口可乐饮料有限公司</v>
      </c>
    </row>
    <row r="100" spans="1:60" ht="15.75" customHeight="1">
      <c r="A100" s="300">
        <v>101771</v>
      </c>
      <c r="B100" s="301" t="s">
        <v>844</v>
      </c>
      <c r="C100" s="303" t="s">
        <v>174</v>
      </c>
      <c r="D100" s="301"/>
      <c r="E100" s="301" t="s">
        <v>810</v>
      </c>
      <c r="F100" s="301" t="s">
        <v>845</v>
      </c>
      <c r="G100" s="301" t="s">
        <v>443</v>
      </c>
      <c r="H100" s="301" t="s">
        <v>443</v>
      </c>
      <c r="I100" s="71" t="s">
        <v>197</v>
      </c>
      <c r="J100" s="68" t="s">
        <v>291</v>
      </c>
      <c r="K100" s="270">
        <f>VLOOKUP($A100,订货1!$A100:$A342,1,0)</f>
        <v>101771</v>
      </c>
      <c r="L100" s="271" t="str">
        <f>VLOOKUP($A100,订货1!$A100:$G342,7,0)</f>
        <v>广州萨莉亚食品有限公司</v>
      </c>
      <c r="M100" s="272" t="str">
        <f>VLOOKUP($A100,订货1!$A100:$B342,2,0)</f>
        <v>罗勒松子调味酱</v>
      </c>
      <c r="N100" s="225">
        <f t="shared" si="11"/>
        <v>45978</v>
      </c>
      <c r="O100" s="49" t="str">
        <f>VLOOKUP($A100,订货1!$A100:$C342,3,0)</f>
        <v>冷凍</v>
      </c>
      <c r="P100" s="44" t="str">
        <f>VLOOKUP($A100,订货1!$A100:$E342,5,0)</f>
        <v>500g*20pc</v>
      </c>
      <c r="Q100" s="49" t="str">
        <f>VLOOKUP($A100,订货1!$A100:$F342,6,0)</f>
        <v>箱</v>
      </c>
      <c r="R100" s="167">
        <f t="shared" ca="1" si="8"/>
        <v>0</v>
      </c>
      <c r="S100" s="260" t="s">
        <v>207</v>
      </c>
      <c r="T100" s="85">
        <f ca="1">SUMIF(预估营业额3!$B$3:$B$39,"&gt;="&amp;$H$2,预估营业额3!$E$3:$E$39)-SUMIF(预估营业额3!$B$3:$B$39,"&gt;"&amp;N100,预估营业额3!$E$3:$E$39)</f>
        <v>0</v>
      </c>
      <c r="U100" s="219">
        <v>0</v>
      </c>
      <c r="V100" s="168">
        <v>1</v>
      </c>
      <c r="W100" s="182">
        <f t="shared" ca="1" si="9"/>
        <v>0</v>
      </c>
      <c r="X100" s="214">
        <v>0</v>
      </c>
      <c r="Y100" s="62">
        <f t="shared" si="10"/>
        <v>0</v>
      </c>
      <c r="Z100" s="54"/>
      <c r="AA100" s="54"/>
      <c r="AB100" s="222"/>
      <c r="AC100" s="222"/>
      <c r="AD100" s="222"/>
      <c r="AE100" s="222"/>
      <c r="AF100" s="222"/>
      <c r="AG100" s="222"/>
      <c r="AH100" s="222"/>
      <c r="AI100" s="222"/>
      <c r="AJ100" s="222"/>
      <c r="AK100" s="222"/>
      <c r="AL100" s="222"/>
      <c r="AM100" s="222"/>
      <c r="AN100" s="222"/>
      <c r="AO100" s="222"/>
      <c r="AP100" s="222"/>
      <c r="AQ100" s="222"/>
      <c r="AR100" s="222"/>
      <c r="AS100" s="222"/>
      <c r="AT100" s="222"/>
      <c r="AU100" s="222"/>
      <c r="AV100" s="222"/>
      <c r="AW100" s="222"/>
      <c r="AX100" s="222"/>
      <c r="AY100" s="222"/>
      <c r="AZ100" s="222"/>
      <c r="BA100" s="222"/>
      <c r="BB100" s="222"/>
      <c r="BC100" s="222"/>
      <c r="BD100" s="222"/>
      <c r="BE100" s="222"/>
      <c r="BF100" s="222"/>
      <c r="BG100" s="169" t="str">
        <f>VLOOKUP($A100,订货1!$A100:$I342,9,0)</f>
        <v>由仓库</v>
      </c>
      <c r="BH100" s="47" t="str">
        <f>VLOOKUP($A100,订货1!$A100:$H342,8,0)</f>
        <v>广州萨莉亚食品有限公司</v>
      </c>
    </row>
    <row r="101" spans="1:60" ht="15.75" customHeight="1">
      <c r="A101" s="173">
        <v>710003</v>
      </c>
      <c r="B101" s="172" t="s">
        <v>13</v>
      </c>
      <c r="C101" s="70" t="s">
        <v>175</v>
      </c>
      <c r="D101" s="68"/>
      <c r="E101" s="68" t="s">
        <v>141</v>
      </c>
      <c r="F101" s="68" t="s">
        <v>18</v>
      </c>
      <c r="G101" s="68" t="s">
        <v>356</v>
      </c>
      <c r="H101" s="68" t="s">
        <v>356</v>
      </c>
      <c r="I101" s="71" t="s">
        <v>198</v>
      </c>
      <c r="J101" s="68" t="s">
        <v>601</v>
      </c>
      <c r="K101" s="236">
        <f>VLOOKUP($A101,订货1!$A101:$A343,1,0)</f>
        <v>710003</v>
      </c>
      <c r="L101" s="245" t="str">
        <f>VLOOKUP($A101,订货1!$A101:$G343,7,0)</f>
        <v>浙江太古可口可乐饮料有限公司</v>
      </c>
      <c r="M101" s="237" t="str">
        <f>VLOOKUP($A101,订货1!$A101:$B343,2,0)</f>
        <v>芬达橙汁糖浆</v>
      </c>
      <c r="N101" s="171">
        <f>N98</f>
        <v>0</v>
      </c>
      <c r="O101" s="49" t="str">
        <f>VLOOKUP($A101,订货1!$A101:$C343,3,0)</f>
        <v>常温</v>
      </c>
      <c r="P101" s="44" t="str">
        <f>VLOOKUP($A101,订货1!$A101:$E343,5,0)</f>
        <v>10L</v>
      </c>
      <c r="Q101" s="49" t="str">
        <f>VLOOKUP($A101,订货1!$A101:$F343,6,0)</f>
        <v>箱</v>
      </c>
      <c r="R101" s="167">
        <f t="shared" ca="1" si="8"/>
        <v>0</v>
      </c>
      <c r="S101" s="243" t="s">
        <v>836</v>
      </c>
      <c r="T101" s="85">
        <f ca="1">SUMIF(预估营业额3!$B$3:$B$39,"&gt;="&amp;$H$2,预估营业额3!$E$3:$E$39)-SUMIF(预估营业额3!$B$3:$B$39,"&gt;"&amp;N101,预估营业额3!$E$3:$E$39)</f>
        <v>-39.438000000000017</v>
      </c>
      <c r="U101" s="219">
        <v>0</v>
      </c>
      <c r="V101" s="168">
        <v>1</v>
      </c>
      <c r="W101" s="182">
        <f t="shared" ca="1" si="9"/>
        <v>0</v>
      </c>
      <c r="X101" s="214">
        <v>0</v>
      </c>
      <c r="Y101" s="62">
        <f t="shared" si="10"/>
        <v>0</v>
      </c>
      <c r="Z101" s="54"/>
      <c r="AA101" s="54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222"/>
      <c r="AP101" s="222"/>
      <c r="AQ101" s="222"/>
      <c r="AR101" s="222"/>
      <c r="AS101" s="222"/>
      <c r="AT101" s="222"/>
      <c r="AU101" s="222"/>
      <c r="AV101" s="222"/>
      <c r="AW101" s="222"/>
      <c r="AX101" s="222"/>
      <c r="AY101" s="222"/>
      <c r="AZ101" s="222"/>
      <c r="BA101" s="222"/>
      <c r="BB101" s="222"/>
      <c r="BC101" s="222"/>
      <c r="BD101" s="222"/>
      <c r="BE101" s="222"/>
      <c r="BF101" s="222"/>
      <c r="BG101" s="169" t="str">
        <f>VLOOKUP($A101,订货1!$A101:$I343,9,0)</f>
        <v>由厂商</v>
      </c>
      <c r="BH101" s="47" t="str">
        <f>VLOOKUP($A101,订货1!$A101:$H343,8,0)</f>
        <v>浙江太古可口可乐饮料有限公司</v>
      </c>
    </row>
    <row r="102" spans="1:60" ht="15.75" customHeight="1">
      <c r="A102" s="173">
        <v>710004</v>
      </c>
      <c r="B102" s="172" t="s">
        <v>14</v>
      </c>
      <c r="C102" s="70" t="s">
        <v>175</v>
      </c>
      <c r="D102" s="68"/>
      <c r="E102" s="68" t="s">
        <v>141</v>
      </c>
      <c r="F102" s="68" t="s">
        <v>18</v>
      </c>
      <c r="G102" s="68" t="s">
        <v>356</v>
      </c>
      <c r="H102" s="68" t="s">
        <v>356</v>
      </c>
      <c r="I102" s="71" t="s">
        <v>198</v>
      </c>
      <c r="J102" s="68" t="s">
        <v>290</v>
      </c>
      <c r="K102" s="236">
        <f>VLOOKUP($A102,订货1!$A102:$A344,1,0)</f>
        <v>710004</v>
      </c>
      <c r="L102" s="245" t="str">
        <f>VLOOKUP($A102,订货1!$A102:$G344,7,0)</f>
        <v>浙江太古可口可乐饮料有限公司</v>
      </c>
      <c r="M102" s="237" t="str">
        <f>VLOOKUP($A102,订货1!$A102:$B344,2,0)</f>
        <v>飞想柠檬红茶</v>
      </c>
      <c r="N102" s="171">
        <f>N98</f>
        <v>0</v>
      </c>
      <c r="O102" s="187" t="str">
        <f>VLOOKUP($A102,订货1!$A102:$C344,3,0)</f>
        <v>常温</v>
      </c>
      <c r="P102" s="184" t="str">
        <f>VLOOKUP($A102,订货1!$A102:$E344,5,0)</f>
        <v>10L</v>
      </c>
      <c r="Q102" s="187" t="str">
        <f>VLOOKUP($A102,订货1!$A102:$F344,6,0)</f>
        <v>箱</v>
      </c>
      <c r="R102" s="188">
        <f t="shared" ca="1" si="8"/>
        <v>0</v>
      </c>
      <c r="S102" s="243" t="s">
        <v>836</v>
      </c>
      <c r="T102" s="85">
        <f ca="1">SUMIF(预估营业额3!$B$3:$B$39,"&gt;="&amp;$H$2,预估营业额3!$E$3:$E$39)-SUMIF(预估营业额3!$B$3:$B$39,"&gt;"&amp;N102,预估营业额3!$E$3:$E$39)</f>
        <v>-39.438000000000017</v>
      </c>
      <c r="U102" s="219">
        <v>0</v>
      </c>
      <c r="V102" s="168">
        <v>1</v>
      </c>
      <c r="W102" s="182">
        <f t="shared" ca="1" si="9"/>
        <v>0</v>
      </c>
      <c r="X102" s="214">
        <v>0</v>
      </c>
      <c r="Y102" s="62">
        <f t="shared" si="10"/>
        <v>0</v>
      </c>
      <c r="Z102" s="54"/>
      <c r="AA102" s="54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222"/>
      <c r="AP102" s="222"/>
      <c r="AQ102" s="222"/>
      <c r="AR102" s="222"/>
      <c r="AS102" s="222"/>
      <c r="AT102" s="222"/>
      <c r="AU102" s="222"/>
      <c r="AV102" s="222"/>
      <c r="AW102" s="222"/>
      <c r="AX102" s="222"/>
      <c r="AY102" s="222"/>
      <c r="AZ102" s="222"/>
      <c r="BA102" s="222"/>
      <c r="BB102" s="222"/>
      <c r="BC102" s="222"/>
      <c r="BD102" s="222"/>
      <c r="BE102" s="222"/>
      <c r="BF102" s="222"/>
      <c r="BG102" s="169" t="str">
        <f>VLOOKUP($A102,订货1!$A102:$I344,9,0)</f>
        <v>由厂商</v>
      </c>
      <c r="BH102" s="47" t="str">
        <f>VLOOKUP($A102,订货1!$A102:$H344,8,0)</f>
        <v>浙江太古可口可乐饮料有限公司</v>
      </c>
    </row>
    <row r="103" spans="1:60" ht="15.75" customHeight="1">
      <c r="A103" s="255">
        <v>101744</v>
      </c>
      <c r="B103" s="256" t="s">
        <v>741</v>
      </c>
      <c r="C103" s="70" t="s">
        <v>174</v>
      </c>
      <c r="D103" s="68"/>
      <c r="E103" s="68" t="s">
        <v>742</v>
      </c>
      <c r="F103" s="68" t="s">
        <v>18</v>
      </c>
      <c r="G103" s="68" t="s">
        <v>107</v>
      </c>
      <c r="H103" s="68" t="s">
        <v>512</v>
      </c>
      <c r="I103" s="71" t="s">
        <v>197</v>
      </c>
      <c r="J103" s="68" t="s">
        <v>602</v>
      </c>
      <c r="K103" s="234">
        <f>VLOOKUP($A103,订货1!$A103:$A345,1,0)</f>
        <v>101744</v>
      </c>
      <c r="L103" s="244" t="str">
        <f>VLOOKUP($A103,订货1!$A103:$G345,7,0)</f>
        <v>福建圣农食品有限公司</v>
      </c>
      <c r="M103" s="235" t="str">
        <f>VLOOKUP($A103,订货1!$A103:$B345,2,0)</f>
        <v>黑椒牛肉片</v>
      </c>
      <c r="N103" s="72">
        <f t="shared" si="11"/>
        <v>45978</v>
      </c>
      <c r="O103" s="49" t="str">
        <f>VLOOKUP($A103,订货1!$A103:$C345,3,0)</f>
        <v>冷凍</v>
      </c>
      <c r="P103" s="44" t="str">
        <f>VLOOKUP($A103,订货1!$A103:$E345,5,0)</f>
        <v>0.4kg*30</v>
      </c>
      <c r="Q103" s="49" t="str">
        <f>VLOOKUP($A103,订货1!$A103:$F345,6,0)</f>
        <v>箱</v>
      </c>
      <c r="R103" s="167">
        <f t="shared" ca="1" si="8"/>
        <v>0</v>
      </c>
      <c r="S103" s="105" t="s">
        <v>447</v>
      </c>
      <c r="T103" s="85">
        <f ca="1">SUMIF(预估营业额3!$B$3:$B$39,"&gt;="&amp;$H$2,预估营业额3!$E$3:$E$39)-SUMIF(预估营业额3!$B$3:$B$39,"&gt;"&amp;N103,预估营业额3!$E$3:$E$39)</f>
        <v>0</v>
      </c>
      <c r="U103" s="219">
        <v>6.0573020776546124E-3</v>
      </c>
      <c r="V103" s="168">
        <v>1</v>
      </c>
      <c r="W103" s="182">
        <f t="shared" ca="1" si="9"/>
        <v>0</v>
      </c>
      <c r="X103" s="214">
        <v>0.01</v>
      </c>
      <c r="Y103" s="62">
        <f t="shared" si="10"/>
        <v>0</v>
      </c>
      <c r="Z103" s="54"/>
      <c r="AA103" s="54"/>
      <c r="AB103" s="222"/>
      <c r="AC103" s="222"/>
      <c r="AD103" s="222"/>
      <c r="AE103" s="222"/>
      <c r="AF103" s="222"/>
      <c r="AG103" s="222"/>
      <c r="AH103" s="222"/>
      <c r="AI103" s="222"/>
      <c r="AJ103" s="222"/>
      <c r="AK103" s="222"/>
      <c r="AL103" s="222"/>
      <c r="AM103" s="222"/>
      <c r="AN103" s="222"/>
      <c r="AO103" s="222">
        <v>1</v>
      </c>
      <c r="AP103" s="222"/>
      <c r="AQ103" s="222"/>
      <c r="AR103" s="222"/>
      <c r="AS103" s="222"/>
      <c r="AT103" s="222"/>
      <c r="AU103" s="222"/>
      <c r="AV103" s="222"/>
      <c r="AW103" s="222"/>
      <c r="AX103" s="222"/>
      <c r="AY103" s="222"/>
      <c r="AZ103" s="222"/>
      <c r="BA103" s="222"/>
      <c r="BB103" s="222"/>
      <c r="BC103" s="222"/>
      <c r="BD103" s="222"/>
      <c r="BE103" s="222"/>
      <c r="BF103" s="222"/>
      <c r="BG103" s="169" t="str">
        <f>VLOOKUP($A103,订货1!$A103:$I345,9,0)</f>
        <v>由仓库</v>
      </c>
      <c r="BH103" s="47" t="str">
        <f>VLOOKUP($A103,订货1!$A103:$H345,8,0)</f>
        <v>福建圣农食品（浦城）有限公司</v>
      </c>
    </row>
    <row r="104" spans="1:60" ht="15.75" hidden="1" customHeight="1">
      <c r="A104" s="255">
        <v>101740</v>
      </c>
      <c r="B104" s="256" t="s">
        <v>825</v>
      </c>
      <c r="C104" s="70" t="s">
        <v>174</v>
      </c>
      <c r="D104" s="68"/>
      <c r="E104" s="68" t="s">
        <v>740</v>
      </c>
      <c r="F104" s="68" t="s">
        <v>18</v>
      </c>
      <c r="G104" s="68" t="s">
        <v>383</v>
      </c>
      <c r="H104" s="68" t="s">
        <v>98</v>
      </c>
      <c r="I104" s="71" t="s">
        <v>197</v>
      </c>
      <c r="J104" s="68" t="s">
        <v>603</v>
      </c>
      <c r="K104" s="234">
        <f>VLOOKUP($A104,订货1!$A104:$A346,1,0)</f>
        <v>101740</v>
      </c>
      <c r="L104" s="244" t="str">
        <f>VLOOKUP($A104,订货1!$A104:$G346,7,0)</f>
        <v>日邦食品（上海）有限公司</v>
      </c>
      <c r="M104" s="235" t="str">
        <f>VLOOKUP($A104,订货1!$A104:$B346,2,0)</f>
        <v>原味香肠（长）</v>
      </c>
      <c r="N104" s="72">
        <f t="shared" si="11"/>
        <v>45978</v>
      </c>
      <c r="O104" s="49" t="str">
        <f>VLOOKUP($A104,订货1!$A104:$C346,3,0)</f>
        <v>冷凍</v>
      </c>
      <c r="P104" s="44" t="str">
        <f>VLOOKUP($A104,订货1!$A104:$E346,5,0)</f>
        <v>55g*16*10pc</v>
      </c>
      <c r="Q104" s="49" t="str">
        <f>VLOOKUP($A104,订货1!$A104:$F346,6,0)</f>
        <v>箱</v>
      </c>
      <c r="R104" s="167">
        <f t="shared" ca="1" si="8"/>
        <v>0</v>
      </c>
      <c r="S104" s="105" t="s">
        <v>447</v>
      </c>
      <c r="T104" s="85">
        <f ca="1">SUMIF(预估营业额3!$B$3:$B$39,"&gt;="&amp;$H$2,预估营业额3!$E$3:$E$39)-SUMIF(预估营业额3!$B$3:$B$39,"&gt;"&amp;N104,预估营业额3!$E$3:$E$39)</f>
        <v>0</v>
      </c>
      <c r="U104" s="219">
        <v>0.10833251792728442</v>
      </c>
      <c r="V104" s="168">
        <v>1</v>
      </c>
      <c r="W104" s="182">
        <f t="shared" ca="1" si="9"/>
        <v>0</v>
      </c>
      <c r="X104" s="214">
        <v>0</v>
      </c>
      <c r="Y104" s="62">
        <f t="shared" si="10"/>
        <v>0</v>
      </c>
      <c r="Z104" s="54"/>
      <c r="AA104" s="54"/>
      <c r="AB104" s="222"/>
      <c r="AC104" s="222"/>
      <c r="AD104" s="222"/>
      <c r="AE104" s="222"/>
      <c r="AF104" s="222"/>
      <c r="AG104" s="222"/>
      <c r="AH104" s="222"/>
      <c r="AI104" s="222"/>
      <c r="AJ104" s="222"/>
      <c r="AK104" s="222"/>
      <c r="AL104" s="222"/>
      <c r="AM104" s="222"/>
      <c r="AN104" s="222"/>
      <c r="AO104" s="222"/>
      <c r="AP104" s="222"/>
      <c r="AQ104" s="222"/>
      <c r="AR104" s="222"/>
      <c r="AS104" s="222"/>
      <c r="AT104" s="222"/>
      <c r="AU104" s="222"/>
      <c r="AV104" s="222"/>
      <c r="AW104" s="222"/>
      <c r="AX104" s="222"/>
      <c r="AY104" s="222"/>
      <c r="AZ104" s="222"/>
      <c r="BA104" s="222"/>
      <c r="BB104" s="222"/>
      <c r="BC104" s="222"/>
      <c r="BD104" s="222"/>
      <c r="BE104" s="222"/>
      <c r="BF104" s="222"/>
      <c r="BG104" s="169" t="str">
        <f>VLOOKUP($A104,订货1!$A104:$I346,9,0)</f>
        <v>由仓库</v>
      </c>
      <c r="BH104" s="47" t="str">
        <f>VLOOKUP($A104,订货1!$A104:$H346,8,0)</f>
        <v>山东日龙食品有限公司</v>
      </c>
    </row>
    <row r="105" spans="1:60" ht="15.75" hidden="1" customHeight="1">
      <c r="A105" s="255">
        <v>101741</v>
      </c>
      <c r="B105" s="256" t="s">
        <v>743</v>
      </c>
      <c r="C105" s="70" t="s">
        <v>174</v>
      </c>
      <c r="D105" s="68"/>
      <c r="E105" s="68" t="s">
        <v>744</v>
      </c>
      <c r="F105" s="68" t="s">
        <v>18</v>
      </c>
      <c r="G105" s="68" t="s">
        <v>518</v>
      </c>
      <c r="H105" s="68" t="s">
        <v>518</v>
      </c>
      <c r="I105" s="71" t="s">
        <v>197</v>
      </c>
      <c r="J105" s="68" t="s">
        <v>289</v>
      </c>
      <c r="K105" s="234">
        <f>VLOOKUP($A105,订货1!$A105:$A347,1,0)</f>
        <v>101741</v>
      </c>
      <c r="L105" s="244" t="str">
        <f>VLOOKUP($A105,订货1!$A105:$G347,7,0)</f>
        <v>马鞍山百瑞食品有限公司</v>
      </c>
      <c r="M105" s="235" t="str">
        <f>VLOOKUP($A105,订货1!$A105:$B347,2,0)</f>
        <v>百瑞猪肉卷</v>
      </c>
      <c r="N105" s="72">
        <f t="shared" si="11"/>
        <v>45978</v>
      </c>
      <c r="O105" s="49" t="str">
        <f>VLOOKUP($A105,订货1!$A105:$C347,3,0)</f>
        <v>冷凍</v>
      </c>
      <c r="P105" s="44" t="str">
        <f>VLOOKUP($A105,订货1!$A105:$E347,5,0)</f>
        <v>600g*9pc</v>
      </c>
      <c r="Q105" s="49" t="str">
        <f>VLOOKUP($A105,订货1!$A105:$F347,6,0)</f>
        <v>箱</v>
      </c>
      <c r="R105" s="167">
        <f t="shared" ca="1" si="8"/>
        <v>0</v>
      </c>
      <c r="S105" s="105" t="s">
        <v>447</v>
      </c>
      <c r="T105" s="85">
        <f ca="1">SUMIF(预估营业额3!$B$3:$B$39,"&gt;="&amp;$H$2,预估营业额3!$E$3:$E$39)-SUMIF(预估营业额3!$B$3:$B$39,"&gt;"&amp;N105,预估营业额3!$E$3:$E$39)</f>
        <v>0</v>
      </c>
      <c r="U105" s="219">
        <v>2.3297315683286968E-2</v>
      </c>
      <c r="V105" s="168">
        <v>1</v>
      </c>
      <c r="W105" s="182">
        <f t="shared" ca="1" si="9"/>
        <v>0</v>
      </c>
      <c r="X105" s="214">
        <v>0</v>
      </c>
      <c r="Y105" s="62">
        <f t="shared" si="10"/>
        <v>0</v>
      </c>
      <c r="Z105" s="54"/>
      <c r="AA105" s="54"/>
      <c r="AB105" s="222"/>
      <c r="AC105" s="222"/>
      <c r="AD105" s="222"/>
      <c r="AE105" s="222"/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222"/>
      <c r="AP105" s="222"/>
      <c r="AQ105" s="222"/>
      <c r="AR105" s="222"/>
      <c r="AS105" s="222"/>
      <c r="AT105" s="222"/>
      <c r="AU105" s="222"/>
      <c r="AV105" s="222"/>
      <c r="AW105" s="222"/>
      <c r="AX105" s="222"/>
      <c r="AY105" s="222"/>
      <c r="AZ105" s="222"/>
      <c r="BA105" s="222"/>
      <c r="BB105" s="222"/>
      <c r="BC105" s="222"/>
      <c r="BD105" s="222"/>
      <c r="BE105" s="222"/>
      <c r="BF105" s="222"/>
      <c r="BG105" s="169" t="str">
        <f>VLOOKUP($A105,订货1!$A105:$I347,9,0)</f>
        <v>由仓库</v>
      </c>
      <c r="BH105" s="47" t="str">
        <f>VLOOKUP($A105,订货1!$A105:$H347,8,0)</f>
        <v>马鞍山百瑞食品有限公司</v>
      </c>
    </row>
    <row r="106" spans="1:60" ht="15.75" customHeight="1">
      <c r="A106" s="173">
        <v>101716</v>
      </c>
      <c r="B106" s="172" t="s">
        <v>527</v>
      </c>
      <c r="C106" s="70" t="s">
        <v>174</v>
      </c>
      <c r="D106" s="68"/>
      <c r="E106" s="68" t="s">
        <v>528</v>
      </c>
      <c r="F106" s="68" t="s">
        <v>18</v>
      </c>
      <c r="G106" s="68" t="s">
        <v>443</v>
      </c>
      <c r="H106" s="68" t="s">
        <v>443</v>
      </c>
      <c r="I106" s="71" t="s">
        <v>197</v>
      </c>
      <c r="J106" s="68" t="s">
        <v>288</v>
      </c>
      <c r="K106" s="234">
        <f>VLOOKUP($A106,订货1!$A106:$A348,1,0)</f>
        <v>101716</v>
      </c>
      <c r="L106" s="244" t="str">
        <f>VLOOKUP($A106,订货1!$A106:$G348,7,0)</f>
        <v>广州萨莉亚食品有限公司</v>
      </c>
      <c r="M106" s="235" t="str">
        <f>VLOOKUP($A106,订货1!$A106:$B348,2,0)</f>
        <v>墨鱼复合调味汁</v>
      </c>
      <c r="N106" s="72">
        <f t="shared" si="11"/>
        <v>45978</v>
      </c>
      <c r="O106" s="49" t="str">
        <f>VLOOKUP($A106,订货1!$A106:$C348,3,0)</f>
        <v>冷凍</v>
      </c>
      <c r="P106" s="44" t="str">
        <f>VLOOKUP($A106,订货1!$A106:$E348,5,0)</f>
        <v>200g*45袋</v>
      </c>
      <c r="Q106" s="49" t="str">
        <f>VLOOKUP($A106,订货1!$A106:$F348,6,0)</f>
        <v>箱</v>
      </c>
      <c r="R106" s="167">
        <f t="shared" ca="1" si="8"/>
        <v>0</v>
      </c>
      <c r="S106" s="105" t="s">
        <v>554</v>
      </c>
      <c r="T106" s="85">
        <f ca="1">SUMIF(预估营业额3!$B$3:$B$39,"&gt;="&amp;$H$2,预估营业额3!$E$3:$E$39)-SUMIF(预估营业额3!$B$3:$B$39,"&gt;"&amp;N106,预估营业额3!$E$3:$E$39)</f>
        <v>0</v>
      </c>
      <c r="U106" s="219">
        <v>1.9569745173961053E-2</v>
      </c>
      <c r="V106" s="168">
        <v>1</v>
      </c>
      <c r="W106" s="182">
        <f t="shared" ca="1" si="9"/>
        <v>0</v>
      </c>
      <c r="X106" s="214">
        <v>0.88888888888888884</v>
      </c>
      <c r="Y106" s="62">
        <f t="shared" si="10"/>
        <v>0</v>
      </c>
      <c r="Z106" s="54"/>
      <c r="AA106" s="54"/>
      <c r="AB106" s="222"/>
      <c r="AC106" s="222"/>
      <c r="AD106" s="222"/>
      <c r="AE106" s="222"/>
      <c r="AF106" s="222"/>
      <c r="AG106" s="222">
        <v>1</v>
      </c>
      <c r="AH106" s="222"/>
      <c r="AI106" s="222"/>
      <c r="AJ106" s="222"/>
      <c r="AK106" s="222"/>
      <c r="AL106" s="222"/>
      <c r="AM106" s="222"/>
      <c r="AN106" s="222"/>
      <c r="AO106" s="222"/>
      <c r="AP106" s="222"/>
      <c r="AQ106" s="222"/>
      <c r="AR106" s="222"/>
      <c r="AS106" s="222"/>
      <c r="AT106" s="222"/>
      <c r="AU106" s="222"/>
      <c r="AV106" s="222"/>
      <c r="AW106" s="222"/>
      <c r="AX106" s="222"/>
      <c r="AY106" s="222"/>
      <c r="AZ106" s="222"/>
      <c r="BA106" s="222"/>
      <c r="BB106" s="222"/>
      <c r="BC106" s="222"/>
      <c r="BD106" s="222"/>
      <c r="BE106" s="222"/>
      <c r="BF106" s="222"/>
      <c r="BG106" s="169" t="str">
        <f>VLOOKUP($A106,订货1!$A106:$I348,9,0)</f>
        <v>由仓库</v>
      </c>
      <c r="BH106" s="47" t="str">
        <f>VLOOKUP($A106,订货1!$A106:$H348,8,0)</f>
        <v>广州萨莉亚食品有限公司</v>
      </c>
    </row>
    <row r="107" spans="1:60" ht="15.75" customHeight="1">
      <c r="A107" s="173">
        <v>101714</v>
      </c>
      <c r="B107" s="172" t="s">
        <v>529</v>
      </c>
      <c r="C107" s="70" t="s">
        <v>176</v>
      </c>
      <c r="D107" s="68"/>
      <c r="E107" s="68" t="s">
        <v>572</v>
      </c>
      <c r="F107" s="68" t="s">
        <v>555</v>
      </c>
      <c r="G107" s="68" t="s">
        <v>518</v>
      </c>
      <c r="H107" s="68" t="s">
        <v>518</v>
      </c>
      <c r="I107" s="71" t="s">
        <v>197</v>
      </c>
      <c r="J107" s="68" t="s">
        <v>604</v>
      </c>
      <c r="K107" s="234">
        <f>VLOOKUP($A107,订货1!$A107:$A349,1,0)</f>
        <v>101714</v>
      </c>
      <c r="L107" s="244" t="str">
        <f>VLOOKUP($A107,订货1!$A107:$G349,7,0)</f>
        <v>马鞍山百瑞食品有限公司</v>
      </c>
      <c r="M107" s="235" t="str">
        <f>VLOOKUP($A107,订货1!$A107:$B349,2,0)</f>
        <v>贝贝罗尼意式萨拉米</v>
      </c>
      <c r="N107" s="72">
        <f t="shared" si="11"/>
        <v>45978</v>
      </c>
      <c r="O107" s="49" t="str">
        <f>VLOOKUP($A107,订货1!$A107:$C349,3,0)</f>
        <v>冷蔵</v>
      </c>
      <c r="P107" s="44" t="str">
        <f>VLOOKUP($A107,订货1!$A107:$E349,5,0)</f>
        <v>0.1kg*40</v>
      </c>
      <c r="Q107" s="49" t="str">
        <f>VLOOKUP($A107,订货1!$A107:$F349,6,0)</f>
        <v>箱</v>
      </c>
      <c r="R107" s="167">
        <f t="shared" ca="1" si="8"/>
        <v>0</v>
      </c>
      <c r="S107" s="228" t="s">
        <v>199</v>
      </c>
      <c r="T107" s="85">
        <f ca="1">SUMIF(预估营业额3!$B$3:$B$39,"&gt;="&amp;$H$2,预估营业额3!$E$3:$E$39)-SUMIF(预估营业额3!$B$3:$B$39,"&gt;"&amp;N107,预估营业额3!$E$3:$E$39)</f>
        <v>0</v>
      </c>
      <c r="U107" s="219">
        <v>3.0752456701938803E-2</v>
      </c>
      <c r="V107" s="168">
        <v>1</v>
      </c>
      <c r="W107" s="182">
        <f t="shared" ca="1" si="9"/>
        <v>0</v>
      </c>
      <c r="X107" s="214">
        <v>1.05</v>
      </c>
      <c r="Y107" s="62">
        <f t="shared" si="10"/>
        <v>0</v>
      </c>
      <c r="Z107" s="54"/>
      <c r="AA107" s="54"/>
      <c r="AB107" s="222"/>
      <c r="AC107" s="222"/>
      <c r="AD107" s="222"/>
      <c r="AE107" s="222"/>
      <c r="AF107" s="222"/>
      <c r="AG107" s="222"/>
      <c r="AH107" s="222"/>
      <c r="AI107" s="222"/>
      <c r="AJ107" s="222">
        <v>1</v>
      </c>
      <c r="AK107" s="222"/>
      <c r="AL107" s="222"/>
      <c r="AM107" s="222"/>
      <c r="AN107" s="222"/>
      <c r="AO107" s="222"/>
      <c r="AP107" s="222"/>
      <c r="AQ107" s="222"/>
      <c r="AR107" s="222"/>
      <c r="AS107" s="222"/>
      <c r="AT107" s="222"/>
      <c r="AU107" s="222"/>
      <c r="AV107" s="222"/>
      <c r="AW107" s="222"/>
      <c r="AX107" s="222"/>
      <c r="AY107" s="222"/>
      <c r="AZ107" s="222"/>
      <c r="BA107" s="222"/>
      <c r="BB107" s="222"/>
      <c r="BC107" s="222"/>
      <c r="BD107" s="222"/>
      <c r="BE107" s="222"/>
      <c r="BF107" s="222"/>
      <c r="BG107" s="169" t="str">
        <f>VLOOKUP($A107,订货1!$A107:$I349,9,0)</f>
        <v>由仓库</v>
      </c>
      <c r="BH107" s="47" t="str">
        <f>VLOOKUP($A107,订货1!$A107:$H349,8,0)</f>
        <v>马鞍山百瑞食品有限公司</v>
      </c>
    </row>
    <row r="108" spans="1:60" ht="15.75" hidden="1" customHeight="1">
      <c r="A108" s="67">
        <v>101394</v>
      </c>
      <c r="B108" s="68" t="s">
        <v>87</v>
      </c>
      <c r="C108" s="70" t="s">
        <v>175</v>
      </c>
      <c r="D108" s="68"/>
      <c r="E108" s="68" t="s">
        <v>250</v>
      </c>
      <c r="F108" s="68" t="s">
        <v>18</v>
      </c>
      <c r="G108" s="68" t="s">
        <v>108</v>
      </c>
      <c r="H108" s="68" t="s">
        <v>109</v>
      </c>
      <c r="I108" s="71" t="s">
        <v>197</v>
      </c>
      <c r="J108" s="68" t="s">
        <v>287</v>
      </c>
      <c r="K108" s="234">
        <f>VLOOKUP($A108,订货1!$A108:$A350,1,0)</f>
        <v>101394</v>
      </c>
      <c r="L108" s="244" t="str">
        <f>VLOOKUP($A108,订货1!$A108:$G350,7,0)</f>
        <v>承武贸易（上海）有限公司</v>
      </c>
      <c r="M108" s="235" t="str">
        <f>VLOOKUP($A108,订货1!$A108:$B350,2,0)</f>
        <v>美滋乐玉米汁</v>
      </c>
      <c r="N108" s="72">
        <f t="shared" si="11"/>
        <v>45978</v>
      </c>
      <c r="O108" s="49" t="str">
        <f>VLOOKUP($A108,订货1!$A108:$C350,3,0)</f>
        <v>常温</v>
      </c>
      <c r="P108" s="44" t="str">
        <f>VLOOKUP($A108,订货1!$A108:$E350,5,0)</f>
        <v>1kg*15pc</v>
      </c>
      <c r="Q108" s="49" t="str">
        <f>VLOOKUP($A108,订货1!$A108:$F350,6,0)</f>
        <v>箱</v>
      </c>
      <c r="R108" s="167">
        <f t="shared" ca="1" si="8"/>
        <v>0</v>
      </c>
      <c r="S108" s="228" t="s">
        <v>404</v>
      </c>
      <c r="T108" s="85">
        <f ca="1">SUMIF(预估营业额3!$B$3:$B$39,"&gt;="&amp;$H$2,预估营业额3!$E$3:$E$39)-SUMIF(预估营业额3!$B$3:$B$39,"&gt;"&amp;N108,预估营业额3!$E$3:$E$39)</f>
        <v>0</v>
      </c>
      <c r="U108" s="219">
        <v>0</v>
      </c>
      <c r="V108" s="168">
        <v>1</v>
      </c>
      <c r="W108" s="182">
        <f t="shared" ca="1" si="9"/>
        <v>0</v>
      </c>
      <c r="X108" s="214"/>
      <c r="Y108" s="62">
        <f t="shared" si="10"/>
        <v>0</v>
      </c>
      <c r="Z108" s="54"/>
      <c r="AA108" s="54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2"/>
      <c r="AO108" s="222"/>
      <c r="AP108" s="222"/>
      <c r="AQ108" s="222"/>
      <c r="AR108" s="222"/>
      <c r="AS108" s="222"/>
      <c r="AT108" s="222"/>
      <c r="AU108" s="222"/>
      <c r="AV108" s="222"/>
      <c r="AW108" s="222"/>
      <c r="AX108" s="222"/>
      <c r="AY108" s="222"/>
      <c r="AZ108" s="222"/>
      <c r="BA108" s="222"/>
      <c r="BB108" s="222"/>
      <c r="BC108" s="222"/>
      <c r="BD108" s="222"/>
      <c r="BE108" s="222"/>
      <c r="BF108" s="222"/>
      <c r="BG108" s="169" t="str">
        <f>VLOOKUP($A108,订货1!$A108:$I350,9,0)</f>
        <v>由仓库</v>
      </c>
      <c r="BH108" s="47" t="str">
        <f>VLOOKUP($A108,订货1!$A108:$H350,8,0)</f>
        <v>北京美滋乐源食品有限公司</v>
      </c>
    </row>
    <row r="109" spans="1:60" ht="15.75" hidden="1" customHeight="1">
      <c r="A109" s="173">
        <v>101712</v>
      </c>
      <c r="B109" s="172" t="s">
        <v>530</v>
      </c>
      <c r="C109" s="70" t="s">
        <v>174</v>
      </c>
      <c r="D109" s="68"/>
      <c r="E109" s="68" t="s">
        <v>256</v>
      </c>
      <c r="F109" s="68" t="s">
        <v>18</v>
      </c>
      <c r="G109" s="68" t="s">
        <v>116</v>
      </c>
      <c r="H109" s="68" t="s">
        <v>116</v>
      </c>
      <c r="I109" s="71" t="s">
        <v>197</v>
      </c>
      <c r="J109" s="68" t="s">
        <v>286</v>
      </c>
      <c r="K109" s="234">
        <f>VLOOKUP($A109,订货1!$A109:$A351,1,0)</f>
        <v>101712</v>
      </c>
      <c r="L109" s="244" t="str">
        <f>VLOOKUP($A109,订货1!$A109:$G351,7,0)</f>
        <v>沈阳华美食品有限公司</v>
      </c>
      <c r="M109" s="235" t="str">
        <f>VLOOKUP($A109,订货1!$A109:$B351,2,0)</f>
        <v xml:space="preserve">萨莉亚香酥鸡柳 </v>
      </c>
      <c r="N109" s="72">
        <f t="shared" si="11"/>
        <v>45978</v>
      </c>
      <c r="O109" s="49" t="str">
        <f>VLOOKUP($A109,订货1!$A109:$C351,3,0)</f>
        <v>冷凍</v>
      </c>
      <c r="P109" s="44" t="str">
        <f>VLOOKUP($A109,订货1!$A109:$E351,5,0)</f>
        <v>1kg*12pc</v>
      </c>
      <c r="Q109" s="49" t="str">
        <f>VLOOKUP($A109,订货1!$A109:$F351,6,0)</f>
        <v>箱</v>
      </c>
      <c r="R109" s="167">
        <f t="shared" ca="1" si="8"/>
        <v>0</v>
      </c>
      <c r="S109" s="185" t="s">
        <v>199</v>
      </c>
      <c r="T109" s="85">
        <f ca="1">SUMIF(预估营业额3!$B$3:$B$39,"&gt;="&amp;$H$2,预估营业额3!$E$3:$E$39)-SUMIF(预估营业额3!$B$3:$B$39,"&gt;"&amp;N109,预估营业额3!$E$3:$E$39)</f>
        <v>0</v>
      </c>
      <c r="U109" s="219">
        <v>3.9605436661587855E-2</v>
      </c>
      <c r="V109" s="168">
        <v>1</v>
      </c>
      <c r="W109" s="182">
        <f t="shared" ca="1" si="9"/>
        <v>0</v>
      </c>
      <c r="X109" s="214">
        <v>0</v>
      </c>
      <c r="Y109" s="62">
        <f t="shared" si="10"/>
        <v>0</v>
      </c>
      <c r="Z109" s="54"/>
      <c r="AA109" s="54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222"/>
      <c r="AP109" s="222"/>
      <c r="AQ109" s="222"/>
      <c r="AR109" s="222"/>
      <c r="AS109" s="222"/>
      <c r="AT109" s="222"/>
      <c r="AU109" s="222"/>
      <c r="AV109" s="222"/>
      <c r="AW109" s="222"/>
      <c r="AX109" s="222"/>
      <c r="AY109" s="222"/>
      <c r="AZ109" s="222"/>
      <c r="BA109" s="222"/>
      <c r="BB109" s="222"/>
      <c r="BC109" s="222"/>
      <c r="BD109" s="222"/>
      <c r="BE109" s="222"/>
      <c r="BF109" s="222"/>
      <c r="BG109" s="169" t="str">
        <f>VLOOKUP($A109,订货1!$A109:$I351,9,0)</f>
        <v>由仓库</v>
      </c>
      <c r="BH109" s="47" t="str">
        <f>VLOOKUP($A109,订货1!$A109:$H351,8,0)</f>
        <v>沈阳华美食品有限公司</v>
      </c>
    </row>
    <row r="110" spans="1:60" ht="15.75" hidden="1" customHeight="1">
      <c r="A110" s="67">
        <v>101713</v>
      </c>
      <c r="B110" s="68" t="s">
        <v>531</v>
      </c>
      <c r="C110" s="70" t="s">
        <v>176</v>
      </c>
      <c r="D110" s="68"/>
      <c r="E110" s="68" t="s">
        <v>532</v>
      </c>
      <c r="F110" s="68" t="s">
        <v>18</v>
      </c>
      <c r="G110" s="68" t="s">
        <v>533</v>
      </c>
      <c r="H110" s="68" t="s">
        <v>534</v>
      </c>
      <c r="I110" s="71" t="s">
        <v>197</v>
      </c>
      <c r="J110" s="68" t="s">
        <v>285</v>
      </c>
      <c r="K110" s="238">
        <f>VLOOKUP($A110,订货1!$A110:$A352,1,0)</f>
        <v>101713</v>
      </c>
      <c r="L110" s="246" t="str">
        <f>VLOOKUP($A110,订货1!$A110:$G352,7,0)</f>
        <v>广州萨莉亚餐饮有限公司</v>
      </c>
      <c r="M110" s="239" t="str">
        <f>VLOOKUP($A110,订货1!$A110:$B352,2,0)</f>
        <v>蓝纹干酪制品酱</v>
      </c>
      <c r="N110" s="72">
        <f t="shared" si="11"/>
        <v>45978</v>
      </c>
      <c r="O110" s="49" t="str">
        <f>VLOOKUP($A110,订货1!$A110:$C352,3,0)</f>
        <v>冷蔵</v>
      </c>
      <c r="P110" s="44" t="str">
        <f>VLOOKUP($A110,订货1!$A110:$E352,5,0)</f>
        <v>0.5kg*20pc</v>
      </c>
      <c r="Q110" s="49" t="str">
        <f>VLOOKUP($A110,订货1!$A110:$F352,6,0)</f>
        <v>箱</v>
      </c>
      <c r="R110" s="167">
        <f t="shared" ca="1" si="8"/>
        <v>0</v>
      </c>
      <c r="S110" s="105" t="s">
        <v>207</v>
      </c>
      <c r="T110" s="85">
        <f ca="1">SUMIF(预估营业额3!$B$3:$B$39,"&gt;="&amp;$H$2,预估营业额3!$E$3:$E$39)-SUMIF(预估营业额3!$B$3:$B$39,"&gt;"&amp;N110,预估营业额3!$E$3:$E$39)</f>
        <v>0</v>
      </c>
      <c r="U110" s="219">
        <v>0</v>
      </c>
      <c r="V110" s="168">
        <v>1</v>
      </c>
      <c r="W110" s="182">
        <f t="shared" ca="1" si="9"/>
        <v>0</v>
      </c>
      <c r="X110" s="214"/>
      <c r="Y110" s="62">
        <f t="shared" si="10"/>
        <v>0</v>
      </c>
      <c r="Z110" s="54"/>
      <c r="AA110" s="54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222"/>
      <c r="AP110" s="222"/>
      <c r="AQ110" s="222"/>
      <c r="AR110" s="222"/>
      <c r="AS110" s="222"/>
      <c r="AT110" s="222"/>
      <c r="AU110" s="222"/>
      <c r="AV110" s="222"/>
      <c r="AW110" s="222"/>
      <c r="AX110" s="222"/>
      <c r="AY110" s="222"/>
      <c r="AZ110" s="222"/>
      <c r="BA110" s="222"/>
      <c r="BB110" s="222"/>
      <c r="BC110" s="222"/>
      <c r="BD110" s="222"/>
      <c r="BE110" s="222"/>
      <c r="BF110" s="222"/>
      <c r="BG110" s="169" t="str">
        <f>VLOOKUP($A110,订货1!$A110:$I352,9,0)</f>
        <v>由仓库</v>
      </c>
      <c r="BH110" s="47" t="str">
        <f>VLOOKUP($A110,订货1!$A110:$H352,8,0)</f>
        <v xml:space="preserve">Lacto Asia Pte Ltd </v>
      </c>
    </row>
    <row r="111" spans="1:60" ht="15.75" customHeight="1">
      <c r="A111" s="67">
        <v>710005</v>
      </c>
      <c r="B111" s="68" t="s">
        <v>299</v>
      </c>
      <c r="C111" s="70" t="s">
        <v>175</v>
      </c>
      <c r="D111" s="68"/>
      <c r="E111" s="68" t="s">
        <v>141</v>
      </c>
      <c r="F111" s="68" t="s">
        <v>18</v>
      </c>
      <c r="G111" s="68" t="s">
        <v>356</v>
      </c>
      <c r="H111" s="68" t="s">
        <v>356</v>
      </c>
      <c r="I111" s="71" t="s">
        <v>198</v>
      </c>
      <c r="J111" s="68" t="s">
        <v>284</v>
      </c>
      <c r="K111" s="236">
        <f>VLOOKUP($A111,订货1!$A111:$A353,1,0)</f>
        <v>710005</v>
      </c>
      <c r="L111" s="245" t="str">
        <f>VLOOKUP($A111,订货1!$A111:$G353,7,0)</f>
        <v>浙江太古可口可乐饮料有限公司</v>
      </c>
      <c r="M111" s="237" t="str">
        <f>VLOOKUP($A111,订货1!$A111:$B353,2,0)</f>
        <v>零度可乐糖浆</v>
      </c>
      <c r="N111" s="171">
        <f>N98</f>
        <v>0</v>
      </c>
      <c r="O111" s="49" t="str">
        <f>VLOOKUP($A111,订货1!$A111:$C353,3,0)</f>
        <v>常温</v>
      </c>
      <c r="P111" s="44" t="str">
        <f>VLOOKUP($A111,订货1!$A111:$E353,5,0)</f>
        <v>10L</v>
      </c>
      <c r="Q111" s="49" t="str">
        <f>VLOOKUP($A111,订货1!$A111:$F353,6,0)</f>
        <v>箱</v>
      </c>
      <c r="R111" s="167">
        <f t="shared" ca="1" si="8"/>
        <v>0</v>
      </c>
      <c r="S111" s="243" t="s">
        <v>836</v>
      </c>
      <c r="T111" s="85">
        <f ca="1">SUMIF(预估营业额3!$B$3:$B$39,"&gt;="&amp;$H$2,预估营业额3!$E$3:$E$39)-SUMIF(预估营业额3!$B$3:$B$39,"&gt;"&amp;N111,预估营业额3!$E$3:$E$39)</f>
        <v>-39.438000000000017</v>
      </c>
      <c r="U111" s="219">
        <v>0</v>
      </c>
      <c r="V111" s="168">
        <v>1</v>
      </c>
      <c r="W111" s="182">
        <f t="shared" ca="1" si="9"/>
        <v>0</v>
      </c>
      <c r="X111" s="214">
        <v>0</v>
      </c>
      <c r="Y111" s="62">
        <f t="shared" si="10"/>
        <v>0</v>
      </c>
      <c r="Z111" s="54"/>
      <c r="AA111" s="54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2"/>
      <c r="AO111" s="222"/>
      <c r="AP111" s="222"/>
      <c r="AQ111" s="222"/>
      <c r="AR111" s="222"/>
      <c r="AS111" s="222"/>
      <c r="AT111" s="222"/>
      <c r="AU111" s="222"/>
      <c r="AV111" s="222"/>
      <c r="AW111" s="222"/>
      <c r="AX111" s="222"/>
      <c r="AY111" s="222"/>
      <c r="AZ111" s="222"/>
      <c r="BA111" s="222"/>
      <c r="BB111" s="222"/>
      <c r="BC111" s="222"/>
      <c r="BD111" s="222"/>
      <c r="BE111" s="222"/>
      <c r="BF111" s="222"/>
      <c r="BG111" s="169" t="str">
        <f>VLOOKUP($A111,订货1!$A111:$I353,9,0)</f>
        <v>由厂商</v>
      </c>
      <c r="BH111" s="47" t="str">
        <f>VLOOKUP($A111,订货1!$A111:$H353,8,0)</f>
        <v>浙江太古可口可乐饮料有限公司</v>
      </c>
    </row>
    <row r="112" spans="1:60" ht="15.75" customHeight="1">
      <c r="A112" s="67">
        <v>710006</v>
      </c>
      <c r="B112" s="68" t="s">
        <v>550</v>
      </c>
      <c r="C112" s="70" t="s">
        <v>175</v>
      </c>
      <c r="D112" s="68"/>
      <c r="E112" s="68" t="s">
        <v>11</v>
      </c>
      <c r="F112" s="68" t="s">
        <v>11</v>
      </c>
      <c r="G112" s="68" t="s">
        <v>356</v>
      </c>
      <c r="H112" s="68" t="s">
        <v>356</v>
      </c>
      <c r="I112" s="71" t="s">
        <v>198</v>
      </c>
      <c r="J112" s="68" t="s">
        <v>283</v>
      </c>
      <c r="K112" s="236">
        <f>VLOOKUP($A112,订货1!$A112:$A354,1,0)</f>
        <v>710006</v>
      </c>
      <c r="L112" s="245" t="str">
        <f>VLOOKUP($A112,订货1!$A112:$G354,7,0)</f>
        <v>浙江太古可口可乐饮料有限公司</v>
      </c>
      <c r="M112" s="237" t="str">
        <f>VLOOKUP($A112,订货1!$A112:$B354,2,0)</f>
        <v>太古碳酸（仅限浙江店铺用）</v>
      </c>
      <c r="N112" s="171">
        <f>N98</f>
        <v>0</v>
      </c>
      <c r="O112" s="49" t="str">
        <f>VLOOKUP($A112,订货1!$A112:$C354,3,0)</f>
        <v>常温</v>
      </c>
      <c r="P112" s="44" t="str">
        <f>VLOOKUP($A112,订货1!$A112:$E354,5,0)</f>
        <v>桶</v>
      </c>
      <c r="Q112" s="49" t="str">
        <f>VLOOKUP($A112,订货1!$A112:$F354,6,0)</f>
        <v>桶</v>
      </c>
      <c r="R112" s="167">
        <f t="shared" ca="1" si="8"/>
        <v>0</v>
      </c>
      <c r="S112" s="243" t="s">
        <v>836</v>
      </c>
      <c r="T112" s="85">
        <f ca="1">SUMIF(预估营业额3!$B$3:$B$39,"&gt;="&amp;$H$2,预估营业额3!$E$3:$E$39)-SUMIF(预估营业额3!$B$3:$B$39,"&gt;"&amp;N112,预估营业额3!$E$3:$E$39)</f>
        <v>-39.438000000000017</v>
      </c>
      <c r="U112" s="219">
        <v>0</v>
      </c>
      <c r="V112" s="168">
        <v>1</v>
      </c>
      <c r="W112" s="182">
        <f t="shared" ca="1" si="9"/>
        <v>0</v>
      </c>
      <c r="X112" s="214">
        <v>0</v>
      </c>
      <c r="Y112" s="62">
        <f t="shared" si="10"/>
        <v>0</v>
      </c>
      <c r="Z112" s="54"/>
      <c r="AA112" s="54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222"/>
      <c r="AP112" s="222"/>
      <c r="AQ112" s="222"/>
      <c r="AR112" s="222"/>
      <c r="AS112" s="222"/>
      <c r="AT112" s="222"/>
      <c r="AU112" s="222"/>
      <c r="AV112" s="222"/>
      <c r="AW112" s="222"/>
      <c r="AX112" s="222"/>
      <c r="AY112" s="222"/>
      <c r="AZ112" s="222"/>
      <c r="BA112" s="222"/>
      <c r="BB112" s="222"/>
      <c r="BC112" s="222"/>
      <c r="BD112" s="222"/>
      <c r="BE112" s="222"/>
      <c r="BF112" s="222"/>
      <c r="BG112" s="169" t="str">
        <f>VLOOKUP($A112,订货1!$A112:$I354,9,0)</f>
        <v>由厂商</v>
      </c>
      <c r="BH112" s="47" t="str">
        <f>VLOOKUP($A112,订货1!$A112:$H354,8,0)</f>
        <v>浙江太古可口可乐饮料有限公司</v>
      </c>
    </row>
    <row r="113" spans="1:60" ht="15.75" customHeight="1">
      <c r="A113" s="173">
        <v>101717</v>
      </c>
      <c r="B113" s="172" t="s">
        <v>867</v>
      </c>
      <c r="C113" s="70" t="s">
        <v>174</v>
      </c>
      <c r="D113" s="68"/>
      <c r="E113" s="68" t="s">
        <v>868</v>
      </c>
      <c r="F113" s="68" t="s">
        <v>870</v>
      </c>
      <c r="G113" s="68" t="s">
        <v>117</v>
      </c>
      <c r="H113" s="68" t="s">
        <v>767</v>
      </c>
      <c r="I113" s="71" t="s">
        <v>197</v>
      </c>
      <c r="J113" s="68" t="s">
        <v>282</v>
      </c>
      <c r="K113" s="236">
        <f>VLOOKUP($A113,订货1!$A113:$A355,1,0)</f>
        <v>101717</v>
      </c>
      <c r="L113" s="245" t="str">
        <f>VLOOKUP($A113,订货1!$A113:$G355,7,0)</f>
        <v>辣西西里（北京）国际贸易有限公司</v>
      </c>
      <c r="M113" s="237" t="str">
        <f>VLOOKUP($A113,订货1!$A113:$B355,2,0)</f>
        <v>薄荷巧克力味冰淇淋</v>
      </c>
      <c r="N113" s="72">
        <f t="shared" si="11"/>
        <v>45978</v>
      </c>
      <c r="O113" s="49" t="str">
        <f>VLOOKUP($A113,订货1!$A113:$C355,3,0)</f>
        <v>冷凍</v>
      </c>
      <c r="P113" s="44" t="str">
        <f>VLOOKUP($A113,订货1!$A113:$E355,5,0)</f>
        <v>85g*9</v>
      </c>
      <c r="Q113" s="49" t="str">
        <f>VLOOKUP($A113,订货1!$A113:$F355,6,0)</f>
        <v>盒</v>
      </c>
      <c r="R113" s="167">
        <f t="shared" ca="1" si="8"/>
        <v>0</v>
      </c>
      <c r="S113" s="228" t="s">
        <v>199</v>
      </c>
      <c r="T113" s="85">
        <f ca="1">SUMIF(预估营业额3!$B$3:$B$39,"&gt;="&amp;$H$2,预估营业额3!$E$3:$E$39)-SUMIF(预估营业额3!$B$3:$B$39,"&gt;"&amp;N113,预估营业额3!$E$3:$E$39)</f>
        <v>0</v>
      </c>
      <c r="U113" s="219">
        <v>0.2</v>
      </c>
      <c r="V113" s="168">
        <v>1</v>
      </c>
      <c r="W113" s="182">
        <f t="shared" ref="W113" ca="1" si="13">T113*U113*V113</f>
        <v>0</v>
      </c>
      <c r="X113" s="214">
        <v>1</v>
      </c>
      <c r="Y113" s="62">
        <f t="shared" ref="Y113" si="14">Z113+AA113</f>
        <v>1</v>
      </c>
      <c r="Z113" s="54">
        <v>1</v>
      </c>
      <c r="AA113" s="54"/>
      <c r="AB113" s="222"/>
      <c r="AC113" s="222">
        <v>1</v>
      </c>
      <c r="AD113" s="222"/>
      <c r="AE113" s="222"/>
      <c r="AF113" s="222">
        <v>1</v>
      </c>
      <c r="AG113" s="222">
        <v>1</v>
      </c>
      <c r="AH113" s="222"/>
      <c r="AI113" s="222">
        <v>1</v>
      </c>
      <c r="AJ113" s="222"/>
      <c r="AK113" s="222"/>
      <c r="AL113" s="222"/>
      <c r="AM113" s="222"/>
      <c r="AN113" s="222">
        <v>1</v>
      </c>
      <c r="AO113" s="222"/>
      <c r="AP113" s="222"/>
      <c r="AQ113" s="222"/>
      <c r="AR113" s="222"/>
      <c r="AS113" s="222"/>
      <c r="AT113" s="222"/>
      <c r="AU113" s="222"/>
      <c r="AV113" s="222"/>
      <c r="AW113" s="222"/>
      <c r="AX113" s="222"/>
      <c r="AY113" s="222"/>
      <c r="AZ113" s="222"/>
      <c r="BA113" s="222"/>
      <c r="BB113" s="222"/>
      <c r="BC113" s="222"/>
      <c r="BD113" s="222"/>
      <c r="BE113" s="222"/>
      <c r="BF113" s="222"/>
      <c r="BG113" s="169"/>
      <c r="BH113" s="47"/>
    </row>
    <row r="114" spans="1:60" ht="15.75" hidden="1" customHeight="1">
      <c r="A114" s="173">
        <v>101703</v>
      </c>
      <c r="B114" s="172" t="s">
        <v>493</v>
      </c>
      <c r="C114" s="70" t="s">
        <v>174</v>
      </c>
      <c r="D114" s="68"/>
      <c r="E114" s="68" t="s">
        <v>494</v>
      </c>
      <c r="F114" s="68" t="s">
        <v>18</v>
      </c>
      <c r="G114" s="68" t="s">
        <v>383</v>
      </c>
      <c r="H114" s="68" t="s">
        <v>495</v>
      </c>
      <c r="I114" s="71" t="s">
        <v>197</v>
      </c>
      <c r="J114" s="68" t="s">
        <v>302</v>
      </c>
      <c r="K114" s="238">
        <f>VLOOKUP($A114,订货1!$A114:$A355,1,0)</f>
        <v>101703</v>
      </c>
      <c r="L114" s="246" t="str">
        <f>VLOOKUP($A114,订货1!$A114:$G355,7,0)</f>
        <v>日邦食品（上海）有限公司</v>
      </c>
      <c r="M114" s="239" t="str">
        <f>VLOOKUP($A114,订货1!$A114:$B355,2,0)</f>
        <v>油炸饭团</v>
      </c>
      <c r="N114" s="72">
        <f t="shared" si="11"/>
        <v>45978</v>
      </c>
      <c r="O114" s="49" t="str">
        <f>VLOOKUP($A114,订货1!$A114:$C355,3,0)</f>
        <v>冷凍</v>
      </c>
      <c r="P114" s="44" t="str">
        <f>VLOOKUP($A114,订货1!$A114:$E355,5,0)</f>
        <v>0.4kg*20pc</v>
      </c>
      <c r="Q114" s="49" t="str">
        <f>VLOOKUP($A114,订货1!$A114:$F355,6,0)</f>
        <v>箱</v>
      </c>
      <c r="R114" s="167">
        <f t="shared" ca="1" si="8"/>
        <v>0</v>
      </c>
      <c r="S114" s="185" t="s">
        <v>207</v>
      </c>
      <c r="T114" s="85">
        <f ca="1">SUMIF(预估营业额3!$B$3:$B$39,"&gt;="&amp;$H$2,预估营业额3!$E$3:$E$39)-SUMIF(预估营业额3!$B$3:$B$39,"&gt;"&amp;N114,预估营业额3!$E$3:$E$39)</f>
        <v>0</v>
      </c>
      <c r="U114" s="219">
        <v>0</v>
      </c>
      <c r="V114" s="168">
        <v>1</v>
      </c>
      <c r="W114" s="182">
        <f t="shared" ca="1" si="9"/>
        <v>0</v>
      </c>
      <c r="X114" s="214"/>
      <c r="Y114" s="62">
        <f t="shared" si="10"/>
        <v>0</v>
      </c>
      <c r="Z114" s="54"/>
      <c r="AA114" s="54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2"/>
      <c r="AO114" s="222"/>
      <c r="AP114" s="222"/>
      <c r="AQ114" s="222"/>
      <c r="AR114" s="222"/>
      <c r="AS114" s="222"/>
      <c r="AT114" s="222"/>
      <c r="AU114" s="222"/>
      <c r="AV114" s="222"/>
      <c r="AW114" s="222"/>
      <c r="AX114" s="222"/>
      <c r="AY114" s="222"/>
      <c r="AZ114" s="222"/>
      <c r="BA114" s="222"/>
      <c r="BB114" s="222"/>
      <c r="BC114" s="222"/>
      <c r="BD114" s="222"/>
      <c r="BE114" s="222"/>
      <c r="BF114" s="222"/>
      <c r="BG114" s="169" t="str">
        <f>VLOOKUP($A114,订货1!$A114:$I355,9,0)</f>
        <v>由仓库</v>
      </c>
      <c r="BH114" s="47" t="str">
        <f>VLOOKUP($A114,订货1!$A114:$H355,8,0)</f>
        <v>山东丰龙食品有限公司</v>
      </c>
    </row>
    <row r="115" spans="1:60" ht="15.75" customHeight="1">
      <c r="A115" s="255">
        <v>101751</v>
      </c>
      <c r="B115" s="256" t="s">
        <v>748</v>
      </c>
      <c r="C115" s="261" t="s">
        <v>174</v>
      </c>
      <c r="D115" s="256"/>
      <c r="E115" s="256" t="s">
        <v>752</v>
      </c>
      <c r="F115" s="256" t="s">
        <v>18</v>
      </c>
      <c r="G115" s="256" t="s">
        <v>749</v>
      </c>
      <c r="H115" s="266" t="s">
        <v>764</v>
      </c>
      <c r="I115" s="71" t="s">
        <v>197</v>
      </c>
      <c r="J115" s="68" t="s">
        <v>320</v>
      </c>
      <c r="K115" s="234">
        <f>VLOOKUP($A115,订货1!$A115:$A356,1,0)</f>
        <v>101751</v>
      </c>
      <c r="L115" s="244" t="str">
        <f>VLOOKUP($A115,订货1!$A115:$G356,7,0)</f>
        <v>山东美佳集团有限公司市</v>
      </c>
      <c r="M115" s="235" t="str">
        <f>VLOOKUP($A115,订货1!$A115:$B356,2,0)</f>
        <v>明太子</v>
      </c>
      <c r="N115" s="72">
        <f t="shared" si="11"/>
        <v>45978</v>
      </c>
      <c r="O115" s="49" t="str">
        <f>VLOOKUP($A115,订货1!$A115:$C356,3,0)</f>
        <v>冷凍</v>
      </c>
      <c r="P115" s="44" t="str">
        <f>VLOOKUP($A115,订货1!$A115:$E356,5,0)</f>
        <v>0.5kg*10pc</v>
      </c>
      <c r="Q115" s="49" t="str">
        <f>VLOOKUP($A115,订货1!$A115:$F356,6,0)</f>
        <v>箱</v>
      </c>
      <c r="R115" s="167">
        <f t="shared" ca="1" si="8"/>
        <v>0</v>
      </c>
      <c r="S115" s="228" t="s">
        <v>199</v>
      </c>
      <c r="T115" s="85">
        <f ca="1">SUMIF(预估营业额3!$B$3:$B$39,"&gt;="&amp;$H$2,预估营业额3!$E$3:$E$39)-SUMIF(预估营业额3!$B$3:$B$39,"&gt;"&amp;N115,预估营业额3!$E$3:$E$39)</f>
        <v>0</v>
      </c>
      <c r="U115" s="219">
        <v>7.6338451342459861E-3</v>
      </c>
      <c r="V115" s="168">
        <v>1</v>
      </c>
      <c r="W115" s="182">
        <f t="shared" ca="1" si="9"/>
        <v>0</v>
      </c>
      <c r="X115" s="214">
        <v>0.4</v>
      </c>
      <c r="Y115" s="62">
        <f t="shared" si="10"/>
        <v>0</v>
      </c>
      <c r="Z115" s="54"/>
      <c r="AA115" s="54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2"/>
      <c r="AO115" s="222"/>
      <c r="AP115" s="222"/>
      <c r="AQ115" s="222"/>
      <c r="AR115" s="222"/>
      <c r="AS115" s="222"/>
      <c r="AT115" s="222"/>
      <c r="AU115" s="222"/>
      <c r="AV115" s="222"/>
      <c r="AW115" s="222"/>
      <c r="AX115" s="222"/>
      <c r="AY115" s="222"/>
      <c r="AZ115" s="222"/>
      <c r="BA115" s="222"/>
      <c r="BB115" s="222"/>
      <c r="BC115" s="222"/>
      <c r="BD115" s="222"/>
      <c r="BE115" s="222"/>
      <c r="BF115" s="222"/>
      <c r="BG115" s="169" t="str">
        <f>VLOOKUP($A115,订货1!$A115:$I356,9,0)</f>
        <v>由仓库</v>
      </c>
      <c r="BH115" s="47" t="str">
        <f>VLOOKUP($A115,订货1!$A115:$H356,8,0)</f>
        <v>山东美佳集团有限公司</v>
      </c>
    </row>
    <row r="116" spans="1:60" ht="15.75" customHeight="1">
      <c r="A116" s="273">
        <v>101754</v>
      </c>
      <c r="B116" s="274" t="s">
        <v>788</v>
      </c>
      <c r="C116" s="281" t="s">
        <v>174</v>
      </c>
      <c r="D116" s="274"/>
      <c r="E116" s="274" t="s">
        <v>792</v>
      </c>
      <c r="F116" s="274" t="s">
        <v>18</v>
      </c>
      <c r="G116" s="274" t="s">
        <v>128</v>
      </c>
      <c r="H116" s="274" t="s">
        <v>497</v>
      </c>
      <c r="I116" s="71" t="s">
        <v>197</v>
      </c>
      <c r="J116" s="68" t="s">
        <v>605</v>
      </c>
      <c r="K116" s="275">
        <f>VLOOKUP($A116,订货1!$A116:$A360,1,0)</f>
        <v>101754</v>
      </c>
      <c r="L116" s="276" t="str">
        <f>VLOOKUP($A116,订货1!$A116:$G360,7,0)</f>
        <v>浙江大菱海洋食品有限公司</v>
      </c>
      <c r="M116" s="277" t="str">
        <f>VLOOKUP($A116,订货1!$A116:$B360,2,0)</f>
        <v>炸鱿鱼圈</v>
      </c>
      <c r="N116" s="289">
        <f t="shared" si="11"/>
        <v>45978</v>
      </c>
      <c r="O116" s="290" t="str">
        <f>VLOOKUP($A116,订货1!$A116:$C360,3,0)</f>
        <v>冷凍</v>
      </c>
      <c r="P116" s="291" t="str">
        <f>VLOOKUP($A116,订货1!$A116:$E360,5,0)</f>
        <v>500g*10pc</v>
      </c>
      <c r="Q116" s="290" t="str">
        <f>VLOOKUP($A116,订货1!$A116:$F360,6,0)</f>
        <v>箱</v>
      </c>
      <c r="R116" s="167">
        <f t="shared" ca="1" si="8"/>
        <v>0</v>
      </c>
      <c r="S116" s="228" t="s">
        <v>199</v>
      </c>
      <c r="T116" s="85">
        <f ca="1">SUMIF(预估营业额3!$B$3:$B$39,"&gt;="&amp;$H$2,预估营业额3!$E$3:$E$39)-SUMIF(预估营业额3!$B$3:$B$39,"&gt;"&amp;N116,预估营业额3!$E$3:$E$39)</f>
        <v>0</v>
      </c>
      <c r="U116" s="219">
        <v>0.2</v>
      </c>
      <c r="V116" s="168">
        <v>1</v>
      </c>
      <c r="W116" s="182">
        <f t="shared" ca="1" si="9"/>
        <v>0</v>
      </c>
      <c r="X116" s="214">
        <v>0.7</v>
      </c>
      <c r="Y116" s="62">
        <f t="shared" si="10"/>
        <v>1</v>
      </c>
      <c r="Z116" s="54">
        <v>1</v>
      </c>
      <c r="AA116" s="54"/>
      <c r="AB116" s="222"/>
      <c r="AC116" s="222">
        <v>1</v>
      </c>
      <c r="AD116" s="222"/>
      <c r="AE116" s="222"/>
      <c r="AF116" s="222">
        <v>1</v>
      </c>
      <c r="AG116" s="222"/>
      <c r="AH116" s="222">
        <v>1</v>
      </c>
      <c r="AI116" s="222"/>
      <c r="AJ116" s="222">
        <v>1</v>
      </c>
      <c r="AK116" s="222"/>
      <c r="AL116" s="222"/>
      <c r="AM116" s="222">
        <v>1</v>
      </c>
      <c r="AN116" s="222">
        <v>1</v>
      </c>
      <c r="AO116" s="222">
        <v>1</v>
      </c>
      <c r="AP116" s="222"/>
      <c r="AQ116" s="222"/>
      <c r="AR116" s="222"/>
      <c r="AS116" s="222"/>
      <c r="AT116" s="222"/>
      <c r="AU116" s="222"/>
      <c r="AV116" s="222"/>
      <c r="AW116" s="222"/>
      <c r="AX116" s="222"/>
      <c r="AY116" s="222"/>
      <c r="AZ116" s="222"/>
      <c r="BA116" s="222"/>
      <c r="BB116" s="222"/>
      <c r="BC116" s="222"/>
      <c r="BD116" s="222"/>
      <c r="BE116" s="222"/>
      <c r="BF116" s="222"/>
      <c r="BG116" s="169" t="str">
        <f>VLOOKUP($A116,订货1!$A116:$I360,9,0)</f>
        <v>由仓库</v>
      </c>
      <c r="BH116" s="47" t="str">
        <f>VLOOKUP($A116,订货1!$A116:$H360,8,0)</f>
        <v>大洋世家（舟山）优品有限公司</v>
      </c>
    </row>
    <row r="117" spans="1:60" ht="15.75" customHeight="1">
      <c r="A117" s="273">
        <v>101755</v>
      </c>
      <c r="B117" s="274" t="s">
        <v>789</v>
      </c>
      <c r="C117" s="281" t="s">
        <v>174</v>
      </c>
      <c r="D117" s="274"/>
      <c r="E117" s="274" t="s">
        <v>793</v>
      </c>
      <c r="F117" s="274" t="s">
        <v>18</v>
      </c>
      <c r="G117" s="274" t="s">
        <v>361</v>
      </c>
      <c r="H117" s="274" t="s">
        <v>361</v>
      </c>
      <c r="I117" s="71" t="s">
        <v>197</v>
      </c>
      <c r="J117" s="68" t="s">
        <v>606</v>
      </c>
      <c r="K117" s="275">
        <f>VLOOKUP($A117,订货1!$A117:$A361,1,0)</f>
        <v>101755</v>
      </c>
      <c r="L117" s="276" t="str">
        <f>VLOOKUP($A117,订货1!$A117:$G361,7,0)</f>
        <v>上海香尚香食品有限公司</v>
      </c>
      <c r="M117" s="277" t="str">
        <f>VLOOKUP($A117,订货1!$A117:$B361,2,0)</f>
        <v>速冻甜青豆</v>
      </c>
      <c r="N117" s="289">
        <f t="shared" si="11"/>
        <v>45978</v>
      </c>
      <c r="O117" s="290" t="str">
        <f>VLOOKUP($A117,订货1!$A117:$C361,3,0)</f>
        <v>冷凍</v>
      </c>
      <c r="P117" s="291" t="str">
        <f>VLOOKUP($A117,订货1!$A117:$E361,5,0)</f>
        <v>1kg*4pc</v>
      </c>
      <c r="Q117" s="290" t="str">
        <f>VLOOKUP($A117,订货1!$A117:$F361,6,0)</f>
        <v>箱</v>
      </c>
      <c r="R117" s="167">
        <f t="shared" ca="1" si="8"/>
        <v>0</v>
      </c>
      <c r="S117" s="228" t="s">
        <v>199</v>
      </c>
      <c r="T117" s="85">
        <f ca="1">SUMIF(预估营业额3!$B$3:$B$39,"&gt;="&amp;$H$2,预估营业额3!$E$3:$E$39)-SUMIF(预估营业额3!$B$3:$B$39,"&gt;"&amp;N117,预估营业额3!$E$3:$E$39)</f>
        <v>0</v>
      </c>
      <c r="U117" s="219">
        <v>8.5000000000000006E-2</v>
      </c>
      <c r="V117" s="168">
        <v>1</v>
      </c>
      <c r="W117" s="182">
        <f t="shared" ca="1" si="9"/>
        <v>0</v>
      </c>
      <c r="X117" s="214">
        <v>0.5</v>
      </c>
      <c r="Y117" s="62">
        <f t="shared" si="10"/>
        <v>0</v>
      </c>
      <c r="Z117" s="54"/>
      <c r="AA117" s="54"/>
      <c r="AB117" s="222"/>
      <c r="AC117" s="222"/>
      <c r="AD117" s="222"/>
      <c r="AE117" s="222">
        <v>1</v>
      </c>
      <c r="AF117" s="222"/>
      <c r="AG117" s="222"/>
      <c r="AH117" s="222"/>
      <c r="AI117" s="222">
        <v>1</v>
      </c>
      <c r="AJ117" s="222"/>
      <c r="AK117" s="222"/>
      <c r="AL117" s="222"/>
      <c r="AM117" s="222"/>
      <c r="AN117" s="222"/>
      <c r="AO117" s="222">
        <v>1</v>
      </c>
      <c r="AP117" s="222"/>
      <c r="AQ117" s="222"/>
      <c r="AR117" s="222"/>
      <c r="AS117" s="222"/>
      <c r="AT117" s="222"/>
      <c r="AU117" s="222"/>
      <c r="AV117" s="222"/>
      <c r="AW117" s="222"/>
      <c r="AX117" s="222"/>
      <c r="AY117" s="222"/>
      <c r="AZ117" s="222"/>
      <c r="BA117" s="222"/>
      <c r="BB117" s="222"/>
      <c r="BC117" s="222"/>
      <c r="BD117" s="222"/>
      <c r="BE117" s="222"/>
      <c r="BF117" s="222"/>
      <c r="BG117" s="169" t="str">
        <f>VLOOKUP($A117,订货1!$A117:$I361,9,0)</f>
        <v>由仓库</v>
      </c>
      <c r="BH117" s="47" t="str">
        <f>VLOOKUP($A117,订货1!$A117:$H361,8,0)</f>
        <v>上海香尚香食品有限公司</v>
      </c>
    </row>
    <row r="118" spans="1:60" ht="15.75" hidden="1" customHeight="1">
      <c r="A118" s="273">
        <v>101756</v>
      </c>
      <c r="B118" s="274" t="s">
        <v>790</v>
      </c>
      <c r="C118" s="281" t="s">
        <v>174</v>
      </c>
      <c r="D118" s="274"/>
      <c r="E118" s="274" t="s">
        <v>794</v>
      </c>
      <c r="F118" s="274" t="s">
        <v>18</v>
      </c>
      <c r="G118" s="274" t="s">
        <v>361</v>
      </c>
      <c r="H118" s="274" t="s">
        <v>361</v>
      </c>
      <c r="I118" s="71" t="s">
        <v>197</v>
      </c>
      <c r="J118" s="68" t="s">
        <v>607</v>
      </c>
      <c r="K118" s="275">
        <f>VLOOKUP($A118,订货1!$A118:$A362,1,0)</f>
        <v>101756</v>
      </c>
      <c r="L118" s="276" t="str">
        <f>VLOOKUP($A118,订货1!$A118:$G362,7,0)</f>
        <v>上海香尚香食品有限公司</v>
      </c>
      <c r="M118" s="277" t="str">
        <f>VLOOKUP($A118,订货1!$A118:$B362,2,0)</f>
        <v>意式甜椒核桃酱</v>
      </c>
      <c r="N118" s="289">
        <f t="shared" si="11"/>
        <v>45978</v>
      </c>
      <c r="O118" s="290" t="str">
        <f>VLOOKUP($A118,订货1!$A118:$C362,3,0)</f>
        <v>冷凍</v>
      </c>
      <c r="P118" s="291" t="str">
        <f>VLOOKUP($A118,订货1!$A118:$E362,5,0)</f>
        <v>200g*20pc</v>
      </c>
      <c r="Q118" s="290" t="str">
        <f>VLOOKUP($A118,订货1!$A118:$F362,6,0)</f>
        <v>箱</v>
      </c>
      <c r="R118" s="167">
        <f t="shared" ca="1" si="8"/>
        <v>0</v>
      </c>
      <c r="S118" s="262" t="s">
        <v>557</v>
      </c>
      <c r="T118" s="85">
        <f ca="1">SUMIF(预估营业额3!$B$3:$B$39,"&gt;="&amp;$H$2,预估营业额3!$E$3:$E$39)-SUMIF(预估营业额3!$B$3:$B$39,"&gt;"&amp;N118,预估营业额3!$E$3:$E$39)</f>
        <v>0</v>
      </c>
      <c r="U118" s="219">
        <v>0</v>
      </c>
      <c r="V118" s="168">
        <v>1</v>
      </c>
      <c r="W118" s="182">
        <f t="shared" ca="1" si="9"/>
        <v>0</v>
      </c>
      <c r="X118" s="214">
        <v>0</v>
      </c>
      <c r="Y118" s="62">
        <f t="shared" si="10"/>
        <v>0</v>
      </c>
      <c r="Z118" s="54"/>
      <c r="AA118" s="54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222"/>
      <c r="AP118" s="222"/>
      <c r="AQ118" s="222"/>
      <c r="AR118" s="222"/>
      <c r="AS118" s="222"/>
      <c r="AT118" s="222"/>
      <c r="AU118" s="222"/>
      <c r="AV118" s="222"/>
      <c r="AW118" s="222"/>
      <c r="AX118" s="222"/>
      <c r="AY118" s="222"/>
      <c r="AZ118" s="222"/>
      <c r="BA118" s="222"/>
      <c r="BB118" s="222"/>
      <c r="BC118" s="222"/>
      <c r="BD118" s="222"/>
      <c r="BE118" s="222"/>
      <c r="BF118" s="222"/>
      <c r="BG118" s="169" t="str">
        <f>VLOOKUP($A118,订货1!$A118:$I362,9,0)</f>
        <v>由仓库</v>
      </c>
      <c r="BH118" s="47" t="str">
        <f>VLOOKUP($A118,订货1!$A118:$H362,8,0)</f>
        <v>上海香尚香食品有限公司</v>
      </c>
    </row>
    <row r="119" spans="1:60" ht="15.75" customHeight="1">
      <c r="A119" s="273">
        <v>101757</v>
      </c>
      <c r="B119" s="274" t="s">
        <v>791</v>
      </c>
      <c r="C119" s="282" t="s">
        <v>175</v>
      </c>
      <c r="D119" s="274"/>
      <c r="E119" s="274" t="s">
        <v>796</v>
      </c>
      <c r="F119" s="274" t="s">
        <v>797</v>
      </c>
      <c r="G119" s="274" t="s">
        <v>505</v>
      </c>
      <c r="H119" s="274" t="s">
        <v>795</v>
      </c>
      <c r="I119" s="71" t="s">
        <v>197</v>
      </c>
      <c r="J119" s="68" t="s">
        <v>608</v>
      </c>
      <c r="K119" s="275">
        <f>VLOOKUP($A119,订货1!$A119:$A363,1,0)</f>
        <v>101757</v>
      </c>
      <c r="L119" s="276" t="str">
        <f>VLOOKUP($A119,订货1!$A119:$G363,7,0)</f>
        <v>融滋合味（上海）科技有限公司</v>
      </c>
      <c r="M119" s="277" t="str">
        <f>VLOOKUP($A119,订货1!$A119:$B363,2,0)</f>
        <v>海苔片2*35毫米</v>
      </c>
      <c r="N119" s="289">
        <f t="shared" si="11"/>
        <v>45978</v>
      </c>
      <c r="O119" s="290" t="str">
        <f>VLOOKUP($A119,订货1!$A119:$C363,3,0)</f>
        <v>常温</v>
      </c>
      <c r="P119" s="291" t="str">
        <f>VLOOKUP($A119,订货1!$A119:$E363,5,0)</f>
        <v>100g</v>
      </c>
      <c r="Q119" s="290" t="str">
        <f>VLOOKUP($A119,订货1!$A119:$F363,6,0)</f>
        <v>包</v>
      </c>
      <c r="R119" s="167">
        <f t="shared" ca="1" si="8"/>
        <v>0</v>
      </c>
      <c r="S119" s="228" t="s">
        <v>199</v>
      </c>
      <c r="T119" s="85">
        <f ca="1">SUMIF(预估营业额3!$B$3:$B$39,"&gt;="&amp;$H$2,预估营业额3!$E$3:$E$39)-SUMIF(预估营业额3!$B$3:$B$39,"&gt;"&amp;N119,预估营业额3!$E$3:$E$39)</f>
        <v>0</v>
      </c>
      <c r="U119" s="219">
        <v>0.03</v>
      </c>
      <c r="V119" s="168">
        <v>1</v>
      </c>
      <c r="W119" s="182">
        <f t="shared" ca="1" si="9"/>
        <v>0</v>
      </c>
      <c r="X119" s="214">
        <v>1</v>
      </c>
      <c r="Y119" s="62">
        <f t="shared" si="10"/>
        <v>1</v>
      </c>
      <c r="Z119" s="54">
        <v>1</v>
      </c>
      <c r="AA119" s="54"/>
      <c r="AB119" s="222"/>
      <c r="AC119" s="222">
        <v>1</v>
      </c>
      <c r="AD119" s="222"/>
      <c r="AE119" s="222"/>
      <c r="AF119" s="222"/>
      <c r="AG119" s="222"/>
      <c r="AH119" s="222">
        <v>1</v>
      </c>
      <c r="AI119" s="222"/>
      <c r="AJ119" s="222">
        <v>1</v>
      </c>
      <c r="AK119" s="222"/>
      <c r="AL119" s="222">
        <v>1</v>
      </c>
      <c r="AM119" s="222"/>
      <c r="AN119" s="222">
        <v>1</v>
      </c>
      <c r="AO119" s="222"/>
      <c r="AP119" s="222"/>
      <c r="AQ119" s="222"/>
      <c r="AR119" s="222"/>
      <c r="AS119" s="222"/>
      <c r="AT119" s="222"/>
      <c r="AU119" s="222"/>
      <c r="AV119" s="222"/>
      <c r="AW119" s="222"/>
      <c r="AX119" s="222"/>
      <c r="AY119" s="222"/>
      <c r="AZ119" s="222"/>
      <c r="BA119" s="222"/>
      <c r="BB119" s="222"/>
      <c r="BC119" s="222"/>
      <c r="BD119" s="222"/>
      <c r="BE119" s="222"/>
      <c r="BF119" s="222"/>
      <c r="BG119" s="169" t="str">
        <f>VLOOKUP($A119,订货1!$A119:$I363,9,0)</f>
        <v>由仓库</v>
      </c>
      <c r="BH119" s="47" t="str">
        <f>VLOOKUP($A119,订货1!$A119:$H363,8,0)</f>
        <v>连云港明洋食品有限公司</v>
      </c>
    </row>
    <row r="120" spans="1:60" ht="15.75" customHeight="1">
      <c r="A120" s="300">
        <v>101775</v>
      </c>
      <c r="B120" s="301" t="s">
        <v>854</v>
      </c>
      <c r="C120" s="302" t="s">
        <v>174</v>
      </c>
      <c r="D120" s="301"/>
      <c r="E120" s="301" t="s">
        <v>855</v>
      </c>
      <c r="F120" s="301" t="s">
        <v>18</v>
      </c>
      <c r="G120" s="301" t="s">
        <v>856</v>
      </c>
      <c r="H120" s="301" t="s">
        <v>856</v>
      </c>
      <c r="I120" s="71" t="s">
        <v>197</v>
      </c>
      <c r="J120" s="68" t="s">
        <v>609</v>
      </c>
      <c r="K120" s="270">
        <f>VLOOKUP($A120,订货1!$A120:$A364,1,0)</f>
        <v>101775</v>
      </c>
      <c r="L120" s="271" t="str">
        <f>VLOOKUP($A120,订货1!$A120:$G364,7,0)</f>
        <v>秦皇岛双裕食品制造有限公司</v>
      </c>
      <c r="M120" s="272" t="str">
        <f>VLOOKUP($A120,订货1!$A120:$B364,2,0)</f>
        <v>双裕速冻甜玉米粒</v>
      </c>
      <c r="N120" s="297">
        <f t="shared" si="11"/>
        <v>45978</v>
      </c>
      <c r="O120" s="280" t="str">
        <f>VLOOKUP($A120,订货1!$A120:$C364,3,0)</f>
        <v>冷凍</v>
      </c>
      <c r="P120" s="279" t="str">
        <f>VLOOKUP($A120,订货1!$A120:$E364,5,0)</f>
        <v>3KG×4 袋</v>
      </c>
      <c r="Q120" s="280" t="str">
        <f>VLOOKUP($A120,订货1!$A120:$F364,6,0)</f>
        <v>箱</v>
      </c>
      <c r="R120" s="167">
        <f t="shared" ca="1" si="8"/>
        <v>0</v>
      </c>
      <c r="S120" s="262" t="s">
        <v>864</v>
      </c>
      <c r="T120" s="85">
        <f ca="1">SUMIF(预估营业额3!$B$3:$B$39,"&gt;="&amp;$H$2,预估营业额3!$E$3:$E$39)-SUMIF(预估营业额3!$B$3:$B$39,"&gt;"&amp;N120,预估营业额3!$E$3:$E$39)</f>
        <v>0</v>
      </c>
      <c r="U120" s="219">
        <v>0</v>
      </c>
      <c r="V120" s="168">
        <v>1</v>
      </c>
      <c r="W120" s="182">
        <f t="shared" ca="1" si="9"/>
        <v>0</v>
      </c>
      <c r="X120" s="214">
        <v>0</v>
      </c>
      <c r="Y120" s="62">
        <f t="shared" si="10"/>
        <v>0</v>
      </c>
      <c r="Z120" s="54"/>
      <c r="AA120" s="54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222"/>
      <c r="AP120" s="222"/>
      <c r="AQ120" s="222"/>
      <c r="AR120" s="222"/>
      <c r="AS120" s="222"/>
      <c r="AT120" s="222"/>
      <c r="AU120" s="222"/>
      <c r="AV120" s="222"/>
      <c r="AW120" s="222"/>
      <c r="AX120" s="222"/>
      <c r="AY120" s="222"/>
      <c r="AZ120" s="222"/>
      <c r="BA120" s="222"/>
      <c r="BB120" s="222"/>
      <c r="BC120" s="222"/>
      <c r="BD120" s="222"/>
      <c r="BE120" s="222"/>
      <c r="BF120" s="222"/>
      <c r="BG120" s="169" t="str">
        <f>VLOOKUP($A120,订货1!$A120:$I364,9,0)</f>
        <v>由仓库</v>
      </c>
      <c r="BH120" s="47" t="str">
        <f>VLOOKUP($A120,订货1!$A120:$H364,8,0)</f>
        <v>秦皇岛双裕食品制造有限公司</v>
      </c>
    </row>
    <row r="121" spans="1:60" ht="15.75" customHeight="1">
      <c r="A121" s="67">
        <v>101559</v>
      </c>
      <c r="B121" s="68" t="s">
        <v>364</v>
      </c>
      <c r="C121" s="70" t="s">
        <v>175</v>
      </c>
      <c r="D121" s="68"/>
      <c r="E121" s="68" t="s">
        <v>257</v>
      </c>
      <c r="F121" s="68" t="s">
        <v>18</v>
      </c>
      <c r="G121" s="68" t="s">
        <v>103</v>
      </c>
      <c r="H121" s="68" t="s">
        <v>171</v>
      </c>
      <c r="I121" s="71" t="s">
        <v>197</v>
      </c>
      <c r="J121" s="68" t="s">
        <v>610</v>
      </c>
      <c r="K121" s="236">
        <f>VLOOKUP($A121,订货1!$A121:$A365,1,0)</f>
        <v>101559</v>
      </c>
      <c r="L121" s="245" t="str">
        <f>VLOOKUP($A121,订货1!$A121:$G365,7,0)</f>
        <v>上海煜晟贸易有限公司</v>
      </c>
      <c r="M121" s="237" t="str">
        <f>VLOOKUP($A121,订货1!$A121:$B365,2,0)</f>
        <v>妃群果芳红葡萄果汁饮料浓浆</v>
      </c>
      <c r="N121" s="72">
        <f t="shared" si="11"/>
        <v>45978</v>
      </c>
      <c r="O121" s="49" t="str">
        <f>VLOOKUP($A121,订货1!$A121:$C365,3,0)</f>
        <v>常温</v>
      </c>
      <c r="P121" s="44" t="str">
        <f>VLOOKUP($A121,订货1!$A121:$E365,5,0)</f>
        <v>5L*4pc</v>
      </c>
      <c r="Q121" s="49" t="str">
        <f>VLOOKUP($A121,订货1!$A121:$F365,6,0)</f>
        <v>箱</v>
      </c>
      <c r="R121" s="167">
        <f t="shared" ca="1" si="8"/>
        <v>0</v>
      </c>
      <c r="S121" s="105" t="s">
        <v>404</v>
      </c>
      <c r="T121" s="85">
        <f ca="1">SUMIF(预估营业额3!$B$3:$B$39,"&gt;="&amp;$H$2,预估营业额3!$E$3:$E$39)-SUMIF(预估营业额3!$B$3:$B$39,"&gt;"&amp;N121,预估营业额3!$E$3:$E$39)</f>
        <v>0</v>
      </c>
      <c r="U121" s="219">
        <v>0</v>
      </c>
      <c r="V121" s="168">
        <v>1</v>
      </c>
      <c r="W121" s="182">
        <f t="shared" ca="1" si="9"/>
        <v>0</v>
      </c>
      <c r="X121" s="214">
        <v>0</v>
      </c>
      <c r="Y121" s="62">
        <f t="shared" si="10"/>
        <v>0</v>
      </c>
      <c r="Z121" s="54"/>
      <c r="AA121" s="54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222"/>
      <c r="AP121" s="222"/>
      <c r="AQ121" s="222"/>
      <c r="AR121" s="222"/>
      <c r="AS121" s="222"/>
      <c r="AT121" s="222"/>
      <c r="AU121" s="222"/>
      <c r="AV121" s="222"/>
      <c r="AW121" s="222"/>
      <c r="AX121" s="222"/>
      <c r="AY121" s="222"/>
      <c r="AZ121" s="222"/>
      <c r="BA121" s="222"/>
      <c r="BB121" s="222"/>
      <c r="BC121" s="222"/>
      <c r="BD121" s="222"/>
      <c r="BE121" s="222"/>
      <c r="BF121" s="222"/>
      <c r="BG121" s="169" t="str">
        <f>VLOOKUP($A121,订货1!$A121:$I365,9,0)</f>
        <v>由仓库</v>
      </c>
      <c r="BH121" s="47" t="str">
        <f>VLOOKUP($A121,订货1!$A121:$H365,8,0)</f>
        <v>浙江德馨饮料有限公司</v>
      </c>
    </row>
    <row r="122" spans="1:60" ht="15.75" customHeight="1">
      <c r="A122" s="67">
        <v>101560</v>
      </c>
      <c r="B122" s="68" t="s">
        <v>365</v>
      </c>
      <c r="C122" s="70" t="s">
        <v>175</v>
      </c>
      <c r="D122" s="68"/>
      <c r="E122" s="68" t="s">
        <v>257</v>
      </c>
      <c r="F122" s="68" t="s">
        <v>18</v>
      </c>
      <c r="G122" s="68" t="s">
        <v>103</v>
      </c>
      <c r="H122" s="68" t="s">
        <v>171</v>
      </c>
      <c r="I122" s="71" t="s">
        <v>197</v>
      </c>
      <c r="J122" s="68" t="s">
        <v>611</v>
      </c>
      <c r="K122" s="236">
        <f>VLOOKUP($A122,订货1!$A122:$A366,1,0)</f>
        <v>101560</v>
      </c>
      <c r="L122" s="245" t="str">
        <f>VLOOKUP($A122,订货1!$A122:$G366,7,0)</f>
        <v>上海煜晟贸易有限公司</v>
      </c>
      <c r="M122" s="237" t="str">
        <f>VLOOKUP($A122,订货1!$A122:$B366,2,0)</f>
        <v>妃群果芳蔓越莓果汁饮料浓浆</v>
      </c>
      <c r="N122" s="72">
        <f t="shared" si="11"/>
        <v>45978</v>
      </c>
      <c r="O122" s="49" t="str">
        <f>VLOOKUP($A122,订货1!$A122:$C366,3,0)</f>
        <v>常温</v>
      </c>
      <c r="P122" s="44" t="str">
        <f>VLOOKUP($A122,订货1!$A122:$E366,5,0)</f>
        <v>5L*4pc</v>
      </c>
      <c r="Q122" s="49" t="str">
        <f>VLOOKUP($A122,订货1!$A122:$F366,6,0)</f>
        <v>箱</v>
      </c>
      <c r="R122" s="167">
        <f t="shared" ca="1" si="8"/>
        <v>0</v>
      </c>
      <c r="S122" s="105" t="s">
        <v>404</v>
      </c>
      <c r="T122" s="85">
        <f ca="1">SUMIF(预估营业额3!$B$3:$B$39,"&gt;="&amp;$H$2,预估营业额3!$E$3:$E$39)-SUMIF(预估营业额3!$B$3:$B$39,"&gt;"&amp;N122,预估营业额3!$E$3:$E$39)</f>
        <v>0</v>
      </c>
      <c r="U122" s="219">
        <v>0</v>
      </c>
      <c r="V122" s="168">
        <v>1</v>
      </c>
      <c r="W122" s="182">
        <f t="shared" ca="1" si="9"/>
        <v>0</v>
      </c>
      <c r="X122" s="214">
        <v>0</v>
      </c>
      <c r="Y122" s="62">
        <f t="shared" si="10"/>
        <v>0</v>
      </c>
      <c r="Z122" s="54"/>
      <c r="AA122" s="54"/>
      <c r="AB122" s="222"/>
      <c r="AC122" s="222"/>
      <c r="AD122" s="222"/>
      <c r="AE122" s="222"/>
      <c r="AF122" s="222"/>
      <c r="AG122" s="222"/>
      <c r="AH122" s="222"/>
      <c r="AI122" s="222"/>
      <c r="AJ122" s="222"/>
      <c r="AK122" s="222"/>
      <c r="AL122" s="222"/>
      <c r="AM122" s="222"/>
      <c r="AN122" s="222"/>
      <c r="AO122" s="222"/>
      <c r="AP122" s="222"/>
      <c r="AQ122" s="222"/>
      <c r="AR122" s="222"/>
      <c r="AS122" s="222"/>
      <c r="AT122" s="222"/>
      <c r="AU122" s="222"/>
      <c r="AV122" s="222"/>
      <c r="AW122" s="222"/>
      <c r="AX122" s="222"/>
      <c r="AY122" s="222"/>
      <c r="AZ122" s="222"/>
      <c r="BA122" s="222"/>
      <c r="BB122" s="222"/>
      <c r="BC122" s="222"/>
      <c r="BD122" s="222"/>
      <c r="BE122" s="222"/>
      <c r="BF122" s="222"/>
      <c r="BG122" s="169" t="str">
        <f>VLOOKUP($A122,订货1!$A122:$I366,9,0)</f>
        <v>由仓库</v>
      </c>
      <c r="BH122" s="47" t="str">
        <f>VLOOKUP($A122,订货1!$A122:$H366,8,0)</f>
        <v>浙江德馨饮料有限公司</v>
      </c>
    </row>
    <row r="123" spans="1:60" ht="15.75" customHeight="1">
      <c r="A123" s="67">
        <v>101561</v>
      </c>
      <c r="B123" s="68" t="s">
        <v>366</v>
      </c>
      <c r="C123" s="69" t="s">
        <v>175</v>
      </c>
      <c r="D123" s="68"/>
      <c r="E123" s="68" t="s">
        <v>257</v>
      </c>
      <c r="F123" s="68" t="s">
        <v>18</v>
      </c>
      <c r="G123" s="68" t="s">
        <v>103</v>
      </c>
      <c r="H123" s="68" t="s">
        <v>171</v>
      </c>
      <c r="I123" s="71" t="s">
        <v>197</v>
      </c>
      <c r="J123" s="68" t="s">
        <v>612</v>
      </c>
      <c r="K123" s="236">
        <f>VLOOKUP($A123,订货1!$A123:$A367,1,0)</f>
        <v>101561</v>
      </c>
      <c r="L123" s="245" t="str">
        <f>VLOOKUP($A123,订货1!$A123:$G367,7,0)</f>
        <v>上海煜晟贸易有限公司</v>
      </c>
      <c r="M123" s="237" t="str">
        <f>VLOOKUP($A123,订货1!$A123:$B367,2,0)</f>
        <v>妃群果芳芒果果汁饮料浓浆</v>
      </c>
      <c r="N123" s="72">
        <f t="shared" si="11"/>
        <v>45978</v>
      </c>
      <c r="O123" s="49" t="str">
        <f>VLOOKUP($A123,订货1!$A123:$C367,3,0)</f>
        <v>常温</v>
      </c>
      <c r="P123" s="44" t="str">
        <f>VLOOKUP($A123,订货1!$A123:$E367,5,0)</f>
        <v>5L*4pc</v>
      </c>
      <c r="Q123" s="49" t="str">
        <f>VLOOKUP($A123,订货1!$A123:$F367,6,0)</f>
        <v>箱</v>
      </c>
      <c r="R123" s="167">
        <f t="shared" ca="1" si="8"/>
        <v>0</v>
      </c>
      <c r="S123" s="105" t="s">
        <v>404</v>
      </c>
      <c r="T123" s="85">
        <f ca="1">SUMIF(预估营业额3!$B$3:$B$39,"&gt;="&amp;$H$2,预估营业额3!$E$3:$E$39)-SUMIF(预估营业额3!$B$3:$B$39,"&gt;"&amp;N123,预估营业额3!$E$3:$E$39)</f>
        <v>0</v>
      </c>
      <c r="U123" s="219">
        <v>0</v>
      </c>
      <c r="V123" s="168">
        <v>1</v>
      </c>
      <c r="W123" s="182">
        <f t="shared" ca="1" si="9"/>
        <v>0</v>
      </c>
      <c r="X123" s="214">
        <v>0</v>
      </c>
      <c r="Y123" s="62">
        <f t="shared" si="10"/>
        <v>0</v>
      </c>
      <c r="Z123" s="54"/>
      <c r="AA123" s="54"/>
      <c r="AB123" s="222"/>
      <c r="AC123" s="222"/>
      <c r="AD123" s="222"/>
      <c r="AE123" s="222"/>
      <c r="AF123" s="222"/>
      <c r="AG123" s="222"/>
      <c r="AH123" s="222"/>
      <c r="AI123" s="222"/>
      <c r="AJ123" s="222"/>
      <c r="AK123" s="222"/>
      <c r="AL123" s="222"/>
      <c r="AM123" s="222"/>
      <c r="AN123" s="222"/>
      <c r="AO123" s="222"/>
      <c r="AP123" s="222"/>
      <c r="AQ123" s="222"/>
      <c r="AR123" s="222"/>
      <c r="AS123" s="222"/>
      <c r="AT123" s="222"/>
      <c r="AU123" s="222"/>
      <c r="AV123" s="222"/>
      <c r="AW123" s="222"/>
      <c r="AX123" s="222"/>
      <c r="AY123" s="222"/>
      <c r="AZ123" s="222"/>
      <c r="BA123" s="222"/>
      <c r="BB123" s="222"/>
      <c r="BC123" s="222"/>
      <c r="BD123" s="222"/>
      <c r="BE123" s="222"/>
      <c r="BF123" s="222"/>
      <c r="BG123" s="169" t="str">
        <f>VLOOKUP($A123,订货1!$A123:$I367,9,0)</f>
        <v>由仓库</v>
      </c>
      <c r="BH123" s="47" t="str">
        <f>VLOOKUP($A123,订货1!$A123:$H367,8,0)</f>
        <v>浙江德馨饮料有限公司</v>
      </c>
    </row>
    <row r="124" spans="1:60" ht="15.75" customHeight="1">
      <c r="A124" s="67">
        <v>101562</v>
      </c>
      <c r="B124" s="68" t="s">
        <v>367</v>
      </c>
      <c r="C124" s="70" t="s">
        <v>175</v>
      </c>
      <c r="D124" s="68"/>
      <c r="E124" s="68" t="s">
        <v>257</v>
      </c>
      <c r="F124" s="68" t="s">
        <v>18</v>
      </c>
      <c r="G124" s="68" t="s">
        <v>103</v>
      </c>
      <c r="H124" s="68" t="s">
        <v>171</v>
      </c>
      <c r="I124" s="71" t="s">
        <v>197</v>
      </c>
      <c r="J124" s="68" t="s">
        <v>613</v>
      </c>
      <c r="K124" s="236">
        <f>VLOOKUP($A124,订货1!$A124:$A368,1,0)</f>
        <v>101562</v>
      </c>
      <c r="L124" s="245" t="str">
        <f>VLOOKUP($A124,订货1!$A124:$G368,7,0)</f>
        <v>上海煜晟贸易有限公司</v>
      </c>
      <c r="M124" s="237" t="str">
        <f>VLOOKUP($A124,订货1!$A124:$B368,2,0)</f>
        <v>妃群果芳柳橙果汁饮料浓浆</v>
      </c>
      <c r="N124" s="72">
        <f t="shared" si="11"/>
        <v>45978</v>
      </c>
      <c r="O124" s="49" t="str">
        <f>VLOOKUP($A124,订货1!$A124:$C368,3,0)</f>
        <v>常温</v>
      </c>
      <c r="P124" s="44" t="str">
        <f>VLOOKUP($A124,订货1!$A124:$E368,5,0)</f>
        <v>5L*4pc</v>
      </c>
      <c r="Q124" s="49" t="str">
        <f>VLOOKUP($A124,订货1!$A124:$F368,6,0)</f>
        <v>箱</v>
      </c>
      <c r="R124" s="167">
        <f t="shared" ca="1" si="8"/>
        <v>0</v>
      </c>
      <c r="S124" s="105" t="s">
        <v>404</v>
      </c>
      <c r="T124" s="85">
        <f ca="1">SUMIF(预估营业额3!$B$3:$B$39,"&gt;="&amp;$H$2,预估营业额3!$E$3:$E$39)-SUMIF(预估营业额3!$B$3:$B$39,"&gt;"&amp;N124,预估营业额3!$E$3:$E$39)</f>
        <v>0</v>
      </c>
      <c r="U124" s="219">
        <v>0</v>
      </c>
      <c r="V124" s="168">
        <v>1</v>
      </c>
      <c r="W124" s="182">
        <f t="shared" ca="1" si="9"/>
        <v>0</v>
      </c>
      <c r="X124" s="214">
        <v>0</v>
      </c>
      <c r="Y124" s="62">
        <f t="shared" si="10"/>
        <v>0</v>
      </c>
      <c r="Z124" s="54"/>
      <c r="AA124" s="54"/>
      <c r="AB124" s="222"/>
      <c r="AC124" s="222"/>
      <c r="AD124" s="222"/>
      <c r="AE124" s="222"/>
      <c r="AF124" s="222"/>
      <c r="AG124" s="222"/>
      <c r="AH124" s="222"/>
      <c r="AI124" s="222"/>
      <c r="AJ124" s="222"/>
      <c r="AK124" s="222"/>
      <c r="AL124" s="222"/>
      <c r="AM124" s="222"/>
      <c r="AN124" s="222"/>
      <c r="AO124" s="222"/>
      <c r="AP124" s="222"/>
      <c r="AQ124" s="222"/>
      <c r="AR124" s="222"/>
      <c r="AS124" s="222"/>
      <c r="AT124" s="222"/>
      <c r="AU124" s="222"/>
      <c r="AV124" s="222"/>
      <c r="AW124" s="222"/>
      <c r="AX124" s="222"/>
      <c r="AY124" s="222"/>
      <c r="AZ124" s="222"/>
      <c r="BA124" s="222"/>
      <c r="BB124" s="222"/>
      <c r="BC124" s="222"/>
      <c r="BD124" s="222"/>
      <c r="BE124" s="222"/>
      <c r="BF124" s="222"/>
      <c r="BG124" s="169" t="str">
        <f>VLOOKUP($A124,订货1!$A124:$I368,9,0)</f>
        <v>由仓库</v>
      </c>
      <c r="BH124" s="47" t="str">
        <f>VLOOKUP($A124,订货1!$A124:$H368,8,0)</f>
        <v>浙江德馨饮料有限公司</v>
      </c>
    </row>
    <row r="125" spans="1:60" ht="15.75" customHeight="1">
      <c r="A125" s="255">
        <v>101749</v>
      </c>
      <c r="B125" s="256" t="s">
        <v>753</v>
      </c>
      <c r="C125" s="261" t="s">
        <v>175</v>
      </c>
      <c r="D125" s="256"/>
      <c r="E125" s="256" t="s">
        <v>754</v>
      </c>
      <c r="F125" s="256" t="s">
        <v>18</v>
      </c>
      <c r="G125" s="256" t="s">
        <v>103</v>
      </c>
      <c r="H125" s="263" t="s">
        <v>755</v>
      </c>
      <c r="I125" s="71" t="s">
        <v>197</v>
      </c>
      <c r="J125" s="68" t="s">
        <v>614</v>
      </c>
      <c r="K125" s="236">
        <f>VLOOKUP($A125,订货1!$A125:$A369,1,0)</f>
        <v>101749</v>
      </c>
      <c r="L125" s="245" t="str">
        <f>VLOOKUP($A125,订货1!$A125:$G369,7,0)</f>
        <v>上海煜晟贸易有限公司</v>
      </c>
      <c r="M125" s="237" t="str">
        <f>VLOOKUP($A125,订货1!$A125:$B369,2,0)</f>
        <v>白桃乌龙（茶饮浓缩液）</v>
      </c>
      <c r="N125" s="72">
        <f t="shared" si="11"/>
        <v>45978</v>
      </c>
      <c r="O125" s="49" t="str">
        <f>VLOOKUP($A125,订货1!$A125:$C369,3,0)</f>
        <v>常温</v>
      </c>
      <c r="P125" s="44" t="str">
        <f>VLOOKUP($A125,订货1!$A125:$E369,5,0)</f>
        <v>3L*4pc</v>
      </c>
      <c r="Q125" s="49" t="str">
        <f>VLOOKUP($A125,订货1!$A125:$F369,6,0)</f>
        <v>箱</v>
      </c>
      <c r="R125" s="167">
        <f t="shared" ca="1" si="8"/>
        <v>0</v>
      </c>
      <c r="S125" s="262" t="s">
        <v>557</v>
      </c>
      <c r="T125" s="85">
        <f ca="1">SUMIF(预估营业额3!$B$3:$B$39,"&gt;="&amp;$H$2,预估营业额3!$E$3:$E$39)-SUMIF(预估营业额3!$B$3:$B$39,"&gt;"&amp;N125,预估营业额3!$E$3:$E$39)</f>
        <v>0</v>
      </c>
      <c r="U125" s="219">
        <v>0</v>
      </c>
      <c r="V125" s="168">
        <v>1</v>
      </c>
      <c r="W125" s="182">
        <f t="shared" ca="1" si="9"/>
        <v>0</v>
      </c>
      <c r="X125" s="214">
        <v>0</v>
      </c>
      <c r="Y125" s="62">
        <f t="shared" si="10"/>
        <v>0</v>
      </c>
      <c r="Z125" s="54"/>
      <c r="AA125" s="54"/>
      <c r="AB125" s="222"/>
      <c r="AC125" s="222"/>
      <c r="AD125" s="222"/>
      <c r="AE125" s="222"/>
      <c r="AF125" s="222"/>
      <c r="AG125" s="222"/>
      <c r="AH125" s="222"/>
      <c r="AI125" s="222"/>
      <c r="AJ125" s="222"/>
      <c r="AK125" s="222"/>
      <c r="AL125" s="222"/>
      <c r="AM125" s="222"/>
      <c r="AN125" s="222"/>
      <c r="AO125" s="222"/>
      <c r="AP125" s="222"/>
      <c r="AQ125" s="222"/>
      <c r="AR125" s="222"/>
      <c r="AS125" s="222"/>
      <c r="AT125" s="222"/>
      <c r="AU125" s="222"/>
      <c r="AV125" s="222"/>
      <c r="AW125" s="222"/>
      <c r="AX125" s="222"/>
      <c r="AY125" s="222"/>
      <c r="AZ125" s="222"/>
      <c r="BA125" s="222"/>
      <c r="BB125" s="222"/>
      <c r="BC125" s="222"/>
      <c r="BD125" s="222"/>
      <c r="BE125" s="222"/>
      <c r="BF125" s="222"/>
      <c r="BG125" s="169" t="str">
        <f>VLOOKUP($A125,订货1!$A125:$I369,9,0)</f>
        <v>由仓库</v>
      </c>
      <c r="BH125" s="47" t="str">
        <f>VLOOKUP($A125,订货1!$A125:$H369,8,0)</f>
        <v>金绿源（中国）生物科技有限公司</v>
      </c>
    </row>
    <row r="126" spans="1:60" ht="15.75" customHeight="1">
      <c r="A126" s="67">
        <v>101592</v>
      </c>
      <c r="B126" s="68" t="s">
        <v>333</v>
      </c>
      <c r="C126" s="70" t="s">
        <v>176</v>
      </c>
      <c r="D126" s="68"/>
      <c r="E126" s="68" t="s">
        <v>140</v>
      </c>
      <c r="F126" s="68" t="s">
        <v>18</v>
      </c>
      <c r="G126" s="68" t="s">
        <v>117</v>
      </c>
      <c r="H126" s="265" t="s">
        <v>766</v>
      </c>
      <c r="I126" s="71" t="s">
        <v>197</v>
      </c>
      <c r="J126" s="68" t="s">
        <v>615</v>
      </c>
      <c r="K126" s="236">
        <f>VLOOKUP($A126,订货1!$A126:$A370,1,0)</f>
        <v>101592</v>
      </c>
      <c r="L126" s="245" t="str">
        <f>VLOOKUP($A126,订货1!$A126:$G370,7,0)</f>
        <v>辣西西里（北京）国际贸易有限公司</v>
      </c>
      <c r="M126" s="237" t="str">
        <f>VLOOKUP($A126,订货1!$A126:$B370,2,0)</f>
        <v>柯万特酒庄蒂安诺干红葡萄酒</v>
      </c>
      <c r="N126" s="72">
        <f t="shared" si="11"/>
        <v>45978</v>
      </c>
      <c r="O126" s="49" t="str">
        <f>VLOOKUP($A126,订货1!$A126:$C370,3,0)</f>
        <v>冷蔵</v>
      </c>
      <c r="P126" s="44" t="str">
        <f>VLOOKUP($A126,订货1!$A126:$E370,5,0)</f>
        <v>750ml*6瓶</v>
      </c>
      <c r="Q126" s="49" t="str">
        <f>VLOOKUP($A126,订货1!$A126:$F370,6,0)</f>
        <v>箱</v>
      </c>
      <c r="R126" s="167">
        <f t="shared" ca="1" si="8"/>
        <v>0</v>
      </c>
      <c r="S126" s="105" t="s">
        <v>199</v>
      </c>
      <c r="T126" s="85">
        <f ca="1">SUMIF(预估营业额3!$B$3:$B$39,"&gt;="&amp;$H$2,预估营业额3!$E$3:$E$39)-SUMIF(预估营业额3!$B$3:$B$39,"&gt;"&amp;N126,预估营业额3!$E$3:$E$39)</f>
        <v>0</v>
      </c>
      <c r="U126" s="219">
        <v>1.8637852546629578E-2</v>
      </c>
      <c r="V126" s="168">
        <v>1</v>
      </c>
      <c r="W126" s="182">
        <f t="shared" ca="1" si="9"/>
        <v>0</v>
      </c>
      <c r="X126" s="214">
        <v>1</v>
      </c>
      <c r="Y126" s="62">
        <f t="shared" si="10"/>
        <v>0</v>
      </c>
      <c r="Z126" s="54"/>
      <c r="AA126" s="54"/>
      <c r="AB126" s="222"/>
      <c r="AC126" s="222"/>
      <c r="AD126" s="222"/>
      <c r="AE126" s="222"/>
      <c r="AF126" s="222"/>
      <c r="AG126" s="222"/>
      <c r="AH126" s="222"/>
      <c r="AI126" s="222"/>
      <c r="AJ126" s="222"/>
      <c r="AK126" s="222"/>
      <c r="AL126" s="222"/>
      <c r="AM126" s="222"/>
      <c r="AN126" s="222"/>
      <c r="AO126" s="222"/>
      <c r="AP126" s="222"/>
      <c r="AQ126" s="222"/>
      <c r="AR126" s="222"/>
      <c r="AS126" s="222"/>
      <c r="AT126" s="222"/>
      <c r="AU126" s="222"/>
      <c r="AV126" s="222"/>
      <c r="AW126" s="222"/>
      <c r="AX126" s="222"/>
      <c r="AY126" s="222"/>
      <c r="AZ126" s="222"/>
      <c r="BA126" s="222"/>
      <c r="BB126" s="222"/>
      <c r="BC126" s="222"/>
      <c r="BD126" s="222"/>
      <c r="BE126" s="222"/>
      <c r="BF126" s="222"/>
      <c r="BG126" s="169" t="str">
        <f>VLOOKUP($A126,订货1!$A126:$I370,9,0)</f>
        <v>由仓库</v>
      </c>
      <c r="BH126" s="47" t="str">
        <f>VLOOKUP($A126,订货1!$A126:$H370,8,0)</f>
        <v>TENUTA POGGIO ALLA SALA SOCIETA' AGRICOLA SRL</v>
      </c>
    </row>
    <row r="127" spans="1:60" ht="15.75" customHeight="1">
      <c r="A127" s="67">
        <v>101598</v>
      </c>
      <c r="B127" s="68" t="s">
        <v>335</v>
      </c>
      <c r="C127" s="70" t="s">
        <v>175</v>
      </c>
      <c r="D127" s="68"/>
      <c r="E127" s="68" t="s">
        <v>336</v>
      </c>
      <c r="F127" s="68" t="s">
        <v>18</v>
      </c>
      <c r="G127" s="68" t="s">
        <v>117</v>
      </c>
      <c r="H127" s="68" t="s">
        <v>327</v>
      </c>
      <c r="I127" s="71" t="s">
        <v>197</v>
      </c>
      <c r="J127" s="68" t="s">
        <v>616</v>
      </c>
      <c r="K127" s="236">
        <f>VLOOKUP($A127,订货1!$A127:$A371,1,0)</f>
        <v>101598</v>
      </c>
      <c r="L127" s="245" t="str">
        <f>VLOOKUP($A127,订货1!$A127:$G371,7,0)</f>
        <v>辣西西里（北京）国际贸易有限公司</v>
      </c>
      <c r="M127" s="237" t="str">
        <f>VLOOKUP($A127,订货1!$A127:$B371,2,0)</f>
        <v>辣西西里-披萨调味酱</v>
      </c>
      <c r="N127" s="72">
        <f t="shared" si="11"/>
        <v>45978</v>
      </c>
      <c r="O127" s="49" t="str">
        <f>VLOOKUP($A127,订货1!$A127:$C371,3,0)</f>
        <v>常温</v>
      </c>
      <c r="P127" s="44" t="str">
        <f>VLOOKUP($A127,订货1!$A127:$E371,5,0)</f>
        <v>4.1kg*3pc</v>
      </c>
      <c r="Q127" s="49" t="str">
        <f>VLOOKUP($A127,订货1!$A127:$F371,6,0)</f>
        <v>箱</v>
      </c>
      <c r="R127" s="167">
        <f t="shared" ref="R127:R191" ca="1" si="15">IF(ROUNDUP(W127-Y127-X127,0)&gt;=0,ROUNDUP((W127-Y127-X127),0),0)</f>
        <v>0</v>
      </c>
      <c r="S127" s="185" t="s">
        <v>831</v>
      </c>
      <c r="T127" s="85">
        <f ca="1">SUMIF(预估营业额3!$B$3:$B$39,"&gt;="&amp;$H$2,预估营业额3!$E$3:$E$39)-SUMIF(预估营业额3!$B$3:$B$39,"&gt;"&amp;N127,预估营业额3!$E$3:$E$39)</f>
        <v>0</v>
      </c>
      <c r="U127" s="219">
        <v>0.15</v>
      </c>
      <c r="V127" s="168">
        <v>1</v>
      </c>
      <c r="W127" s="182">
        <f t="shared" ca="1" si="9"/>
        <v>0</v>
      </c>
      <c r="X127" s="214">
        <v>1</v>
      </c>
      <c r="Y127" s="62">
        <f t="shared" si="10"/>
        <v>0</v>
      </c>
      <c r="Z127" s="54">
        <v>0</v>
      </c>
      <c r="AA127" s="54"/>
      <c r="AB127" s="222"/>
      <c r="AC127" s="222"/>
      <c r="AD127" s="222"/>
      <c r="AE127" s="222"/>
      <c r="AF127" s="222">
        <v>1</v>
      </c>
      <c r="AG127" s="222"/>
      <c r="AH127" s="222"/>
      <c r="AI127" s="222"/>
      <c r="AJ127" s="222"/>
      <c r="AK127" s="222"/>
      <c r="AL127" s="222"/>
      <c r="AM127" s="222"/>
      <c r="AN127" s="222">
        <v>0</v>
      </c>
      <c r="AO127" s="222">
        <v>1</v>
      </c>
      <c r="AP127" s="222"/>
      <c r="AQ127" s="222"/>
      <c r="AR127" s="222"/>
      <c r="AS127" s="222"/>
      <c r="AT127" s="222"/>
      <c r="AU127" s="222"/>
      <c r="AV127" s="222"/>
      <c r="AW127" s="222"/>
      <c r="AX127" s="222"/>
      <c r="AY127" s="222"/>
      <c r="AZ127" s="222"/>
      <c r="BA127" s="222"/>
      <c r="BB127" s="222"/>
      <c r="BC127" s="222"/>
      <c r="BD127" s="222"/>
      <c r="BE127" s="222"/>
      <c r="BF127" s="222"/>
      <c r="BG127" s="169" t="str">
        <f>VLOOKUP($A127,订货1!$A127:$I371,9,0)</f>
        <v>由仓库</v>
      </c>
      <c r="BH127" s="47" t="str">
        <f>VLOOKUP($A127,订货1!$A127:$H371,8,0)</f>
        <v>Consorzio Casalasco del Pomodoro</v>
      </c>
    </row>
    <row r="128" spans="1:60" ht="15.75" customHeight="1">
      <c r="A128" s="173">
        <v>101593</v>
      </c>
      <c r="B128" s="68" t="s">
        <v>334</v>
      </c>
      <c r="C128" s="69" t="s">
        <v>176</v>
      </c>
      <c r="D128" s="68"/>
      <c r="E128" s="68" t="s">
        <v>326</v>
      </c>
      <c r="F128" s="68" t="s">
        <v>18</v>
      </c>
      <c r="G128" s="68" t="s">
        <v>117</v>
      </c>
      <c r="H128" s="265" t="s">
        <v>767</v>
      </c>
      <c r="I128" s="71" t="s">
        <v>197</v>
      </c>
      <c r="J128" s="68" t="s">
        <v>617</v>
      </c>
      <c r="K128" s="236">
        <f>VLOOKUP($A128,订货1!$A128:$A372,1,0)</f>
        <v>101593</v>
      </c>
      <c r="L128" s="245" t="str">
        <f>VLOOKUP($A128,订货1!$A128:$G372,7,0)</f>
        <v>辣西西里（北京）国际贸易有限公司</v>
      </c>
      <c r="M128" s="237" t="str">
        <f>VLOOKUP($A128,订货1!$A128:$B372,2,0)</f>
        <v>城堡酒庄卡尔卡耐卡干白葡萄酒</v>
      </c>
      <c r="N128" s="72">
        <f t="shared" si="11"/>
        <v>45978</v>
      </c>
      <c r="O128" s="49" t="str">
        <f>VLOOKUP($A128,订货1!$A128:$C372,3,0)</f>
        <v>冷蔵</v>
      </c>
      <c r="P128" s="44" t="str">
        <f>VLOOKUP($A128,订货1!$A128:$E372,5,0)</f>
        <v>750ml*6</v>
      </c>
      <c r="Q128" s="49" t="str">
        <f>VLOOKUP($A128,订货1!$A128:$F372,6,0)</f>
        <v>箱</v>
      </c>
      <c r="R128" s="167">
        <f t="shared" ca="1" si="15"/>
        <v>0</v>
      </c>
      <c r="S128" s="105" t="s">
        <v>199</v>
      </c>
      <c r="T128" s="85">
        <f ca="1">SUMIF(预估营业额3!$B$3:$B$39,"&gt;="&amp;$H$2,预估营业额3!$E$3:$E$39)-SUMIF(预估营业额3!$B$3:$B$39,"&gt;"&amp;N128,预估营业额3!$E$3:$E$39)</f>
        <v>0</v>
      </c>
      <c r="U128" s="219">
        <v>1.3978389409972185E-2</v>
      </c>
      <c r="V128" s="168">
        <v>1</v>
      </c>
      <c r="W128" s="182">
        <f t="shared" ref="W128:W192" ca="1" si="16">T128*U128*V128</f>
        <v>0</v>
      </c>
      <c r="X128" s="214">
        <v>1</v>
      </c>
      <c r="Y128" s="62">
        <f t="shared" ref="Y128:Y192" si="17">Z128+AA128</f>
        <v>0</v>
      </c>
      <c r="Z128" s="54"/>
      <c r="AA128" s="54"/>
      <c r="AB128" s="222"/>
      <c r="AC128" s="222"/>
      <c r="AD128" s="222"/>
      <c r="AE128" s="222"/>
      <c r="AF128" s="222"/>
      <c r="AG128" s="222"/>
      <c r="AH128" s="222"/>
      <c r="AI128" s="222"/>
      <c r="AJ128" s="222"/>
      <c r="AK128" s="222"/>
      <c r="AL128" s="222">
        <v>1</v>
      </c>
      <c r="AM128" s="222"/>
      <c r="AN128" s="222"/>
      <c r="AO128" s="222"/>
      <c r="AP128" s="222"/>
      <c r="AQ128" s="222"/>
      <c r="AR128" s="222"/>
      <c r="AS128" s="222"/>
      <c r="AT128" s="222"/>
      <c r="AU128" s="222"/>
      <c r="AV128" s="222"/>
      <c r="AW128" s="222"/>
      <c r="AX128" s="222"/>
      <c r="AY128" s="222"/>
      <c r="AZ128" s="222"/>
      <c r="BA128" s="222"/>
      <c r="BB128" s="222"/>
      <c r="BC128" s="222"/>
      <c r="BD128" s="222"/>
      <c r="BE128" s="222"/>
      <c r="BF128" s="222"/>
      <c r="BG128" s="169" t="str">
        <f>VLOOKUP($A128,订货1!$A128:$I372,9,0)</f>
        <v>由仓库</v>
      </c>
      <c r="BH128" s="47" t="str">
        <f>VLOOKUP($A128,订货1!$A128:$H372,8,0)</f>
        <v>Cantine Riondo SpA</v>
      </c>
    </row>
    <row r="129" spans="1:60" ht="15.75" customHeight="1">
      <c r="A129" s="67">
        <v>700001</v>
      </c>
      <c r="B129" s="68" t="s">
        <v>10</v>
      </c>
      <c r="C129" s="69" t="s">
        <v>175</v>
      </c>
      <c r="D129" s="68"/>
      <c r="E129" s="68" t="s">
        <v>141</v>
      </c>
      <c r="F129" s="68" t="s">
        <v>18</v>
      </c>
      <c r="G129" s="68" t="s">
        <v>129</v>
      </c>
      <c r="H129" s="68" t="s">
        <v>129</v>
      </c>
      <c r="I129" s="71" t="s">
        <v>198</v>
      </c>
      <c r="J129" s="68" t="s">
        <v>618</v>
      </c>
      <c r="K129" s="236">
        <f>VLOOKUP($A129,订货1!$A129:$A373,1,0)</f>
        <v>700001</v>
      </c>
      <c r="L129" s="245" t="str">
        <f>VLOOKUP($A129,订货1!$A129:$G373,7,0)</f>
        <v>江苏太古可口可乐饮料有限公司</v>
      </c>
      <c r="M129" s="237" t="str">
        <f>VLOOKUP($A129,订货1!$A129:$B373,2,0)</f>
        <v>可口可乐糖浆</v>
      </c>
      <c r="N129" s="229"/>
      <c r="O129" s="49" t="str">
        <f>VLOOKUP($A129,订货1!$A129:$C373,3,0)</f>
        <v>常温</v>
      </c>
      <c r="P129" s="44" t="str">
        <f>VLOOKUP($A129,订货1!$A129:$E373,5,0)</f>
        <v>10L</v>
      </c>
      <c r="Q129" s="49" t="str">
        <f>VLOOKUP($A129,订货1!$A129:$F373,6,0)</f>
        <v>箱</v>
      </c>
      <c r="R129" s="167">
        <f t="shared" ca="1" si="15"/>
        <v>0</v>
      </c>
      <c r="S129" s="185" t="s">
        <v>837</v>
      </c>
      <c r="T129" s="85">
        <f ca="1">SUMIF(预估营业额3!$B$3:$B$39,"&gt;="&amp;$H$2,预估营业额3!$E$3:$E$39)-SUMIF(预估营业额3!$B$3:$B$39,"&gt;"&amp;N129,预估营业额3!$E$3:$E$39)</f>
        <v>38.299999999999997</v>
      </c>
      <c r="U129" s="219">
        <v>0</v>
      </c>
      <c r="V129" s="168">
        <v>1</v>
      </c>
      <c r="W129" s="182">
        <f t="shared" ca="1" si="16"/>
        <v>0</v>
      </c>
      <c r="X129" s="214">
        <v>0</v>
      </c>
      <c r="Y129" s="62">
        <f t="shared" si="17"/>
        <v>0</v>
      </c>
      <c r="Z129" s="54"/>
      <c r="AA129" s="54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222"/>
      <c r="AP129" s="222"/>
      <c r="AQ129" s="222"/>
      <c r="AR129" s="222"/>
      <c r="AS129" s="222"/>
      <c r="AT129" s="222"/>
      <c r="AU129" s="222"/>
      <c r="AV129" s="222"/>
      <c r="AW129" s="222"/>
      <c r="AX129" s="222"/>
      <c r="AY129" s="222"/>
      <c r="AZ129" s="222"/>
      <c r="BA129" s="222"/>
      <c r="BB129" s="278"/>
      <c r="BC129" s="278"/>
      <c r="BD129" s="278"/>
      <c r="BE129" s="222"/>
      <c r="BF129" s="222"/>
      <c r="BG129" s="169" t="str">
        <f>VLOOKUP($A129,订货1!$A129:$I373,9,0)</f>
        <v>由厂商</v>
      </c>
      <c r="BH129" s="47" t="str">
        <f>VLOOKUP($A129,订货1!$A129:$H373,8,0)</f>
        <v>江苏太古可口可乐饮料有限公司</v>
      </c>
    </row>
    <row r="130" spans="1:60" ht="15.75" customHeight="1">
      <c r="A130" s="67">
        <v>700002</v>
      </c>
      <c r="B130" s="68" t="s">
        <v>12</v>
      </c>
      <c r="C130" s="69" t="s">
        <v>175</v>
      </c>
      <c r="D130" s="68"/>
      <c r="E130" s="68" t="s">
        <v>141</v>
      </c>
      <c r="F130" s="68" t="s">
        <v>18</v>
      </c>
      <c r="G130" s="68" t="s">
        <v>129</v>
      </c>
      <c r="H130" s="68" t="s">
        <v>129</v>
      </c>
      <c r="I130" s="71" t="s">
        <v>198</v>
      </c>
      <c r="J130" s="68" t="s">
        <v>619</v>
      </c>
      <c r="K130" s="236">
        <f>VLOOKUP($A130,订货1!$A130:$A374,1,0)</f>
        <v>700002</v>
      </c>
      <c r="L130" s="245" t="str">
        <f>VLOOKUP($A130,订货1!$A130:$G374,7,0)</f>
        <v>江苏太古可口可乐饮料有限公司</v>
      </c>
      <c r="M130" s="237" t="str">
        <f>VLOOKUP($A130,订货1!$A130:$B374,2,0)</f>
        <v>雪碧糖浆</v>
      </c>
      <c r="N130" s="171">
        <f>$N$129</f>
        <v>0</v>
      </c>
      <c r="O130" s="49" t="str">
        <f>VLOOKUP($A130,订货1!$A130:$C374,3,0)</f>
        <v>常温</v>
      </c>
      <c r="P130" s="44" t="str">
        <f>VLOOKUP($A130,订货1!$A130:$E374,5,0)</f>
        <v>10L</v>
      </c>
      <c r="Q130" s="49" t="str">
        <f>VLOOKUP($A130,订货1!$A130:$F374,6,0)</f>
        <v>箱</v>
      </c>
      <c r="R130" s="167">
        <f t="shared" ca="1" si="15"/>
        <v>0</v>
      </c>
      <c r="S130" s="185" t="s">
        <v>837</v>
      </c>
      <c r="T130" s="85">
        <f ca="1">SUMIF(预估营业额3!$B$3:$B$39,"&gt;="&amp;$H$2,预估营业额3!$E$3:$E$39)-SUMIF(预估营业额3!$B$3:$B$39,"&gt;"&amp;N130,预估营业额3!$E$3:$E$39)</f>
        <v>-39.438000000000017</v>
      </c>
      <c r="U130" s="219">
        <v>0</v>
      </c>
      <c r="V130" s="168">
        <v>1</v>
      </c>
      <c r="W130" s="182">
        <f t="shared" ca="1" si="16"/>
        <v>0</v>
      </c>
      <c r="X130" s="214">
        <v>0</v>
      </c>
      <c r="Y130" s="62">
        <f t="shared" si="17"/>
        <v>0</v>
      </c>
      <c r="Z130" s="54"/>
      <c r="AA130" s="54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222"/>
      <c r="AP130" s="222"/>
      <c r="AQ130" s="222"/>
      <c r="AR130" s="222"/>
      <c r="AS130" s="222"/>
      <c r="AT130" s="222"/>
      <c r="AU130" s="222"/>
      <c r="AV130" s="222"/>
      <c r="AW130" s="222"/>
      <c r="AX130" s="222"/>
      <c r="AY130" s="222"/>
      <c r="AZ130" s="222"/>
      <c r="BA130" s="222"/>
      <c r="BB130" s="278"/>
      <c r="BC130" s="278"/>
      <c r="BD130" s="278"/>
      <c r="BE130" s="222"/>
      <c r="BF130" s="222"/>
      <c r="BG130" s="169" t="str">
        <f>VLOOKUP($A130,订货1!$A130:$I374,9,0)</f>
        <v>由厂商</v>
      </c>
      <c r="BH130" s="47" t="str">
        <f>VLOOKUP($A130,订货1!$A130:$H374,8,0)</f>
        <v>江苏太古可口可乐饮料有限公司</v>
      </c>
    </row>
    <row r="131" spans="1:60" ht="15.75" customHeight="1">
      <c r="A131" s="67">
        <v>700003</v>
      </c>
      <c r="B131" s="68" t="s">
        <v>13</v>
      </c>
      <c r="C131" s="69" t="s">
        <v>175</v>
      </c>
      <c r="D131" s="68"/>
      <c r="E131" s="68" t="s">
        <v>141</v>
      </c>
      <c r="F131" s="68" t="s">
        <v>18</v>
      </c>
      <c r="G131" s="68" t="s">
        <v>129</v>
      </c>
      <c r="H131" s="68" t="s">
        <v>129</v>
      </c>
      <c r="I131" s="71" t="s">
        <v>198</v>
      </c>
      <c r="J131" s="68" t="s">
        <v>620</v>
      </c>
      <c r="K131" s="236">
        <f>VLOOKUP($A131,订货1!$A131:$A375,1,0)</f>
        <v>700003</v>
      </c>
      <c r="L131" s="245" t="str">
        <f>VLOOKUP($A131,订货1!$A131:$G375,7,0)</f>
        <v>江苏太古可口可乐饮料有限公司</v>
      </c>
      <c r="M131" s="237" t="str">
        <f>VLOOKUP($A131,订货1!$A131:$B375,2,0)</f>
        <v>芬达橙汁糖浆</v>
      </c>
      <c r="N131" s="171">
        <f t="shared" ref="N131:N134" si="18">$N$129</f>
        <v>0</v>
      </c>
      <c r="O131" s="49" t="str">
        <f>VLOOKUP($A131,订货1!$A131:$C375,3,0)</f>
        <v>常温</v>
      </c>
      <c r="P131" s="44" t="str">
        <f>VLOOKUP($A131,订货1!$A131:$E375,5,0)</f>
        <v>10L</v>
      </c>
      <c r="Q131" s="49" t="str">
        <f>VLOOKUP($A131,订货1!$A131:$F375,6,0)</f>
        <v>箱</v>
      </c>
      <c r="R131" s="167">
        <f t="shared" ca="1" si="15"/>
        <v>0</v>
      </c>
      <c r="S131" s="185" t="s">
        <v>837</v>
      </c>
      <c r="T131" s="85">
        <f ca="1">SUMIF(预估营业额3!$B$3:$B$39,"&gt;="&amp;$H$2,预估营业额3!$E$3:$E$39)-SUMIF(预估营业额3!$B$3:$B$39,"&gt;"&amp;N131,预估营业额3!$E$3:$E$39)</f>
        <v>-39.438000000000017</v>
      </c>
      <c r="U131" s="219">
        <v>0</v>
      </c>
      <c r="V131" s="168">
        <v>1</v>
      </c>
      <c r="W131" s="182">
        <f t="shared" ca="1" si="16"/>
        <v>0</v>
      </c>
      <c r="X131" s="214">
        <v>0</v>
      </c>
      <c r="Y131" s="62">
        <f t="shared" si="17"/>
        <v>0</v>
      </c>
      <c r="Z131" s="54"/>
      <c r="AA131" s="54"/>
      <c r="AB131" s="222"/>
      <c r="AC131" s="222"/>
      <c r="AD131" s="222"/>
      <c r="AE131" s="222"/>
      <c r="AF131" s="222"/>
      <c r="AG131" s="222"/>
      <c r="AH131" s="222"/>
      <c r="AI131" s="222"/>
      <c r="AJ131" s="222"/>
      <c r="AK131" s="222"/>
      <c r="AL131" s="222"/>
      <c r="AM131" s="222"/>
      <c r="AN131" s="222"/>
      <c r="AO131" s="222"/>
      <c r="AP131" s="222"/>
      <c r="AQ131" s="222"/>
      <c r="AR131" s="222"/>
      <c r="AS131" s="222"/>
      <c r="AT131" s="222"/>
      <c r="AU131" s="222"/>
      <c r="AV131" s="222"/>
      <c r="AW131" s="222"/>
      <c r="AX131" s="222"/>
      <c r="AY131" s="222"/>
      <c r="AZ131" s="222"/>
      <c r="BA131" s="222"/>
      <c r="BB131" s="278"/>
      <c r="BC131" s="278"/>
      <c r="BD131" s="278"/>
      <c r="BE131" s="222"/>
      <c r="BF131" s="222"/>
      <c r="BG131" s="169" t="str">
        <f>VLOOKUP($A131,订货1!$A131:$I375,9,0)</f>
        <v>由厂商</v>
      </c>
      <c r="BH131" s="47" t="str">
        <f>VLOOKUP($A131,订货1!$A131:$H375,8,0)</f>
        <v>江苏太古可口可乐饮料有限公司</v>
      </c>
    </row>
    <row r="132" spans="1:60" ht="15.75" customHeight="1">
      <c r="A132" s="67">
        <v>700004</v>
      </c>
      <c r="B132" s="68" t="s">
        <v>14</v>
      </c>
      <c r="C132" s="69" t="s">
        <v>175</v>
      </c>
      <c r="D132" s="68"/>
      <c r="E132" s="68" t="s">
        <v>141</v>
      </c>
      <c r="F132" s="68" t="s">
        <v>18</v>
      </c>
      <c r="G132" s="68" t="s">
        <v>129</v>
      </c>
      <c r="H132" s="68" t="s">
        <v>129</v>
      </c>
      <c r="I132" s="71" t="s">
        <v>198</v>
      </c>
      <c r="J132" s="68" t="s">
        <v>621</v>
      </c>
      <c r="K132" s="236">
        <f>VLOOKUP($A132,订货1!$A132:$A376,1,0)</f>
        <v>700004</v>
      </c>
      <c r="L132" s="245" t="str">
        <f>VLOOKUP($A132,订货1!$A132:$G376,7,0)</f>
        <v>江苏太古可口可乐饮料有限公司</v>
      </c>
      <c r="M132" s="237" t="str">
        <f>VLOOKUP($A132,订货1!$A132:$B376,2,0)</f>
        <v>飞想柠檬红茶</v>
      </c>
      <c r="N132" s="171">
        <f t="shared" si="18"/>
        <v>0</v>
      </c>
      <c r="O132" s="49" t="str">
        <f>VLOOKUP($A132,订货1!$A132:$C376,3,0)</f>
        <v>常温</v>
      </c>
      <c r="P132" s="44" t="str">
        <f>VLOOKUP($A132,订货1!$A132:$E376,5,0)</f>
        <v>10L</v>
      </c>
      <c r="Q132" s="49" t="str">
        <f>VLOOKUP($A132,订货1!$A132:$F376,6,0)</f>
        <v>箱</v>
      </c>
      <c r="R132" s="167">
        <f t="shared" ca="1" si="15"/>
        <v>0</v>
      </c>
      <c r="S132" s="185" t="s">
        <v>837</v>
      </c>
      <c r="T132" s="85">
        <f ca="1">SUMIF(预估营业额3!$B$3:$B$39,"&gt;="&amp;$H$2,预估营业额3!$E$3:$E$39)-SUMIF(预估营业额3!$B$3:$B$39,"&gt;"&amp;N132,预估营业额3!$E$3:$E$39)</f>
        <v>-39.438000000000017</v>
      </c>
      <c r="U132" s="219">
        <v>0</v>
      </c>
      <c r="V132" s="168">
        <v>1</v>
      </c>
      <c r="W132" s="182">
        <f t="shared" ca="1" si="16"/>
        <v>0</v>
      </c>
      <c r="X132" s="214">
        <v>0</v>
      </c>
      <c r="Y132" s="62">
        <f t="shared" si="17"/>
        <v>0</v>
      </c>
      <c r="Z132" s="54"/>
      <c r="AA132" s="54"/>
      <c r="AB132" s="222"/>
      <c r="AC132" s="222"/>
      <c r="AD132" s="222"/>
      <c r="AE132" s="222"/>
      <c r="AF132" s="222"/>
      <c r="AG132" s="222"/>
      <c r="AH132" s="222"/>
      <c r="AI132" s="222"/>
      <c r="AJ132" s="222"/>
      <c r="AK132" s="222"/>
      <c r="AL132" s="222"/>
      <c r="AM132" s="222"/>
      <c r="AN132" s="222"/>
      <c r="AO132" s="222"/>
      <c r="AP132" s="222"/>
      <c r="AQ132" s="222"/>
      <c r="AR132" s="222"/>
      <c r="AS132" s="222"/>
      <c r="AT132" s="222"/>
      <c r="AU132" s="222"/>
      <c r="AV132" s="222"/>
      <c r="AW132" s="222"/>
      <c r="AX132" s="222"/>
      <c r="AY132" s="222"/>
      <c r="AZ132" s="222"/>
      <c r="BA132" s="222"/>
      <c r="BB132" s="278"/>
      <c r="BC132" s="278"/>
      <c r="BD132" s="278"/>
      <c r="BE132" s="222"/>
      <c r="BF132" s="222"/>
      <c r="BG132" s="169" t="str">
        <f>VLOOKUP($A132,订货1!$A132:$I376,9,0)</f>
        <v>由厂商</v>
      </c>
      <c r="BH132" s="47" t="str">
        <f>VLOOKUP($A132,订货1!$A132:$H376,8,0)</f>
        <v>江苏太古可口可乐饮料有限公司</v>
      </c>
    </row>
    <row r="133" spans="1:60" ht="15.75" customHeight="1">
      <c r="A133" s="67">
        <v>700006</v>
      </c>
      <c r="B133" s="68" t="s">
        <v>299</v>
      </c>
      <c r="C133" s="69" t="s">
        <v>175</v>
      </c>
      <c r="D133" s="68"/>
      <c r="E133" s="68" t="s">
        <v>141</v>
      </c>
      <c r="F133" s="68" t="s">
        <v>18</v>
      </c>
      <c r="G133" s="68" t="s">
        <v>129</v>
      </c>
      <c r="H133" s="68" t="s">
        <v>129</v>
      </c>
      <c r="I133" s="71" t="s">
        <v>198</v>
      </c>
      <c r="J133" s="68" t="s">
        <v>622</v>
      </c>
      <c r="K133" s="236">
        <f>VLOOKUP($A133,订货1!$A133:$A377,1,0)</f>
        <v>700006</v>
      </c>
      <c r="L133" s="245" t="str">
        <f>VLOOKUP($A133,订货1!$A133:$G377,7,0)</f>
        <v>江苏太古可口可乐饮料有限公司</v>
      </c>
      <c r="M133" s="237" t="str">
        <f>VLOOKUP($A133,订货1!$A133:$B377,2,0)</f>
        <v>零度可乐糖浆</v>
      </c>
      <c r="N133" s="171">
        <f t="shared" si="18"/>
        <v>0</v>
      </c>
      <c r="O133" s="49" t="str">
        <f>VLOOKUP($A133,订货1!$A133:$C377,3,0)</f>
        <v>常温</v>
      </c>
      <c r="P133" s="44" t="str">
        <f>VLOOKUP($A133,订货1!$A133:$E377,5,0)</f>
        <v>10L</v>
      </c>
      <c r="Q133" s="49" t="str">
        <f>VLOOKUP($A133,订货1!$A133:$F377,6,0)</f>
        <v>箱</v>
      </c>
      <c r="R133" s="167">
        <f t="shared" ref="R133" ca="1" si="19">IF(ROUNDUP(W133-Y133-X133,0)&gt;=0,ROUNDUP((W133-Y133-X133),0),0)</f>
        <v>0</v>
      </c>
      <c r="S133" s="185" t="s">
        <v>837</v>
      </c>
      <c r="T133" s="85">
        <f ca="1">SUMIF(预估营业额3!$B$3:$B$39,"&gt;="&amp;$H$2,预估营业额3!$E$3:$E$39)-SUMIF(预估营业额3!$B$3:$B$39,"&gt;"&amp;N133,预估营业额3!$E$3:$E$39)</f>
        <v>-39.438000000000017</v>
      </c>
      <c r="U133" s="219">
        <v>0</v>
      </c>
      <c r="V133" s="168">
        <v>1</v>
      </c>
      <c r="W133" s="182">
        <f t="shared" ref="W133" ca="1" si="20">T133*U133*V133</f>
        <v>0</v>
      </c>
      <c r="X133" s="214">
        <v>0</v>
      </c>
      <c r="Y133" s="62">
        <f t="shared" ref="Y133" si="21">Z133+AA133</f>
        <v>0</v>
      </c>
      <c r="Z133" s="54"/>
      <c r="AA133" s="54"/>
      <c r="AB133" s="222"/>
      <c r="AC133" s="222"/>
      <c r="AD133" s="222"/>
      <c r="AE133" s="222"/>
      <c r="AF133" s="222"/>
      <c r="AG133" s="222"/>
      <c r="AH133" s="222"/>
      <c r="AI133" s="222"/>
      <c r="AJ133" s="222"/>
      <c r="AK133" s="222"/>
      <c r="AL133" s="222"/>
      <c r="AM133" s="222"/>
      <c r="AN133" s="222"/>
      <c r="AO133" s="222"/>
      <c r="AP133" s="222"/>
      <c r="AQ133" s="222"/>
      <c r="AR133" s="222"/>
      <c r="AS133" s="222"/>
      <c r="AT133" s="222"/>
      <c r="AU133" s="222"/>
      <c r="AV133" s="222"/>
      <c r="AW133" s="222"/>
      <c r="AX133" s="222"/>
      <c r="AY133" s="222"/>
      <c r="AZ133" s="222"/>
      <c r="BA133" s="222"/>
      <c r="BB133" s="278"/>
      <c r="BC133" s="278"/>
      <c r="BD133" s="278"/>
      <c r="BE133" s="222"/>
      <c r="BF133" s="222"/>
      <c r="BG133" s="169" t="str">
        <f>VLOOKUP($A133,订货1!$A133:$I377,9,0)</f>
        <v>由厂商</v>
      </c>
      <c r="BH133" s="47" t="str">
        <f>VLOOKUP($A133,订货1!$A133:$H377,8,0)</f>
        <v>江苏太古可口可乐饮料有限公司</v>
      </c>
    </row>
    <row r="134" spans="1:60" ht="15.75" customHeight="1">
      <c r="A134" s="67">
        <v>700005</v>
      </c>
      <c r="B134" s="68" t="s">
        <v>234</v>
      </c>
      <c r="C134" s="70" t="s">
        <v>175</v>
      </c>
      <c r="D134" s="68"/>
      <c r="E134" s="68" t="s">
        <v>11</v>
      </c>
      <c r="F134" s="68" t="s">
        <v>11</v>
      </c>
      <c r="G134" s="68" t="s">
        <v>129</v>
      </c>
      <c r="H134" s="68" t="s">
        <v>129</v>
      </c>
      <c r="I134" s="71" t="s">
        <v>198</v>
      </c>
      <c r="J134" s="68" t="s">
        <v>623</v>
      </c>
      <c r="K134" s="236">
        <f>VLOOKUP($A134,订货1!$A134:$A377,1,0)</f>
        <v>700005</v>
      </c>
      <c r="L134" s="245" t="str">
        <f>VLOOKUP($A134,订货1!$A134:$G377,7,0)</f>
        <v>江苏太古可口可乐饮料有限公司</v>
      </c>
      <c r="M134" s="237" t="str">
        <f>VLOOKUP($A134,订货1!$A134:$B377,2,0)</f>
        <v>中萃碳酸（仅限南京店用）</v>
      </c>
      <c r="N134" s="171">
        <f t="shared" si="18"/>
        <v>0</v>
      </c>
      <c r="O134" s="49" t="str">
        <f>VLOOKUP($A134,订货1!$A134:$C377,3,0)</f>
        <v>常温</v>
      </c>
      <c r="P134" s="44" t="str">
        <f>VLOOKUP($A134,订货1!$A134:$E377,5,0)</f>
        <v>桶</v>
      </c>
      <c r="Q134" s="49" t="str">
        <f>VLOOKUP($A134,订货1!$A134:$F377,6,0)</f>
        <v>桶</v>
      </c>
      <c r="R134" s="167">
        <f t="shared" ca="1" si="15"/>
        <v>0</v>
      </c>
      <c r="S134" s="185" t="s">
        <v>837</v>
      </c>
      <c r="T134" s="85">
        <f ca="1">SUMIF(预估营业额3!$B$3:$B$39,"&gt;="&amp;$H$2,预估营业额3!$E$3:$E$39)-SUMIF(预估营业额3!$B$3:$B$39,"&gt;"&amp;N134,预估营业额3!$E$3:$E$39)</f>
        <v>-39.438000000000017</v>
      </c>
      <c r="U134" s="219">
        <v>0</v>
      </c>
      <c r="V134" s="168">
        <v>1</v>
      </c>
      <c r="W134" s="182">
        <f t="shared" ca="1" si="16"/>
        <v>0</v>
      </c>
      <c r="X134" s="214">
        <v>0</v>
      </c>
      <c r="Y134" s="62">
        <f t="shared" si="17"/>
        <v>0</v>
      </c>
      <c r="Z134" s="54"/>
      <c r="AA134" s="54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222"/>
      <c r="AP134" s="222"/>
      <c r="AQ134" s="222"/>
      <c r="AR134" s="222"/>
      <c r="AS134" s="222"/>
      <c r="AT134" s="222"/>
      <c r="AU134" s="222"/>
      <c r="AV134" s="222"/>
      <c r="AW134" s="222"/>
      <c r="AX134" s="222"/>
      <c r="AY134" s="222"/>
      <c r="AZ134" s="222"/>
      <c r="BA134" s="222"/>
      <c r="BB134" s="222"/>
      <c r="BC134" s="222"/>
      <c r="BD134" s="222"/>
      <c r="BE134" s="222"/>
      <c r="BF134" s="222"/>
      <c r="BG134" s="169" t="str">
        <f>VLOOKUP($A134,订货1!$A134:$I377,9,0)</f>
        <v>由厂商</v>
      </c>
      <c r="BH134" s="47" t="str">
        <f>VLOOKUP($A134,订货1!$A134:$H377,8,0)</f>
        <v>江苏太古可口可乐饮料有限公司</v>
      </c>
    </row>
    <row r="135" spans="1:60" ht="15.75" hidden="1" customHeight="1">
      <c r="A135" s="173">
        <v>101696</v>
      </c>
      <c r="B135" s="172" t="s">
        <v>475</v>
      </c>
      <c r="C135" s="70" t="s">
        <v>174</v>
      </c>
      <c r="D135" s="68"/>
      <c r="E135" s="68" t="s">
        <v>476</v>
      </c>
      <c r="F135" s="68" t="s">
        <v>18</v>
      </c>
      <c r="G135" s="68" t="s">
        <v>417</v>
      </c>
      <c r="H135" s="68" t="s">
        <v>477</v>
      </c>
      <c r="I135" s="71" t="s">
        <v>197</v>
      </c>
      <c r="J135" s="68" t="s">
        <v>624</v>
      </c>
      <c r="K135" s="238">
        <f>VLOOKUP($A135,订货1!$A135:$A378,1,0)</f>
        <v>101696</v>
      </c>
      <c r="L135" s="246" t="str">
        <f>VLOOKUP($A135,订货1!$A135:$G378,7,0)</f>
        <v>熠沣实业（上海）有限公司</v>
      </c>
      <c r="M135" s="239" t="str">
        <f>VLOOKUP($A135,订货1!$A135:$B378,2,0)</f>
        <v>凯达冷冻圆形薯饼</v>
      </c>
      <c r="N135" s="72">
        <f t="shared" ref="N135:N193" si="22">$N$4</f>
        <v>45978</v>
      </c>
      <c r="O135" s="49" t="str">
        <f>VLOOKUP($A135,订货1!$A135:$C378,3,0)</f>
        <v>冷凍</v>
      </c>
      <c r="P135" s="44" t="str">
        <f>VLOOKUP($A135,订货1!$A135:$E378,5,0)</f>
        <v>2kg*5</v>
      </c>
      <c r="Q135" s="49" t="str">
        <f>VLOOKUP($A135,订货1!$A135:$F378,6,0)</f>
        <v>箱</v>
      </c>
      <c r="R135" s="167">
        <f t="shared" ca="1" si="15"/>
        <v>0</v>
      </c>
      <c r="S135" s="185" t="s">
        <v>199</v>
      </c>
      <c r="T135" s="85">
        <f ca="1">SUMIF(预估营业额3!$B$3:$B$39,"&gt;="&amp;$H$2,预估营业额3!$E$3:$E$39)-SUMIF(预估营业额3!$B$3:$B$39,"&gt;"&amp;N135,预估营业额3!$E$3:$E$39)</f>
        <v>0</v>
      </c>
      <c r="U135" s="219">
        <v>0</v>
      </c>
      <c r="V135" s="168">
        <v>1</v>
      </c>
      <c r="W135" s="182">
        <f t="shared" ca="1" si="16"/>
        <v>0</v>
      </c>
      <c r="X135" s="214"/>
      <c r="Y135" s="62">
        <f t="shared" si="17"/>
        <v>0</v>
      </c>
      <c r="Z135" s="54"/>
      <c r="AA135" s="54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222"/>
      <c r="AP135" s="222"/>
      <c r="AQ135" s="222"/>
      <c r="AR135" s="222"/>
      <c r="AS135" s="222"/>
      <c r="AT135" s="222"/>
      <c r="AU135" s="222"/>
      <c r="AV135" s="222"/>
      <c r="AW135" s="222"/>
      <c r="AX135" s="222"/>
      <c r="AY135" s="222"/>
      <c r="AZ135" s="222"/>
      <c r="BA135" s="222"/>
      <c r="BB135" s="222"/>
      <c r="BC135" s="222"/>
      <c r="BD135" s="222"/>
      <c r="BE135" s="222"/>
      <c r="BF135" s="222"/>
      <c r="BG135" s="169" t="str">
        <f>VLOOKUP($A135,订货1!$A135:$I378,9,0)</f>
        <v>由仓库</v>
      </c>
      <c r="BH135" s="47" t="str">
        <f>VLOOKUP($A135,订货1!$A135:$H378,8,0)</f>
        <v>内蒙古薯都凯达食品有限公司</v>
      </c>
    </row>
    <row r="136" spans="1:60" ht="15.75" customHeight="1">
      <c r="A136" s="173">
        <v>101697</v>
      </c>
      <c r="B136" s="172" t="s">
        <v>478</v>
      </c>
      <c r="C136" s="70" t="s">
        <v>174</v>
      </c>
      <c r="D136" s="68"/>
      <c r="E136" s="68" t="s">
        <v>479</v>
      </c>
      <c r="F136" s="68" t="s">
        <v>18</v>
      </c>
      <c r="G136" s="68" t="s">
        <v>128</v>
      </c>
      <c r="H136" s="68" t="s">
        <v>497</v>
      </c>
      <c r="I136" s="71" t="s">
        <v>197</v>
      </c>
      <c r="J136" s="68" t="s">
        <v>625</v>
      </c>
      <c r="K136" s="234">
        <f>VLOOKUP($A136,订货1!$A136:$A379,1,0)</f>
        <v>101697</v>
      </c>
      <c r="L136" s="244" t="str">
        <f>VLOOKUP($A136,订货1!$A136:$G379,7,0)</f>
        <v>浙江大菱海洋食品有限公司</v>
      </c>
      <c r="M136" s="235" t="str">
        <f>VLOOKUP($A136,订货1!$A136:$B379,2,0)</f>
        <v>半壳贻贝</v>
      </c>
      <c r="N136" s="72">
        <f t="shared" si="22"/>
        <v>45978</v>
      </c>
      <c r="O136" s="49" t="str">
        <f>VLOOKUP($A136,订货1!$A136:$C379,3,0)</f>
        <v>冷凍</v>
      </c>
      <c r="P136" s="44" t="str">
        <f>VLOOKUP($A136,订货1!$A136:$E379,5,0)</f>
        <v>0.5kg*20pkt</v>
      </c>
      <c r="Q136" s="49" t="str">
        <f>VLOOKUP($A136,订货1!$A136:$F379,6,0)</f>
        <v>箱</v>
      </c>
      <c r="R136" s="167">
        <f t="shared" ca="1" si="15"/>
        <v>0</v>
      </c>
      <c r="S136" s="228" t="s">
        <v>199</v>
      </c>
      <c r="T136" s="85">
        <f ca="1">SUMIF(预估营业额3!$B$3:$B$39,"&gt;="&amp;$H$2,预估营业额3!$E$3:$E$39)-SUMIF(预估营业额3!$B$3:$B$39,"&gt;"&amp;N136,预估营业额3!$E$3:$E$39)</f>
        <v>0</v>
      </c>
      <c r="U136" s="219">
        <v>6.5000000000000002E-2</v>
      </c>
      <c r="V136" s="168">
        <v>1</v>
      </c>
      <c r="W136" s="182">
        <f t="shared" ca="1" si="16"/>
        <v>0</v>
      </c>
      <c r="X136" s="214">
        <v>0.5</v>
      </c>
      <c r="Y136" s="62">
        <f t="shared" si="17"/>
        <v>0</v>
      </c>
      <c r="Z136" s="54"/>
      <c r="AA136" s="54"/>
      <c r="AB136" s="222"/>
      <c r="AC136" s="222">
        <v>1</v>
      </c>
      <c r="AD136" s="222"/>
      <c r="AE136" s="222"/>
      <c r="AF136" s="222"/>
      <c r="AG136" s="222"/>
      <c r="AH136" s="222"/>
      <c r="AI136" s="222">
        <v>1</v>
      </c>
      <c r="AJ136" s="222"/>
      <c r="AK136" s="222"/>
      <c r="AL136" s="222"/>
      <c r="AM136" s="222"/>
      <c r="AN136" s="222"/>
      <c r="AO136" s="222">
        <v>1</v>
      </c>
      <c r="AP136" s="222"/>
      <c r="AQ136" s="222"/>
      <c r="AR136" s="222"/>
      <c r="AS136" s="222"/>
      <c r="AT136" s="222"/>
      <c r="AU136" s="222"/>
      <c r="AV136" s="222"/>
      <c r="AW136" s="222"/>
      <c r="AX136" s="222"/>
      <c r="AY136" s="222"/>
      <c r="AZ136" s="222"/>
      <c r="BA136" s="222"/>
      <c r="BB136" s="222"/>
      <c r="BC136" s="222"/>
      <c r="BD136" s="222"/>
      <c r="BE136" s="222"/>
      <c r="BF136" s="222"/>
      <c r="BG136" s="169" t="str">
        <f>VLOOKUP($A136,订货1!$A136:$I379,9,0)</f>
        <v>由仓库</v>
      </c>
      <c r="BH136" s="47" t="str">
        <f>VLOOKUP($A136,订货1!$A136:$H379,8,0)</f>
        <v>大洋世家（舟山）优品有限公司</v>
      </c>
    </row>
    <row r="137" spans="1:60" ht="15.75" customHeight="1">
      <c r="A137" s="67">
        <v>101149</v>
      </c>
      <c r="B137" s="68" t="s">
        <v>342</v>
      </c>
      <c r="C137" s="69" t="s">
        <v>175</v>
      </c>
      <c r="D137" s="68"/>
      <c r="E137" s="68" t="s">
        <v>750</v>
      </c>
      <c r="F137" s="68" t="s">
        <v>18</v>
      </c>
      <c r="G137" s="68" t="s">
        <v>128</v>
      </c>
      <c r="H137" s="265" t="s">
        <v>497</v>
      </c>
      <c r="I137" s="71" t="s">
        <v>197</v>
      </c>
      <c r="J137" s="68" t="s">
        <v>626</v>
      </c>
      <c r="K137" s="234">
        <f>VLOOKUP($A137,订货1!$A137:$A380,1,0)</f>
        <v>101149</v>
      </c>
      <c r="L137" s="244" t="str">
        <f>VLOOKUP($A137,订货1!$A137:$G380,7,0)</f>
        <v>浙江大菱海洋食品有限公司</v>
      </c>
      <c r="M137" s="235" t="str">
        <f>VLOOKUP($A137,订货1!$A137:$B380,2,0)</f>
        <v>油浸金枪鱼</v>
      </c>
      <c r="N137" s="72">
        <f t="shared" si="22"/>
        <v>45978</v>
      </c>
      <c r="O137" s="49" t="str">
        <f>VLOOKUP($A137,订货1!$A137:$C380,3,0)</f>
        <v>常温</v>
      </c>
      <c r="P137" s="44" t="str">
        <f>VLOOKUP($A137,订货1!$A137:$E380,5,0)</f>
        <v>1kg*12</v>
      </c>
      <c r="Q137" s="49" t="str">
        <f>VLOOKUP($A137,订货1!$A137:$F380,6,0)</f>
        <v>箱</v>
      </c>
      <c r="R137" s="167">
        <f t="shared" ca="1" si="15"/>
        <v>0</v>
      </c>
      <c r="S137" s="185" t="s">
        <v>834</v>
      </c>
      <c r="T137" s="85">
        <f ca="1">SUMIF(预估营业额3!$B$3:$B$39,"&gt;="&amp;$H$2,预估营业额3!$E$3:$E$39)-SUMIF(预估营业额3!$B$3:$B$39,"&gt;"&amp;N137,预估营业额3!$E$3:$E$39)</f>
        <v>0</v>
      </c>
      <c r="U137" s="219">
        <v>5.5E-2</v>
      </c>
      <c r="V137" s="168">
        <v>1</v>
      </c>
      <c r="W137" s="182">
        <f t="shared" ca="1" si="16"/>
        <v>0</v>
      </c>
      <c r="X137" s="214">
        <v>1</v>
      </c>
      <c r="Y137" s="62">
        <f t="shared" si="17"/>
        <v>0</v>
      </c>
      <c r="Z137" s="54"/>
      <c r="AA137" s="54"/>
      <c r="AB137" s="222"/>
      <c r="AC137" s="222"/>
      <c r="AD137" s="222"/>
      <c r="AE137" s="222"/>
      <c r="AF137" s="222"/>
      <c r="AG137" s="222"/>
      <c r="AH137" s="222">
        <v>1</v>
      </c>
      <c r="AI137" s="222"/>
      <c r="AJ137" s="222"/>
      <c r="AK137" s="222"/>
      <c r="AL137" s="222"/>
      <c r="AM137" s="222"/>
      <c r="AN137" s="222"/>
      <c r="AO137" s="222"/>
      <c r="AP137" s="222"/>
      <c r="AQ137" s="222"/>
      <c r="AR137" s="222"/>
      <c r="AS137" s="222"/>
      <c r="AT137" s="222"/>
      <c r="AU137" s="222"/>
      <c r="AV137" s="222"/>
      <c r="AW137" s="222"/>
      <c r="AX137" s="222"/>
      <c r="AY137" s="222"/>
      <c r="AZ137" s="222"/>
      <c r="BA137" s="222"/>
      <c r="BB137" s="222"/>
      <c r="BC137" s="222"/>
      <c r="BD137" s="222"/>
      <c r="BE137" s="222"/>
      <c r="BF137" s="222"/>
      <c r="BG137" s="169" t="str">
        <f>VLOOKUP($A137,订货1!$A137:$I380,9,0)</f>
        <v>由仓库</v>
      </c>
      <c r="BH137" s="47" t="str">
        <f>VLOOKUP($A137,订货1!$A137:$H380,8,0)</f>
        <v>大洋世家（舟山）优品有限公司</v>
      </c>
    </row>
    <row r="138" spans="1:60" ht="15.75" customHeight="1">
      <c r="A138" s="67">
        <v>101182</v>
      </c>
      <c r="B138" s="68" t="s">
        <v>374</v>
      </c>
      <c r="C138" s="69" t="s">
        <v>175</v>
      </c>
      <c r="D138" s="68"/>
      <c r="E138" s="68" t="s">
        <v>258</v>
      </c>
      <c r="F138" s="68" t="s">
        <v>18</v>
      </c>
      <c r="G138" s="265" t="s">
        <v>769</v>
      </c>
      <c r="H138" s="265" t="s">
        <v>768</v>
      </c>
      <c r="I138" s="71" t="s">
        <v>197</v>
      </c>
      <c r="J138" s="68" t="s">
        <v>627</v>
      </c>
      <c r="K138" s="236">
        <f>VLOOKUP($A138,订货1!$A138:$A381,1,0)</f>
        <v>101182</v>
      </c>
      <c r="L138" s="245" t="str">
        <f>VLOOKUP($A138,订货1!$A138:$G381,7,0)</f>
        <v>上海意文食品科技有限公司</v>
      </c>
      <c r="M138" s="237" t="str">
        <f>VLOOKUP($A138,订货1!$A138:$B381,2,0)</f>
        <v>意文全脂牛奶</v>
      </c>
      <c r="N138" s="72">
        <f t="shared" si="22"/>
        <v>45978</v>
      </c>
      <c r="O138" s="49" t="str">
        <f>VLOOKUP($A138,订货1!$A138:$C381,3,0)</f>
        <v>常温</v>
      </c>
      <c r="P138" s="44" t="str">
        <f>VLOOKUP($A138,订货1!$A138:$E381,5,0)</f>
        <v>1L*12pc</v>
      </c>
      <c r="Q138" s="49" t="str">
        <f>VLOOKUP($A138,订货1!$A138:$F381,6,0)</f>
        <v>箱</v>
      </c>
      <c r="R138" s="167">
        <f t="shared" ca="1" si="15"/>
        <v>0</v>
      </c>
      <c r="S138" s="185" t="s">
        <v>828</v>
      </c>
      <c r="T138" s="85">
        <f ca="1">SUMIF(预估营业额3!$B$3:$B$39,"&gt;="&amp;$H$2,预估营业额3!$E$3:$E$39)-SUMIF(预估营业额3!$B$3:$B$39,"&gt;"&amp;N138,预估营业额3!$E$3:$E$39)</f>
        <v>0</v>
      </c>
      <c r="U138" s="219">
        <v>0</v>
      </c>
      <c r="V138" s="168">
        <v>1</v>
      </c>
      <c r="W138" s="182">
        <f t="shared" ca="1" si="16"/>
        <v>0</v>
      </c>
      <c r="X138" s="214">
        <v>0</v>
      </c>
      <c r="Y138" s="62">
        <f t="shared" si="17"/>
        <v>0</v>
      </c>
      <c r="Z138" s="54"/>
      <c r="AA138" s="54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222"/>
      <c r="AP138" s="222"/>
      <c r="AQ138" s="222"/>
      <c r="AR138" s="222"/>
      <c r="AS138" s="222"/>
      <c r="AT138" s="222"/>
      <c r="AU138" s="222"/>
      <c r="AV138" s="222"/>
      <c r="AW138" s="222"/>
      <c r="AX138" s="222"/>
      <c r="AY138" s="222"/>
      <c r="AZ138" s="222"/>
      <c r="BA138" s="222"/>
      <c r="BB138" s="222"/>
      <c r="BC138" s="222"/>
      <c r="BD138" s="222"/>
      <c r="BE138" s="222"/>
      <c r="BF138" s="222"/>
      <c r="BG138" s="169" t="str">
        <f>VLOOKUP($A138,订货1!$A138:$I381,9,0)</f>
        <v>由仓库</v>
      </c>
      <c r="BH138" s="47" t="str">
        <f>VLOOKUP($A138,订货1!$A138:$H381,8,0)</f>
        <v xml:space="preserve"> Hochwald Foods GmbH</v>
      </c>
    </row>
    <row r="139" spans="1:60" ht="15.75" customHeight="1">
      <c r="A139" s="173">
        <v>101603</v>
      </c>
      <c r="B139" s="172" t="s">
        <v>391</v>
      </c>
      <c r="C139" s="70" t="s">
        <v>175</v>
      </c>
      <c r="D139" s="68"/>
      <c r="E139" s="68" t="s">
        <v>343</v>
      </c>
      <c r="F139" s="68" t="s">
        <v>18</v>
      </c>
      <c r="G139" s="68" t="s">
        <v>344</v>
      </c>
      <c r="H139" s="68" t="s">
        <v>345</v>
      </c>
      <c r="I139" s="71" t="s">
        <v>197</v>
      </c>
      <c r="J139" s="68" t="s">
        <v>628</v>
      </c>
      <c r="K139" s="236">
        <f>VLOOKUP($A139,订货1!$A139:$A382,1,0)</f>
        <v>101603</v>
      </c>
      <c r="L139" s="245" t="str">
        <f>VLOOKUP($A139,订货1!$A139:$G382,7,0)</f>
        <v>川商（大連）貿易有限公司</v>
      </c>
      <c r="M139" s="237" t="str">
        <f>VLOOKUP($A139,订货1!$A139:$B382,2,0)</f>
        <v>格益莎油浸金枪鱼袋包装</v>
      </c>
      <c r="N139" s="72">
        <f t="shared" si="22"/>
        <v>45978</v>
      </c>
      <c r="O139" s="49" t="str">
        <f>VLOOKUP($A139,订货1!$A139:$C382,3,0)</f>
        <v>常温</v>
      </c>
      <c r="P139" s="44" t="str">
        <f>VLOOKUP($A139,订货1!$A139:$E382,5,0)</f>
        <v>1.1kg*12pkt</v>
      </c>
      <c r="Q139" s="49" t="str">
        <f>VLOOKUP($A139,订货1!$A139:$F382,6,0)</f>
        <v>箱</v>
      </c>
      <c r="R139" s="167">
        <f t="shared" ca="1" si="15"/>
        <v>0</v>
      </c>
      <c r="S139" s="185" t="s">
        <v>830</v>
      </c>
      <c r="T139" s="85">
        <f ca="1">SUMIF(预估营业额3!$B$3:$B$39,"&gt;="&amp;$H$2,预估营业额3!$E$3:$E$39)-SUMIF(预估营业额3!$B$3:$B$39,"&gt;"&amp;N139,预估营业额3!$E$3:$E$39)</f>
        <v>0</v>
      </c>
      <c r="U139" s="219">
        <v>0</v>
      </c>
      <c r="V139" s="168">
        <v>1</v>
      </c>
      <c r="W139" s="182">
        <f t="shared" ca="1" si="16"/>
        <v>0</v>
      </c>
      <c r="X139" s="214">
        <v>0</v>
      </c>
      <c r="Y139" s="62">
        <f t="shared" si="17"/>
        <v>0</v>
      </c>
      <c r="Z139" s="54"/>
      <c r="AA139" s="54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222"/>
      <c r="AP139" s="222"/>
      <c r="AQ139" s="222"/>
      <c r="AR139" s="222"/>
      <c r="AS139" s="222"/>
      <c r="AT139" s="222"/>
      <c r="AU139" s="222"/>
      <c r="AV139" s="222"/>
      <c r="AW139" s="222"/>
      <c r="AX139" s="222"/>
      <c r="AY139" s="222"/>
      <c r="AZ139" s="222"/>
      <c r="BA139" s="222"/>
      <c r="BB139" s="222"/>
      <c r="BC139" s="222"/>
      <c r="BD139" s="222"/>
      <c r="BE139" s="222"/>
      <c r="BF139" s="222"/>
      <c r="BG139" s="169" t="str">
        <f>VLOOKUP($A139,订货1!$A139:$I382,9,0)</f>
        <v>由仓库</v>
      </c>
      <c r="BH139" s="47" t="str">
        <f>VLOOKUP($A139,订货1!$A139:$H382,8,0)</f>
        <v>栄成嘉源食品有限公司</v>
      </c>
    </row>
    <row r="140" spans="1:60" ht="15.75" hidden="1" customHeight="1">
      <c r="A140" s="248">
        <v>101733</v>
      </c>
      <c r="B140" s="249" t="s">
        <v>567</v>
      </c>
      <c r="C140" s="69" t="s">
        <v>174</v>
      </c>
      <c r="D140" s="68"/>
      <c r="E140" s="68" t="s">
        <v>136</v>
      </c>
      <c r="F140" s="68" t="s">
        <v>18</v>
      </c>
      <c r="G140" s="68" t="s">
        <v>107</v>
      </c>
      <c r="H140" s="68" t="s">
        <v>512</v>
      </c>
      <c r="I140" s="71" t="s">
        <v>197</v>
      </c>
      <c r="J140" s="68" t="s">
        <v>629</v>
      </c>
      <c r="K140" s="234">
        <f>VLOOKUP($A140,订货1!$A140:$A383,1,0)</f>
        <v>101733</v>
      </c>
      <c r="L140" s="244" t="str">
        <f>VLOOKUP($A140,订货1!$A140:$G383,7,0)</f>
        <v>福建圣农食品有限公司</v>
      </c>
      <c r="M140" s="235" t="str">
        <f>VLOOKUP($A140,订货1!$A140:$B383,2,0)</f>
        <v>香酥鸡柳</v>
      </c>
      <c r="N140" s="72">
        <f t="shared" si="22"/>
        <v>45978</v>
      </c>
      <c r="O140" s="49" t="str">
        <f>VLOOKUP($A140,订货1!$A140:$C383,3,0)</f>
        <v>冷凍</v>
      </c>
      <c r="P140" s="44" t="str">
        <f>VLOOKUP($A140,订货1!$A140:$E383,5,0)</f>
        <v>1kg*10pc</v>
      </c>
      <c r="Q140" s="49" t="str">
        <f>VLOOKUP($A140,订货1!$A140:$F383,6,0)</f>
        <v>箱</v>
      </c>
      <c r="R140" s="167">
        <f t="shared" ca="1" si="15"/>
        <v>0</v>
      </c>
      <c r="S140" s="185" t="s">
        <v>760</v>
      </c>
      <c r="T140" s="85">
        <f ca="1">SUMIF(预估营业额3!$B$3:$B$39,"&gt;="&amp;$H$2,预估营业额3!$E$3:$E$39)-SUMIF(预估营业额3!$B$3:$B$39,"&gt;"&amp;N140,预估营业额3!$E$3:$E$39)</f>
        <v>0</v>
      </c>
      <c r="U140" s="219">
        <v>0</v>
      </c>
      <c r="V140" s="168">
        <v>1.1000000000000001</v>
      </c>
      <c r="W140" s="182">
        <f t="shared" ca="1" si="16"/>
        <v>0</v>
      </c>
      <c r="X140" s="214">
        <v>0</v>
      </c>
      <c r="Y140" s="62">
        <f t="shared" si="17"/>
        <v>0</v>
      </c>
      <c r="Z140" s="54"/>
      <c r="AA140" s="54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222"/>
      <c r="AP140" s="222"/>
      <c r="AQ140" s="222"/>
      <c r="AR140" s="222"/>
      <c r="AS140" s="222"/>
      <c r="AT140" s="222"/>
      <c r="AU140" s="222"/>
      <c r="AV140" s="222"/>
      <c r="AW140" s="222"/>
      <c r="AX140" s="222"/>
      <c r="AY140" s="222"/>
      <c r="AZ140" s="222"/>
      <c r="BA140" s="222"/>
      <c r="BB140" s="222"/>
      <c r="BC140" s="222"/>
      <c r="BD140" s="222"/>
      <c r="BE140" s="222"/>
      <c r="BF140" s="222"/>
      <c r="BG140" s="169" t="str">
        <f>VLOOKUP($A140,订货1!$A140:$I383,9,0)</f>
        <v>由仓库</v>
      </c>
      <c r="BH140" s="47" t="str">
        <f>VLOOKUP($A140,订货1!$A140:$H383,8,0)</f>
        <v>福建圣农食品（浦城）有限公司</v>
      </c>
    </row>
    <row r="141" spans="1:60" ht="15.75" hidden="1" customHeight="1">
      <c r="A141" s="248">
        <v>101735</v>
      </c>
      <c r="B141" s="249" t="s">
        <v>568</v>
      </c>
      <c r="C141" s="69" t="s">
        <v>174</v>
      </c>
      <c r="D141" s="68"/>
      <c r="E141" s="68" t="s">
        <v>256</v>
      </c>
      <c r="F141" s="68" t="s">
        <v>18</v>
      </c>
      <c r="G141" s="68" t="s">
        <v>107</v>
      </c>
      <c r="H141" s="68" t="s">
        <v>512</v>
      </c>
      <c r="I141" s="71" t="s">
        <v>197</v>
      </c>
      <c r="J141" s="68" t="s">
        <v>630</v>
      </c>
      <c r="K141" s="250">
        <f>VLOOKUP($A141,订货1!$A141:$A384,1,0)</f>
        <v>101735</v>
      </c>
      <c r="L141" s="251" t="str">
        <f>VLOOKUP($A141,订货1!$A141:$G384,7,0)</f>
        <v>福建圣农食品有限公司</v>
      </c>
      <c r="M141" s="252" t="str">
        <f>VLOOKUP($A141,订货1!$A141:$B384,2,0)</f>
        <v>香酥翅中</v>
      </c>
      <c r="N141" s="72">
        <f t="shared" si="22"/>
        <v>45978</v>
      </c>
      <c r="O141" s="49" t="str">
        <f>VLOOKUP($A141,订货1!$A141:$C384,3,0)</f>
        <v>冷凍</v>
      </c>
      <c r="P141" s="44" t="str">
        <f>VLOOKUP($A141,订货1!$A141:$E384,5,0)</f>
        <v>1kg*12pc</v>
      </c>
      <c r="Q141" s="49" t="str">
        <f>VLOOKUP($A141,订货1!$A141:$F384,6,0)</f>
        <v>箱</v>
      </c>
      <c r="R141" s="167">
        <f t="shared" ca="1" si="15"/>
        <v>0</v>
      </c>
      <c r="S141" s="260" t="s">
        <v>207</v>
      </c>
      <c r="T141" s="85">
        <f ca="1">SUMIF(预估营业额3!$B$3:$B$39,"&gt;="&amp;$H$2,预估营业额3!$E$3:$E$39)-SUMIF(预估营业额3!$B$3:$B$39,"&gt;"&amp;N141,预估营业额3!$E$3:$E$39)</f>
        <v>0</v>
      </c>
      <c r="U141" s="219">
        <v>0</v>
      </c>
      <c r="V141" s="168">
        <v>1.1000000000000001</v>
      </c>
      <c r="W141" s="182">
        <f t="shared" ca="1" si="16"/>
        <v>0</v>
      </c>
      <c r="X141" s="214"/>
      <c r="Y141" s="62">
        <f t="shared" si="17"/>
        <v>0</v>
      </c>
      <c r="Z141" s="54"/>
      <c r="AA141" s="54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222"/>
      <c r="AP141" s="222"/>
      <c r="AQ141" s="222"/>
      <c r="AR141" s="222"/>
      <c r="AS141" s="222"/>
      <c r="AT141" s="222"/>
      <c r="AU141" s="222"/>
      <c r="AV141" s="222"/>
      <c r="AW141" s="222"/>
      <c r="AX141" s="222"/>
      <c r="AY141" s="222"/>
      <c r="AZ141" s="222"/>
      <c r="BA141" s="222"/>
      <c r="BB141" s="222"/>
      <c r="BC141" s="222"/>
      <c r="BD141" s="222"/>
      <c r="BE141" s="222"/>
      <c r="BF141" s="222"/>
      <c r="BG141" s="169" t="str">
        <f>VLOOKUP($A141,订货1!$A141:$I384,9,0)</f>
        <v>由仓库</v>
      </c>
      <c r="BH141" s="47" t="str">
        <f>VLOOKUP($A141,订货1!$A141:$H384,8,0)</f>
        <v>福建圣农食品（浦城）有限公司</v>
      </c>
    </row>
    <row r="142" spans="1:60" ht="15.75" hidden="1" customHeight="1">
      <c r="A142" s="67">
        <v>101706</v>
      </c>
      <c r="B142" s="68" t="s">
        <v>515</v>
      </c>
      <c r="C142" s="70" t="s">
        <v>176</v>
      </c>
      <c r="D142" s="68"/>
      <c r="E142" s="68" t="s">
        <v>516</v>
      </c>
      <c r="F142" s="68" t="s">
        <v>517</v>
      </c>
      <c r="G142" s="68" t="s">
        <v>518</v>
      </c>
      <c r="H142" s="68" t="s">
        <v>518</v>
      </c>
      <c r="I142" s="71" t="s">
        <v>197</v>
      </c>
      <c r="J142" s="68" t="s">
        <v>631</v>
      </c>
      <c r="K142" s="234">
        <f>VLOOKUP($A142,订货1!$A142:$A385,1,0)</f>
        <v>101706</v>
      </c>
      <c r="L142" s="244" t="str">
        <f>VLOOKUP($A142,订货1!$A142:$G385,7,0)</f>
        <v>马鞍山百瑞食品有限公司</v>
      </c>
      <c r="M142" s="235" t="str">
        <f>VLOOKUP($A142,订货1!$A142:$B385,2,0)</f>
        <v>意式风干火腿</v>
      </c>
      <c r="N142" s="72">
        <f t="shared" si="22"/>
        <v>45978</v>
      </c>
      <c r="O142" s="49" t="str">
        <f>VLOOKUP($A142,订货1!$A142:$C385,3,0)</f>
        <v>冷蔵</v>
      </c>
      <c r="P142" s="44" t="str">
        <f>VLOOKUP($A142,订货1!$A142:$E385,5,0)</f>
        <v>0.04kg</v>
      </c>
      <c r="Q142" s="49" t="str">
        <f>VLOOKUP($A142,订货1!$A142:$F385,6,0)</f>
        <v>包</v>
      </c>
      <c r="R142" s="167">
        <f t="shared" ca="1" si="15"/>
        <v>0</v>
      </c>
      <c r="S142" s="105" t="s">
        <v>199</v>
      </c>
      <c r="T142" s="85">
        <f ca="1">SUMIF(预估营业额3!$B$3:$B$39,"&gt;="&amp;$H$2,预估营业额3!$E$3:$E$39)-SUMIF(预估营业额3!$B$3:$B$39,"&gt;"&amp;N142,预估营业额3!$E$3:$E$39)</f>
        <v>0</v>
      </c>
      <c r="U142" s="219">
        <v>0</v>
      </c>
      <c r="V142" s="168">
        <v>1.1000000000000001</v>
      </c>
      <c r="W142" s="182">
        <f t="shared" ca="1" si="16"/>
        <v>0</v>
      </c>
      <c r="X142" s="214"/>
      <c r="Y142" s="62">
        <f t="shared" si="17"/>
        <v>0</v>
      </c>
      <c r="Z142" s="54"/>
      <c r="AA142" s="54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222"/>
      <c r="AP142" s="222"/>
      <c r="AQ142" s="222"/>
      <c r="AR142" s="222"/>
      <c r="AS142" s="222"/>
      <c r="AT142" s="222"/>
      <c r="AU142" s="222"/>
      <c r="AV142" s="222"/>
      <c r="AW142" s="222"/>
      <c r="AX142" s="222"/>
      <c r="AY142" s="222"/>
      <c r="AZ142" s="222"/>
      <c r="BA142" s="222"/>
      <c r="BB142" s="222"/>
      <c r="BC142" s="222"/>
      <c r="BD142" s="222"/>
      <c r="BE142" s="222"/>
      <c r="BF142" s="222"/>
      <c r="BG142" s="169" t="str">
        <f>VLOOKUP($A142,订货1!$A142:$I385,9,0)</f>
        <v>由仓库</v>
      </c>
      <c r="BH142" s="47" t="str">
        <f>VLOOKUP($A142,订货1!$A142:$H385,8,0)</f>
        <v>马鞍山百瑞食品有限公司</v>
      </c>
    </row>
    <row r="143" spans="1:60" ht="15.75" customHeight="1">
      <c r="A143" s="173">
        <v>101608</v>
      </c>
      <c r="B143" s="172" t="s">
        <v>350</v>
      </c>
      <c r="C143" s="69" t="s">
        <v>174</v>
      </c>
      <c r="D143" s="68"/>
      <c r="E143" s="68" t="s">
        <v>267</v>
      </c>
      <c r="F143" s="68" t="s">
        <v>18</v>
      </c>
      <c r="G143" s="68" t="s">
        <v>99</v>
      </c>
      <c r="H143" s="68" t="s">
        <v>99</v>
      </c>
      <c r="I143" s="71" t="s">
        <v>197</v>
      </c>
      <c r="J143" s="68" t="s">
        <v>632</v>
      </c>
      <c r="K143" s="234">
        <f>VLOOKUP($A143,订货1!$A143:$A386,1,0)</f>
        <v>101608</v>
      </c>
      <c r="L143" s="244" t="str">
        <f>VLOOKUP($A143,订货1!$A143:$G386,7,0)</f>
        <v>青岛国辉食品有限公司</v>
      </c>
      <c r="M143" s="235" t="str">
        <f>VLOOKUP($A143,订货1!$A143:$B386,2,0)</f>
        <v>西冷牛排切片SA（新）</v>
      </c>
      <c r="N143" s="72">
        <f t="shared" si="22"/>
        <v>45978</v>
      </c>
      <c r="O143" s="49" t="str">
        <f>VLOOKUP($A143,订货1!$A143:$C386,3,0)</f>
        <v>冷凍</v>
      </c>
      <c r="P143" s="44" t="str">
        <f>VLOOKUP($A143,订货1!$A143:$E386,5,0)</f>
        <v>0.15kg*100pc</v>
      </c>
      <c r="Q143" s="49" t="str">
        <f>VLOOKUP($A143,订货1!$A143:$F386,6,0)</f>
        <v>箱</v>
      </c>
      <c r="R143" s="167">
        <f t="shared" ca="1" si="15"/>
        <v>0</v>
      </c>
      <c r="S143" s="105" t="s">
        <v>199</v>
      </c>
      <c r="T143" s="85">
        <f ca="1">SUMIF(预估营业额3!$B$3:$B$39,"&gt;="&amp;$H$2,预估营业额3!$E$3:$E$39)-SUMIF(预估营业额3!$B$3:$B$39,"&gt;"&amp;N143,预估营业额3!$E$3:$E$39)</f>
        <v>0</v>
      </c>
      <c r="U143" s="219">
        <v>0.12119263618445883</v>
      </c>
      <c r="V143" s="168">
        <v>1</v>
      </c>
      <c r="W143" s="182">
        <f t="shared" ca="1" si="16"/>
        <v>0</v>
      </c>
      <c r="X143" s="214">
        <v>0.8</v>
      </c>
      <c r="Y143" s="62">
        <f t="shared" si="17"/>
        <v>1</v>
      </c>
      <c r="Z143" s="54">
        <v>1</v>
      </c>
      <c r="AA143" s="54"/>
      <c r="AB143" s="222"/>
      <c r="AC143" s="222"/>
      <c r="AD143" s="222"/>
      <c r="AE143" s="222">
        <v>1</v>
      </c>
      <c r="AF143" s="222"/>
      <c r="AG143" s="222"/>
      <c r="AH143" s="222"/>
      <c r="AI143" s="222">
        <v>1</v>
      </c>
      <c r="AJ143" s="222"/>
      <c r="AK143" s="222"/>
      <c r="AL143" s="222"/>
      <c r="AM143" s="222">
        <v>1</v>
      </c>
      <c r="AN143" s="222">
        <v>1</v>
      </c>
      <c r="AO143" s="222"/>
      <c r="AP143" s="222"/>
      <c r="AQ143" s="222"/>
      <c r="AR143" s="222"/>
      <c r="AS143" s="222"/>
      <c r="AT143" s="222"/>
      <c r="AU143" s="222"/>
      <c r="AV143" s="222"/>
      <c r="AW143" s="222"/>
      <c r="AX143" s="222"/>
      <c r="AY143" s="222"/>
      <c r="AZ143" s="222"/>
      <c r="BA143" s="222"/>
      <c r="BB143" s="222"/>
      <c r="BC143" s="222"/>
      <c r="BD143" s="222"/>
      <c r="BE143" s="222"/>
      <c r="BF143" s="222"/>
      <c r="BG143" s="169" t="str">
        <f>VLOOKUP($A143,订货1!$A143:$I386,9,0)</f>
        <v>由仓库</v>
      </c>
      <c r="BH143" s="47" t="str">
        <f>VLOOKUP($A143,订货1!$A143:$H386,8,0)</f>
        <v>青岛国辉食品有限公司</v>
      </c>
    </row>
    <row r="144" spans="1:60" ht="15.75" customHeight="1">
      <c r="A144" s="173">
        <v>101638</v>
      </c>
      <c r="B144" s="172" t="s">
        <v>406</v>
      </c>
      <c r="C144" s="70" t="s">
        <v>174</v>
      </c>
      <c r="D144" s="68"/>
      <c r="E144" s="68" t="s">
        <v>256</v>
      </c>
      <c r="F144" s="68" t="s">
        <v>18</v>
      </c>
      <c r="G144" s="68" t="s">
        <v>107</v>
      </c>
      <c r="H144" s="68" t="s">
        <v>512</v>
      </c>
      <c r="I144" s="71" t="s">
        <v>197</v>
      </c>
      <c r="J144" s="68" t="s">
        <v>633</v>
      </c>
      <c r="K144" s="234">
        <f>VLOOKUP($A144,订货1!$A144:$A387,1,0)</f>
        <v>101638</v>
      </c>
      <c r="L144" s="244" t="str">
        <f>VLOOKUP($A144,订货1!$A144:$G387,7,0)</f>
        <v>福建圣农食品有限公司</v>
      </c>
      <c r="M144" s="235" t="str">
        <f>VLOOKUP($A144,订货1!$A144:$B387,2,0)</f>
        <v>新香烤翅中</v>
      </c>
      <c r="N144" s="72">
        <f t="shared" si="22"/>
        <v>45978</v>
      </c>
      <c r="O144" s="49" t="str">
        <f>VLOOKUP($A144,订货1!$A144:$C387,3,0)</f>
        <v>冷凍</v>
      </c>
      <c r="P144" s="44" t="str">
        <f>VLOOKUP($A144,订货1!$A144:$E387,5,0)</f>
        <v>1kg*12pc</v>
      </c>
      <c r="Q144" s="49" t="str">
        <f>VLOOKUP($A144,订货1!$A144:$F387,6,0)</f>
        <v>箱</v>
      </c>
      <c r="R144" s="167">
        <f t="shared" ca="1" si="15"/>
        <v>0</v>
      </c>
      <c r="S144" s="185" t="s">
        <v>834</v>
      </c>
      <c r="T144" s="85">
        <f ca="1">SUMIF(预估营业额3!$B$3:$B$39,"&gt;="&amp;$H$2,预估营业额3!$E$3:$E$39)-SUMIF(预估营业额3!$B$3:$B$39,"&gt;"&amp;N144,预估营业额3!$E$3:$E$39)</f>
        <v>0</v>
      </c>
      <c r="U144" s="219">
        <v>0.24462181467451319</v>
      </c>
      <c r="V144" s="168">
        <v>1.1000000000000001</v>
      </c>
      <c r="W144" s="182">
        <f t="shared" ca="1" si="16"/>
        <v>0</v>
      </c>
      <c r="X144" s="214">
        <v>1.2</v>
      </c>
      <c r="Y144" s="62">
        <f t="shared" si="17"/>
        <v>1</v>
      </c>
      <c r="Z144" s="54">
        <v>1</v>
      </c>
      <c r="AA144" s="54"/>
      <c r="AB144" s="222"/>
      <c r="AC144" s="222">
        <v>1</v>
      </c>
      <c r="AD144" s="222"/>
      <c r="AE144" s="222">
        <v>1</v>
      </c>
      <c r="AF144" s="222"/>
      <c r="AG144" s="222">
        <v>1</v>
      </c>
      <c r="AH144" s="222"/>
      <c r="AI144" s="222">
        <v>1</v>
      </c>
      <c r="AJ144" s="222"/>
      <c r="AK144" s="222"/>
      <c r="AL144" s="222"/>
      <c r="AM144" s="222">
        <v>1</v>
      </c>
      <c r="AN144" s="222">
        <v>1</v>
      </c>
      <c r="AO144" s="222">
        <v>1</v>
      </c>
      <c r="AP144" s="222"/>
      <c r="AQ144" s="222"/>
      <c r="AR144" s="222"/>
      <c r="AS144" s="222"/>
      <c r="AT144" s="222"/>
      <c r="AU144" s="222"/>
      <c r="AV144" s="222"/>
      <c r="AW144" s="222"/>
      <c r="AX144" s="222"/>
      <c r="AY144" s="222"/>
      <c r="AZ144" s="222"/>
      <c r="BA144" s="222"/>
      <c r="BB144" s="222"/>
      <c r="BC144" s="222"/>
      <c r="BD144" s="222"/>
      <c r="BE144" s="222"/>
      <c r="BF144" s="222"/>
      <c r="BG144" s="169" t="str">
        <f>VLOOKUP($A144,订货1!$A144:$I387,9,0)</f>
        <v>由仓库</v>
      </c>
      <c r="BH144" s="47" t="str">
        <f>VLOOKUP($A144,订货1!$A144:$H387,8,0)</f>
        <v>福建圣农食品（浦城）有限公司</v>
      </c>
    </row>
    <row r="145" spans="1:60" ht="15.75" customHeight="1">
      <c r="A145" s="173">
        <v>101610</v>
      </c>
      <c r="B145" s="172" t="s">
        <v>351</v>
      </c>
      <c r="C145" s="70" t="s">
        <v>174</v>
      </c>
      <c r="D145" s="68"/>
      <c r="E145" s="68" t="s">
        <v>348</v>
      </c>
      <c r="F145" s="68" t="s">
        <v>18</v>
      </c>
      <c r="G145" s="68" t="s">
        <v>128</v>
      </c>
      <c r="H145" s="68" t="s">
        <v>497</v>
      </c>
      <c r="I145" s="71" t="s">
        <v>197</v>
      </c>
      <c r="J145" s="68" t="s">
        <v>634</v>
      </c>
      <c r="K145" s="234">
        <f>VLOOKUP($A145,订货1!$A145:$A388,1,0)</f>
        <v>101610</v>
      </c>
      <c r="L145" s="244" t="str">
        <f>VLOOKUP($A145,订货1!$A145:$G388,7,0)</f>
        <v>浙江大菱海洋食品有限公司</v>
      </c>
      <c r="M145" s="235" t="str">
        <f>VLOOKUP($A145,订货1!$A145:$B388,2,0)</f>
        <v>熟虾尾（新）</v>
      </c>
      <c r="N145" s="72">
        <f t="shared" si="22"/>
        <v>45978</v>
      </c>
      <c r="O145" s="49" t="str">
        <f>VLOOKUP($A145,订货1!$A145:$C388,3,0)</f>
        <v>冷凍</v>
      </c>
      <c r="P145" s="44" t="str">
        <f>VLOOKUP($A145,订货1!$A145:$E388,5,0)</f>
        <v>1kg*10pkt</v>
      </c>
      <c r="Q145" s="49" t="str">
        <f>VLOOKUP($A145,订货1!$A145:$F388,6,0)</f>
        <v>箱</v>
      </c>
      <c r="R145" s="167">
        <f t="shared" ca="1" si="15"/>
        <v>0</v>
      </c>
      <c r="S145" s="105" t="s">
        <v>199</v>
      </c>
      <c r="T145" s="85">
        <f ca="1">SUMIF(预估营业额3!$B$3:$B$39,"&gt;="&amp;$H$2,预估营业额3!$E$3:$E$39)-SUMIF(预估营业额3!$B$3:$B$39,"&gt;"&amp;N145,预估营业额3!$E$3:$E$39)</f>
        <v>0</v>
      </c>
      <c r="U145" s="219">
        <v>2.3763261996952712E-2</v>
      </c>
      <c r="V145" s="168">
        <v>1</v>
      </c>
      <c r="W145" s="182">
        <f t="shared" ca="1" si="16"/>
        <v>0</v>
      </c>
      <c r="X145" s="214">
        <v>0.8</v>
      </c>
      <c r="Y145" s="62">
        <f t="shared" si="17"/>
        <v>0</v>
      </c>
      <c r="Z145" s="54"/>
      <c r="AA145" s="54"/>
      <c r="AB145" s="222"/>
      <c r="AC145" s="222"/>
      <c r="AD145" s="222"/>
      <c r="AE145" s="222"/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222"/>
      <c r="AP145" s="222"/>
      <c r="AQ145" s="222"/>
      <c r="AR145" s="222"/>
      <c r="AS145" s="222"/>
      <c r="AT145" s="222"/>
      <c r="AU145" s="222"/>
      <c r="AV145" s="222"/>
      <c r="AW145" s="222"/>
      <c r="AX145" s="222"/>
      <c r="AY145" s="222"/>
      <c r="AZ145" s="222"/>
      <c r="BA145" s="222"/>
      <c r="BB145" s="222"/>
      <c r="BC145" s="222"/>
      <c r="BD145" s="222"/>
      <c r="BE145" s="222"/>
      <c r="BF145" s="222"/>
      <c r="BG145" s="169" t="str">
        <f>VLOOKUP($A145,订货1!$A145:$I388,9,0)</f>
        <v>由仓库</v>
      </c>
      <c r="BH145" s="47" t="str">
        <f>VLOOKUP($A145,订货1!$A145:$H388,8,0)</f>
        <v>大洋世家（舟山）优品有限公司</v>
      </c>
    </row>
    <row r="146" spans="1:60" ht="15.75" customHeight="1">
      <c r="A146" s="300">
        <v>101776</v>
      </c>
      <c r="B146" s="301" t="s">
        <v>857</v>
      </c>
      <c r="C146" s="303" t="s">
        <v>174</v>
      </c>
      <c r="D146" s="301"/>
      <c r="E146" s="301" t="s">
        <v>855</v>
      </c>
      <c r="F146" s="301" t="s">
        <v>18</v>
      </c>
      <c r="G146" s="301" t="s">
        <v>446</v>
      </c>
      <c r="H146" s="301" t="s">
        <v>446</v>
      </c>
      <c r="I146" s="71" t="s">
        <v>197</v>
      </c>
      <c r="J146" s="68" t="s">
        <v>635</v>
      </c>
      <c r="K146" s="270">
        <f>VLOOKUP($A146,订货1!$A146:$A389,1,0)</f>
        <v>101776</v>
      </c>
      <c r="L146" s="271" t="str">
        <f>VLOOKUP($A146,订货1!$A146:$G389,7,0)</f>
        <v>山東三涛食品有限公司</v>
      </c>
      <c r="M146" s="272" t="str">
        <f>VLOOKUP($A146,订货1!$A146:$B389,2,0)</f>
        <v>速冻玉米粒（实验）</v>
      </c>
      <c r="N146" s="297">
        <f t="shared" si="22"/>
        <v>45978</v>
      </c>
      <c r="O146" s="280" t="str">
        <f>VLOOKUP($A146,订货1!$A146:$C389,3,0)</f>
        <v>冷凍</v>
      </c>
      <c r="P146" s="279" t="str">
        <f>VLOOKUP($A146,订货1!$A146:$E389,5,0)</f>
        <v>3KG×4 袋</v>
      </c>
      <c r="Q146" s="49" t="str">
        <f>VLOOKUP($A146,订货1!$A146:$F389,6,0)</f>
        <v>箱</v>
      </c>
      <c r="R146" s="167">
        <f t="shared" ca="1" si="15"/>
        <v>0</v>
      </c>
      <c r="S146" s="262" t="s">
        <v>865</v>
      </c>
      <c r="T146" s="85">
        <f ca="1">SUMIF(预估营业额3!$B$3:$B$39,"&gt;="&amp;$H$2,预估营业额3!$E$3:$E$39)-SUMIF(预估营业额3!$B$3:$B$39,"&gt;"&amp;N146,预估营业额3!$E$3:$E$39)</f>
        <v>0</v>
      </c>
      <c r="U146" s="219">
        <v>0</v>
      </c>
      <c r="V146" s="168">
        <v>1</v>
      </c>
      <c r="W146" s="182">
        <f t="shared" ca="1" si="16"/>
        <v>0</v>
      </c>
      <c r="X146" s="214">
        <v>0</v>
      </c>
      <c r="Y146" s="62">
        <f t="shared" si="17"/>
        <v>0</v>
      </c>
      <c r="Z146" s="54"/>
      <c r="AA146" s="54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222"/>
      <c r="AP146" s="222"/>
      <c r="AQ146" s="222"/>
      <c r="AR146" s="222"/>
      <c r="AS146" s="222"/>
      <c r="AT146" s="222"/>
      <c r="AU146" s="222"/>
      <c r="AV146" s="222"/>
      <c r="AW146" s="222"/>
      <c r="AX146" s="222"/>
      <c r="AY146" s="222"/>
      <c r="AZ146" s="222"/>
      <c r="BA146" s="222"/>
      <c r="BB146" s="222"/>
      <c r="BC146" s="222"/>
      <c r="BD146" s="222"/>
      <c r="BE146" s="222"/>
      <c r="BF146" s="222"/>
      <c r="BG146" s="169" t="str">
        <f>VLOOKUP($A146,订货1!$A146:$I389,9,0)</f>
        <v>由仓库</v>
      </c>
      <c r="BH146" s="47" t="str">
        <f>VLOOKUP($A146,订货1!$A146:$H389,8,0)</f>
        <v>山東三涛食品有限公司</v>
      </c>
    </row>
    <row r="147" spans="1:60" ht="15.75" customHeight="1">
      <c r="A147" s="67">
        <v>101031</v>
      </c>
      <c r="B147" s="68" t="s">
        <v>145</v>
      </c>
      <c r="C147" s="69" t="s">
        <v>175</v>
      </c>
      <c r="D147" s="68"/>
      <c r="E147" s="68" t="s">
        <v>260</v>
      </c>
      <c r="F147" s="68" t="s">
        <v>18</v>
      </c>
      <c r="G147" s="68" t="s">
        <v>496</v>
      </c>
      <c r="H147" s="68" t="s">
        <v>496</v>
      </c>
      <c r="I147" s="71" t="s">
        <v>197</v>
      </c>
      <c r="J147" s="68" t="s">
        <v>636</v>
      </c>
      <c r="K147" s="234">
        <f>VLOOKUP($A147,订货1!$A147:$A390,1,0)</f>
        <v>101031</v>
      </c>
      <c r="L147" s="244" t="str">
        <f>VLOOKUP($A147,订货1!$A147:$G390,7,0)</f>
        <v>卓典食品科技（江苏）有限公司</v>
      </c>
      <c r="M147" s="235" t="str">
        <f>VLOOKUP($A147,订货1!$A147:$B390,2,0)</f>
        <v>原汤粉（YT）</v>
      </c>
      <c r="N147" s="72">
        <f t="shared" si="22"/>
        <v>45978</v>
      </c>
      <c r="O147" s="49" t="str">
        <f>VLOOKUP($A147,订货1!$A147:$C390,3,0)</f>
        <v>常温</v>
      </c>
      <c r="P147" s="44" t="str">
        <f>VLOOKUP($A147,订货1!$A147:$E390,5,0)</f>
        <v>203.4g*5小包*20</v>
      </c>
      <c r="Q147" s="49" t="str">
        <f>VLOOKUP($A147,订货1!$A147:$F390,6,0)</f>
        <v>箱</v>
      </c>
      <c r="R147" s="167">
        <f t="shared" ca="1" si="15"/>
        <v>0</v>
      </c>
      <c r="S147" s="105" t="s">
        <v>199</v>
      </c>
      <c r="T147" s="85">
        <f ca="1">SUMIF(预估营业额3!$B$3:$B$39,"&gt;="&amp;$H$2,预估营业额3!$E$3:$E$39)-SUMIF(预估营业额3!$B$3:$B$39,"&gt;"&amp;N147,预估营业额3!$E$3:$E$39)</f>
        <v>0</v>
      </c>
      <c r="U147" s="219">
        <v>1.7612770656564948E-2</v>
      </c>
      <c r="V147" s="168">
        <v>1</v>
      </c>
      <c r="W147" s="182">
        <f t="shared" ca="1" si="16"/>
        <v>0</v>
      </c>
      <c r="X147" s="214">
        <v>0.5</v>
      </c>
      <c r="Y147" s="62">
        <f t="shared" si="17"/>
        <v>0</v>
      </c>
      <c r="Z147" s="54"/>
      <c r="AA147" s="54"/>
      <c r="AB147" s="222">
        <v>1</v>
      </c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222"/>
      <c r="AP147" s="222"/>
      <c r="AQ147" s="222"/>
      <c r="AR147" s="222"/>
      <c r="AS147" s="222"/>
      <c r="AT147" s="222"/>
      <c r="AU147" s="222"/>
      <c r="AV147" s="222"/>
      <c r="AW147" s="222"/>
      <c r="AX147" s="222"/>
      <c r="AY147" s="222"/>
      <c r="AZ147" s="222"/>
      <c r="BA147" s="222"/>
      <c r="BB147" s="222"/>
      <c r="BC147" s="222"/>
      <c r="BD147" s="222"/>
      <c r="BE147" s="222"/>
      <c r="BF147" s="222"/>
      <c r="BG147" s="169" t="str">
        <f>VLOOKUP($A147,订货1!$A147:$I390,9,0)</f>
        <v>由仓库</v>
      </c>
      <c r="BH147" s="47" t="str">
        <f>VLOOKUP($A147,订货1!$A147:$H390,8,0)</f>
        <v>卓典食品科技（江苏）有限公司</v>
      </c>
    </row>
    <row r="148" spans="1:60" ht="15.75" customHeight="1">
      <c r="A148" s="67">
        <v>101034</v>
      </c>
      <c r="B148" s="68" t="s">
        <v>153</v>
      </c>
      <c r="C148" s="69" t="s">
        <v>175</v>
      </c>
      <c r="D148" s="68"/>
      <c r="E148" s="68" t="s">
        <v>178</v>
      </c>
      <c r="F148" s="68" t="s">
        <v>15</v>
      </c>
      <c r="G148" s="68" t="s">
        <v>496</v>
      </c>
      <c r="H148" s="68" t="s">
        <v>496</v>
      </c>
      <c r="I148" s="71" t="s">
        <v>197</v>
      </c>
      <c r="J148" s="68" t="s">
        <v>637</v>
      </c>
      <c r="K148" s="234">
        <f>VLOOKUP($A148,订货1!$A148:$A391,1,0)</f>
        <v>101034</v>
      </c>
      <c r="L148" s="244" t="str">
        <f>VLOOKUP($A148,订货1!$A148:$G391,7,0)</f>
        <v>卓典食品科技（江苏）有限公司</v>
      </c>
      <c r="M148" s="235" t="str">
        <f>VLOOKUP($A148,订货1!$A148:$B391,2,0)</f>
        <v>牛排粉NPF</v>
      </c>
      <c r="N148" s="72">
        <f t="shared" si="22"/>
        <v>45978</v>
      </c>
      <c r="O148" s="49" t="str">
        <f>VLOOKUP($A148,订货1!$A148:$C391,3,0)</f>
        <v>常温</v>
      </c>
      <c r="P148" s="44" t="str">
        <f>VLOOKUP($A148,订货1!$A148:$E391,5,0)</f>
        <v>1kg</v>
      </c>
      <c r="Q148" s="49" t="str">
        <f>VLOOKUP($A148,订货1!$A148:$F391,6,0)</f>
        <v>袋</v>
      </c>
      <c r="R148" s="167">
        <f t="shared" ca="1" si="15"/>
        <v>0</v>
      </c>
      <c r="S148" s="105" t="s">
        <v>199</v>
      </c>
      <c r="T148" s="85">
        <f ca="1">SUMIF(预估营业额3!$B$3:$B$39,"&gt;="&amp;$H$2,预估营业额3!$E$3:$E$39)-SUMIF(预估营业额3!$B$3:$B$39,"&gt;"&amp;N148,预估营业额3!$E$3:$E$39)</f>
        <v>0</v>
      </c>
      <c r="U148" s="219">
        <v>0.16913851186066339</v>
      </c>
      <c r="V148" s="168">
        <v>1</v>
      </c>
      <c r="W148" s="182">
        <f t="shared" ca="1" si="16"/>
        <v>0</v>
      </c>
      <c r="X148" s="214">
        <v>1</v>
      </c>
      <c r="Y148" s="62">
        <f t="shared" si="17"/>
        <v>0</v>
      </c>
      <c r="Z148" s="54"/>
      <c r="AA148" s="54"/>
      <c r="AB148" s="222"/>
      <c r="AC148" s="222">
        <v>1</v>
      </c>
      <c r="AD148" s="222"/>
      <c r="AE148" s="222"/>
      <c r="AF148" s="222">
        <v>1</v>
      </c>
      <c r="AG148" s="222"/>
      <c r="AH148" s="222">
        <v>1</v>
      </c>
      <c r="AI148" s="222"/>
      <c r="AJ148" s="222"/>
      <c r="AK148" s="222"/>
      <c r="AL148" s="222"/>
      <c r="AM148" s="222">
        <v>1</v>
      </c>
      <c r="AN148" s="222"/>
      <c r="AO148" s="222">
        <v>1</v>
      </c>
      <c r="AP148" s="222"/>
      <c r="AQ148" s="222"/>
      <c r="AR148" s="222"/>
      <c r="AS148" s="222"/>
      <c r="AT148" s="222"/>
      <c r="AU148" s="222"/>
      <c r="AV148" s="222"/>
      <c r="AW148" s="222"/>
      <c r="AX148" s="222"/>
      <c r="AY148" s="222"/>
      <c r="AZ148" s="222"/>
      <c r="BA148" s="222"/>
      <c r="BB148" s="222"/>
      <c r="BC148" s="222"/>
      <c r="BD148" s="222"/>
      <c r="BE148" s="222"/>
      <c r="BF148" s="222"/>
      <c r="BG148" s="169" t="str">
        <f>VLOOKUP($A148,订货1!$A148:$I391,9,0)</f>
        <v>由仓库</v>
      </c>
      <c r="BH148" s="47" t="str">
        <f>VLOOKUP($A148,订货1!$A148:$H391,8,0)</f>
        <v>卓典食品科技（江苏）有限公司</v>
      </c>
    </row>
    <row r="149" spans="1:60" ht="15.75" hidden="1" customHeight="1">
      <c r="A149" s="173">
        <v>101718</v>
      </c>
      <c r="B149" s="172" t="s">
        <v>536</v>
      </c>
      <c r="C149" s="69" t="s">
        <v>174</v>
      </c>
      <c r="D149" s="68"/>
      <c r="E149" s="68" t="s">
        <v>136</v>
      </c>
      <c r="F149" s="68" t="s">
        <v>18</v>
      </c>
      <c r="G149" s="68" t="s">
        <v>446</v>
      </c>
      <c r="H149" s="68" t="s">
        <v>446</v>
      </c>
      <c r="I149" s="71" t="s">
        <v>197</v>
      </c>
      <c r="J149" s="68" t="s">
        <v>638</v>
      </c>
      <c r="K149" s="234">
        <f>VLOOKUP($A149,订货1!$A149:$A392,1,0)</f>
        <v>101718</v>
      </c>
      <c r="L149" s="244" t="str">
        <f>VLOOKUP($A149,订货1!$A149:$G392,7,0)</f>
        <v>山東三涛食品有限公司</v>
      </c>
      <c r="M149" s="235" t="str">
        <f>VLOOKUP($A149,订货1!$A149:$B392,2,0)</f>
        <v>冷冻薯块</v>
      </c>
      <c r="N149" s="72">
        <f t="shared" si="22"/>
        <v>45978</v>
      </c>
      <c r="O149" s="49" t="str">
        <f>VLOOKUP($A149,订货1!$A149:$C392,3,0)</f>
        <v>冷凍</v>
      </c>
      <c r="P149" s="44" t="str">
        <f>VLOOKUP($A149,订货1!$A149:$E392,5,0)</f>
        <v>1kg*10pc</v>
      </c>
      <c r="Q149" s="49" t="str">
        <f>VLOOKUP($A149,订货1!$A149:$F392,6,0)</f>
        <v>箱</v>
      </c>
      <c r="R149" s="167">
        <f t="shared" ca="1" si="15"/>
        <v>0</v>
      </c>
      <c r="S149" s="228" t="s">
        <v>199</v>
      </c>
      <c r="T149" s="85">
        <f ca="1">SUMIF(预估营业额3!$B$3:$B$39,"&gt;="&amp;$H$2,预估营业额3!$E$3:$E$39)-SUMIF(预估营业额3!$B$3:$B$39,"&gt;"&amp;N149,预估营业额3!$E$3:$E$39)</f>
        <v>0</v>
      </c>
      <c r="U149" s="219">
        <v>0.20604145990298994</v>
      </c>
      <c r="V149" s="168">
        <v>1</v>
      </c>
      <c r="W149" s="182">
        <f t="shared" ca="1" si="16"/>
        <v>0</v>
      </c>
      <c r="X149" s="214">
        <v>0</v>
      </c>
      <c r="Y149" s="62">
        <f t="shared" si="17"/>
        <v>0</v>
      </c>
      <c r="Z149" s="54"/>
      <c r="AA149" s="54"/>
      <c r="AB149" s="222"/>
      <c r="AC149" s="222"/>
      <c r="AD149" s="222"/>
      <c r="AE149" s="222"/>
      <c r="AF149" s="222"/>
      <c r="AG149" s="222"/>
      <c r="AH149" s="222"/>
      <c r="AI149" s="222"/>
      <c r="AJ149" s="222"/>
      <c r="AK149" s="222"/>
      <c r="AL149" s="222"/>
      <c r="AM149" s="222"/>
      <c r="AN149" s="222"/>
      <c r="AO149" s="222"/>
      <c r="AP149" s="222"/>
      <c r="AQ149" s="222"/>
      <c r="AR149" s="222"/>
      <c r="AS149" s="222"/>
      <c r="AT149" s="222"/>
      <c r="AU149" s="222"/>
      <c r="AV149" s="222"/>
      <c r="AW149" s="222"/>
      <c r="AX149" s="222"/>
      <c r="AY149" s="222"/>
      <c r="AZ149" s="222"/>
      <c r="BA149" s="222"/>
      <c r="BB149" s="222"/>
      <c r="BC149" s="222"/>
      <c r="BD149" s="222"/>
      <c r="BE149" s="222"/>
      <c r="BF149" s="222"/>
      <c r="BG149" s="169" t="str">
        <f>VLOOKUP($A149,订货1!$A149:$I392,9,0)</f>
        <v>由仓库</v>
      </c>
      <c r="BH149" s="47" t="str">
        <f>VLOOKUP($A149,订货1!$A149:$H392,8,0)</f>
        <v>山東三涛食品有限公司</v>
      </c>
    </row>
    <row r="150" spans="1:60" ht="15.75" customHeight="1">
      <c r="A150" s="173">
        <v>101719</v>
      </c>
      <c r="B150" s="172" t="s">
        <v>537</v>
      </c>
      <c r="C150" s="69" t="s">
        <v>174</v>
      </c>
      <c r="D150" s="68"/>
      <c r="E150" s="68" t="s">
        <v>348</v>
      </c>
      <c r="F150" s="68" t="s">
        <v>18</v>
      </c>
      <c r="G150" s="68" t="s">
        <v>102</v>
      </c>
      <c r="H150" s="68" t="s">
        <v>399</v>
      </c>
      <c r="I150" s="71" t="s">
        <v>197</v>
      </c>
      <c r="J150" s="68" t="s">
        <v>639</v>
      </c>
      <c r="K150" s="234">
        <f>VLOOKUP($A150,订货1!$A150:$A393,1,0)</f>
        <v>101719</v>
      </c>
      <c r="L150" s="244" t="str">
        <f>VLOOKUP($A150,订货1!$A150:$G393,7,0)</f>
        <v>上海蓬澜食品有限公司</v>
      </c>
      <c r="M150" s="235" t="str">
        <f>VLOOKUP($A150,订货1!$A150:$B393,2,0)</f>
        <v>经典辣肠</v>
      </c>
      <c r="N150" s="72">
        <f t="shared" si="22"/>
        <v>45978</v>
      </c>
      <c r="O150" s="49" t="str">
        <f>VLOOKUP($A150,订货1!$A150:$C393,3,0)</f>
        <v>冷凍</v>
      </c>
      <c r="P150" s="44" t="str">
        <f>VLOOKUP($A150,订货1!$A150:$E393,5,0)</f>
        <v>1kg*10pkt</v>
      </c>
      <c r="Q150" s="49" t="str">
        <f>VLOOKUP($A150,订货1!$A150:$F393,6,0)</f>
        <v>箱</v>
      </c>
      <c r="R150" s="167">
        <f t="shared" ca="1" si="15"/>
        <v>0</v>
      </c>
      <c r="S150" s="228" t="s">
        <v>199</v>
      </c>
      <c r="T150" s="85">
        <f ca="1">SUMIF(预估营业额3!$B$3:$B$39,"&gt;="&amp;$H$2,预估营业额3!$E$3:$E$39)-SUMIF(预估营业额3!$B$3:$B$39,"&gt;"&amp;N150,预估营业额3!$E$3:$E$39)</f>
        <v>0</v>
      </c>
      <c r="U150" s="219">
        <v>0.1</v>
      </c>
      <c r="V150" s="168">
        <v>1</v>
      </c>
      <c r="W150" s="182">
        <f t="shared" ca="1" si="16"/>
        <v>0</v>
      </c>
      <c r="X150" s="214">
        <v>1</v>
      </c>
      <c r="Y150" s="62">
        <f t="shared" si="17"/>
        <v>0</v>
      </c>
      <c r="Z150" s="54"/>
      <c r="AA150" s="54"/>
      <c r="AB150" s="222"/>
      <c r="AC150" s="222"/>
      <c r="AD150" s="222"/>
      <c r="AE150" s="222"/>
      <c r="AF150" s="222"/>
      <c r="AG150" s="222"/>
      <c r="AH150" s="222"/>
      <c r="AI150" s="222"/>
      <c r="AJ150" s="222"/>
      <c r="AK150" s="222"/>
      <c r="AL150" s="222"/>
      <c r="AM150" s="222"/>
      <c r="AN150" s="222"/>
      <c r="AO150" s="222"/>
      <c r="AP150" s="222"/>
      <c r="AQ150" s="222"/>
      <c r="AR150" s="222"/>
      <c r="AS150" s="222"/>
      <c r="AT150" s="222"/>
      <c r="AU150" s="222"/>
      <c r="AV150" s="222"/>
      <c r="AW150" s="222"/>
      <c r="AX150" s="222"/>
      <c r="AY150" s="222"/>
      <c r="AZ150" s="222"/>
      <c r="BA150" s="222"/>
      <c r="BB150" s="222"/>
      <c r="BC150" s="222"/>
      <c r="BD150" s="222"/>
      <c r="BE150" s="222"/>
      <c r="BF150" s="222"/>
      <c r="BG150" s="169" t="str">
        <f>VLOOKUP($A150,订货1!$A150:$I393,9,0)</f>
        <v>由仓库</v>
      </c>
      <c r="BH150" s="47" t="str">
        <f>VLOOKUP($A150,订货1!$A150:$H393,8,0)</f>
        <v>三旺实业有限公司</v>
      </c>
    </row>
    <row r="151" spans="1:60" ht="15.75" hidden="1" customHeight="1">
      <c r="A151" s="173">
        <v>101720</v>
      </c>
      <c r="B151" s="172" t="s">
        <v>747</v>
      </c>
      <c r="C151" s="69" t="s">
        <v>174</v>
      </c>
      <c r="D151" s="68"/>
      <c r="E151" s="68" t="s">
        <v>538</v>
      </c>
      <c r="F151" s="68" t="s">
        <v>18</v>
      </c>
      <c r="G151" s="68" t="s">
        <v>361</v>
      </c>
      <c r="H151" s="68" t="s">
        <v>361</v>
      </c>
      <c r="I151" s="71" t="s">
        <v>197</v>
      </c>
      <c r="J151" s="68" t="s">
        <v>640</v>
      </c>
      <c r="K151" s="234">
        <f>VLOOKUP($A151,订货1!$A151:$A394,1,0)</f>
        <v>101720</v>
      </c>
      <c r="L151" s="244" t="str">
        <f>VLOOKUP($A151,订货1!$A151:$G394,7,0)</f>
        <v>上海香尚香食品有限公司</v>
      </c>
      <c r="M151" s="235" t="str">
        <f>VLOOKUP($A151,订货1!$A151:$B394,2,0)</f>
        <v>黑松露风味酱</v>
      </c>
      <c r="N151" s="72">
        <f t="shared" si="22"/>
        <v>45978</v>
      </c>
      <c r="O151" s="49" t="str">
        <f>VLOOKUP($A151,订货1!$A151:$C394,3,0)</f>
        <v>冷凍</v>
      </c>
      <c r="P151" s="44" t="str">
        <f>VLOOKUP($A151,订货1!$A151:$E394,5,0)</f>
        <v>0.2kg*20pc</v>
      </c>
      <c r="Q151" s="49" t="str">
        <f>VLOOKUP($A151,订货1!$A151:$F394,6,0)</f>
        <v>箱</v>
      </c>
      <c r="R151" s="167">
        <f t="shared" ca="1" si="15"/>
        <v>0</v>
      </c>
      <c r="S151" s="228" t="s">
        <v>199</v>
      </c>
      <c r="T151" s="85">
        <f ca="1">SUMIF(预估营业额3!$B$3:$B$39,"&gt;="&amp;$H$2,预估营业额3!$E$3:$E$39)-SUMIF(预估营业额3!$B$3:$B$39,"&gt;"&amp;N151,预估营业额3!$E$3:$E$39)</f>
        <v>0</v>
      </c>
      <c r="U151" s="219">
        <v>-1.223109073372566E-2</v>
      </c>
      <c r="V151" s="168">
        <v>1</v>
      </c>
      <c r="W151" s="182">
        <f t="shared" ca="1" si="16"/>
        <v>0</v>
      </c>
      <c r="X151" s="214">
        <v>0.1</v>
      </c>
      <c r="Y151" s="62">
        <f t="shared" si="17"/>
        <v>0</v>
      </c>
      <c r="Z151" s="54"/>
      <c r="AA151" s="54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222"/>
      <c r="AP151" s="222"/>
      <c r="AQ151" s="222"/>
      <c r="AR151" s="222"/>
      <c r="AS151" s="222"/>
      <c r="AT151" s="222"/>
      <c r="AU151" s="222"/>
      <c r="AV151" s="222"/>
      <c r="AW151" s="222"/>
      <c r="AX151" s="222"/>
      <c r="AY151" s="222"/>
      <c r="AZ151" s="222"/>
      <c r="BA151" s="222"/>
      <c r="BB151" s="222"/>
      <c r="BC151" s="222"/>
      <c r="BD151" s="222"/>
      <c r="BE151" s="222"/>
      <c r="BF151" s="222"/>
      <c r="BG151" s="169" t="str">
        <f>VLOOKUP($A151,订货1!$A151:$I394,9,0)</f>
        <v>由仓库</v>
      </c>
      <c r="BH151" s="47" t="str">
        <f>VLOOKUP($A151,订货1!$A151:$H394,8,0)</f>
        <v>上海香尚香食品有限公司</v>
      </c>
    </row>
    <row r="152" spans="1:60" ht="15.75" customHeight="1">
      <c r="A152" s="173">
        <v>101721</v>
      </c>
      <c r="B152" s="172" t="s">
        <v>539</v>
      </c>
      <c r="C152" s="69" t="s">
        <v>174</v>
      </c>
      <c r="D152" s="68"/>
      <c r="E152" s="68" t="s">
        <v>256</v>
      </c>
      <c r="F152" s="68" t="s">
        <v>18</v>
      </c>
      <c r="G152" s="68" t="s">
        <v>461</v>
      </c>
      <c r="H152" s="68" t="s">
        <v>416</v>
      </c>
      <c r="I152" s="71" t="s">
        <v>197</v>
      </c>
      <c r="J152" s="68" t="s">
        <v>641</v>
      </c>
      <c r="K152" s="234">
        <f>VLOOKUP($A152,订货1!$A152:$A395,1,0)</f>
        <v>101721</v>
      </c>
      <c r="L152" s="244" t="str">
        <f>VLOOKUP($A152,订货1!$A152:$G395,7,0)</f>
        <v>上海宝立食品科技股份有限公司</v>
      </c>
      <c r="M152" s="235" t="str">
        <f>VLOOKUP($A152,订货1!$A152:$B395,2,0)</f>
        <v>土豆泥</v>
      </c>
      <c r="N152" s="72">
        <f t="shared" si="22"/>
        <v>45978</v>
      </c>
      <c r="O152" s="49" t="str">
        <f>VLOOKUP($A152,订货1!$A152:$C395,3,0)</f>
        <v>冷凍</v>
      </c>
      <c r="P152" s="44" t="str">
        <f>VLOOKUP($A152,订货1!$A152:$E395,5,0)</f>
        <v>1kg*12pc</v>
      </c>
      <c r="Q152" s="49" t="str">
        <f>VLOOKUP($A152,订货1!$A152:$F395,6,0)</f>
        <v>箱</v>
      </c>
      <c r="R152" s="167">
        <f t="shared" ca="1" si="15"/>
        <v>0</v>
      </c>
      <c r="S152" s="228" t="s">
        <v>199</v>
      </c>
      <c r="T152" s="85">
        <f ca="1">SUMIF(预估营业额3!$B$3:$B$39,"&gt;="&amp;$H$2,预估营业额3!$E$3:$E$39)-SUMIF(预估营业额3!$B$3:$B$39,"&gt;"&amp;N152,预估营业额3!$E$3:$E$39)</f>
        <v>0</v>
      </c>
      <c r="U152" s="219">
        <v>0.13512443096306442</v>
      </c>
      <c r="V152" s="168">
        <v>1</v>
      </c>
      <c r="W152" s="182">
        <f t="shared" ca="1" si="16"/>
        <v>0</v>
      </c>
      <c r="X152" s="214">
        <v>1</v>
      </c>
      <c r="Y152" s="62">
        <f t="shared" si="17"/>
        <v>0</v>
      </c>
      <c r="Z152" s="54"/>
      <c r="AA152" s="54"/>
      <c r="AB152" s="222">
        <v>1</v>
      </c>
      <c r="AC152" s="222"/>
      <c r="AD152" s="222"/>
      <c r="AE152" s="222"/>
      <c r="AF152" s="222">
        <v>1</v>
      </c>
      <c r="AG152" s="222"/>
      <c r="AH152" s="222">
        <v>1</v>
      </c>
      <c r="AI152" s="222"/>
      <c r="AJ152" s="222"/>
      <c r="AK152" s="222"/>
      <c r="AL152" s="222"/>
      <c r="AM152" s="222">
        <v>1</v>
      </c>
      <c r="AN152" s="222"/>
      <c r="AO152" s="222">
        <v>1</v>
      </c>
      <c r="AP152" s="222"/>
      <c r="AQ152" s="222"/>
      <c r="AR152" s="222"/>
      <c r="AS152" s="222"/>
      <c r="AT152" s="222"/>
      <c r="AU152" s="222"/>
      <c r="AV152" s="222"/>
      <c r="AW152" s="222"/>
      <c r="AX152" s="222"/>
      <c r="AY152" s="222"/>
      <c r="AZ152" s="222"/>
      <c r="BA152" s="222"/>
      <c r="BB152" s="222"/>
      <c r="BC152" s="222"/>
      <c r="BD152" s="222"/>
      <c r="BE152" s="222"/>
      <c r="BF152" s="222"/>
      <c r="BG152" s="169" t="str">
        <f>VLOOKUP($A152,订货1!$A152:$I395,9,0)</f>
        <v>由仓库</v>
      </c>
      <c r="BH152" s="47" t="str">
        <f>VLOOKUP($A152,订货1!$A152:$H395,8,0)</f>
        <v>浙江宝立食品科技有限公司</v>
      </c>
    </row>
    <row r="153" spans="1:60" ht="15.75" customHeight="1">
      <c r="A153" s="67">
        <v>101143</v>
      </c>
      <c r="B153" s="68" t="s">
        <v>85</v>
      </c>
      <c r="C153" s="70" t="s">
        <v>175</v>
      </c>
      <c r="D153" s="68"/>
      <c r="E153" s="68" t="s">
        <v>180</v>
      </c>
      <c r="F153" s="68" t="s">
        <v>27</v>
      </c>
      <c r="G153" s="68" t="s">
        <v>115</v>
      </c>
      <c r="H153" s="68" t="s">
        <v>124</v>
      </c>
      <c r="I153" s="71" t="s">
        <v>197</v>
      </c>
      <c r="J153" s="68" t="s">
        <v>642</v>
      </c>
      <c r="K153" s="234">
        <f>VLOOKUP($A153,订货1!$A153:$A396,1,0)</f>
        <v>101143</v>
      </c>
      <c r="L153" s="244" t="str">
        <f>VLOOKUP($A153,订货1!$A153:$G396,7,0)</f>
        <v>上海潜深实业有限公司</v>
      </c>
      <c r="M153" s="235" t="str">
        <f>VLOOKUP($A153,订货1!$A153:$B396,2,0)</f>
        <v>美国辣椒仔</v>
      </c>
      <c r="N153" s="72">
        <f t="shared" si="22"/>
        <v>45978</v>
      </c>
      <c r="O153" s="49" t="str">
        <f>VLOOKUP($A153,订货1!$A153:$C396,3,0)</f>
        <v>常温</v>
      </c>
      <c r="P153" s="44" t="str">
        <f>VLOOKUP($A153,订货1!$A153:$E396,5,0)</f>
        <v>60ml*12瓶</v>
      </c>
      <c r="Q153" s="49" t="str">
        <f>VLOOKUP($A153,订货1!$A153:$F396,6,0)</f>
        <v>盒</v>
      </c>
      <c r="R153" s="167">
        <f t="shared" ca="1" si="15"/>
        <v>0</v>
      </c>
      <c r="S153" s="105" t="s">
        <v>199</v>
      </c>
      <c r="T153" s="85">
        <f ca="1">SUMIF(预估营业额3!$B$3:$B$39,"&gt;="&amp;$H$2,预估营业额3!$E$3:$E$39)-SUMIF(预估营业额3!$B$3:$B$39,"&gt;"&amp;N153,预估营业额3!$E$3:$E$39)</f>
        <v>0</v>
      </c>
      <c r="U153" s="219">
        <v>2.5627047251615666E-2</v>
      </c>
      <c r="V153" s="168">
        <v>1</v>
      </c>
      <c r="W153" s="182">
        <f t="shared" ca="1" si="16"/>
        <v>0</v>
      </c>
      <c r="X153" s="214">
        <v>1</v>
      </c>
      <c r="Y153" s="62">
        <f t="shared" si="17"/>
        <v>0</v>
      </c>
      <c r="Z153" s="54"/>
      <c r="AA153" s="54"/>
      <c r="AB153" s="222"/>
      <c r="AC153" s="222">
        <v>1</v>
      </c>
      <c r="AD153" s="222"/>
      <c r="AE153" s="222"/>
      <c r="AF153" s="222"/>
      <c r="AG153" s="222"/>
      <c r="AH153" s="222"/>
      <c r="AI153" s="222"/>
      <c r="AJ153" s="222"/>
      <c r="AK153" s="222"/>
      <c r="AL153" s="222"/>
      <c r="AM153" s="222">
        <v>1</v>
      </c>
      <c r="AN153" s="222"/>
      <c r="AO153" s="222"/>
      <c r="AP153" s="222"/>
      <c r="AQ153" s="222"/>
      <c r="AR153" s="222"/>
      <c r="AS153" s="222"/>
      <c r="AT153" s="222"/>
      <c r="AU153" s="222"/>
      <c r="AV153" s="222"/>
      <c r="AW153" s="222"/>
      <c r="AX153" s="222"/>
      <c r="AY153" s="222"/>
      <c r="AZ153" s="222"/>
      <c r="BA153" s="222"/>
      <c r="BB153" s="222"/>
      <c r="BC153" s="222"/>
      <c r="BD153" s="222"/>
      <c r="BE153" s="222"/>
      <c r="BF153" s="222"/>
      <c r="BG153" s="169" t="str">
        <f>VLOOKUP($A153,订货1!$A153:$I396,9,0)</f>
        <v>由仓库</v>
      </c>
      <c r="BH153" s="47" t="str">
        <f>VLOOKUP($A153,订货1!$A153:$H396,8,0)</f>
        <v>Mcllhenny Company</v>
      </c>
    </row>
    <row r="154" spans="1:60" ht="15.75" customHeight="1">
      <c r="A154" s="300">
        <v>101778</v>
      </c>
      <c r="B154" s="301" t="s">
        <v>859</v>
      </c>
      <c r="C154" s="302" t="s">
        <v>174</v>
      </c>
      <c r="D154" s="301"/>
      <c r="E154" s="301" t="s">
        <v>860</v>
      </c>
      <c r="F154" s="301" t="s">
        <v>18</v>
      </c>
      <c r="G154" s="301" t="s">
        <v>99</v>
      </c>
      <c r="H154" s="301" t="s">
        <v>99</v>
      </c>
      <c r="I154" s="71" t="s">
        <v>197</v>
      </c>
      <c r="J154" s="68" t="s">
        <v>643</v>
      </c>
      <c r="K154" s="270">
        <f>VLOOKUP($A154,订货1!$A154:$A397,1,0)</f>
        <v>101778</v>
      </c>
      <c r="L154" s="271" t="str">
        <f>VLOOKUP($A154,订货1!$A154:$G397,7,0)</f>
        <v>青岛国辉食品有限公司</v>
      </c>
      <c r="M154" s="272" t="str">
        <f>VLOOKUP($A154,订货1!$A154:$B397,2,0)</f>
        <v>原切谷饲安格斯西冷牛排</v>
      </c>
      <c r="N154" s="297">
        <f t="shared" si="22"/>
        <v>45978</v>
      </c>
      <c r="O154" s="280" t="str">
        <f>VLOOKUP($A154,订货1!$A154:$C397,3,0)</f>
        <v>冷凍</v>
      </c>
      <c r="P154" s="279" t="str">
        <f>VLOOKUP($A154,订货1!$A154:$E397,5,0)</f>
        <v>150g*100pc</v>
      </c>
      <c r="Q154" s="280" t="str">
        <f>VLOOKUP($A154,订货1!$A154:$F397,6,0)</f>
        <v>箱</v>
      </c>
      <c r="R154" s="298">
        <f t="shared" ca="1" si="15"/>
        <v>0</v>
      </c>
      <c r="S154" s="262" t="s">
        <v>557</v>
      </c>
      <c r="T154" s="85">
        <f ca="1">SUMIF(预估营业额3!$B$3:$B$39,"&gt;="&amp;$H$2,预估营业额3!$E$3:$E$39)-SUMIF(预估营业额3!$B$3:$B$39,"&gt;"&amp;N154,预估营业额3!$E$3:$E$39)</f>
        <v>0</v>
      </c>
      <c r="U154" s="219">
        <v>0</v>
      </c>
      <c r="V154" s="168">
        <v>1</v>
      </c>
      <c r="W154" s="182">
        <f t="shared" ca="1" si="16"/>
        <v>0</v>
      </c>
      <c r="X154" s="214">
        <v>0</v>
      </c>
      <c r="Y154" s="62">
        <f t="shared" si="17"/>
        <v>0</v>
      </c>
      <c r="Z154" s="54"/>
      <c r="AA154" s="54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  <c r="AM154" s="222"/>
      <c r="AN154" s="222"/>
      <c r="AO154" s="222"/>
      <c r="AP154" s="222"/>
      <c r="AQ154" s="222"/>
      <c r="AR154" s="222"/>
      <c r="AS154" s="222"/>
      <c r="AT154" s="222"/>
      <c r="AU154" s="222"/>
      <c r="AV154" s="222"/>
      <c r="AW154" s="222"/>
      <c r="AX154" s="222"/>
      <c r="AY154" s="222"/>
      <c r="AZ154" s="222"/>
      <c r="BA154" s="222"/>
      <c r="BB154" s="222"/>
      <c r="BC154" s="222"/>
      <c r="BD154" s="222"/>
      <c r="BE154" s="222"/>
      <c r="BF154" s="222"/>
      <c r="BG154" s="169" t="str">
        <f>VLOOKUP($A154,订货1!$A154:$I397,9,0)</f>
        <v>由仓库</v>
      </c>
      <c r="BH154" s="47" t="str">
        <f>VLOOKUP($A154,订货1!$A154:$H397,8,0)</f>
        <v>青岛国辉食品有限公司</v>
      </c>
    </row>
    <row r="155" spans="1:60" ht="15.75" customHeight="1">
      <c r="A155" s="173">
        <v>101640</v>
      </c>
      <c r="B155" s="172" t="s">
        <v>409</v>
      </c>
      <c r="C155" s="70" t="s">
        <v>174</v>
      </c>
      <c r="D155" s="68"/>
      <c r="E155" s="68" t="s">
        <v>266</v>
      </c>
      <c r="F155" s="68" t="s">
        <v>18</v>
      </c>
      <c r="G155" s="68" t="s">
        <v>107</v>
      </c>
      <c r="H155" s="68" t="s">
        <v>512</v>
      </c>
      <c r="I155" s="71" t="s">
        <v>197</v>
      </c>
      <c r="J155" s="68" t="s">
        <v>644</v>
      </c>
      <c r="K155" s="236">
        <f>VLOOKUP($A155,订货1!$A155:$A398,1,0)</f>
        <v>101640</v>
      </c>
      <c r="L155" s="245" t="str">
        <f>VLOOKUP($A155,订货1!$A155:$G398,7,0)</f>
        <v>福建圣农食品有限公司</v>
      </c>
      <c r="M155" s="237" t="str">
        <f>VLOOKUP($A155,订货1!$A155:$B398,2,0)</f>
        <v>原味鸡腿排</v>
      </c>
      <c r="N155" s="72">
        <f t="shared" si="22"/>
        <v>45978</v>
      </c>
      <c r="O155" s="49" t="str">
        <f>VLOOKUP($A155,订货1!$A155:$C398,3,0)</f>
        <v>冷凍</v>
      </c>
      <c r="P155" s="44" t="str">
        <f>VLOOKUP($A155,订货1!$A155:$E398,5,0)</f>
        <v>0.15kg*8枚*10pc</v>
      </c>
      <c r="Q155" s="49" t="str">
        <f>VLOOKUP($A155,订货1!$A155:$F398,6,0)</f>
        <v>箱</v>
      </c>
      <c r="R155" s="167">
        <f t="shared" ca="1" si="15"/>
        <v>0</v>
      </c>
      <c r="S155" s="185" t="s">
        <v>834</v>
      </c>
      <c r="T155" s="85">
        <f ca="1">SUMIF(预估营业额3!$B$3:$B$39,"&gt;="&amp;$H$2,预估营业额3!$E$3:$E$39)-SUMIF(预估营业额3!$B$3:$B$39,"&gt;"&amp;N155,预估营业额3!$E$3:$E$39)</f>
        <v>0</v>
      </c>
      <c r="U155" s="219">
        <v>0.23</v>
      </c>
      <c r="V155" s="168">
        <v>1</v>
      </c>
      <c r="W155" s="182">
        <f t="shared" ca="1" si="16"/>
        <v>0</v>
      </c>
      <c r="X155" s="214">
        <v>1</v>
      </c>
      <c r="Y155" s="62">
        <f t="shared" si="17"/>
        <v>1</v>
      </c>
      <c r="Z155" s="54">
        <v>1</v>
      </c>
      <c r="AA155" s="54"/>
      <c r="AB155" s="222"/>
      <c r="AC155" s="222">
        <v>1</v>
      </c>
      <c r="AD155" s="222"/>
      <c r="AE155" s="222">
        <v>1</v>
      </c>
      <c r="AF155" s="222"/>
      <c r="AG155" s="222">
        <v>1</v>
      </c>
      <c r="AH155" s="222"/>
      <c r="AI155" s="222"/>
      <c r="AJ155" s="222">
        <v>1</v>
      </c>
      <c r="AK155" s="222"/>
      <c r="AL155" s="222">
        <v>1</v>
      </c>
      <c r="AM155" s="222">
        <v>1</v>
      </c>
      <c r="AN155" s="222">
        <v>1</v>
      </c>
      <c r="AO155" s="222"/>
      <c r="AP155" s="222"/>
      <c r="AQ155" s="222"/>
      <c r="AR155" s="222"/>
      <c r="AS155" s="222"/>
      <c r="AT155" s="222"/>
      <c r="AU155" s="222"/>
      <c r="AV155" s="222"/>
      <c r="AW155" s="222"/>
      <c r="AX155" s="222"/>
      <c r="AY155" s="222"/>
      <c r="AZ155" s="222"/>
      <c r="BA155" s="222"/>
      <c r="BB155" s="222"/>
      <c r="BC155" s="222"/>
      <c r="BD155" s="222"/>
      <c r="BE155" s="222"/>
      <c r="BF155" s="222"/>
      <c r="BG155" s="169" t="str">
        <f>VLOOKUP($A155,订货1!$A155:$I398,9,0)</f>
        <v>由仓库</v>
      </c>
      <c r="BH155" s="47" t="str">
        <f>VLOOKUP($A155,订货1!$A155:$H398,8,0)</f>
        <v>福建圣农食品（浦城）有限公司</v>
      </c>
    </row>
    <row r="156" spans="1:60" ht="15.75" customHeight="1">
      <c r="A156" s="173">
        <v>101641</v>
      </c>
      <c r="B156" s="172" t="s">
        <v>410</v>
      </c>
      <c r="C156" s="70" t="s">
        <v>174</v>
      </c>
      <c r="D156" s="68"/>
      <c r="E156" s="68" t="s">
        <v>259</v>
      </c>
      <c r="F156" s="68" t="s">
        <v>18</v>
      </c>
      <c r="G156" s="68" t="s">
        <v>355</v>
      </c>
      <c r="H156" s="68" t="s">
        <v>501</v>
      </c>
      <c r="I156" s="71" t="s">
        <v>197</v>
      </c>
      <c r="J156" s="68" t="s">
        <v>645</v>
      </c>
      <c r="K156" s="236">
        <f>VLOOKUP($A156,订货1!$A156:$A399,1,0)</f>
        <v>101641</v>
      </c>
      <c r="L156" s="245" t="str">
        <f>VLOOKUP($A156,订货1!$A156:$G399,7,0)</f>
        <v>北京爱必思福国际贸易有限公司</v>
      </c>
      <c r="M156" s="237" t="str">
        <f>VLOOKUP($A156,订货1!$A156:$B399,2,0)</f>
        <v>萨莉亚鸡排串</v>
      </c>
      <c r="N156" s="72">
        <f t="shared" si="22"/>
        <v>45978</v>
      </c>
      <c r="O156" s="49" t="str">
        <f>VLOOKUP($A156,订货1!$A156:$C399,3,0)</f>
        <v>冷凍</v>
      </c>
      <c r="P156" s="44" t="str">
        <f>VLOOKUP($A156,订货1!$A156:$E399,5,0)</f>
        <v>1kg*12</v>
      </c>
      <c r="Q156" s="49" t="str">
        <f>VLOOKUP($A156,订货1!$A156:$F399,6,0)</f>
        <v>箱</v>
      </c>
      <c r="R156" s="167">
        <f t="shared" ca="1" si="15"/>
        <v>0</v>
      </c>
      <c r="S156" s="185" t="s">
        <v>830</v>
      </c>
      <c r="T156" s="85">
        <f ca="1">SUMIF(预估营业额3!$B$3:$B$39,"&gt;="&amp;$H$2,预估营业额3!$E$3:$E$39)-SUMIF(预估营业额3!$B$3:$B$39,"&gt;"&amp;N156,预估营业额3!$E$3:$E$39)</f>
        <v>0</v>
      </c>
      <c r="U156" s="219">
        <v>0</v>
      </c>
      <c r="V156" s="168">
        <v>1</v>
      </c>
      <c r="W156" s="182">
        <f t="shared" ca="1" si="16"/>
        <v>0</v>
      </c>
      <c r="X156" s="214">
        <v>0</v>
      </c>
      <c r="Y156" s="62">
        <f t="shared" si="17"/>
        <v>0</v>
      </c>
      <c r="Z156" s="54"/>
      <c r="AA156" s="54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  <c r="AM156" s="222"/>
      <c r="AN156" s="222"/>
      <c r="AO156" s="222"/>
      <c r="AP156" s="222"/>
      <c r="AQ156" s="222"/>
      <c r="AR156" s="222"/>
      <c r="AS156" s="222"/>
      <c r="AT156" s="222"/>
      <c r="AU156" s="222"/>
      <c r="AV156" s="222"/>
      <c r="AW156" s="222"/>
      <c r="AX156" s="222"/>
      <c r="AY156" s="222"/>
      <c r="AZ156" s="222"/>
      <c r="BA156" s="222"/>
      <c r="BB156" s="222"/>
      <c r="BC156" s="222"/>
      <c r="BD156" s="222"/>
      <c r="BE156" s="222"/>
      <c r="BF156" s="222"/>
      <c r="BG156" s="169" t="str">
        <f>VLOOKUP($A156,订货1!$A156:$I399,9,0)</f>
        <v>由仓库</v>
      </c>
      <c r="BH156" s="47" t="str">
        <f>VLOOKUP($A156,订货1!$A156:$H399,8,0)</f>
        <v>河北亿食特食品有限公司</v>
      </c>
    </row>
    <row r="157" spans="1:60" ht="15.75" hidden="1" customHeight="1">
      <c r="A157" s="67">
        <v>201284</v>
      </c>
      <c r="B157" s="68" t="s">
        <v>77</v>
      </c>
      <c r="C157" s="70" t="s">
        <v>175</v>
      </c>
      <c r="D157" s="68"/>
      <c r="E157" s="68" t="s">
        <v>136</v>
      </c>
      <c r="F157" s="68" t="s">
        <v>18</v>
      </c>
      <c r="G157" s="68" t="s">
        <v>115</v>
      </c>
      <c r="H157" s="68" t="s">
        <v>121</v>
      </c>
      <c r="I157" s="71" t="s">
        <v>197</v>
      </c>
      <c r="J157" s="68" t="s">
        <v>646</v>
      </c>
      <c r="K157" s="236">
        <f>VLOOKUP($A157,订货1!$A157:$A400,1,0)</f>
        <v>201284</v>
      </c>
      <c r="L157" s="245" t="str">
        <f>VLOOKUP($A157,订货1!$A157:$G400,7,0)</f>
        <v>上海潜深实业有限公司</v>
      </c>
      <c r="M157" s="237" t="str">
        <f>VLOOKUP($A157,订货1!$A157:$B400,2,0)</f>
        <v>面粉</v>
      </c>
      <c r="N157" s="72">
        <f t="shared" si="22"/>
        <v>45978</v>
      </c>
      <c r="O157" s="49" t="str">
        <f>VLOOKUP($A157,订货1!$A157:$C400,3,0)</f>
        <v>常温</v>
      </c>
      <c r="P157" s="44" t="str">
        <f>VLOOKUP($A157,订货1!$A157:$E400,5,0)</f>
        <v>1kg*10pc</v>
      </c>
      <c r="Q157" s="49" t="str">
        <f>VLOOKUP($A157,订货1!$A157:$F400,6,0)</f>
        <v>箱</v>
      </c>
      <c r="R157" s="167">
        <f t="shared" ca="1" si="15"/>
        <v>0</v>
      </c>
      <c r="S157" s="105" t="s">
        <v>199</v>
      </c>
      <c r="T157" s="85">
        <f ca="1">SUMIF(预估营业额3!$B$3:$B$39,"&gt;="&amp;$H$2,预估营业额3!$E$3:$E$39)-SUMIF(预估营业额3!$B$3:$B$39,"&gt;"&amp;N157,预估营业额3!$E$3:$E$39)</f>
        <v>0</v>
      </c>
      <c r="U157" s="219">
        <v>0</v>
      </c>
      <c r="V157" s="168">
        <v>1</v>
      </c>
      <c r="W157" s="182">
        <f t="shared" ca="1" si="16"/>
        <v>0</v>
      </c>
      <c r="X157" s="214"/>
      <c r="Y157" s="62">
        <f t="shared" si="17"/>
        <v>0</v>
      </c>
      <c r="Z157" s="54"/>
      <c r="AA157" s="54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222"/>
      <c r="AP157" s="222"/>
      <c r="AQ157" s="222"/>
      <c r="AR157" s="222"/>
      <c r="AS157" s="222"/>
      <c r="AT157" s="222"/>
      <c r="AU157" s="222"/>
      <c r="AV157" s="222"/>
      <c r="AW157" s="222"/>
      <c r="AX157" s="222"/>
      <c r="AY157" s="222"/>
      <c r="AZ157" s="222"/>
      <c r="BA157" s="222"/>
      <c r="BB157" s="222"/>
      <c r="BC157" s="222"/>
      <c r="BD157" s="222"/>
      <c r="BE157" s="222"/>
      <c r="BF157" s="222"/>
      <c r="BG157" s="169" t="str">
        <f>VLOOKUP($A157,订货1!$A157:$I400,9,0)</f>
        <v>由仓库</v>
      </c>
      <c r="BH157" s="47" t="str">
        <f>VLOOKUP($A157,订货1!$A157:$H400,8,0)</f>
        <v>上海福新面粉有限公司</v>
      </c>
    </row>
    <row r="158" spans="1:60" ht="15.75" customHeight="1">
      <c r="A158" s="173">
        <v>101671</v>
      </c>
      <c r="B158" s="172" t="s">
        <v>444</v>
      </c>
      <c r="C158" s="70" t="s">
        <v>174</v>
      </c>
      <c r="D158" s="68"/>
      <c r="E158" s="68" t="s">
        <v>262</v>
      </c>
      <c r="F158" s="68" t="s">
        <v>18</v>
      </c>
      <c r="G158" s="68" t="s">
        <v>446</v>
      </c>
      <c r="H158" s="68" t="s">
        <v>446</v>
      </c>
      <c r="I158" s="71" t="s">
        <v>197</v>
      </c>
      <c r="J158" s="68" t="s">
        <v>647</v>
      </c>
      <c r="K158" s="236">
        <f>VLOOKUP($A158,订货1!$A158:$A401,1,0)</f>
        <v>101671</v>
      </c>
      <c r="L158" s="245" t="str">
        <f>VLOOKUP($A158,订货1!$A158:$G401,7,0)</f>
        <v>山東三涛食品有限公司</v>
      </c>
      <c r="M158" s="237" t="str">
        <f>VLOOKUP($A158,订货1!$A158:$B401,2,0)</f>
        <v>速冻菠菜段</v>
      </c>
      <c r="N158" s="72">
        <f t="shared" si="22"/>
        <v>45978</v>
      </c>
      <c r="O158" s="49" t="str">
        <f>VLOOKUP($A158,订货1!$A158:$C401,3,0)</f>
        <v>冷凍</v>
      </c>
      <c r="P158" s="44" t="str">
        <f>VLOOKUP($A158,订货1!$A158:$E401,5,0)</f>
        <v>2kg*6pc</v>
      </c>
      <c r="Q158" s="49" t="str">
        <f>VLOOKUP($A158,订货1!$A158:$F401,6,0)</f>
        <v>箱</v>
      </c>
      <c r="R158" s="167">
        <f t="shared" ca="1" si="15"/>
        <v>0</v>
      </c>
      <c r="S158" s="105" t="s">
        <v>199</v>
      </c>
      <c r="T158" s="85">
        <f ca="1">SUMIF(预估营业额3!$B$3:$B$39,"&gt;="&amp;$H$2,预估营业额3!$E$3:$E$39)-SUMIF(预估营业额3!$B$3:$B$39,"&gt;"&amp;N158,预估营业额3!$E$3:$E$39)</f>
        <v>0</v>
      </c>
      <c r="U158" s="219">
        <v>0.40441821943275691</v>
      </c>
      <c r="V158" s="168">
        <v>1</v>
      </c>
      <c r="W158" s="182">
        <f t="shared" ca="1" si="16"/>
        <v>0</v>
      </c>
      <c r="X158" s="214">
        <v>0.4</v>
      </c>
      <c r="Y158" s="62">
        <f t="shared" si="17"/>
        <v>2</v>
      </c>
      <c r="Z158" s="54">
        <v>2</v>
      </c>
      <c r="AA158" s="54"/>
      <c r="AB158" s="222">
        <v>1</v>
      </c>
      <c r="AC158" s="222">
        <v>1</v>
      </c>
      <c r="AD158" s="222"/>
      <c r="AE158" s="222">
        <v>2</v>
      </c>
      <c r="AF158" s="222">
        <v>1</v>
      </c>
      <c r="AG158" s="222">
        <v>2</v>
      </c>
      <c r="AH158" s="222"/>
      <c r="AI158" s="222">
        <v>1</v>
      </c>
      <c r="AJ158" s="222">
        <v>1</v>
      </c>
      <c r="AK158" s="222"/>
      <c r="AL158" s="222"/>
      <c r="AM158" s="222">
        <v>2</v>
      </c>
      <c r="AN158" s="222">
        <v>2</v>
      </c>
      <c r="AO158" s="222">
        <v>2</v>
      </c>
      <c r="AP158" s="222"/>
      <c r="AQ158" s="222"/>
      <c r="AR158" s="222"/>
      <c r="AS158" s="222"/>
      <c r="AT158" s="222"/>
      <c r="AU158" s="222"/>
      <c r="AV158" s="222"/>
      <c r="AW158" s="222"/>
      <c r="AX158" s="222"/>
      <c r="AY158" s="222"/>
      <c r="AZ158" s="222"/>
      <c r="BA158" s="222"/>
      <c r="BB158" s="222"/>
      <c r="BC158" s="222"/>
      <c r="BD158" s="222"/>
      <c r="BE158" s="222"/>
      <c r="BF158" s="222"/>
      <c r="BG158" s="169" t="str">
        <f>VLOOKUP($A158,订货1!$A158:$I401,9,0)</f>
        <v>由仓库</v>
      </c>
      <c r="BH158" s="47" t="str">
        <f>VLOOKUP($A158,订货1!$A158:$H401,8,0)</f>
        <v>山東三涛食品有限公司</v>
      </c>
    </row>
    <row r="159" spans="1:60" ht="15.75" customHeight="1">
      <c r="A159" s="173">
        <v>101672</v>
      </c>
      <c r="B159" s="172" t="s">
        <v>445</v>
      </c>
      <c r="C159" s="70" t="s">
        <v>174</v>
      </c>
      <c r="D159" s="68"/>
      <c r="E159" s="68" t="s">
        <v>243</v>
      </c>
      <c r="F159" s="68" t="s">
        <v>18</v>
      </c>
      <c r="G159" s="68" t="s">
        <v>446</v>
      </c>
      <c r="H159" s="68" t="s">
        <v>446</v>
      </c>
      <c r="I159" s="71" t="s">
        <v>197</v>
      </c>
      <c r="J159" s="68" t="s">
        <v>648</v>
      </c>
      <c r="K159" s="236">
        <f>VLOOKUP($A159,订货1!$A159:$A402,1,0)</f>
        <v>101672</v>
      </c>
      <c r="L159" s="245" t="str">
        <f>VLOOKUP($A159,订货1!$A159:$G402,7,0)</f>
        <v>山東三涛食品有限公司</v>
      </c>
      <c r="M159" s="237" t="str">
        <f>VLOOKUP($A159,订货1!$A159:$B402,2,0)</f>
        <v>速冻甜玉米粒</v>
      </c>
      <c r="N159" s="72">
        <f t="shared" si="22"/>
        <v>45978</v>
      </c>
      <c r="O159" s="49" t="str">
        <f>VLOOKUP($A159,订货1!$A159:$C402,3,0)</f>
        <v>冷凍</v>
      </c>
      <c r="P159" s="44" t="str">
        <f>VLOOKUP($A159,订货1!$A159:$E402,5,0)</f>
        <v>3kg*4pc</v>
      </c>
      <c r="Q159" s="49" t="str">
        <f>VLOOKUP($A159,订货1!$A159:$F402,6,0)</f>
        <v>箱</v>
      </c>
      <c r="R159" s="167">
        <f t="shared" ca="1" si="15"/>
        <v>0</v>
      </c>
      <c r="S159" s="105" t="s">
        <v>866</v>
      </c>
      <c r="T159" s="85">
        <f ca="1">SUMIF(预估营业额3!$B$3:$B$39,"&gt;="&amp;$H$2,预估营业额3!$E$3:$E$39)-SUMIF(预估营业额3!$B$3:$B$39,"&gt;"&amp;N159,预估营业额3!$E$3:$E$39)</f>
        <v>0</v>
      </c>
      <c r="U159" s="219">
        <v>0.4</v>
      </c>
      <c r="V159" s="168">
        <v>1</v>
      </c>
      <c r="W159" s="182">
        <f t="shared" ca="1" si="16"/>
        <v>0</v>
      </c>
      <c r="X159" s="214">
        <v>2</v>
      </c>
      <c r="Y159" s="62">
        <f t="shared" si="17"/>
        <v>1</v>
      </c>
      <c r="Z159" s="54">
        <v>1</v>
      </c>
      <c r="AA159" s="54"/>
      <c r="AB159" s="222"/>
      <c r="AC159" s="222">
        <v>1</v>
      </c>
      <c r="AD159" s="222"/>
      <c r="AE159" s="222">
        <v>1</v>
      </c>
      <c r="AF159" s="222">
        <v>1</v>
      </c>
      <c r="AG159" s="222">
        <v>2</v>
      </c>
      <c r="AH159" s="222"/>
      <c r="AI159" s="222">
        <v>1</v>
      </c>
      <c r="AJ159" s="222">
        <v>1</v>
      </c>
      <c r="AK159" s="222"/>
      <c r="AL159" s="222"/>
      <c r="AM159" s="222">
        <v>2</v>
      </c>
      <c r="AN159" s="222">
        <v>1</v>
      </c>
      <c r="AO159" s="222">
        <v>1</v>
      </c>
      <c r="AP159" s="222"/>
      <c r="AQ159" s="222"/>
      <c r="AR159" s="222"/>
      <c r="AS159" s="222"/>
      <c r="AT159" s="222"/>
      <c r="AU159" s="222"/>
      <c r="AV159" s="222"/>
      <c r="AW159" s="222"/>
      <c r="AX159" s="222"/>
      <c r="AY159" s="222"/>
      <c r="AZ159" s="222"/>
      <c r="BA159" s="222"/>
      <c r="BB159" s="222"/>
      <c r="BC159" s="222"/>
      <c r="BD159" s="222"/>
      <c r="BE159" s="222"/>
      <c r="BF159" s="222"/>
      <c r="BG159" s="169" t="str">
        <f>VLOOKUP($A159,订货1!$A159:$I402,9,0)</f>
        <v>由仓库</v>
      </c>
      <c r="BH159" s="47" t="str">
        <f>VLOOKUP($A159,订货1!$A159:$H402,8,0)</f>
        <v>山東三涛食品有限公司</v>
      </c>
    </row>
    <row r="160" spans="1:60" ht="15.75" hidden="1" customHeight="1">
      <c r="A160" s="67">
        <v>301374</v>
      </c>
      <c r="B160" s="68" t="s">
        <v>353</v>
      </c>
      <c r="C160" s="69" t="s">
        <v>175</v>
      </c>
      <c r="D160" s="68"/>
      <c r="E160" s="68" t="s">
        <v>239</v>
      </c>
      <c r="F160" s="68" t="s">
        <v>18</v>
      </c>
      <c r="G160" s="68" t="s">
        <v>115</v>
      </c>
      <c r="H160" s="68" t="s">
        <v>172</v>
      </c>
      <c r="I160" s="71" t="s">
        <v>197</v>
      </c>
      <c r="J160" s="68" t="s">
        <v>649</v>
      </c>
      <c r="K160" s="236">
        <f>VLOOKUP($A160,订货1!$A160:$A403,1,0)</f>
        <v>301374</v>
      </c>
      <c r="L160" s="245" t="str">
        <f>VLOOKUP($A160,订货1!$A160:$G403,7,0)</f>
        <v>上海潜深实业有限公司</v>
      </c>
      <c r="M160" s="237" t="str">
        <f>VLOOKUP($A160,订货1!$A160:$B403,2,0)</f>
        <v>鑫阿拉红椰果罐头</v>
      </c>
      <c r="N160" s="72">
        <f t="shared" si="22"/>
        <v>45978</v>
      </c>
      <c r="O160" s="49" t="str">
        <f>VLOOKUP($A160,订货1!$A160:$C403,3,0)</f>
        <v>常温</v>
      </c>
      <c r="P160" s="44" t="str">
        <f>VLOOKUP($A160,订货1!$A160:$E403,5,0)</f>
        <v>3kg*6</v>
      </c>
      <c r="Q160" s="49" t="str">
        <f>VLOOKUP($A160,订货1!$A160:$F403,6,0)</f>
        <v>箱</v>
      </c>
      <c r="R160" s="167">
        <f t="shared" ca="1" si="15"/>
        <v>0</v>
      </c>
      <c r="S160" s="105" t="s">
        <v>487</v>
      </c>
      <c r="T160" s="85">
        <f ca="1">SUMIF(预估营业额3!$B$3:$B$39,"&gt;="&amp;$H$2,预估营业额3!$E$3:$E$39)-SUMIF(预估营业额3!$B$3:$B$39,"&gt;"&amp;N160,预估营业额3!$E$3:$E$39)</f>
        <v>0</v>
      </c>
      <c r="U160" s="219">
        <v>0</v>
      </c>
      <c r="V160" s="168">
        <v>1</v>
      </c>
      <c r="W160" s="182">
        <f t="shared" ca="1" si="16"/>
        <v>0</v>
      </c>
      <c r="X160" s="214"/>
      <c r="Y160" s="62">
        <f t="shared" si="17"/>
        <v>0</v>
      </c>
      <c r="Z160" s="54"/>
      <c r="AA160" s="54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  <c r="AM160" s="222"/>
      <c r="AN160" s="222"/>
      <c r="AO160" s="222"/>
      <c r="AP160" s="222"/>
      <c r="AQ160" s="222"/>
      <c r="AR160" s="222"/>
      <c r="AS160" s="222"/>
      <c r="AT160" s="222"/>
      <c r="AU160" s="222"/>
      <c r="AV160" s="222"/>
      <c r="AW160" s="222"/>
      <c r="AX160" s="222"/>
      <c r="AY160" s="222"/>
      <c r="AZ160" s="222"/>
      <c r="BA160" s="222"/>
      <c r="BB160" s="222"/>
      <c r="BC160" s="222"/>
      <c r="BD160" s="222"/>
      <c r="BE160" s="222"/>
      <c r="BF160" s="222"/>
      <c r="BG160" s="169" t="str">
        <f>VLOOKUP($A160,订货1!$A160:$I403,9,0)</f>
        <v>由仓库</v>
      </c>
      <c r="BH160" s="47" t="str">
        <f>VLOOKUP($A160,订货1!$A160:$H403,8,0)</f>
        <v>雷州市英利得宝罐头果脯食品厂</v>
      </c>
    </row>
    <row r="161" spans="1:60" ht="15.75" hidden="1" customHeight="1">
      <c r="A161" s="67">
        <v>101605</v>
      </c>
      <c r="B161" s="68" t="s">
        <v>349</v>
      </c>
      <c r="C161" s="69" t="s">
        <v>174</v>
      </c>
      <c r="D161" s="68"/>
      <c r="E161" s="68" t="s">
        <v>347</v>
      </c>
      <c r="F161" s="68" t="s">
        <v>18</v>
      </c>
      <c r="G161" s="68" t="s">
        <v>100</v>
      </c>
      <c r="H161" s="68" t="s">
        <v>100</v>
      </c>
      <c r="I161" s="71" t="s">
        <v>197</v>
      </c>
      <c r="J161" s="68" t="s">
        <v>873</v>
      </c>
      <c r="K161" s="236">
        <f>VLOOKUP($A161,订货1!$A161:$A404,1,0)</f>
        <v>101605</v>
      </c>
      <c r="L161" s="245" t="str">
        <f>VLOOKUP($A161,订货1!$A161:$G404,7,0)</f>
        <v>嘉兴铃吉食品有限公司</v>
      </c>
      <c r="M161" s="237" t="str">
        <f>VLOOKUP($A161,订货1!$A161:$B404,2,0)</f>
        <v>炸大蒜调味料（新）</v>
      </c>
      <c r="N161" s="72">
        <f t="shared" si="22"/>
        <v>45978</v>
      </c>
      <c r="O161" s="49" t="str">
        <f>VLOOKUP($A161,订货1!$A161:$C404,3,0)</f>
        <v>冷凍</v>
      </c>
      <c r="P161" s="44" t="str">
        <f>VLOOKUP($A161,订货1!$A161:$E404,5,0)</f>
        <v>0.5kg*6pkt</v>
      </c>
      <c r="Q161" s="49" t="str">
        <f>VLOOKUP($A161,订货1!$A161:$F404,6,0)</f>
        <v>箱</v>
      </c>
      <c r="R161" s="167">
        <f t="shared" ca="1" si="15"/>
        <v>0</v>
      </c>
      <c r="S161" s="105" t="s">
        <v>199</v>
      </c>
      <c r="T161" s="85">
        <f ca="1">SUMIF(预估营业额3!$B$3:$B$39,"&gt;="&amp;$H$2,预估营业额3!$E$3:$E$39)-SUMIF(预估营业额3!$B$3:$B$39,"&gt;"&amp;N161,预估营业额3!$E$3:$E$39)</f>
        <v>0</v>
      </c>
      <c r="U161" s="219">
        <v>0</v>
      </c>
      <c r="V161" s="168">
        <v>1</v>
      </c>
      <c r="W161" s="182">
        <f t="shared" ca="1" si="16"/>
        <v>0</v>
      </c>
      <c r="X161" s="214"/>
      <c r="Y161" s="62">
        <f t="shared" si="17"/>
        <v>0</v>
      </c>
      <c r="Z161" s="54"/>
      <c r="AA161" s="54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  <c r="AM161" s="222"/>
      <c r="AN161" s="222"/>
      <c r="AO161" s="222"/>
      <c r="AP161" s="222"/>
      <c r="AQ161" s="222"/>
      <c r="AR161" s="222"/>
      <c r="AS161" s="222"/>
      <c r="AT161" s="222"/>
      <c r="AU161" s="222"/>
      <c r="AV161" s="222"/>
      <c r="AW161" s="222"/>
      <c r="AX161" s="222"/>
      <c r="AY161" s="222"/>
      <c r="AZ161" s="222"/>
      <c r="BA161" s="222"/>
      <c r="BB161" s="222"/>
      <c r="BC161" s="222"/>
      <c r="BD161" s="222"/>
      <c r="BE161" s="222"/>
      <c r="BF161" s="222"/>
      <c r="BG161" s="169" t="str">
        <f>VLOOKUP($A161,订货1!$A161:$I404,9,0)</f>
        <v>由仓库</v>
      </c>
      <c r="BH161" s="47" t="str">
        <f>VLOOKUP($A161,订货1!$A161:$H404,8,0)</f>
        <v>嘉兴铃吉食品有限公司</v>
      </c>
    </row>
    <row r="162" spans="1:60" ht="15.75" customHeight="1">
      <c r="A162" s="67">
        <v>101606</v>
      </c>
      <c r="B162" s="68" t="s">
        <v>352</v>
      </c>
      <c r="C162" s="69" t="s">
        <v>174</v>
      </c>
      <c r="D162" s="68"/>
      <c r="E162" s="68" t="s">
        <v>354</v>
      </c>
      <c r="F162" s="68" t="s">
        <v>18</v>
      </c>
      <c r="G162" s="68" t="s">
        <v>325</v>
      </c>
      <c r="H162" s="68" t="s">
        <v>325</v>
      </c>
      <c r="I162" s="71" t="s">
        <v>197</v>
      </c>
      <c r="J162" s="68" t="s">
        <v>359</v>
      </c>
      <c r="K162" s="236">
        <f>VLOOKUP($A162,订货1!$A162:$A405,1,0)</f>
        <v>101606</v>
      </c>
      <c r="L162" s="245" t="str">
        <f>VLOOKUP($A162,订货1!$A162:$G405,7,0)</f>
        <v>上海盒成食品有限公司</v>
      </c>
      <c r="M162" s="237" t="str">
        <f>VLOOKUP($A162,订货1!$A162:$B405,2,0)</f>
        <v>冷冻三文鱼块（新）</v>
      </c>
      <c r="N162" s="72">
        <f t="shared" si="22"/>
        <v>45978</v>
      </c>
      <c r="O162" s="49" t="str">
        <f>VLOOKUP($A162,订货1!$A162:$C405,3,0)</f>
        <v>冷凍</v>
      </c>
      <c r="P162" s="44" t="str">
        <f>VLOOKUP($A162,订货1!$A162:$E405,5,0)</f>
        <v>0.12kg*50pc</v>
      </c>
      <c r="Q162" s="49" t="str">
        <f>VLOOKUP($A162,订货1!$A162:$F405,6,0)</f>
        <v>箱</v>
      </c>
      <c r="R162" s="167">
        <f t="shared" ca="1" si="15"/>
        <v>0</v>
      </c>
      <c r="S162" s="105" t="s">
        <v>199</v>
      </c>
      <c r="T162" s="85">
        <f ca="1">SUMIF(预估营业额3!$B$3:$B$39,"&gt;="&amp;$H$2,预估营业额3!$E$3:$E$39)-SUMIF(预估营业额3!$B$3:$B$39,"&gt;"&amp;N162,预估营业额3!$E$3:$E$39)</f>
        <v>0</v>
      </c>
      <c r="U162" s="219">
        <v>5.4515718698891512E-2</v>
      </c>
      <c r="V162" s="168">
        <v>1</v>
      </c>
      <c r="W162" s="182">
        <f t="shared" ca="1" si="16"/>
        <v>0</v>
      </c>
      <c r="X162" s="214">
        <v>0.4</v>
      </c>
      <c r="Y162" s="62">
        <f t="shared" si="17"/>
        <v>0</v>
      </c>
      <c r="Z162" s="54"/>
      <c r="AA162" s="54"/>
      <c r="AB162" s="222"/>
      <c r="AC162" s="222">
        <v>1</v>
      </c>
      <c r="AD162" s="222"/>
      <c r="AE162" s="222"/>
      <c r="AF162" s="222"/>
      <c r="AG162" s="222"/>
      <c r="AH162" s="222">
        <v>1</v>
      </c>
      <c r="AI162" s="222"/>
      <c r="AJ162" s="222"/>
      <c r="AK162" s="222"/>
      <c r="AL162" s="222"/>
      <c r="AM162" s="222"/>
      <c r="AN162" s="222"/>
      <c r="AO162" s="222">
        <v>1</v>
      </c>
      <c r="AP162" s="222"/>
      <c r="AQ162" s="222"/>
      <c r="AR162" s="222"/>
      <c r="AS162" s="222"/>
      <c r="AT162" s="222"/>
      <c r="AU162" s="222"/>
      <c r="AV162" s="222"/>
      <c r="AW162" s="222"/>
      <c r="AX162" s="222"/>
      <c r="AY162" s="222"/>
      <c r="AZ162" s="222"/>
      <c r="BA162" s="222"/>
      <c r="BB162" s="222"/>
      <c r="BC162" s="222"/>
      <c r="BD162" s="222"/>
      <c r="BE162" s="222"/>
      <c r="BF162" s="222"/>
      <c r="BG162" s="169" t="str">
        <f>VLOOKUP($A162,订货1!$A162:$I405,9,0)</f>
        <v>由仓库</v>
      </c>
      <c r="BH162" s="47" t="str">
        <f>VLOOKUP($A162,订货1!$A162:$H405,8,0)</f>
        <v>上海盒成食品有限公司</v>
      </c>
    </row>
    <row r="163" spans="1:60" ht="15.75" customHeight="1">
      <c r="A163" s="67">
        <v>101133</v>
      </c>
      <c r="B163" s="68" t="s">
        <v>67</v>
      </c>
      <c r="C163" s="69" t="s">
        <v>176</v>
      </c>
      <c r="D163" s="68"/>
      <c r="E163" s="68" t="s">
        <v>746</v>
      </c>
      <c r="F163" s="68" t="s">
        <v>18</v>
      </c>
      <c r="G163" s="68" t="s">
        <v>118</v>
      </c>
      <c r="H163" s="68" t="s">
        <v>120</v>
      </c>
      <c r="I163" s="71" t="s">
        <v>197</v>
      </c>
      <c r="J163" s="68" t="s">
        <v>650</v>
      </c>
      <c r="K163" s="236">
        <f>VLOOKUP($A163,订货1!$A163:$A406,1,0)</f>
        <v>101133</v>
      </c>
      <c r="L163" s="245" t="str">
        <f>VLOOKUP($A163,订货1!$A163:$G406,7,0)</f>
        <v>上海煦臻实业有限公司</v>
      </c>
      <c r="M163" s="237" t="str">
        <f>VLOOKUP($A163,订货1!$A163:$B406,2,0)</f>
        <v>丘比沙拉酱</v>
      </c>
      <c r="N163" s="72">
        <f t="shared" si="22"/>
        <v>45978</v>
      </c>
      <c r="O163" s="49" t="str">
        <f>VLOOKUP($A163,订货1!$A163:$C406,3,0)</f>
        <v>冷蔵</v>
      </c>
      <c r="P163" s="44" t="str">
        <f>VLOOKUP($A163,订货1!$A163:$E406,5,0)</f>
        <v>150g*24btl</v>
      </c>
      <c r="Q163" s="49" t="str">
        <f>VLOOKUP($A163,订货1!$A163:$F406,6,0)</f>
        <v>箱</v>
      </c>
      <c r="R163" s="167">
        <f t="shared" ca="1" si="15"/>
        <v>0</v>
      </c>
      <c r="S163" s="105" t="s">
        <v>199</v>
      </c>
      <c r="T163" s="85">
        <f ca="1">SUMIF(预估营业额3!$B$3:$B$39,"&gt;="&amp;$H$2,预估营业额3!$E$3:$E$39)-SUMIF(预估营业额3!$B$3:$B$39,"&gt;"&amp;N163,预估营业额3!$E$3:$E$39)</f>
        <v>0</v>
      </c>
      <c r="U163" s="219">
        <v>8.1540604891504383E-3</v>
      </c>
      <c r="V163" s="168">
        <v>1</v>
      </c>
      <c r="W163" s="182">
        <f t="shared" ca="1" si="16"/>
        <v>0</v>
      </c>
      <c r="X163" s="214">
        <v>1</v>
      </c>
      <c r="Y163" s="62">
        <f t="shared" si="17"/>
        <v>0</v>
      </c>
      <c r="Z163" s="54"/>
      <c r="AA163" s="54"/>
      <c r="AB163" s="222">
        <v>1</v>
      </c>
      <c r="AC163" s="222"/>
      <c r="AD163" s="222"/>
      <c r="AE163" s="222"/>
      <c r="AF163" s="222"/>
      <c r="AG163" s="222"/>
      <c r="AH163" s="222"/>
      <c r="AI163" s="222"/>
      <c r="AJ163" s="222"/>
      <c r="AK163" s="222"/>
      <c r="AL163" s="222"/>
      <c r="AM163" s="222"/>
      <c r="AN163" s="222"/>
      <c r="AO163" s="222"/>
      <c r="AP163" s="222"/>
      <c r="AQ163" s="222"/>
      <c r="AR163" s="222"/>
      <c r="AS163" s="222"/>
      <c r="AT163" s="222"/>
      <c r="AU163" s="222"/>
      <c r="AV163" s="222"/>
      <c r="AW163" s="222"/>
      <c r="AX163" s="222"/>
      <c r="AY163" s="222"/>
      <c r="AZ163" s="222"/>
      <c r="BA163" s="222"/>
      <c r="BB163" s="222"/>
      <c r="BC163" s="222"/>
      <c r="BD163" s="222"/>
      <c r="BE163" s="222"/>
      <c r="BF163" s="222"/>
      <c r="BG163" s="169" t="str">
        <f>VLOOKUP($A163,订货1!$A163:$I406,9,0)</f>
        <v>由仓库</v>
      </c>
      <c r="BH163" s="47" t="str">
        <f>VLOOKUP($A163,订货1!$A163:$H406,8,0)</f>
        <v xml:space="preserve">杭州丘比食品有限公司 </v>
      </c>
    </row>
    <row r="164" spans="1:60" ht="15.75" customHeight="1">
      <c r="A164" s="67">
        <v>101655</v>
      </c>
      <c r="B164" s="68" t="s">
        <v>418</v>
      </c>
      <c r="C164" s="69" t="s">
        <v>174</v>
      </c>
      <c r="D164" s="68"/>
      <c r="E164" s="68" t="s">
        <v>464</v>
      </c>
      <c r="F164" s="68" t="s">
        <v>18</v>
      </c>
      <c r="G164" s="68" t="s">
        <v>419</v>
      </c>
      <c r="H164" s="68" t="s">
        <v>419</v>
      </c>
      <c r="I164" s="71" t="s">
        <v>197</v>
      </c>
      <c r="J164" s="68" t="s">
        <v>651</v>
      </c>
      <c r="K164" s="236">
        <f>VLOOKUP($A164,订货1!$A164:$A407,1,0)</f>
        <v>101655</v>
      </c>
      <c r="L164" s="245" t="str">
        <f>VLOOKUP($A164,订货1!$A164:$G407,7,0)</f>
        <v>湛江国联水产开发股份有限公司</v>
      </c>
      <c r="M164" s="237" t="str">
        <f>VLOOKUP($A164,订货1!$A164:$B407,2,0)</f>
        <v>面包虾</v>
      </c>
      <c r="N164" s="225">
        <f t="shared" si="22"/>
        <v>45978</v>
      </c>
      <c r="O164" s="226" t="str">
        <f>VLOOKUP($A164,订货1!$A164:$C407,3,0)</f>
        <v>冷凍</v>
      </c>
      <c r="P164" s="211" t="str">
        <f>VLOOKUP($A164,订货1!$A164:$E407,5,0)</f>
        <v>0.5kg*16pc</v>
      </c>
      <c r="Q164" s="226" t="str">
        <f>VLOOKUP($A164,订货1!$A164:$F407,6,0)</f>
        <v>箱</v>
      </c>
      <c r="R164" s="227">
        <f t="shared" ca="1" si="15"/>
        <v>0</v>
      </c>
      <c r="S164" s="105" t="s">
        <v>199</v>
      </c>
      <c r="T164" s="85">
        <f ca="1">SUMIF(预估营业额3!$B$3:$B$39,"&gt;="&amp;$H$2,预估营业额3!$E$3:$E$39)-SUMIF(预估营业额3!$B$3:$B$39,"&gt;"&amp;N164,预估营业额3!$E$3:$E$39)</f>
        <v>0</v>
      </c>
      <c r="U164" s="219">
        <v>3.8964760480297463E-2</v>
      </c>
      <c r="V164" s="168">
        <v>1</v>
      </c>
      <c r="W164" s="182">
        <f t="shared" ca="1" si="16"/>
        <v>0</v>
      </c>
      <c r="X164" s="214">
        <v>0.625</v>
      </c>
      <c r="Y164" s="62">
        <f t="shared" si="17"/>
        <v>0</v>
      </c>
      <c r="Z164" s="54"/>
      <c r="AA164" s="54"/>
      <c r="AB164" s="222"/>
      <c r="AC164" s="222"/>
      <c r="AD164" s="222"/>
      <c r="AE164" s="222">
        <v>1</v>
      </c>
      <c r="AF164" s="222"/>
      <c r="AG164" s="222"/>
      <c r="AH164" s="222"/>
      <c r="AI164" s="222"/>
      <c r="AJ164" s="222"/>
      <c r="AK164" s="222"/>
      <c r="AL164" s="222"/>
      <c r="AM164" s="222">
        <v>1</v>
      </c>
      <c r="AN164" s="222"/>
      <c r="AO164" s="222"/>
      <c r="AP164" s="222"/>
      <c r="AQ164" s="222"/>
      <c r="AR164" s="222"/>
      <c r="AS164" s="222"/>
      <c r="AT164" s="222"/>
      <c r="AU164" s="222"/>
      <c r="AV164" s="222"/>
      <c r="AW164" s="222"/>
      <c r="AX164" s="222"/>
      <c r="AY164" s="222"/>
      <c r="AZ164" s="222"/>
      <c r="BA164" s="222"/>
      <c r="BB164" s="222"/>
      <c r="BC164" s="222"/>
      <c r="BD164" s="222"/>
      <c r="BE164" s="222"/>
      <c r="BF164" s="222"/>
      <c r="BG164" s="169" t="str">
        <f>VLOOKUP($A164,订货1!$A164:$I407,9,0)</f>
        <v>由仓库</v>
      </c>
      <c r="BH164" s="47" t="str">
        <f>VLOOKUP($A164,订货1!$A164:$H407,8,0)</f>
        <v>湛江国联水产开发股份有限公司</v>
      </c>
    </row>
    <row r="165" spans="1:60" ht="15.75" customHeight="1">
      <c r="A165" s="67">
        <v>101145</v>
      </c>
      <c r="B165" s="68" t="s">
        <v>154</v>
      </c>
      <c r="C165" s="69" t="s">
        <v>175</v>
      </c>
      <c r="D165" s="68"/>
      <c r="E165" s="68" t="s">
        <v>261</v>
      </c>
      <c r="F165" s="68" t="s">
        <v>18</v>
      </c>
      <c r="G165" s="68" t="s">
        <v>118</v>
      </c>
      <c r="H165" s="68" t="s">
        <v>125</v>
      </c>
      <c r="I165" s="71" t="s">
        <v>197</v>
      </c>
      <c r="J165" s="68" t="s">
        <v>652</v>
      </c>
      <c r="K165" s="236">
        <f>VLOOKUP($A165,订货1!$A165:$A408,1,0)</f>
        <v>101145</v>
      </c>
      <c r="L165" s="245" t="str">
        <f>VLOOKUP($A165,订货1!$A165:$G408,7,0)</f>
        <v>上海煦臻实业有限公司</v>
      </c>
      <c r="M165" s="237" t="str">
        <f>VLOOKUP($A165,订货1!$A165:$B408,2,0)</f>
        <v>精制盐</v>
      </c>
      <c r="N165" s="72">
        <f t="shared" si="22"/>
        <v>45978</v>
      </c>
      <c r="O165" s="49" t="str">
        <f>VLOOKUP($A165,订货1!$A165:$C408,3,0)</f>
        <v>常温</v>
      </c>
      <c r="P165" s="44" t="str">
        <f>VLOOKUP($A165,订货1!$A165:$E408,5,0)</f>
        <v>0.5kg*40pc</v>
      </c>
      <c r="Q165" s="49" t="str">
        <f>VLOOKUP($A165,订货1!$A165:$F408,6,0)</f>
        <v>箱</v>
      </c>
      <c r="R165" s="167">
        <f t="shared" ca="1" si="15"/>
        <v>0</v>
      </c>
      <c r="S165" s="105" t="s">
        <v>199</v>
      </c>
      <c r="T165" s="85">
        <f ca="1">SUMIF(预估营业额3!$B$3:$B$39,"&gt;="&amp;$H$2,预估营业额3!$E$3:$E$39)-SUMIF(预估营业额3!$B$3:$B$39,"&gt;"&amp;N165,预估营业额3!$E$3:$E$39)</f>
        <v>0</v>
      </c>
      <c r="U165" s="219">
        <v>1.7822446497714532E-2</v>
      </c>
      <c r="V165" s="168">
        <v>1</v>
      </c>
      <c r="W165" s="182">
        <f t="shared" ca="1" si="16"/>
        <v>0</v>
      </c>
      <c r="X165" s="214">
        <v>0.32500000000000001</v>
      </c>
      <c r="Y165" s="62">
        <f t="shared" si="17"/>
        <v>0</v>
      </c>
      <c r="Z165" s="54"/>
      <c r="AA165" s="54"/>
      <c r="AB165" s="222"/>
      <c r="AC165" s="222"/>
      <c r="AD165" s="222"/>
      <c r="AE165" s="222"/>
      <c r="AF165" s="222"/>
      <c r="AG165" s="222"/>
      <c r="AH165" s="222"/>
      <c r="AI165" s="222"/>
      <c r="AJ165" s="222"/>
      <c r="AK165" s="222"/>
      <c r="AL165" s="222"/>
      <c r="AM165" s="222">
        <v>1</v>
      </c>
      <c r="AN165" s="222"/>
      <c r="AO165" s="222"/>
      <c r="AP165" s="222"/>
      <c r="AQ165" s="222"/>
      <c r="AR165" s="222"/>
      <c r="AS165" s="222"/>
      <c r="AT165" s="222"/>
      <c r="AU165" s="222"/>
      <c r="AV165" s="222"/>
      <c r="AW165" s="222"/>
      <c r="AX165" s="222"/>
      <c r="AY165" s="222"/>
      <c r="AZ165" s="222"/>
      <c r="BA165" s="222"/>
      <c r="BB165" s="222"/>
      <c r="BC165" s="222"/>
      <c r="BD165" s="222"/>
      <c r="BE165" s="222"/>
      <c r="BF165" s="222"/>
      <c r="BG165" s="169" t="str">
        <f>VLOOKUP($A165,订货1!$A165:$I408,9,0)</f>
        <v>由仓库</v>
      </c>
      <c r="BH165" s="47" t="str">
        <f>VLOOKUP($A165,订货1!$A165:$H408,8,0)</f>
        <v>中盐金坛盐化有限责任公司</v>
      </c>
    </row>
    <row r="166" spans="1:60" ht="15.75" customHeight="1">
      <c r="A166" s="255">
        <v>101731</v>
      </c>
      <c r="B166" s="256" t="s">
        <v>826</v>
      </c>
      <c r="C166" s="296" t="s">
        <v>174</v>
      </c>
      <c r="D166" s="256"/>
      <c r="E166" s="256" t="s">
        <v>569</v>
      </c>
      <c r="F166" s="256" t="s">
        <v>18</v>
      </c>
      <c r="G166" s="68" t="s">
        <v>419</v>
      </c>
      <c r="H166" s="68" t="s">
        <v>827</v>
      </c>
      <c r="I166" s="71" t="s">
        <v>197</v>
      </c>
      <c r="J166" s="68" t="s">
        <v>653</v>
      </c>
      <c r="K166" s="275">
        <f>VLOOKUP($A166,订货1!$A166:$A409,1,0)</f>
        <v>101731</v>
      </c>
      <c r="L166" s="276" t="str">
        <f>VLOOKUP($A166,订货1!$A166:$G409,7,0)</f>
        <v>湛江国联水产开发股份有限公司</v>
      </c>
      <c r="M166" s="277" t="str">
        <f>VLOOKUP($A166,订货1!$A166:$B409,2,0)</f>
        <v>免浆罗非鱼片</v>
      </c>
      <c r="N166" s="289">
        <f t="shared" si="22"/>
        <v>45978</v>
      </c>
      <c r="O166" s="290" t="str">
        <f>VLOOKUP($A166,订货1!$A166:$C409,3,0)</f>
        <v>冷凍</v>
      </c>
      <c r="P166" s="291" t="str">
        <f>VLOOKUP($A166,订货1!$A166:$E409,5,0)</f>
        <v>50*100g</v>
      </c>
      <c r="Q166" s="290" t="str">
        <f>VLOOKUP($A166,订货1!$A166:$F409,6,0)</f>
        <v>箱</v>
      </c>
      <c r="R166" s="295">
        <f t="shared" ca="1" si="15"/>
        <v>0</v>
      </c>
      <c r="S166" s="228" t="s">
        <v>199</v>
      </c>
      <c r="T166" s="85">
        <f ca="1">SUMIF(预估营业额3!$B$3:$B$39,"&gt;="&amp;$H$2,预估营业额3!$E$3:$E$39)-SUMIF(预估营业额3!$B$3:$B$39,"&gt;"&amp;N166,预估营业额3!$E$3:$E$39)</f>
        <v>0</v>
      </c>
      <c r="U166" s="219">
        <v>0.05</v>
      </c>
      <c r="V166" s="168">
        <v>1</v>
      </c>
      <c r="W166" s="182">
        <f t="shared" ca="1" si="16"/>
        <v>0</v>
      </c>
      <c r="X166" s="214">
        <v>0.8</v>
      </c>
      <c r="Y166" s="62">
        <f t="shared" si="17"/>
        <v>0</v>
      </c>
      <c r="Z166" s="54"/>
      <c r="AA166" s="54"/>
      <c r="AB166" s="222"/>
      <c r="AC166" s="222">
        <v>1</v>
      </c>
      <c r="AD166" s="222"/>
      <c r="AE166" s="222"/>
      <c r="AF166" s="222"/>
      <c r="AG166" s="222"/>
      <c r="AH166" s="222">
        <v>1</v>
      </c>
      <c r="AI166" s="222"/>
      <c r="AJ166" s="222"/>
      <c r="AK166" s="222"/>
      <c r="AL166" s="222"/>
      <c r="AM166" s="222">
        <v>1</v>
      </c>
      <c r="AN166" s="222"/>
      <c r="AO166" s="222"/>
      <c r="AP166" s="222"/>
      <c r="AQ166" s="222"/>
      <c r="AR166" s="222"/>
      <c r="AS166" s="222"/>
      <c r="AT166" s="222"/>
      <c r="AU166" s="222"/>
      <c r="AV166" s="222"/>
      <c r="AW166" s="222"/>
      <c r="AX166" s="222"/>
      <c r="AY166" s="222"/>
      <c r="AZ166" s="222"/>
      <c r="BA166" s="222"/>
      <c r="BB166" s="222"/>
      <c r="BC166" s="222"/>
      <c r="BD166" s="222"/>
      <c r="BE166" s="222"/>
      <c r="BF166" s="222"/>
      <c r="BG166" s="169" t="str">
        <f>VLOOKUP($A166,订货1!$A166:$I409,9,0)</f>
        <v>由仓库</v>
      </c>
      <c r="BH166" s="47" t="str">
        <f>VLOOKUP($A166,订货1!$A166:$H409,8,0)</f>
        <v>广东国美水产食品有限公司</v>
      </c>
    </row>
    <row r="167" spans="1:60" ht="15.75" customHeight="1">
      <c r="A167" s="67">
        <v>101782</v>
      </c>
      <c r="B167" s="68" t="s">
        <v>482</v>
      </c>
      <c r="C167" s="69" t="s">
        <v>175</v>
      </c>
      <c r="D167" s="68"/>
      <c r="E167" s="68" t="s">
        <v>459</v>
      </c>
      <c r="F167" s="68" t="s">
        <v>18</v>
      </c>
      <c r="G167" s="68" t="s">
        <v>903</v>
      </c>
      <c r="H167" s="68" t="s">
        <v>483</v>
      </c>
      <c r="I167" s="71" t="s">
        <v>197</v>
      </c>
      <c r="J167" s="68" t="s">
        <v>654</v>
      </c>
      <c r="K167" s="236">
        <f>VLOOKUP($A167,订货1!$A167:$A410,1,0)</f>
        <v>101782</v>
      </c>
      <c r="L167" s="245" t="str">
        <f>VLOOKUP($A167,订货1!$A167:$G410,7,0)</f>
        <v>中粮屯河番茄有限公司</v>
      </c>
      <c r="M167" s="237" t="str">
        <f>VLOOKUP($A167,订货1!$A167:$B410,2,0)</f>
        <v>屯河番茄丁</v>
      </c>
      <c r="N167" s="72">
        <f t="shared" si="22"/>
        <v>45978</v>
      </c>
      <c r="O167" s="49" t="str">
        <f>VLOOKUP($A167,订货1!$A167:$C410,3,0)</f>
        <v>常温</v>
      </c>
      <c r="P167" s="44" t="str">
        <f>VLOOKUP($A167,订货1!$A167:$E410,5,0)</f>
        <v>2.85kg*6can</v>
      </c>
      <c r="Q167" s="49" t="str">
        <f>VLOOKUP($A167,订货1!$A167:$F410,6,0)</f>
        <v>箱</v>
      </c>
      <c r="R167" s="167">
        <f t="shared" ca="1" si="15"/>
        <v>0</v>
      </c>
      <c r="S167" s="185" t="s">
        <v>207</v>
      </c>
      <c r="T167" s="85">
        <f ca="1">SUMIF(预估营业额3!$B$3:$B$39,"&gt;="&amp;$H$2,预估营业额3!$E$3:$E$39)-SUMIF(预估营业额3!$B$3:$B$39,"&gt;"&amp;N167,预估营业额3!$E$3:$E$39)</f>
        <v>0</v>
      </c>
      <c r="U167" s="219">
        <v>0.1</v>
      </c>
      <c r="V167" s="168">
        <v>1</v>
      </c>
      <c r="W167" s="182">
        <f t="shared" ca="1" si="16"/>
        <v>0</v>
      </c>
      <c r="X167" s="214">
        <v>0.8</v>
      </c>
      <c r="Y167" s="62">
        <f t="shared" si="17"/>
        <v>0</v>
      </c>
      <c r="Z167" s="54"/>
      <c r="AA167" s="54"/>
      <c r="AB167" s="222"/>
      <c r="AC167" s="222"/>
      <c r="AD167" s="222"/>
      <c r="AE167" s="222"/>
      <c r="AF167" s="222"/>
      <c r="AG167" s="222"/>
      <c r="AH167" s="222"/>
      <c r="AI167" s="222"/>
      <c r="AJ167" s="222"/>
      <c r="AK167" s="222"/>
      <c r="AL167" s="222"/>
      <c r="AM167" s="222">
        <v>1</v>
      </c>
      <c r="AN167" s="222"/>
      <c r="AO167" s="222">
        <v>1</v>
      </c>
      <c r="AP167" s="222"/>
      <c r="AQ167" s="222"/>
      <c r="AR167" s="222"/>
      <c r="AS167" s="222"/>
      <c r="AT167" s="222"/>
      <c r="AU167" s="222"/>
      <c r="AV167" s="222"/>
      <c r="AW167" s="222"/>
      <c r="AX167" s="222"/>
      <c r="AY167" s="222"/>
      <c r="AZ167" s="222"/>
      <c r="BA167" s="222"/>
      <c r="BB167" s="222"/>
      <c r="BC167" s="222"/>
      <c r="BD167" s="222"/>
      <c r="BE167" s="222"/>
      <c r="BF167" s="222"/>
      <c r="BG167" s="169" t="str">
        <f>VLOOKUP($A167,订货1!$A167:$I410,9,0)</f>
        <v>由仓库</v>
      </c>
      <c r="BH167" s="47" t="str">
        <f>VLOOKUP($A167,订货1!$A167:$H410,8,0)</f>
        <v>中粮屯河（杭锦后旗）番茄制品有限公司</v>
      </c>
    </row>
    <row r="168" spans="1:60" ht="15.75" customHeight="1">
      <c r="A168" s="67">
        <v>101258</v>
      </c>
      <c r="B168" s="68" t="s">
        <v>155</v>
      </c>
      <c r="C168" s="70" t="s">
        <v>175</v>
      </c>
      <c r="D168" s="68"/>
      <c r="E168" s="68" t="s">
        <v>263</v>
      </c>
      <c r="F168" s="68" t="s">
        <v>15</v>
      </c>
      <c r="G168" s="68" t="s">
        <v>118</v>
      </c>
      <c r="H168" s="68" t="s">
        <v>123</v>
      </c>
      <c r="I168" s="71" t="s">
        <v>197</v>
      </c>
      <c r="J168" s="68" t="s">
        <v>655</v>
      </c>
      <c r="K168" s="236">
        <f>VLOOKUP($A168,订货1!$A168:$A411,1,0)</f>
        <v>101258</v>
      </c>
      <c r="L168" s="245" t="str">
        <f>VLOOKUP($A168,订货1!$A168:$G411,7,0)</f>
        <v>上海煦臻实业有限公司</v>
      </c>
      <c r="M168" s="237" t="str">
        <f>VLOOKUP($A168,订货1!$A168:$B411,2,0)</f>
        <v>脱水欧芹片</v>
      </c>
      <c r="N168" s="72">
        <f t="shared" si="22"/>
        <v>45978</v>
      </c>
      <c r="O168" s="49" t="str">
        <f>VLOOKUP($A168,订货1!$A168:$C411,3,0)</f>
        <v>常温</v>
      </c>
      <c r="P168" s="44" t="str">
        <f>VLOOKUP($A168,订货1!$A168:$E411,5,0)</f>
        <v>150g</v>
      </c>
      <c r="Q168" s="49" t="str">
        <f>VLOOKUP($A168,订货1!$A168:$F411,6,0)</f>
        <v>袋</v>
      </c>
      <c r="R168" s="167">
        <f t="shared" ca="1" si="15"/>
        <v>0</v>
      </c>
      <c r="S168" s="105" t="s">
        <v>199</v>
      </c>
      <c r="T168" s="85">
        <f ca="1">SUMIF(预估营业额3!$B$3:$B$39,"&gt;="&amp;$H$2,预估营业额3!$E$3:$E$39)-SUMIF(预估营业额3!$B$3:$B$39,"&gt;"&amp;N168,预估营业额3!$E$3:$E$39)</f>
        <v>0</v>
      </c>
      <c r="U168" s="219">
        <v>8.0000000000000002E-3</v>
      </c>
      <c r="V168" s="168">
        <v>1</v>
      </c>
      <c r="W168" s="182">
        <f t="shared" ca="1" si="16"/>
        <v>0</v>
      </c>
      <c r="X168" s="214">
        <v>1</v>
      </c>
      <c r="Y168" s="62">
        <f t="shared" si="17"/>
        <v>0</v>
      </c>
      <c r="Z168" s="54"/>
      <c r="AA168" s="54"/>
      <c r="AB168" s="222"/>
      <c r="AC168" s="222"/>
      <c r="AD168" s="222"/>
      <c r="AE168" s="222"/>
      <c r="AF168" s="222"/>
      <c r="AG168" s="222"/>
      <c r="AH168" s="222"/>
      <c r="AI168" s="222"/>
      <c r="AJ168" s="222"/>
      <c r="AK168" s="222"/>
      <c r="AL168" s="222"/>
      <c r="AM168" s="222"/>
      <c r="AN168" s="222"/>
      <c r="AO168" s="222"/>
      <c r="AP168" s="222"/>
      <c r="AQ168" s="222"/>
      <c r="AR168" s="222"/>
      <c r="AS168" s="222"/>
      <c r="AT168" s="222"/>
      <c r="AU168" s="222"/>
      <c r="AV168" s="222"/>
      <c r="AW168" s="222"/>
      <c r="AX168" s="222"/>
      <c r="AY168" s="222"/>
      <c r="AZ168" s="222"/>
      <c r="BA168" s="222"/>
      <c r="BB168" s="222"/>
      <c r="BC168" s="222"/>
      <c r="BD168" s="222"/>
      <c r="BE168" s="222"/>
      <c r="BF168" s="222"/>
      <c r="BG168" s="169" t="str">
        <f>VLOOKUP($A168,订货1!$A168:$I411,9,0)</f>
        <v>由仓库</v>
      </c>
      <c r="BH168" s="47" t="str">
        <f>VLOOKUP($A168,订货1!$A168:$H411,8,0)</f>
        <v>福克斯食品有限公司</v>
      </c>
    </row>
    <row r="169" spans="1:60" ht="15.75" hidden="1" customHeight="1">
      <c r="A169" s="173">
        <v>401018</v>
      </c>
      <c r="B169" s="172" t="s">
        <v>396</v>
      </c>
      <c r="C169" s="70" t="s">
        <v>174</v>
      </c>
      <c r="D169" s="68"/>
      <c r="E169" s="68" t="s">
        <v>136</v>
      </c>
      <c r="F169" s="68" t="s">
        <v>18</v>
      </c>
      <c r="G169" s="68" t="s">
        <v>102</v>
      </c>
      <c r="H169" s="68" t="s">
        <v>399</v>
      </c>
      <c r="I169" s="71" t="s">
        <v>197</v>
      </c>
      <c r="J169" s="68" t="s">
        <v>656</v>
      </c>
      <c r="K169" s="236">
        <f>VLOOKUP($A169,订货1!$A169:$A412,1,0)</f>
        <v>401018</v>
      </c>
      <c r="L169" s="245" t="str">
        <f>VLOOKUP($A169,订货1!$A169:$G412,7,0)</f>
        <v>上海蓬澜食品有限公司</v>
      </c>
      <c r="M169" s="237" t="str">
        <f>VLOOKUP($A169,订货1!$A169:$B412,2,0)</f>
        <v>五目肠</v>
      </c>
      <c r="N169" s="72">
        <f t="shared" si="22"/>
        <v>45978</v>
      </c>
      <c r="O169" s="49" t="str">
        <f>VLOOKUP($A169,订货1!$A169:$C412,3,0)</f>
        <v>冷凍</v>
      </c>
      <c r="P169" s="44" t="str">
        <f>VLOOKUP($A169,订货1!$A169:$E412,5,0)</f>
        <v>1kg*10pc</v>
      </c>
      <c r="Q169" s="49" t="str">
        <f>VLOOKUP($A169,订货1!$A169:$F412,6,0)</f>
        <v>箱</v>
      </c>
      <c r="R169" s="167">
        <f t="shared" ca="1" si="15"/>
        <v>0</v>
      </c>
      <c r="S169" s="185" t="s">
        <v>556</v>
      </c>
      <c r="T169" s="85">
        <f ca="1">SUMIF(预估营业额3!$B$3:$B$39,"&gt;="&amp;$H$2,预估营业额3!$E$3:$E$39)-SUMIF(预估营业额3!$B$3:$B$39,"&gt;"&amp;N169,预估营业额3!$E$3:$E$39)</f>
        <v>0</v>
      </c>
      <c r="U169" s="219">
        <v>0</v>
      </c>
      <c r="V169" s="168">
        <v>1.1000000000000001</v>
      </c>
      <c r="W169" s="182">
        <f t="shared" ca="1" si="16"/>
        <v>0</v>
      </c>
      <c r="X169" s="214"/>
      <c r="Y169" s="62">
        <f t="shared" si="17"/>
        <v>0</v>
      </c>
      <c r="Z169" s="54"/>
      <c r="AA169" s="54"/>
      <c r="AB169" s="222"/>
      <c r="AC169" s="222"/>
      <c r="AD169" s="222"/>
      <c r="AE169" s="222"/>
      <c r="AF169" s="222"/>
      <c r="AG169" s="222"/>
      <c r="AH169" s="222"/>
      <c r="AI169" s="222"/>
      <c r="AJ169" s="222"/>
      <c r="AK169" s="222"/>
      <c r="AL169" s="222"/>
      <c r="AM169" s="222"/>
      <c r="AN169" s="222"/>
      <c r="AO169" s="222"/>
      <c r="AP169" s="222"/>
      <c r="AQ169" s="222"/>
      <c r="AR169" s="222"/>
      <c r="AS169" s="222"/>
      <c r="AT169" s="222"/>
      <c r="AU169" s="222"/>
      <c r="AV169" s="222"/>
      <c r="AW169" s="222"/>
      <c r="AX169" s="222"/>
      <c r="AY169" s="222"/>
      <c r="AZ169" s="222"/>
      <c r="BA169" s="222"/>
      <c r="BB169" s="222"/>
      <c r="BC169" s="222"/>
      <c r="BD169" s="222"/>
      <c r="BE169" s="222"/>
      <c r="BF169" s="222"/>
      <c r="BG169" s="169" t="str">
        <f>VLOOKUP($A169,订货1!$A169:$I412,9,0)</f>
        <v>由仓库</v>
      </c>
      <c r="BH169" s="47" t="str">
        <f>VLOOKUP($A169,订货1!$A169:$H412,8,0)</f>
        <v>三旺实业有限公司</v>
      </c>
    </row>
    <row r="170" spans="1:60" ht="15.75" hidden="1" customHeight="1">
      <c r="A170" s="173">
        <v>101632</v>
      </c>
      <c r="B170" s="172" t="s">
        <v>397</v>
      </c>
      <c r="C170" s="70" t="s">
        <v>174</v>
      </c>
      <c r="D170" s="68"/>
      <c r="E170" s="68" t="s">
        <v>348</v>
      </c>
      <c r="F170" s="68" t="s">
        <v>18</v>
      </c>
      <c r="G170" s="68" t="s">
        <v>102</v>
      </c>
      <c r="H170" s="68" t="s">
        <v>399</v>
      </c>
      <c r="I170" s="71" t="s">
        <v>197</v>
      </c>
      <c r="J170" s="68" t="s">
        <v>657</v>
      </c>
      <c r="K170" s="236">
        <f>VLOOKUP($A170,订货1!$A170:$A413,1,0)</f>
        <v>101632</v>
      </c>
      <c r="L170" s="245" t="str">
        <f>VLOOKUP($A170,订货1!$A170:$G413,7,0)</f>
        <v>上海蓬澜食品有限公司</v>
      </c>
      <c r="M170" s="237" t="str">
        <f>VLOOKUP($A170,订货1!$A170:$B413,2,0)</f>
        <v>烟熏烤肠</v>
      </c>
      <c r="N170" s="72">
        <f t="shared" si="22"/>
        <v>45978</v>
      </c>
      <c r="O170" s="49" t="str">
        <f>VLOOKUP($A170,订货1!$A170:$C413,3,0)</f>
        <v>冷凍</v>
      </c>
      <c r="P170" s="44" t="str">
        <f>VLOOKUP($A170,订货1!$A170:$E413,5,0)</f>
        <v>1kg*10pkt</v>
      </c>
      <c r="Q170" s="49" t="str">
        <f>VLOOKUP($A170,订货1!$A170:$F413,6,0)</f>
        <v>箱</v>
      </c>
      <c r="R170" s="167">
        <f t="shared" ca="1" si="15"/>
        <v>0</v>
      </c>
      <c r="S170" s="185" t="s">
        <v>556</v>
      </c>
      <c r="T170" s="85">
        <f ca="1">SUMIF(预估营业额3!$B$3:$B$39,"&gt;="&amp;$H$2,预估营业额3!$E$3:$E$39)-SUMIF(预估营业额3!$B$3:$B$39,"&gt;"&amp;N170,预估营业额3!$E$3:$E$39)</f>
        <v>0</v>
      </c>
      <c r="U170" s="219">
        <v>0</v>
      </c>
      <c r="V170" s="168">
        <v>1.1000000000000001</v>
      </c>
      <c r="W170" s="182">
        <f t="shared" ca="1" si="16"/>
        <v>0</v>
      </c>
      <c r="X170" s="214"/>
      <c r="Y170" s="62">
        <f t="shared" si="17"/>
        <v>0</v>
      </c>
      <c r="Z170" s="54"/>
      <c r="AA170" s="54"/>
      <c r="AB170" s="222"/>
      <c r="AC170" s="222"/>
      <c r="AD170" s="222"/>
      <c r="AE170" s="222"/>
      <c r="AF170" s="222"/>
      <c r="AG170" s="222"/>
      <c r="AH170" s="222"/>
      <c r="AI170" s="222"/>
      <c r="AJ170" s="222"/>
      <c r="AK170" s="222"/>
      <c r="AL170" s="222"/>
      <c r="AM170" s="222"/>
      <c r="AN170" s="222"/>
      <c r="AO170" s="222"/>
      <c r="AP170" s="222"/>
      <c r="AQ170" s="222"/>
      <c r="AR170" s="222"/>
      <c r="AS170" s="222"/>
      <c r="AT170" s="222"/>
      <c r="AU170" s="222"/>
      <c r="AV170" s="222"/>
      <c r="AW170" s="222"/>
      <c r="AX170" s="222"/>
      <c r="AY170" s="222"/>
      <c r="AZ170" s="222"/>
      <c r="BA170" s="222"/>
      <c r="BB170" s="222"/>
      <c r="BC170" s="222"/>
      <c r="BD170" s="222"/>
      <c r="BE170" s="222"/>
      <c r="BF170" s="222"/>
      <c r="BG170" s="169" t="str">
        <f>VLOOKUP($A170,订货1!$A170:$I413,9,0)</f>
        <v>由仓库</v>
      </c>
      <c r="BH170" s="47" t="str">
        <f>VLOOKUP($A170,订货1!$A170:$H413,8,0)</f>
        <v>三旺实业有限公司</v>
      </c>
    </row>
    <row r="171" spans="1:60" ht="15.75" hidden="1" customHeight="1">
      <c r="A171" s="173">
        <v>101633</v>
      </c>
      <c r="B171" s="172" t="s">
        <v>398</v>
      </c>
      <c r="C171" s="70" t="s">
        <v>174</v>
      </c>
      <c r="D171" s="68"/>
      <c r="E171" s="68" t="s">
        <v>407</v>
      </c>
      <c r="F171" s="68" t="s">
        <v>18</v>
      </c>
      <c r="G171" s="68" t="s">
        <v>383</v>
      </c>
      <c r="H171" s="68" t="s">
        <v>509</v>
      </c>
      <c r="I171" s="71" t="s">
        <v>197</v>
      </c>
      <c r="J171" s="68" t="s">
        <v>401</v>
      </c>
      <c r="K171" s="236">
        <f>VLOOKUP($A171,订货1!$A171:$A414,1,0)</f>
        <v>101633</v>
      </c>
      <c r="L171" s="245" t="str">
        <f>VLOOKUP($A171,订货1!$A171:$G414,7,0)</f>
        <v>日邦食品（上海）有限公司</v>
      </c>
      <c r="M171" s="237" t="str">
        <f>VLOOKUP($A171,订货1!$A171:$B414,2,0)</f>
        <v>SLY烟熏香肠</v>
      </c>
      <c r="N171" s="72">
        <f t="shared" si="22"/>
        <v>45978</v>
      </c>
      <c r="O171" s="49" t="str">
        <f>VLOOKUP($A171,订货1!$A171:$C414,3,0)</f>
        <v>冷凍</v>
      </c>
      <c r="P171" s="44" t="str">
        <f>VLOOKUP($A171,订货1!$A171:$E414,5,0)</f>
        <v>1kg*12pkt</v>
      </c>
      <c r="Q171" s="49" t="str">
        <f>VLOOKUP($A171,订货1!$A171:$F414,6,0)</f>
        <v>箱</v>
      </c>
      <c r="R171" s="167">
        <f t="shared" ca="1" si="15"/>
        <v>0</v>
      </c>
      <c r="S171" s="185" t="s">
        <v>549</v>
      </c>
      <c r="T171" s="85">
        <f ca="1">SUMIF(预估营业额3!$B$3:$B$39,"&gt;="&amp;$H$2,预估营业额3!$E$3:$E$39)-SUMIF(预估营业额3!$B$3:$B$39,"&gt;"&amp;N171,预估营业额3!$E$3:$E$39)</f>
        <v>0</v>
      </c>
      <c r="U171" s="219">
        <v>0</v>
      </c>
      <c r="V171" s="168">
        <v>1</v>
      </c>
      <c r="W171" s="182">
        <f t="shared" ca="1" si="16"/>
        <v>0</v>
      </c>
      <c r="X171" s="214"/>
      <c r="Y171" s="62">
        <f t="shared" si="17"/>
        <v>0</v>
      </c>
      <c r="Z171" s="54"/>
      <c r="AA171" s="54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2"/>
      <c r="AL171" s="222"/>
      <c r="AM171" s="222"/>
      <c r="AN171" s="222"/>
      <c r="AO171" s="222"/>
      <c r="AP171" s="222"/>
      <c r="AQ171" s="222"/>
      <c r="AR171" s="222"/>
      <c r="AS171" s="222"/>
      <c r="AT171" s="222"/>
      <c r="AU171" s="222"/>
      <c r="AV171" s="222"/>
      <c r="AW171" s="222"/>
      <c r="AX171" s="222"/>
      <c r="AY171" s="222"/>
      <c r="AZ171" s="222"/>
      <c r="BA171" s="222"/>
      <c r="BB171" s="222"/>
      <c r="BC171" s="222"/>
      <c r="BD171" s="222"/>
      <c r="BE171" s="222"/>
      <c r="BF171" s="222"/>
      <c r="BG171" s="169" t="str">
        <f>VLOOKUP($A171,订货1!$A171:$I414,9,0)</f>
        <v>由仓库</v>
      </c>
      <c r="BH171" s="47" t="str">
        <f>VLOOKUP($A171,订货1!$A171:$H414,8,0)</f>
        <v>烟台龙荣食品有限公司</v>
      </c>
    </row>
    <row r="172" spans="1:60" ht="15.75" hidden="1" customHeight="1">
      <c r="A172" s="173">
        <v>101586</v>
      </c>
      <c r="B172" s="172" t="s">
        <v>324</v>
      </c>
      <c r="C172" s="70" t="s">
        <v>174</v>
      </c>
      <c r="D172" s="68"/>
      <c r="E172" s="68" t="s">
        <v>264</v>
      </c>
      <c r="F172" s="68" t="s">
        <v>18</v>
      </c>
      <c r="G172" s="68" t="s">
        <v>106</v>
      </c>
      <c r="H172" s="68" t="s">
        <v>368</v>
      </c>
      <c r="I172" s="71" t="s">
        <v>197</v>
      </c>
      <c r="J172" s="68" t="s">
        <v>658</v>
      </c>
      <c r="K172" s="236">
        <f>VLOOKUP($A172,订货1!$A172:$A415,1,0)</f>
        <v>101586</v>
      </c>
      <c r="L172" s="245" t="str">
        <f>VLOOKUP($A172,订货1!$A172:$G415,7,0)</f>
        <v>上海熠泽食品有限公司</v>
      </c>
      <c r="M172" s="237" t="str">
        <f>VLOOKUP($A172,订货1!$A172:$B415,2,0)</f>
        <v>法式羊排</v>
      </c>
      <c r="N172" s="72">
        <f t="shared" si="22"/>
        <v>45978</v>
      </c>
      <c r="O172" s="49" t="str">
        <f>VLOOKUP($A172,订货1!$A172:$C415,3,0)</f>
        <v>冷凍</v>
      </c>
      <c r="P172" s="44" t="str">
        <f>VLOOKUP($A172,订货1!$A172:$E415,5,0)</f>
        <v>1.14kg*12pc</v>
      </c>
      <c r="Q172" s="49" t="str">
        <f>VLOOKUP($A172,订货1!$A172:$F415,6,0)</f>
        <v>箱</v>
      </c>
      <c r="R172" s="167">
        <f t="shared" ca="1" si="15"/>
        <v>0</v>
      </c>
      <c r="S172" s="185" t="s">
        <v>485</v>
      </c>
      <c r="T172" s="85">
        <f ca="1">SUMIF(预估营业额3!$B$3:$B$39,"&gt;="&amp;$H$2,预估营业额3!$E$3:$E$39)-SUMIF(预估营业额3!$B$3:$B$39,"&gt;"&amp;N172,预估营业额3!$E$3:$E$39)</f>
        <v>0</v>
      </c>
      <c r="U172" s="219">
        <v>0</v>
      </c>
      <c r="V172" s="168">
        <v>1.1000000000000001</v>
      </c>
      <c r="W172" s="182">
        <f t="shared" ca="1" si="16"/>
        <v>0</v>
      </c>
      <c r="X172" s="214">
        <v>0</v>
      </c>
      <c r="Y172" s="62">
        <f t="shared" si="17"/>
        <v>0</v>
      </c>
      <c r="Z172" s="54"/>
      <c r="AA172" s="54"/>
      <c r="AB172" s="222"/>
      <c r="AC172" s="222"/>
      <c r="AD172" s="222"/>
      <c r="AE172" s="222"/>
      <c r="AF172" s="222"/>
      <c r="AG172" s="222"/>
      <c r="AH172" s="222"/>
      <c r="AI172" s="222"/>
      <c r="AJ172" s="222"/>
      <c r="AK172" s="222"/>
      <c r="AL172" s="222"/>
      <c r="AM172" s="222"/>
      <c r="AN172" s="222"/>
      <c r="AO172" s="222"/>
      <c r="AP172" s="222"/>
      <c r="AQ172" s="222"/>
      <c r="AR172" s="222"/>
      <c r="AS172" s="222"/>
      <c r="AT172" s="222"/>
      <c r="AU172" s="222"/>
      <c r="AV172" s="222"/>
      <c r="AW172" s="222"/>
      <c r="AX172" s="222"/>
      <c r="AY172" s="222"/>
      <c r="AZ172" s="222"/>
      <c r="BA172" s="222"/>
      <c r="BB172" s="222"/>
      <c r="BC172" s="222"/>
      <c r="BD172" s="222"/>
      <c r="BE172" s="222"/>
      <c r="BF172" s="222"/>
      <c r="BG172" s="169" t="str">
        <f>VLOOKUP($A172,订货1!$A172:$I415,9,0)</f>
        <v>由仓库</v>
      </c>
      <c r="BH172" s="47" t="str">
        <f>VLOOKUP($A172,订货1!$A172:$H415,8,0)</f>
        <v>乌拉特中旗青青草原羊业有限公司</v>
      </c>
    </row>
    <row r="173" spans="1:60" ht="15.75" hidden="1" customHeight="1">
      <c r="A173" s="67">
        <v>101602</v>
      </c>
      <c r="B173" s="68" t="s">
        <v>369</v>
      </c>
      <c r="C173" s="70" t="s">
        <v>174</v>
      </c>
      <c r="D173" s="68"/>
      <c r="E173" s="68" t="s">
        <v>245</v>
      </c>
      <c r="F173" s="68" t="s">
        <v>18</v>
      </c>
      <c r="G173" s="68" t="s">
        <v>106</v>
      </c>
      <c r="H173" s="68" t="s">
        <v>339</v>
      </c>
      <c r="I173" s="71" t="s">
        <v>197</v>
      </c>
      <c r="J173" s="68" t="s">
        <v>659</v>
      </c>
      <c r="K173" s="236">
        <f>VLOOKUP($A173,订货1!$A173:$A416,1,0)</f>
        <v>101602</v>
      </c>
      <c r="L173" s="245" t="str">
        <f>VLOOKUP($A173,订货1!$A173:$G416,7,0)</f>
        <v>上海熠泽食品有限公司</v>
      </c>
      <c r="M173" s="237" t="str">
        <f>VLOOKUP($A173,订货1!$A173:$B416,2,0)</f>
        <v>爱味客原味土豆泥</v>
      </c>
      <c r="N173" s="72">
        <f t="shared" si="22"/>
        <v>45978</v>
      </c>
      <c r="O173" s="49" t="str">
        <f>VLOOKUP($A173,订货1!$A173:$C416,3,0)</f>
        <v>冷凍</v>
      </c>
      <c r="P173" s="44" t="str">
        <f>VLOOKUP($A173,订货1!$A173:$E416,5,0)</f>
        <v>2.5kg*4pc</v>
      </c>
      <c r="Q173" s="49" t="str">
        <f>VLOOKUP($A173,订货1!$A173:$F416,6,0)</f>
        <v>箱</v>
      </c>
      <c r="R173" s="167">
        <f t="shared" ca="1" si="15"/>
        <v>0</v>
      </c>
      <c r="S173" s="185" t="s">
        <v>199</v>
      </c>
      <c r="T173" s="85">
        <f ca="1">SUMIF(预估营业额3!$B$3:$B$39,"&gt;="&amp;$H$2,预估营业额3!$E$3:$E$39)-SUMIF(预估营业额3!$B$3:$B$39,"&gt;"&amp;N173,预估营业额3!$E$3:$E$39)</f>
        <v>0</v>
      </c>
      <c r="U173" s="219">
        <v>0</v>
      </c>
      <c r="V173" s="168">
        <v>1</v>
      </c>
      <c r="W173" s="182">
        <f t="shared" ca="1" si="16"/>
        <v>0</v>
      </c>
      <c r="X173" s="214"/>
      <c r="Y173" s="62">
        <f t="shared" si="17"/>
        <v>0</v>
      </c>
      <c r="Z173" s="54"/>
      <c r="AA173" s="54"/>
      <c r="AB173" s="222"/>
      <c r="AC173" s="222"/>
      <c r="AD173" s="222"/>
      <c r="AE173" s="222"/>
      <c r="AF173" s="222"/>
      <c r="AG173" s="222"/>
      <c r="AH173" s="222"/>
      <c r="AI173" s="222"/>
      <c r="AJ173" s="222"/>
      <c r="AK173" s="222"/>
      <c r="AL173" s="222"/>
      <c r="AM173" s="222"/>
      <c r="AN173" s="222"/>
      <c r="AO173" s="222"/>
      <c r="AP173" s="222"/>
      <c r="AQ173" s="222"/>
      <c r="AR173" s="222"/>
      <c r="AS173" s="222"/>
      <c r="AT173" s="222"/>
      <c r="AU173" s="222"/>
      <c r="AV173" s="222"/>
      <c r="AW173" s="222"/>
      <c r="AX173" s="222"/>
      <c r="AY173" s="222"/>
      <c r="AZ173" s="222"/>
      <c r="BA173" s="222"/>
      <c r="BB173" s="222"/>
      <c r="BC173" s="222"/>
      <c r="BD173" s="222"/>
      <c r="BE173" s="222"/>
      <c r="BF173" s="222"/>
      <c r="BG173" s="169" t="str">
        <f>VLOOKUP($A173,订货1!$A173:$I416,9,0)</f>
        <v>由仓库</v>
      </c>
      <c r="BH173" s="47" t="str">
        <f>VLOOKUP($A173,订货1!$A173:$H416,8,0)</f>
        <v>NV Eurofreez</v>
      </c>
    </row>
    <row r="174" spans="1:60" ht="15.75" customHeight="1">
      <c r="A174" s="67">
        <v>401286</v>
      </c>
      <c r="B174" s="68" t="s">
        <v>373</v>
      </c>
      <c r="C174" s="70" t="s">
        <v>175</v>
      </c>
      <c r="D174" s="68"/>
      <c r="E174" s="68" t="s">
        <v>136</v>
      </c>
      <c r="F174" s="68" t="s">
        <v>18</v>
      </c>
      <c r="G174" s="68" t="s">
        <v>118</v>
      </c>
      <c r="H174" s="68" t="s">
        <v>120</v>
      </c>
      <c r="I174" s="71" t="s">
        <v>197</v>
      </c>
      <c r="J174" s="68" t="s">
        <v>660</v>
      </c>
      <c r="K174" s="236">
        <f>VLOOKUP($A174,订货1!$A174:$A417,1,0)</f>
        <v>401286</v>
      </c>
      <c r="L174" s="245" t="str">
        <f>VLOOKUP($A174,订货1!$A174:$G417,7,0)</f>
        <v>上海煦臻实业有限公司</v>
      </c>
      <c r="M174" s="237" t="str">
        <f>VLOOKUP($A174,订货1!$A174:$B417,2,0)</f>
        <v>萨莉亚沙拉酱</v>
      </c>
      <c r="N174" s="72">
        <f t="shared" si="22"/>
        <v>45978</v>
      </c>
      <c r="O174" s="49" t="str">
        <f>VLOOKUP($A174,订货1!$A174:$C417,3,0)</f>
        <v>常温</v>
      </c>
      <c r="P174" s="44" t="str">
        <f>VLOOKUP($A174,订货1!$A174:$E417,5,0)</f>
        <v>1kg*10pc</v>
      </c>
      <c r="Q174" s="49" t="str">
        <f>VLOOKUP($A174,订货1!$A174:$F417,6,0)</f>
        <v>箱</v>
      </c>
      <c r="R174" s="167">
        <f t="shared" ca="1" si="15"/>
        <v>0</v>
      </c>
      <c r="S174" s="185" t="s">
        <v>834</v>
      </c>
      <c r="T174" s="85">
        <f ca="1">SUMIF(预估营业额3!$B$3:$B$39,"&gt;="&amp;$H$2,预估营业额3!$E$3:$E$39)-SUMIF(预估营业额3!$B$3:$B$39,"&gt;"&amp;N174,预估营业额3!$E$3:$E$39)</f>
        <v>0</v>
      </c>
      <c r="U174" s="219">
        <v>0.1024615943750961</v>
      </c>
      <c r="V174" s="168">
        <v>1</v>
      </c>
      <c r="W174" s="182">
        <f t="shared" ca="1" si="16"/>
        <v>0</v>
      </c>
      <c r="X174" s="214">
        <v>1</v>
      </c>
      <c r="Y174" s="62">
        <f t="shared" si="17"/>
        <v>0</v>
      </c>
      <c r="Z174" s="54"/>
      <c r="AA174" s="54"/>
      <c r="AB174" s="222"/>
      <c r="AC174" s="222"/>
      <c r="AD174" s="222"/>
      <c r="AE174" s="222">
        <v>1</v>
      </c>
      <c r="AF174" s="222"/>
      <c r="AG174" s="222"/>
      <c r="AH174" s="222"/>
      <c r="AI174" s="222">
        <v>1</v>
      </c>
      <c r="AJ174" s="222"/>
      <c r="AK174" s="222"/>
      <c r="AL174" s="222"/>
      <c r="AM174" s="222">
        <v>1</v>
      </c>
      <c r="AN174" s="222"/>
      <c r="AO174" s="222"/>
      <c r="AP174" s="222"/>
      <c r="AQ174" s="222"/>
      <c r="AR174" s="222"/>
      <c r="AS174" s="222"/>
      <c r="AT174" s="222"/>
      <c r="AU174" s="222"/>
      <c r="AV174" s="222"/>
      <c r="AW174" s="222"/>
      <c r="AX174" s="222"/>
      <c r="AY174" s="222"/>
      <c r="AZ174" s="222"/>
      <c r="BA174" s="222"/>
      <c r="BB174" s="222"/>
      <c r="BC174" s="222"/>
      <c r="BD174" s="222"/>
      <c r="BE174" s="222"/>
      <c r="BF174" s="222"/>
      <c r="BG174" s="169" t="str">
        <f>VLOOKUP($A174,订货1!$A174:$I417,9,0)</f>
        <v>由仓库</v>
      </c>
      <c r="BH174" s="47" t="str">
        <f>VLOOKUP($A174,订货1!$A174:$H417,8,0)</f>
        <v xml:space="preserve">杭州丘比食品有限公司 </v>
      </c>
    </row>
    <row r="175" spans="1:60" ht="15.75" customHeight="1">
      <c r="A175" s="292">
        <v>101624</v>
      </c>
      <c r="B175" s="293" t="s">
        <v>392</v>
      </c>
      <c r="C175" s="294" t="s">
        <v>174</v>
      </c>
      <c r="D175" s="293"/>
      <c r="E175" s="293" t="s">
        <v>781</v>
      </c>
      <c r="F175" s="68" t="s">
        <v>18</v>
      </c>
      <c r="G175" s="68" t="s">
        <v>505</v>
      </c>
      <c r="H175" s="68" t="s">
        <v>782</v>
      </c>
      <c r="I175" s="71" t="s">
        <v>197</v>
      </c>
      <c r="J175" s="68" t="s">
        <v>661</v>
      </c>
      <c r="K175" s="236">
        <f>VLOOKUP($A175,订货1!$A175:$A418,1,0)</f>
        <v>101624</v>
      </c>
      <c r="L175" s="245" t="str">
        <f>VLOOKUP($A175,订货1!$A175:$G418,7,0)</f>
        <v>融滋合味（上海）科技有限公司</v>
      </c>
      <c r="M175" s="237" t="str">
        <f>VLOOKUP($A175,订货1!$A175:$B418,2,0)</f>
        <v>芝士粉</v>
      </c>
      <c r="N175" s="72">
        <f t="shared" si="22"/>
        <v>45978</v>
      </c>
      <c r="O175" s="49" t="str">
        <f>VLOOKUP($A175,订货1!$A175:$C418,3,0)</f>
        <v>冷凍</v>
      </c>
      <c r="P175" s="211" t="str">
        <f>VLOOKUP($A175,订货1!$A175:$E418,5,0)</f>
        <v>20pc*450g</v>
      </c>
      <c r="Q175" s="49" t="str">
        <f>VLOOKUP($A175,订货1!$A175:$F418,6,0)</f>
        <v>箱</v>
      </c>
      <c r="R175" s="167">
        <f t="shared" ca="1" si="15"/>
        <v>0</v>
      </c>
      <c r="S175" s="185" t="s">
        <v>829</v>
      </c>
      <c r="T175" s="85">
        <f ca="1">SUMIF(预估营业额3!$B$3:$B$39,"&gt;="&amp;$H$2,预估营业额3!$E$3:$E$39)-SUMIF(预估营业额3!$B$3:$B$39,"&gt;"&amp;N175,预估营业额3!$E$3:$E$39)</f>
        <v>0</v>
      </c>
      <c r="U175" s="219"/>
      <c r="V175" s="168">
        <v>1</v>
      </c>
      <c r="W175" s="182">
        <f t="shared" ca="1" si="16"/>
        <v>0</v>
      </c>
      <c r="X175" s="214">
        <v>0.3</v>
      </c>
      <c r="Y175" s="62">
        <f t="shared" si="17"/>
        <v>0</v>
      </c>
      <c r="Z175" s="54"/>
      <c r="AA175" s="54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  <c r="AM175" s="222"/>
      <c r="AN175" s="222"/>
      <c r="AO175" s="222"/>
      <c r="AP175" s="222"/>
      <c r="AQ175" s="222"/>
      <c r="AR175" s="222"/>
      <c r="AS175" s="222"/>
      <c r="AT175" s="222"/>
      <c r="AU175" s="222"/>
      <c r="AV175" s="222"/>
      <c r="AW175" s="222"/>
      <c r="AX175" s="222"/>
      <c r="AY175" s="222"/>
      <c r="AZ175" s="222"/>
      <c r="BA175" s="222"/>
      <c r="BB175" s="222"/>
      <c r="BC175" s="222"/>
      <c r="BD175" s="222"/>
      <c r="BE175" s="222"/>
      <c r="BF175" s="222"/>
      <c r="BG175" s="169" t="str">
        <f>VLOOKUP($A175,订货1!$A175:$I418,9,0)</f>
        <v>由仓库</v>
      </c>
      <c r="BH175" s="47" t="str">
        <f>VLOOKUP($A175,订货1!$A175:$H418,8,0)</f>
        <v>fallini formaggi s.r.l</v>
      </c>
    </row>
    <row r="176" spans="1:60" ht="15.75" customHeight="1">
      <c r="A176" s="67">
        <v>101189</v>
      </c>
      <c r="B176" s="68" t="s">
        <v>86</v>
      </c>
      <c r="C176" s="69" t="s">
        <v>174</v>
      </c>
      <c r="D176" s="68"/>
      <c r="E176" s="68" t="s">
        <v>432</v>
      </c>
      <c r="F176" s="68" t="s">
        <v>18</v>
      </c>
      <c r="G176" s="68" t="s">
        <v>127</v>
      </c>
      <c r="H176" s="68" t="s">
        <v>126</v>
      </c>
      <c r="I176" s="71" t="s">
        <v>197</v>
      </c>
      <c r="J176" s="68" t="s">
        <v>662</v>
      </c>
      <c r="K176" s="236">
        <f>VLOOKUP($A176,订货1!$A176:$A419,1,0)</f>
        <v>101189</v>
      </c>
      <c r="L176" s="245" t="str">
        <f>VLOOKUP($A176,订货1!$A176:$G419,7,0)</f>
        <v>广州京业食品有限公司</v>
      </c>
      <c r="M176" s="237" t="str">
        <f>VLOOKUP($A176,订货1!$A176:$B419,2,0)</f>
        <v>法排小切</v>
      </c>
      <c r="N176" s="72">
        <f t="shared" si="22"/>
        <v>45978</v>
      </c>
      <c r="O176" s="49" t="str">
        <f>VLOOKUP($A176,订货1!$A176:$C419,3,0)</f>
        <v>冷凍</v>
      </c>
      <c r="P176" s="44" t="str">
        <f>VLOOKUP($A176,订货1!$A176:$E419,5,0)</f>
        <v>0.9kg*14pc</v>
      </c>
      <c r="Q176" s="49" t="str">
        <f>VLOOKUP($A176,订货1!$A176:$F419,6,0)</f>
        <v>箱</v>
      </c>
      <c r="R176" s="167">
        <f t="shared" ca="1" si="15"/>
        <v>0</v>
      </c>
      <c r="S176" s="185" t="s">
        <v>831</v>
      </c>
      <c r="T176" s="85">
        <f ca="1">SUMIF(预估营业额3!$B$3:$B$39,"&gt;="&amp;$H$2,预估营业额3!$E$3:$E$39)-SUMIF(预估营业额3!$B$3:$B$39,"&gt;"&amp;N176,预估营业额3!$E$3:$E$39)</f>
        <v>0</v>
      </c>
      <c r="U176" s="219">
        <v>8.5000000000000006E-2</v>
      </c>
      <c r="V176" s="168">
        <v>1</v>
      </c>
      <c r="W176" s="182">
        <f t="shared" ca="1" si="16"/>
        <v>0</v>
      </c>
      <c r="X176" s="214">
        <v>1</v>
      </c>
      <c r="Y176" s="62">
        <f t="shared" si="17"/>
        <v>0</v>
      </c>
      <c r="Z176" s="54"/>
      <c r="AA176" s="54"/>
      <c r="AB176" s="222"/>
      <c r="AC176" s="222"/>
      <c r="AD176" s="222"/>
      <c r="AE176" s="222">
        <v>1</v>
      </c>
      <c r="AF176" s="222"/>
      <c r="AG176" s="222"/>
      <c r="AH176" s="222"/>
      <c r="AI176" s="222"/>
      <c r="AJ176" s="222"/>
      <c r="AK176" s="222"/>
      <c r="AL176" s="222">
        <v>1</v>
      </c>
      <c r="AM176" s="222"/>
      <c r="AN176" s="222"/>
      <c r="AO176" s="222"/>
      <c r="AP176" s="222"/>
      <c r="AQ176" s="222"/>
      <c r="AR176" s="222"/>
      <c r="AS176" s="222"/>
      <c r="AT176" s="222"/>
      <c r="AU176" s="222"/>
      <c r="AV176" s="222"/>
      <c r="AW176" s="222"/>
      <c r="AX176" s="222"/>
      <c r="AY176" s="222"/>
      <c r="AZ176" s="222"/>
      <c r="BA176" s="222"/>
      <c r="BB176" s="222"/>
      <c r="BC176" s="222"/>
      <c r="BD176" s="222"/>
      <c r="BE176" s="222"/>
      <c r="BF176" s="222"/>
      <c r="BG176" s="169" t="str">
        <f>VLOOKUP($A176,订货1!$A176:$I419,9,0)</f>
        <v>由仓库</v>
      </c>
      <c r="BH176" s="47" t="str">
        <f>VLOOKUP($A176,订货1!$A176:$H419,8,0)</f>
        <v>内蒙古草原鑫河食品有限公司</v>
      </c>
    </row>
    <row r="177" spans="1:60" ht="15.75" customHeight="1">
      <c r="A177" s="67">
        <v>101490</v>
      </c>
      <c r="B177" s="68" t="s">
        <v>156</v>
      </c>
      <c r="C177" s="69" t="s">
        <v>174</v>
      </c>
      <c r="D177" s="68"/>
      <c r="E177" s="68" t="s">
        <v>265</v>
      </c>
      <c r="F177" s="68" t="s">
        <v>27</v>
      </c>
      <c r="G177" s="68" t="s">
        <v>504</v>
      </c>
      <c r="H177" s="68" t="s">
        <v>382</v>
      </c>
      <c r="I177" s="71" t="s">
        <v>197</v>
      </c>
      <c r="J177" s="68" t="s">
        <v>663</v>
      </c>
      <c r="K177" s="236">
        <f>VLOOKUP($A177,订货1!$A177:$A420,1,0)</f>
        <v>101490</v>
      </c>
      <c r="L177" s="245" t="str">
        <f>VLOOKUP($A177,订货1!$A177:$G420,7,0)</f>
        <v>上海宝浓食品股份有限公司</v>
      </c>
      <c r="M177" s="237" t="str">
        <f>VLOOKUP($A177,订货1!$A177:$B420,2,0)</f>
        <v>超大熔岩蛋糕</v>
      </c>
      <c r="N177" s="72">
        <f t="shared" si="22"/>
        <v>45978</v>
      </c>
      <c r="O177" s="49" t="str">
        <f>VLOOKUP($A177,订货1!$A177:$C420,3,0)</f>
        <v>冷凍</v>
      </c>
      <c r="P177" s="44" t="str">
        <f>VLOOKUP($A177,订货1!$A177:$E420,5,0)</f>
        <v>90g*18块/盒</v>
      </c>
      <c r="Q177" s="49" t="str">
        <f>VLOOKUP($A177,订货1!$A177:$F420,6,0)</f>
        <v>盒</v>
      </c>
      <c r="R177" s="167">
        <f t="shared" ca="1" si="15"/>
        <v>0</v>
      </c>
      <c r="S177" s="105" t="s">
        <v>199</v>
      </c>
      <c r="T177" s="85">
        <f ca="1">SUMIF(预估营业额3!$B$3:$B$39,"&gt;="&amp;$H$2,预估营业额3!$E$3:$E$39)-SUMIF(预估营业额3!$B$3:$B$39,"&gt;"&amp;N177,预估营业额3!$E$3:$E$39)</f>
        <v>0</v>
      </c>
      <c r="U177" s="219">
        <v>9.3189262733147871E-2</v>
      </c>
      <c r="V177" s="168">
        <v>1</v>
      </c>
      <c r="W177" s="182">
        <f t="shared" ca="1" si="16"/>
        <v>0</v>
      </c>
      <c r="X177" s="214">
        <v>1</v>
      </c>
      <c r="Y177" s="62">
        <f t="shared" si="17"/>
        <v>0</v>
      </c>
      <c r="Z177" s="54"/>
      <c r="AA177" s="54"/>
      <c r="AB177" s="222"/>
      <c r="AC177" s="222"/>
      <c r="AD177" s="222"/>
      <c r="AE177" s="222">
        <v>1</v>
      </c>
      <c r="AF177" s="222"/>
      <c r="AG177" s="222"/>
      <c r="AH177" s="222"/>
      <c r="AI177" s="222">
        <v>1</v>
      </c>
      <c r="AJ177" s="222"/>
      <c r="AK177" s="222"/>
      <c r="AL177" s="222"/>
      <c r="AM177" s="222"/>
      <c r="AN177" s="222"/>
      <c r="AO177" s="222"/>
      <c r="AP177" s="222"/>
      <c r="AQ177" s="222"/>
      <c r="AR177" s="222"/>
      <c r="AS177" s="222"/>
      <c r="AT177" s="222"/>
      <c r="AU177" s="222"/>
      <c r="AV177" s="222"/>
      <c r="AW177" s="222"/>
      <c r="AX177" s="222"/>
      <c r="AY177" s="222"/>
      <c r="AZ177" s="222"/>
      <c r="BA177" s="222"/>
      <c r="BB177" s="222"/>
      <c r="BC177" s="222"/>
      <c r="BD177" s="222"/>
      <c r="BE177" s="222"/>
      <c r="BF177" s="222"/>
      <c r="BG177" s="169" t="str">
        <f>VLOOKUP($A177,订货1!$A177:$I420,9,0)</f>
        <v>由仓库</v>
      </c>
      <c r="BH177" s="47" t="str">
        <f>VLOOKUP($A177,订货1!$A177:$H420,8,0)</f>
        <v>泰州宝堰食品有限公司</v>
      </c>
    </row>
    <row r="178" spans="1:60" ht="15.75" customHeight="1">
      <c r="A178" s="173">
        <v>101723</v>
      </c>
      <c r="B178" s="172" t="s">
        <v>540</v>
      </c>
      <c r="C178" s="230" t="s">
        <v>174</v>
      </c>
      <c r="D178" s="172"/>
      <c r="E178" s="172" t="s">
        <v>541</v>
      </c>
      <c r="F178" s="68" t="s">
        <v>18</v>
      </c>
      <c r="G178" s="68" t="s">
        <v>99</v>
      </c>
      <c r="H178" s="68" t="s">
        <v>99</v>
      </c>
      <c r="I178" s="71" t="s">
        <v>197</v>
      </c>
      <c r="J178" s="68" t="s">
        <v>664</v>
      </c>
      <c r="K178" s="234">
        <f>VLOOKUP($A178,订货1!$A178:$A421,1,0)</f>
        <v>101723</v>
      </c>
      <c r="L178" s="244" t="str">
        <f>VLOOKUP($A178,订货1!$A178:$G421,7,0)</f>
        <v>青岛国辉食品有限公司</v>
      </c>
      <c r="M178" s="235" t="str">
        <f>VLOOKUP($A178,订货1!$A178:$B421,2,0)</f>
        <v>调理雪花牛肉粒</v>
      </c>
      <c r="N178" s="72">
        <f t="shared" si="22"/>
        <v>45978</v>
      </c>
      <c r="O178" s="49" t="str">
        <f>VLOOKUP($A178,订货1!$A178:$C421,3,0)</f>
        <v>冷凍</v>
      </c>
      <c r="P178" s="44" t="str">
        <f>VLOOKUP($A178,订货1!$A178:$E421,5,0)</f>
        <v>0.15kg*80pc</v>
      </c>
      <c r="Q178" s="49" t="str">
        <f>VLOOKUP($A178,订货1!$A178:$F421,6,0)</f>
        <v>箱</v>
      </c>
      <c r="R178" s="167">
        <f t="shared" ca="1" si="15"/>
        <v>0</v>
      </c>
      <c r="S178" s="228" t="s">
        <v>199</v>
      </c>
      <c r="T178" s="85">
        <f ca="1">SUMIF(预估营业额3!$B$3:$B$39,"&gt;="&amp;$H$2,预估营业额3!$E$3:$E$39)-SUMIF(预估营业额3!$B$3:$B$39,"&gt;"&amp;N178,预估营业额3!$E$3:$E$39)</f>
        <v>0</v>
      </c>
      <c r="U178" s="219">
        <v>5.7486126448510609E-2</v>
      </c>
      <c r="V178" s="168">
        <v>1</v>
      </c>
      <c r="W178" s="182">
        <f t="shared" ca="1" si="16"/>
        <v>0</v>
      </c>
      <c r="X178" s="214">
        <v>0.5</v>
      </c>
      <c r="Y178" s="62">
        <f t="shared" si="17"/>
        <v>1</v>
      </c>
      <c r="Z178" s="54">
        <v>1</v>
      </c>
      <c r="AA178" s="54"/>
      <c r="AB178" s="222"/>
      <c r="AC178" s="222"/>
      <c r="AD178" s="222"/>
      <c r="AE178" s="222"/>
      <c r="AF178" s="222"/>
      <c r="AG178" s="222">
        <v>1</v>
      </c>
      <c r="AH178" s="222"/>
      <c r="AI178" s="222"/>
      <c r="AJ178" s="222"/>
      <c r="AK178" s="222"/>
      <c r="AL178" s="222"/>
      <c r="AM178" s="222"/>
      <c r="AN178" s="222">
        <v>1</v>
      </c>
      <c r="AO178" s="222"/>
      <c r="AP178" s="222"/>
      <c r="AQ178" s="222"/>
      <c r="AR178" s="222"/>
      <c r="AS178" s="222"/>
      <c r="AT178" s="222"/>
      <c r="AU178" s="222"/>
      <c r="AV178" s="222"/>
      <c r="AW178" s="222"/>
      <c r="AX178" s="222"/>
      <c r="AY178" s="222"/>
      <c r="AZ178" s="222"/>
      <c r="BA178" s="222"/>
      <c r="BB178" s="222"/>
      <c r="BC178" s="222"/>
      <c r="BD178" s="222"/>
      <c r="BE178" s="222"/>
      <c r="BF178" s="222"/>
      <c r="BG178" s="169" t="str">
        <f>VLOOKUP($A178,订货1!$A178:$I421,9,0)</f>
        <v>由仓库</v>
      </c>
      <c r="BH178" s="47" t="str">
        <f>VLOOKUP($A178,订货1!$A178:$H421,8,0)</f>
        <v>青岛国辉食品有限公司</v>
      </c>
    </row>
    <row r="179" spans="1:60" ht="15.75" hidden="1" customHeight="1">
      <c r="A179" s="255">
        <v>101758</v>
      </c>
      <c r="B179" s="256" t="s">
        <v>798</v>
      </c>
      <c r="C179" s="261" t="s">
        <v>174</v>
      </c>
      <c r="D179" s="256"/>
      <c r="E179" s="256" t="s">
        <v>800</v>
      </c>
      <c r="F179" s="256" t="s">
        <v>18</v>
      </c>
      <c r="G179" s="256" t="s">
        <v>116</v>
      </c>
      <c r="H179" s="256" t="s">
        <v>116</v>
      </c>
      <c r="I179" s="71" t="s">
        <v>197</v>
      </c>
      <c r="J179" s="68" t="s">
        <v>665</v>
      </c>
      <c r="K179" s="275">
        <f>VLOOKUP($A179,订货1!$A179:$A422,1,0)</f>
        <v>101758</v>
      </c>
      <c r="L179" s="276" t="str">
        <f>VLOOKUP($A179,订货1!$A179:$G422,7,0)</f>
        <v>沈阳华美食品有限公司</v>
      </c>
      <c r="M179" s="277" t="str">
        <f>VLOOKUP($A179,订货1!$A179:$B422,2,0)</f>
        <v>萨莉亚原味鸡腿</v>
      </c>
      <c r="N179" s="289">
        <f t="shared" si="22"/>
        <v>45978</v>
      </c>
      <c r="O179" s="290" t="str">
        <f>VLOOKUP($A179,订货1!$A179:$C422,3,0)</f>
        <v>冷凍</v>
      </c>
      <c r="P179" s="291" t="str">
        <f>VLOOKUP($A179,订货1!$A179:$E422,5,0)</f>
        <v>220g/枚*12枚/包*4包/箱</v>
      </c>
      <c r="Q179" s="290" t="str">
        <f>VLOOKUP($A179,订货1!$A179:$F422,6,0)</f>
        <v>箱</v>
      </c>
      <c r="R179" s="295">
        <f t="shared" ca="1" si="15"/>
        <v>0</v>
      </c>
      <c r="S179" s="262" t="s">
        <v>557</v>
      </c>
      <c r="T179" s="85">
        <f ca="1">SUMIF(预估营业额3!$B$3:$B$39,"&gt;="&amp;$H$2,预估营业额3!$E$3:$E$39)-SUMIF(预估营业额3!$B$3:$B$39,"&gt;"&amp;N179,预估营业额3!$E$3:$E$39)</f>
        <v>0</v>
      </c>
      <c r="U179" s="219">
        <v>0</v>
      </c>
      <c r="V179" s="168">
        <v>1.1000000000000001</v>
      </c>
      <c r="W179" s="182">
        <f t="shared" ca="1" si="16"/>
        <v>0</v>
      </c>
      <c r="X179" s="214">
        <v>0</v>
      </c>
      <c r="Y179" s="62">
        <f t="shared" si="17"/>
        <v>0</v>
      </c>
      <c r="Z179" s="54"/>
      <c r="AA179" s="54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  <c r="AM179" s="222"/>
      <c r="AN179" s="222"/>
      <c r="AO179" s="222"/>
      <c r="AP179" s="222"/>
      <c r="AQ179" s="222"/>
      <c r="AR179" s="222"/>
      <c r="AS179" s="222"/>
      <c r="AT179" s="222"/>
      <c r="AU179" s="222"/>
      <c r="AV179" s="222"/>
      <c r="AW179" s="222"/>
      <c r="AX179" s="222"/>
      <c r="AY179" s="222"/>
      <c r="AZ179" s="222"/>
      <c r="BA179" s="222"/>
      <c r="BB179" s="222"/>
      <c r="BC179" s="222"/>
      <c r="BD179" s="222"/>
      <c r="BE179" s="222"/>
      <c r="BF179" s="222"/>
      <c r="BG179" s="169" t="str">
        <f>VLOOKUP($A179,订货1!$A179:$I422,9,0)</f>
        <v>由仓库</v>
      </c>
      <c r="BH179" s="47" t="str">
        <f>VLOOKUP($A179,订货1!$A179:$H422,8,0)</f>
        <v>沈阳华美食品有限公司</v>
      </c>
    </row>
    <row r="180" spans="1:60" ht="15.75" customHeight="1">
      <c r="A180" s="255">
        <v>101759</v>
      </c>
      <c r="B180" s="256" t="s">
        <v>799</v>
      </c>
      <c r="C180" s="261" t="s">
        <v>174</v>
      </c>
      <c r="D180" s="256"/>
      <c r="E180" s="256" t="s">
        <v>801</v>
      </c>
      <c r="F180" s="256" t="s">
        <v>18</v>
      </c>
      <c r="G180" s="256" t="s">
        <v>116</v>
      </c>
      <c r="H180" s="256" t="s">
        <v>116</v>
      </c>
      <c r="I180" s="71" t="s">
        <v>197</v>
      </c>
      <c r="J180" s="68" t="s">
        <v>666</v>
      </c>
      <c r="K180" s="275">
        <f>VLOOKUP($A180,订货1!$A180:$A423,1,0)</f>
        <v>101759</v>
      </c>
      <c r="L180" s="276" t="str">
        <f>VLOOKUP($A180,订货1!$A180:$G423,7,0)</f>
        <v>沈阳华美食品有限公司</v>
      </c>
      <c r="M180" s="277" t="str">
        <f>VLOOKUP($A180,订货1!$A180:$B423,2,0)</f>
        <v>原味鸡胗串20g</v>
      </c>
      <c r="N180" s="289">
        <f t="shared" si="22"/>
        <v>45978</v>
      </c>
      <c r="O180" s="290" t="str">
        <f>VLOOKUP($A180,订货1!$A180:$C423,3,0)</f>
        <v>冷凍</v>
      </c>
      <c r="P180" s="291" t="str">
        <f>VLOOKUP($A180,订货1!$A180:$E423,5,0)</f>
        <v>20g/串*20串/袋*24袋/箱</v>
      </c>
      <c r="Q180" s="290" t="str">
        <f>VLOOKUP($A180,订货1!$A180:$F423,6,0)</f>
        <v>箱</v>
      </c>
      <c r="R180" s="295">
        <f t="shared" ca="1" si="15"/>
        <v>0</v>
      </c>
      <c r="S180" s="228" t="s">
        <v>199</v>
      </c>
      <c r="T180" s="85">
        <f ca="1">SUMIF(预估营业额3!$B$3:$B$39,"&gt;="&amp;$H$2,预估营业额3!$E$3:$E$39)-SUMIF(预估营业额3!$B$3:$B$39,"&gt;"&amp;N180,预估营业额3!$E$3:$E$39)</f>
        <v>0</v>
      </c>
      <c r="U180" s="219">
        <v>2.9121644604108718E-3</v>
      </c>
      <c r="V180" s="168">
        <v>1</v>
      </c>
      <c r="W180" s="182">
        <f t="shared" ca="1" si="16"/>
        <v>0</v>
      </c>
      <c r="X180" s="214">
        <v>1</v>
      </c>
      <c r="Y180" s="62">
        <f t="shared" si="17"/>
        <v>0</v>
      </c>
      <c r="Z180" s="54"/>
      <c r="AA180" s="54"/>
      <c r="AB180" s="222"/>
      <c r="AC180" s="222"/>
      <c r="AD180" s="222"/>
      <c r="AE180" s="222"/>
      <c r="AF180" s="222"/>
      <c r="AG180" s="222"/>
      <c r="AH180" s="222"/>
      <c r="AI180" s="222"/>
      <c r="AJ180" s="222">
        <v>1</v>
      </c>
      <c r="AK180" s="222"/>
      <c r="AL180" s="222"/>
      <c r="AM180" s="222"/>
      <c r="AN180" s="222"/>
      <c r="AO180" s="222"/>
      <c r="AP180" s="222"/>
      <c r="AQ180" s="222"/>
      <c r="AR180" s="222"/>
      <c r="AS180" s="222"/>
      <c r="AT180" s="222"/>
      <c r="AU180" s="222"/>
      <c r="AV180" s="222"/>
      <c r="AW180" s="222"/>
      <c r="AX180" s="222"/>
      <c r="AY180" s="222"/>
      <c r="AZ180" s="222"/>
      <c r="BA180" s="222"/>
      <c r="BB180" s="222"/>
      <c r="BC180" s="222"/>
      <c r="BD180" s="222"/>
      <c r="BE180" s="222"/>
      <c r="BF180" s="222"/>
      <c r="BG180" s="169" t="str">
        <f>VLOOKUP($A180,订货1!$A180:$I423,9,0)</f>
        <v>由仓库</v>
      </c>
      <c r="BH180" s="47" t="str">
        <f>VLOOKUP($A180,订货1!$A180:$H423,8,0)</f>
        <v>沈阳华美食品有限公司</v>
      </c>
    </row>
    <row r="181" spans="1:60" ht="15.75" hidden="1" customHeight="1">
      <c r="A181" s="255">
        <v>101760</v>
      </c>
      <c r="B181" s="256" t="s">
        <v>802</v>
      </c>
      <c r="C181" s="261" t="s">
        <v>174</v>
      </c>
      <c r="D181" s="256"/>
      <c r="E181" s="256" t="s">
        <v>801</v>
      </c>
      <c r="F181" s="256" t="s">
        <v>18</v>
      </c>
      <c r="G181" s="256" t="s">
        <v>116</v>
      </c>
      <c r="H181" s="256" t="s">
        <v>116</v>
      </c>
      <c r="I181" s="71" t="s">
        <v>197</v>
      </c>
      <c r="J181" s="68" t="s">
        <v>667</v>
      </c>
      <c r="K181" s="275">
        <f>VLOOKUP($A181,订货1!$A181:$A424,1,0)</f>
        <v>101760</v>
      </c>
      <c r="L181" s="276" t="str">
        <f>VLOOKUP($A181,订货1!$A181:$G424,7,0)</f>
        <v>沈阳华美食品有限公司</v>
      </c>
      <c r="M181" s="277" t="str">
        <f>VLOOKUP($A181,订货1!$A181:$B424,2,0)</f>
        <v>藤椒鸡胗串20g</v>
      </c>
      <c r="N181" s="289">
        <f t="shared" si="22"/>
        <v>45978</v>
      </c>
      <c r="O181" s="290" t="str">
        <f>VLOOKUP($A181,订货1!$A181:$C424,3,0)</f>
        <v>冷凍</v>
      </c>
      <c r="P181" s="291" t="str">
        <f>VLOOKUP($A181,订货1!$A181:$E424,5,0)</f>
        <v>20g/串*20串/袋*24袋/箱</v>
      </c>
      <c r="Q181" s="290" t="str">
        <f>VLOOKUP($A181,订货1!$A181:$F424,6,0)</f>
        <v>箱</v>
      </c>
      <c r="R181" s="295">
        <f t="shared" ca="1" si="15"/>
        <v>0</v>
      </c>
      <c r="S181" s="262" t="s">
        <v>557</v>
      </c>
      <c r="T181" s="85">
        <f ca="1">SUMIF(预估营业额3!$B$3:$B$39,"&gt;="&amp;$H$2,预估营业额3!$E$3:$E$39)-SUMIF(预估营业额3!$B$3:$B$39,"&gt;"&amp;N181,预估营业额3!$E$3:$E$39)</f>
        <v>0</v>
      </c>
      <c r="U181" s="219">
        <v>0</v>
      </c>
      <c r="V181" s="168">
        <v>1</v>
      </c>
      <c r="W181" s="182">
        <f t="shared" ca="1" si="16"/>
        <v>0</v>
      </c>
      <c r="X181" s="214">
        <v>0</v>
      </c>
      <c r="Y181" s="62">
        <f t="shared" si="17"/>
        <v>0</v>
      </c>
      <c r="Z181" s="54"/>
      <c r="AA181" s="54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  <c r="AM181" s="222"/>
      <c r="AN181" s="222"/>
      <c r="AO181" s="222"/>
      <c r="AP181" s="222"/>
      <c r="AQ181" s="222"/>
      <c r="AR181" s="222"/>
      <c r="AS181" s="222"/>
      <c r="AT181" s="222"/>
      <c r="AU181" s="222"/>
      <c r="AV181" s="222"/>
      <c r="AW181" s="222"/>
      <c r="AX181" s="222"/>
      <c r="AY181" s="222"/>
      <c r="AZ181" s="222"/>
      <c r="BA181" s="222"/>
      <c r="BB181" s="222"/>
      <c r="BC181" s="222"/>
      <c r="BD181" s="222"/>
      <c r="BE181" s="222"/>
      <c r="BF181" s="222"/>
      <c r="BG181" s="169" t="str">
        <f>VLOOKUP($A181,订货1!$A181:$I424,9,0)</f>
        <v>由仓库</v>
      </c>
      <c r="BH181" s="47" t="str">
        <f>VLOOKUP($A181,订货1!$A181:$H424,8,0)</f>
        <v>沈阳华美食品有限公司</v>
      </c>
    </row>
    <row r="182" spans="1:60" ht="15.75" customHeight="1">
      <c r="A182" s="173">
        <v>101674</v>
      </c>
      <c r="B182" s="172" t="s">
        <v>448</v>
      </c>
      <c r="C182" s="70" t="s">
        <v>175</v>
      </c>
      <c r="D182" s="68"/>
      <c r="E182" s="68" t="s">
        <v>243</v>
      </c>
      <c r="F182" s="68" t="s">
        <v>18</v>
      </c>
      <c r="G182" s="68" t="s">
        <v>449</v>
      </c>
      <c r="H182" s="68" t="s">
        <v>450</v>
      </c>
      <c r="I182" s="71" t="s">
        <v>197</v>
      </c>
      <c r="J182" s="68" t="s">
        <v>668</v>
      </c>
      <c r="K182" s="234">
        <f>VLOOKUP($A182,订货1!$A182:$A425,1,0)</f>
        <v>101674</v>
      </c>
      <c r="L182" s="244" t="str">
        <f>VLOOKUP($A182,订货1!$A182:$G425,7,0)</f>
        <v>上海萨莉亚餐饮有限公司</v>
      </c>
      <c r="M182" s="235" t="str">
        <f>VLOOKUP($A182,订货1!$A182:$B425,2,0)</f>
        <v xml:space="preserve">意大利面 </v>
      </c>
      <c r="N182" s="72">
        <f t="shared" si="22"/>
        <v>45978</v>
      </c>
      <c r="O182" s="49" t="str">
        <f>VLOOKUP($A182,订货1!$A182:$C425,3,0)</f>
        <v>常温</v>
      </c>
      <c r="P182" s="44" t="str">
        <f>VLOOKUP($A182,订货1!$A182:$E425,5,0)</f>
        <v>3kg*4pc</v>
      </c>
      <c r="Q182" s="49" t="str">
        <f>VLOOKUP($A182,订货1!$A182:$F425,6,0)</f>
        <v>箱</v>
      </c>
      <c r="R182" s="167">
        <f t="shared" ca="1" si="15"/>
        <v>0</v>
      </c>
      <c r="S182" s="185" t="s">
        <v>828</v>
      </c>
      <c r="T182" s="85">
        <f ca="1">SUMIF(预估营业额3!$B$3:$B$39,"&gt;="&amp;$H$2,预估营业额3!$E$3:$E$39)-SUMIF(预估营业额3!$B$3:$B$39,"&gt;"&amp;N182,预估营业额3!$E$3:$E$39)</f>
        <v>0</v>
      </c>
      <c r="U182" s="219">
        <v>0</v>
      </c>
      <c r="V182" s="168">
        <v>1.1000000000000001</v>
      </c>
      <c r="W182" s="182">
        <f t="shared" ca="1" si="16"/>
        <v>0</v>
      </c>
      <c r="X182" s="214">
        <v>0</v>
      </c>
      <c r="Y182" s="62">
        <f t="shared" si="17"/>
        <v>0</v>
      </c>
      <c r="Z182" s="54"/>
      <c r="AA182" s="54"/>
      <c r="AB182" s="222"/>
      <c r="AC182" s="222"/>
      <c r="AD182" s="222"/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222"/>
      <c r="AP182" s="222"/>
      <c r="AQ182" s="222"/>
      <c r="AR182" s="222"/>
      <c r="AS182" s="222"/>
      <c r="AT182" s="222"/>
      <c r="AU182" s="222"/>
      <c r="AV182" s="222"/>
      <c r="AW182" s="222"/>
      <c r="AX182" s="222"/>
      <c r="AY182" s="222"/>
      <c r="AZ182" s="222"/>
      <c r="BA182" s="222"/>
      <c r="BB182" s="222"/>
      <c r="BC182" s="222"/>
      <c r="BD182" s="222"/>
      <c r="BE182" s="222"/>
      <c r="BF182" s="222"/>
      <c r="BG182" s="169" t="str">
        <f>VLOOKUP($A182,订货1!$A182:$I425,9,0)</f>
        <v>由仓库</v>
      </c>
      <c r="BH182" s="47" t="str">
        <f>VLOOKUP($A182,订货1!$A182:$H425,8,0)</f>
        <v>La Molisana S.P.A</v>
      </c>
    </row>
    <row r="183" spans="1:60" ht="15.75" customHeight="1">
      <c r="A183" s="67">
        <v>101022</v>
      </c>
      <c r="B183" s="68" t="s">
        <v>137</v>
      </c>
      <c r="C183" s="70" t="s">
        <v>174</v>
      </c>
      <c r="D183" s="68"/>
      <c r="E183" s="68" t="s">
        <v>266</v>
      </c>
      <c r="F183" s="68" t="s">
        <v>18</v>
      </c>
      <c r="G183" s="68" t="s">
        <v>116</v>
      </c>
      <c r="H183" s="68" t="s">
        <v>116</v>
      </c>
      <c r="I183" s="71" t="s">
        <v>197</v>
      </c>
      <c r="J183" s="68" t="s">
        <v>669</v>
      </c>
      <c r="K183" s="236">
        <f>VLOOKUP($A183,订货1!$A183:$A426,1,0)</f>
        <v>101022</v>
      </c>
      <c r="L183" s="245" t="str">
        <f>VLOOKUP($A183,订货1!$A183:$G426,7,0)</f>
        <v>沈阳华美食品有限公司</v>
      </c>
      <c r="M183" s="237" t="str">
        <f>VLOOKUP($A183,订货1!$A183:$B426,2,0)</f>
        <v>萨莉亚鸡排</v>
      </c>
      <c r="N183" s="72">
        <f t="shared" si="22"/>
        <v>45978</v>
      </c>
      <c r="O183" s="49" t="str">
        <f>VLOOKUP($A183,订货1!$A183:$C426,3,0)</f>
        <v>冷凍</v>
      </c>
      <c r="P183" s="44" t="str">
        <f>VLOOKUP($A183,订货1!$A183:$E426,5,0)</f>
        <v>0.15kg*8枚*10pc</v>
      </c>
      <c r="Q183" s="49" t="str">
        <f>VLOOKUP($A183,订货1!$A183:$F426,6,0)</f>
        <v>箱</v>
      </c>
      <c r="R183" s="167">
        <f t="shared" ca="1" si="15"/>
        <v>0</v>
      </c>
      <c r="S183" s="185" t="s">
        <v>830</v>
      </c>
      <c r="T183" s="85">
        <f ca="1">SUMIF(预估营业额3!$B$3:$B$39,"&gt;="&amp;$H$2,预估营业额3!$E$3:$E$39)-SUMIF(预估营业额3!$B$3:$B$39,"&gt;"&amp;N183,预估营业额3!$E$3:$E$39)</f>
        <v>0</v>
      </c>
      <c r="U183" s="219">
        <v>0</v>
      </c>
      <c r="V183" s="168">
        <v>1</v>
      </c>
      <c r="W183" s="182">
        <f t="shared" ca="1" si="16"/>
        <v>0</v>
      </c>
      <c r="X183" s="214">
        <v>0</v>
      </c>
      <c r="Y183" s="62">
        <f t="shared" si="17"/>
        <v>0</v>
      </c>
      <c r="Z183" s="54"/>
      <c r="AA183" s="54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  <c r="AM183" s="222"/>
      <c r="AN183" s="222"/>
      <c r="AO183" s="222"/>
      <c r="AP183" s="222"/>
      <c r="AQ183" s="222"/>
      <c r="AR183" s="222"/>
      <c r="AS183" s="222"/>
      <c r="AT183" s="222"/>
      <c r="AU183" s="222"/>
      <c r="AV183" s="222"/>
      <c r="AW183" s="222"/>
      <c r="AX183" s="222"/>
      <c r="AY183" s="222"/>
      <c r="AZ183" s="222"/>
      <c r="BA183" s="222"/>
      <c r="BB183" s="222"/>
      <c r="BC183" s="222"/>
      <c r="BD183" s="222"/>
      <c r="BE183" s="222"/>
      <c r="BF183" s="222"/>
      <c r="BG183" s="169" t="str">
        <f>VLOOKUP($A183,订货1!$A183:$I426,9,0)</f>
        <v>由仓库</v>
      </c>
      <c r="BH183" s="47" t="str">
        <f>VLOOKUP($A183,订货1!$A183:$H426,8,0)</f>
        <v>沈阳华美食品有限公司</v>
      </c>
    </row>
    <row r="184" spans="1:60" ht="15.75" customHeight="1">
      <c r="A184" s="67">
        <v>101024</v>
      </c>
      <c r="B184" s="68" t="s">
        <v>144</v>
      </c>
      <c r="C184" s="70" t="s">
        <v>174</v>
      </c>
      <c r="D184" s="68"/>
      <c r="E184" s="68" t="s">
        <v>256</v>
      </c>
      <c r="F184" s="68" t="s">
        <v>18</v>
      </c>
      <c r="G184" s="68" t="s">
        <v>116</v>
      </c>
      <c r="H184" s="68" t="s">
        <v>116</v>
      </c>
      <c r="I184" s="71" t="s">
        <v>197</v>
      </c>
      <c r="J184" s="68" t="s">
        <v>670</v>
      </c>
      <c r="K184" s="236">
        <f>VLOOKUP($A184,订货1!$A184:$A427,1,0)</f>
        <v>101024</v>
      </c>
      <c r="L184" s="245" t="str">
        <f>VLOOKUP($A184,订货1!$A184:$G427,7,0)</f>
        <v>沈阳华美食品有限公司</v>
      </c>
      <c r="M184" s="237" t="str">
        <f>VLOOKUP($A184,订货1!$A184:$B427,2,0)</f>
        <v>萨莉亚翅中</v>
      </c>
      <c r="N184" s="72">
        <f t="shared" si="22"/>
        <v>45978</v>
      </c>
      <c r="O184" s="49" t="str">
        <f>VLOOKUP($A184,订货1!$A184:$C427,3,0)</f>
        <v>冷凍</v>
      </c>
      <c r="P184" s="44" t="str">
        <f>VLOOKUP($A184,订货1!$A184:$E427,5,0)</f>
        <v>1kg*12pc</v>
      </c>
      <c r="Q184" s="49" t="str">
        <f>VLOOKUP($A184,订货1!$A184:$F427,6,0)</f>
        <v>箱</v>
      </c>
      <c r="R184" s="167">
        <f t="shared" ca="1" si="15"/>
        <v>0</v>
      </c>
      <c r="S184" s="185" t="s">
        <v>830</v>
      </c>
      <c r="T184" s="85">
        <f ca="1">SUMIF(预估营业额3!$B$3:$B$39,"&gt;="&amp;$H$2,预估营业额3!$E$3:$E$39)-SUMIF(预估营业额3!$B$3:$B$39,"&gt;"&amp;N184,预估营业额3!$E$3:$E$39)</f>
        <v>0</v>
      </c>
      <c r="U184" s="219">
        <v>0</v>
      </c>
      <c r="V184" s="168">
        <v>1.1000000000000001</v>
      </c>
      <c r="W184" s="182">
        <f t="shared" ca="1" si="16"/>
        <v>0</v>
      </c>
      <c r="X184" s="214">
        <v>0</v>
      </c>
      <c r="Y184" s="62">
        <f t="shared" si="17"/>
        <v>0</v>
      </c>
      <c r="Z184" s="54"/>
      <c r="AA184" s="54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2"/>
      <c r="AM184" s="222"/>
      <c r="AN184" s="222"/>
      <c r="AO184" s="222"/>
      <c r="AP184" s="222"/>
      <c r="AQ184" s="222"/>
      <c r="AR184" s="222"/>
      <c r="AS184" s="222"/>
      <c r="AT184" s="222"/>
      <c r="AU184" s="222"/>
      <c r="AV184" s="222"/>
      <c r="AW184" s="222"/>
      <c r="AX184" s="222"/>
      <c r="AY184" s="222"/>
      <c r="AZ184" s="222"/>
      <c r="BA184" s="222"/>
      <c r="BB184" s="222"/>
      <c r="BC184" s="222"/>
      <c r="BD184" s="222"/>
      <c r="BE184" s="222"/>
      <c r="BF184" s="222"/>
      <c r="BG184" s="169" t="str">
        <f>VLOOKUP($A184,订货1!$A184:$I427,9,0)</f>
        <v>由仓库</v>
      </c>
      <c r="BH184" s="47" t="str">
        <f>VLOOKUP($A184,订货1!$A184:$H427,8,0)</f>
        <v>沈阳华美食品有限公司</v>
      </c>
    </row>
    <row r="185" spans="1:60" ht="15.75" customHeight="1">
      <c r="A185" s="255">
        <v>101058</v>
      </c>
      <c r="B185" s="256" t="s">
        <v>819</v>
      </c>
      <c r="C185" s="261" t="s">
        <v>174</v>
      </c>
      <c r="D185" s="256"/>
      <c r="E185" s="256" t="s">
        <v>800</v>
      </c>
      <c r="F185" s="256" t="s">
        <v>18</v>
      </c>
      <c r="G185" s="256" t="s">
        <v>116</v>
      </c>
      <c r="H185" s="256" t="s">
        <v>116</v>
      </c>
      <c r="I185" s="71" t="s">
        <v>197</v>
      </c>
      <c r="J185" s="68" t="s">
        <v>671</v>
      </c>
      <c r="K185" s="275">
        <f>VLOOKUP($A185,订货1!$A185:$A428,1,0)</f>
        <v>101058</v>
      </c>
      <c r="L185" s="276" t="str">
        <f>VLOOKUP($A185,订货1!$A185:$G428,7,0)</f>
        <v>沈阳华美食品有限公司</v>
      </c>
      <c r="M185" s="277" t="str">
        <f>VLOOKUP($A185,订货1!$A185:$B428,2,0)</f>
        <v>萨莉亚黑椒鸡腿</v>
      </c>
      <c r="N185" s="289">
        <f t="shared" si="22"/>
        <v>45978</v>
      </c>
      <c r="O185" s="290" t="str">
        <f>VLOOKUP($A185,订货1!$A185:$C428,3,0)</f>
        <v>冷凍</v>
      </c>
      <c r="P185" s="291" t="str">
        <f>VLOOKUP($A185,订货1!$A185:$E428,5,0)</f>
        <v>220g/枚*12枚/包*4包/箱</v>
      </c>
      <c r="Q185" s="290" t="str">
        <f>VLOOKUP($A185,订货1!$A185:$F428,6,0)</f>
        <v>箱</v>
      </c>
      <c r="R185" s="295">
        <f t="shared" ca="1" si="15"/>
        <v>0</v>
      </c>
      <c r="S185" s="228" t="s">
        <v>199</v>
      </c>
      <c r="T185" s="85">
        <f ca="1">SUMIF(预估营业额3!$B$3:$B$39,"&gt;="&amp;$H$2,预估营业额3!$E$3:$E$39)-SUMIF(预估营业额3!$B$3:$B$39,"&gt;"&amp;N185,预估营业额3!$E$3:$E$39)</f>
        <v>0</v>
      </c>
      <c r="U185" s="219">
        <v>0.25</v>
      </c>
      <c r="V185" s="168">
        <v>1.1000000000000001</v>
      </c>
      <c r="W185" s="182">
        <f t="shared" ca="1" si="16"/>
        <v>0</v>
      </c>
      <c r="X185" s="214">
        <v>1</v>
      </c>
      <c r="Y185" s="62">
        <f t="shared" si="17"/>
        <v>1</v>
      </c>
      <c r="Z185" s="54">
        <v>1</v>
      </c>
      <c r="AA185" s="54"/>
      <c r="AB185" s="222"/>
      <c r="AC185" s="222">
        <v>1</v>
      </c>
      <c r="AD185" s="222"/>
      <c r="AE185" s="222">
        <v>1</v>
      </c>
      <c r="AF185" s="222">
        <v>1</v>
      </c>
      <c r="AG185" s="222">
        <v>1</v>
      </c>
      <c r="AH185" s="222"/>
      <c r="AI185" s="222">
        <v>1</v>
      </c>
      <c r="AJ185" s="222"/>
      <c r="AK185" s="222"/>
      <c r="AL185" s="222"/>
      <c r="AM185" s="222">
        <v>2</v>
      </c>
      <c r="AN185" s="222">
        <v>1</v>
      </c>
      <c r="AO185" s="222">
        <v>1</v>
      </c>
      <c r="AP185" s="222"/>
      <c r="AQ185" s="222"/>
      <c r="AR185" s="222"/>
      <c r="AS185" s="222"/>
      <c r="AT185" s="222"/>
      <c r="AU185" s="222"/>
      <c r="AV185" s="222"/>
      <c r="AW185" s="222"/>
      <c r="AX185" s="222"/>
      <c r="AY185" s="222"/>
      <c r="AZ185" s="222"/>
      <c r="BA185" s="222"/>
      <c r="BB185" s="222"/>
      <c r="BC185" s="222"/>
      <c r="BD185" s="222"/>
      <c r="BE185" s="222"/>
      <c r="BF185" s="222"/>
      <c r="BG185" s="169" t="str">
        <f>VLOOKUP($A185,订货1!$A185:$I428,9,0)</f>
        <v>由仓库</v>
      </c>
      <c r="BH185" s="47" t="str">
        <f>VLOOKUP($A185,订货1!$A185:$H428,8,0)</f>
        <v>沈阳华美食品有限公司</v>
      </c>
    </row>
    <row r="186" spans="1:60" ht="15.75" customHeight="1">
      <c r="A186" s="67">
        <v>101269</v>
      </c>
      <c r="B186" s="68" t="s">
        <v>157</v>
      </c>
      <c r="C186" s="69" t="s">
        <v>174</v>
      </c>
      <c r="D186" s="68"/>
      <c r="E186" s="68" t="s">
        <v>259</v>
      </c>
      <c r="F186" s="68" t="s">
        <v>18</v>
      </c>
      <c r="G186" s="68" t="s">
        <v>116</v>
      </c>
      <c r="H186" s="68" t="s">
        <v>116</v>
      </c>
      <c r="I186" s="71" t="s">
        <v>197</v>
      </c>
      <c r="J186" s="68" t="s">
        <v>672</v>
      </c>
      <c r="K186" s="236">
        <f>VLOOKUP($A186,订货1!$A186:$A429,1,0)</f>
        <v>101269</v>
      </c>
      <c r="L186" s="245" t="str">
        <f>VLOOKUP($A186,订货1!$A186:$G429,7,0)</f>
        <v>沈阳华美食品有限公司</v>
      </c>
      <c r="M186" s="237" t="str">
        <f>VLOOKUP($A186,订货1!$A186:$B429,2,0)</f>
        <v>香草鸡排串</v>
      </c>
      <c r="N186" s="72">
        <f t="shared" si="22"/>
        <v>45978</v>
      </c>
      <c r="O186" s="49" t="str">
        <f>VLOOKUP($A186,订货1!$A186:$C429,3,0)</f>
        <v>冷凍</v>
      </c>
      <c r="P186" s="44" t="str">
        <f>VLOOKUP($A186,订货1!$A186:$E429,5,0)</f>
        <v>1kg*12</v>
      </c>
      <c r="Q186" s="49" t="str">
        <f>VLOOKUP($A186,订货1!$A186:$F429,6,0)</f>
        <v>箱</v>
      </c>
      <c r="R186" s="167">
        <f t="shared" ca="1" si="15"/>
        <v>0</v>
      </c>
      <c r="S186" s="185" t="s">
        <v>834</v>
      </c>
      <c r="T186" s="85">
        <f ca="1">SUMIF(预估营业额3!$B$3:$B$39,"&gt;="&amp;$H$2,预估营业额3!$E$3:$E$39)-SUMIF(预估营业额3!$B$3:$B$39,"&gt;"&amp;N186,预估营业额3!$E$3:$E$39)</f>
        <v>0</v>
      </c>
      <c r="U186" s="219">
        <v>0.13273645610552753</v>
      </c>
      <c r="V186" s="168">
        <v>1</v>
      </c>
      <c r="W186" s="182">
        <f t="shared" ca="1" si="16"/>
        <v>0</v>
      </c>
      <c r="X186" s="214">
        <v>0.41666666666666669</v>
      </c>
      <c r="Y186" s="62">
        <f t="shared" si="17"/>
        <v>1</v>
      </c>
      <c r="Z186" s="54">
        <v>1</v>
      </c>
      <c r="AA186" s="54"/>
      <c r="AB186" s="222"/>
      <c r="AC186" s="222"/>
      <c r="AD186" s="222"/>
      <c r="AE186" s="222">
        <v>1</v>
      </c>
      <c r="AF186" s="222"/>
      <c r="AG186" s="222">
        <v>1</v>
      </c>
      <c r="AH186" s="222"/>
      <c r="AI186" s="222"/>
      <c r="AJ186" s="222"/>
      <c r="AK186" s="222"/>
      <c r="AL186" s="222">
        <v>1</v>
      </c>
      <c r="AM186" s="222"/>
      <c r="AN186" s="222">
        <v>1</v>
      </c>
      <c r="AO186" s="222"/>
      <c r="AP186" s="222"/>
      <c r="AQ186" s="222"/>
      <c r="AR186" s="222"/>
      <c r="AS186" s="222"/>
      <c r="AT186" s="222"/>
      <c r="AU186" s="222"/>
      <c r="AV186" s="222"/>
      <c r="AW186" s="222"/>
      <c r="AX186" s="222"/>
      <c r="AY186" s="222"/>
      <c r="AZ186" s="222"/>
      <c r="BA186" s="222"/>
      <c r="BB186" s="222"/>
      <c r="BC186" s="222"/>
      <c r="BD186" s="222"/>
      <c r="BE186" s="222"/>
      <c r="BF186" s="222"/>
      <c r="BG186" s="169" t="str">
        <f>VLOOKUP($A186,订货1!$A186:$I429,9,0)</f>
        <v>由仓库</v>
      </c>
      <c r="BH186" s="47" t="str">
        <f>VLOOKUP($A186,订货1!$A186:$H429,8,0)</f>
        <v>沈阳华美食品有限公司</v>
      </c>
    </row>
    <row r="187" spans="1:60" ht="15.75" customHeight="1">
      <c r="A187" s="173">
        <v>101699</v>
      </c>
      <c r="B187" s="172" t="s">
        <v>482</v>
      </c>
      <c r="C187" s="69" t="s">
        <v>175</v>
      </c>
      <c r="D187" s="68"/>
      <c r="E187" s="68" t="s">
        <v>459</v>
      </c>
      <c r="F187" s="68" t="s">
        <v>18</v>
      </c>
      <c r="G187" s="68" t="s">
        <v>417</v>
      </c>
      <c r="H187" s="68" t="s">
        <v>483</v>
      </c>
      <c r="I187" s="71" t="s">
        <v>197</v>
      </c>
      <c r="J187" s="68" t="s">
        <v>427</v>
      </c>
      <c r="K187" s="234">
        <f>VLOOKUP($A187,订货1!$A187:$A430,1,0)</f>
        <v>101699</v>
      </c>
      <c r="L187" s="244" t="str">
        <f>VLOOKUP($A187,订货1!$A187:$G430,7,0)</f>
        <v>熠沣实业（上海）有限公司</v>
      </c>
      <c r="M187" s="235" t="str">
        <f>VLOOKUP($A187,订货1!$A187:$B430,2,0)</f>
        <v>屯河番茄丁</v>
      </c>
      <c r="N187" s="72">
        <f t="shared" si="22"/>
        <v>45978</v>
      </c>
      <c r="O187" s="49" t="str">
        <f>VLOOKUP($A187,订货1!$A187:$C430,3,0)</f>
        <v>常温</v>
      </c>
      <c r="P187" s="44" t="str">
        <f>VLOOKUP($A187,订货1!$A187:$E430,5,0)</f>
        <v>2.85kg*6can</v>
      </c>
      <c r="Q187" s="49" t="str">
        <f>VLOOKUP($A187,订货1!$A187:$F430,6,0)</f>
        <v>箱</v>
      </c>
      <c r="R187" s="167">
        <f t="shared" ca="1" si="15"/>
        <v>0</v>
      </c>
      <c r="S187" s="228" t="s">
        <v>199</v>
      </c>
      <c r="T187" s="85">
        <f ca="1">SUMIF(预估营业额3!$B$3:$B$39,"&gt;="&amp;$H$2,预估营业额3!$E$3:$E$39)-SUMIF(预估营业额3!$B$3:$B$39,"&gt;"&amp;N187,预估营业额3!$E$3:$E$39)</f>
        <v>0</v>
      </c>
      <c r="U187" s="219">
        <v>0</v>
      </c>
      <c r="V187" s="168">
        <v>1</v>
      </c>
      <c r="W187" s="182">
        <f t="shared" ca="1" si="16"/>
        <v>0</v>
      </c>
      <c r="X187" s="214"/>
      <c r="Y187" s="62">
        <f t="shared" si="17"/>
        <v>0</v>
      </c>
      <c r="Z187" s="54"/>
      <c r="AA187" s="54"/>
      <c r="AB187" s="222"/>
      <c r="AC187" s="222"/>
      <c r="AD187" s="222"/>
      <c r="AE187" s="222"/>
      <c r="AF187" s="222"/>
      <c r="AG187" s="222">
        <v>1</v>
      </c>
      <c r="AH187" s="222"/>
      <c r="AI187" s="222">
        <v>1</v>
      </c>
      <c r="AJ187" s="222"/>
      <c r="AK187" s="222"/>
      <c r="AL187" s="222"/>
      <c r="AM187" s="222"/>
      <c r="AN187" s="222"/>
      <c r="AO187" s="222"/>
      <c r="AP187" s="222"/>
      <c r="AQ187" s="222"/>
      <c r="AR187" s="222"/>
      <c r="AS187" s="222"/>
      <c r="AT187" s="222"/>
      <c r="AU187" s="222"/>
      <c r="AV187" s="222"/>
      <c r="AW187" s="222"/>
      <c r="AX187" s="222"/>
      <c r="AY187" s="222"/>
      <c r="AZ187" s="222"/>
      <c r="BA187" s="222"/>
      <c r="BB187" s="222"/>
      <c r="BC187" s="222"/>
      <c r="BD187" s="222"/>
      <c r="BE187" s="222"/>
      <c r="BF187" s="222"/>
      <c r="BG187" s="169" t="str">
        <f>VLOOKUP($A187,订货1!$A187:$I430,9,0)</f>
        <v>由仓库</v>
      </c>
      <c r="BH187" s="47" t="str">
        <f>VLOOKUP($A187,订货1!$A187:$H430,8,0)</f>
        <v>中粮屯河（杭锦后旗）番茄制品有限公司</v>
      </c>
    </row>
    <row r="188" spans="1:60" ht="15.75" customHeight="1">
      <c r="A188" s="67">
        <v>101576</v>
      </c>
      <c r="B188" s="68" t="s">
        <v>380</v>
      </c>
      <c r="C188" s="69" t="s">
        <v>174</v>
      </c>
      <c r="D188" s="68"/>
      <c r="E188" s="68" t="s">
        <v>259</v>
      </c>
      <c r="F188" s="68" t="s">
        <v>18</v>
      </c>
      <c r="G188" s="68" t="s">
        <v>449</v>
      </c>
      <c r="H188" s="68" t="s">
        <v>321</v>
      </c>
      <c r="I188" s="71" t="s">
        <v>197</v>
      </c>
      <c r="J188" s="68" t="s">
        <v>428</v>
      </c>
      <c r="K188" s="234">
        <f>VLOOKUP($A188,订货1!$A188:$A431,1,0)</f>
        <v>101576</v>
      </c>
      <c r="L188" s="244" t="str">
        <f>VLOOKUP($A188,订货1!$A188:$G431,7,0)</f>
        <v>上海萨莉亚餐饮有限公司</v>
      </c>
      <c r="M188" s="235" t="str">
        <f>VLOOKUP($A188,订货1!$A188:$B431,2,0)</f>
        <v>白沙司</v>
      </c>
      <c r="N188" s="72">
        <f t="shared" si="22"/>
        <v>45978</v>
      </c>
      <c r="O188" s="49" t="str">
        <f>VLOOKUP($A188,订货1!$A188:$C431,3,0)</f>
        <v>冷凍</v>
      </c>
      <c r="P188" s="44" t="str">
        <f>VLOOKUP($A188,订货1!$A188:$E431,5,0)</f>
        <v>1kg*12</v>
      </c>
      <c r="Q188" s="49" t="str">
        <f>VLOOKUP($A188,订货1!$A188:$F431,6,0)</f>
        <v>箱</v>
      </c>
      <c r="R188" s="167">
        <f t="shared" ca="1" si="15"/>
        <v>0</v>
      </c>
      <c r="S188" s="243" t="s">
        <v>199</v>
      </c>
      <c r="T188" s="85">
        <f ca="1">SUMIF(预估营业额3!$B$3:$B$39,"&gt;="&amp;$H$2,预估营业额3!$E$3:$E$39)-SUMIF(预估营业额3!$B$3:$B$39,"&gt;"&amp;N188,预估营业额3!$E$3:$E$39)</f>
        <v>0</v>
      </c>
      <c r="U188" s="219">
        <v>0.24112721732202017</v>
      </c>
      <c r="V188" s="168">
        <v>1</v>
      </c>
      <c r="W188" s="182">
        <f t="shared" ca="1" si="16"/>
        <v>0</v>
      </c>
      <c r="X188" s="214">
        <v>1</v>
      </c>
      <c r="Y188" s="62">
        <f t="shared" si="17"/>
        <v>1</v>
      </c>
      <c r="Z188" s="54">
        <v>1</v>
      </c>
      <c r="AA188" s="54"/>
      <c r="AB188" s="222"/>
      <c r="AC188" s="222"/>
      <c r="AD188" s="222"/>
      <c r="AE188" s="222">
        <v>1</v>
      </c>
      <c r="AF188" s="222"/>
      <c r="AG188" s="222">
        <v>2</v>
      </c>
      <c r="AH188" s="222"/>
      <c r="AI188" s="222"/>
      <c r="AJ188" s="222">
        <v>1</v>
      </c>
      <c r="AK188" s="222"/>
      <c r="AL188" s="222"/>
      <c r="AM188" s="222">
        <v>2</v>
      </c>
      <c r="AN188" s="222">
        <v>1</v>
      </c>
      <c r="AO188" s="222">
        <v>1</v>
      </c>
      <c r="AP188" s="222"/>
      <c r="AQ188" s="222"/>
      <c r="AR188" s="222"/>
      <c r="AS188" s="222"/>
      <c r="AT188" s="222"/>
      <c r="AU188" s="222"/>
      <c r="AV188" s="222"/>
      <c r="AW188" s="222"/>
      <c r="AX188" s="222"/>
      <c r="AY188" s="222"/>
      <c r="AZ188" s="222"/>
      <c r="BA188" s="222"/>
      <c r="BB188" s="222"/>
      <c r="BC188" s="222"/>
      <c r="BD188" s="222"/>
      <c r="BE188" s="222"/>
      <c r="BF188" s="222"/>
      <c r="BG188" s="169" t="str">
        <f>VLOOKUP($A188,订货1!$A188:$I431,9,0)</f>
        <v>由仓库</v>
      </c>
      <c r="BH188" s="47" t="str">
        <f>VLOOKUP($A188,订货1!$A188:$H431,8,0)</f>
        <v>SAIZERIYA AUSTRALIA PTY LTD</v>
      </c>
    </row>
    <row r="189" spans="1:60" ht="15.75" customHeight="1">
      <c r="A189" s="67">
        <v>101063</v>
      </c>
      <c r="B189" s="68" t="s">
        <v>904</v>
      </c>
      <c r="C189" s="69" t="s">
        <v>174</v>
      </c>
      <c r="D189" s="68"/>
      <c r="E189" s="68" t="s">
        <v>243</v>
      </c>
      <c r="F189" s="68" t="s">
        <v>18</v>
      </c>
      <c r="G189" s="68" t="s">
        <v>502</v>
      </c>
      <c r="H189" s="68" t="s">
        <v>503</v>
      </c>
      <c r="I189" s="71" t="s">
        <v>197</v>
      </c>
      <c r="J189" s="68" t="s">
        <v>673</v>
      </c>
      <c r="K189" s="234">
        <f>VLOOKUP($A189,订货1!$A189:$A432,1,0)</f>
        <v>101063</v>
      </c>
      <c r="L189" s="244" t="str">
        <f>VLOOKUP($A189,订货1!$A189:$G432,7,0)</f>
        <v>上海妙可蓝多食品科技股份有限公司</v>
      </c>
      <c r="M189" s="235" t="str">
        <f>VLOOKUP($A189,订货1!$A189:$B432,2,0)</f>
        <v>妙可蓝多马苏里拉奶酪</v>
      </c>
      <c r="N189" s="72">
        <f t="shared" si="22"/>
        <v>45978</v>
      </c>
      <c r="O189" s="49" t="str">
        <f>VLOOKUP($A189,订货1!$A189:$C432,3,0)</f>
        <v>冷凍</v>
      </c>
      <c r="P189" s="44" t="str">
        <f>VLOOKUP($A189,订货1!$A189:$E432,5,0)</f>
        <v>3kg*4pc</v>
      </c>
      <c r="Q189" s="49" t="str">
        <f>VLOOKUP($A189,订货1!$A189:$F432,6,0)</f>
        <v>箱</v>
      </c>
      <c r="R189" s="167">
        <f t="shared" ca="1" si="15"/>
        <v>0</v>
      </c>
      <c r="S189" s="228" t="s">
        <v>199</v>
      </c>
      <c r="T189" s="85">
        <f ca="1">SUMIF(预估营业额3!$B$3:$B$39,"&gt;="&amp;$H$2,预估营业额3!$E$3:$E$39)-SUMIF(预估营业额3!$B$3:$B$39,"&gt;"&amp;N189,预估营业额3!$E$3:$E$39)</f>
        <v>0</v>
      </c>
      <c r="U189" s="219">
        <v>0.31800835907686714</v>
      </c>
      <c r="V189" s="168">
        <v>1.1000000000000001</v>
      </c>
      <c r="W189" s="182">
        <f t="shared" ca="1" si="16"/>
        <v>0</v>
      </c>
      <c r="X189" s="214">
        <v>1</v>
      </c>
      <c r="Y189" s="62">
        <f t="shared" si="17"/>
        <v>2</v>
      </c>
      <c r="Z189" s="54">
        <v>2</v>
      </c>
      <c r="AA189" s="54"/>
      <c r="AB189" s="222"/>
      <c r="AC189" s="222">
        <v>1</v>
      </c>
      <c r="AD189" s="222"/>
      <c r="AE189" s="222">
        <v>1</v>
      </c>
      <c r="AF189" s="222">
        <v>1</v>
      </c>
      <c r="AG189" s="222">
        <v>1</v>
      </c>
      <c r="AH189" s="222"/>
      <c r="AI189" s="222">
        <v>1</v>
      </c>
      <c r="AJ189" s="222"/>
      <c r="AK189" s="222"/>
      <c r="AL189" s="222"/>
      <c r="AM189" s="222">
        <v>2</v>
      </c>
      <c r="AN189" s="222">
        <v>2</v>
      </c>
      <c r="AO189" s="222"/>
      <c r="AP189" s="222"/>
      <c r="AQ189" s="222"/>
      <c r="AR189" s="222"/>
      <c r="AS189" s="222"/>
      <c r="AT189" s="222"/>
      <c r="AU189" s="222"/>
      <c r="AV189" s="222"/>
      <c r="AW189" s="222"/>
      <c r="AX189" s="222"/>
      <c r="AY189" s="222"/>
      <c r="AZ189" s="222"/>
      <c r="BA189" s="222"/>
      <c r="BB189" s="222"/>
      <c r="BC189" s="222"/>
      <c r="BD189" s="222"/>
      <c r="BE189" s="222"/>
      <c r="BF189" s="222"/>
      <c r="BG189" s="169" t="str">
        <f>VLOOKUP($A189,订货1!$A189:$I432,9,0)</f>
        <v>由仓库</v>
      </c>
      <c r="BH189" s="47" t="str">
        <f>VLOOKUP($A189,订货1!$A189:$H432,8,0)</f>
        <v>妙可蓝多（天津）食品科技有限公司</v>
      </c>
    </row>
    <row r="190" spans="1:60" ht="15.75" customHeight="1">
      <c r="A190" s="67">
        <v>101637</v>
      </c>
      <c r="B190" s="68" t="s">
        <v>402</v>
      </c>
      <c r="C190" s="69" t="s">
        <v>176</v>
      </c>
      <c r="D190" s="68"/>
      <c r="E190" s="68" t="s">
        <v>337</v>
      </c>
      <c r="F190" s="68" t="s">
        <v>18</v>
      </c>
      <c r="G190" s="68" t="s">
        <v>403</v>
      </c>
      <c r="H190" s="68" t="s">
        <v>481</v>
      </c>
      <c r="I190" s="71" t="s">
        <v>197</v>
      </c>
      <c r="J190" s="68" t="s">
        <v>429</v>
      </c>
      <c r="K190" s="234">
        <f>VLOOKUP($A190,订货1!$A190:$A433,1,0)</f>
        <v>101637</v>
      </c>
      <c r="L190" s="244" t="str">
        <f>VLOOKUP($A190,订货1!$A190:$G433,7,0)</f>
        <v>朝一蛋品（上海）有限公司</v>
      </c>
      <c r="M190" s="235" t="str">
        <f>VLOOKUP($A190,订货1!$A190:$B433,2,0)</f>
        <v xml:space="preserve">朝一温泉蛋 </v>
      </c>
      <c r="N190" s="72">
        <f t="shared" si="22"/>
        <v>45978</v>
      </c>
      <c r="O190" s="49" t="str">
        <f>VLOOKUP($A190,订货1!$A190:$C433,3,0)</f>
        <v>冷蔵</v>
      </c>
      <c r="P190" s="44" t="str">
        <f>VLOOKUP($A190,订货1!$A190:$E433,5,0)</f>
        <v>60个/箱</v>
      </c>
      <c r="Q190" s="49" t="str">
        <f>VLOOKUP($A190,订货1!$A190:$F433,6,0)</f>
        <v>箱</v>
      </c>
      <c r="R190" s="167">
        <f t="shared" ca="1" si="15"/>
        <v>0</v>
      </c>
      <c r="S190" s="228" t="s">
        <v>199</v>
      </c>
      <c r="T190" s="85">
        <f ca="1">SUMIF(预估营业额3!$B$3:$B$39,"&gt;="&amp;$H$2,预估营业额3!$E$3:$E$39)-SUMIF(预估营业额3!$B$3:$B$39,"&gt;"&amp;N190,预估营业额3!$E$3:$E$39)</f>
        <v>0</v>
      </c>
      <c r="U190" s="219">
        <v>0.34829486946514021</v>
      </c>
      <c r="V190" s="168">
        <v>1</v>
      </c>
      <c r="W190" s="182">
        <f t="shared" ca="1" si="16"/>
        <v>0</v>
      </c>
      <c r="X190" s="214">
        <v>1.5</v>
      </c>
      <c r="Y190" s="62">
        <f t="shared" si="17"/>
        <v>1</v>
      </c>
      <c r="Z190" s="54">
        <v>1</v>
      </c>
      <c r="AA190" s="54"/>
      <c r="AB190" s="222"/>
      <c r="AC190" s="222">
        <v>2</v>
      </c>
      <c r="AD190" s="222"/>
      <c r="AE190" s="222">
        <v>1</v>
      </c>
      <c r="AF190" s="222"/>
      <c r="AG190" s="222">
        <v>1</v>
      </c>
      <c r="AH190" s="222">
        <v>1</v>
      </c>
      <c r="AI190" s="222"/>
      <c r="AJ190" s="222">
        <v>1</v>
      </c>
      <c r="AK190" s="222"/>
      <c r="AL190" s="222">
        <v>1</v>
      </c>
      <c r="AM190" s="222">
        <v>2</v>
      </c>
      <c r="AN190" s="222">
        <v>1</v>
      </c>
      <c r="AO190" s="222">
        <v>1</v>
      </c>
      <c r="AP190" s="222"/>
      <c r="AQ190" s="222"/>
      <c r="AR190" s="222"/>
      <c r="AS190" s="222"/>
      <c r="AT190" s="222"/>
      <c r="AU190" s="222"/>
      <c r="AV190" s="222"/>
      <c r="AW190" s="222"/>
      <c r="AX190" s="222"/>
      <c r="AY190" s="222"/>
      <c r="AZ190" s="222"/>
      <c r="BA190" s="222"/>
      <c r="BB190" s="222"/>
      <c r="BC190" s="222"/>
      <c r="BD190" s="222"/>
      <c r="BE190" s="222"/>
      <c r="BF190" s="222"/>
      <c r="BG190" s="169" t="str">
        <f>VLOOKUP($A190,订货1!$A190:$I433,9,0)</f>
        <v>由仓库</v>
      </c>
      <c r="BH190" s="47" t="str">
        <f>VLOOKUP($A190,订货1!$A190:$H433,8,0)</f>
        <v>一世一代（上海）食品有限公司</v>
      </c>
    </row>
    <row r="191" spans="1:60" ht="15.75" customHeight="1">
      <c r="A191" s="255">
        <v>101761</v>
      </c>
      <c r="B191" s="256" t="s">
        <v>803</v>
      </c>
      <c r="C191" s="296" t="s">
        <v>174</v>
      </c>
      <c r="D191" s="256"/>
      <c r="E191" s="256" t="s">
        <v>818</v>
      </c>
      <c r="F191" s="256" t="s">
        <v>18</v>
      </c>
      <c r="G191" s="256" t="s">
        <v>383</v>
      </c>
      <c r="H191" s="256" t="s">
        <v>98</v>
      </c>
      <c r="I191" s="71" t="s">
        <v>197</v>
      </c>
      <c r="J191" s="68" t="s">
        <v>431</v>
      </c>
      <c r="K191" s="275">
        <f>VLOOKUP($A191,订货1!$A191:$A434,1,0)</f>
        <v>101761</v>
      </c>
      <c r="L191" s="276" t="str">
        <f>VLOOKUP($A191,订货1!$A191:$G434,7,0)</f>
        <v>日邦食品（上海）有限公司</v>
      </c>
      <c r="M191" s="277" t="str">
        <f>VLOOKUP($A191,订货1!$A191:$B434,2,0)</f>
        <v>原味香肠A</v>
      </c>
      <c r="N191" s="289">
        <f t="shared" si="22"/>
        <v>45978</v>
      </c>
      <c r="O191" s="290" t="str">
        <f>VLOOKUP($A191,订货1!$A191:$C434,3,0)</f>
        <v>冷凍</v>
      </c>
      <c r="P191" s="291" t="str">
        <f>VLOOKUP($A191,订货1!$A191:$E434,5,0)</f>
        <v>500g*18pc</v>
      </c>
      <c r="Q191" s="290" t="str">
        <f>VLOOKUP($A191,订货1!$A191:$F434,6,0)</f>
        <v>箱</v>
      </c>
      <c r="R191" s="295">
        <f t="shared" ca="1" si="15"/>
        <v>0</v>
      </c>
      <c r="S191" s="260" t="s">
        <v>828</v>
      </c>
      <c r="T191" s="85">
        <f ca="1">SUMIF(预估营业额3!$B$3:$B$39,"&gt;="&amp;$H$2,预估营业额3!$E$3:$E$39)-SUMIF(预估营业额3!$B$3:$B$39,"&gt;"&amp;N191,预估营业额3!$E$3:$E$39)</f>
        <v>0</v>
      </c>
      <c r="U191" s="219"/>
      <c r="V191" s="168">
        <v>1</v>
      </c>
      <c r="W191" s="182">
        <f t="shared" ca="1" si="16"/>
        <v>0</v>
      </c>
      <c r="X191" s="214">
        <v>0</v>
      </c>
      <c r="Y191" s="62">
        <f t="shared" si="17"/>
        <v>0</v>
      </c>
      <c r="Z191" s="54"/>
      <c r="AA191" s="54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  <c r="AM191" s="222"/>
      <c r="AN191" s="222"/>
      <c r="AO191" s="222"/>
      <c r="AP191" s="222"/>
      <c r="AQ191" s="222"/>
      <c r="AR191" s="222"/>
      <c r="AS191" s="222"/>
      <c r="AT191" s="222"/>
      <c r="AU191" s="222"/>
      <c r="AV191" s="222"/>
      <c r="AW191" s="222"/>
      <c r="AX191" s="222"/>
      <c r="AY191" s="222"/>
      <c r="AZ191" s="222"/>
      <c r="BA191" s="222"/>
      <c r="BB191" s="222"/>
      <c r="BC191" s="222"/>
      <c r="BD191" s="222"/>
      <c r="BE191" s="222"/>
      <c r="BF191" s="222"/>
      <c r="BG191" s="169" t="str">
        <f>VLOOKUP($A191,订货1!$A191:$I434,9,0)</f>
        <v>由仓库</v>
      </c>
      <c r="BH191" s="47" t="str">
        <f>VLOOKUP($A191,订货1!$A191:$H434,8,0)</f>
        <v>山东日龙食品有限公司</v>
      </c>
    </row>
    <row r="192" spans="1:60" ht="15" customHeight="1">
      <c r="A192" s="173">
        <v>101581</v>
      </c>
      <c r="B192" s="172" t="s">
        <v>360</v>
      </c>
      <c r="C192" s="69" t="s">
        <v>174</v>
      </c>
      <c r="D192" s="68"/>
      <c r="E192" s="68" t="s">
        <v>322</v>
      </c>
      <c r="F192" s="68" t="s">
        <v>18</v>
      </c>
      <c r="G192" s="68" t="s">
        <v>361</v>
      </c>
      <c r="H192" s="68" t="s">
        <v>361</v>
      </c>
      <c r="I192" s="71" t="s">
        <v>197</v>
      </c>
      <c r="J192" s="68" t="s">
        <v>674</v>
      </c>
      <c r="K192" s="236">
        <f>VLOOKUP($A192,订货1!$A192:$A435,1,0)</f>
        <v>101581</v>
      </c>
      <c r="L192" s="245" t="str">
        <f>VLOOKUP($A192,订货1!$A192:$G435,7,0)</f>
        <v>上海香尚香食品有限公司</v>
      </c>
      <c r="M192" s="237" t="str">
        <f>VLOOKUP($A192,订货1!$A192:$B435,2,0)</f>
        <v>意式肉酱</v>
      </c>
      <c r="N192" s="72">
        <f t="shared" si="22"/>
        <v>45978</v>
      </c>
      <c r="O192" s="49" t="str">
        <f>VLOOKUP($A192,订货1!$A192:$C435,3,0)</f>
        <v>冷凍</v>
      </c>
      <c r="P192" s="44" t="str">
        <f>VLOOKUP($A192,订货1!$A192:$E435,5,0)</f>
        <v>1kg*10pkt/箱</v>
      </c>
      <c r="Q192" s="49" t="str">
        <f>VLOOKUP($A192,订货1!$A192:$F435,6,0)</f>
        <v>箱</v>
      </c>
      <c r="R192" s="167">
        <f t="shared" ref="R192:R241" ca="1" si="23">IF(ROUNDUP(W192-Y192-X192,0)&gt;=0,ROUNDUP((W192-Y192-X192),0),0)</f>
        <v>0</v>
      </c>
      <c r="S192" s="185" t="s">
        <v>834</v>
      </c>
      <c r="T192" s="85">
        <f ca="1">SUMIF(预估营业额3!$B$3:$B$39,"&gt;="&amp;$H$2,预估营业额3!$E$3:$E$39)-SUMIF(预估营业额3!$B$3:$B$39,"&gt;"&amp;N192,预估营业额3!$E$3:$E$39)</f>
        <v>0</v>
      </c>
      <c r="U192" s="219">
        <v>0.64423531220732744</v>
      </c>
      <c r="V192" s="168">
        <v>1</v>
      </c>
      <c r="W192" s="182">
        <f t="shared" ca="1" si="16"/>
        <v>0</v>
      </c>
      <c r="X192" s="214">
        <v>2</v>
      </c>
      <c r="Y192" s="62">
        <f t="shared" si="17"/>
        <v>2</v>
      </c>
      <c r="Z192" s="54">
        <v>2</v>
      </c>
      <c r="AA192" s="54"/>
      <c r="AB192" s="222"/>
      <c r="AC192" s="222">
        <v>2</v>
      </c>
      <c r="AD192" s="222"/>
      <c r="AE192" s="222">
        <v>3</v>
      </c>
      <c r="AF192" s="222">
        <v>2</v>
      </c>
      <c r="AG192" s="222">
        <v>3</v>
      </c>
      <c r="AH192" s="222"/>
      <c r="AI192" s="222">
        <v>2</v>
      </c>
      <c r="AJ192" s="222">
        <v>1</v>
      </c>
      <c r="AK192" s="222"/>
      <c r="AL192" s="222"/>
      <c r="AM192" s="222">
        <v>4</v>
      </c>
      <c r="AN192" s="222">
        <v>2</v>
      </c>
      <c r="AO192" s="222">
        <v>2</v>
      </c>
      <c r="AP192" s="222"/>
      <c r="AQ192" s="222"/>
      <c r="AR192" s="222"/>
      <c r="AS192" s="222"/>
      <c r="AT192" s="222"/>
      <c r="AU192" s="222"/>
      <c r="AV192" s="222"/>
      <c r="AW192" s="222"/>
      <c r="AX192" s="222"/>
      <c r="AY192" s="222"/>
      <c r="AZ192" s="222"/>
      <c r="BA192" s="222"/>
      <c r="BB192" s="222"/>
      <c r="BC192" s="222"/>
      <c r="BD192" s="222"/>
      <c r="BE192" s="222"/>
      <c r="BF192" s="222"/>
      <c r="BG192" s="169" t="str">
        <f>VLOOKUP($A192,订货1!$A192:$I435,9,0)</f>
        <v>由仓库</v>
      </c>
      <c r="BH192" s="47" t="str">
        <f>VLOOKUP($A192,订货1!$A192:$H435,8,0)</f>
        <v>上海香尚香食品有限公司</v>
      </c>
    </row>
    <row r="193" spans="1:60" ht="15.75" customHeight="1">
      <c r="A193" s="248">
        <v>101737</v>
      </c>
      <c r="B193" s="249" t="s">
        <v>570</v>
      </c>
      <c r="C193" s="69" t="s">
        <v>174</v>
      </c>
      <c r="D193" s="68"/>
      <c r="E193" s="68" t="s">
        <v>571</v>
      </c>
      <c r="F193" s="68" t="s">
        <v>18</v>
      </c>
      <c r="G193" s="68" t="s">
        <v>443</v>
      </c>
      <c r="H193" s="68" t="s">
        <v>443</v>
      </c>
      <c r="I193" s="71" t="s">
        <v>197</v>
      </c>
      <c r="J193" s="68" t="s">
        <v>675</v>
      </c>
      <c r="K193" s="234">
        <f>VLOOKUP($A193,订货1!$A193:$A436,1,0)</f>
        <v>101737</v>
      </c>
      <c r="L193" s="244" t="str">
        <f>VLOOKUP($A193,订货1!$A193:$G436,7,0)</f>
        <v>广州萨莉亚食品有限公司</v>
      </c>
      <c r="M193" s="235" t="str">
        <f>VLOOKUP($A193,订货1!$A193:$B436,2,0)</f>
        <v>披萨酱</v>
      </c>
      <c r="N193" s="72">
        <f t="shared" si="22"/>
        <v>45978</v>
      </c>
      <c r="O193" s="49" t="str">
        <f>VLOOKUP($A193,订货1!$A193:$C436,3,0)</f>
        <v>冷凍</v>
      </c>
      <c r="P193" s="44" t="str">
        <f>VLOOKUP($A193,订货1!$A193:$E436,5,0)</f>
        <v>500g*20袋</v>
      </c>
      <c r="Q193" s="49" t="str">
        <f>VLOOKUP($A193,订货1!$A193:$F436,6,0)</f>
        <v>箱</v>
      </c>
      <c r="R193" s="167">
        <f t="shared" ca="1" si="23"/>
        <v>0</v>
      </c>
      <c r="S193" s="185" t="s">
        <v>828</v>
      </c>
      <c r="T193" s="85">
        <f ca="1">SUMIF(预估营业额3!$B$3:$B$39,"&gt;="&amp;$H$2,预估营业额3!$E$3:$E$39)-SUMIF(预估营业额3!$B$3:$B$39,"&gt;"&amp;N193,预估营业额3!$E$3:$E$39)</f>
        <v>0</v>
      </c>
      <c r="U193" s="219">
        <v>0</v>
      </c>
      <c r="V193" s="168">
        <v>1</v>
      </c>
      <c r="W193" s="182">
        <f t="shared" ref="W193:W234" ca="1" si="24">T193*U193*V193</f>
        <v>0</v>
      </c>
      <c r="X193" s="214">
        <v>0</v>
      </c>
      <c r="Y193" s="62">
        <f t="shared" ref="Y193:Y234" si="25">Z193+AA193</f>
        <v>0</v>
      </c>
      <c r="Z193" s="54"/>
      <c r="AA193" s="54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222"/>
      <c r="AP193" s="222"/>
      <c r="AQ193" s="222"/>
      <c r="AR193" s="222"/>
      <c r="AS193" s="222"/>
      <c r="AT193" s="222"/>
      <c r="AU193" s="222"/>
      <c r="AV193" s="222"/>
      <c r="AW193" s="222"/>
      <c r="AX193" s="222"/>
      <c r="AY193" s="222"/>
      <c r="AZ193" s="222"/>
      <c r="BA193" s="222"/>
      <c r="BB193" s="222"/>
      <c r="BC193" s="222"/>
      <c r="BD193" s="222"/>
      <c r="BE193" s="222"/>
      <c r="BF193" s="222"/>
      <c r="BG193" s="169" t="str">
        <f>VLOOKUP($A193,订货1!$A193:$I436,9,0)</f>
        <v>由仓库</v>
      </c>
      <c r="BH193" s="47" t="str">
        <f>VLOOKUP($A193,订货1!$A193:$H436,8,0)</f>
        <v>广州萨莉亚食品有限公司</v>
      </c>
    </row>
    <row r="194" spans="1:60" ht="15.75" customHeight="1">
      <c r="A194" s="67">
        <v>101075</v>
      </c>
      <c r="B194" s="68" t="s">
        <v>139</v>
      </c>
      <c r="C194" s="69" t="s">
        <v>175</v>
      </c>
      <c r="D194" s="68"/>
      <c r="E194" s="68" t="s">
        <v>268</v>
      </c>
      <c r="F194" s="68" t="s">
        <v>18</v>
      </c>
      <c r="G194" s="68" t="s">
        <v>505</v>
      </c>
      <c r="H194" s="68" t="s">
        <v>119</v>
      </c>
      <c r="I194" s="71" t="s">
        <v>197</v>
      </c>
      <c r="J194" s="68" t="s">
        <v>676</v>
      </c>
      <c r="K194" s="236">
        <f>VLOOKUP($A194,订货1!$A194:$A437,1,0)</f>
        <v>101075</v>
      </c>
      <c r="L194" s="245" t="str">
        <f>VLOOKUP($A194,订货1!$A194:$G437,7,0)</f>
        <v>融滋合味（上海）科技有限公司</v>
      </c>
      <c r="M194" s="237" t="str">
        <f>VLOOKUP($A194,订货1!$A194:$B437,2,0)</f>
        <v>菠萝小扇块</v>
      </c>
      <c r="N194" s="72">
        <f t="shared" ref="N194:N240" si="26">$N$4</f>
        <v>45978</v>
      </c>
      <c r="O194" s="49" t="str">
        <f>VLOOKUP($A194,订货1!$A194:$C437,3,0)</f>
        <v>常温</v>
      </c>
      <c r="P194" s="44" t="str">
        <f>VLOOKUP($A194,订货1!$A194:$E437,5,0)</f>
        <v>3kg*6缶</v>
      </c>
      <c r="Q194" s="49" t="str">
        <f>VLOOKUP($A194,订货1!$A194:$F437,6,0)</f>
        <v>箱</v>
      </c>
      <c r="R194" s="167">
        <f t="shared" ca="1" si="23"/>
        <v>0</v>
      </c>
      <c r="S194" s="185" t="s">
        <v>829</v>
      </c>
      <c r="T194" s="85">
        <f ca="1">SUMIF(预估营业额3!$B$3:$B$39,"&gt;="&amp;$H$2,预估营业额3!$E$3:$E$39)-SUMIF(预估营业额3!$B$3:$B$39,"&gt;"&amp;N194,预估营业额3!$E$3:$E$39)</f>
        <v>0</v>
      </c>
      <c r="U194" s="219">
        <v>0</v>
      </c>
      <c r="V194" s="168">
        <v>1</v>
      </c>
      <c r="W194" s="182">
        <f t="shared" ca="1" si="24"/>
        <v>0</v>
      </c>
      <c r="X194" s="214">
        <v>1</v>
      </c>
      <c r="Y194" s="62">
        <f t="shared" si="25"/>
        <v>0</v>
      </c>
      <c r="Z194" s="54"/>
      <c r="AA194" s="54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222"/>
      <c r="AP194" s="222"/>
      <c r="AQ194" s="222"/>
      <c r="AR194" s="222"/>
      <c r="AS194" s="222"/>
      <c r="AT194" s="222"/>
      <c r="AU194" s="222"/>
      <c r="AV194" s="222"/>
      <c r="AW194" s="222"/>
      <c r="AX194" s="222"/>
      <c r="AY194" s="222"/>
      <c r="AZ194" s="222"/>
      <c r="BA194" s="222"/>
      <c r="BB194" s="222"/>
      <c r="BC194" s="222"/>
      <c r="BD194" s="222"/>
      <c r="BE194" s="222"/>
      <c r="BF194" s="222"/>
      <c r="BG194" s="169" t="str">
        <f>VLOOKUP($A194,订货1!$A194:$I437,9,0)</f>
        <v>由仓库</v>
      </c>
      <c r="BH194" s="47" t="str">
        <f>VLOOKUP($A194,订货1!$A194:$H437,8,0)</f>
        <v>雷州市绿河食品实业有限公司</v>
      </c>
    </row>
    <row r="195" spans="1:60" ht="15.75" customHeight="1">
      <c r="A195" s="268">
        <v>101753</v>
      </c>
      <c r="B195" s="269" t="s">
        <v>774</v>
      </c>
      <c r="C195" s="69" t="s">
        <v>174</v>
      </c>
      <c r="D195" s="68"/>
      <c r="E195" s="68" t="s">
        <v>784</v>
      </c>
      <c r="F195" s="68" t="s">
        <v>785</v>
      </c>
      <c r="G195" s="269" t="s">
        <v>775</v>
      </c>
      <c r="H195" s="269" t="s">
        <v>775</v>
      </c>
      <c r="I195" s="71" t="s">
        <v>197</v>
      </c>
      <c r="J195" s="68" t="s">
        <v>677</v>
      </c>
      <c r="K195" s="270">
        <f>VLOOKUP($A195,订货1!$A195:$A438,1,0)</f>
        <v>101753</v>
      </c>
      <c r="L195" s="271" t="str">
        <f>VLOOKUP($A195,订货1!$A195:$G438,7,0)</f>
        <v>山东匠造烘焙食品有限公司</v>
      </c>
      <c r="M195" s="272" t="str">
        <f>VLOOKUP($A195,订货1!$A195:$B438,2,0)</f>
        <v>冷冻意式披萨</v>
      </c>
      <c r="N195" s="72">
        <f t="shared" si="26"/>
        <v>45978</v>
      </c>
      <c r="O195" s="49" t="str">
        <f>VLOOKUP($A195,订货1!$A195:$C438,3,0)</f>
        <v>冷凍</v>
      </c>
      <c r="P195" s="279" t="str">
        <f>VLOOKUP($A195,订货1!$A195:$E438,5,0)</f>
        <v>110g*60pc</v>
      </c>
      <c r="Q195" s="280" t="str">
        <f>VLOOKUP($A195,订货1!$A195:$F438,6,0)</f>
        <v>箱</v>
      </c>
      <c r="R195" s="167">
        <f t="shared" ca="1" si="23"/>
        <v>0</v>
      </c>
      <c r="S195" s="228" t="s">
        <v>199</v>
      </c>
      <c r="T195" s="85">
        <f ca="1">SUMIF(预估营业额3!$B$3:$B$39,"&gt;="&amp;$H$2,预估营业额3!$E$3:$E$39)-SUMIF(预估营业额3!$B$3:$B$39,"&gt;"&amp;N195,预估营业额3!$E$3:$E$39)</f>
        <v>0</v>
      </c>
      <c r="U195" s="219">
        <v>0.45</v>
      </c>
      <c r="V195" s="168">
        <v>1</v>
      </c>
      <c r="W195" s="182">
        <f t="shared" ca="1" si="24"/>
        <v>0</v>
      </c>
      <c r="X195" s="214">
        <v>1</v>
      </c>
      <c r="Y195" s="62">
        <f t="shared" si="25"/>
        <v>3</v>
      </c>
      <c r="Z195" s="54">
        <v>3</v>
      </c>
      <c r="AA195" s="54"/>
      <c r="AB195" s="222"/>
      <c r="AC195" s="222">
        <v>1</v>
      </c>
      <c r="AD195" s="222"/>
      <c r="AE195" s="222"/>
      <c r="AF195" s="222">
        <v>2</v>
      </c>
      <c r="AG195" s="222">
        <v>2</v>
      </c>
      <c r="AH195" s="222">
        <v>1</v>
      </c>
      <c r="AI195" s="222">
        <v>1</v>
      </c>
      <c r="AJ195" s="222">
        <v>1</v>
      </c>
      <c r="AK195" s="222"/>
      <c r="AL195" s="222"/>
      <c r="AM195" s="222">
        <v>2</v>
      </c>
      <c r="AN195" s="222">
        <v>3</v>
      </c>
      <c r="AO195" s="222"/>
      <c r="AP195" s="222"/>
      <c r="AQ195" s="222"/>
      <c r="AR195" s="222"/>
      <c r="AS195" s="222"/>
      <c r="AT195" s="222"/>
      <c r="AU195" s="222"/>
      <c r="AV195" s="222"/>
      <c r="AW195" s="222"/>
      <c r="AX195" s="222"/>
      <c r="AY195" s="222"/>
      <c r="AZ195" s="222"/>
      <c r="BA195" s="222"/>
      <c r="BB195" s="222"/>
      <c r="BC195" s="222"/>
      <c r="BD195" s="222"/>
      <c r="BE195" s="222"/>
      <c r="BF195" s="222"/>
      <c r="BG195" s="169" t="str">
        <f>VLOOKUP($A195,订货1!$A195:$I438,9,0)</f>
        <v>由仓库</v>
      </c>
      <c r="BH195" s="47" t="str">
        <f>VLOOKUP($A195,订货1!$A195:$H438,8,0)</f>
        <v>山东匠造烘焙食品有限公司</v>
      </c>
    </row>
    <row r="196" spans="1:60" ht="15.75" customHeight="1">
      <c r="A196" s="173">
        <v>101698</v>
      </c>
      <c r="B196" s="172" t="s">
        <v>484</v>
      </c>
      <c r="C196" s="69" t="s">
        <v>174</v>
      </c>
      <c r="D196" s="68"/>
      <c r="E196" s="68" t="s">
        <v>348</v>
      </c>
      <c r="F196" s="68" t="s">
        <v>18</v>
      </c>
      <c r="G196" s="68" t="s">
        <v>361</v>
      </c>
      <c r="H196" s="68" t="s">
        <v>361</v>
      </c>
      <c r="I196" s="71" t="s">
        <v>197</v>
      </c>
      <c r="J196" s="68" t="s">
        <v>678</v>
      </c>
      <c r="K196" s="234">
        <f>VLOOKUP($A196,订货1!$A196:$A439,1,0)</f>
        <v>101698</v>
      </c>
      <c r="L196" s="244" t="str">
        <f>VLOOKUP($A196,订货1!$A196:$G439,7,0)</f>
        <v>上海香尚香食品有限公司</v>
      </c>
      <c r="M196" s="235" t="str">
        <f>VLOOKUP($A196,订货1!$A196:$B439,2,0)</f>
        <v>蒜香黄油酱</v>
      </c>
      <c r="N196" s="72">
        <f t="shared" si="26"/>
        <v>45978</v>
      </c>
      <c r="O196" s="49" t="str">
        <f>VLOOKUP($A196,订货1!$A196:$C439,3,0)</f>
        <v>冷凍</v>
      </c>
      <c r="P196" s="44" t="str">
        <f>VLOOKUP($A196,订货1!$A196:$E439,5,0)</f>
        <v>1kg*10pkt</v>
      </c>
      <c r="Q196" s="226" t="str">
        <f>VLOOKUP($A196,订货1!$A196:$F439,6,0)</f>
        <v>箱</v>
      </c>
      <c r="R196" s="167">
        <f t="shared" ca="1" si="23"/>
        <v>0</v>
      </c>
      <c r="S196" s="185" t="s">
        <v>833</v>
      </c>
      <c r="T196" s="85">
        <f ca="1">SUMIF(预估营业额3!$B$3:$B$39,"&gt;="&amp;$H$2,预估营业额3!$E$3:$E$39)-SUMIF(预估营业额3!$B$3:$B$39,"&gt;"&amp;N196,预估营业额3!$E$3:$E$39)</f>
        <v>0</v>
      </c>
      <c r="U196" s="219">
        <v>0.12390444372999344</v>
      </c>
      <c r="V196" s="168">
        <v>1</v>
      </c>
      <c r="W196" s="182">
        <f t="shared" ca="1" si="24"/>
        <v>0</v>
      </c>
      <c r="X196" s="214">
        <v>1</v>
      </c>
      <c r="Y196" s="62">
        <f t="shared" si="25"/>
        <v>0</v>
      </c>
      <c r="Z196" s="54"/>
      <c r="AA196" s="54"/>
      <c r="AB196" s="222">
        <v>1</v>
      </c>
      <c r="AC196" s="222"/>
      <c r="AD196" s="222"/>
      <c r="AE196" s="222"/>
      <c r="AF196" s="222"/>
      <c r="AG196" s="222">
        <v>1</v>
      </c>
      <c r="AH196" s="222"/>
      <c r="AI196" s="222">
        <v>1</v>
      </c>
      <c r="AJ196" s="222"/>
      <c r="AK196" s="222"/>
      <c r="AL196" s="222"/>
      <c r="AM196" s="222">
        <v>1</v>
      </c>
      <c r="AN196" s="222"/>
      <c r="AO196" s="222">
        <v>1</v>
      </c>
      <c r="AP196" s="222"/>
      <c r="AQ196" s="222"/>
      <c r="AR196" s="222"/>
      <c r="AS196" s="222"/>
      <c r="AT196" s="222"/>
      <c r="AU196" s="222"/>
      <c r="AV196" s="222"/>
      <c r="AW196" s="222"/>
      <c r="AX196" s="222"/>
      <c r="AY196" s="222"/>
      <c r="AZ196" s="222"/>
      <c r="BA196" s="222"/>
      <c r="BB196" s="222"/>
      <c r="BC196" s="222"/>
      <c r="BD196" s="222"/>
      <c r="BE196" s="222"/>
      <c r="BF196" s="222"/>
      <c r="BG196" s="169" t="str">
        <f>VLOOKUP($A196,订货1!$A196:$I439,9,0)</f>
        <v>由仓库</v>
      </c>
      <c r="BH196" s="47" t="str">
        <f>VLOOKUP($A196,订货1!$A196:$H439,8,0)</f>
        <v>上海香尚香食品有限公司</v>
      </c>
    </row>
    <row r="197" spans="1:60" ht="15.75" customHeight="1">
      <c r="A197" s="67">
        <v>101329</v>
      </c>
      <c r="B197" s="68" t="s">
        <v>158</v>
      </c>
      <c r="C197" s="69" t="s">
        <v>174</v>
      </c>
      <c r="D197" s="68"/>
      <c r="E197" s="68" t="s">
        <v>269</v>
      </c>
      <c r="F197" s="68" t="s">
        <v>11</v>
      </c>
      <c r="G197" s="68" t="s">
        <v>505</v>
      </c>
      <c r="H197" s="68" t="s">
        <v>506</v>
      </c>
      <c r="I197" s="71" t="s">
        <v>197</v>
      </c>
      <c r="J197" s="68" t="s">
        <v>679</v>
      </c>
      <c r="K197" s="234">
        <f>VLOOKUP($A197,订货1!$A197:$A440,1,0)</f>
        <v>101329</v>
      </c>
      <c r="L197" s="244" t="str">
        <f>VLOOKUP($A197,订货1!$A197:$G440,7,0)</f>
        <v>融滋合味（上海）科技有限公司</v>
      </c>
      <c r="M197" s="235" t="str">
        <f>VLOOKUP($A197,订货1!$A197:$B440,2,0)</f>
        <v>伊利冰淇淋（香草口味）</v>
      </c>
      <c r="N197" s="72">
        <f t="shared" si="26"/>
        <v>45978</v>
      </c>
      <c r="O197" s="49" t="str">
        <f>VLOOKUP($A197,订货1!$A197:$C440,3,0)</f>
        <v>冷凍</v>
      </c>
      <c r="P197" s="44" t="str">
        <f>VLOOKUP($A197,订货1!$A197:$E440,5,0)</f>
        <v>3.5kg</v>
      </c>
      <c r="Q197" s="49" t="str">
        <f>VLOOKUP($A197,订货1!$A197:$F440,6,0)</f>
        <v>桶</v>
      </c>
      <c r="R197" s="167">
        <f t="shared" ca="1" si="23"/>
        <v>0</v>
      </c>
      <c r="S197" s="105" t="s">
        <v>199</v>
      </c>
      <c r="T197" s="85">
        <f ca="1">SUMIF(预估营业额3!$B$3:$B$39,"&gt;="&amp;$H$2,预估营业额3!$E$3:$E$39)-SUMIF(预估营业额3!$B$3:$B$39,"&gt;"&amp;N197,预估营业额3!$E$3:$E$39)</f>
        <v>0</v>
      </c>
      <c r="U197" s="219">
        <v>0.34247054054431847</v>
      </c>
      <c r="V197" s="168">
        <v>1</v>
      </c>
      <c r="W197" s="182">
        <f t="shared" ca="1" si="24"/>
        <v>0</v>
      </c>
      <c r="X197" s="214">
        <v>1.5</v>
      </c>
      <c r="Y197" s="62">
        <f t="shared" si="25"/>
        <v>1</v>
      </c>
      <c r="Z197" s="54">
        <v>1</v>
      </c>
      <c r="AA197" s="54"/>
      <c r="AB197" s="222">
        <v>1</v>
      </c>
      <c r="AC197" s="222"/>
      <c r="AD197" s="222"/>
      <c r="AE197" s="222"/>
      <c r="AF197" s="222">
        <v>2</v>
      </c>
      <c r="AG197" s="222">
        <v>1</v>
      </c>
      <c r="AH197" s="222"/>
      <c r="AI197" s="222">
        <v>1</v>
      </c>
      <c r="AJ197" s="222"/>
      <c r="AK197" s="222"/>
      <c r="AL197" s="222"/>
      <c r="AM197" s="222">
        <v>2</v>
      </c>
      <c r="AN197" s="222">
        <v>1</v>
      </c>
      <c r="AO197" s="222">
        <v>1</v>
      </c>
      <c r="AP197" s="222"/>
      <c r="AQ197" s="222"/>
      <c r="AR197" s="222"/>
      <c r="AS197" s="222"/>
      <c r="AT197" s="222"/>
      <c r="AU197" s="222"/>
      <c r="AV197" s="222"/>
      <c r="AW197" s="222"/>
      <c r="AX197" s="222"/>
      <c r="AY197" s="222"/>
      <c r="AZ197" s="222"/>
      <c r="BA197" s="222"/>
      <c r="BB197" s="222"/>
      <c r="BC197" s="222"/>
      <c r="BD197" s="222"/>
      <c r="BE197" s="222"/>
      <c r="BF197" s="222"/>
      <c r="BG197" s="169" t="str">
        <f>VLOOKUP($A197,订货1!$A197:$I440,9,0)</f>
        <v>由仓库</v>
      </c>
      <c r="BH197" s="47" t="str">
        <f>VLOOKUP($A197,订货1!$A197:$H440,8,0)</f>
        <v>合肥伊利乳业有限责任公司</v>
      </c>
    </row>
    <row r="198" spans="1:60" ht="15.75" customHeight="1">
      <c r="A198" s="255">
        <v>101762</v>
      </c>
      <c r="B198" s="256" t="s">
        <v>804</v>
      </c>
      <c r="C198" s="296" t="s">
        <v>174</v>
      </c>
      <c r="D198" s="256"/>
      <c r="E198" s="256" t="s">
        <v>514</v>
      </c>
      <c r="F198" s="256" t="s">
        <v>18</v>
      </c>
      <c r="G198" s="256" t="s">
        <v>102</v>
      </c>
      <c r="H198" s="256" t="s">
        <v>399</v>
      </c>
      <c r="I198" s="71" t="s">
        <v>197</v>
      </c>
      <c r="J198" s="68" t="s">
        <v>680</v>
      </c>
      <c r="K198" s="275">
        <f>VLOOKUP($A198,订货1!$A198:$A441,1,0)</f>
        <v>101762</v>
      </c>
      <c r="L198" s="276" t="str">
        <f>VLOOKUP($A198,订货1!$A198:$G441,7,0)</f>
        <v>上海蓬澜食品有限公司</v>
      </c>
      <c r="M198" s="277" t="str">
        <f>VLOOKUP($A198,订货1!$A198:$B441,2,0)</f>
        <v>原味香肠</v>
      </c>
      <c r="N198" s="289">
        <f t="shared" si="26"/>
        <v>45978</v>
      </c>
      <c r="O198" s="290" t="str">
        <f>VLOOKUP($A198,订货1!$A198:$C441,3,0)</f>
        <v>冷凍</v>
      </c>
      <c r="P198" s="291" t="str">
        <f>VLOOKUP($A198,订货1!$A198:$E441,5,0)</f>
        <v>1kg*12pkt</v>
      </c>
      <c r="Q198" s="290" t="str">
        <f>VLOOKUP($A198,订货1!$A198:$F441,6,0)</f>
        <v>箱</v>
      </c>
      <c r="R198" s="295">
        <f t="shared" ca="1" si="23"/>
        <v>0</v>
      </c>
      <c r="S198" s="260" t="s">
        <v>831</v>
      </c>
      <c r="T198" s="85">
        <f ca="1">SUMIF(预估营业额3!$B$3:$B$39,"&gt;="&amp;$H$2,预估营业额3!$E$3:$E$39)-SUMIF(预估营业额3!$B$3:$B$39,"&gt;"&amp;N198,预估营业额3!$E$3:$E$39)</f>
        <v>0</v>
      </c>
      <c r="U198" s="219">
        <v>0.15</v>
      </c>
      <c r="V198" s="168">
        <v>1.1000000000000001</v>
      </c>
      <c r="W198" s="182">
        <f t="shared" ca="1" si="24"/>
        <v>0</v>
      </c>
      <c r="X198" s="214">
        <v>0.4</v>
      </c>
      <c r="Y198" s="62">
        <f t="shared" si="25"/>
        <v>1</v>
      </c>
      <c r="Z198" s="54">
        <v>1</v>
      </c>
      <c r="AA198" s="54"/>
      <c r="AB198" s="222"/>
      <c r="AC198" s="222">
        <v>1</v>
      </c>
      <c r="AD198" s="222"/>
      <c r="AE198" s="222"/>
      <c r="AF198" s="222">
        <v>1</v>
      </c>
      <c r="AG198" s="222"/>
      <c r="AH198" s="222"/>
      <c r="AI198" s="222">
        <v>1</v>
      </c>
      <c r="AJ198" s="222"/>
      <c r="AK198" s="222"/>
      <c r="AL198" s="222"/>
      <c r="AM198" s="222">
        <v>1</v>
      </c>
      <c r="AN198" s="222">
        <v>1</v>
      </c>
      <c r="AO198" s="222">
        <v>1</v>
      </c>
      <c r="AP198" s="222"/>
      <c r="AQ198" s="222"/>
      <c r="AR198" s="222"/>
      <c r="AS198" s="222"/>
      <c r="AT198" s="222"/>
      <c r="AU198" s="222"/>
      <c r="AV198" s="222"/>
      <c r="AW198" s="222"/>
      <c r="AX198" s="222"/>
      <c r="AY198" s="222"/>
      <c r="AZ198" s="222"/>
      <c r="BA198" s="222"/>
      <c r="BB198" s="222"/>
      <c r="BC198" s="222"/>
      <c r="BD198" s="222"/>
      <c r="BE198" s="222"/>
      <c r="BF198" s="222"/>
      <c r="BG198" s="169" t="str">
        <f>VLOOKUP($A198,订货1!$A198:$I441,9,0)</f>
        <v>由仓库</v>
      </c>
      <c r="BH198" s="47" t="str">
        <f>VLOOKUP($A198,订货1!$A198:$H441,8,0)</f>
        <v>三旺实业有限公司</v>
      </c>
    </row>
    <row r="199" spans="1:60" ht="15.75" customHeight="1">
      <c r="A199" s="67">
        <v>101722</v>
      </c>
      <c r="B199" s="68" t="s">
        <v>542</v>
      </c>
      <c r="C199" s="69" t="s">
        <v>174</v>
      </c>
      <c r="D199" s="68"/>
      <c r="E199" s="68" t="s">
        <v>543</v>
      </c>
      <c r="F199" s="68" t="s">
        <v>18</v>
      </c>
      <c r="G199" s="68" t="s">
        <v>513</v>
      </c>
      <c r="H199" s="68" t="s">
        <v>271</v>
      </c>
      <c r="I199" s="71" t="s">
        <v>197</v>
      </c>
      <c r="J199" s="68" t="s">
        <v>681</v>
      </c>
      <c r="K199" s="234">
        <f>VLOOKUP($A199,订货1!$A199:$A442,1,0)</f>
        <v>101722</v>
      </c>
      <c r="L199" s="244" t="str">
        <f>VLOOKUP($A199,订货1!$A199:$G442,7,0)</f>
        <v>曼可顿（上海）实业有限公司</v>
      </c>
      <c r="M199" s="235" t="str">
        <f>VLOOKUP($A199,订货1!$A199:$B442,2,0)</f>
        <v>曼可顿面包干</v>
      </c>
      <c r="N199" s="72">
        <f t="shared" si="26"/>
        <v>45978</v>
      </c>
      <c r="O199" s="49" t="str">
        <f>VLOOKUP($A199,订货1!$A199:$C442,3,0)</f>
        <v>冷凍</v>
      </c>
      <c r="P199" s="44" t="str">
        <f>VLOOKUP($A199,订货1!$A199:$E442,5,0)</f>
        <v>0.65kg*4pkt</v>
      </c>
      <c r="Q199" s="49" t="str">
        <f>VLOOKUP($A199,订货1!$A199:$F442,6,0)</f>
        <v>箱</v>
      </c>
      <c r="R199" s="167">
        <f t="shared" ca="1" si="23"/>
        <v>0</v>
      </c>
      <c r="S199" s="228" t="s">
        <v>199</v>
      </c>
      <c r="T199" s="85">
        <f ca="1">SUMIF(预估营业额3!$B$3:$B$39,"&gt;="&amp;$H$2,预估营业额3!$E$3:$E$39)-SUMIF(预估营业额3!$B$3:$B$39,"&gt;"&amp;N199,预估营业额3!$E$3:$E$39)</f>
        <v>0</v>
      </c>
      <c r="U199" s="219">
        <v>4.4354504858565583E-2</v>
      </c>
      <c r="V199" s="168">
        <v>1</v>
      </c>
      <c r="W199" s="182">
        <f t="shared" ca="1" si="24"/>
        <v>0</v>
      </c>
      <c r="X199" s="214">
        <v>0.96153846153846156</v>
      </c>
      <c r="Y199" s="62">
        <f t="shared" si="25"/>
        <v>0</v>
      </c>
      <c r="Z199" s="54"/>
      <c r="AA199" s="54"/>
      <c r="AB199" s="222"/>
      <c r="AC199" s="222"/>
      <c r="AD199" s="222"/>
      <c r="AE199" s="222"/>
      <c r="AF199" s="222"/>
      <c r="AG199" s="222"/>
      <c r="AH199" s="222"/>
      <c r="AI199" s="222">
        <v>1</v>
      </c>
      <c r="AJ199" s="222"/>
      <c r="AK199" s="222"/>
      <c r="AL199" s="222"/>
      <c r="AM199" s="222"/>
      <c r="AN199" s="222"/>
      <c r="AO199" s="222"/>
      <c r="AP199" s="222"/>
      <c r="AQ199" s="222"/>
      <c r="AR199" s="222"/>
      <c r="AS199" s="222"/>
      <c r="AT199" s="222"/>
      <c r="AU199" s="222"/>
      <c r="AV199" s="222"/>
      <c r="AW199" s="222"/>
      <c r="AX199" s="222"/>
      <c r="AY199" s="222"/>
      <c r="AZ199" s="222"/>
      <c r="BA199" s="222"/>
      <c r="BB199" s="222"/>
      <c r="BC199" s="222"/>
      <c r="BD199" s="222"/>
      <c r="BE199" s="222"/>
      <c r="BF199" s="222"/>
      <c r="BG199" s="169" t="str">
        <f>VLOOKUP($A199,订货1!$A199:$I442,9,0)</f>
        <v>由仓库</v>
      </c>
      <c r="BH199" s="47" t="str">
        <f>VLOOKUP($A199,订货1!$A199:$H442,8,0)</f>
        <v>曼可顿食品（上海）有限公司</v>
      </c>
    </row>
    <row r="200" spans="1:60" ht="15.75" customHeight="1">
      <c r="A200" s="173">
        <v>101725</v>
      </c>
      <c r="B200" s="68" t="s">
        <v>544</v>
      </c>
      <c r="C200" s="69" t="s">
        <v>174</v>
      </c>
      <c r="D200" s="68"/>
      <c r="E200" s="68" t="s">
        <v>545</v>
      </c>
      <c r="F200" s="68" t="s">
        <v>18</v>
      </c>
      <c r="G200" s="68" t="s">
        <v>470</v>
      </c>
      <c r="H200" s="68" t="s">
        <v>470</v>
      </c>
      <c r="I200" s="71" t="s">
        <v>197</v>
      </c>
      <c r="J200" s="68" t="s">
        <v>451</v>
      </c>
      <c r="K200" s="234">
        <f>VLOOKUP($A200,订货1!$A200:$A443,1,0)</f>
        <v>101725</v>
      </c>
      <c r="L200" s="244" t="str">
        <f>VLOOKUP($A200,订货1!$A200:$G443,7,0)</f>
        <v>杭州洲际食品有限公司</v>
      </c>
      <c r="M200" s="235" t="str">
        <f>VLOOKUP($A200,订货1!$A200:$B443,2,0)</f>
        <v>90g冷冻披萨面团</v>
      </c>
      <c r="N200" s="72">
        <f t="shared" si="26"/>
        <v>45978</v>
      </c>
      <c r="O200" s="49" t="str">
        <f>VLOOKUP($A200,订货1!$A200:$C443,3,0)</f>
        <v>冷凍</v>
      </c>
      <c r="P200" s="44" t="str">
        <f>VLOOKUP($A200,订货1!$A200:$E443,5,0)</f>
        <v>0.09kg*100pc</v>
      </c>
      <c r="Q200" s="49" t="str">
        <f>VLOOKUP($A200,订货1!$A200:$F443,6,0)</f>
        <v>箱</v>
      </c>
      <c r="R200" s="167">
        <f t="shared" ca="1" si="23"/>
        <v>0</v>
      </c>
      <c r="S200" s="228" t="s">
        <v>199</v>
      </c>
      <c r="T200" s="85">
        <f ca="1">SUMIF(预估营业额3!$B$3:$B$39,"&gt;="&amp;$H$2,预估营业额3!$E$3:$E$39)-SUMIF(预估营业额3!$B$3:$B$39,"&gt;"&amp;N200,预估营业额3!$E$3:$E$39)</f>
        <v>0</v>
      </c>
      <c r="U200" s="219">
        <v>0.11</v>
      </c>
      <c r="V200" s="168">
        <v>1</v>
      </c>
      <c r="W200" s="182">
        <f t="shared" ca="1" si="24"/>
        <v>0</v>
      </c>
      <c r="X200" s="214">
        <v>1</v>
      </c>
      <c r="Y200" s="62">
        <f t="shared" si="25"/>
        <v>0</v>
      </c>
      <c r="Z200" s="54"/>
      <c r="AA200" s="54"/>
      <c r="AB200" s="222"/>
      <c r="AC200" s="222"/>
      <c r="AD200" s="222"/>
      <c r="AE200" s="222">
        <v>1</v>
      </c>
      <c r="AF200" s="222"/>
      <c r="AG200" s="222"/>
      <c r="AH200" s="222">
        <v>1</v>
      </c>
      <c r="AI200" s="222"/>
      <c r="AJ200" s="222"/>
      <c r="AK200" s="222"/>
      <c r="AL200" s="222"/>
      <c r="AM200" s="222">
        <v>1</v>
      </c>
      <c r="AN200" s="222"/>
      <c r="AO200" s="222"/>
      <c r="AP200" s="222"/>
      <c r="AQ200" s="222"/>
      <c r="AR200" s="222"/>
      <c r="AS200" s="222"/>
      <c r="AT200" s="222"/>
      <c r="AU200" s="222"/>
      <c r="AV200" s="222"/>
      <c r="AW200" s="222"/>
      <c r="AX200" s="222"/>
      <c r="AY200" s="222"/>
      <c r="AZ200" s="222"/>
      <c r="BA200" s="222"/>
      <c r="BB200" s="222"/>
      <c r="BC200" s="222"/>
      <c r="BD200" s="222"/>
      <c r="BE200" s="222"/>
      <c r="BF200" s="222"/>
      <c r="BG200" s="169" t="str">
        <f>VLOOKUP($A200,订货1!$A200:$I443,9,0)</f>
        <v>由仓库</v>
      </c>
      <c r="BH200" s="47" t="str">
        <f>VLOOKUP($A200,订货1!$A200:$H443,8,0)</f>
        <v>杭州洲际食品有限公司</v>
      </c>
    </row>
    <row r="201" spans="1:60" ht="15.75" customHeight="1">
      <c r="A201" s="67">
        <v>101493</v>
      </c>
      <c r="B201" s="68" t="s">
        <v>384</v>
      </c>
      <c r="C201" s="69" t="s">
        <v>175</v>
      </c>
      <c r="D201" s="68"/>
      <c r="E201" s="68" t="s">
        <v>301</v>
      </c>
      <c r="F201" s="68" t="s">
        <v>48</v>
      </c>
      <c r="G201" s="68" t="s">
        <v>505</v>
      </c>
      <c r="H201" s="68" t="s">
        <v>507</v>
      </c>
      <c r="I201" s="71" t="s">
        <v>197</v>
      </c>
      <c r="J201" s="68" t="s">
        <v>452</v>
      </c>
      <c r="K201" s="234">
        <f>VLOOKUP($A201,订货1!$A201:$A444,1,0)</f>
        <v>101493</v>
      </c>
      <c r="L201" s="244" t="str">
        <f>VLOOKUP($A201,订货1!$A201:$G444,7,0)</f>
        <v>融滋合味（上海）科技有限公司</v>
      </c>
      <c r="M201" s="235" t="str">
        <f>VLOOKUP($A201,订货1!$A201:$B444,2,0)</f>
        <v>好时巧克力浆</v>
      </c>
      <c r="N201" s="72">
        <f t="shared" si="26"/>
        <v>45978</v>
      </c>
      <c r="O201" s="49" t="str">
        <f>VLOOKUP($A201,订货1!$A201:$C444,3,0)</f>
        <v>常温</v>
      </c>
      <c r="P201" s="44" t="str">
        <f>VLOOKUP($A201,订货1!$A201:$E444,5,0)</f>
        <v>680g</v>
      </c>
      <c r="Q201" s="49" t="str">
        <f>VLOOKUP($A201,订货1!$A201:$F444,6,0)</f>
        <v>瓶</v>
      </c>
      <c r="R201" s="167">
        <f t="shared" ca="1" si="23"/>
        <v>0</v>
      </c>
      <c r="S201" s="105" t="s">
        <v>199</v>
      </c>
      <c r="T201" s="85">
        <f ca="1">SUMIF(预估营业额3!$B$3:$B$39,"&gt;="&amp;$H$2,预估营业额3!$E$3:$E$39)-SUMIF(预估营业额3!$B$3:$B$39,"&gt;"&amp;N201,预估营业额3!$E$3:$E$39)</f>
        <v>0</v>
      </c>
      <c r="U201" s="219">
        <v>0.11881630998476356</v>
      </c>
      <c r="V201" s="168">
        <v>1</v>
      </c>
      <c r="W201" s="182">
        <f t="shared" ca="1" si="24"/>
        <v>0</v>
      </c>
      <c r="X201" s="214">
        <v>1</v>
      </c>
      <c r="Y201" s="62">
        <f t="shared" si="25"/>
        <v>1</v>
      </c>
      <c r="Z201" s="54">
        <v>1</v>
      </c>
      <c r="AA201" s="54"/>
      <c r="AB201" s="222"/>
      <c r="AC201" s="222"/>
      <c r="AD201" s="222"/>
      <c r="AE201" s="222">
        <v>1</v>
      </c>
      <c r="AF201" s="222"/>
      <c r="AG201" s="222">
        <v>1</v>
      </c>
      <c r="AH201" s="222"/>
      <c r="AI201" s="222"/>
      <c r="AJ201" s="222"/>
      <c r="AK201" s="222"/>
      <c r="AL201" s="222"/>
      <c r="AM201" s="222"/>
      <c r="AN201" s="222">
        <v>1</v>
      </c>
      <c r="AO201" s="222"/>
      <c r="AP201" s="222"/>
      <c r="AQ201" s="222"/>
      <c r="AR201" s="222"/>
      <c r="AS201" s="222"/>
      <c r="AT201" s="222"/>
      <c r="AU201" s="222"/>
      <c r="AV201" s="222"/>
      <c r="AW201" s="222"/>
      <c r="AX201" s="222"/>
      <c r="AY201" s="222"/>
      <c r="AZ201" s="222"/>
      <c r="BA201" s="222"/>
      <c r="BB201" s="222"/>
      <c r="BC201" s="222"/>
      <c r="BD201" s="222"/>
      <c r="BE201" s="222"/>
      <c r="BF201" s="222"/>
      <c r="BG201" s="169" t="str">
        <f>VLOOKUP($A201,订货1!$A201:$I444,9,0)</f>
        <v>由仓库</v>
      </c>
      <c r="BH201" s="47" t="str">
        <f>VLOOKUP($A201,订货1!$A201:$H444,8,0)</f>
        <v>HERSHEY MALAYSIASDNBHD</v>
      </c>
    </row>
    <row r="202" spans="1:60" ht="15.75" customHeight="1">
      <c r="A202" s="255">
        <v>101763</v>
      </c>
      <c r="B202" s="256" t="s">
        <v>805</v>
      </c>
      <c r="C202" s="69" t="s">
        <v>175</v>
      </c>
      <c r="D202" s="256"/>
      <c r="E202" s="256" t="s">
        <v>869</v>
      </c>
      <c r="F202" s="256" t="s">
        <v>18</v>
      </c>
      <c r="G202" s="256" t="s">
        <v>496</v>
      </c>
      <c r="H202" s="256" t="s">
        <v>496</v>
      </c>
      <c r="I202" s="71" t="s">
        <v>197</v>
      </c>
      <c r="J202" s="68" t="s">
        <v>682</v>
      </c>
      <c r="K202" s="275">
        <f>VLOOKUP($A202,订货1!$A202:$A445,1,0)</f>
        <v>101763</v>
      </c>
      <c r="L202" s="276" t="str">
        <f>VLOOKUP($A202,订货1!$A202:$G445,7,0)</f>
        <v>卓典食品科技（江苏）有限公司</v>
      </c>
      <c r="M202" s="277" t="str">
        <f>VLOOKUP($A202,订货1!$A202:$B445,2,0)</f>
        <v>酸汤鱼金汤料</v>
      </c>
      <c r="N202" s="289">
        <f t="shared" si="26"/>
        <v>45978</v>
      </c>
      <c r="O202" s="290" t="str">
        <f>VLOOKUP($A202,订货1!$A202:$C445,3,0)</f>
        <v>常温</v>
      </c>
      <c r="P202" s="291" t="str">
        <f>VLOOKUP($A202,订货1!$A202:$E445,5,0)</f>
        <v>100g*20*6pc</v>
      </c>
      <c r="Q202" s="290" t="str">
        <f>VLOOKUP($A202,订货1!$A202:$F445,6,0)</f>
        <v>箱</v>
      </c>
      <c r="R202" s="295">
        <f t="shared" ca="1" si="23"/>
        <v>0</v>
      </c>
      <c r="S202" s="228" t="s">
        <v>199</v>
      </c>
      <c r="T202" s="85">
        <f ca="1">SUMIF(预估营业额3!$B$3:$B$39,"&gt;="&amp;$H$2,预估营业额3!$E$3:$E$39)-SUMIF(预估营业额3!$B$3:$B$39,"&gt;"&amp;N202,预估营业额3!$E$3:$E$39)</f>
        <v>0</v>
      </c>
      <c r="U202" s="219">
        <v>2.3122585815662316E-3</v>
      </c>
      <c r="V202" s="168">
        <v>1</v>
      </c>
      <c r="W202" s="182">
        <f t="shared" ca="1" si="24"/>
        <v>0</v>
      </c>
      <c r="X202" s="214">
        <v>1</v>
      </c>
      <c r="Y202" s="62">
        <f t="shared" si="25"/>
        <v>0</v>
      </c>
      <c r="Z202" s="54"/>
      <c r="AA202" s="54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  <c r="AM202" s="222"/>
      <c r="AN202" s="222"/>
      <c r="AO202" s="222"/>
      <c r="AP202" s="222"/>
      <c r="AQ202" s="222"/>
      <c r="AR202" s="222"/>
      <c r="AS202" s="222"/>
      <c r="AT202" s="222"/>
      <c r="AU202" s="222"/>
      <c r="AV202" s="222"/>
      <c r="AW202" s="222"/>
      <c r="AX202" s="222"/>
      <c r="AY202" s="222"/>
      <c r="AZ202" s="222"/>
      <c r="BA202" s="222"/>
      <c r="BB202" s="222"/>
      <c r="BC202" s="222"/>
      <c r="BD202" s="222"/>
      <c r="BE202" s="222"/>
      <c r="BF202" s="222"/>
      <c r="BG202" s="169" t="str">
        <f>VLOOKUP($A202,订货1!$A202:$I445,9,0)</f>
        <v>由仓库</v>
      </c>
      <c r="BH202" s="47" t="str">
        <f>VLOOKUP($A202,订货1!$A202:$H445,8,0)</f>
        <v>卓典食品科技（江苏）有限公司</v>
      </c>
    </row>
    <row r="203" spans="1:60" ht="15.75" customHeight="1">
      <c r="A203" s="67">
        <v>101647</v>
      </c>
      <c r="B203" s="68" t="s">
        <v>411</v>
      </c>
      <c r="C203" s="69" t="s">
        <v>175</v>
      </c>
      <c r="D203" s="68"/>
      <c r="E203" s="68" t="s">
        <v>412</v>
      </c>
      <c r="F203" s="68" t="s">
        <v>15</v>
      </c>
      <c r="G203" s="68" t="s">
        <v>413</v>
      </c>
      <c r="H203" s="68" t="s">
        <v>508</v>
      </c>
      <c r="I203" s="71" t="s">
        <v>197</v>
      </c>
      <c r="J203" s="68" t="s">
        <v>463</v>
      </c>
      <c r="K203" s="236">
        <f>VLOOKUP($A203,订货1!$A203:$A446,1,0)</f>
        <v>101647</v>
      </c>
      <c r="L203" s="245" t="str">
        <f>VLOOKUP($A203,订货1!$A203:$G446,7,0)</f>
        <v>成都荣町食品有限公司上海分公司</v>
      </c>
      <c r="M203" s="237" t="str">
        <f>VLOOKUP($A203,订货1!$A203:$B446,2,0)</f>
        <v>神明大米</v>
      </c>
      <c r="N203" s="72">
        <f t="shared" si="26"/>
        <v>45978</v>
      </c>
      <c r="O203" s="49" t="str">
        <f>VLOOKUP($A203,订货1!$A203:$C446,3,0)</f>
        <v>常温</v>
      </c>
      <c r="P203" s="44" t="str">
        <f>VLOOKUP($A203,订货1!$A203:$E446,5,0)</f>
        <v>1.1kg*20</v>
      </c>
      <c r="Q203" s="49" t="str">
        <f>VLOOKUP($A203,订货1!$A203:$F446,6,0)</f>
        <v>袋</v>
      </c>
      <c r="R203" s="167">
        <f t="shared" ca="1" si="23"/>
        <v>0</v>
      </c>
      <c r="S203" s="185" t="s">
        <v>831</v>
      </c>
      <c r="T203" s="85">
        <f ca="1">SUMIF(预估营业额3!$B$3:$B$39,"&gt;="&amp;$H$2,预估营业额3!$E$3:$E$39)-SUMIF(预估营业额3!$B$3:$B$39,"&gt;"&amp;N203,预估营业额3!$E$3:$E$39)</f>
        <v>0</v>
      </c>
      <c r="U203" s="219">
        <v>0.13139686045373852</v>
      </c>
      <c r="V203" s="168">
        <v>1</v>
      </c>
      <c r="W203" s="182">
        <f t="shared" ca="1" si="24"/>
        <v>0</v>
      </c>
      <c r="X203" s="214">
        <v>1</v>
      </c>
      <c r="Y203" s="62">
        <f t="shared" si="25"/>
        <v>1</v>
      </c>
      <c r="Z203" s="54">
        <v>1</v>
      </c>
      <c r="AA203" s="54"/>
      <c r="AB203" s="222"/>
      <c r="AC203" s="222"/>
      <c r="AD203" s="222"/>
      <c r="AE203" s="222"/>
      <c r="AF203" s="222"/>
      <c r="AG203" s="222">
        <v>1</v>
      </c>
      <c r="AH203" s="222"/>
      <c r="AI203" s="222"/>
      <c r="AJ203" s="222">
        <v>1</v>
      </c>
      <c r="AK203" s="222"/>
      <c r="AL203" s="222"/>
      <c r="AM203" s="222"/>
      <c r="AN203" s="222">
        <v>1</v>
      </c>
      <c r="AO203" s="222"/>
      <c r="AP203" s="222"/>
      <c r="AQ203" s="222"/>
      <c r="AR203" s="222"/>
      <c r="AS203" s="222"/>
      <c r="AT203" s="222"/>
      <c r="AU203" s="222"/>
      <c r="AV203" s="222"/>
      <c r="AW203" s="222"/>
      <c r="AX203" s="222"/>
      <c r="AY203" s="222"/>
      <c r="AZ203" s="222"/>
      <c r="BA203" s="222"/>
      <c r="BB203" s="222"/>
      <c r="BC203" s="222"/>
      <c r="BD203" s="222"/>
      <c r="BE203" s="222"/>
      <c r="BF203" s="222"/>
      <c r="BG203" s="169" t="str">
        <f>VLOOKUP($A203,订货1!$A203:$I446,9,0)</f>
        <v>由仓库</v>
      </c>
      <c r="BH203" s="47" t="str">
        <f>VLOOKUP($A203,订货1!$A203:$H446,8,0)</f>
        <v>荣町（东港）农业科技有限公司</v>
      </c>
    </row>
    <row r="204" spans="1:60" ht="15.75" customHeight="1">
      <c r="A204" s="67">
        <v>101557</v>
      </c>
      <c r="B204" s="68" t="s">
        <v>375</v>
      </c>
      <c r="C204" s="69" t="s">
        <v>175</v>
      </c>
      <c r="D204" s="68"/>
      <c r="E204" s="68" t="s">
        <v>251</v>
      </c>
      <c r="F204" s="68" t="s">
        <v>18</v>
      </c>
      <c r="G204" s="68" t="s">
        <v>173</v>
      </c>
      <c r="H204" s="68" t="s">
        <v>500</v>
      </c>
      <c r="I204" s="71" t="s">
        <v>197</v>
      </c>
      <c r="J204" s="68" t="s">
        <v>683</v>
      </c>
      <c r="K204" s="236">
        <f>VLOOKUP($A204,订货1!$A204:$A447,1,0)</f>
        <v>101557</v>
      </c>
      <c r="L204" s="245" t="str">
        <f>VLOOKUP($A204,订货1!$A204:$G447,7,0)</f>
        <v>上海铭欣咖啡有限公司</v>
      </c>
      <c r="M204" s="237" t="str">
        <f>VLOOKUP($A204,订货1!$A204:$B447,2,0)</f>
        <v>烘炒咖啡豆</v>
      </c>
      <c r="N204" s="72">
        <f t="shared" si="26"/>
        <v>45978</v>
      </c>
      <c r="O204" s="49" t="str">
        <f>VLOOKUP($A204,订货1!$A204:$C447,3,0)</f>
        <v>常温</v>
      </c>
      <c r="P204" s="44" t="str">
        <f>VLOOKUP($A204,订货1!$A204:$E447,5,0)</f>
        <v>1kg*10</v>
      </c>
      <c r="Q204" s="49" t="str">
        <f>VLOOKUP($A204,订货1!$A204:$F447,6,0)</f>
        <v>箱</v>
      </c>
      <c r="R204" s="167">
        <f t="shared" ca="1" si="23"/>
        <v>0</v>
      </c>
      <c r="S204" s="105" t="s">
        <v>404</v>
      </c>
      <c r="T204" s="85">
        <f ca="1">SUMIF(预估营业额3!$B$3:$B$39,"&gt;="&amp;$H$2,预估营业额3!$E$3:$E$39)-SUMIF(预估营业额3!$B$3:$B$39,"&gt;"&amp;N204,预估营业额3!$E$3:$E$39)</f>
        <v>0</v>
      </c>
      <c r="U204" s="219">
        <v>1.5376228350969402E-2</v>
      </c>
      <c r="V204" s="168">
        <v>1</v>
      </c>
      <c r="W204" s="182">
        <f t="shared" ca="1" si="24"/>
        <v>0</v>
      </c>
      <c r="X204" s="214">
        <v>1</v>
      </c>
      <c r="Y204" s="62">
        <f t="shared" si="25"/>
        <v>0</v>
      </c>
      <c r="Z204" s="54"/>
      <c r="AA204" s="54"/>
      <c r="AB204" s="222"/>
      <c r="AC204" s="222"/>
      <c r="AD204" s="222"/>
      <c r="AE204" s="222"/>
      <c r="AF204" s="222"/>
      <c r="AG204" s="222"/>
      <c r="AH204" s="222"/>
      <c r="AI204" s="222"/>
      <c r="AJ204" s="222"/>
      <c r="AK204" s="222"/>
      <c r="AL204" s="222">
        <v>1</v>
      </c>
      <c r="AM204" s="222"/>
      <c r="AN204" s="222"/>
      <c r="AO204" s="222"/>
      <c r="AP204" s="222"/>
      <c r="AQ204" s="222"/>
      <c r="AR204" s="222"/>
      <c r="AS204" s="222"/>
      <c r="AT204" s="222"/>
      <c r="AU204" s="222"/>
      <c r="AV204" s="222"/>
      <c r="AW204" s="222"/>
      <c r="AX204" s="222"/>
      <c r="AY204" s="222"/>
      <c r="AZ204" s="222"/>
      <c r="BA204" s="222"/>
      <c r="BB204" s="222"/>
      <c r="BC204" s="222"/>
      <c r="BD204" s="222"/>
      <c r="BE204" s="222"/>
      <c r="BF204" s="222"/>
      <c r="BG204" s="169" t="str">
        <f>VLOOKUP($A204,订货1!$A204:$I447,9,0)</f>
        <v>由仓库</v>
      </c>
      <c r="BH204" s="47" t="str">
        <f>VLOOKUP($A204,订货1!$A204:$H447,8,0)</f>
        <v>上海威铭食品有限公司第一分公司</v>
      </c>
    </row>
    <row r="205" spans="1:60" ht="15.75" customHeight="1">
      <c r="A205" s="173">
        <v>301115</v>
      </c>
      <c r="B205" s="68" t="s">
        <v>152</v>
      </c>
      <c r="C205" s="69" t="s">
        <v>175</v>
      </c>
      <c r="D205" s="68"/>
      <c r="E205" s="68" t="s">
        <v>439</v>
      </c>
      <c r="F205" s="68" t="s">
        <v>18</v>
      </c>
      <c r="G205" s="247" t="s">
        <v>576</v>
      </c>
      <c r="H205" s="267" t="s">
        <v>770</v>
      </c>
      <c r="I205" s="71" t="s">
        <v>197</v>
      </c>
      <c r="J205" s="68" t="s">
        <v>684</v>
      </c>
      <c r="K205" s="236">
        <f>VLOOKUP($A205,订货1!$A205:$A448,1,0)</f>
        <v>301115</v>
      </c>
      <c r="L205" s="245" t="str">
        <f>VLOOKUP($A205,订货1!$A205:$G448,7,0)</f>
        <v>上海粮满仓粮油发展有限公司</v>
      </c>
      <c r="M205" s="237" t="str">
        <f>VLOOKUP($A205,订货1!$A205:$B448,2,0)</f>
        <v>万家宴一级大豆油</v>
      </c>
      <c r="N205" s="72">
        <f t="shared" si="26"/>
        <v>45978</v>
      </c>
      <c r="O205" s="49" t="str">
        <f>VLOOKUP($A205,订货1!$A205:$C448,3,0)</f>
        <v>常温</v>
      </c>
      <c r="P205" s="44" t="str">
        <f>VLOOKUP($A205,订货1!$A205:$E448,5,0)</f>
        <v>10L*2瓶</v>
      </c>
      <c r="Q205" s="49" t="str">
        <f>VLOOKUP($A205,订货1!$A205:$F448,6,0)</f>
        <v>箱</v>
      </c>
      <c r="R205" s="167">
        <f t="shared" ca="1" si="23"/>
        <v>0</v>
      </c>
      <c r="S205" s="105" t="s">
        <v>199</v>
      </c>
      <c r="T205" s="85">
        <f ca="1">SUMIF(预估营业额3!$B$3:$B$39,"&gt;="&amp;$H$2,预估营业额3!$E$3:$E$39)-SUMIF(预估营业额3!$B$3:$B$39,"&gt;"&amp;N205,预估营业额3!$E$3:$E$39)</f>
        <v>0</v>
      </c>
      <c r="U205" s="219">
        <v>6.1504913403877606E-2</v>
      </c>
      <c r="V205" s="168">
        <v>1</v>
      </c>
      <c r="W205" s="182">
        <f t="shared" ca="1" si="24"/>
        <v>0</v>
      </c>
      <c r="X205" s="214">
        <v>0.5</v>
      </c>
      <c r="Y205" s="62">
        <f t="shared" si="25"/>
        <v>0</v>
      </c>
      <c r="Z205" s="54"/>
      <c r="AA205" s="54"/>
      <c r="AB205" s="222"/>
      <c r="AC205" s="222"/>
      <c r="AD205" s="222"/>
      <c r="AE205" s="222"/>
      <c r="AF205" s="222">
        <v>1</v>
      </c>
      <c r="AG205" s="222"/>
      <c r="AH205" s="222"/>
      <c r="AI205" s="222"/>
      <c r="AJ205" s="222"/>
      <c r="AK205" s="222"/>
      <c r="AL205" s="222">
        <v>1</v>
      </c>
      <c r="AM205" s="222"/>
      <c r="AN205" s="222"/>
      <c r="AO205" s="222">
        <v>1</v>
      </c>
      <c r="AP205" s="222"/>
      <c r="AQ205" s="222"/>
      <c r="AR205" s="222"/>
      <c r="AS205" s="222"/>
      <c r="AT205" s="222"/>
      <c r="AU205" s="222"/>
      <c r="AV205" s="222"/>
      <c r="AW205" s="222"/>
      <c r="AX205" s="222"/>
      <c r="AY205" s="222"/>
      <c r="AZ205" s="222"/>
      <c r="BA205" s="222"/>
      <c r="BB205" s="222"/>
      <c r="BC205" s="222"/>
      <c r="BD205" s="222"/>
      <c r="BE205" s="222"/>
      <c r="BF205" s="222"/>
      <c r="BG205" s="169" t="str">
        <f>VLOOKUP($A205,订货1!$A205:$I448,9,0)</f>
        <v>由仓库</v>
      </c>
      <c r="BH205" s="47" t="str">
        <f>VLOOKUP($A205,订货1!$A205:$H448,8,0)</f>
        <v>上海良龙粮油发展有限公司</v>
      </c>
    </row>
    <row r="206" spans="1:60" ht="15.75" customHeight="1">
      <c r="A206" s="67">
        <v>101656</v>
      </c>
      <c r="B206" s="68" t="s">
        <v>420</v>
      </c>
      <c r="C206" s="69" t="s">
        <v>175</v>
      </c>
      <c r="D206" s="68"/>
      <c r="E206" s="68" t="s">
        <v>421</v>
      </c>
      <c r="F206" s="68" t="s">
        <v>18</v>
      </c>
      <c r="G206" s="68" t="s">
        <v>422</v>
      </c>
      <c r="H206" s="68" t="s">
        <v>422</v>
      </c>
      <c r="I206" s="71" t="s">
        <v>197</v>
      </c>
      <c r="J206" s="68" t="s">
        <v>685</v>
      </c>
      <c r="K206" s="236">
        <f>VLOOKUP($A206,订货1!$A206:$A449,1,0)</f>
        <v>101656</v>
      </c>
      <c r="L206" s="245" t="str">
        <f>VLOOKUP($A206,订货1!$A206:$G449,7,0)</f>
        <v>湛江怡然庄食品有限公司</v>
      </c>
      <c r="M206" s="237" t="str">
        <f>VLOOKUP($A206,订货1!$A206:$B449,2,0)</f>
        <v>怡然洋菠萝扇块罐头</v>
      </c>
      <c r="N206" s="72">
        <f t="shared" si="26"/>
        <v>45978</v>
      </c>
      <c r="O206" s="49" t="str">
        <f>VLOOKUP($A206,订货1!$A206:$C449,3,0)</f>
        <v>常温</v>
      </c>
      <c r="P206" s="44" t="str">
        <f>VLOOKUP($A206,订货1!$A206:$E449,5,0)</f>
        <v>3kg*6can</v>
      </c>
      <c r="Q206" s="49" t="str">
        <f>VLOOKUP($A206,订货1!$A206:$F449,6,0)</f>
        <v>箱</v>
      </c>
      <c r="R206" s="167">
        <f t="shared" ca="1" si="23"/>
        <v>0</v>
      </c>
      <c r="S206" s="185" t="s">
        <v>835</v>
      </c>
      <c r="T206" s="85">
        <f ca="1">SUMIF(预估营业额3!$B$3:$B$39,"&gt;="&amp;$H$2,预估营业额3!$E$3:$E$39)-SUMIF(预估营业额3!$B$3:$B$39,"&gt;"&amp;N206,预估营业额3!$E$3:$E$39)</f>
        <v>0</v>
      </c>
      <c r="U206" s="219">
        <v>0.1</v>
      </c>
      <c r="V206" s="168">
        <v>1</v>
      </c>
      <c r="W206" s="182">
        <f t="shared" ca="1" si="24"/>
        <v>0</v>
      </c>
      <c r="X206" s="214">
        <v>0.8</v>
      </c>
      <c r="Y206" s="62">
        <f t="shared" si="25"/>
        <v>0</v>
      </c>
      <c r="Z206" s="54"/>
      <c r="AA206" s="54"/>
      <c r="AB206" s="222"/>
      <c r="AC206" s="222"/>
      <c r="AD206" s="222"/>
      <c r="AE206" s="222">
        <v>1</v>
      </c>
      <c r="AF206" s="222"/>
      <c r="AG206" s="222"/>
      <c r="AH206" s="222">
        <v>1</v>
      </c>
      <c r="AI206" s="222"/>
      <c r="AJ206" s="222">
        <v>1</v>
      </c>
      <c r="AK206" s="222"/>
      <c r="AL206" s="222">
        <v>1</v>
      </c>
      <c r="AM206" s="222"/>
      <c r="AN206" s="222"/>
      <c r="AO206" s="222">
        <v>1</v>
      </c>
      <c r="AP206" s="222"/>
      <c r="AQ206" s="222"/>
      <c r="AR206" s="222"/>
      <c r="AS206" s="222"/>
      <c r="AT206" s="222"/>
      <c r="AU206" s="222"/>
      <c r="AV206" s="222"/>
      <c r="AW206" s="222"/>
      <c r="AX206" s="222"/>
      <c r="AY206" s="222"/>
      <c r="AZ206" s="222"/>
      <c r="BA206" s="222"/>
      <c r="BB206" s="222"/>
      <c r="BC206" s="222"/>
      <c r="BD206" s="222"/>
      <c r="BE206" s="222"/>
      <c r="BF206" s="222"/>
      <c r="BG206" s="169" t="str">
        <f>VLOOKUP($A206,订货1!$A206:$I449,9,0)</f>
        <v>由仓库</v>
      </c>
      <c r="BH206" s="47" t="str">
        <f>VLOOKUP($A206,订货1!$A206:$H449,8,0)</f>
        <v>湛江怡然庄食品有限公司</v>
      </c>
    </row>
    <row r="207" spans="1:60" ht="15.75" customHeight="1">
      <c r="A207" s="173">
        <v>101631</v>
      </c>
      <c r="B207" s="172" t="s">
        <v>394</v>
      </c>
      <c r="C207" s="69" t="s">
        <v>175</v>
      </c>
      <c r="D207" s="68"/>
      <c r="E207" s="68" t="s">
        <v>395</v>
      </c>
      <c r="F207" s="68" t="s">
        <v>18</v>
      </c>
      <c r="G207" s="68" t="s">
        <v>510</v>
      </c>
      <c r="H207" s="68" t="s">
        <v>511</v>
      </c>
      <c r="I207" s="71" t="s">
        <v>197</v>
      </c>
      <c r="J207" s="68" t="s">
        <v>686</v>
      </c>
      <c r="K207" s="236">
        <f>VLOOKUP($A207,订货1!$A207:$A450,1,0)</f>
        <v>101631</v>
      </c>
      <c r="L207" s="245" t="str">
        <f>VLOOKUP($A207,订货1!$A207:$G450,7,0)</f>
        <v>上海富升食品有限公司</v>
      </c>
      <c r="M207" s="237" t="str">
        <f>VLOOKUP($A207,订货1!$A207:$B450,2,0)</f>
        <v>喜力啤酒</v>
      </c>
      <c r="N207" s="72">
        <f t="shared" si="26"/>
        <v>45978</v>
      </c>
      <c r="O207" s="49" t="str">
        <f>VLOOKUP($A207,订货1!$A207:$C450,3,0)</f>
        <v>常温</v>
      </c>
      <c r="P207" s="44" t="str">
        <f>VLOOKUP($A207,订货1!$A207:$E450,5,0)</f>
        <v>330ml*24btl</v>
      </c>
      <c r="Q207" s="49" t="str">
        <f>VLOOKUP($A207,订货1!$A207:$F450,6,0)</f>
        <v>箱</v>
      </c>
      <c r="R207" s="167">
        <f t="shared" ca="1" si="23"/>
        <v>0</v>
      </c>
      <c r="S207" s="105" t="s">
        <v>199</v>
      </c>
      <c r="T207" s="85">
        <f ca="1">SUMIF(预估营业额3!$B$3:$B$39,"&gt;="&amp;$H$2,预估营业额3!$E$3:$E$39)-SUMIF(预估营业额3!$B$3:$B$39,"&gt;"&amp;N207,预估营业额3!$E$3:$E$39)</f>
        <v>0</v>
      </c>
      <c r="U207" s="219">
        <v>5.8243289208217437E-3</v>
      </c>
      <c r="V207" s="168">
        <v>1</v>
      </c>
      <c r="W207" s="182">
        <f t="shared" ca="1" si="24"/>
        <v>0</v>
      </c>
      <c r="X207" s="214">
        <v>1</v>
      </c>
      <c r="Y207" s="62">
        <f t="shared" si="25"/>
        <v>0</v>
      </c>
      <c r="Z207" s="54"/>
      <c r="AA207" s="54"/>
      <c r="AB207" s="222"/>
      <c r="AC207" s="222"/>
      <c r="AD207" s="222"/>
      <c r="AE207" s="222"/>
      <c r="AF207" s="222"/>
      <c r="AG207" s="222"/>
      <c r="AH207" s="222"/>
      <c r="AI207" s="222"/>
      <c r="AJ207" s="222">
        <v>1</v>
      </c>
      <c r="AK207" s="222"/>
      <c r="AL207" s="222"/>
      <c r="AM207" s="222"/>
      <c r="AN207" s="222"/>
      <c r="AO207" s="222"/>
      <c r="AP207" s="222"/>
      <c r="AQ207" s="222"/>
      <c r="AR207" s="222"/>
      <c r="AS207" s="222"/>
      <c r="AT207" s="222"/>
      <c r="AU207" s="222"/>
      <c r="AV207" s="222"/>
      <c r="AW207" s="222"/>
      <c r="AX207" s="222"/>
      <c r="AY207" s="222"/>
      <c r="AZ207" s="222"/>
      <c r="BA207" s="222"/>
      <c r="BB207" s="222"/>
      <c r="BC207" s="222"/>
      <c r="BD207" s="222"/>
      <c r="BE207" s="222"/>
      <c r="BF207" s="222"/>
      <c r="BG207" s="169" t="str">
        <f>VLOOKUP($A207,订货1!$A207:$I450,9,0)</f>
        <v>由仓库</v>
      </c>
      <c r="BH207" s="47" t="str">
        <f>VLOOKUP($A207,订货1!$A207:$H450,8,0)</f>
        <v>雪花啤酒（嘉善）有限公司</v>
      </c>
    </row>
    <row r="208" spans="1:60" ht="15.75" hidden="1" customHeight="1">
      <c r="A208" s="255">
        <v>101764</v>
      </c>
      <c r="B208" s="256" t="s">
        <v>806</v>
      </c>
      <c r="C208" s="296" t="s">
        <v>174</v>
      </c>
      <c r="D208" s="256"/>
      <c r="E208" s="256" t="s">
        <v>807</v>
      </c>
      <c r="F208" s="256" t="s">
        <v>18</v>
      </c>
      <c r="G208" s="256" t="s">
        <v>102</v>
      </c>
      <c r="H208" s="256" t="s">
        <v>399</v>
      </c>
      <c r="I208" s="71" t="s">
        <v>197</v>
      </c>
      <c r="J208" s="68" t="s">
        <v>687</v>
      </c>
      <c r="K208" s="275">
        <f>VLOOKUP($A208,订货1!$A208:$A451,1,0)</f>
        <v>101764</v>
      </c>
      <c r="L208" s="276" t="str">
        <f>VLOOKUP($A208,订货1!$A208:$G451,7,0)</f>
        <v>上海蓬澜食品有限公司</v>
      </c>
      <c r="M208" s="277" t="str">
        <f>VLOOKUP($A208,订货1!$A208:$B451,2,0)</f>
        <v>实验经典辣肠</v>
      </c>
      <c r="N208" s="289">
        <f t="shared" si="26"/>
        <v>45978</v>
      </c>
      <c r="O208" s="290" t="str">
        <f>VLOOKUP($A208,订货1!$A208:$C451,3,0)</f>
        <v>冷凍</v>
      </c>
      <c r="P208" s="291" t="str">
        <f>VLOOKUP($A208,订货1!$A208:$E451,5,0)</f>
        <v>25g*40*10pc</v>
      </c>
      <c r="Q208" s="290" t="str">
        <f>VLOOKUP($A208,订货1!$A208:$F451,6,0)</f>
        <v>箱</v>
      </c>
      <c r="R208" s="295">
        <f t="shared" ca="1" si="23"/>
        <v>0</v>
      </c>
      <c r="S208" s="228" t="s">
        <v>199</v>
      </c>
      <c r="T208" s="85">
        <f ca="1">SUMIF(预估营业额3!$B$3:$B$39,"&gt;="&amp;$H$2,预估营业额3!$E$3:$E$39)-SUMIF(预估营业额3!$B$3:$B$39,"&gt;"&amp;N208,预估营业额3!$E$3:$E$39)</f>
        <v>0</v>
      </c>
      <c r="U208" s="219">
        <v>-4.1935168229916527E-3</v>
      </c>
      <c r="V208" s="168">
        <v>1</v>
      </c>
      <c r="W208" s="182">
        <f t="shared" ca="1" si="24"/>
        <v>0</v>
      </c>
      <c r="X208" s="214">
        <v>0</v>
      </c>
      <c r="Y208" s="62">
        <f t="shared" si="25"/>
        <v>0</v>
      </c>
      <c r="Z208" s="54"/>
      <c r="AA208" s="54"/>
      <c r="AB208" s="222"/>
      <c r="AC208" s="222"/>
      <c r="AD208" s="222"/>
      <c r="AE208" s="222"/>
      <c r="AF208" s="222"/>
      <c r="AG208" s="222"/>
      <c r="AH208" s="222"/>
      <c r="AI208" s="222"/>
      <c r="AJ208" s="222"/>
      <c r="AK208" s="222"/>
      <c r="AL208" s="222"/>
      <c r="AM208" s="222"/>
      <c r="AN208" s="222"/>
      <c r="AO208" s="222"/>
      <c r="AP208" s="222"/>
      <c r="AQ208" s="222"/>
      <c r="AR208" s="222"/>
      <c r="AS208" s="222"/>
      <c r="AT208" s="222"/>
      <c r="AU208" s="222"/>
      <c r="AV208" s="222"/>
      <c r="AW208" s="222"/>
      <c r="AX208" s="222"/>
      <c r="AY208" s="222"/>
      <c r="AZ208" s="222"/>
      <c r="BA208" s="222"/>
      <c r="BB208" s="222"/>
      <c r="BC208" s="222"/>
      <c r="BD208" s="222"/>
      <c r="BE208" s="222"/>
      <c r="BF208" s="222"/>
      <c r="BG208" s="169" t="str">
        <f>VLOOKUP($A208,订货1!$A208:$I451,9,0)</f>
        <v>由仓库</v>
      </c>
      <c r="BH208" s="47" t="str">
        <f>VLOOKUP($A208,订货1!$A208:$H451,8,0)</f>
        <v>三旺实业有限公司</v>
      </c>
    </row>
    <row r="209" spans="1:60" ht="15.75" customHeight="1">
      <c r="A209" s="255">
        <v>101765</v>
      </c>
      <c r="B209" s="256" t="s">
        <v>808</v>
      </c>
      <c r="C209" s="296" t="s">
        <v>174</v>
      </c>
      <c r="D209" s="256"/>
      <c r="E209" s="256" t="s">
        <v>256</v>
      </c>
      <c r="F209" s="256" t="s">
        <v>18</v>
      </c>
      <c r="G209" s="256" t="s">
        <v>116</v>
      </c>
      <c r="H209" s="256" t="s">
        <v>116</v>
      </c>
      <c r="I209" s="71" t="s">
        <v>197</v>
      </c>
      <c r="J209" s="68" t="s">
        <v>688</v>
      </c>
      <c r="K209" s="275">
        <f>VLOOKUP($A209,订货1!$A209:$A452,1,0)</f>
        <v>101765</v>
      </c>
      <c r="L209" s="276" t="str">
        <f>VLOOKUP($A209,订货1!$A209:$G452,7,0)</f>
        <v>沈阳华美食品有限公司</v>
      </c>
      <c r="M209" s="277" t="str">
        <f>VLOOKUP($A209,订货1!$A209:$B452,2,0)</f>
        <v>萨莉亚鸡米花</v>
      </c>
      <c r="N209" s="289">
        <f t="shared" si="26"/>
        <v>45978</v>
      </c>
      <c r="O209" s="290" t="str">
        <f>VLOOKUP($A209,订货1!$A209:$C452,3,0)</f>
        <v>冷凍</v>
      </c>
      <c r="P209" s="291" t="str">
        <f>VLOOKUP($A209,订货1!$A209:$E452,5,0)</f>
        <v>1kg*12pc</v>
      </c>
      <c r="Q209" s="290" t="str">
        <f>VLOOKUP($A209,订货1!$A209:$F452,6,0)</f>
        <v>箱</v>
      </c>
      <c r="R209" s="295">
        <f t="shared" ca="1" si="23"/>
        <v>0</v>
      </c>
      <c r="S209" s="228" t="s">
        <v>199</v>
      </c>
      <c r="T209" s="85">
        <f ca="1">SUMIF(预估营业额3!$B$3:$B$39,"&gt;="&amp;$H$2,预估营业额3!$E$3:$E$39)-SUMIF(预估营业额3!$B$3:$B$39,"&gt;"&amp;N209,预估营业额3!$E$3:$E$39)</f>
        <v>0</v>
      </c>
      <c r="U209" s="219">
        <v>0.2</v>
      </c>
      <c r="V209" s="168">
        <v>1</v>
      </c>
      <c r="W209" s="182">
        <f t="shared" ca="1" si="24"/>
        <v>0</v>
      </c>
      <c r="X209" s="214">
        <v>0.7</v>
      </c>
      <c r="Y209" s="62">
        <f t="shared" si="25"/>
        <v>1</v>
      </c>
      <c r="Z209" s="54">
        <v>1</v>
      </c>
      <c r="AA209" s="54"/>
      <c r="AB209" s="222">
        <v>1</v>
      </c>
      <c r="AC209" s="222"/>
      <c r="AD209" s="222"/>
      <c r="AE209" s="222"/>
      <c r="AF209" s="222">
        <v>2</v>
      </c>
      <c r="AG209" s="222"/>
      <c r="AH209" s="222"/>
      <c r="AI209" s="222">
        <v>1</v>
      </c>
      <c r="AJ209" s="222">
        <v>1</v>
      </c>
      <c r="AK209" s="222"/>
      <c r="AL209" s="222"/>
      <c r="AM209" s="222"/>
      <c r="AN209" s="222">
        <v>1</v>
      </c>
      <c r="AO209" s="222">
        <v>1</v>
      </c>
      <c r="AP209" s="222"/>
      <c r="AQ209" s="222"/>
      <c r="AR209" s="222"/>
      <c r="AS209" s="222"/>
      <c r="AT209" s="222"/>
      <c r="AU209" s="222"/>
      <c r="AV209" s="222"/>
      <c r="AW209" s="222"/>
      <c r="AX209" s="222"/>
      <c r="AY209" s="222"/>
      <c r="AZ209" s="222"/>
      <c r="BA209" s="222"/>
      <c r="BB209" s="222"/>
      <c r="BC209" s="222"/>
      <c r="BD209" s="222"/>
      <c r="BE209" s="222"/>
      <c r="BF209" s="222"/>
      <c r="BG209" s="169" t="str">
        <f>VLOOKUP($A209,订货1!$A209:$I452,9,0)</f>
        <v>由仓库</v>
      </c>
      <c r="BH209" s="47" t="str">
        <f>VLOOKUP($A209,订货1!$A209:$H452,8,0)</f>
        <v>沈阳华美食品有限公司</v>
      </c>
    </row>
    <row r="210" spans="1:60" ht="15.75" customHeight="1">
      <c r="A210" s="255">
        <v>101766</v>
      </c>
      <c r="B210" s="256" t="s">
        <v>809</v>
      </c>
      <c r="C210" s="296" t="s">
        <v>174</v>
      </c>
      <c r="D210" s="256"/>
      <c r="E210" s="256" t="s">
        <v>810</v>
      </c>
      <c r="F210" s="256" t="s">
        <v>18</v>
      </c>
      <c r="G210" s="256" t="s">
        <v>361</v>
      </c>
      <c r="H210" s="256" t="s">
        <v>361</v>
      </c>
      <c r="I210" s="71" t="s">
        <v>197</v>
      </c>
      <c r="J210" s="68" t="s">
        <v>689</v>
      </c>
      <c r="K210" s="275">
        <f>VLOOKUP($A210,订货1!$A210:$A453,1,0)</f>
        <v>101766</v>
      </c>
      <c r="L210" s="276" t="str">
        <f>VLOOKUP($A210,订货1!$A210:$G453,7,0)</f>
        <v>上海香尚香食品有限公司</v>
      </c>
      <c r="M210" s="277" t="str">
        <f>VLOOKUP($A210,订货1!$A210:$B453,2,0)</f>
        <v>博洛尼亚风味白肉酱</v>
      </c>
      <c r="N210" s="289">
        <f t="shared" si="26"/>
        <v>45978</v>
      </c>
      <c r="O210" s="290" t="str">
        <f>VLOOKUP($A210,订货1!$A210:$C453,3,0)</f>
        <v>冷凍</v>
      </c>
      <c r="P210" s="291" t="str">
        <f>VLOOKUP($A210,订货1!$A210:$E453,5,0)</f>
        <v>500g*20pc</v>
      </c>
      <c r="Q210" s="290" t="str">
        <f>VLOOKUP($A210,订货1!$A210:$F453,6,0)</f>
        <v>箱</v>
      </c>
      <c r="R210" s="295">
        <f t="shared" ca="1" si="23"/>
        <v>0</v>
      </c>
      <c r="S210" s="260" t="s">
        <v>207</v>
      </c>
      <c r="T210" s="85">
        <f ca="1">SUMIF(预估营业额3!$B$3:$B$39,"&gt;="&amp;$H$2,预估营业额3!$E$3:$E$39)-SUMIF(预估营业额3!$B$3:$B$39,"&gt;"&amp;N210,预估营业额3!$E$3:$E$39)</f>
        <v>0</v>
      </c>
      <c r="U210" s="219">
        <v>0</v>
      </c>
      <c r="V210" s="168">
        <v>1</v>
      </c>
      <c r="W210" s="182">
        <f t="shared" ca="1" si="24"/>
        <v>0</v>
      </c>
      <c r="X210" s="214">
        <v>0</v>
      </c>
      <c r="Y210" s="62">
        <f t="shared" si="25"/>
        <v>0</v>
      </c>
      <c r="Z210" s="54"/>
      <c r="AA210" s="54"/>
      <c r="AB210" s="222"/>
      <c r="AC210" s="222"/>
      <c r="AD210" s="222"/>
      <c r="AE210" s="222"/>
      <c r="AF210" s="222"/>
      <c r="AG210" s="222"/>
      <c r="AH210" s="222"/>
      <c r="AI210" s="222"/>
      <c r="AJ210" s="222"/>
      <c r="AK210" s="222"/>
      <c r="AL210" s="222"/>
      <c r="AM210" s="222"/>
      <c r="AN210" s="222"/>
      <c r="AO210" s="222"/>
      <c r="AP210" s="222"/>
      <c r="AQ210" s="222"/>
      <c r="AR210" s="222"/>
      <c r="AS210" s="222"/>
      <c r="AT210" s="222"/>
      <c r="AU210" s="222"/>
      <c r="AV210" s="222"/>
      <c r="AW210" s="222"/>
      <c r="AX210" s="222"/>
      <c r="AY210" s="222"/>
      <c r="AZ210" s="222"/>
      <c r="BA210" s="222"/>
      <c r="BB210" s="222"/>
      <c r="BC210" s="222"/>
      <c r="BD210" s="222"/>
      <c r="BE210" s="222"/>
      <c r="BF210" s="222"/>
      <c r="BG210" s="169" t="str">
        <f>VLOOKUP($A210,订货1!$A210:$I453,9,0)</f>
        <v>由仓库</v>
      </c>
      <c r="BH210" s="47" t="str">
        <f>VLOOKUP($A210,订货1!$A210:$H453,8,0)</f>
        <v>上海香尚香食品有限公司</v>
      </c>
    </row>
    <row r="211" spans="1:60" ht="15.75" customHeight="1">
      <c r="A211" s="67">
        <v>991004</v>
      </c>
      <c r="B211" s="68" t="s">
        <v>161</v>
      </c>
      <c r="C211" s="69" t="s">
        <v>175</v>
      </c>
      <c r="D211" s="68"/>
      <c r="E211" s="68" t="s">
        <v>189</v>
      </c>
      <c r="F211" s="68" t="s">
        <v>18</v>
      </c>
      <c r="G211" s="68" t="s">
        <v>314</v>
      </c>
      <c r="H211" s="68" t="s">
        <v>771</v>
      </c>
      <c r="I211" s="71" t="s">
        <v>197</v>
      </c>
      <c r="J211" s="68" t="s">
        <v>690</v>
      </c>
      <c r="K211" s="236">
        <f>VLOOKUP($A211,订货1!$A211:$A454,1,0)</f>
        <v>991004</v>
      </c>
      <c r="L211" s="245" t="str">
        <f>VLOOKUP($A211,订货1!$A211:$G454,7,0)</f>
        <v>上海特硕包装制品有限公司</v>
      </c>
      <c r="M211" s="237" t="str">
        <f>VLOOKUP($A211,订货1!$A211:$B454,2,0)</f>
        <v>环保打包盒（酱汁盒）1000套</v>
      </c>
      <c r="N211" s="72">
        <f t="shared" si="26"/>
        <v>45978</v>
      </c>
      <c r="O211" s="49" t="str">
        <f>VLOOKUP($A211,订货1!$A211:$C454,3,0)</f>
        <v>常温</v>
      </c>
      <c r="P211" s="44" t="str">
        <f>VLOOKUP($A211,订货1!$A211:$E454,5,0)</f>
        <v>1000个/箱</v>
      </c>
      <c r="Q211" s="49" t="str">
        <f>VLOOKUP($A211,订货1!$A211:$F454,6,0)</f>
        <v>箱</v>
      </c>
      <c r="R211" s="167">
        <f t="shared" ca="1" si="23"/>
        <v>0</v>
      </c>
      <c r="S211" s="105" t="s">
        <v>199</v>
      </c>
      <c r="T211" s="85">
        <f ca="1">SUMIF(预估营业额3!$B$3:$B$39,"&gt;="&amp;$H$2,预估营业额3!$E$3:$E$39)-SUMIF(预估营业额3!$B$3:$B$39,"&gt;"&amp;N211,预估营业额3!$E$3:$E$39)</f>
        <v>0</v>
      </c>
      <c r="U211" s="219">
        <v>0</v>
      </c>
      <c r="V211" s="168">
        <v>1</v>
      </c>
      <c r="W211" s="182">
        <f t="shared" ca="1" si="24"/>
        <v>0</v>
      </c>
      <c r="X211" s="214">
        <v>1</v>
      </c>
      <c r="Y211" s="62">
        <f t="shared" si="25"/>
        <v>0</v>
      </c>
      <c r="Z211" s="54"/>
      <c r="AA211" s="54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  <c r="AM211" s="222"/>
      <c r="AN211" s="222"/>
      <c r="AO211" s="222"/>
      <c r="AP211" s="222"/>
      <c r="AQ211" s="222"/>
      <c r="AR211" s="222"/>
      <c r="AS211" s="222"/>
      <c r="AT211" s="222"/>
      <c r="AU211" s="222"/>
      <c r="AV211" s="222"/>
      <c r="AW211" s="222"/>
      <c r="AX211" s="222"/>
      <c r="AY211" s="222"/>
      <c r="AZ211" s="222"/>
      <c r="BA211" s="222"/>
      <c r="BB211" s="222"/>
      <c r="BC211" s="222"/>
      <c r="BD211" s="222"/>
      <c r="BE211" s="222"/>
      <c r="BF211" s="222"/>
      <c r="BG211" s="169" t="str">
        <f>VLOOKUP($A211,订货1!$A211:$I454,9,0)</f>
        <v>由仓库</v>
      </c>
      <c r="BH211" s="47" t="str">
        <f>VLOOKUP($A211,订货1!$A211:$H454,8,0)</f>
        <v>苏州康宝塑胶有限公司</v>
      </c>
    </row>
    <row r="212" spans="1:60" ht="15.75" customHeight="1">
      <c r="A212" s="173">
        <v>101677</v>
      </c>
      <c r="B212" s="172" t="s">
        <v>453</v>
      </c>
      <c r="C212" s="224" t="s">
        <v>174</v>
      </c>
      <c r="D212" s="172"/>
      <c r="E212" s="172" t="s">
        <v>423</v>
      </c>
      <c r="F212" s="172" t="s">
        <v>27</v>
      </c>
      <c r="G212" s="68" t="s">
        <v>480</v>
      </c>
      <c r="H212" s="68" t="s">
        <v>480</v>
      </c>
      <c r="I212" s="71" t="s">
        <v>197</v>
      </c>
      <c r="J212" s="68" t="s">
        <v>691</v>
      </c>
      <c r="K212" s="234">
        <f>VLOOKUP($A212,订货1!$A212:$A455,1,0)</f>
        <v>101677</v>
      </c>
      <c r="L212" s="244" t="str">
        <f>VLOOKUP($A212,订货1!$A212:$G455,7,0)</f>
        <v>上海迎田食品有限公司</v>
      </c>
      <c r="M212" s="235" t="str">
        <f>VLOOKUP($A212,订货1!$A212:$B455,2,0)</f>
        <v>焦糖布丁</v>
      </c>
      <c r="N212" s="72">
        <f t="shared" si="26"/>
        <v>45978</v>
      </c>
      <c r="O212" s="49" t="str">
        <f>VLOOKUP($A212,订货1!$A212:$C455,3,0)</f>
        <v>冷凍</v>
      </c>
      <c r="P212" s="44" t="str">
        <f>VLOOKUP($A212,订货1!$A212:$E455,5,0)</f>
        <v>0.1kg*6pc</v>
      </c>
      <c r="Q212" s="49" t="str">
        <f>VLOOKUP($A212,订货1!$A212:$F455,6,0)</f>
        <v>盒</v>
      </c>
      <c r="R212" s="167">
        <f t="shared" ca="1" si="23"/>
        <v>0</v>
      </c>
      <c r="S212" s="185" t="s">
        <v>829</v>
      </c>
      <c r="T212" s="85">
        <f ca="1">SUMIF(预估营业额3!$B$3:$B$39,"&gt;="&amp;$H$2,预估营业额3!$E$3:$E$39)-SUMIF(预估营业额3!$B$3:$B$39,"&gt;"&amp;N212,预估营业额3!$E$3:$E$39)</f>
        <v>0</v>
      </c>
      <c r="U212" s="219">
        <v>0</v>
      </c>
      <c r="V212" s="168">
        <v>1</v>
      </c>
      <c r="W212" s="182">
        <f t="shared" ca="1" si="24"/>
        <v>0</v>
      </c>
      <c r="X212" s="214">
        <v>0</v>
      </c>
      <c r="Y212" s="62">
        <f t="shared" si="25"/>
        <v>0</v>
      </c>
      <c r="Z212" s="54"/>
      <c r="AA212" s="54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2"/>
      <c r="AM212" s="222"/>
      <c r="AN212" s="222"/>
      <c r="AO212" s="222"/>
      <c r="AP212" s="222"/>
      <c r="AQ212" s="222"/>
      <c r="AR212" s="222"/>
      <c r="AS212" s="222"/>
      <c r="AT212" s="222"/>
      <c r="AU212" s="222"/>
      <c r="AV212" s="222"/>
      <c r="AW212" s="222"/>
      <c r="AX212" s="222"/>
      <c r="AY212" s="222"/>
      <c r="AZ212" s="222"/>
      <c r="BA212" s="222"/>
      <c r="BB212" s="222"/>
      <c r="BC212" s="222"/>
      <c r="BD212" s="222"/>
      <c r="BE212" s="222"/>
      <c r="BF212" s="222"/>
      <c r="BG212" s="169" t="str">
        <f>VLOOKUP($A212,订货1!$A212:$I455,9,0)</f>
        <v>由仓库</v>
      </c>
      <c r="BH212" s="47" t="str">
        <f>VLOOKUP($A212,订货1!$A212:$H455,8,0)</f>
        <v>上海迎田食品有限公司</v>
      </c>
    </row>
    <row r="213" spans="1:60" ht="15.75" hidden="1" customHeight="1">
      <c r="A213" s="173">
        <v>101678</v>
      </c>
      <c r="B213" s="172" t="s">
        <v>454</v>
      </c>
      <c r="C213" s="224" t="s">
        <v>174</v>
      </c>
      <c r="D213" s="172"/>
      <c r="E213" s="172" t="s">
        <v>136</v>
      </c>
      <c r="F213" s="68" t="s">
        <v>18</v>
      </c>
      <c r="G213" s="68" t="s">
        <v>361</v>
      </c>
      <c r="H213" s="68" t="s">
        <v>361</v>
      </c>
      <c r="I213" s="71" t="s">
        <v>197</v>
      </c>
      <c r="J213" s="68" t="s">
        <v>692</v>
      </c>
      <c r="K213" s="234">
        <f>VLOOKUP($A213,订货1!$A213:$A456,1,0)</f>
        <v>101678</v>
      </c>
      <c r="L213" s="244" t="str">
        <f>VLOOKUP($A213,订货1!$A213:$G456,7,0)</f>
        <v>上海香尚香食品有限公司</v>
      </c>
      <c r="M213" s="235" t="str">
        <f>VLOOKUP($A213,订货1!$A213:$B456,2,0)</f>
        <v>菌菇调理包</v>
      </c>
      <c r="N213" s="72">
        <f t="shared" si="26"/>
        <v>45978</v>
      </c>
      <c r="O213" s="49" t="str">
        <f>VLOOKUP($A213,订货1!$A213:$C456,3,0)</f>
        <v>冷凍</v>
      </c>
      <c r="P213" s="44" t="str">
        <f>VLOOKUP($A213,订货1!$A213:$E456,5,0)</f>
        <v>1kg*10pc</v>
      </c>
      <c r="Q213" s="49" t="str">
        <f>VLOOKUP($A213,订货1!$A213:$F456,6,0)</f>
        <v>箱</v>
      </c>
      <c r="R213" s="167">
        <f t="shared" ca="1" si="23"/>
        <v>0</v>
      </c>
      <c r="S213" s="228" t="s">
        <v>199</v>
      </c>
      <c r="T213" s="85">
        <f ca="1">SUMIF(预估营业额3!$B$3:$B$39,"&gt;="&amp;$H$2,预估营业额3!$E$3:$E$39)-SUMIF(预估营业额3!$B$3:$B$39,"&gt;"&amp;N213,预估营业额3!$E$3:$E$39)</f>
        <v>0</v>
      </c>
      <c r="U213" s="219">
        <v>0</v>
      </c>
      <c r="V213" s="168">
        <v>1</v>
      </c>
      <c r="W213" s="182">
        <f t="shared" ca="1" si="24"/>
        <v>0</v>
      </c>
      <c r="X213" s="214"/>
      <c r="Y213" s="62">
        <f t="shared" si="25"/>
        <v>0</v>
      </c>
      <c r="Z213" s="54"/>
      <c r="AA213" s="54"/>
      <c r="AB213" s="222"/>
      <c r="AC213" s="222"/>
      <c r="AD213" s="222"/>
      <c r="AE213" s="222"/>
      <c r="AF213" s="222"/>
      <c r="AG213" s="222"/>
      <c r="AH213" s="222"/>
      <c r="AI213" s="222"/>
      <c r="AJ213" s="222"/>
      <c r="AK213" s="222"/>
      <c r="AL213" s="222"/>
      <c r="AM213" s="222"/>
      <c r="AN213" s="222"/>
      <c r="AO213" s="222"/>
      <c r="AP213" s="222"/>
      <c r="AQ213" s="222"/>
      <c r="AR213" s="222"/>
      <c r="AS213" s="222"/>
      <c r="AT213" s="222"/>
      <c r="AU213" s="222"/>
      <c r="AV213" s="222"/>
      <c r="AW213" s="222"/>
      <c r="AX213" s="222"/>
      <c r="AY213" s="222"/>
      <c r="AZ213" s="222"/>
      <c r="BA213" s="222"/>
      <c r="BB213" s="222"/>
      <c r="BC213" s="222"/>
      <c r="BD213" s="222"/>
      <c r="BE213" s="222"/>
      <c r="BF213" s="222"/>
      <c r="BG213" s="169" t="str">
        <f>VLOOKUP($A213,订货1!$A213:$I456,9,0)</f>
        <v>由仓库</v>
      </c>
      <c r="BH213" s="47" t="str">
        <f>VLOOKUP($A213,订货1!$A213:$H456,8,0)</f>
        <v>上海香尚香食品有限公司</v>
      </c>
    </row>
    <row r="214" spans="1:60" ht="15.75" customHeight="1">
      <c r="A214" s="67">
        <v>101701</v>
      </c>
      <c r="B214" s="68" t="s">
        <v>490</v>
      </c>
      <c r="C214" s="69" t="s">
        <v>175</v>
      </c>
      <c r="D214" s="68"/>
      <c r="E214" s="68" t="s">
        <v>258</v>
      </c>
      <c r="F214" s="68" t="s">
        <v>18</v>
      </c>
      <c r="G214" s="68" t="s">
        <v>173</v>
      </c>
      <c r="H214" s="68" t="s">
        <v>489</v>
      </c>
      <c r="I214" s="71" t="s">
        <v>197</v>
      </c>
      <c r="J214" s="68" t="s">
        <v>693</v>
      </c>
      <c r="K214" s="234">
        <f>VLOOKUP($A214,订货1!$A214:$A457,1,0)</f>
        <v>101701</v>
      </c>
      <c r="L214" s="244" t="str">
        <f>VLOOKUP($A214,订货1!$A214:$G457,7,0)</f>
        <v>上海铭欣咖啡有限公司</v>
      </c>
      <c r="M214" s="235" t="str">
        <f>VLOOKUP($A214,订货1!$A214:$B457,2,0)</f>
        <v>露恬纯牛奶</v>
      </c>
      <c r="N214" s="72">
        <f t="shared" si="26"/>
        <v>45978</v>
      </c>
      <c r="O214" s="49" t="str">
        <f>VLOOKUP($A214,订货1!$A214:$C457,3,0)</f>
        <v>常温</v>
      </c>
      <c r="P214" s="44" t="str">
        <f>VLOOKUP($A214,订货1!$A214:$E457,5,0)</f>
        <v>1L*12pc</v>
      </c>
      <c r="Q214" s="49" t="str">
        <f>VLOOKUP($A214,订货1!$A214:$F457,6,0)</f>
        <v>箱</v>
      </c>
      <c r="R214" s="167">
        <f t="shared" ca="1" si="23"/>
        <v>0</v>
      </c>
      <c r="S214" s="185" t="s">
        <v>831</v>
      </c>
      <c r="T214" s="85">
        <f ca="1">SUMIF(预估营业额3!$B$3:$B$39,"&gt;="&amp;$H$2,预估营业额3!$E$3:$E$39)-SUMIF(预估营业额3!$B$3:$B$39,"&gt;"&amp;N214,预估营业额3!$E$3:$E$39)</f>
        <v>0</v>
      </c>
      <c r="U214" s="219">
        <v>0.12930010204224268</v>
      </c>
      <c r="V214" s="168">
        <v>1</v>
      </c>
      <c r="W214" s="182">
        <f t="shared" ca="1" si="24"/>
        <v>0</v>
      </c>
      <c r="X214" s="214">
        <v>1</v>
      </c>
      <c r="Y214" s="62">
        <f t="shared" si="25"/>
        <v>0</v>
      </c>
      <c r="Z214" s="54"/>
      <c r="AA214" s="54"/>
      <c r="AB214" s="222"/>
      <c r="AC214" s="222"/>
      <c r="AD214" s="222"/>
      <c r="AE214" s="222">
        <v>1</v>
      </c>
      <c r="AF214" s="222"/>
      <c r="AG214" s="222">
        <v>1</v>
      </c>
      <c r="AH214" s="222"/>
      <c r="AI214" s="222"/>
      <c r="AJ214" s="222"/>
      <c r="AK214" s="222"/>
      <c r="AL214" s="222"/>
      <c r="AM214" s="222">
        <v>1</v>
      </c>
      <c r="AN214" s="222"/>
      <c r="AO214" s="222">
        <v>1</v>
      </c>
      <c r="AP214" s="222"/>
      <c r="AQ214" s="222"/>
      <c r="AR214" s="222"/>
      <c r="AS214" s="222"/>
      <c r="AT214" s="222"/>
      <c r="AU214" s="222"/>
      <c r="AV214" s="222"/>
      <c r="AW214" s="222"/>
      <c r="AX214" s="222"/>
      <c r="AY214" s="222"/>
      <c r="AZ214" s="222"/>
      <c r="BA214" s="222"/>
      <c r="BB214" s="222"/>
      <c r="BC214" s="222"/>
      <c r="BD214" s="222"/>
      <c r="BE214" s="222"/>
      <c r="BF214" s="222"/>
      <c r="BG214" s="169" t="str">
        <f>VLOOKUP($A214,订货1!$A214:$I457,9,0)</f>
        <v>由仓库</v>
      </c>
      <c r="BH214" s="47" t="str">
        <f>VLOOKUP($A214,订货1!$A214:$H457,8,0)</f>
        <v>承德倍斯特乳品有限公司</v>
      </c>
    </row>
    <row r="215" spans="1:60" ht="15.75" customHeight="1">
      <c r="A215" s="67">
        <v>101663</v>
      </c>
      <c r="B215" s="68" t="s">
        <v>455</v>
      </c>
      <c r="C215" s="69" t="s">
        <v>175</v>
      </c>
      <c r="D215" s="68"/>
      <c r="E215" s="68" t="s">
        <v>573</v>
      </c>
      <c r="F215" s="68" t="s">
        <v>574</v>
      </c>
      <c r="G215" s="68" t="s">
        <v>434</v>
      </c>
      <c r="H215" s="68" t="s">
        <v>434</v>
      </c>
      <c r="I215" s="71" t="s">
        <v>197</v>
      </c>
      <c r="J215" s="68" t="s">
        <v>694</v>
      </c>
      <c r="K215" s="234">
        <f>VLOOKUP($A215,订货1!$A215:$A458,1,0)</f>
        <v>101663</v>
      </c>
      <c r="L215" s="244" t="str">
        <f>VLOOKUP($A215,订货1!$A215:$G458,7,0)</f>
        <v>安丘福华食品有限公司</v>
      </c>
      <c r="M215" s="235" t="str">
        <f>VLOOKUP($A215,订货1!$A215:$B458,2,0)</f>
        <v>肉桂风味调味粉</v>
      </c>
      <c r="N215" s="72">
        <f t="shared" si="26"/>
        <v>45978</v>
      </c>
      <c r="O215" s="49" t="str">
        <f>VLOOKUP($A215,订货1!$A215:$C458,3,0)</f>
        <v>常温</v>
      </c>
      <c r="P215" s="253" t="str">
        <f>VLOOKUP($A215,订货1!$A215:$E458,5,0)</f>
        <v>0.25kg</v>
      </c>
      <c r="Q215" s="254" t="str">
        <f>VLOOKUP($A215,订货1!$A215:$F458,6,0)</f>
        <v>包</v>
      </c>
      <c r="R215" s="167">
        <f t="shared" ca="1" si="23"/>
        <v>0</v>
      </c>
      <c r="S215" s="228" t="s">
        <v>199</v>
      </c>
      <c r="T215" s="85">
        <f ca="1">SUMIF(预估营业额3!$B$3:$B$39,"&gt;="&amp;$H$2,预估营业额3!$E$3:$E$39)-SUMIF(预估营业额3!$B$3:$B$39,"&gt;"&amp;N215,预估营业额3!$E$3:$E$39)</f>
        <v>0</v>
      </c>
      <c r="U215" s="219">
        <v>1.3978389409972182E-2</v>
      </c>
      <c r="V215" s="168">
        <v>1</v>
      </c>
      <c r="W215" s="182">
        <f t="shared" ca="1" si="24"/>
        <v>0</v>
      </c>
      <c r="X215" s="214">
        <v>1</v>
      </c>
      <c r="Y215" s="62">
        <f t="shared" si="25"/>
        <v>0</v>
      </c>
      <c r="Z215" s="54"/>
      <c r="AA215" s="54"/>
      <c r="AB215" s="222"/>
      <c r="AC215" s="222"/>
      <c r="AD215" s="222"/>
      <c r="AE215" s="222"/>
      <c r="AF215" s="222"/>
      <c r="AG215" s="222"/>
      <c r="AH215" s="222"/>
      <c r="AI215" s="222"/>
      <c r="AJ215" s="222"/>
      <c r="AK215" s="222"/>
      <c r="AL215" s="222"/>
      <c r="AM215" s="222"/>
      <c r="AN215" s="222"/>
      <c r="AO215" s="222"/>
      <c r="AP215" s="222"/>
      <c r="AQ215" s="222"/>
      <c r="AR215" s="222"/>
      <c r="AS215" s="222"/>
      <c r="AT215" s="222"/>
      <c r="AU215" s="222"/>
      <c r="AV215" s="222"/>
      <c r="AW215" s="222"/>
      <c r="AX215" s="222"/>
      <c r="AY215" s="222"/>
      <c r="AZ215" s="222"/>
      <c r="BA215" s="222"/>
      <c r="BB215" s="222"/>
      <c r="BC215" s="222"/>
      <c r="BD215" s="222"/>
      <c r="BE215" s="222"/>
      <c r="BF215" s="222"/>
      <c r="BG215" s="169" t="str">
        <f>VLOOKUP($A215,订货1!$A215:$I458,9,0)</f>
        <v>由仓库</v>
      </c>
      <c r="BH215" s="47" t="str">
        <f>VLOOKUP($A215,订货1!$A215:$H458,8,0)</f>
        <v>安丘福华食品有限公司</v>
      </c>
    </row>
    <row r="216" spans="1:60" ht="15.75" customHeight="1">
      <c r="A216" s="67">
        <v>101664</v>
      </c>
      <c r="B216" s="68" t="s">
        <v>456</v>
      </c>
      <c r="C216" s="69" t="s">
        <v>174</v>
      </c>
      <c r="D216" s="68"/>
      <c r="E216" s="68" t="s">
        <v>437</v>
      </c>
      <c r="F216" s="68" t="s">
        <v>18</v>
      </c>
      <c r="G216" s="68" t="s">
        <v>435</v>
      </c>
      <c r="H216" s="68" t="s">
        <v>436</v>
      </c>
      <c r="I216" s="71" t="s">
        <v>197</v>
      </c>
      <c r="J216" s="68" t="s">
        <v>695</v>
      </c>
      <c r="K216" s="234">
        <f>VLOOKUP($A216,订货1!$A216:$A459,1,0)</f>
        <v>101664</v>
      </c>
      <c r="L216" s="244" t="str">
        <f>VLOOKUP($A216,订货1!$A216:$G459,7,0)</f>
        <v>上海长濑贸易有限公司</v>
      </c>
      <c r="M216" s="235" t="str">
        <f>VLOOKUP($A216,订货1!$A216:$B459,2,0)</f>
        <v>法式羊排</v>
      </c>
      <c r="N216" s="72">
        <f t="shared" si="26"/>
        <v>45978</v>
      </c>
      <c r="O216" s="49" t="str">
        <f>VLOOKUP($A216,订货1!$A216:$C459,3,0)</f>
        <v>冷凍</v>
      </c>
      <c r="P216" s="44" t="str">
        <f>VLOOKUP($A216,订货1!$A216:$E459,5,0)</f>
        <v>1.08kg*12pkt</v>
      </c>
      <c r="Q216" s="49" t="str">
        <f>VLOOKUP($A216,订货1!$A216:$F459,6,0)</f>
        <v>箱</v>
      </c>
      <c r="R216" s="167">
        <f t="shared" ca="1" si="23"/>
        <v>0</v>
      </c>
      <c r="S216" s="185" t="s">
        <v>828</v>
      </c>
      <c r="T216" s="85">
        <f ca="1">SUMIF(预估营业额3!$B$3:$B$39,"&gt;="&amp;$H$2,预估营业额3!$E$3:$E$39)-SUMIF(预估营业额3!$B$3:$B$39,"&gt;"&amp;N216,预估营业额3!$E$3:$E$39)</f>
        <v>0</v>
      </c>
      <c r="U216" s="219">
        <v>0</v>
      </c>
      <c r="V216" s="168">
        <v>1</v>
      </c>
      <c r="W216" s="182">
        <f t="shared" ca="1" si="24"/>
        <v>0</v>
      </c>
      <c r="X216" s="214">
        <v>0</v>
      </c>
      <c r="Y216" s="62">
        <f t="shared" si="25"/>
        <v>0</v>
      </c>
      <c r="Z216" s="54"/>
      <c r="AA216" s="54"/>
      <c r="AB216" s="222"/>
      <c r="AC216" s="222"/>
      <c r="AD216" s="222"/>
      <c r="AE216" s="222"/>
      <c r="AF216" s="222"/>
      <c r="AG216" s="222"/>
      <c r="AH216" s="222"/>
      <c r="AI216" s="222"/>
      <c r="AJ216" s="222"/>
      <c r="AK216" s="222"/>
      <c r="AL216" s="222"/>
      <c r="AM216" s="222"/>
      <c r="AN216" s="222"/>
      <c r="AO216" s="222"/>
      <c r="AP216" s="222"/>
      <c r="AQ216" s="222"/>
      <c r="AR216" s="222"/>
      <c r="AS216" s="222"/>
      <c r="AT216" s="222"/>
      <c r="AU216" s="222"/>
      <c r="AV216" s="222"/>
      <c r="AW216" s="222"/>
      <c r="AX216" s="222"/>
      <c r="AY216" s="222"/>
      <c r="AZ216" s="222"/>
      <c r="BA216" s="222"/>
      <c r="BB216" s="222"/>
      <c r="BC216" s="222"/>
      <c r="BD216" s="222"/>
      <c r="BE216" s="222"/>
      <c r="BF216" s="222"/>
      <c r="BG216" s="169" t="str">
        <f>VLOOKUP($A216,订货1!$A216:$I459,9,0)</f>
        <v>由仓库</v>
      </c>
      <c r="BH216" s="47" t="str">
        <f>VLOOKUP($A216,订货1!$A216:$H459,8,0)</f>
        <v>内蒙古鑫蒙腾肉业有限公司</v>
      </c>
    </row>
    <row r="217" spans="1:60" ht="15.75" customHeight="1">
      <c r="A217" s="67">
        <v>992027</v>
      </c>
      <c r="B217" s="68" t="s">
        <v>861</v>
      </c>
      <c r="C217" s="70" t="s">
        <v>175</v>
      </c>
      <c r="D217" s="68"/>
      <c r="E217" s="68" t="s">
        <v>862</v>
      </c>
      <c r="F217" s="68" t="s">
        <v>18</v>
      </c>
      <c r="G217" s="68" t="s">
        <v>315</v>
      </c>
      <c r="H217" s="68" t="s">
        <v>863</v>
      </c>
      <c r="I217" s="71" t="s">
        <v>197</v>
      </c>
      <c r="J217" s="68" t="s">
        <v>696</v>
      </c>
      <c r="K217" s="236">
        <f>VLOOKUP($A217,订货1!$A217:$A460,1,0)</f>
        <v>992027</v>
      </c>
      <c r="L217" s="245" t="str">
        <f>VLOOKUP($A217,订货1!$A217:$G460,7,0)</f>
        <v>上海加颂纸业有限公司</v>
      </c>
      <c r="M217" s="237" t="str">
        <f>VLOOKUP($A217,订货1!$A217:$B460,2,0)</f>
        <v>萨莉亚餐巾纸</v>
      </c>
      <c r="N217" s="72">
        <f t="shared" si="26"/>
        <v>45978</v>
      </c>
      <c r="O217" s="49" t="str">
        <f>VLOOKUP($A217,订货1!$A217:$C460,3,0)</f>
        <v>常温</v>
      </c>
      <c r="P217" s="44" t="str">
        <f>VLOOKUP($A217,订货1!$A217:$E460,5,0)</f>
        <v>100张*60包/箱</v>
      </c>
      <c r="Q217" s="49" t="str">
        <f>VLOOKUP($A217,订货1!$A217:$F460,6,0)</f>
        <v>箱</v>
      </c>
      <c r="R217" s="167">
        <f t="shared" ca="1" si="23"/>
        <v>0</v>
      </c>
      <c r="S217" s="105" t="s">
        <v>199</v>
      </c>
      <c r="T217" s="85">
        <f ca="1">SUMIF(预估营业额3!$B$3:$B$39,"&gt;="&amp;$H$2,预估营业额3!$E$3:$E$39)-SUMIF(预估营业额3!$B$3:$B$39,"&gt;"&amp;N217,预估营业额3!$E$3:$E$39)</f>
        <v>0</v>
      </c>
      <c r="U217" s="219">
        <v>1E-3</v>
      </c>
      <c r="V217" s="168">
        <v>1</v>
      </c>
      <c r="W217" s="182">
        <f t="shared" ca="1" si="24"/>
        <v>0</v>
      </c>
      <c r="X217" s="214">
        <v>1</v>
      </c>
      <c r="Y217" s="62">
        <f t="shared" si="25"/>
        <v>0</v>
      </c>
      <c r="Z217" s="54"/>
      <c r="AA217" s="54"/>
      <c r="AB217" s="222"/>
      <c r="AC217" s="222"/>
      <c r="AD217" s="222"/>
      <c r="AE217" s="222"/>
      <c r="AF217" s="222"/>
      <c r="AG217" s="222"/>
      <c r="AH217" s="222"/>
      <c r="AI217" s="222"/>
      <c r="AJ217" s="222"/>
      <c r="AK217" s="222"/>
      <c r="AL217" s="222"/>
      <c r="AM217" s="222"/>
      <c r="AN217" s="222"/>
      <c r="AO217" s="222"/>
      <c r="AP217" s="222"/>
      <c r="AQ217" s="222"/>
      <c r="AR217" s="222"/>
      <c r="AS217" s="222"/>
      <c r="AT217" s="222"/>
      <c r="AU217" s="222"/>
      <c r="AV217" s="222"/>
      <c r="AW217" s="222"/>
      <c r="AX217" s="222"/>
      <c r="AY217" s="222"/>
      <c r="AZ217" s="222"/>
      <c r="BA217" s="222"/>
      <c r="BB217" s="222"/>
      <c r="BC217" s="222"/>
      <c r="BD217" s="222"/>
      <c r="BE217" s="222"/>
      <c r="BF217" s="222"/>
      <c r="BG217" s="169" t="str">
        <f>VLOOKUP($A217,订货1!$A217:$I460,9,0)</f>
        <v>由仓库</v>
      </c>
      <c r="BH217" s="47" t="str">
        <f>VLOOKUP($A217,订货1!$A217:$H460,8,0)</f>
        <v>合肥华资纸业有限公司</v>
      </c>
    </row>
    <row r="218" spans="1:60" ht="15.75" hidden="1" customHeight="1">
      <c r="A218" s="173">
        <v>101679</v>
      </c>
      <c r="B218" s="172" t="s">
        <v>457</v>
      </c>
      <c r="C218" s="70" t="s">
        <v>175</v>
      </c>
      <c r="D218" s="68"/>
      <c r="E218" s="68" t="s">
        <v>459</v>
      </c>
      <c r="F218" s="68" t="s">
        <v>18</v>
      </c>
      <c r="G218" s="68" t="s">
        <v>505</v>
      </c>
      <c r="H218" s="68" t="s">
        <v>460</v>
      </c>
      <c r="I218" s="71" t="s">
        <v>197</v>
      </c>
      <c r="J218" s="68" t="s">
        <v>471</v>
      </c>
      <c r="K218" s="234">
        <f>VLOOKUP($A218,订货1!$A218:$A461,1,0)</f>
        <v>101679</v>
      </c>
      <c r="L218" s="244" t="str">
        <f>VLOOKUP($A218,订货1!$A218:$G461,7,0)</f>
        <v>融滋合味（上海）科技有限公司</v>
      </c>
      <c r="M218" s="235" t="str">
        <f>VLOOKUP($A218,订货1!$A218:$B461,2,0)</f>
        <v>泛泰番茄丁</v>
      </c>
      <c r="N218" s="72">
        <f t="shared" si="26"/>
        <v>45978</v>
      </c>
      <c r="O218" s="49" t="str">
        <f>VLOOKUP($A218,订货1!$A218:$C461,3,0)</f>
        <v>常温</v>
      </c>
      <c r="P218" s="44" t="str">
        <f>VLOOKUP($A218,订货1!$A218:$E461,5,0)</f>
        <v>2.85kg*6can</v>
      </c>
      <c r="Q218" s="49" t="str">
        <f>VLOOKUP($A218,订货1!$A218:$F461,6,0)</f>
        <v>箱</v>
      </c>
      <c r="R218" s="167">
        <f t="shared" ca="1" si="23"/>
        <v>0</v>
      </c>
      <c r="S218" s="185" t="s">
        <v>199</v>
      </c>
      <c r="T218" s="85">
        <f ca="1">SUMIF(预估营业额3!$B$3:$B$39,"&gt;="&amp;$H$2,预估营业额3!$E$3:$E$39)-SUMIF(预估营业额3!$B$3:$B$39,"&gt;"&amp;N218,预估营业额3!$E$3:$E$39)</f>
        <v>0</v>
      </c>
      <c r="U218" s="219">
        <v>0</v>
      </c>
      <c r="V218" s="168">
        <v>1</v>
      </c>
      <c r="W218" s="182">
        <f t="shared" ca="1" si="24"/>
        <v>0</v>
      </c>
      <c r="X218" s="214"/>
      <c r="Y218" s="62">
        <f t="shared" si="25"/>
        <v>0</v>
      </c>
      <c r="Z218" s="54"/>
      <c r="AA218" s="54"/>
      <c r="AB218" s="222"/>
      <c r="AC218" s="222"/>
      <c r="AD218" s="222"/>
      <c r="AE218" s="222"/>
      <c r="AF218" s="222"/>
      <c r="AG218" s="222"/>
      <c r="AH218" s="222"/>
      <c r="AI218" s="222"/>
      <c r="AJ218" s="222"/>
      <c r="AK218" s="222"/>
      <c r="AL218" s="222"/>
      <c r="AM218" s="222"/>
      <c r="AN218" s="222"/>
      <c r="AO218" s="222"/>
      <c r="AP218" s="222"/>
      <c r="AQ218" s="222"/>
      <c r="AR218" s="222"/>
      <c r="AS218" s="222"/>
      <c r="AT218" s="222"/>
      <c r="AU218" s="222"/>
      <c r="AV218" s="222"/>
      <c r="AW218" s="222"/>
      <c r="AX218" s="222"/>
      <c r="AY218" s="222"/>
      <c r="AZ218" s="222"/>
      <c r="BA218" s="222"/>
      <c r="BB218" s="222"/>
      <c r="BC218" s="222"/>
      <c r="BD218" s="222"/>
      <c r="BE218" s="222"/>
      <c r="BF218" s="222"/>
      <c r="BG218" s="169" t="str">
        <f>VLOOKUP($A218,订货1!$A218:$I461,9,0)</f>
        <v>由仓库</v>
      </c>
      <c r="BH218" s="47" t="str">
        <f>VLOOKUP($A218,订货1!$A218:$H461,8,0)</f>
        <v>内蒙古联瑞农产品有限公司</v>
      </c>
    </row>
    <row r="219" spans="1:60" ht="15.6" customHeight="1">
      <c r="A219" s="173">
        <v>101680</v>
      </c>
      <c r="B219" s="172" t="s">
        <v>458</v>
      </c>
      <c r="C219" s="70" t="s">
        <v>174</v>
      </c>
      <c r="D219" s="68"/>
      <c r="E219" s="68" t="s">
        <v>438</v>
      </c>
      <c r="F219" s="68" t="s">
        <v>18</v>
      </c>
      <c r="G219" s="68" t="s">
        <v>461</v>
      </c>
      <c r="H219" s="68" t="s">
        <v>416</v>
      </c>
      <c r="I219" s="71" t="s">
        <v>197</v>
      </c>
      <c r="J219" s="68" t="s">
        <v>472</v>
      </c>
      <c r="K219" s="234">
        <f>VLOOKUP($A219,订货1!$A219:$A462,1,0)</f>
        <v>101680</v>
      </c>
      <c r="L219" s="244" t="str">
        <f>VLOOKUP($A219,订货1!$A219:$G462,7,0)</f>
        <v>上海宝立食品科技股份有限公司</v>
      </c>
      <c r="M219" s="235" t="str">
        <f>VLOOKUP($A219,订货1!$A219:$B462,2,0)</f>
        <v xml:space="preserve">玉米浓汤 </v>
      </c>
      <c r="N219" s="72">
        <f t="shared" si="26"/>
        <v>45978</v>
      </c>
      <c r="O219" s="49" t="str">
        <f>VLOOKUP($A219,订货1!$A219:$C462,3,0)</f>
        <v>冷凍</v>
      </c>
      <c r="P219" s="44" t="str">
        <f>VLOOKUP($A219,订货1!$A219:$E462,5,0)</f>
        <v>0.16kg*50pc</v>
      </c>
      <c r="Q219" s="49" t="str">
        <f>VLOOKUP($A219,订货1!$A219:$F462,6,0)</f>
        <v>箱</v>
      </c>
      <c r="R219" s="167">
        <f t="shared" ca="1" si="23"/>
        <v>0</v>
      </c>
      <c r="S219" s="105" t="s">
        <v>199</v>
      </c>
      <c r="T219" s="85">
        <f ca="1">SUMIF(预估营业额3!$B$3:$B$39,"&gt;="&amp;$H$2,预估营业额3!$E$3:$E$39)-SUMIF(预估营业额3!$B$3:$B$39,"&gt;"&amp;N219,预估营业额3!$E$3:$E$39)</f>
        <v>0</v>
      </c>
      <c r="U219" s="219">
        <v>0.1</v>
      </c>
      <c r="V219" s="168">
        <v>1</v>
      </c>
      <c r="W219" s="182">
        <f t="shared" ca="1" si="24"/>
        <v>0</v>
      </c>
      <c r="X219" s="214">
        <v>1</v>
      </c>
      <c r="Y219" s="62">
        <f t="shared" si="25"/>
        <v>0</v>
      </c>
      <c r="Z219" s="54"/>
      <c r="AA219" s="54"/>
      <c r="AB219" s="222"/>
      <c r="AC219" s="222">
        <v>1</v>
      </c>
      <c r="AD219" s="222"/>
      <c r="AE219" s="222"/>
      <c r="AF219" s="222"/>
      <c r="AG219" s="222">
        <v>1</v>
      </c>
      <c r="AH219" s="222"/>
      <c r="AI219" s="222"/>
      <c r="AJ219" s="222"/>
      <c r="AK219" s="222"/>
      <c r="AL219" s="222"/>
      <c r="AM219" s="222">
        <v>1</v>
      </c>
      <c r="AN219" s="222"/>
      <c r="AO219" s="222"/>
      <c r="AP219" s="222"/>
      <c r="AQ219" s="222"/>
      <c r="AR219" s="222"/>
      <c r="AS219" s="222"/>
      <c r="AT219" s="222"/>
      <c r="AU219" s="222"/>
      <c r="AV219" s="222"/>
      <c r="AW219" s="222"/>
      <c r="AX219" s="222"/>
      <c r="AY219" s="222"/>
      <c r="AZ219" s="222"/>
      <c r="BA219" s="222"/>
      <c r="BB219" s="222"/>
      <c r="BC219" s="222"/>
      <c r="BD219" s="222"/>
      <c r="BE219" s="222"/>
      <c r="BF219" s="222"/>
      <c r="BG219" s="169" t="str">
        <f>VLOOKUP($A219,订货1!$A219:$I462,9,0)</f>
        <v>由仓库</v>
      </c>
      <c r="BH219" s="47" t="str">
        <f>VLOOKUP($A219,订货1!$A219:$H462,8,0)</f>
        <v>浙江宝立食品科技有限公司</v>
      </c>
    </row>
    <row r="220" spans="1:60" ht="15" customHeight="1">
      <c r="A220" s="67">
        <v>992025</v>
      </c>
      <c r="B220" s="265" t="s">
        <v>323</v>
      </c>
      <c r="C220" s="70" t="s">
        <v>175</v>
      </c>
      <c r="D220" s="68"/>
      <c r="E220" s="68" t="s">
        <v>309</v>
      </c>
      <c r="F220" s="68" t="s">
        <v>18</v>
      </c>
      <c r="G220" s="68" t="s">
        <v>312</v>
      </c>
      <c r="H220" s="68" t="s">
        <v>312</v>
      </c>
      <c r="I220" s="71" t="s">
        <v>197</v>
      </c>
      <c r="J220" s="68" t="s">
        <v>473</v>
      </c>
      <c r="K220" s="236">
        <f>VLOOKUP($A220,订货1!$A220:$A463,1,0)</f>
        <v>992025</v>
      </c>
      <c r="L220" s="245" t="str">
        <f>VLOOKUP($A220,订货1!$A220:$G463,7,0)</f>
        <v>上海联球印刷有限公司</v>
      </c>
      <c r="M220" s="237" t="str">
        <f>VLOOKUP($A220,订货1!$A220:$B463,2,0)</f>
        <v>萨莉亚LOGO牛皮纸拎袋（小）</v>
      </c>
      <c r="N220" s="72">
        <f t="shared" si="26"/>
        <v>45978</v>
      </c>
      <c r="O220" s="49" t="str">
        <f>VLOOKUP($A220,订货1!$A220:$C463,3,0)</f>
        <v>常温</v>
      </c>
      <c r="P220" s="44" t="str">
        <f>VLOOKUP($A220,订货1!$A220:$E463,5,0)</f>
        <v>200个/箱</v>
      </c>
      <c r="Q220" s="49" t="str">
        <f>VLOOKUP($A220,订货1!$A220:$F463,6,0)</f>
        <v>箱</v>
      </c>
      <c r="R220" s="167">
        <f t="shared" ca="1" si="23"/>
        <v>0</v>
      </c>
      <c r="S220" s="105" t="s">
        <v>199</v>
      </c>
      <c r="T220" s="85">
        <f ca="1">SUMIF(预估营业额3!$B$3:$B$39,"&gt;="&amp;$H$2,预估营业额3!$E$3:$E$39)-SUMIF(预估营业额3!$B$3:$B$39,"&gt;"&amp;N220,预估营业额3!$E$3:$E$39)</f>
        <v>0</v>
      </c>
      <c r="U220" s="219">
        <v>3.4945973524930458E-2</v>
      </c>
      <c r="V220" s="168">
        <v>1</v>
      </c>
      <c r="W220" s="182">
        <f t="shared" ca="1" si="24"/>
        <v>0</v>
      </c>
      <c r="X220" s="214">
        <v>0.5</v>
      </c>
      <c r="Y220" s="62">
        <f t="shared" si="25"/>
        <v>0</v>
      </c>
      <c r="Z220" s="54"/>
      <c r="AA220" s="54"/>
      <c r="AB220" s="222">
        <v>1</v>
      </c>
      <c r="AC220" s="222"/>
      <c r="AD220" s="222"/>
      <c r="AE220" s="222"/>
      <c r="AF220" s="222"/>
      <c r="AG220" s="222"/>
      <c r="AH220" s="222"/>
      <c r="AI220" s="222"/>
      <c r="AJ220" s="222"/>
      <c r="AK220" s="222"/>
      <c r="AL220" s="222">
        <v>1</v>
      </c>
      <c r="AM220" s="222"/>
      <c r="AN220" s="222"/>
      <c r="AO220" s="222"/>
      <c r="AP220" s="222"/>
      <c r="AQ220" s="222"/>
      <c r="AR220" s="222"/>
      <c r="AS220" s="222"/>
      <c r="AT220" s="222"/>
      <c r="AU220" s="222"/>
      <c r="AV220" s="222"/>
      <c r="AW220" s="222"/>
      <c r="AX220" s="222"/>
      <c r="AY220" s="222"/>
      <c r="AZ220" s="222"/>
      <c r="BA220" s="222"/>
      <c r="BB220" s="222"/>
      <c r="BC220" s="222"/>
      <c r="BD220" s="222"/>
      <c r="BE220" s="222"/>
      <c r="BF220" s="222"/>
      <c r="BG220" s="169" t="str">
        <f>VLOOKUP($A220,订货1!$A220:$I463,9,0)</f>
        <v>由仓库</v>
      </c>
      <c r="BH220" s="47" t="str">
        <f>VLOOKUP($A220,订货1!$A220:$H463,8,0)</f>
        <v>上海联球印刷有限公司</v>
      </c>
    </row>
    <row r="221" spans="1:60" ht="13.5" customHeight="1">
      <c r="A221" s="300">
        <v>101773</v>
      </c>
      <c r="B221" s="301" t="s">
        <v>846</v>
      </c>
      <c r="C221" s="302" t="s">
        <v>174</v>
      </c>
      <c r="D221" s="301"/>
      <c r="E221" s="301" t="s">
        <v>850</v>
      </c>
      <c r="F221" s="301" t="s">
        <v>18</v>
      </c>
      <c r="G221" s="301" t="s">
        <v>116</v>
      </c>
      <c r="H221" s="301" t="s">
        <v>116</v>
      </c>
      <c r="I221" s="71" t="s">
        <v>197</v>
      </c>
      <c r="J221" s="68" t="s">
        <v>474</v>
      </c>
      <c r="K221" s="270">
        <f>VLOOKUP($A221,订货1!$A221:$A464,1,0)</f>
        <v>101773</v>
      </c>
      <c r="L221" s="271" t="str">
        <f>VLOOKUP($A221,订货1!$A221:$G464,7,0)</f>
        <v>沈阳华美食品有限公司</v>
      </c>
      <c r="M221" s="272" t="str">
        <f>VLOOKUP($A221,订货1!$A221:$B464,2,0)</f>
        <v>意式红烩鸡肉块</v>
      </c>
      <c r="N221" s="297">
        <f t="shared" si="26"/>
        <v>45978</v>
      </c>
      <c r="O221" s="280" t="str">
        <f>VLOOKUP($A221,订货1!$A221:$C464,3,0)</f>
        <v>冷凍</v>
      </c>
      <c r="P221" s="279" t="str">
        <f>VLOOKUP($A221,订货1!$A221:$E464,5,0)</f>
        <v>250g*48pc</v>
      </c>
      <c r="Q221" s="280" t="str">
        <f>VLOOKUP($A221,订货1!$A221:$F464,6,0)</f>
        <v>箱</v>
      </c>
      <c r="R221" s="298">
        <f t="shared" ca="1" si="23"/>
        <v>0</v>
      </c>
      <c r="S221" s="228" t="s">
        <v>199</v>
      </c>
      <c r="T221" s="85">
        <f ca="1">SUMIF(预估营业额3!$B$3:$B$39,"&gt;="&amp;$H$2,预估营业额3!$E$3:$E$39)-SUMIF(预估营业额3!$B$3:$B$39,"&gt;"&amp;N221,预估营业额3!$E$3:$E$39)</f>
        <v>0</v>
      </c>
      <c r="U221" s="219">
        <v>9.3189262733147891E-3</v>
      </c>
      <c r="V221" s="168">
        <v>1</v>
      </c>
      <c r="W221" s="182">
        <f t="shared" ca="1" si="24"/>
        <v>0</v>
      </c>
      <c r="X221" s="214">
        <v>1</v>
      </c>
      <c r="Y221" s="62">
        <f t="shared" si="25"/>
        <v>0</v>
      </c>
      <c r="Z221" s="54"/>
      <c r="AA221" s="54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>
        <v>1</v>
      </c>
      <c r="AN221" s="222"/>
      <c r="AO221" s="222"/>
      <c r="AP221" s="222"/>
      <c r="AQ221" s="222"/>
      <c r="AR221" s="222"/>
      <c r="AS221" s="222"/>
      <c r="AT221" s="222"/>
      <c r="AU221" s="222"/>
      <c r="AV221" s="222"/>
      <c r="AW221" s="222"/>
      <c r="AX221" s="222"/>
      <c r="AY221" s="222"/>
      <c r="AZ221" s="222"/>
      <c r="BA221" s="222"/>
      <c r="BB221" s="222"/>
      <c r="BC221" s="222"/>
      <c r="BD221" s="222"/>
      <c r="BE221" s="222"/>
      <c r="BF221" s="222"/>
      <c r="BG221" s="169" t="str">
        <f>VLOOKUP($A221,订货1!$A221:$I464,9,0)</f>
        <v>由仓库</v>
      </c>
      <c r="BH221" s="47" t="str">
        <f>VLOOKUP($A221,订货1!$A221:$H464,8,0)</f>
        <v>沈阳华美食品有限公司</v>
      </c>
    </row>
    <row r="222" spans="1:60" ht="12.95" hidden="1" customHeight="1">
      <c r="A222" s="300">
        <v>101774</v>
      </c>
      <c r="B222" s="301" t="s">
        <v>847</v>
      </c>
      <c r="C222" s="302" t="s">
        <v>852</v>
      </c>
      <c r="D222" s="301"/>
      <c r="E222" s="301" t="s">
        <v>851</v>
      </c>
      <c r="F222" s="301" t="s">
        <v>18</v>
      </c>
      <c r="G222" s="301" t="s">
        <v>504</v>
      </c>
      <c r="H222" s="301" t="s">
        <v>858</v>
      </c>
      <c r="I222" s="71" t="s">
        <v>197</v>
      </c>
      <c r="J222" s="68" t="s">
        <v>697</v>
      </c>
      <c r="K222" s="270">
        <f>VLOOKUP($A222,订货1!$A222:$A465,1,0)</f>
        <v>101774</v>
      </c>
      <c r="L222" s="271" t="str">
        <f>VLOOKUP($A222,订货1!$A222:$G465,7,0)</f>
        <v>上海宝浓食品股份有限公司</v>
      </c>
      <c r="M222" s="272" t="str">
        <f>VLOOKUP($A222,订货1!$A222:$B465,2,0)</f>
        <v>赛罗牌黑甜醋调味酱</v>
      </c>
      <c r="N222" s="297">
        <f t="shared" si="26"/>
        <v>45978</v>
      </c>
      <c r="O222" s="280" t="str">
        <f>VLOOKUP($A222,订货1!$A222:$C465,3,0)</f>
        <v>常温</v>
      </c>
      <c r="P222" s="279" t="str">
        <f>VLOOKUP($A222,订货1!$A222:$E465,5,0)</f>
        <v>1瓶</v>
      </c>
      <c r="Q222" s="280" t="str">
        <f>VLOOKUP($A222,订货1!$A222:$F465,6,0)</f>
        <v>箱</v>
      </c>
      <c r="R222" s="298">
        <f t="shared" ca="1" si="23"/>
        <v>0</v>
      </c>
      <c r="S222" s="260" t="s">
        <v>207</v>
      </c>
      <c r="T222" s="85">
        <f ca="1">SUMIF(预估营业额3!$B$3:$B$39,"&gt;="&amp;$H$2,预估营业额3!$E$3:$E$39)-SUMIF(预估营业额3!$B$3:$B$39,"&gt;"&amp;N222,预估营业额3!$E$3:$E$39)</f>
        <v>0</v>
      </c>
      <c r="U222" s="219">
        <v>0</v>
      </c>
      <c r="V222" s="168">
        <v>1</v>
      </c>
      <c r="W222" s="182">
        <f t="shared" ca="1" si="24"/>
        <v>0</v>
      </c>
      <c r="X222" s="214">
        <v>0</v>
      </c>
      <c r="Y222" s="62">
        <f t="shared" si="25"/>
        <v>0</v>
      </c>
      <c r="Z222" s="54"/>
      <c r="AA222" s="54"/>
      <c r="AB222" s="222"/>
      <c r="AC222" s="222"/>
      <c r="AD222" s="222"/>
      <c r="AE222" s="222"/>
      <c r="AF222" s="222"/>
      <c r="AG222" s="222"/>
      <c r="AH222" s="222"/>
      <c r="AI222" s="222"/>
      <c r="AJ222" s="222"/>
      <c r="AK222" s="222"/>
      <c r="AL222" s="222"/>
      <c r="AM222" s="222"/>
      <c r="AN222" s="222"/>
      <c r="AO222" s="222"/>
      <c r="AP222" s="222"/>
      <c r="AQ222" s="222"/>
      <c r="AR222" s="222"/>
      <c r="AS222" s="222"/>
      <c r="AT222" s="222"/>
      <c r="AU222" s="222"/>
      <c r="AV222" s="222"/>
      <c r="AW222" s="222"/>
      <c r="AX222" s="222"/>
      <c r="AY222" s="222"/>
      <c r="AZ222" s="222"/>
      <c r="BA222" s="222"/>
      <c r="BB222" s="222"/>
      <c r="BC222" s="222"/>
      <c r="BD222" s="222"/>
      <c r="BE222" s="222"/>
      <c r="BF222" s="222"/>
      <c r="BG222" s="169" t="str">
        <f>VLOOKUP($A222,订货1!$A222:$I465,9,0)</f>
        <v>由仓库</v>
      </c>
      <c r="BH222" s="47" t="str">
        <f>VLOOKUP($A222,订货1!$A222:$H465,8,0)</f>
        <v>Condimenteria SRL.</v>
      </c>
    </row>
    <row r="223" spans="1:60" ht="14.45" customHeight="1">
      <c r="A223" s="300">
        <v>101772</v>
      </c>
      <c r="B223" s="301" t="s">
        <v>820</v>
      </c>
      <c r="C223" s="302" t="s">
        <v>174</v>
      </c>
      <c r="D223" s="301"/>
      <c r="E223" s="301" t="s">
        <v>821</v>
      </c>
      <c r="F223" s="301" t="s">
        <v>18</v>
      </c>
      <c r="G223" s="301" t="s">
        <v>822</v>
      </c>
      <c r="H223" s="301" t="s">
        <v>822</v>
      </c>
      <c r="I223" s="71" t="s">
        <v>197</v>
      </c>
      <c r="J223" s="68" t="s">
        <v>698</v>
      </c>
      <c r="K223" s="270">
        <f>VLOOKUP($A223,订货1!$A223:$A466,1,0)</f>
        <v>101772</v>
      </c>
      <c r="L223" s="271" t="str">
        <f>VLOOKUP($A223,订货1!$A223:$G466,7,0)</f>
        <v>内蒙古薯都凯达食品有限公司报价单</v>
      </c>
      <c r="M223" s="272" t="str">
        <f>VLOOKUP($A223,订货1!$A223:$B466,2,0)</f>
        <v>凯达薯业冷冻小方形薯饼</v>
      </c>
      <c r="N223" s="297">
        <f t="shared" si="26"/>
        <v>45978</v>
      </c>
      <c r="O223" s="280" t="str">
        <f>VLOOKUP($A223,订货1!$A223:$C466,3,0)</f>
        <v>冷凍</v>
      </c>
      <c r="P223" s="279" t="str">
        <f>VLOOKUP($A223,订货1!$A223:$E466,5,0)</f>
        <v>2KG*5包</v>
      </c>
      <c r="Q223" s="280" t="str">
        <f>VLOOKUP($A223,订货1!$A223:$F466,6,0)</f>
        <v>箱</v>
      </c>
      <c r="R223" s="298">
        <f t="shared" ca="1" si="23"/>
        <v>0</v>
      </c>
      <c r="S223" s="228" t="s">
        <v>199</v>
      </c>
      <c r="T223" s="85">
        <f ca="1">SUMIF(预估营业额3!$B$3:$B$39,"&gt;="&amp;$H$2,预估营业额3!$E$3:$E$39)-SUMIF(预估营业额3!$B$3:$B$39,"&gt;"&amp;N223,预估营业额3!$E$3:$E$39)</f>
        <v>0</v>
      </c>
      <c r="U223" s="219">
        <v>0.35</v>
      </c>
      <c r="V223" s="168">
        <v>1</v>
      </c>
      <c r="W223" s="182">
        <f t="shared" ca="1" si="24"/>
        <v>0</v>
      </c>
      <c r="X223" s="214">
        <v>0.8</v>
      </c>
      <c r="Y223" s="62">
        <f t="shared" si="25"/>
        <v>2</v>
      </c>
      <c r="Z223" s="54">
        <v>2</v>
      </c>
      <c r="AA223" s="54"/>
      <c r="AB223" s="222"/>
      <c r="AC223" s="222">
        <v>1</v>
      </c>
      <c r="AD223" s="222"/>
      <c r="AE223" s="222"/>
      <c r="AF223" s="222">
        <v>2</v>
      </c>
      <c r="AG223" s="222">
        <v>1</v>
      </c>
      <c r="AH223" s="222">
        <v>1</v>
      </c>
      <c r="AI223" s="222"/>
      <c r="AJ223" s="222">
        <v>1</v>
      </c>
      <c r="AK223" s="222"/>
      <c r="AL223" s="222">
        <v>1</v>
      </c>
      <c r="AM223" s="222"/>
      <c r="AN223" s="222">
        <v>2</v>
      </c>
      <c r="AO223" s="222">
        <v>1</v>
      </c>
      <c r="AP223" s="222"/>
      <c r="AQ223" s="222"/>
      <c r="AR223" s="222"/>
      <c r="AS223" s="222"/>
      <c r="AT223" s="222"/>
      <c r="AU223" s="222"/>
      <c r="AV223" s="222"/>
      <c r="AW223" s="222"/>
      <c r="AX223" s="222"/>
      <c r="AY223" s="222"/>
      <c r="AZ223" s="222"/>
      <c r="BA223" s="222"/>
      <c r="BB223" s="222"/>
      <c r="BC223" s="222"/>
      <c r="BD223" s="222"/>
      <c r="BE223" s="222"/>
      <c r="BF223" s="222"/>
      <c r="BG223" s="169" t="str">
        <f>VLOOKUP($A223,订货1!$A223:$I466,9,0)</f>
        <v>由仓库</v>
      </c>
      <c r="BH223" s="47" t="str">
        <f>VLOOKUP($A223,订货1!$A223:$H466,8,0)</f>
        <v>内蒙古薯都凯达食品有限公司报价单</v>
      </c>
    </row>
    <row r="224" spans="1:60" ht="14.45" customHeight="1">
      <c r="A224" s="300">
        <v>101777</v>
      </c>
      <c r="B224" s="301" t="s">
        <v>848</v>
      </c>
      <c r="C224" s="302" t="s">
        <v>174</v>
      </c>
      <c r="D224" s="301"/>
      <c r="E224" s="301" t="s">
        <v>853</v>
      </c>
      <c r="F224" s="301" t="s">
        <v>18</v>
      </c>
      <c r="G224" s="301" t="s">
        <v>117</v>
      </c>
      <c r="H224" s="301" t="s">
        <v>849</v>
      </c>
      <c r="I224" s="71" t="s">
        <v>197</v>
      </c>
      <c r="J224" s="68" t="s">
        <v>699</v>
      </c>
      <c r="K224" s="270">
        <f>VLOOKUP($A224,订货1!$A224:$A467,1,0)</f>
        <v>101777</v>
      </c>
      <c r="L224" s="271" t="str">
        <f>VLOOKUP($A224,订货1!$A224:$G467,7,0)</f>
        <v>辣西西里（北京）国际贸易有限公司</v>
      </c>
      <c r="M224" s="272" t="str">
        <f>VLOOKUP($A224,订货1!$A224:$B467,2,0)</f>
        <v>多趣乐-巧克力碎牛奶冰激凌</v>
      </c>
      <c r="N224" s="297">
        <f t="shared" si="26"/>
        <v>45978</v>
      </c>
      <c r="O224" s="280" t="str">
        <f>VLOOKUP($A224,订货1!$A224:$C467,3,0)</f>
        <v>冷凍</v>
      </c>
      <c r="P224" s="279" t="str">
        <f>VLOOKUP($A224,订货1!$A224:$E467,5,0)</f>
        <v>65g*12个</v>
      </c>
      <c r="Q224" s="280" t="str">
        <f>VLOOKUP($A224,订货1!$A224:$F467,6,0)</f>
        <v>箱</v>
      </c>
      <c r="R224" s="298">
        <f t="shared" ca="1" si="23"/>
        <v>0</v>
      </c>
      <c r="S224" s="260" t="s">
        <v>207</v>
      </c>
      <c r="T224" s="85">
        <f ca="1">SUMIF(预估营业额3!$B$3:$B$39,"&gt;="&amp;$H$2,预估营业额3!$E$3:$E$39)-SUMIF(预估营业额3!$B$3:$B$39,"&gt;"&amp;N224,预估营业额3!$E$3:$E$39)</f>
        <v>0</v>
      </c>
      <c r="U224" s="219">
        <v>0</v>
      </c>
      <c r="V224" s="168">
        <v>1</v>
      </c>
      <c r="W224" s="182">
        <f t="shared" ca="1" si="24"/>
        <v>0</v>
      </c>
      <c r="X224" s="214">
        <v>0</v>
      </c>
      <c r="Y224" s="62">
        <f t="shared" si="25"/>
        <v>0</v>
      </c>
      <c r="Z224" s="54"/>
      <c r="AA224" s="54"/>
      <c r="AB224" s="222"/>
      <c r="AC224" s="222"/>
      <c r="AD224" s="222"/>
      <c r="AE224" s="222"/>
      <c r="AF224" s="222"/>
      <c r="AG224" s="222"/>
      <c r="AH224" s="222"/>
      <c r="AI224" s="222"/>
      <c r="AJ224" s="222"/>
      <c r="AK224" s="222"/>
      <c r="AL224" s="222"/>
      <c r="AM224" s="222"/>
      <c r="AN224" s="222"/>
      <c r="AO224" s="222"/>
      <c r="AP224" s="222"/>
      <c r="AQ224" s="222"/>
      <c r="AR224" s="222"/>
      <c r="AS224" s="222"/>
      <c r="AT224" s="222"/>
      <c r="AU224" s="222"/>
      <c r="AV224" s="222"/>
      <c r="AW224" s="222"/>
      <c r="AX224" s="222"/>
      <c r="AY224" s="222"/>
      <c r="AZ224" s="222"/>
      <c r="BA224" s="222"/>
      <c r="BB224" s="222"/>
      <c r="BC224" s="222"/>
      <c r="BD224" s="222"/>
      <c r="BE224" s="222"/>
      <c r="BF224" s="222"/>
      <c r="BG224" s="169" t="str">
        <f>VLOOKUP($A224,订货1!$A224:$I467,9,0)</f>
        <v>由仓库</v>
      </c>
      <c r="BH224" s="47" t="str">
        <f>VLOOKUP($A224,订货1!$A224:$H467,8,0)</f>
        <v>Dolceria Alba S.p.A.</v>
      </c>
    </row>
    <row r="225" spans="1:60" ht="21" hidden="1" customHeight="1">
      <c r="A225" s="67">
        <v>992003</v>
      </c>
      <c r="B225" s="68" t="s">
        <v>236</v>
      </c>
      <c r="C225" s="70" t="s">
        <v>175</v>
      </c>
      <c r="D225" s="68"/>
      <c r="E225" s="68" t="s">
        <v>188</v>
      </c>
      <c r="F225" s="68" t="s">
        <v>18</v>
      </c>
      <c r="G225" s="68" t="s">
        <v>183</v>
      </c>
      <c r="H225" s="68" t="s">
        <v>183</v>
      </c>
      <c r="I225" s="71" t="s">
        <v>197</v>
      </c>
      <c r="J225" s="68" t="s">
        <v>700</v>
      </c>
      <c r="K225" s="236">
        <f>VLOOKUP($A225,订货1!$A225:$A468,1,0)</f>
        <v>992003</v>
      </c>
      <c r="L225" s="245" t="str">
        <f>VLOOKUP($A225,订货1!$A225:$G468,7,0)</f>
        <v>深圳城建竹木塑胶制品有限公司</v>
      </c>
      <c r="M225" s="237" t="str">
        <f>VLOOKUP($A225,订货1!$A225:$B468,2,0)</f>
        <v>匹萨托盘（烤盘盖）</v>
      </c>
      <c r="N225" s="72">
        <f t="shared" si="26"/>
        <v>45978</v>
      </c>
      <c r="O225" s="49" t="str">
        <f>VLOOKUP($A225,订货1!$A225:$C468,3,0)</f>
        <v>常温</v>
      </c>
      <c r="P225" s="44" t="str">
        <f>VLOOKUP($A225,订货1!$A225:$E468,5,0)</f>
        <v>100个/箱</v>
      </c>
      <c r="Q225" s="49" t="str">
        <f>VLOOKUP($A225,订货1!$A225:$F468,6,0)</f>
        <v>箱</v>
      </c>
      <c r="R225" s="167">
        <f t="shared" ca="1" si="23"/>
        <v>0</v>
      </c>
      <c r="S225" s="105" t="s">
        <v>199</v>
      </c>
      <c r="T225" s="85">
        <f ca="1">SUMIF(预估营业额3!$B$3:$B$39,"&gt;="&amp;$H$2,预估营业额3!$E$3:$E$39)-SUMIF(预估营业额3!$B$3:$B$39,"&gt;"&amp;N225,预估营业额3!$E$3:$E$39)</f>
        <v>0</v>
      </c>
      <c r="U225" s="219">
        <v>0</v>
      </c>
      <c r="V225" s="168">
        <v>1</v>
      </c>
      <c r="W225" s="182">
        <f t="shared" ca="1" si="24"/>
        <v>0</v>
      </c>
      <c r="X225" s="214">
        <v>0</v>
      </c>
      <c r="Y225" s="62">
        <f t="shared" si="25"/>
        <v>0</v>
      </c>
      <c r="Z225" s="54"/>
      <c r="AA225" s="54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  <c r="AM225" s="222"/>
      <c r="AN225" s="222"/>
      <c r="AO225" s="222"/>
      <c r="AP225" s="222"/>
      <c r="AQ225" s="222"/>
      <c r="AR225" s="222"/>
      <c r="AS225" s="222"/>
      <c r="AT225" s="222"/>
      <c r="AU225" s="222"/>
      <c r="AV225" s="222"/>
      <c r="AW225" s="222"/>
      <c r="AX225" s="222"/>
      <c r="AY225" s="222"/>
      <c r="AZ225" s="222"/>
      <c r="BA225" s="222"/>
      <c r="BB225" s="222"/>
      <c r="BC225" s="222"/>
      <c r="BD225" s="222"/>
      <c r="BE225" s="222"/>
      <c r="BF225" s="222"/>
      <c r="BG225" s="169" t="str">
        <f>VLOOKUP($A225,订货1!$A225:$I468,9,0)</f>
        <v>由仓库</v>
      </c>
      <c r="BH225" s="47" t="str">
        <f>VLOOKUP($A225,订货1!$A225:$H468,8,0)</f>
        <v>深圳城建竹木塑胶制品有限公司</v>
      </c>
    </row>
    <row r="226" spans="1:60" ht="21" hidden="1" customHeight="1">
      <c r="A226" s="67">
        <v>992004</v>
      </c>
      <c r="B226" s="68" t="s">
        <v>163</v>
      </c>
      <c r="C226" s="70" t="s">
        <v>175</v>
      </c>
      <c r="D226" s="68"/>
      <c r="E226" s="68" t="s">
        <v>190</v>
      </c>
      <c r="F226" s="68" t="s">
        <v>18</v>
      </c>
      <c r="G226" s="68" t="s">
        <v>183</v>
      </c>
      <c r="H226" s="68" t="s">
        <v>183</v>
      </c>
      <c r="I226" s="71" t="s">
        <v>197</v>
      </c>
      <c r="J226" s="68" t="s">
        <v>701</v>
      </c>
      <c r="K226" s="236">
        <f>VLOOKUP($A226,订货1!$A226:$A469,1,0)</f>
        <v>992004</v>
      </c>
      <c r="L226" s="245" t="str">
        <f>VLOOKUP($A226,订货1!$A226:$G469,7,0)</f>
        <v>深圳城建竹木塑胶制品有限公司</v>
      </c>
      <c r="M226" s="237" t="str">
        <f>VLOOKUP($A226,订货1!$A226:$B469,2,0)</f>
        <v>石纹水杯</v>
      </c>
      <c r="N226" s="72">
        <f t="shared" si="26"/>
        <v>45978</v>
      </c>
      <c r="O226" s="49" t="str">
        <f>VLOOKUP($A226,订货1!$A226:$C469,3,0)</f>
        <v>常温</v>
      </c>
      <c r="P226" s="44" t="str">
        <f>VLOOKUP($A226,订货1!$A226:$E469,5,0)</f>
        <v>36个/箱</v>
      </c>
      <c r="Q226" s="49" t="str">
        <f>VLOOKUP($A226,订货1!$A226:$F469,6,0)</f>
        <v>箱</v>
      </c>
      <c r="R226" s="167">
        <f t="shared" ca="1" si="23"/>
        <v>0</v>
      </c>
      <c r="S226" s="105" t="s">
        <v>199</v>
      </c>
      <c r="T226" s="85">
        <f ca="1">SUMIF(预估营业额3!$B$3:$B$39,"&gt;="&amp;$H$2,预估营业额3!$E$3:$E$39)-SUMIF(预估营业额3!$B$3:$B$39,"&gt;"&amp;N226,预估营业额3!$E$3:$E$39)</f>
        <v>0</v>
      </c>
      <c r="U226" s="219">
        <v>0</v>
      </c>
      <c r="V226" s="168">
        <v>1</v>
      </c>
      <c r="W226" s="182">
        <f t="shared" ca="1" si="24"/>
        <v>0</v>
      </c>
      <c r="X226" s="214">
        <v>0</v>
      </c>
      <c r="Y226" s="62">
        <f t="shared" si="25"/>
        <v>0</v>
      </c>
      <c r="Z226" s="54"/>
      <c r="AA226" s="54"/>
      <c r="AB226" s="222"/>
      <c r="AC226" s="222"/>
      <c r="AD226" s="222"/>
      <c r="AE226" s="222"/>
      <c r="AF226" s="222"/>
      <c r="AG226" s="222"/>
      <c r="AH226" s="222"/>
      <c r="AI226" s="222"/>
      <c r="AJ226" s="222"/>
      <c r="AK226" s="222"/>
      <c r="AL226" s="222"/>
      <c r="AM226" s="222"/>
      <c r="AN226" s="222"/>
      <c r="AO226" s="222"/>
      <c r="AP226" s="222"/>
      <c r="AQ226" s="222"/>
      <c r="AR226" s="222"/>
      <c r="AS226" s="222"/>
      <c r="AT226" s="222"/>
      <c r="AU226" s="222"/>
      <c r="AV226" s="222"/>
      <c r="AW226" s="222"/>
      <c r="AX226" s="222"/>
      <c r="AY226" s="222"/>
      <c r="AZ226" s="222"/>
      <c r="BA226" s="222"/>
      <c r="BB226" s="222"/>
      <c r="BC226" s="222"/>
      <c r="BD226" s="222"/>
      <c r="BE226" s="222"/>
      <c r="BF226" s="222"/>
      <c r="BG226" s="169" t="str">
        <f>VLOOKUP($A226,订货1!$A226:$I469,9,0)</f>
        <v>由仓库</v>
      </c>
      <c r="BH226" s="47" t="str">
        <f>VLOOKUP($A226,订货1!$A226:$H469,8,0)</f>
        <v>深圳城建竹木塑胶制品有限公司</v>
      </c>
    </row>
    <row r="227" spans="1:60" ht="21" hidden="1" customHeight="1">
      <c r="A227" s="67">
        <v>992005</v>
      </c>
      <c r="B227" s="68" t="s">
        <v>164</v>
      </c>
      <c r="C227" s="70" t="s">
        <v>175</v>
      </c>
      <c r="D227" s="68"/>
      <c r="E227" s="68" t="s">
        <v>188</v>
      </c>
      <c r="F227" s="68" t="s">
        <v>18</v>
      </c>
      <c r="G227" s="68" t="s">
        <v>183</v>
      </c>
      <c r="H227" s="68" t="s">
        <v>183</v>
      </c>
      <c r="I227" s="71" t="s">
        <v>197</v>
      </c>
      <c r="J227" s="68" t="s">
        <v>702</v>
      </c>
      <c r="K227" s="236">
        <f>VLOOKUP($A227,订货1!$A227:$A470,1,0)</f>
        <v>992005</v>
      </c>
      <c r="L227" s="245" t="str">
        <f>VLOOKUP($A227,订货1!$A227:$G470,7,0)</f>
        <v>深圳城建竹木塑胶制品有限公司</v>
      </c>
      <c r="M227" s="237" t="str">
        <f>VLOOKUP($A227,订货1!$A227:$B470,2,0)</f>
        <v>圆碟（咖啡色边）</v>
      </c>
      <c r="N227" s="72">
        <f t="shared" si="26"/>
        <v>45978</v>
      </c>
      <c r="O227" s="49" t="str">
        <f>VLOOKUP($A227,订货1!$A227:$C470,3,0)</f>
        <v>常温</v>
      </c>
      <c r="P227" s="44" t="str">
        <f>VLOOKUP($A227,订货1!$A227:$E470,5,0)</f>
        <v>100个/箱</v>
      </c>
      <c r="Q227" s="49" t="str">
        <f>VLOOKUP($A227,订货1!$A227:$F470,6,0)</f>
        <v>箱</v>
      </c>
      <c r="R227" s="167">
        <f t="shared" ca="1" si="23"/>
        <v>0</v>
      </c>
      <c r="S227" s="105" t="s">
        <v>199</v>
      </c>
      <c r="T227" s="85">
        <f ca="1">SUMIF(预估营业额3!$B$3:$B$39,"&gt;="&amp;$H$2,预估营业额3!$E$3:$E$39)-SUMIF(预估营业额3!$B$3:$B$39,"&gt;"&amp;N227,预估营业额3!$E$3:$E$39)</f>
        <v>0</v>
      </c>
      <c r="U227" s="219">
        <v>0</v>
      </c>
      <c r="V227" s="168">
        <v>1</v>
      </c>
      <c r="W227" s="182">
        <f t="shared" ca="1" si="24"/>
        <v>0</v>
      </c>
      <c r="X227" s="214">
        <v>0</v>
      </c>
      <c r="Y227" s="62">
        <f t="shared" si="25"/>
        <v>0</v>
      </c>
      <c r="Z227" s="54"/>
      <c r="AA227" s="54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2"/>
      <c r="AM227" s="222"/>
      <c r="AN227" s="222"/>
      <c r="AO227" s="222"/>
      <c r="AP227" s="222"/>
      <c r="AQ227" s="222"/>
      <c r="AR227" s="222"/>
      <c r="AS227" s="222"/>
      <c r="AT227" s="222"/>
      <c r="AU227" s="222"/>
      <c r="AV227" s="222"/>
      <c r="AW227" s="222"/>
      <c r="AX227" s="222"/>
      <c r="AY227" s="222"/>
      <c r="AZ227" s="222"/>
      <c r="BA227" s="222"/>
      <c r="BB227" s="222"/>
      <c r="BC227" s="222"/>
      <c r="BD227" s="222"/>
      <c r="BE227" s="222"/>
      <c r="BF227" s="222"/>
      <c r="BG227" s="169" t="str">
        <f>VLOOKUP($A227,订货1!$A227:$I470,9,0)</f>
        <v>由仓库</v>
      </c>
      <c r="BH227" s="47" t="str">
        <f>VLOOKUP($A227,订货1!$A227:$H470,8,0)</f>
        <v>深圳城建竹木塑胶制品有限公司</v>
      </c>
    </row>
    <row r="228" spans="1:60" ht="21" hidden="1" customHeight="1">
      <c r="A228" s="67">
        <v>992006</v>
      </c>
      <c r="B228" s="68" t="s">
        <v>160</v>
      </c>
      <c r="C228" s="70" t="s">
        <v>175</v>
      </c>
      <c r="D228" s="68"/>
      <c r="E228" s="68" t="s">
        <v>191</v>
      </c>
      <c r="F228" s="68" t="s">
        <v>18</v>
      </c>
      <c r="G228" s="68" t="s">
        <v>183</v>
      </c>
      <c r="H228" s="68" t="s">
        <v>183</v>
      </c>
      <c r="I228" s="71" t="s">
        <v>197</v>
      </c>
      <c r="J228" s="68" t="s">
        <v>703</v>
      </c>
      <c r="K228" s="236">
        <f>VLOOKUP($A228,订货1!$A228:$A471,1,0)</f>
        <v>992006</v>
      </c>
      <c r="L228" s="245" t="str">
        <f>VLOOKUP($A228,订货1!$A228:$G471,7,0)</f>
        <v>深圳城建竹木塑胶制品有限公司</v>
      </c>
      <c r="M228" s="237" t="str">
        <f>VLOOKUP($A228,订货1!$A228:$B471,2,0)</f>
        <v>刀叉盒60只/箱（绿色）</v>
      </c>
      <c r="N228" s="72">
        <f t="shared" si="26"/>
        <v>45978</v>
      </c>
      <c r="O228" s="49" t="str">
        <f>VLOOKUP($A228,订货1!$A228:$C471,3,0)</f>
        <v>常温</v>
      </c>
      <c r="P228" s="44" t="str">
        <f>VLOOKUP($A228,订货1!$A228:$E471,5,0)</f>
        <v>161个/箱</v>
      </c>
      <c r="Q228" s="49" t="str">
        <f>VLOOKUP($A228,订货1!$A228:$F471,6,0)</f>
        <v>箱</v>
      </c>
      <c r="R228" s="167">
        <f t="shared" ca="1" si="23"/>
        <v>0</v>
      </c>
      <c r="S228" s="105" t="s">
        <v>199</v>
      </c>
      <c r="T228" s="85">
        <f ca="1">SUMIF(预估营业额3!$B$3:$B$39,"&gt;="&amp;$H$2,预估营业额3!$E$3:$E$39)-SUMIF(预估营业额3!$B$3:$B$39,"&gt;"&amp;N228,预估营业额3!$E$3:$E$39)</f>
        <v>0</v>
      </c>
      <c r="U228" s="219">
        <v>0</v>
      </c>
      <c r="V228" s="168">
        <v>1</v>
      </c>
      <c r="W228" s="182">
        <f t="shared" ca="1" si="24"/>
        <v>0</v>
      </c>
      <c r="X228" s="214">
        <v>0</v>
      </c>
      <c r="Y228" s="62">
        <f t="shared" si="25"/>
        <v>0</v>
      </c>
      <c r="Z228" s="54"/>
      <c r="AA228" s="54"/>
      <c r="AB228" s="222"/>
      <c r="AC228" s="222"/>
      <c r="AD228" s="222"/>
      <c r="AE228" s="222"/>
      <c r="AF228" s="222"/>
      <c r="AG228" s="222"/>
      <c r="AH228" s="222"/>
      <c r="AI228" s="222"/>
      <c r="AJ228" s="222"/>
      <c r="AK228" s="222"/>
      <c r="AL228" s="222"/>
      <c r="AM228" s="222"/>
      <c r="AN228" s="222"/>
      <c r="AO228" s="222"/>
      <c r="AP228" s="222"/>
      <c r="AQ228" s="222"/>
      <c r="AR228" s="222"/>
      <c r="AS228" s="222"/>
      <c r="AT228" s="222"/>
      <c r="AU228" s="222"/>
      <c r="AV228" s="222"/>
      <c r="AW228" s="222"/>
      <c r="AX228" s="222"/>
      <c r="AY228" s="222"/>
      <c r="AZ228" s="222"/>
      <c r="BA228" s="222"/>
      <c r="BB228" s="222"/>
      <c r="BC228" s="222"/>
      <c r="BD228" s="222"/>
      <c r="BE228" s="222"/>
      <c r="BF228" s="222"/>
      <c r="BG228" s="169" t="str">
        <f>VLOOKUP($A228,订货1!$A228:$I471,9,0)</f>
        <v>由仓库</v>
      </c>
      <c r="BH228" s="47" t="str">
        <f>VLOOKUP($A228,订货1!$A228:$H471,8,0)</f>
        <v>深圳城建竹木塑胶制品有限公司</v>
      </c>
    </row>
    <row r="229" spans="1:60" ht="21" hidden="1" customHeight="1">
      <c r="A229" s="67">
        <v>992007</v>
      </c>
      <c r="B229" s="68" t="s">
        <v>165</v>
      </c>
      <c r="C229" s="70" t="s">
        <v>175</v>
      </c>
      <c r="D229" s="68"/>
      <c r="E229" s="68" t="s">
        <v>192</v>
      </c>
      <c r="F229" s="68" t="s">
        <v>18</v>
      </c>
      <c r="G229" s="68" t="s">
        <v>183</v>
      </c>
      <c r="H229" s="68" t="s">
        <v>183</v>
      </c>
      <c r="I229" s="71" t="s">
        <v>197</v>
      </c>
      <c r="J229" s="68" t="s">
        <v>522</v>
      </c>
      <c r="K229" s="236">
        <f>VLOOKUP($A229,订货1!$A229:$A472,1,0)</f>
        <v>992007</v>
      </c>
      <c r="L229" s="245" t="str">
        <f>VLOOKUP($A229,订货1!$A229:$G472,7,0)</f>
        <v>深圳城建竹木塑胶制品有限公司</v>
      </c>
      <c r="M229" s="237" t="str">
        <f>VLOOKUP($A229,订货1!$A229:$B472,2,0)</f>
        <v>刀叉盒（咖啡色）</v>
      </c>
      <c r="N229" s="72">
        <f t="shared" si="26"/>
        <v>45978</v>
      </c>
      <c r="O229" s="49" t="str">
        <f>VLOOKUP($A229,订货1!$A229:$C472,3,0)</f>
        <v>常温</v>
      </c>
      <c r="P229" s="44" t="str">
        <f>VLOOKUP($A229,订货1!$A229:$E472,5,0)</f>
        <v>162个/箱</v>
      </c>
      <c r="Q229" s="49" t="str">
        <f>VLOOKUP($A229,订货1!$A229:$F472,6,0)</f>
        <v>箱</v>
      </c>
      <c r="R229" s="167">
        <f t="shared" ca="1" si="23"/>
        <v>0</v>
      </c>
      <c r="S229" s="105" t="s">
        <v>199</v>
      </c>
      <c r="T229" s="85">
        <f ca="1">SUMIF(预估营业额3!$B$3:$B$39,"&gt;="&amp;$H$2,预估营业额3!$E$3:$E$39)-SUMIF(预估营业额3!$B$3:$B$39,"&gt;"&amp;N229,预估营业额3!$E$3:$E$39)</f>
        <v>0</v>
      </c>
      <c r="U229" s="219">
        <v>0</v>
      </c>
      <c r="V229" s="168">
        <v>1</v>
      </c>
      <c r="W229" s="182">
        <f t="shared" ca="1" si="24"/>
        <v>0</v>
      </c>
      <c r="X229" s="214">
        <v>0</v>
      </c>
      <c r="Y229" s="62">
        <f t="shared" si="25"/>
        <v>0</v>
      </c>
      <c r="Z229" s="54"/>
      <c r="AA229" s="54"/>
      <c r="AB229" s="222"/>
      <c r="AC229" s="222"/>
      <c r="AD229" s="222"/>
      <c r="AE229" s="222"/>
      <c r="AF229" s="222"/>
      <c r="AG229" s="222"/>
      <c r="AH229" s="222"/>
      <c r="AI229" s="222"/>
      <c r="AJ229" s="222"/>
      <c r="AK229" s="222"/>
      <c r="AL229" s="222"/>
      <c r="AM229" s="222"/>
      <c r="AN229" s="222"/>
      <c r="AO229" s="222"/>
      <c r="AP229" s="222"/>
      <c r="AQ229" s="222"/>
      <c r="AR229" s="222"/>
      <c r="AS229" s="222"/>
      <c r="AT229" s="222"/>
      <c r="AU229" s="222"/>
      <c r="AV229" s="222"/>
      <c r="AW229" s="222"/>
      <c r="AX229" s="222"/>
      <c r="AY229" s="222"/>
      <c r="AZ229" s="222"/>
      <c r="BA229" s="222"/>
      <c r="BB229" s="222"/>
      <c r="BC229" s="222"/>
      <c r="BD229" s="222"/>
      <c r="BE229" s="222"/>
      <c r="BF229" s="222"/>
      <c r="BG229" s="169" t="str">
        <f>VLOOKUP($A229,订货1!$A229:$I472,9,0)</f>
        <v>由仓库</v>
      </c>
      <c r="BH229" s="47" t="str">
        <f>VLOOKUP($A229,订货1!$A229:$H472,8,0)</f>
        <v>深圳城建竹木塑胶制品有限公司</v>
      </c>
    </row>
    <row r="230" spans="1:60" ht="21" hidden="1" customHeight="1">
      <c r="A230" s="67">
        <v>992008</v>
      </c>
      <c r="B230" s="68" t="s">
        <v>162</v>
      </c>
      <c r="C230" s="70" t="s">
        <v>175</v>
      </c>
      <c r="D230" s="68"/>
      <c r="E230" s="68" t="s">
        <v>188</v>
      </c>
      <c r="F230" s="68" t="s">
        <v>18</v>
      </c>
      <c r="G230" s="68" t="s">
        <v>183</v>
      </c>
      <c r="H230" s="68" t="s">
        <v>183</v>
      </c>
      <c r="I230" s="71" t="s">
        <v>197</v>
      </c>
      <c r="J230" s="68" t="s">
        <v>523</v>
      </c>
      <c r="K230" s="236">
        <f>VLOOKUP($A230,订货1!$A230:$A473,1,0)</f>
        <v>992008</v>
      </c>
      <c r="L230" s="245" t="str">
        <f>VLOOKUP($A230,订货1!$A230:$G473,7,0)</f>
        <v>深圳城建竹木塑胶制品有限公司</v>
      </c>
      <c r="M230" s="237" t="str">
        <f>VLOOKUP($A230,订货1!$A230:$B473,2,0)</f>
        <v>密胺骨盘（白边）</v>
      </c>
      <c r="N230" s="72">
        <f t="shared" si="26"/>
        <v>45978</v>
      </c>
      <c r="O230" s="49" t="str">
        <f>VLOOKUP($A230,订货1!$A230:$C473,3,0)</f>
        <v>常温</v>
      </c>
      <c r="P230" s="44" t="str">
        <f>VLOOKUP($A230,订货1!$A230:$E473,5,0)</f>
        <v>100个/箱</v>
      </c>
      <c r="Q230" s="49" t="str">
        <f>VLOOKUP($A230,订货1!$A230:$F473,6,0)</f>
        <v>箱</v>
      </c>
      <c r="R230" s="167">
        <f t="shared" ca="1" si="23"/>
        <v>0</v>
      </c>
      <c r="S230" s="105" t="s">
        <v>199</v>
      </c>
      <c r="T230" s="85">
        <f ca="1">SUMIF(预估营业额3!$B$3:$B$39,"&gt;="&amp;$H$2,预估营业额3!$E$3:$E$39)-SUMIF(预估营业额3!$B$3:$B$39,"&gt;"&amp;N230,预估营业额3!$E$3:$E$39)</f>
        <v>0</v>
      </c>
      <c r="U230" s="219">
        <v>0</v>
      </c>
      <c r="V230" s="168">
        <v>1</v>
      </c>
      <c r="W230" s="182">
        <f t="shared" ca="1" si="24"/>
        <v>0</v>
      </c>
      <c r="X230" s="214">
        <v>0</v>
      </c>
      <c r="Y230" s="62">
        <f t="shared" si="25"/>
        <v>0</v>
      </c>
      <c r="Z230" s="54"/>
      <c r="AA230" s="54"/>
      <c r="AB230" s="222"/>
      <c r="AC230" s="222"/>
      <c r="AD230" s="222"/>
      <c r="AE230" s="222"/>
      <c r="AF230" s="222"/>
      <c r="AG230" s="222"/>
      <c r="AH230" s="222"/>
      <c r="AI230" s="222"/>
      <c r="AJ230" s="222"/>
      <c r="AK230" s="222"/>
      <c r="AL230" s="222"/>
      <c r="AM230" s="222"/>
      <c r="AN230" s="222"/>
      <c r="AO230" s="222"/>
      <c r="AP230" s="222"/>
      <c r="AQ230" s="222"/>
      <c r="AR230" s="222"/>
      <c r="AS230" s="222"/>
      <c r="AT230" s="222"/>
      <c r="AU230" s="222"/>
      <c r="AV230" s="222"/>
      <c r="AW230" s="222"/>
      <c r="AX230" s="222"/>
      <c r="AY230" s="222"/>
      <c r="AZ230" s="222"/>
      <c r="BA230" s="222"/>
      <c r="BB230" s="222"/>
      <c r="BC230" s="222"/>
      <c r="BD230" s="222"/>
      <c r="BE230" s="222"/>
      <c r="BF230" s="222"/>
      <c r="BG230" s="169" t="str">
        <f>VLOOKUP($A230,订货1!$A230:$I473,9,0)</f>
        <v>由仓库</v>
      </c>
      <c r="BH230" s="47" t="str">
        <f>VLOOKUP($A230,订货1!$A230:$H473,8,0)</f>
        <v>深圳城建竹木塑胶制品有限公司</v>
      </c>
    </row>
    <row r="231" spans="1:60" ht="21" hidden="1" customHeight="1">
      <c r="A231" s="67">
        <v>992009</v>
      </c>
      <c r="B231" s="68" t="s">
        <v>237</v>
      </c>
      <c r="C231" s="70" t="s">
        <v>175</v>
      </c>
      <c r="D231" s="68"/>
      <c r="E231" s="68" t="s">
        <v>270</v>
      </c>
      <c r="F231" s="68" t="s">
        <v>18</v>
      </c>
      <c r="G231" s="68" t="s">
        <v>183</v>
      </c>
      <c r="H231" s="68" t="s">
        <v>183</v>
      </c>
      <c r="I231" s="71" t="s">
        <v>197</v>
      </c>
      <c r="J231" s="68" t="s">
        <v>704</v>
      </c>
      <c r="K231" s="236">
        <f>VLOOKUP($A231,订货1!$A231:$A474,1,0)</f>
        <v>992009</v>
      </c>
      <c r="L231" s="245" t="str">
        <f>VLOOKUP($A231,订货1!$A231:$G474,7,0)</f>
        <v>深圳城建竹木塑胶制品有限公司</v>
      </c>
      <c r="M231" s="237" t="str">
        <f>VLOOKUP($A231,订货1!$A231:$B474,2,0)</f>
        <v>色拉架（单价低）</v>
      </c>
      <c r="N231" s="72">
        <f t="shared" si="26"/>
        <v>45978</v>
      </c>
      <c r="O231" s="49" t="str">
        <f>VLOOKUP($A231,订货1!$A231:$C474,3,0)</f>
        <v>常温</v>
      </c>
      <c r="P231" s="44" t="str">
        <f>VLOOKUP($A231,订货1!$A231:$E474,5,0)</f>
        <v>58个</v>
      </c>
      <c r="Q231" s="49" t="str">
        <f>VLOOKUP($A231,订货1!$A231:$F474,6,0)</f>
        <v>箱</v>
      </c>
      <c r="R231" s="167">
        <f t="shared" ca="1" si="23"/>
        <v>0</v>
      </c>
      <c r="S231" s="105" t="s">
        <v>199</v>
      </c>
      <c r="T231" s="85">
        <f ca="1">SUMIF(预估营业额3!$B$3:$B$39,"&gt;="&amp;$H$2,预估营业额3!$E$3:$E$39)-SUMIF(预估营业额3!$B$3:$B$39,"&gt;"&amp;N231,预估营业额3!$E$3:$E$39)</f>
        <v>0</v>
      </c>
      <c r="U231" s="219">
        <v>0</v>
      </c>
      <c r="V231" s="168">
        <v>1</v>
      </c>
      <c r="W231" s="182">
        <f t="shared" ca="1" si="24"/>
        <v>0</v>
      </c>
      <c r="X231" s="214">
        <v>0</v>
      </c>
      <c r="Y231" s="62">
        <f t="shared" si="25"/>
        <v>0</v>
      </c>
      <c r="Z231" s="54"/>
      <c r="AA231" s="54"/>
      <c r="AB231" s="222"/>
      <c r="AC231" s="222"/>
      <c r="AD231" s="222"/>
      <c r="AE231" s="222"/>
      <c r="AF231" s="222"/>
      <c r="AG231" s="222"/>
      <c r="AH231" s="222"/>
      <c r="AI231" s="222"/>
      <c r="AJ231" s="222"/>
      <c r="AK231" s="222"/>
      <c r="AL231" s="222"/>
      <c r="AM231" s="222"/>
      <c r="AN231" s="222"/>
      <c r="AO231" s="222"/>
      <c r="AP231" s="222"/>
      <c r="AQ231" s="222"/>
      <c r="AR231" s="222"/>
      <c r="AS231" s="222"/>
      <c r="AT231" s="222"/>
      <c r="AU231" s="222"/>
      <c r="AV231" s="222"/>
      <c r="AW231" s="222"/>
      <c r="AX231" s="222"/>
      <c r="AY231" s="222"/>
      <c r="AZ231" s="222"/>
      <c r="BA231" s="222"/>
      <c r="BB231" s="222"/>
      <c r="BC231" s="222"/>
      <c r="BD231" s="222"/>
      <c r="BE231" s="222"/>
      <c r="BF231" s="222"/>
      <c r="BG231" s="169" t="str">
        <f>VLOOKUP($A231,订货1!$A231:$I474,9,0)</f>
        <v>由仓库</v>
      </c>
      <c r="BH231" s="47" t="str">
        <f>VLOOKUP($A231,订货1!$A231:$H474,8,0)</f>
        <v>深圳城建竹木塑胶制品有限公司</v>
      </c>
    </row>
    <row r="232" spans="1:60" ht="21" hidden="1" customHeight="1">
      <c r="A232" s="67">
        <v>992010</v>
      </c>
      <c r="B232" s="68" t="s">
        <v>238</v>
      </c>
      <c r="C232" s="70" t="s">
        <v>175</v>
      </c>
      <c r="D232" s="68"/>
      <c r="E232" s="68" t="s">
        <v>270</v>
      </c>
      <c r="F232" s="68" t="s">
        <v>18</v>
      </c>
      <c r="G232" s="68" t="s">
        <v>183</v>
      </c>
      <c r="H232" s="68" t="s">
        <v>183</v>
      </c>
      <c r="I232" s="71" t="s">
        <v>197</v>
      </c>
      <c r="J232" s="68" t="s">
        <v>705</v>
      </c>
      <c r="K232" s="236">
        <f>VLOOKUP($A232,订货1!$A232:$A475,1,0)</f>
        <v>992010</v>
      </c>
      <c r="L232" s="245" t="str">
        <f>VLOOKUP($A232,订货1!$A232:$G475,7,0)</f>
        <v>深圳城建竹木塑胶制品有限公司</v>
      </c>
      <c r="M232" s="237" t="str">
        <f>VLOOKUP($A232,订货1!$A232:$B475,2,0)</f>
        <v>色拉架（单价高）</v>
      </c>
      <c r="N232" s="72">
        <f t="shared" si="26"/>
        <v>45978</v>
      </c>
      <c r="O232" s="49" t="str">
        <f>VLOOKUP($A232,订货1!$A232:$C475,3,0)</f>
        <v>常温</v>
      </c>
      <c r="P232" s="44" t="str">
        <f>VLOOKUP($A232,订货1!$A232:$E475,5,0)</f>
        <v>58个</v>
      </c>
      <c r="Q232" s="49" t="str">
        <f>VLOOKUP($A232,订货1!$A232:$F475,6,0)</f>
        <v>箱</v>
      </c>
      <c r="R232" s="167">
        <f t="shared" ca="1" si="23"/>
        <v>0</v>
      </c>
      <c r="S232" s="105" t="s">
        <v>199</v>
      </c>
      <c r="T232" s="85">
        <f ca="1">SUMIF(预估营业额3!$B$3:$B$39,"&gt;="&amp;$H$2,预估营业额3!$E$3:$E$39)-SUMIF(预估营业额3!$B$3:$B$39,"&gt;"&amp;N232,预估营业额3!$E$3:$E$39)</f>
        <v>0</v>
      </c>
      <c r="U232" s="219">
        <v>0</v>
      </c>
      <c r="V232" s="168">
        <v>1</v>
      </c>
      <c r="W232" s="182">
        <f t="shared" ca="1" si="24"/>
        <v>0</v>
      </c>
      <c r="X232" s="214">
        <v>0</v>
      </c>
      <c r="Y232" s="62">
        <f t="shared" si="25"/>
        <v>0</v>
      </c>
      <c r="Z232" s="54"/>
      <c r="AA232" s="54"/>
      <c r="AB232" s="222"/>
      <c r="AC232" s="222"/>
      <c r="AD232" s="222"/>
      <c r="AE232" s="222"/>
      <c r="AF232" s="222"/>
      <c r="AG232" s="222"/>
      <c r="AH232" s="222"/>
      <c r="AI232" s="222"/>
      <c r="AJ232" s="222"/>
      <c r="AK232" s="222"/>
      <c r="AL232" s="222"/>
      <c r="AM232" s="222"/>
      <c r="AN232" s="222"/>
      <c r="AO232" s="222"/>
      <c r="AP232" s="222"/>
      <c r="AQ232" s="222"/>
      <c r="AR232" s="222"/>
      <c r="AS232" s="222"/>
      <c r="AT232" s="222"/>
      <c r="AU232" s="222"/>
      <c r="AV232" s="222"/>
      <c r="AW232" s="222"/>
      <c r="AX232" s="222"/>
      <c r="AY232" s="222"/>
      <c r="AZ232" s="222"/>
      <c r="BA232" s="222"/>
      <c r="BB232" s="222"/>
      <c r="BC232" s="222"/>
      <c r="BD232" s="222"/>
      <c r="BE232" s="222"/>
      <c r="BF232" s="222"/>
      <c r="BG232" s="169" t="str">
        <f>VLOOKUP($A232,订货1!$A232:$I475,9,0)</f>
        <v>由仓库</v>
      </c>
      <c r="BH232" s="47" t="str">
        <f>VLOOKUP($A232,订货1!$A232:$H475,8,0)</f>
        <v>深圳城建竹木塑胶制品有限公司</v>
      </c>
    </row>
    <row r="233" spans="1:60" ht="21" hidden="1" customHeight="1">
      <c r="A233" s="67">
        <v>992015</v>
      </c>
      <c r="B233" s="68" t="s">
        <v>393</v>
      </c>
      <c r="C233" s="70" t="s">
        <v>175</v>
      </c>
      <c r="D233" s="68"/>
      <c r="E233" s="68"/>
      <c r="F233" s="68" t="s">
        <v>18</v>
      </c>
      <c r="G233" s="68" t="s">
        <v>183</v>
      </c>
      <c r="H233" s="68" t="s">
        <v>183</v>
      </c>
      <c r="I233" s="71" t="s">
        <v>197</v>
      </c>
      <c r="J233" s="68" t="s">
        <v>706</v>
      </c>
      <c r="K233" s="236">
        <f>VLOOKUP($A233,订货1!$A233:$A476,1,0)</f>
        <v>992015</v>
      </c>
      <c r="L233" s="245" t="str">
        <f>VLOOKUP($A233,订货1!$A233:$G476,7,0)</f>
        <v>深圳城建竹木塑胶制品有限公司</v>
      </c>
      <c r="M233" s="237" t="str">
        <f>VLOOKUP($A233,订货1!$A233:$B476,2,0)</f>
        <v>圆碟（白色）</v>
      </c>
      <c r="N233" s="72">
        <f t="shared" si="26"/>
        <v>45978</v>
      </c>
      <c r="O233" s="49" t="str">
        <f>VLOOKUP($A233,订货1!$A233:$C476,3,0)</f>
        <v>常温</v>
      </c>
      <c r="P233" s="44">
        <f>VLOOKUP($A233,订货1!$A233:$E476,5,0)</f>
        <v>0</v>
      </c>
      <c r="Q233" s="49" t="str">
        <f>VLOOKUP($A233,订货1!$A233:$F476,6,0)</f>
        <v>箱</v>
      </c>
      <c r="R233" s="167">
        <f t="shared" ca="1" si="23"/>
        <v>0</v>
      </c>
      <c r="S233" s="105" t="s">
        <v>199</v>
      </c>
      <c r="T233" s="85">
        <f ca="1">SUMIF(预估营业额3!$B$3:$B$39,"&gt;="&amp;$H$2,预估营业额3!$E$3:$E$39)-SUMIF(预估营业额3!$B$3:$B$39,"&gt;"&amp;N233,预估营业额3!$E$3:$E$39)</f>
        <v>0</v>
      </c>
      <c r="U233" s="219">
        <v>0</v>
      </c>
      <c r="V233" s="168">
        <v>1</v>
      </c>
      <c r="W233" s="182">
        <f t="shared" ca="1" si="24"/>
        <v>0</v>
      </c>
      <c r="X233" s="214">
        <v>0</v>
      </c>
      <c r="Y233" s="62">
        <f t="shared" si="25"/>
        <v>0</v>
      </c>
      <c r="Z233" s="54"/>
      <c r="AA233" s="54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  <c r="AM233" s="222"/>
      <c r="AN233" s="222"/>
      <c r="AO233" s="222"/>
      <c r="AP233" s="222"/>
      <c r="AQ233" s="222"/>
      <c r="AR233" s="222"/>
      <c r="AS233" s="222"/>
      <c r="AT233" s="222"/>
      <c r="AU233" s="222"/>
      <c r="AV233" s="222"/>
      <c r="AW233" s="222"/>
      <c r="AX233" s="222"/>
      <c r="AY233" s="222"/>
      <c r="AZ233" s="222"/>
      <c r="BA233" s="222"/>
      <c r="BB233" s="222"/>
      <c r="BC233" s="222"/>
      <c r="BD233" s="222"/>
      <c r="BE233" s="222"/>
      <c r="BF233" s="222"/>
      <c r="BG233" s="169" t="str">
        <f>VLOOKUP($A233,订货1!$A233:$I476,9,0)</f>
        <v>由仓库</v>
      </c>
      <c r="BH233" s="47" t="str">
        <f>VLOOKUP($A233,订货1!$A233:$H476,8,0)</f>
        <v>深圳城建竹木塑胶制品有限公司</v>
      </c>
    </row>
    <row r="234" spans="1:60" ht="21" hidden="1" customHeight="1">
      <c r="A234" s="67">
        <v>992035</v>
      </c>
      <c r="B234" s="68" t="s">
        <v>823</v>
      </c>
      <c r="C234" s="70" t="s">
        <v>175</v>
      </c>
      <c r="D234" s="68"/>
      <c r="E234" s="68" t="s">
        <v>824</v>
      </c>
      <c r="F234" s="68" t="s">
        <v>27</v>
      </c>
      <c r="G234" s="68"/>
      <c r="H234" s="68"/>
      <c r="I234" s="71" t="s">
        <v>197</v>
      </c>
      <c r="J234" s="68" t="s">
        <v>707</v>
      </c>
      <c r="K234" s="236">
        <f>VLOOKUP($A234,订货1!$A234:$A477,1,0)</f>
        <v>992035</v>
      </c>
      <c r="L234" s="245">
        <f>VLOOKUP($A234,订货1!$A234:$G477,7,0)</f>
        <v>0</v>
      </c>
      <c r="M234" s="237" t="str">
        <f>VLOOKUP($A234,订货1!$A234:$B477,2,0)</f>
        <v>酱料碟</v>
      </c>
      <c r="N234" s="72">
        <f t="shared" si="26"/>
        <v>45978</v>
      </c>
      <c r="O234" s="49" t="str">
        <f>VLOOKUP($A234,订货1!$A234:$C477,3,0)</f>
        <v>常温</v>
      </c>
      <c r="P234" s="44" t="str">
        <f>VLOOKUP($A234,订货1!$A234:$E477,5,0)</f>
        <v>66个</v>
      </c>
      <c r="Q234" s="49" t="str">
        <f>VLOOKUP($A234,订货1!$A234:$F477,6,0)</f>
        <v>盒</v>
      </c>
      <c r="R234" s="167">
        <f t="shared" ca="1" si="23"/>
        <v>0</v>
      </c>
      <c r="S234" s="105" t="s">
        <v>199</v>
      </c>
      <c r="T234" s="85">
        <f ca="1">SUMIF(预估营业额3!$B$3:$B$39,"&gt;="&amp;$H$2,预估营业额3!$E$3:$E$39)-SUMIF(预估营业额3!$B$3:$B$39,"&gt;"&amp;N234,预估营业额3!$E$3:$E$39)</f>
        <v>0</v>
      </c>
      <c r="U234" s="219">
        <v>0</v>
      </c>
      <c r="V234" s="168">
        <v>1</v>
      </c>
      <c r="W234" s="182">
        <f t="shared" ca="1" si="24"/>
        <v>0</v>
      </c>
      <c r="X234" s="214">
        <v>0</v>
      </c>
      <c r="Y234" s="62">
        <f t="shared" si="25"/>
        <v>0</v>
      </c>
      <c r="Z234" s="54"/>
      <c r="AA234" s="54"/>
      <c r="AB234" s="222"/>
      <c r="AC234" s="222"/>
      <c r="AD234" s="222"/>
      <c r="AE234" s="222"/>
      <c r="AF234" s="222"/>
      <c r="AG234" s="222"/>
      <c r="AH234" s="222"/>
      <c r="AI234" s="222"/>
      <c r="AJ234" s="222"/>
      <c r="AK234" s="222"/>
      <c r="AL234" s="222"/>
      <c r="AM234" s="222"/>
      <c r="AN234" s="222"/>
      <c r="AO234" s="222"/>
      <c r="AP234" s="222"/>
      <c r="AQ234" s="222"/>
      <c r="AR234" s="222"/>
      <c r="AS234" s="222"/>
      <c r="AT234" s="222"/>
      <c r="AU234" s="222"/>
      <c r="AV234" s="222"/>
      <c r="AW234" s="222"/>
      <c r="AX234" s="222"/>
      <c r="AY234" s="222"/>
      <c r="AZ234" s="222"/>
      <c r="BA234" s="222"/>
      <c r="BB234" s="222"/>
      <c r="BC234" s="222"/>
      <c r="BD234" s="222"/>
      <c r="BE234" s="222"/>
      <c r="BF234" s="222"/>
      <c r="BG234" s="169" t="str">
        <f>VLOOKUP($A234,订货1!$A234:$I477,9,0)</f>
        <v>由仓库</v>
      </c>
      <c r="BH234" s="47">
        <f>VLOOKUP($A234,订货1!$A234:$H477,8,0)</f>
        <v>0</v>
      </c>
    </row>
    <row r="235" spans="1:60" ht="15.6" customHeight="1">
      <c r="A235" s="67">
        <v>992019</v>
      </c>
      <c r="B235" s="265" t="s">
        <v>303</v>
      </c>
      <c r="C235" s="70" t="s">
        <v>175</v>
      </c>
      <c r="D235" s="68"/>
      <c r="E235" s="68" t="s">
        <v>309</v>
      </c>
      <c r="F235" s="68" t="s">
        <v>18</v>
      </c>
      <c r="G235" s="68" t="s">
        <v>312</v>
      </c>
      <c r="H235" s="68" t="s">
        <v>312</v>
      </c>
      <c r="I235" s="71" t="s">
        <v>197</v>
      </c>
      <c r="J235" s="68" t="s">
        <v>708</v>
      </c>
      <c r="K235" s="236">
        <f>VLOOKUP($A235,订货1!$A235:$A478,1,0)</f>
        <v>992019</v>
      </c>
      <c r="L235" s="245" t="str">
        <f>VLOOKUP($A235,订货1!$A235:$G478,7,0)</f>
        <v>上海联球印刷有限公司</v>
      </c>
      <c r="M235" s="237" t="str">
        <f>VLOOKUP($A235,订货1!$A235:$B478,2,0)</f>
        <v>萨莉亚logo牛皮纸拎袋</v>
      </c>
      <c r="N235" s="72">
        <f t="shared" si="26"/>
        <v>45978</v>
      </c>
      <c r="O235" s="49" t="str">
        <f>VLOOKUP($A235,订货1!$A235:$C478,3,0)</f>
        <v>常温</v>
      </c>
      <c r="P235" s="44" t="str">
        <f>VLOOKUP($A235,订货1!$A235:$E478,5,0)</f>
        <v>200个/箱</v>
      </c>
      <c r="Q235" s="49" t="str">
        <f>VLOOKUP($A235,订货1!$A235:$F478,6,0)</f>
        <v>箱</v>
      </c>
      <c r="R235" s="167">
        <f t="shared" ref="R235" ca="1" si="27">IF(ROUNDUP(W235-Y235-X235,0)&gt;=0,ROUNDUP((W235-Y235-X235),0),0)</f>
        <v>0</v>
      </c>
      <c r="S235" s="105" t="s">
        <v>199</v>
      </c>
      <c r="T235" s="85">
        <f ca="1">SUMIF(预估营业额3!$B$3:$B$39,"&gt;="&amp;$H$2,预估营业额3!$E$3:$E$39)-SUMIF(预估营业额3!$B$3:$B$39,"&gt;"&amp;N235,预估营业额3!$E$3:$E$39)</f>
        <v>0</v>
      </c>
      <c r="U235" s="219">
        <v>1.2580550468974964E-2</v>
      </c>
      <c r="V235" s="168">
        <v>1</v>
      </c>
      <c r="W235" s="182">
        <f t="shared" ref="W235" ca="1" si="28">T235*U235*V235</f>
        <v>0</v>
      </c>
      <c r="X235" s="214">
        <v>1</v>
      </c>
      <c r="Y235" s="62">
        <f t="shared" ref="Y235" si="29">Z235+AA235</f>
        <v>0</v>
      </c>
      <c r="Z235" s="54"/>
      <c r="AA235" s="54"/>
      <c r="AB235" s="222">
        <v>1</v>
      </c>
      <c r="AC235" s="222"/>
      <c r="AD235" s="222"/>
      <c r="AE235" s="222"/>
      <c r="AF235" s="222"/>
      <c r="AG235" s="222"/>
      <c r="AH235" s="222"/>
      <c r="AI235" s="222"/>
      <c r="AJ235" s="222"/>
      <c r="AK235" s="222"/>
      <c r="AL235" s="222"/>
      <c r="AM235" s="222"/>
      <c r="AN235" s="222"/>
      <c r="AO235" s="222"/>
      <c r="AP235" s="222"/>
      <c r="AQ235" s="222"/>
      <c r="AR235" s="222"/>
      <c r="AS235" s="222"/>
      <c r="AT235" s="222"/>
      <c r="AU235" s="222"/>
      <c r="AV235" s="222"/>
      <c r="AW235" s="222"/>
      <c r="AX235" s="222"/>
      <c r="AY235" s="222"/>
      <c r="AZ235" s="222"/>
      <c r="BA235" s="222"/>
      <c r="BB235" s="222"/>
      <c r="BC235" s="222"/>
      <c r="BD235" s="222"/>
      <c r="BE235" s="222"/>
      <c r="BF235" s="222"/>
      <c r="BG235" s="169" t="str">
        <f>VLOOKUP($A235,订货1!$A235:$I478,9,0)</f>
        <v>由仓库</v>
      </c>
      <c r="BH235" s="47" t="str">
        <f>VLOOKUP($A235,订货1!$A235:$H478,8,0)</f>
        <v>上海联球印刷有限公司</v>
      </c>
    </row>
    <row r="236" spans="1:60" ht="15.75" customHeight="1">
      <c r="A236" s="67">
        <v>992020</v>
      </c>
      <c r="B236" s="68" t="s">
        <v>304</v>
      </c>
      <c r="C236" s="70" t="s">
        <v>175</v>
      </c>
      <c r="D236" s="68"/>
      <c r="E236" s="68" t="s">
        <v>469</v>
      </c>
      <c r="F236" s="68" t="s">
        <v>18</v>
      </c>
      <c r="G236" s="68" t="s">
        <v>313</v>
      </c>
      <c r="H236" s="68" t="s">
        <v>313</v>
      </c>
      <c r="I236" s="71" t="s">
        <v>197</v>
      </c>
      <c r="J236" s="68" t="s">
        <v>709</v>
      </c>
      <c r="K236" s="236">
        <f>VLOOKUP($A236,订货1!$A236:$A479,1,0)</f>
        <v>992020</v>
      </c>
      <c r="L236" s="245" t="str">
        <f>VLOOKUP($A236,订货1!$A236:$G479,7,0)</f>
        <v>上海汤浦印务有限公司</v>
      </c>
      <c r="M236" s="237" t="str">
        <f>VLOOKUP($A236,订货1!$A236:$B479,2,0)</f>
        <v>萨莉亚logo匹萨打包盒</v>
      </c>
      <c r="N236" s="72">
        <f t="shared" si="26"/>
        <v>45978</v>
      </c>
      <c r="O236" s="49" t="str">
        <f>VLOOKUP($A236,订货1!$A236:$C479,3,0)</f>
        <v>常温</v>
      </c>
      <c r="P236" s="44" t="str">
        <f>VLOOKUP($A236,订货1!$A236:$E479,5,0)</f>
        <v>150个/箱</v>
      </c>
      <c r="Q236" s="49" t="str">
        <f>VLOOKUP($A236,订货1!$A236:$F479,6,0)</f>
        <v>箱</v>
      </c>
      <c r="R236" s="167">
        <f t="shared" ref="R236:R240" ca="1" si="30">IF(ROUNDUP(W236-Y236-X236,0)&gt;=0,ROUNDUP((W236-Y236-X236),0),0)</f>
        <v>0</v>
      </c>
      <c r="S236" s="105" t="s">
        <v>199</v>
      </c>
      <c r="T236" s="85">
        <f ca="1">SUMIF(预估营业额3!$B$3:$B$39,"&gt;="&amp;$H$2,预估营业额3!$E$3:$E$39)-SUMIF(预估营业额3!$B$3:$B$39,"&gt;"&amp;N236,预估营业额3!$E$3:$E$39)</f>
        <v>0</v>
      </c>
      <c r="U236" s="219">
        <v>2.5161100937949925E-2</v>
      </c>
      <c r="V236" s="168">
        <v>1</v>
      </c>
      <c r="W236" s="182">
        <f t="shared" ref="W236:W240" ca="1" si="31">T236*U236*V236</f>
        <v>0</v>
      </c>
      <c r="X236" s="214">
        <v>1</v>
      </c>
      <c r="Y236" s="62">
        <f t="shared" ref="Y236:Y240" si="32">Z236+AA236</f>
        <v>0</v>
      </c>
      <c r="Z236" s="54"/>
      <c r="AA236" s="54"/>
      <c r="AB236" s="222"/>
      <c r="AC236" s="222"/>
      <c r="AD236" s="222"/>
      <c r="AE236" s="222"/>
      <c r="AF236" s="222"/>
      <c r="AG236" s="222"/>
      <c r="AH236" s="222"/>
      <c r="AI236" s="222"/>
      <c r="AJ236" s="222"/>
      <c r="AK236" s="222"/>
      <c r="AL236" s="222"/>
      <c r="AM236" s="222"/>
      <c r="AN236" s="222"/>
      <c r="AO236" s="222"/>
      <c r="AP236" s="222"/>
      <c r="AQ236" s="222"/>
      <c r="AR236" s="222"/>
      <c r="AS236" s="222"/>
      <c r="AT236" s="222"/>
      <c r="AU236" s="222"/>
      <c r="AV236" s="222"/>
      <c r="AW236" s="222"/>
      <c r="AX236" s="222"/>
      <c r="AY236" s="222"/>
      <c r="AZ236" s="222"/>
      <c r="BA236" s="222"/>
      <c r="BB236" s="222"/>
      <c r="BC236" s="222"/>
      <c r="BD236" s="222"/>
      <c r="BE236" s="222"/>
      <c r="BF236" s="222"/>
      <c r="BG236" s="169"/>
      <c r="BH236" s="47"/>
    </row>
    <row r="237" spans="1:60" ht="15.75" customHeight="1">
      <c r="A237" s="67">
        <v>992021</v>
      </c>
      <c r="B237" s="68" t="s">
        <v>305</v>
      </c>
      <c r="C237" s="70" t="s">
        <v>175</v>
      </c>
      <c r="D237" s="68"/>
      <c r="E237" s="68" t="s">
        <v>309</v>
      </c>
      <c r="F237" s="68" t="s">
        <v>18</v>
      </c>
      <c r="G237" s="68" t="s">
        <v>314</v>
      </c>
      <c r="H237" s="68" t="s">
        <v>771</v>
      </c>
      <c r="I237" s="71" t="s">
        <v>197</v>
      </c>
      <c r="J237" s="68" t="s">
        <v>710</v>
      </c>
      <c r="K237" s="236">
        <f>VLOOKUP($A237,订货1!$A237:$A480,1,0)</f>
        <v>992021</v>
      </c>
      <c r="L237" s="245" t="str">
        <f>VLOOKUP($A237,订货1!$A237:$G480,7,0)</f>
        <v>上海特硕包装制品有限公司</v>
      </c>
      <c r="M237" s="237" t="str">
        <f>VLOOKUP($A237,订货1!$A237:$B480,2,0)</f>
        <v>萨莉亚logo椭圆打包盒</v>
      </c>
      <c r="N237" s="72">
        <f t="shared" si="26"/>
        <v>45978</v>
      </c>
      <c r="O237" s="49" t="str">
        <f>VLOOKUP($A237,订货1!$A237:$C480,3,0)</f>
        <v>常温</v>
      </c>
      <c r="P237" s="44" t="str">
        <f>VLOOKUP($A237,订货1!$A237:$E480,5,0)</f>
        <v>200个/箱</v>
      </c>
      <c r="Q237" s="49" t="str">
        <f>VLOOKUP($A237,订货1!$A237:$F480,6,0)</f>
        <v>箱</v>
      </c>
      <c r="R237" s="167">
        <f t="shared" ca="1" si="30"/>
        <v>0</v>
      </c>
      <c r="S237" s="105" t="s">
        <v>199</v>
      </c>
      <c r="T237" s="85">
        <f ca="1">SUMIF(预估营业额3!$B$3:$B$39,"&gt;="&amp;$H$2,预估营业额3!$E$3:$E$39)-SUMIF(预估营业额3!$B$3:$B$39,"&gt;"&amp;N237,预估营业额3!$E$3:$E$39)</f>
        <v>0</v>
      </c>
      <c r="U237" s="219">
        <v>6.2902752344874815E-2</v>
      </c>
      <c r="V237" s="168">
        <v>1</v>
      </c>
      <c r="W237" s="182">
        <f t="shared" ca="1" si="31"/>
        <v>0</v>
      </c>
      <c r="X237" s="214">
        <v>1</v>
      </c>
      <c r="Y237" s="62">
        <f t="shared" si="32"/>
        <v>0</v>
      </c>
      <c r="Z237" s="54"/>
      <c r="AA237" s="54"/>
      <c r="AB237" s="222">
        <v>1</v>
      </c>
      <c r="AC237" s="222"/>
      <c r="AD237" s="222"/>
      <c r="AE237" s="222"/>
      <c r="AF237" s="222">
        <v>1</v>
      </c>
      <c r="AG237" s="222"/>
      <c r="AH237" s="222"/>
      <c r="AI237" s="222"/>
      <c r="AJ237" s="222"/>
      <c r="AK237" s="222"/>
      <c r="AL237" s="222">
        <v>1</v>
      </c>
      <c r="AM237" s="222"/>
      <c r="AN237" s="222"/>
      <c r="AO237" s="222"/>
      <c r="AP237" s="222"/>
      <c r="AQ237" s="222"/>
      <c r="AR237" s="222"/>
      <c r="AS237" s="222"/>
      <c r="AT237" s="222"/>
      <c r="AU237" s="222"/>
      <c r="AV237" s="222"/>
      <c r="AW237" s="222"/>
      <c r="AX237" s="222"/>
      <c r="AY237" s="222"/>
      <c r="AZ237" s="222"/>
      <c r="BA237" s="222"/>
      <c r="BB237" s="222"/>
      <c r="BC237" s="222"/>
      <c r="BD237" s="222"/>
      <c r="BE237" s="222"/>
      <c r="BF237" s="222"/>
      <c r="BG237" s="169"/>
      <c r="BH237" s="47"/>
    </row>
    <row r="238" spans="1:60" ht="15.75" customHeight="1">
      <c r="A238" s="67">
        <v>992022</v>
      </c>
      <c r="B238" s="68" t="s">
        <v>306</v>
      </c>
      <c r="C238" s="70" t="s">
        <v>175</v>
      </c>
      <c r="D238" s="68"/>
      <c r="E238" s="68" t="s">
        <v>311</v>
      </c>
      <c r="F238" s="68" t="s">
        <v>18</v>
      </c>
      <c r="G238" s="68" t="s">
        <v>314</v>
      </c>
      <c r="H238" s="68" t="s">
        <v>771</v>
      </c>
      <c r="I238" s="71" t="s">
        <v>197</v>
      </c>
      <c r="J238" s="68" t="s">
        <v>711</v>
      </c>
      <c r="K238" s="236">
        <f>VLOOKUP($A238,订货1!$A238:$A479,1,0)</f>
        <v>992022</v>
      </c>
      <c r="L238" s="245" t="str">
        <f>VLOOKUP($A238,订货1!$A238:$G479,7,0)</f>
        <v>上海特硕包装制品有限公司</v>
      </c>
      <c r="M238" s="237" t="str">
        <f>VLOOKUP($A238,订货1!$A238:$B479,2,0)</f>
        <v>锡纸打包盒</v>
      </c>
      <c r="N238" s="72">
        <f t="shared" si="26"/>
        <v>45978</v>
      </c>
      <c r="O238" s="49" t="str">
        <f>VLOOKUP($A238,订货1!$A238:$C481,3,0)</f>
        <v>常温</v>
      </c>
      <c r="P238" s="44" t="str">
        <f>VLOOKUP($A238,订货1!$A238:$E481,5,0)</f>
        <v>1000个/箱</v>
      </c>
      <c r="Q238" s="49" t="str">
        <f>VLOOKUP($A238,订货1!$A238:$F481,6,0)</f>
        <v>箱</v>
      </c>
      <c r="R238" s="167">
        <f t="shared" ca="1" si="30"/>
        <v>0</v>
      </c>
      <c r="S238" s="105" t="s">
        <v>199</v>
      </c>
      <c r="T238" s="85">
        <f ca="1">SUMIF(预估营业额3!$B$3:$B$39,"&gt;="&amp;$H$2,预估营业额3!$E$3:$E$39)-SUMIF(预估营业额3!$B$3:$B$39,"&gt;"&amp;N238,预估营业额3!$E$3:$E$39)</f>
        <v>0</v>
      </c>
      <c r="U238" s="219">
        <v>2.0967584114958273E-2</v>
      </c>
      <c r="V238" s="168">
        <v>1</v>
      </c>
      <c r="W238" s="182">
        <f t="shared" ca="1" si="31"/>
        <v>0</v>
      </c>
      <c r="X238" s="214">
        <v>1</v>
      </c>
      <c r="Y238" s="62">
        <f t="shared" si="32"/>
        <v>0</v>
      </c>
      <c r="Z238" s="54"/>
      <c r="AA238" s="54"/>
      <c r="AB238" s="222"/>
      <c r="AC238" s="222"/>
      <c r="AD238" s="222"/>
      <c r="AE238" s="222"/>
      <c r="AF238" s="222"/>
      <c r="AG238" s="222"/>
      <c r="AH238" s="222"/>
      <c r="AI238" s="222"/>
      <c r="AJ238" s="222"/>
      <c r="AK238" s="222"/>
      <c r="AL238" s="222"/>
      <c r="AM238" s="222"/>
      <c r="AN238" s="222"/>
      <c r="AO238" s="222"/>
      <c r="AP238" s="222"/>
      <c r="AQ238" s="222"/>
      <c r="AR238" s="222"/>
      <c r="AS238" s="222"/>
      <c r="AT238" s="222"/>
      <c r="AU238" s="222"/>
      <c r="AV238" s="222"/>
      <c r="AW238" s="222"/>
      <c r="AX238" s="222"/>
      <c r="AY238" s="222"/>
      <c r="AZ238" s="222"/>
      <c r="BA238" s="222"/>
      <c r="BB238" s="222"/>
      <c r="BC238" s="222"/>
      <c r="BD238" s="222"/>
      <c r="BE238" s="222"/>
      <c r="BF238" s="222"/>
      <c r="BG238" s="169" t="str">
        <f>VLOOKUP($A238,订货1!$A238:$I479,9,0)</f>
        <v>由仓库</v>
      </c>
      <c r="BH238" s="47" t="str">
        <f>VLOOKUP($A238,订货1!$A238:$H479,8,0)</f>
        <v>苏州康宝塑胶有限公司</v>
      </c>
    </row>
    <row r="239" spans="1:60" ht="15.75" customHeight="1">
      <c r="A239" s="67">
        <v>992023</v>
      </c>
      <c r="B239" s="68" t="s">
        <v>307</v>
      </c>
      <c r="C239" s="70" t="s">
        <v>175</v>
      </c>
      <c r="D239" s="68"/>
      <c r="E239" s="68" t="s">
        <v>189</v>
      </c>
      <c r="F239" s="68" t="s">
        <v>18</v>
      </c>
      <c r="G239" s="68" t="s">
        <v>314</v>
      </c>
      <c r="H239" s="68" t="s">
        <v>771</v>
      </c>
      <c r="I239" s="71" t="s">
        <v>197</v>
      </c>
      <c r="J239" s="68" t="s">
        <v>712</v>
      </c>
      <c r="K239" s="236">
        <f>VLOOKUP($A239,订货1!$A239:$A480,1,0)</f>
        <v>992023</v>
      </c>
      <c r="L239" s="245" t="str">
        <f>VLOOKUP($A239,订货1!$A239:$G480,7,0)</f>
        <v>上海特硕包装制品有限公司</v>
      </c>
      <c r="M239" s="237" t="str">
        <f>VLOOKUP($A239,订货1!$A239:$B480,2,0)</f>
        <v>萨莉亚logo刀叉组</v>
      </c>
      <c r="N239" s="72">
        <f t="shared" si="26"/>
        <v>45978</v>
      </c>
      <c r="O239" s="49" t="str">
        <f>VLOOKUP($A239,订货1!$A239:$C482,3,0)</f>
        <v>常温</v>
      </c>
      <c r="P239" s="44" t="str">
        <f>VLOOKUP($A239,订货1!$A239:$E482,5,0)</f>
        <v>1000个/箱</v>
      </c>
      <c r="Q239" s="49" t="str">
        <f>VLOOKUP($A239,订货1!$A239:$F482,6,0)</f>
        <v>箱</v>
      </c>
      <c r="R239" s="167">
        <f t="shared" ca="1" si="30"/>
        <v>0</v>
      </c>
      <c r="S239" s="105" t="s">
        <v>199</v>
      </c>
      <c r="T239" s="85">
        <f ca="1">SUMIF(预估营业额3!$B$3:$B$39,"&gt;="&amp;$H$2,预估营业额3!$E$3:$E$39)-SUMIF(预估营业额3!$B$3:$B$39,"&gt;"&amp;N239,预估营业额3!$E$3:$E$39)</f>
        <v>0</v>
      </c>
      <c r="U239" s="219">
        <v>1.1182711527977746E-2</v>
      </c>
      <c r="V239" s="168">
        <v>1</v>
      </c>
      <c r="W239" s="182">
        <f t="shared" ca="1" si="31"/>
        <v>0</v>
      </c>
      <c r="X239" s="214">
        <v>1</v>
      </c>
      <c r="Y239" s="62">
        <f t="shared" si="32"/>
        <v>0</v>
      </c>
      <c r="Z239" s="54"/>
      <c r="AA239" s="54"/>
      <c r="AB239" s="222"/>
      <c r="AC239" s="222"/>
      <c r="AD239" s="222"/>
      <c r="AE239" s="222"/>
      <c r="AF239" s="222"/>
      <c r="AG239" s="222"/>
      <c r="AH239" s="222"/>
      <c r="AI239" s="222"/>
      <c r="AJ239" s="222"/>
      <c r="AK239" s="222"/>
      <c r="AL239" s="222"/>
      <c r="AM239" s="222"/>
      <c r="AN239" s="222"/>
      <c r="AO239" s="222"/>
      <c r="AP239" s="222"/>
      <c r="AQ239" s="222"/>
      <c r="AR239" s="222"/>
      <c r="AS239" s="222"/>
      <c r="AT239" s="222"/>
      <c r="AU239" s="222"/>
      <c r="AV239" s="222"/>
      <c r="AW239" s="222"/>
      <c r="AX239" s="222"/>
      <c r="AY239" s="222"/>
      <c r="AZ239" s="222"/>
      <c r="BA239" s="222"/>
      <c r="BB239" s="222"/>
      <c r="BC239" s="222"/>
      <c r="BD239" s="222"/>
      <c r="BE239" s="222"/>
      <c r="BF239" s="222"/>
      <c r="BG239" s="169" t="str">
        <f>VLOOKUP($A239,订货1!$A239:$I480,9,0)</f>
        <v>由仓库</v>
      </c>
      <c r="BH239" s="47" t="str">
        <f>VLOOKUP($A239,订货1!$A239:$H480,8,0)</f>
        <v>苏州康宝塑胶有限公司</v>
      </c>
    </row>
    <row r="240" spans="1:60" ht="15.75" customHeight="1">
      <c r="A240" s="67">
        <v>992024</v>
      </c>
      <c r="B240" s="68" t="s">
        <v>308</v>
      </c>
      <c r="C240" s="70" t="s">
        <v>175</v>
      </c>
      <c r="D240" s="68"/>
      <c r="E240" s="68" t="s">
        <v>310</v>
      </c>
      <c r="F240" s="68" t="s">
        <v>18</v>
      </c>
      <c r="G240" s="68" t="s">
        <v>315</v>
      </c>
      <c r="H240" s="68" t="s">
        <v>315</v>
      </c>
      <c r="I240" s="71" t="s">
        <v>197</v>
      </c>
      <c r="J240" s="68" t="s">
        <v>713</v>
      </c>
      <c r="K240" s="236">
        <f>VLOOKUP($A240,订货1!$A240:$A481,1,0)</f>
        <v>992024</v>
      </c>
      <c r="L240" s="245" t="str">
        <f>VLOOKUP($A240,订货1!$A240:$G481,7,0)</f>
        <v>上海加颂纸业有限公司</v>
      </c>
      <c r="M240" s="237" t="str">
        <f>VLOOKUP($A240,订货1!$A240:$B481,2,0)</f>
        <v>“幸福阳光”纸手帕</v>
      </c>
      <c r="N240" s="72">
        <f t="shared" si="26"/>
        <v>45978</v>
      </c>
      <c r="O240" s="49" t="str">
        <f>VLOOKUP($A240,订货1!$A240:$C483,3,0)</f>
        <v>常温</v>
      </c>
      <c r="P240" s="44" t="str">
        <f>VLOOKUP($A240,订货1!$A240:$E483,5,0)</f>
        <v>560个/箱</v>
      </c>
      <c r="Q240" s="49" t="str">
        <f>VLOOKUP($A240,订货1!$A240:$F483,6,0)</f>
        <v>箱</v>
      </c>
      <c r="R240" s="167">
        <f t="shared" ca="1" si="30"/>
        <v>0</v>
      </c>
      <c r="S240" s="105" t="s">
        <v>199</v>
      </c>
      <c r="T240" s="85">
        <f ca="1">SUMIF(预估营业额3!$B$3:$B$39,"&gt;="&amp;$H$2,预估营业额3!$E$3:$E$39)-SUMIF(预估营业额3!$B$3:$B$39,"&gt;"&amp;N240,预估营业额3!$E$3:$E$39)</f>
        <v>0</v>
      </c>
      <c r="U240" s="219">
        <v>3.6343812465927675E-2</v>
      </c>
      <c r="V240" s="168">
        <v>1</v>
      </c>
      <c r="W240" s="182">
        <f t="shared" ca="1" si="31"/>
        <v>0</v>
      </c>
      <c r="X240" s="214">
        <v>1</v>
      </c>
      <c r="Y240" s="62">
        <f t="shared" si="32"/>
        <v>0</v>
      </c>
      <c r="Z240" s="54"/>
      <c r="AA240" s="54"/>
      <c r="AB240" s="222"/>
      <c r="AC240" s="222"/>
      <c r="AD240" s="222"/>
      <c r="AE240" s="222"/>
      <c r="AF240" s="222"/>
      <c r="AG240" s="222"/>
      <c r="AH240" s="222"/>
      <c r="AI240" s="222"/>
      <c r="AJ240" s="222"/>
      <c r="AK240" s="222"/>
      <c r="AL240" s="222">
        <v>1</v>
      </c>
      <c r="AM240" s="222"/>
      <c r="AN240" s="222"/>
      <c r="AO240" s="222"/>
      <c r="AP240" s="222"/>
      <c r="AQ240" s="222"/>
      <c r="AR240" s="222"/>
      <c r="AS240" s="222"/>
      <c r="AT240" s="222"/>
      <c r="AU240" s="222"/>
      <c r="AV240" s="222"/>
      <c r="AW240" s="222"/>
      <c r="AX240" s="222"/>
      <c r="AY240" s="222"/>
      <c r="AZ240" s="222"/>
      <c r="BA240" s="222"/>
      <c r="BB240" s="222"/>
      <c r="BC240" s="222"/>
      <c r="BD240" s="222"/>
      <c r="BE240" s="222"/>
      <c r="BF240" s="222"/>
      <c r="BG240" s="169" t="str">
        <f>VLOOKUP($A240,订货1!$A240:$I481,9,0)</f>
        <v>由仓库</v>
      </c>
      <c r="BH240" s="47" t="str">
        <f>VLOOKUP($A240,订货1!$A240:$H481,8,0)</f>
        <v>上海加颂纸业有限公司</v>
      </c>
    </row>
    <row r="241" spans="1:60" ht="15.75" customHeight="1" thickBot="1">
      <c r="A241" s="73"/>
      <c r="B241" s="74"/>
      <c r="C241" s="75"/>
      <c r="D241" s="74"/>
      <c r="E241" s="74"/>
      <c r="F241" s="74"/>
      <c r="G241" s="74"/>
      <c r="H241" s="74"/>
      <c r="I241" s="76"/>
      <c r="J241" s="68" t="s">
        <v>714</v>
      </c>
      <c r="K241" s="240"/>
      <c r="L241" s="241"/>
      <c r="M241" s="241"/>
      <c r="N241" s="77"/>
      <c r="O241" s="78"/>
      <c r="P241" s="18"/>
      <c r="Q241" s="77"/>
      <c r="R241" s="170">
        <f t="shared" si="23"/>
        <v>0</v>
      </c>
      <c r="S241" s="106"/>
      <c r="T241" s="86"/>
      <c r="U241" s="220"/>
      <c r="V241" s="43"/>
      <c r="W241" s="86">
        <f t="shared" ref="W241" si="33">T241*U241*V241</f>
        <v>0</v>
      </c>
      <c r="X241" s="215"/>
      <c r="Y241" s="63">
        <f t="shared" ref="Y241" si="34">Z241+AA241</f>
        <v>0</v>
      </c>
      <c r="Z241" s="88"/>
      <c r="AA241" s="88"/>
      <c r="AB241" s="223"/>
      <c r="AC241" s="223"/>
      <c r="AD241" s="223"/>
      <c r="AE241" s="223"/>
      <c r="AF241" s="223"/>
      <c r="AG241" s="223"/>
      <c r="AH241" s="223"/>
      <c r="AI241" s="223"/>
      <c r="AJ241" s="223"/>
      <c r="AK241" s="223"/>
      <c r="AL241" s="223"/>
      <c r="AM241" s="223"/>
      <c r="AN241" s="223"/>
      <c r="AO241" s="223"/>
      <c r="AP241" s="223"/>
      <c r="AQ241" s="223"/>
      <c r="AR241" s="223"/>
      <c r="AS241" s="223"/>
      <c r="AT241" s="223"/>
      <c r="AU241" s="223"/>
      <c r="AV241" s="223"/>
      <c r="AW241" s="223"/>
      <c r="AX241" s="223"/>
      <c r="AY241" s="223"/>
      <c r="AZ241" s="223"/>
      <c r="BA241" s="223"/>
      <c r="BB241" s="223"/>
      <c r="BC241" s="223"/>
      <c r="BD241" s="223"/>
      <c r="BE241" s="223"/>
      <c r="BF241" s="223"/>
      <c r="BG241" s="45"/>
      <c r="BH241" s="46"/>
    </row>
    <row r="242" spans="1:60" ht="15.75" customHeight="1">
      <c r="J242" s="231" t="s">
        <v>715</v>
      </c>
      <c r="K242" s="16"/>
      <c r="L242" s="16"/>
      <c r="M242" s="16"/>
    </row>
    <row r="243" spans="1:60" ht="15.75" customHeight="1">
      <c r="J243" s="79" t="s">
        <v>716</v>
      </c>
      <c r="K243" s="16"/>
      <c r="L243" s="16"/>
      <c r="M243" s="16"/>
    </row>
    <row r="244" spans="1:60" ht="15.75" customHeight="1">
      <c r="J244" s="79" t="s">
        <v>717</v>
      </c>
      <c r="K244" s="16"/>
      <c r="L244" s="16"/>
      <c r="M244" s="16"/>
    </row>
    <row r="245" spans="1:60" ht="15.75" customHeight="1">
      <c r="J245" s="79" t="s">
        <v>718</v>
      </c>
      <c r="K245" s="16"/>
      <c r="L245" s="16"/>
      <c r="M245" s="16"/>
    </row>
    <row r="246" spans="1:60" ht="15.75" customHeight="1">
      <c r="J246" s="79" t="s">
        <v>719</v>
      </c>
      <c r="K246" s="16"/>
      <c r="L246" s="16"/>
      <c r="M246" s="16"/>
    </row>
    <row r="247" spans="1:60" ht="15.75" customHeight="1">
      <c r="J247" s="79" t="s">
        <v>720</v>
      </c>
      <c r="K247" s="16"/>
      <c r="L247" s="16"/>
      <c r="M247" s="16"/>
    </row>
    <row r="248" spans="1:60" ht="15.75" customHeight="1">
      <c r="J248" s="79" t="s">
        <v>721</v>
      </c>
      <c r="K248" s="16"/>
      <c r="L248" s="16"/>
      <c r="M248" s="16"/>
    </row>
    <row r="249" spans="1:60" ht="15.75" customHeight="1">
      <c r="J249" s="79" t="s">
        <v>722</v>
      </c>
      <c r="K249" s="16"/>
      <c r="L249" s="16"/>
      <c r="M249" s="16"/>
    </row>
    <row r="250" spans="1:60" ht="15.75" customHeight="1">
      <c r="J250" s="79" t="s">
        <v>723</v>
      </c>
    </row>
    <row r="251" spans="1:60" ht="15.75" customHeight="1">
      <c r="J251" s="79" t="s">
        <v>724</v>
      </c>
    </row>
    <row r="252" spans="1:60" ht="15.75" customHeight="1">
      <c r="J252" s="79" t="s">
        <v>725</v>
      </c>
    </row>
    <row r="253" spans="1:60" ht="15.75" customHeight="1">
      <c r="J253" s="79" t="s">
        <v>726</v>
      </c>
    </row>
    <row r="254" spans="1:60" ht="15.75" customHeight="1">
      <c r="J254" s="79" t="s">
        <v>727</v>
      </c>
    </row>
    <row r="255" spans="1:60" ht="15.75" customHeight="1">
      <c r="J255" s="79" t="s">
        <v>728</v>
      </c>
    </row>
    <row r="256" spans="1:60" ht="15.75" customHeight="1">
      <c r="J256" s="79" t="s">
        <v>729</v>
      </c>
    </row>
    <row r="257" spans="5:10" s="16" customFormat="1" ht="15.75" customHeight="1">
      <c r="J257" s="79" t="s">
        <v>730</v>
      </c>
    </row>
    <row r="258" spans="5:10" s="16" customFormat="1" ht="15.75" customHeight="1">
      <c r="J258" s="79" t="s">
        <v>731</v>
      </c>
    </row>
    <row r="259" spans="5:10" s="16" customFormat="1" ht="15.75" customHeight="1">
      <c r="J259" s="79" t="s">
        <v>874</v>
      </c>
    </row>
    <row r="260" spans="5:10" s="16" customFormat="1" ht="15.75" customHeight="1">
      <c r="J260" s="79" t="s">
        <v>875</v>
      </c>
    </row>
    <row r="261" spans="5:10" s="16" customFormat="1" ht="15.75" customHeight="1">
      <c r="J261" s="79" t="s">
        <v>876</v>
      </c>
    </row>
    <row r="262" spans="5:10" s="16" customFormat="1" ht="15.75" customHeight="1">
      <c r="J262" s="79" t="s">
        <v>877</v>
      </c>
    </row>
    <row r="263" spans="5:10" s="16" customFormat="1" ht="15.75" customHeight="1">
      <c r="J263" s="79" t="s">
        <v>878</v>
      </c>
    </row>
    <row r="264" spans="5:10" s="16" customFormat="1" ht="15.75" customHeight="1">
      <c r="J264" s="79" t="s">
        <v>879</v>
      </c>
    </row>
    <row r="265" spans="5:10" s="16" customFormat="1" ht="15.75" customHeight="1">
      <c r="J265" s="79" t="s">
        <v>880</v>
      </c>
    </row>
    <row r="266" spans="5:10" s="16" customFormat="1" ht="15.75" customHeight="1">
      <c r="J266" s="79" t="s">
        <v>881</v>
      </c>
    </row>
    <row r="267" spans="5:10" s="16" customFormat="1" ht="15.75" customHeight="1">
      <c r="J267" s="79" t="s">
        <v>882</v>
      </c>
    </row>
    <row r="268" spans="5:10" s="16" customFormat="1" ht="15.75" customHeight="1">
      <c r="J268" s="79" t="s">
        <v>883</v>
      </c>
    </row>
    <row r="269" spans="5:10" s="16" customFormat="1" ht="15.75" customHeight="1">
      <c r="E269" s="16" t="s">
        <v>839</v>
      </c>
      <c r="J269" s="79" t="s">
        <v>884</v>
      </c>
    </row>
    <row r="270" spans="5:10" s="16" customFormat="1" ht="15.75" customHeight="1">
      <c r="J270" s="79" t="s">
        <v>885</v>
      </c>
    </row>
    <row r="271" spans="5:10" s="16" customFormat="1" ht="15.75" customHeight="1">
      <c r="J271" s="79" t="s">
        <v>886</v>
      </c>
    </row>
    <row r="272" spans="5:10" s="16" customFormat="1" ht="15.75" customHeight="1">
      <c r="J272" s="79" t="s">
        <v>776</v>
      </c>
    </row>
    <row r="273" spans="10:12" s="16" customFormat="1" ht="15.75" customHeight="1">
      <c r="J273" s="79" t="s">
        <v>777</v>
      </c>
    </row>
    <row r="274" spans="10:12" s="16" customFormat="1" ht="15.75" customHeight="1">
      <c r="J274" s="79" t="s">
        <v>778</v>
      </c>
    </row>
    <row r="275" spans="10:12" s="16" customFormat="1" ht="15.75" customHeight="1">
      <c r="J275" s="79" t="s">
        <v>779</v>
      </c>
    </row>
    <row r="276" spans="10:12" s="16" customFormat="1" ht="15.75" customHeight="1">
      <c r="J276" s="79" t="s">
        <v>887</v>
      </c>
    </row>
    <row r="277" spans="10:12" s="16" customFormat="1" ht="15.75" customHeight="1">
      <c r="J277" s="79" t="s">
        <v>780</v>
      </c>
    </row>
    <row r="278" spans="10:12" s="16" customFormat="1" ht="15.75" customHeight="1">
      <c r="J278" s="79" t="s">
        <v>888</v>
      </c>
    </row>
    <row r="279" spans="10:12" s="16" customFormat="1" ht="15.75" customHeight="1">
      <c r="J279" s="79" t="s">
        <v>889</v>
      </c>
    </row>
    <row r="280" spans="10:12" s="16" customFormat="1" ht="15.75" customHeight="1">
      <c r="J280" s="79" t="s">
        <v>890</v>
      </c>
      <c r="L280" s="299"/>
    </row>
    <row r="281" spans="10:12" s="16" customFormat="1" ht="15.75" customHeight="1">
      <c r="J281" s="79" t="s">
        <v>891</v>
      </c>
    </row>
    <row r="282" spans="10:12" s="16" customFormat="1" ht="15.75" customHeight="1">
      <c r="J282" s="79" t="s">
        <v>892</v>
      </c>
    </row>
    <row r="283" spans="10:12" s="16" customFormat="1" ht="15.75" customHeight="1">
      <c r="J283" s="79" t="s">
        <v>893</v>
      </c>
    </row>
    <row r="284" spans="10:12" s="16" customFormat="1" ht="15.75" customHeight="1">
      <c r="J284" s="79" t="s">
        <v>894</v>
      </c>
    </row>
    <row r="285" spans="10:12" s="16" customFormat="1" ht="15.75" customHeight="1">
      <c r="J285" s="79" t="s">
        <v>895</v>
      </c>
    </row>
    <row r="286" spans="10:12" s="16" customFormat="1" ht="15.75" customHeight="1">
      <c r="J286" s="79" t="s">
        <v>896</v>
      </c>
    </row>
    <row r="287" spans="10:12" s="16" customFormat="1" ht="15.75" customHeight="1">
      <c r="J287" s="79" t="s">
        <v>897</v>
      </c>
    </row>
    <row r="288" spans="10:12" ht="15.75" customHeight="1">
      <c r="J288" s="79" t="s">
        <v>898</v>
      </c>
    </row>
    <row r="289" spans="10:10" ht="15.75" customHeight="1">
      <c r="J289" s="79" t="s">
        <v>899</v>
      </c>
    </row>
    <row r="290" spans="10:10" ht="15.75" customHeight="1">
      <c r="J290" s="79" t="s">
        <v>900</v>
      </c>
    </row>
    <row r="291" spans="10:10" ht="15.75" customHeight="1">
      <c r="J291" s="79" t="s">
        <v>901</v>
      </c>
    </row>
    <row r="292" spans="10:10" ht="15.75" customHeight="1">
      <c r="J292" s="79" t="s">
        <v>872</v>
      </c>
    </row>
    <row r="293" spans="10:10" ht="15.75" customHeight="1">
      <c r="J293" s="79" t="s">
        <v>902</v>
      </c>
    </row>
    <row r="294" spans="10:10" ht="15.75" customHeight="1">
      <c r="J294" s="79">
        <v>369</v>
      </c>
    </row>
    <row r="295" spans="10:10" ht="15.75" customHeight="1">
      <c r="J295" s="79">
        <v>370</v>
      </c>
    </row>
    <row r="296" spans="10:10" ht="15.75" customHeight="1">
      <c r="J296" s="79">
        <v>371</v>
      </c>
    </row>
    <row r="297" spans="10:10" ht="15.75" customHeight="1">
      <c r="J297" s="79">
        <v>372</v>
      </c>
    </row>
    <row r="298" spans="10:10" ht="15.75" customHeight="1">
      <c r="J298" s="79">
        <v>373</v>
      </c>
    </row>
    <row r="299" spans="10:10" ht="15.75" customHeight="1">
      <c r="J299" s="79">
        <v>374</v>
      </c>
    </row>
  </sheetData>
  <sheetProtection password="C118" sheet="1" objects="1" scenarios="1"/>
  <mergeCells count="1">
    <mergeCell ref="T1:AA1"/>
  </mergeCells>
  <phoneticPr fontId="4" type="noConversion"/>
  <conditionalFormatting sqref="BF37:BF40 BF27:BF34 BF43:BF52 R134:R145 BF65:BF126 R5:R25 BF239 R241 AC241:BF241 R54:R126 BF54:BF62 R128:R132 BF128:BF132 R27:R52 BF5:BF23 AC147:BE240 BF147:BF234 R147:R177 R179:R234 AC5:BE128 AC134:BF145 AC129:BD133">
    <cfRule type="cellIs" dxfId="26" priority="26" stopIfTrue="1" operator="notEqual">
      <formula>0</formula>
    </cfRule>
  </conditionalFormatting>
  <conditionalFormatting sqref="BF24">
    <cfRule type="cellIs" dxfId="25" priority="25" stopIfTrue="1" operator="notEqual">
      <formula>0</formula>
    </cfRule>
  </conditionalFormatting>
  <conditionalFormatting sqref="BF25">
    <cfRule type="cellIs" dxfId="24" priority="23" stopIfTrue="1" operator="notEqual">
      <formula>0</formula>
    </cfRule>
  </conditionalFormatting>
  <conditionalFormatting sqref="BF35">
    <cfRule type="cellIs" dxfId="23" priority="21" stopIfTrue="1" operator="notEqual">
      <formula>0</formula>
    </cfRule>
  </conditionalFormatting>
  <conditionalFormatting sqref="BF36">
    <cfRule type="cellIs" dxfId="22" priority="20" stopIfTrue="1" operator="notEqual">
      <formula>0</formula>
    </cfRule>
  </conditionalFormatting>
  <conditionalFormatting sqref="BF41">
    <cfRule type="cellIs" dxfId="21" priority="19" stopIfTrue="1" operator="notEqual">
      <formula>0</formula>
    </cfRule>
  </conditionalFormatting>
  <conditionalFormatting sqref="BF42">
    <cfRule type="cellIs" dxfId="20" priority="18" stopIfTrue="1" operator="notEqual">
      <formula>0</formula>
    </cfRule>
  </conditionalFormatting>
  <conditionalFormatting sqref="BF63">
    <cfRule type="cellIs" dxfId="19" priority="17" stopIfTrue="1" operator="notEqual">
      <formula>0</formula>
    </cfRule>
  </conditionalFormatting>
  <conditionalFormatting sqref="BF64">
    <cfRule type="cellIs" dxfId="18" priority="16" stopIfTrue="1" operator="notEqual">
      <formula>0</formula>
    </cfRule>
  </conditionalFormatting>
  <conditionalFormatting sqref="BF133 R133">
    <cfRule type="cellIs" dxfId="17" priority="15" stopIfTrue="1" operator="notEqual">
      <formula>0</formula>
    </cfRule>
  </conditionalFormatting>
  <conditionalFormatting sqref="BF235:BF238 R235">
    <cfRule type="cellIs" dxfId="16" priority="14" stopIfTrue="1" operator="notEqual">
      <formula>0</formula>
    </cfRule>
  </conditionalFormatting>
  <conditionalFormatting sqref="BF240">
    <cfRule type="cellIs" dxfId="15" priority="13" stopIfTrue="1" operator="notEqual">
      <formula>0</formula>
    </cfRule>
  </conditionalFormatting>
  <conditionalFormatting sqref="R236:R240">
    <cfRule type="cellIs" dxfId="14" priority="12" stopIfTrue="1" operator="notEqual">
      <formula>0</formula>
    </cfRule>
  </conditionalFormatting>
  <conditionalFormatting sqref="R53 BF53">
    <cfRule type="cellIs" dxfId="13" priority="11" stopIfTrue="1" operator="notEqual">
      <formula>0</formula>
    </cfRule>
  </conditionalFormatting>
  <conditionalFormatting sqref="BF127 R127">
    <cfRule type="cellIs" dxfId="12" priority="10" stopIfTrue="1" operator="notEqual">
      <formula>0</formula>
    </cfRule>
  </conditionalFormatting>
  <conditionalFormatting sqref="R26">
    <cfRule type="cellIs" dxfId="11" priority="9" stopIfTrue="1" operator="notEqual">
      <formula>0</formula>
    </cfRule>
  </conditionalFormatting>
  <conditionalFormatting sqref="BF26">
    <cfRule type="cellIs" dxfId="10" priority="8" stopIfTrue="1" operator="notEqual">
      <formula>0</formula>
    </cfRule>
  </conditionalFormatting>
  <conditionalFormatting sqref="R4 AC4:BF4">
    <cfRule type="cellIs" dxfId="9" priority="6" stopIfTrue="1" operator="notEqual">
      <formula>0</formula>
    </cfRule>
  </conditionalFormatting>
  <conditionalFormatting sqref="R146 AC146:BF146">
    <cfRule type="cellIs" dxfId="8" priority="5" stopIfTrue="1" operator="notEqual">
      <formula>0</formula>
    </cfRule>
  </conditionalFormatting>
  <conditionalFormatting sqref="R178">
    <cfRule type="cellIs" dxfId="7" priority="4" stopIfTrue="1" operator="notEqual">
      <formula>0</formula>
    </cfRule>
  </conditionalFormatting>
  <conditionalFormatting sqref="AB4:AB241">
    <cfRule type="cellIs" dxfId="6" priority="3" stopIfTrue="1" operator="notEqual">
      <formula>0</formula>
    </cfRule>
  </conditionalFormatting>
  <conditionalFormatting sqref="BE129:BE132">
    <cfRule type="cellIs" dxfId="5" priority="2" stopIfTrue="1" operator="notEqual">
      <formula>0</formula>
    </cfRule>
  </conditionalFormatting>
  <conditionalFormatting sqref="BE133">
    <cfRule type="cellIs" dxfId="4" priority="1" stopIfTrue="1" operator="notEqual">
      <formula>0</formula>
    </cfRule>
  </conditionalFormatting>
  <dataValidations xWindow="781" yWindow="383" count="10">
    <dataValidation allowBlank="1" showInputMessage="1" showErrorMessage="1" prompt="请在店长、厨师长指导下修改数据" sqref="U241"/>
    <dataValidation type="list" allowBlank="1" showInputMessage="1" showErrorMessage="1" sqref="S1:S3 S242:S1048576">
      <formula1>"仅限南京,南京除外,仅限江苏,实验店铺"</formula1>
    </dataValidation>
    <dataValidation type="list" allowBlank="1" showInputMessage="1" showErrorMessage="1" sqref="M2">
      <formula1>$J$8:$J$1000</formula1>
    </dataValidation>
    <dataValidation type="list" allowBlank="1" showInputMessage="1" showErrorMessage="1" sqref="S241">
      <formula1>"全店,上海店,江苏店,南京店,南京以外,实验店,26域,1345域,126域,345域,2域,13456域,其它"</formula1>
    </dataValidation>
    <dataValidation allowBlank="1" showInputMessage="1" showErrorMessage="1" promptTitle="注意" prompt="请在店长、店长助理指导下修改数据_x000a_" sqref="U4:V240"/>
    <dataValidation type="whole" allowBlank="1" showInputMessage="1" showErrorMessage="1" errorTitle="请输入0--100的整数" error="请输入0--100的整数" sqref="AB225:BF240 AY134:BE220 BF4:BF220 BE129:BE133 AY4:BE128 AY129:BA133 AB4:AX220">
      <formula1>0</formula1>
      <formula2>100</formula2>
    </dataValidation>
    <dataValidation type="date" operator="notEqual" allowBlank="1" showInputMessage="1" showErrorMessage="1" error="请输入日期" sqref="N4 N34:N35 N82 N129">
      <formula1>1</formula1>
    </dataValidation>
    <dataValidation type="whole" allowBlank="1" showInputMessage="1" showErrorMessage="1" errorTitle="中萃当日不订货" prompt="中萃当日不订货" sqref="BB129:BD133">
      <formula1>0</formula1>
      <formula2>0</formula2>
    </dataValidation>
    <dataValidation type="whole" allowBlank="1" showInputMessage="1" showErrorMessage="1" sqref="Z221:BF223">
      <formula1>0</formula1>
      <formula2>5</formula2>
    </dataValidation>
    <dataValidation type="whole" allowBlank="1" showInputMessage="1" showErrorMessage="1" sqref="Z224:BF224">
      <formula1>0</formula1>
      <formula2>15</formula2>
    </dataValidation>
  </dataValidation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FF00"/>
  </sheetPr>
  <dimension ref="A1:DJ264"/>
  <sheetViews>
    <sheetView zoomScale="145" zoomScaleNormal="145" workbookViewId="0">
      <pane xSplit="6" ySplit="3" topLeftCell="G201" activePane="bottomRight" state="frozen"/>
      <selection pane="topRight"/>
      <selection pane="bottomLeft"/>
      <selection pane="bottomRight" activeCell="CB136" sqref="CB136"/>
    </sheetView>
  </sheetViews>
  <sheetFormatPr defaultColWidth="10.875" defaultRowHeight="15" customHeight="1"/>
  <cols>
    <col min="1" max="1" width="6" style="19" customWidth="1"/>
    <col min="2" max="2" width="18" style="16" customWidth="1"/>
    <col min="3" max="3" width="20.25" style="16" customWidth="1"/>
    <col min="4" max="4" width="16.125" style="33" customWidth="1"/>
    <col min="5" max="5" width="12.875" style="33" customWidth="1"/>
    <col min="6" max="6" width="4.875" style="34" customWidth="1"/>
    <col min="7" max="7" width="7.75" style="200" customWidth="1"/>
    <col min="8" max="8" width="6.125" style="55" customWidth="1"/>
    <col min="9" max="9" width="5.625" style="197" customWidth="1"/>
    <col min="10" max="10" width="6.875" style="198" customWidth="1"/>
    <col min="11" max="11" width="5.875" style="198" customWidth="1"/>
    <col min="12" max="12" width="5.875" style="197" customWidth="1"/>
    <col min="13" max="14" width="5.875" style="199" customWidth="1"/>
    <col min="15" max="15" width="5.625" style="53" customWidth="1"/>
    <col min="16" max="16" width="6.875" style="59" customWidth="1"/>
    <col min="17" max="17" width="5.875" style="59" customWidth="1"/>
    <col min="18" max="18" width="5.875" style="53" customWidth="1"/>
    <col min="19" max="20" width="5.875" style="60" customWidth="1"/>
    <col min="21" max="21" width="5.875" style="53" customWidth="1"/>
    <col min="22" max="22" width="6.875" style="59" customWidth="1"/>
    <col min="23" max="23" width="5.875" style="59" customWidth="1"/>
    <col min="24" max="24" width="5.875" style="53" customWidth="1"/>
    <col min="25" max="26" width="5.875" style="60" customWidth="1"/>
    <col min="27" max="27" width="5.875" style="53" customWidth="1"/>
    <col min="28" max="29" width="5.875" style="60" customWidth="1"/>
    <col min="30" max="30" width="5.875" style="53" customWidth="1"/>
    <col min="31" max="32" width="5.875" style="60" customWidth="1"/>
    <col min="33" max="33" width="5.875" style="53" customWidth="1"/>
    <col min="34" max="35" width="5.875" style="60" customWidth="1"/>
    <col min="36" max="36" width="5.875" style="53" customWidth="1"/>
    <col min="37" max="38" width="5.875" style="60" customWidth="1"/>
    <col min="39" max="39" width="5.875" style="53" customWidth="1"/>
    <col min="40" max="41" width="5.875" style="60" customWidth="1"/>
    <col min="42" max="42" width="5.875" style="53" customWidth="1"/>
    <col min="43" max="44" width="5.875" style="60" customWidth="1"/>
    <col min="45" max="45" width="5.875" style="53" customWidth="1"/>
    <col min="46" max="47" width="5.875" style="60" customWidth="1"/>
    <col min="48" max="48" width="5.875" style="53" customWidth="1"/>
    <col min="49" max="50" width="5.875" style="60" customWidth="1"/>
    <col min="51" max="51" width="5.875" style="53" customWidth="1"/>
    <col min="52" max="53" width="5.875" style="60" customWidth="1"/>
    <col min="54" max="54" width="5.875" style="53" customWidth="1"/>
    <col min="55" max="56" width="5.875" style="60" customWidth="1"/>
    <col min="57" max="57" width="5.875" style="53" customWidth="1"/>
    <col min="58" max="59" width="5.875" style="60" customWidth="1"/>
    <col min="60" max="60" width="5.875" style="53" customWidth="1"/>
    <col min="61" max="62" width="5.875" style="60" customWidth="1"/>
    <col min="63" max="63" width="5.875" style="53" customWidth="1"/>
    <col min="64" max="65" width="5.875" style="60" customWidth="1"/>
    <col min="66" max="66" width="5.875" style="53" customWidth="1"/>
    <col min="67" max="68" width="5.875" style="60" customWidth="1"/>
    <col min="69" max="69" width="5.875" style="53" customWidth="1"/>
    <col min="70" max="71" width="5.875" style="60" customWidth="1"/>
    <col min="72" max="72" width="5.875" style="53" customWidth="1"/>
    <col min="73" max="74" width="5.875" style="60" customWidth="1"/>
    <col min="75" max="75" width="5.875" style="53" customWidth="1"/>
    <col min="76" max="77" width="5.875" style="60" customWidth="1"/>
    <col min="78" max="78" width="5.875" style="53" customWidth="1"/>
    <col min="79" max="80" width="5.875" style="60" customWidth="1"/>
    <col min="81" max="81" width="5.875" style="53" customWidth="1"/>
    <col min="82" max="83" width="5.875" style="60" customWidth="1"/>
    <col min="84" max="84" width="5.875" style="53" customWidth="1"/>
    <col min="85" max="86" width="5.875" style="60" customWidth="1"/>
    <col min="87" max="87" width="5.875" style="53" customWidth="1"/>
    <col min="88" max="89" width="5.875" style="60" customWidth="1"/>
    <col min="90" max="90" width="5.875" style="53" customWidth="1"/>
    <col min="91" max="92" width="5.875" style="60" customWidth="1"/>
    <col min="93" max="93" width="5.875" style="53" customWidth="1"/>
    <col min="94" max="95" width="5.875" style="60" customWidth="1"/>
    <col min="96" max="96" width="5.875" style="53" customWidth="1"/>
    <col min="97" max="98" width="5.875" style="60" customWidth="1"/>
    <col min="99" max="99" width="5.875" style="53" customWidth="1"/>
    <col min="100" max="101" width="5.875" style="60" customWidth="1"/>
    <col min="102" max="102" width="5.875" style="53" customWidth="1"/>
    <col min="103" max="104" width="5.875" style="60" customWidth="1"/>
    <col min="105" max="105" width="5.875" style="53" customWidth="1"/>
    <col min="106" max="107" width="5.875" style="60" customWidth="1"/>
    <col min="108" max="108" width="9.5" style="205" customWidth="1"/>
    <col min="109" max="109" width="9.5" style="51" hidden="1" customWidth="1"/>
    <col min="110" max="110" width="8.125" style="51" customWidth="1"/>
    <col min="111" max="111" width="4.375" style="34" customWidth="1"/>
    <col min="112" max="112" width="13.125" style="25" customWidth="1"/>
    <col min="113" max="113" width="4.625" customWidth="1"/>
    <col min="114" max="114" width="10.875" style="26"/>
  </cols>
  <sheetData>
    <row r="1" spans="1:114" ht="22.5" customHeight="1" thickBot="1">
      <c r="B1" s="20" t="s">
        <v>273</v>
      </c>
      <c r="C1" s="21"/>
      <c r="D1" s="22"/>
      <c r="E1" s="23"/>
      <c r="F1" s="24"/>
      <c r="I1" s="189"/>
      <c r="J1" s="190"/>
      <c r="K1" s="190"/>
      <c r="L1" s="189"/>
      <c r="M1" s="191"/>
      <c r="N1" s="191"/>
      <c r="O1" s="61"/>
      <c r="P1" s="57"/>
      <c r="Q1" s="57"/>
      <c r="R1" s="61"/>
      <c r="S1" s="58"/>
      <c r="T1" s="58"/>
      <c r="Y1" s="58"/>
      <c r="Z1" s="58"/>
      <c r="AB1" s="58"/>
      <c r="AC1" s="58"/>
      <c r="AE1" s="58"/>
      <c r="AF1" s="58"/>
      <c r="AH1" s="58"/>
      <c r="AI1" s="58"/>
      <c r="AK1" s="58"/>
      <c r="AL1" s="58"/>
      <c r="AN1" s="58"/>
      <c r="AO1" s="58"/>
      <c r="AQ1" s="58"/>
      <c r="AR1" s="58"/>
      <c r="AT1" s="58"/>
      <c r="AU1" s="58"/>
      <c r="AW1" s="58"/>
      <c r="AX1" s="58"/>
      <c r="AZ1" s="58"/>
      <c r="BA1" s="58"/>
      <c r="BC1" s="58"/>
      <c r="BD1" s="58"/>
      <c r="BF1" s="58"/>
      <c r="BG1" s="58"/>
      <c r="BI1" s="58"/>
      <c r="BJ1" s="58"/>
      <c r="BL1" s="58"/>
      <c r="BM1" s="58"/>
      <c r="BO1" s="58"/>
      <c r="BP1" s="58"/>
      <c r="BR1" s="58"/>
      <c r="BS1" s="58"/>
      <c r="BU1" s="58"/>
      <c r="BV1" s="58"/>
      <c r="BX1" s="58"/>
      <c r="BY1" s="58"/>
      <c r="CA1" s="58"/>
      <c r="CB1" s="58"/>
      <c r="CD1" s="58"/>
      <c r="CE1" s="58"/>
      <c r="CG1" s="58"/>
      <c r="CH1" s="58"/>
      <c r="CJ1" s="58"/>
      <c r="CK1" s="58"/>
      <c r="CM1" s="58"/>
      <c r="CN1" s="58"/>
      <c r="CP1" s="58"/>
      <c r="CQ1" s="58"/>
      <c r="CS1" s="58"/>
      <c r="CT1" s="58"/>
      <c r="CV1" s="58"/>
      <c r="CW1" s="58"/>
      <c r="CY1" s="58"/>
      <c r="CZ1" s="58"/>
      <c r="DB1" s="58"/>
      <c r="DC1" s="58"/>
      <c r="DG1" s="24"/>
      <c r="DH1" s="50" t="s">
        <v>205</v>
      </c>
    </row>
    <row r="2" spans="1:114" s="27" customFormat="1" ht="20.25" customHeight="1" thickBot="1">
      <c r="A2" s="89"/>
      <c r="B2" s="101" t="s">
        <v>206</v>
      </c>
      <c r="C2" s="102"/>
      <c r="D2" s="102"/>
      <c r="E2" s="103"/>
      <c r="F2" s="103"/>
      <c r="G2" s="201"/>
      <c r="H2" s="104"/>
      <c r="I2" s="307" t="s">
        <v>340</v>
      </c>
      <c r="J2" s="308"/>
      <c r="K2" s="309"/>
      <c r="L2" s="310" t="s">
        <v>341</v>
      </c>
      <c r="M2" s="311"/>
      <c r="N2" s="312"/>
      <c r="O2" s="313">
        <f>订货1!AB3+2</f>
        <v>45964</v>
      </c>
      <c r="P2" s="314"/>
      <c r="Q2" s="315"/>
      <c r="R2" s="316">
        <f>O2+1</f>
        <v>45965</v>
      </c>
      <c r="S2" s="317"/>
      <c r="T2" s="318"/>
      <c r="U2" s="313">
        <f t="shared" ref="U2" si="0">R2+1</f>
        <v>45966</v>
      </c>
      <c r="V2" s="314"/>
      <c r="W2" s="315"/>
      <c r="X2" s="316">
        <f t="shared" ref="X2" si="1">U2+1</f>
        <v>45967</v>
      </c>
      <c r="Y2" s="317"/>
      <c r="Z2" s="318"/>
      <c r="AA2" s="313">
        <f t="shared" ref="AA2" si="2">X2+1</f>
        <v>45968</v>
      </c>
      <c r="AB2" s="314"/>
      <c r="AC2" s="315"/>
      <c r="AD2" s="316">
        <f t="shared" ref="AD2" si="3">AA2+1</f>
        <v>45969</v>
      </c>
      <c r="AE2" s="317"/>
      <c r="AF2" s="318"/>
      <c r="AG2" s="313">
        <f t="shared" ref="AG2" si="4">AD2+1</f>
        <v>45970</v>
      </c>
      <c r="AH2" s="314"/>
      <c r="AI2" s="315"/>
      <c r="AJ2" s="316">
        <f t="shared" ref="AJ2" si="5">AG2+1</f>
        <v>45971</v>
      </c>
      <c r="AK2" s="317"/>
      <c r="AL2" s="318"/>
      <c r="AM2" s="313">
        <f t="shared" ref="AM2" si="6">AJ2+1</f>
        <v>45972</v>
      </c>
      <c r="AN2" s="314"/>
      <c r="AO2" s="315"/>
      <c r="AP2" s="316">
        <f t="shared" ref="AP2" si="7">AM2+1</f>
        <v>45973</v>
      </c>
      <c r="AQ2" s="317"/>
      <c r="AR2" s="318"/>
      <c r="AS2" s="313">
        <f t="shared" ref="AS2" si="8">AP2+1</f>
        <v>45974</v>
      </c>
      <c r="AT2" s="314"/>
      <c r="AU2" s="315"/>
      <c r="AV2" s="316">
        <f t="shared" ref="AV2" si="9">AS2+1</f>
        <v>45975</v>
      </c>
      <c r="AW2" s="317"/>
      <c r="AX2" s="318"/>
      <c r="AY2" s="313">
        <f t="shared" ref="AY2" si="10">AV2+1</f>
        <v>45976</v>
      </c>
      <c r="AZ2" s="314"/>
      <c r="BA2" s="315"/>
      <c r="BB2" s="316">
        <f t="shared" ref="BB2" si="11">AY2+1</f>
        <v>45977</v>
      </c>
      <c r="BC2" s="317"/>
      <c r="BD2" s="318"/>
      <c r="BE2" s="313">
        <f t="shared" ref="BE2" si="12">BB2+1</f>
        <v>45978</v>
      </c>
      <c r="BF2" s="314"/>
      <c r="BG2" s="315"/>
      <c r="BH2" s="316">
        <f t="shared" ref="BH2" si="13">BE2+1</f>
        <v>45979</v>
      </c>
      <c r="BI2" s="317"/>
      <c r="BJ2" s="318"/>
      <c r="BK2" s="313">
        <f t="shared" ref="BK2" si="14">BH2+1</f>
        <v>45980</v>
      </c>
      <c r="BL2" s="314"/>
      <c r="BM2" s="315"/>
      <c r="BN2" s="316">
        <f t="shared" ref="BN2" si="15">BK2+1</f>
        <v>45981</v>
      </c>
      <c r="BO2" s="317"/>
      <c r="BP2" s="318"/>
      <c r="BQ2" s="313">
        <f t="shared" ref="BQ2" si="16">BN2+1</f>
        <v>45982</v>
      </c>
      <c r="BR2" s="314"/>
      <c r="BS2" s="315"/>
      <c r="BT2" s="316">
        <f t="shared" ref="BT2" si="17">BQ2+1</f>
        <v>45983</v>
      </c>
      <c r="BU2" s="317"/>
      <c r="BV2" s="318"/>
      <c r="BW2" s="313">
        <f t="shared" ref="BW2" si="18">BT2+1</f>
        <v>45984</v>
      </c>
      <c r="BX2" s="314"/>
      <c r="BY2" s="315"/>
      <c r="BZ2" s="316">
        <f t="shared" ref="BZ2" si="19">BW2+1</f>
        <v>45985</v>
      </c>
      <c r="CA2" s="317"/>
      <c r="CB2" s="318"/>
      <c r="CC2" s="313">
        <f t="shared" ref="CC2" si="20">BZ2+1</f>
        <v>45986</v>
      </c>
      <c r="CD2" s="314"/>
      <c r="CE2" s="315"/>
      <c r="CF2" s="316">
        <f t="shared" ref="CF2" si="21">CC2+1</f>
        <v>45987</v>
      </c>
      <c r="CG2" s="317"/>
      <c r="CH2" s="318"/>
      <c r="CI2" s="313">
        <f t="shared" ref="CI2" si="22">CF2+1</f>
        <v>45988</v>
      </c>
      <c r="CJ2" s="314"/>
      <c r="CK2" s="315"/>
      <c r="CL2" s="316">
        <f t="shared" ref="CL2" si="23">CI2+1</f>
        <v>45989</v>
      </c>
      <c r="CM2" s="317"/>
      <c r="CN2" s="318"/>
      <c r="CO2" s="313">
        <f t="shared" ref="CO2" si="24">CL2+1</f>
        <v>45990</v>
      </c>
      <c r="CP2" s="314"/>
      <c r="CQ2" s="315"/>
      <c r="CR2" s="316">
        <f t="shared" ref="CR2" si="25">CO2+1</f>
        <v>45991</v>
      </c>
      <c r="CS2" s="317"/>
      <c r="CT2" s="318"/>
      <c r="CU2" s="313">
        <f t="shared" ref="CU2" si="26">CR2+1</f>
        <v>45992</v>
      </c>
      <c r="CV2" s="314"/>
      <c r="CW2" s="315"/>
      <c r="CX2" s="316">
        <f t="shared" ref="CX2" si="27">CU2+1</f>
        <v>45993</v>
      </c>
      <c r="CY2" s="317"/>
      <c r="CZ2" s="318"/>
      <c r="DA2" s="313">
        <f t="shared" ref="DA2" si="28">CX2+1</f>
        <v>45994</v>
      </c>
      <c r="DB2" s="314"/>
      <c r="DC2" s="315"/>
      <c r="DD2" s="206"/>
      <c r="DE2" s="108"/>
      <c r="DF2" s="111"/>
      <c r="DG2" s="112"/>
      <c r="DH2" s="114"/>
      <c r="DJ2" s="28"/>
    </row>
    <row r="3" spans="1:114" s="29" customFormat="1" ht="15" customHeight="1" thickTop="1">
      <c r="A3" s="30"/>
      <c r="B3" s="90" t="s">
        <v>182</v>
      </c>
      <c r="C3" s="91"/>
      <c r="D3" s="92" t="s">
        <v>181</v>
      </c>
      <c r="E3" s="92" t="s">
        <v>0</v>
      </c>
      <c r="F3" s="92" t="s">
        <v>90</v>
      </c>
      <c r="G3" s="202" t="s">
        <v>196</v>
      </c>
      <c r="H3" s="93" t="s">
        <v>91</v>
      </c>
      <c r="I3" s="192" t="s">
        <v>92</v>
      </c>
      <c r="J3" s="193" t="s">
        <v>93</v>
      </c>
      <c r="K3" s="193" t="s">
        <v>94</v>
      </c>
      <c r="L3" s="194" t="s">
        <v>92</v>
      </c>
      <c r="M3" s="195" t="s">
        <v>93</v>
      </c>
      <c r="N3" s="195" t="s">
        <v>94</v>
      </c>
      <c r="O3" s="94" t="s">
        <v>92</v>
      </c>
      <c r="P3" s="95" t="s">
        <v>93</v>
      </c>
      <c r="Q3" s="95" t="s">
        <v>94</v>
      </c>
      <c r="R3" s="96" t="s">
        <v>92</v>
      </c>
      <c r="S3" s="97" t="s">
        <v>93</v>
      </c>
      <c r="T3" s="97" t="s">
        <v>94</v>
      </c>
      <c r="U3" s="94" t="s">
        <v>92</v>
      </c>
      <c r="V3" s="95" t="s">
        <v>93</v>
      </c>
      <c r="W3" s="95" t="s">
        <v>94</v>
      </c>
      <c r="X3" s="96" t="s">
        <v>92</v>
      </c>
      <c r="Y3" s="97" t="s">
        <v>93</v>
      </c>
      <c r="Z3" s="97" t="s">
        <v>94</v>
      </c>
      <c r="AA3" s="94" t="s">
        <v>92</v>
      </c>
      <c r="AB3" s="98" t="s">
        <v>93</v>
      </c>
      <c r="AC3" s="98" t="s">
        <v>94</v>
      </c>
      <c r="AD3" s="96" t="s">
        <v>92</v>
      </c>
      <c r="AE3" s="97" t="s">
        <v>93</v>
      </c>
      <c r="AF3" s="97" t="s">
        <v>94</v>
      </c>
      <c r="AG3" s="94" t="s">
        <v>92</v>
      </c>
      <c r="AH3" s="98" t="s">
        <v>93</v>
      </c>
      <c r="AI3" s="98" t="s">
        <v>94</v>
      </c>
      <c r="AJ3" s="96" t="s">
        <v>92</v>
      </c>
      <c r="AK3" s="97" t="s">
        <v>93</v>
      </c>
      <c r="AL3" s="97" t="s">
        <v>94</v>
      </c>
      <c r="AM3" s="94" t="s">
        <v>92</v>
      </c>
      <c r="AN3" s="98" t="s">
        <v>93</v>
      </c>
      <c r="AO3" s="98" t="s">
        <v>94</v>
      </c>
      <c r="AP3" s="96" t="s">
        <v>92</v>
      </c>
      <c r="AQ3" s="97" t="s">
        <v>93</v>
      </c>
      <c r="AR3" s="97" t="s">
        <v>94</v>
      </c>
      <c r="AS3" s="94" t="s">
        <v>92</v>
      </c>
      <c r="AT3" s="98" t="s">
        <v>93</v>
      </c>
      <c r="AU3" s="98" t="s">
        <v>94</v>
      </c>
      <c r="AV3" s="96" t="s">
        <v>92</v>
      </c>
      <c r="AW3" s="97" t="s">
        <v>93</v>
      </c>
      <c r="AX3" s="97" t="s">
        <v>94</v>
      </c>
      <c r="AY3" s="94" t="s">
        <v>92</v>
      </c>
      <c r="AZ3" s="98" t="s">
        <v>93</v>
      </c>
      <c r="BA3" s="98" t="s">
        <v>94</v>
      </c>
      <c r="BB3" s="96" t="s">
        <v>92</v>
      </c>
      <c r="BC3" s="97" t="s">
        <v>93</v>
      </c>
      <c r="BD3" s="97" t="s">
        <v>94</v>
      </c>
      <c r="BE3" s="94" t="s">
        <v>92</v>
      </c>
      <c r="BF3" s="98" t="s">
        <v>93</v>
      </c>
      <c r="BG3" s="98" t="s">
        <v>94</v>
      </c>
      <c r="BH3" s="96" t="s">
        <v>92</v>
      </c>
      <c r="BI3" s="97" t="s">
        <v>93</v>
      </c>
      <c r="BJ3" s="97" t="s">
        <v>94</v>
      </c>
      <c r="BK3" s="94" t="s">
        <v>92</v>
      </c>
      <c r="BL3" s="98" t="s">
        <v>93</v>
      </c>
      <c r="BM3" s="98" t="s">
        <v>94</v>
      </c>
      <c r="BN3" s="96" t="s">
        <v>92</v>
      </c>
      <c r="BO3" s="97" t="s">
        <v>93</v>
      </c>
      <c r="BP3" s="97" t="s">
        <v>94</v>
      </c>
      <c r="BQ3" s="94" t="s">
        <v>92</v>
      </c>
      <c r="BR3" s="98" t="s">
        <v>93</v>
      </c>
      <c r="BS3" s="98" t="s">
        <v>94</v>
      </c>
      <c r="BT3" s="96" t="s">
        <v>92</v>
      </c>
      <c r="BU3" s="97" t="s">
        <v>93</v>
      </c>
      <c r="BV3" s="97" t="s">
        <v>94</v>
      </c>
      <c r="BW3" s="94" t="s">
        <v>92</v>
      </c>
      <c r="BX3" s="98" t="s">
        <v>93</v>
      </c>
      <c r="BY3" s="98" t="s">
        <v>94</v>
      </c>
      <c r="BZ3" s="96" t="s">
        <v>92</v>
      </c>
      <c r="CA3" s="97" t="s">
        <v>93</v>
      </c>
      <c r="CB3" s="97" t="s">
        <v>94</v>
      </c>
      <c r="CC3" s="94" t="s">
        <v>92</v>
      </c>
      <c r="CD3" s="98" t="s">
        <v>93</v>
      </c>
      <c r="CE3" s="98" t="s">
        <v>94</v>
      </c>
      <c r="CF3" s="96" t="s">
        <v>92</v>
      </c>
      <c r="CG3" s="97" t="s">
        <v>93</v>
      </c>
      <c r="CH3" s="97" t="s">
        <v>94</v>
      </c>
      <c r="CI3" s="94" t="s">
        <v>92</v>
      </c>
      <c r="CJ3" s="98" t="s">
        <v>93</v>
      </c>
      <c r="CK3" s="98" t="s">
        <v>94</v>
      </c>
      <c r="CL3" s="96" t="s">
        <v>92</v>
      </c>
      <c r="CM3" s="97" t="s">
        <v>93</v>
      </c>
      <c r="CN3" s="97" t="s">
        <v>94</v>
      </c>
      <c r="CO3" s="94" t="s">
        <v>92</v>
      </c>
      <c r="CP3" s="98" t="s">
        <v>93</v>
      </c>
      <c r="CQ3" s="98" t="s">
        <v>94</v>
      </c>
      <c r="CR3" s="96" t="s">
        <v>92</v>
      </c>
      <c r="CS3" s="97" t="s">
        <v>93</v>
      </c>
      <c r="CT3" s="97" t="s">
        <v>94</v>
      </c>
      <c r="CU3" s="94" t="s">
        <v>92</v>
      </c>
      <c r="CV3" s="98" t="s">
        <v>93</v>
      </c>
      <c r="CW3" s="98" t="s">
        <v>94</v>
      </c>
      <c r="CX3" s="96" t="s">
        <v>92</v>
      </c>
      <c r="CY3" s="97" t="s">
        <v>93</v>
      </c>
      <c r="CZ3" s="97" t="s">
        <v>94</v>
      </c>
      <c r="DA3" s="94" t="s">
        <v>92</v>
      </c>
      <c r="DB3" s="98" t="s">
        <v>93</v>
      </c>
      <c r="DC3" s="98" t="s">
        <v>94</v>
      </c>
      <c r="DD3" s="207" t="s">
        <v>195</v>
      </c>
      <c r="DE3" s="109" t="s">
        <v>196</v>
      </c>
      <c r="DF3" s="99" t="s">
        <v>194</v>
      </c>
      <c r="DG3" s="92" t="s">
        <v>90</v>
      </c>
      <c r="DH3" s="100" t="s">
        <v>193</v>
      </c>
      <c r="DJ3" s="31"/>
    </row>
    <row r="4" spans="1:114" ht="15" customHeight="1">
      <c r="A4" s="48">
        <f>订货1!A4</f>
        <v>101729</v>
      </c>
      <c r="B4" s="44" t="str">
        <f>VLOOKUP($A4,订货1!$A4:$G243,7,0)</f>
        <v>熠沣实业（上海）有限公司</v>
      </c>
      <c r="C4" s="44" t="str">
        <f>VLOOKUP($A4,订货1!$A4:$H243,8,0)</f>
        <v>启东欧瑞食品有限公司</v>
      </c>
      <c r="D4" s="44" t="str">
        <f>VLOOKUP($A4,订货1!$A4:$B243,2,0)</f>
        <v>可可粉</v>
      </c>
      <c r="E4" s="44" t="str">
        <f>VLOOKUP($A4,订货1!$A4:$E243,5,0)</f>
        <v>0.5kg</v>
      </c>
      <c r="F4" s="49" t="str">
        <f>VLOOKUP($A4,订货1!$A4:$F243,6,0)</f>
        <v>包</v>
      </c>
      <c r="G4" s="203"/>
      <c r="H4" s="56">
        <f>O4+R4+X4+AA4+AD4+AG4+AJ4+AM4+AP4+AS4+AV4+AY4+BB4+BE4+BH4+BK4+BN4+BQ4+BT4+BW4+BZ4+CC4+CF4+CI4+CL4+CO4+CR4+U4+I4+L4</f>
        <v>0</v>
      </c>
      <c r="I4" s="196"/>
      <c r="J4" s="113"/>
      <c r="K4" s="113"/>
      <c r="L4" s="196"/>
      <c r="M4" s="113"/>
      <c r="N4" s="113"/>
      <c r="O4" s="62">
        <f>订货1!AB4</f>
        <v>0</v>
      </c>
      <c r="P4" s="113"/>
      <c r="Q4" s="113"/>
      <c r="R4" s="62">
        <f>订货1!AC4</f>
        <v>0</v>
      </c>
      <c r="S4" s="113"/>
      <c r="T4" s="113"/>
      <c r="U4" s="62">
        <f>订货1!AD4</f>
        <v>0</v>
      </c>
      <c r="V4" s="113"/>
      <c r="W4" s="113"/>
      <c r="X4" s="62">
        <f>订货1!AE4</f>
        <v>0</v>
      </c>
      <c r="Y4" s="113"/>
      <c r="Z4" s="113"/>
      <c r="AA4" s="62">
        <f>订货1!AF4</f>
        <v>0</v>
      </c>
      <c r="AB4" s="113"/>
      <c r="AC4" s="113"/>
      <c r="AD4" s="62">
        <f>订货1!AG4</f>
        <v>0</v>
      </c>
      <c r="AE4" s="113"/>
      <c r="AF4" s="113"/>
      <c r="AG4" s="62">
        <f>订货1!AH4</f>
        <v>0</v>
      </c>
      <c r="AH4" s="113"/>
      <c r="AI4" s="113"/>
      <c r="AJ4" s="62">
        <f>订货1!AI4</f>
        <v>0</v>
      </c>
      <c r="AK4" s="113"/>
      <c r="AL4" s="113"/>
      <c r="AM4" s="62">
        <f>订货1!AJ4</f>
        <v>0</v>
      </c>
      <c r="AN4" s="113"/>
      <c r="AO4" s="113"/>
      <c r="AP4" s="62">
        <f>订货1!AK4</f>
        <v>0</v>
      </c>
      <c r="AQ4" s="113"/>
      <c r="AR4" s="113"/>
      <c r="AS4" s="62">
        <f>订货1!AL4</f>
        <v>0</v>
      </c>
      <c r="AT4" s="113"/>
      <c r="AU4" s="113"/>
      <c r="AV4" s="62">
        <f>订货1!AM4</f>
        <v>0</v>
      </c>
      <c r="AW4" s="113"/>
      <c r="AX4" s="113"/>
      <c r="AY4" s="62">
        <f>订货1!AN4</f>
        <v>0</v>
      </c>
      <c r="AZ4" s="113"/>
      <c r="BA4" s="113"/>
      <c r="BB4" s="62">
        <f>订货1!AO4</f>
        <v>0</v>
      </c>
      <c r="BC4" s="113"/>
      <c r="BD4" s="113"/>
      <c r="BE4" s="62">
        <f>订货1!AP4</f>
        <v>0</v>
      </c>
      <c r="BF4" s="113"/>
      <c r="BG4" s="113"/>
      <c r="BH4" s="62">
        <f>订货1!AQ4</f>
        <v>0</v>
      </c>
      <c r="BI4" s="113"/>
      <c r="BJ4" s="113"/>
      <c r="BK4" s="62">
        <f>订货1!AR4</f>
        <v>0</v>
      </c>
      <c r="BL4" s="113"/>
      <c r="BM4" s="113"/>
      <c r="BN4" s="62">
        <f>订货1!AS4</f>
        <v>0</v>
      </c>
      <c r="BO4" s="113"/>
      <c r="BP4" s="113"/>
      <c r="BQ4" s="62">
        <f>订货1!AT4</f>
        <v>0</v>
      </c>
      <c r="BR4" s="113"/>
      <c r="BS4" s="113"/>
      <c r="BT4" s="62">
        <f>订货1!AU4</f>
        <v>0</v>
      </c>
      <c r="BU4" s="113"/>
      <c r="BV4" s="113"/>
      <c r="BW4" s="62">
        <f>订货1!AV4</f>
        <v>0</v>
      </c>
      <c r="BX4" s="113"/>
      <c r="BY4" s="113"/>
      <c r="BZ4" s="62">
        <f>订货1!AW4</f>
        <v>0</v>
      </c>
      <c r="CA4" s="113"/>
      <c r="CB4" s="113"/>
      <c r="CC4" s="62">
        <f>订货1!AX4</f>
        <v>0</v>
      </c>
      <c r="CD4" s="113"/>
      <c r="CE4" s="113"/>
      <c r="CF4" s="62">
        <f>订货1!AY4</f>
        <v>0</v>
      </c>
      <c r="CG4" s="113"/>
      <c r="CH4" s="113"/>
      <c r="CI4" s="62">
        <f>订货1!AZ4</f>
        <v>0</v>
      </c>
      <c r="CJ4" s="113"/>
      <c r="CK4" s="113"/>
      <c r="CL4" s="62">
        <f>订货1!BA4</f>
        <v>0</v>
      </c>
      <c r="CM4" s="113"/>
      <c r="CN4" s="113"/>
      <c r="CO4" s="62">
        <f>订货1!BB4</f>
        <v>0</v>
      </c>
      <c r="CP4" s="113"/>
      <c r="CQ4" s="113"/>
      <c r="CR4" s="62">
        <f>订货1!BC4</f>
        <v>0</v>
      </c>
      <c r="CS4" s="113"/>
      <c r="CT4" s="113"/>
      <c r="CU4" s="62">
        <f>订货1!BD4</f>
        <v>0</v>
      </c>
      <c r="CV4" s="113"/>
      <c r="CW4" s="113"/>
      <c r="CX4" s="62">
        <f>订货1!BE4</f>
        <v>0</v>
      </c>
      <c r="CY4" s="113"/>
      <c r="CZ4" s="113"/>
      <c r="DA4" s="62">
        <f>订货1!BF4</f>
        <v>0</v>
      </c>
      <c r="DB4" s="113"/>
      <c r="DC4" s="113"/>
      <c r="DD4" s="208">
        <v>0</v>
      </c>
      <c r="DE4" s="110" t="e">
        <f>INT(G4/DI4)</f>
        <v>#DIV/0!</v>
      </c>
      <c r="DF4" s="52">
        <f t="shared" ref="DF4:DF65" si="29">IFERROR(DD4+H4-G4,"")</f>
        <v>0</v>
      </c>
      <c r="DG4" s="32" t="str">
        <f>订货1!$Q4</f>
        <v>包</v>
      </c>
      <c r="DH4" s="209" t="e">
        <f>DF4/($DH$2/10000)</f>
        <v>#DIV/0!</v>
      </c>
    </row>
    <row r="5" spans="1:114" ht="15" customHeight="1">
      <c r="A5" s="48">
        <f>订货1!A5</f>
        <v>101727</v>
      </c>
      <c r="B5" s="44" t="str">
        <f>VLOOKUP($A5,订货1!$A5:$G244,7,0)</f>
        <v>青岛亚是加食品有限公司</v>
      </c>
      <c r="C5" s="44" t="str">
        <f>VLOOKUP($A5,订货1!$A5:$H244,8,0)</f>
        <v>青岛亚是加食品有限公司</v>
      </c>
      <c r="D5" s="44" t="str">
        <f>VLOOKUP($A5,订货1!$A5:$B244,2,0)</f>
        <v>冷冻意大利面</v>
      </c>
      <c r="E5" s="44" t="str">
        <f>VLOOKUP($A5,订货1!$A5:$E244,5,0)</f>
        <v>200g*30</v>
      </c>
      <c r="F5" s="49" t="str">
        <f>VLOOKUP($A5,订货1!$A5:$F244,6,0)</f>
        <v>箱</v>
      </c>
      <c r="G5" s="203"/>
      <c r="H5" s="56">
        <f t="shared" ref="H5:H68" si="30">O5+R5+X5+AA5+AD5+AG5+AJ5+AM5+AP5+AS5+AV5+AY5+BB5+BE5+BH5+BK5+BN5+BQ5+BT5+BW5+BZ5+CC5+CF5+CI5+CL5+CO5+CR5+U5+I5+L5</f>
        <v>0</v>
      </c>
      <c r="I5" s="196"/>
      <c r="J5" s="113"/>
      <c r="K5" s="113"/>
      <c r="L5" s="196"/>
      <c r="M5" s="113"/>
      <c r="N5" s="113"/>
      <c r="O5" s="62">
        <f>订货1!AB5</f>
        <v>0</v>
      </c>
      <c r="P5" s="113"/>
      <c r="Q5" s="113"/>
      <c r="R5" s="62">
        <f>订货1!AC5</f>
        <v>0</v>
      </c>
      <c r="S5" s="113"/>
      <c r="T5" s="113"/>
      <c r="U5" s="62">
        <f>订货1!AD5</f>
        <v>0</v>
      </c>
      <c r="V5" s="113"/>
      <c r="W5" s="113"/>
      <c r="X5" s="62">
        <f>订货1!AE5</f>
        <v>0</v>
      </c>
      <c r="Y5" s="113"/>
      <c r="Z5" s="113"/>
      <c r="AA5" s="62">
        <f>订货1!AF5</f>
        <v>0</v>
      </c>
      <c r="AB5" s="113"/>
      <c r="AC5" s="113"/>
      <c r="AD5" s="62">
        <f>订货1!AG5</f>
        <v>0</v>
      </c>
      <c r="AE5" s="113"/>
      <c r="AF5" s="113"/>
      <c r="AG5" s="62">
        <f>订货1!AH5</f>
        <v>0</v>
      </c>
      <c r="AH5" s="113"/>
      <c r="AI5" s="113"/>
      <c r="AJ5" s="62">
        <f>订货1!AI5</f>
        <v>0</v>
      </c>
      <c r="AK5" s="113"/>
      <c r="AL5" s="113"/>
      <c r="AM5" s="62">
        <f>订货1!AJ5</f>
        <v>0</v>
      </c>
      <c r="AN5" s="113"/>
      <c r="AO5" s="113"/>
      <c r="AP5" s="62">
        <f>订货1!AK5</f>
        <v>0</v>
      </c>
      <c r="AQ5" s="113"/>
      <c r="AR5" s="113"/>
      <c r="AS5" s="62">
        <f>订货1!AL5</f>
        <v>0</v>
      </c>
      <c r="AT5" s="113"/>
      <c r="AU5" s="113"/>
      <c r="AV5" s="62">
        <f>订货1!AM5</f>
        <v>0</v>
      </c>
      <c r="AW5" s="113"/>
      <c r="AX5" s="113"/>
      <c r="AY5" s="62">
        <f>订货1!AN5</f>
        <v>0</v>
      </c>
      <c r="AZ5" s="113"/>
      <c r="BA5" s="113"/>
      <c r="BB5" s="62">
        <f>订货1!AO5</f>
        <v>0</v>
      </c>
      <c r="BC5" s="113"/>
      <c r="BD5" s="113"/>
      <c r="BE5" s="62">
        <f>订货1!AP5</f>
        <v>0</v>
      </c>
      <c r="BF5" s="113"/>
      <c r="BG5" s="113"/>
      <c r="BH5" s="62">
        <f>订货1!AQ5</f>
        <v>0</v>
      </c>
      <c r="BI5" s="113"/>
      <c r="BJ5" s="113"/>
      <c r="BK5" s="62">
        <f>订货1!AR5</f>
        <v>0</v>
      </c>
      <c r="BL5" s="113"/>
      <c r="BM5" s="113"/>
      <c r="BN5" s="62">
        <f>订货1!AS5</f>
        <v>0</v>
      </c>
      <c r="BO5" s="113"/>
      <c r="BP5" s="113"/>
      <c r="BQ5" s="62">
        <f>订货1!AT5</f>
        <v>0</v>
      </c>
      <c r="BR5" s="113"/>
      <c r="BS5" s="113"/>
      <c r="BT5" s="62">
        <f>订货1!AU5</f>
        <v>0</v>
      </c>
      <c r="BU5" s="113"/>
      <c r="BV5" s="113"/>
      <c r="BW5" s="62">
        <f>订货1!AV5</f>
        <v>0</v>
      </c>
      <c r="BX5" s="113"/>
      <c r="BY5" s="113"/>
      <c r="BZ5" s="62">
        <f>订货1!AW5</f>
        <v>0</v>
      </c>
      <c r="CA5" s="113"/>
      <c r="CB5" s="113"/>
      <c r="CC5" s="62">
        <f>订货1!AX5</f>
        <v>0</v>
      </c>
      <c r="CD5" s="113"/>
      <c r="CE5" s="113"/>
      <c r="CF5" s="62">
        <f>订货1!AY5</f>
        <v>0</v>
      </c>
      <c r="CG5" s="113"/>
      <c r="CH5" s="113"/>
      <c r="CI5" s="62">
        <f>订货1!AZ5</f>
        <v>0</v>
      </c>
      <c r="CJ5" s="113"/>
      <c r="CK5" s="113"/>
      <c r="CL5" s="62">
        <f>订货1!BA5</f>
        <v>0</v>
      </c>
      <c r="CM5" s="113"/>
      <c r="CN5" s="113"/>
      <c r="CO5" s="62">
        <f>订货1!BB5</f>
        <v>0</v>
      </c>
      <c r="CP5" s="113"/>
      <c r="CQ5" s="113"/>
      <c r="CR5" s="62">
        <f>订货1!BC5</f>
        <v>0</v>
      </c>
      <c r="CS5" s="113"/>
      <c r="CT5" s="113"/>
      <c r="CU5" s="62">
        <f>订货1!BD5</f>
        <v>0</v>
      </c>
      <c r="CV5" s="113"/>
      <c r="CW5" s="113"/>
      <c r="CX5" s="62">
        <f>订货1!BE5</f>
        <v>0</v>
      </c>
      <c r="CY5" s="113"/>
      <c r="CZ5" s="113"/>
      <c r="DA5" s="62">
        <f>订货1!BF5</f>
        <v>0</v>
      </c>
      <c r="DB5" s="113"/>
      <c r="DC5" s="113"/>
      <c r="DD5" s="208">
        <v>0</v>
      </c>
      <c r="DE5" s="110" t="e">
        <f t="shared" ref="DE5:DE66" si="31">INT(G5/DI5)</f>
        <v>#DIV/0!</v>
      </c>
      <c r="DF5" s="52">
        <f t="shared" si="29"/>
        <v>0</v>
      </c>
      <c r="DG5" s="32" t="str">
        <f>订货1!$Q5</f>
        <v>箱</v>
      </c>
      <c r="DH5" s="209" t="e">
        <f>DF5/($DH$2/10000)</f>
        <v>#DIV/0!</v>
      </c>
    </row>
    <row r="6" spans="1:114" ht="15" customHeight="1">
      <c r="A6" s="48">
        <f>订货1!A6</f>
        <v>101730</v>
      </c>
      <c r="B6" s="44" t="str">
        <f>VLOOKUP($A6,订货1!$A6:$G245,7,0)</f>
        <v>卓典食品科技（江苏）有限公司</v>
      </c>
      <c r="C6" s="44" t="str">
        <f>VLOOKUP($A6,订货1!$A6:$H245,8,0)</f>
        <v>卓典食品科技（江苏）有限公司</v>
      </c>
      <c r="D6" s="44" t="str">
        <f>VLOOKUP($A6,订货1!$A6:$B245,2,0)</f>
        <v>利梭多粉</v>
      </c>
      <c r="E6" s="44" t="str">
        <f>VLOOKUP($A6,订货1!$A6:$E245,5,0)</f>
        <v>33g*20包*20袋/箱</v>
      </c>
      <c r="F6" s="49" t="str">
        <f>VLOOKUP($A6,订货1!$A6:$F245,6,0)</f>
        <v>箱</v>
      </c>
      <c r="G6" s="203"/>
      <c r="H6" s="56">
        <f t="shared" si="30"/>
        <v>0</v>
      </c>
      <c r="I6" s="196"/>
      <c r="J6" s="113"/>
      <c r="K6" s="113"/>
      <c r="L6" s="196"/>
      <c r="M6" s="113"/>
      <c r="N6" s="113"/>
      <c r="O6" s="62">
        <f>订货1!AB6</f>
        <v>0</v>
      </c>
      <c r="P6" s="113"/>
      <c r="Q6" s="113"/>
      <c r="R6" s="62">
        <f>订货1!AC6</f>
        <v>0</v>
      </c>
      <c r="S6" s="113"/>
      <c r="T6" s="113"/>
      <c r="U6" s="62">
        <f>订货1!AD6</f>
        <v>0</v>
      </c>
      <c r="V6" s="113"/>
      <c r="W6" s="113"/>
      <c r="X6" s="62">
        <f>订货1!AE6</f>
        <v>0</v>
      </c>
      <c r="Y6" s="113"/>
      <c r="Z6" s="113"/>
      <c r="AA6" s="62">
        <f>订货1!AF6</f>
        <v>0</v>
      </c>
      <c r="AB6" s="113"/>
      <c r="AC6" s="113"/>
      <c r="AD6" s="62">
        <f>订货1!AG6</f>
        <v>0</v>
      </c>
      <c r="AE6" s="113"/>
      <c r="AF6" s="113"/>
      <c r="AG6" s="62">
        <f>订货1!AH6</f>
        <v>0</v>
      </c>
      <c r="AH6" s="113"/>
      <c r="AI6" s="113"/>
      <c r="AJ6" s="62">
        <f>订货1!AI6</f>
        <v>0</v>
      </c>
      <c r="AK6" s="113"/>
      <c r="AL6" s="113"/>
      <c r="AM6" s="62">
        <f>订货1!AJ6</f>
        <v>0</v>
      </c>
      <c r="AN6" s="113"/>
      <c r="AO6" s="113"/>
      <c r="AP6" s="62">
        <f>订货1!AK6</f>
        <v>0</v>
      </c>
      <c r="AQ6" s="113"/>
      <c r="AR6" s="113"/>
      <c r="AS6" s="62">
        <f>订货1!AL6</f>
        <v>0</v>
      </c>
      <c r="AT6" s="113"/>
      <c r="AU6" s="113"/>
      <c r="AV6" s="62">
        <f>订货1!AM6</f>
        <v>0</v>
      </c>
      <c r="AW6" s="113"/>
      <c r="AX6" s="113"/>
      <c r="AY6" s="62">
        <f>订货1!AN6</f>
        <v>0</v>
      </c>
      <c r="AZ6" s="113"/>
      <c r="BA6" s="113"/>
      <c r="BB6" s="62">
        <f>订货1!AO6</f>
        <v>0</v>
      </c>
      <c r="BC6" s="113"/>
      <c r="BD6" s="113"/>
      <c r="BE6" s="62">
        <f>订货1!AP6</f>
        <v>0</v>
      </c>
      <c r="BF6" s="113"/>
      <c r="BG6" s="113"/>
      <c r="BH6" s="62">
        <f>订货1!AQ6</f>
        <v>0</v>
      </c>
      <c r="BI6" s="113"/>
      <c r="BJ6" s="113"/>
      <c r="BK6" s="62">
        <f>订货1!AR6</f>
        <v>0</v>
      </c>
      <c r="BL6" s="113"/>
      <c r="BM6" s="113"/>
      <c r="BN6" s="62">
        <f>订货1!AS6</f>
        <v>0</v>
      </c>
      <c r="BO6" s="113"/>
      <c r="BP6" s="113"/>
      <c r="BQ6" s="62">
        <f>订货1!AT6</f>
        <v>0</v>
      </c>
      <c r="BR6" s="113"/>
      <c r="BS6" s="113"/>
      <c r="BT6" s="62">
        <f>订货1!AU6</f>
        <v>0</v>
      </c>
      <c r="BU6" s="113"/>
      <c r="BV6" s="113"/>
      <c r="BW6" s="62">
        <f>订货1!AV6</f>
        <v>0</v>
      </c>
      <c r="BX6" s="113"/>
      <c r="BY6" s="113"/>
      <c r="BZ6" s="62">
        <f>订货1!AW6</f>
        <v>0</v>
      </c>
      <c r="CA6" s="113"/>
      <c r="CB6" s="113"/>
      <c r="CC6" s="62">
        <f>订货1!AX6</f>
        <v>0</v>
      </c>
      <c r="CD6" s="113"/>
      <c r="CE6" s="113"/>
      <c r="CF6" s="62">
        <f>订货1!AY6</f>
        <v>0</v>
      </c>
      <c r="CG6" s="113"/>
      <c r="CH6" s="113"/>
      <c r="CI6" s="62">
        <f>订货1!AZ6</f>
        <v>0</v>
      </c>
      <c r="CJ6" s="113"/>
      <c r="CK6" s="113"/>
      <c r="CL6" s="62">
        <f>订货1!BA6</f>
        <v>0</v>
      </c>
      <c r="CM6" s="113"/>
      <c r="CN6" s="113"/>
      <c r="CO6" s="62">
        <f>订货1!BB6</f>
        <v>0</v>
      </c>
      <c r="CP6" s="113"/>
      <c r="CQ6" s="113"/>
      <c r="CR6" s="62">
        <f>订货1!BC6</f>
        <v>0</v>
      </c>
      <c r="CS6" s="113"/>
      <c r="CT6" s="113"/>
      <c r="CU6" s="62">
        <f>订货1!BD6</f>
        <v>0</v>
      </c>
      <c r="CV6" s="113"/>
      <c r="CW6" s="113"/>
      <c r="CX6" s="62">
        <f>订货1!BE6</f>
        <v>0</v>
      </c>
      <c r="CY6" s="113"/>
      <c r="CZ6" s="113"/>
      <c r="DA6" s="62">
        <f>订货1!BF6</f>
        <v>0</v>
      </c>
      <c r="DB6" s="113"/>
      <c r="DC6" s="113"/>
      <c r="DD6" s="208">
        <v>0</v>
      </c>
      <c r="DE6" s="110" t="e">
        <f t="shared" si="31"/>
        <v>#DIV/0!</v>
      </c>
      <c r="DF6" s="52">
        <f t="shared" si="29"/>
        <v>0</v>
      </c>
      <c r="DG6" s="32" t="str">
        <f>订货1!$Q6</f>
        <v>箱</v>
      </c>
      <c r="DH6" s="209" t="e">
        <f t="shared" ref="DH6:DH67" si="32">DF6/($DH$2/10000)</f>
        <v>#DIV/0!</v>
      </c>
    </row>
    <row r="7" spans="1:114" ht="15" customHeight="1">
      <c r="A7" s="48">
        <f>订货1!A7</f>
        <v>101739</v>
      </c>
      <c r="B7" s="44" t="str">
        <f>VLOOKUP($A7,订货1!$A7:$G246,7,0)</f>
        <v>沈阳华美食品有限公司</v>
      </c>
      <c r="C7" s="44" t="str">
        <f>VLOOKUP($A7,订货1!$A7:$H246,8,0)</f>
        <v>沈阳华美食品有限公司</v>
      </c>
      <c r="D7" s="44" t="str">
        <f>VLOOKUP($A7,订货1!$A7:$B246,2,0)</f>
        <v>华美裹粉鸡胗</v>
      </c>
      <c r="E7" s="44" t="str">
        <f>VLOOKUP($A7,订货1!$A7:$E246,5,0)</f>
        <v>40g*20*12</v>
      </c>
      <c r="F7" s="49" t="str">
        <f>VLOOKUP($A7,订货1!$A7:$F246,6,0)</f>
        <v>箱</v>
      </c>
      <c r="G7" s="203"/>
      <c r="H7" s="56">
        <f t="shared" si="30"/>
        <v>0</v>
      </c>
      <c r="I7" s="196"/>
      <c r="J7" s="113"/>
      <c r="K7" s="113"/>
      <c r="L7" s="196"/>
      <c r="M7" s="113"/>
      <c r="N7" s="113"/>
      <c r="O7" s="62">
        <f>订货1!AB7</f>
        <v>0</v>
      </c>
      <c r="P7" s="113"/>
      <c r="Q7" s="113"/>
      <c r="R7" s="62">
        <f>订货1!AC7</f>
        <v>0</v>
      </c>
      <c r="S7" s="113"/>
      <c r="T7" s="113"/>
      <c r="U7" s="62">
        <f>订货1!AD7</f>
        <v>0</v>
      </c>
      <c r="V7" s="113"/>
      <c r="W7" s="113"/>
      <c r="X7" s="62">
        <f>订货1!AE7</f>
        <v>0</v>
      </c>
      <c r="Y7" s="113"/>
      <c r="Z7" s="113"/>
      <c r="AA7" s="62">
        <f>订货1!AF7</f>
        <v>0</v>
      </c>
      <c r="AB7" s="113"/>
      <c r="AC7" s="113"/>
      <c r="AD7" s="62">
        <f>订货1!AG7</f>
        <v>0</v>
      </c>
      <c r="AE7" s="113"/>
      <c r="AF7" s="113"/>
      <c r="AG7" s="62">
        <f>订货1!AH7</f>
        <v>0</v>
      </c>
      <c r="AH7" s="113"/>
      <c r="AI7" s="113"/>
      <c r="AJ7" s="62">
        <f>订货1!AI7</f>
        <v>0</v>
      </c>
      <c r="AK7" s="113"/>
      <c r="AL7" s="113"/>
      <c r="AM7" s="62">
        <f>订货1!AJ7</f>
        <v>0</v>
      </c>
      <c r="AN7" s="113"/>
      <c r="AO7" s="113"/>
      <c r="AP7" s="62">
        <f>订货1!AK7</f>
        <v>0</v>
      </c>
      <c r="AQ7" s="113"/>
      <c r="AR7" s="113"/>
      <c r="AS7" s="62">
        <f>订货1!AL7</f>
        <v>0</v>
      </c>
      <c r="AT7" s="113"/>
      <c r="AU7" s="113"/>
      <c r="AV7" s="62">
        <f>订货1!AM7</f>
        <v>0</v>
      </c>
      <c r="AW7" s="113"/>
      <c r="AX7" s="113"/>
      <c r="AY7" s="62">
        <f>订货1!AN7</f>
        <v>0</v>
      </c>
      <c r="AZ7" s="113"/>
      <c r="BA7" s="113"/>
      <c r="BB7" s="62">
        <f>订货1!AO7</f>
        <v>0</v>
      </c>
      <c r="BC7" s="113"/>
      <c r="BD7" s="113"/>
      <c r="BE7" s="62">
        <f>订货1!AP7</f>
        <v>0</v>
      </c>
      <c r="BF7" s="113"/>
      <c r="BG7" s="113"/>
      <c r="BH7" s="62">
        <f>订货1!AQ7</f>
        <v>0</v>
      </c>
      <c r="BI7" s="113"/>
      <c r="BJ7" s="113"/>
      <c r="BK7" s="62">
        <f>订货1!AR7</f>
        <v>0</v>
      </c>
      <c r="BL7" s="113"/>
      <c r="BM7" s="113"/>
      <c r="BN7" s="62">
        <f>订货1!AS7</f>
        <v>0</v>
      </c>
      <c r="BO7" s="113"/>
      <c r="BP7" s="113"/>
      <c r="BQ7" s="62">
        <f>订货1!AT7</f>
        <v>0</v>
      </c>
      <c r="BR7" s="113"/>
      <c r="BS7" s="113"/>
      <c r="BT7" s="62">
        <f>订货1!AU7</f>
        <v>0</v>
      </c>
      <c r="BU7" s="113"/>
      <c r="BV7" s="113"/>
      <c r="BW7" s="62">
        <f>订货1!AV7</f>
        <v>0</v>
      </c>
      <c r="BX7" s="113"/>
      <c r="BY7" s="113"/>
      <c r="BZ7" s="62">
        <f>订货1!AW7</f>
        <v>0</v>
      </c>
      <c r="CA7" s="113"/>
      <c r="CB7" s="113"/>
      <c r="CC7" s="62">
        <f>订货1!AX7</f>
        <v>0</v>
      </c>
      <c r="CD7" s="113"/>
      <c r="CE7" s="113"/>
      <c r="CF7" s="62">
        <f>订货1!AY7</f>
        <v>0</v>
      </c>
      <c r="CG7" s="113"/>
      <c r="CH7" s="113"/>
      <c r="CI7" s="62">
        <f>订货1!AZ7</f>
        <v>0</v>
      </c>
      <c r="CJ7" s="113"/>
      <c r="CK7" s="113"/>
      <c r="CL7" s="62">
        <f>订货1!BA7</f>
        <v>0</v>
      </c>
      <c r="CM7" s="113"/>
      <c r="CN7" s="113"/>
      <c r="CO7" s="62">
        <f>订货1!BB7</f>
        <v>0</v>
      </c>
      <c r="CP7" s="113"/>
      <c r="CQ7" s="113"/>
      <c r="CR7" s="62">
        <f>订货1!BC7</f>
        <v>0</v>
      </c>
      <c r="CS7" s="113"/>
      <c r="CT7" s="113"/>
      <c r="CU7" s="62">
        <f>订货1!BD7</f>
        <v>0</v>
      </c>
      <c r="CV7" s="113"/>
      <c r="CW7" s="113"/>
      <c r="CX7" s="62">
        <f>订货1!BE7</f>
        <v>0</v>
      </c>
      <c r="CY7" s="113"/>
      <c r="CZ7" s="113"/>
      <c r="DA7" s="62">
        <f>订货1!BF7</f>
        <v>0</v>
      </c>
      <c r="DB7" s="113"/>
      <c r="DC7" s="113"/>
      <c r="DD7" s="208">
        <v>0</v>
      </c>
      <c r="DE7" s="110" t="e">
        <f t="shared" si="31"/>
        <v>#DIV/0!</v>
      </c>
      <c r="DF7" s="52">
        <f t="shared" si="29"/>
        <v>0</v>
      </c>
      <c r="DG7" s="32" t="str">
        <f>订货1!$Q7</f>
        <v>箱</v>
      </c>
      <c r="DH7" s="209" t="e">
        <f t="shared" si="32"/>
        <v>#DIV/0!</v>
      </c>
    </row>
    <row r="8" spans="1:114" ht="15" customHeight="1">
      <c r="A8" s="48">
        <f>订货1!A8</f>
        <v>101752</v>
      </c>
      <c r="B8" s="44" t="str">
        <f>VLOOKUP($A8,订货1!$A8:$G248,7,0)</f>
        <v>山東三涛食品有限公司</v>
      </c>
      <c r="C8" s="44" t="str">
        <f>VLOOKUP($A8,订货1!$A8:$H248,8,0)</f>
        <v>山東三涛食品有限公司</v>
      </c>
      <c r="D8" s="44" t="str">
        <f>VLOOKUP($A8,订货1!$A8:$B248,2,0)</f>
        <v>冷冻土豆泥</v>
      </c>
      <c r="E8" s="44" t="str">
        <f>VLOOKUP($A8,订货1!$A8:$E248,5,0)</f>
        <v>1kg*10</v>
      </c>
      <c r="F8" s="49" t="str">
        <f>VLOOKUP($A8,订货1!$A8:$F248,6,0)</f>
        <v>箱</v>
      </c>
      <c r="G8" s="203"/>
      <c r="H8" s="56">
        <f t="shared" si="30"/>
        <v>0</v>
      </c>
      <c r="I8" s="196"/>
      <c r="J8" s="113"/>
      <c r="K8" s="113"/>
      <c r="L8" s="196"/>
      <c r="M8" s="113"/>
      <c r="N8" s="113"/>
      <c r="O8" s="62">
        <f>订货1!AB8</f>
        <v>0</v>
      </c>
      <c r="P8" s="113"/>
      <c r="Q8" s="113"/>
      <c r="R8" s="62">
        <f>订货1!AC8</f>
        <v>0</v>
      </c>
      <c r="S8" s="113"/>
      <c r="T8" s="113"/>
      <c r="U8" s="62">
        <f>订货1!AD8</f>
        <v>0</v>
      </c>
      <c r="V8" s="113"/>
      <c r="W8" s="113"/>
      <c r="X8" s="62">
        <f>订货1!AE8</f>
        <v>0</v>
      </c>
      <c r="Y8" s="113"/>
      <c r="Z8" s="113"/>
      <c r="AA8" s="62">
        <f>订货1!AF8</f>
        <v>0</v>
      </c>
      <c r="AB8" s="113"/>
      <c r="AC8" s="113"/>
      <c r="AD8" s="62">
        <f>订货1!AG8</f>
        <v>0</v>
      </c>
      <c r="AE8" s="113"/>
      <c r="AF8" s="113"/>
      <c r="AG8" s="62">
        <f>订货1!AH8</f>
        <v>0</v>
      </c>
      <c r="AH8" s="113"/>
      <c r="AI8" s="113"/>
      <c r="AJ8" s="62">
        <f>订货1!AI8</f>
        <v>0</v>
      </c>
      <c r="AK8" s="113"/>
      <c r="AL8" s="113"/>
      <c r="AM8" s="62">
        <f>订货1!AJ8</f>
        <v>0</v>
      </c>
      <c r="AN8" s="113"/>
      <c r="AO8" s="113"/>
      <c r="AP8" s="62">
        <f>订货1!AK8</f>
        <v>0</v>
      </c>
      <c r="AQ8" s="113"/>
      <c r="AR8" s="113"/>
      <c r="AS8" s="62">
        <f>订货1!AL8</f>
        <v>0</v>
      </c>
      <c r="AT8" s="113"/>
      <c r="AU8" s="113"/>
      <c r="AV8" s="62">
        <f>订货1!AM8</f>
        <v>0</v>
      </c>
      <c r="AW8" s="113"/>
      <c r="AX8" s="113"/>
      <c r="AY8" s="62">
        <f>订货1!AN8</f>
        <v>0</v>
      </c>
      <c r="AZ8" s="113"/>
      <c r="BA8" s="113"/>
      <c r="BB8" s="62">
        <f>订货1!AO8</f>
        <v>0</v>
      </c>
      <c r="BC8" s="113"/>
      <c r="BD8" s="113"/>
      <c r="BE8" s="62">
        <f>订货1!AP8</f>
        <v>0</v>
      </c>
      <c r="BF8" s="113"/>
      <c r="BG8" s="113"/>
      <c r="BH8" s="62">
        <f>订货1!AQ8</f>
        <v>0</v>
      </c>
      <c r="BI8" s="113"/>
      <c r="BJ8" s="113"/>
      <c r="BK8" s="62">
        <f>订货1!AR8</f>
        <v>0</v>
      </c>
      <c r="BL8" s="113"/>
      <c r="BM8" s="113"/>
      <c r="BN8" s="62">
        <f>订货1!AS8</f>
        <v>0</v>
      </c>
      <c r="BO8" s="113"/>
      <c r="BP8" s="113"/>
      <c r="BQ8" s="62">
        <f>订货1!AT8</f>
        <v>0</v>
      </c>
      <c r="BR8" s="113"/>
      <c r="BS8" s="113"/>
      <c r="BT8" s="62">
        <f>订货1!AU8</f>
        <v>0</v>
      </c>
      <c r="BU8" s="113"/>
      <c r="BV8" s="113"/>
      <c r="BW8" s="62">
        <f>订货1!AV8</f>
        <v>0</v>
      </c>
      <c r="BX8" s="113"/>
      <c r="BY8" s="113"/>
      <c r="BZ8" s="62">
        <f>订货1!AW8</f>
        <v>0</v>
      </c>
      <c r="CA8" s="113"/>
      <c r="CB8" s="113"/>
      <c r="CC8" s="62">
        <f>订货1!AX8</f>
        <v>0</v>
      </c>
      <c r="CD8" s="113"/>
      <c r="CE8" s="113"/>
      <c r="CF8" s="62">
        <f>订货1!AY8</f>
        <v>0</v>
      </c>
      <c r="CG8" s="113"/>
      <c r="CH8" s="113"/>
      <c r="CI8" s="62">
        <f>订货1!AZ8</f>
        <v>0</v>
      </c>
      <c r="CJ8" s="113"/>
      <c r="CK8" s="113"/>
      <c r="CL8" s="62">
        <f>订货1!BA8</f>
        <v>0</v>
      </c>
      <c r="CM8" s="113"/>
      <c r="CN8" s="113"/>
      <c r="CO8" s="62">
        <f>订货1!BB8</f>
        <v>0</v>
      </c>
      <c r="CP8" s="113"/>
      <c r="CQ8" s="113"/>
      <c r="CR8" s="62">
        <f>订货1!BC8</f>
        <v>0</v>
      </c>
      <c r="CS8" s="113"/>
      <c r="CT8" s="113"/>
      <c r="CU8" s="62">
        <f>订货1!BD8</f>
        <v>0</v>
      </c>
      <c r="CV8" s="113"/>
      <c r="CW8" s="113"/>
      <c r="CX8" s="62">
        <f>订货1!BE8</f>
        <v>0</v>
      </c>
      <c r="CY8" s="113"/>
      <c r="CZ8" s="113"/>
      <c r="DA8" s="62">
        <f>订货1!BF8</f>
        <v>0</v>
      </c>
      <c r="DB8" s="113"/>
      <c r="DC8" s="113"/>
      <c r="DD8" s="208">
        <v>0</v>
      </c>
      <c r="DE8" s="110" t="e">
        <f t="shared" si="31"/>
        <v>#DIV/0!</v>
      </c>
      <c r="DF8" s="52">
        <f t="shared" si="29"/>
        <v>0</v>
      </c>
      <c r="DG8" s="32" t="str">
        <f>订货1!$Q8</f>
        <v>箱</v>
      </c>
      <c r="DH8" s="209" t="e">
        <f t="shared" si="32"/>
        <v>#DIV/0!</v>
      </c>
    </row>
    <row r="9" spans="1:114" ht="15" customHeight="1">
      <c r="A9" s="48">
        <f>订货1!A9</f>
        <v>101686</v>
      </c>
      <c r="B9" s="44" t="str">
        <f>VLOOKUP($A9,订货1!$A9:$G250,7,0)</f>
        <v>融滋合味（上海）科技有限公司</v>
      </c>
      <c r="C9" s="44" t="str">
        <f>VLOOKUP($A9,订货1!$A9:$H250,8,0)</f>
        <v>宿州皇冠食品有限公司</v>
      </c>
      <c r="D9" s="44" t="str">
        <f>VLOOKUP($A9,订货1!$A9:$B250,2,0)</f>
        <v>黄桃丁罐头（825g）</v>
      </c>
      <c r="E9" s="44" t="str">
        <f>VLOOKUP($A9,订货1!$A9:$E250,5,0)</f>
        <v>0.825kg*24can</v>
      </c>
      <c r="F9" s="49" t="str">
        <f>VLOOKUP($A9,订货1!$A9:$F250,6,0)</f>
        <v>箱</v>
      </c>
      <c r="G9" s="203"/>
      <c r="H9" s="56">
        <f t="shared" si="30"/>
        <v>1</v>
      </c>
      <c r="I9" s="196"/>
      <c r="J9" s="113"/>
      <c r="K9" s="113"/>
      <c r="L9" s="196"/>
      <c r="M9" s="113"/>
      <c r="N9" s="113"/>
      <c r="O9" s="62">
        <f>订货1!AB9</f>
        <v>0</v>
      </c>
      <c r="P9" s="113"/>
      <c r="Q9" s="113"/>
      <c r="R9" s="62">
        <f>订货1!AC9</f>
        <v>0</v>
      </c>
      <c r="S9" s="113"/>
      <c r="T9" s="113"/>
      <c r="U9" s="62">
        <f>订货1!AD9</f>
        <v>0</v>
      </c>
      <c r="V9" s="113"/>
      <c r="W9" s="113"/>
      <c r="X9" s="62">
        <f>订货1!AE9</f>
        <v>0</v>
      </c>
      <c r="Y9" s="113"/>
      <c r="Z9" s="113"/>
      <c r="AA9" s="62">
        <f>订货1!AF9</f>
        <v>0</v>
      </c>
      <c r="AB9" s="113"/>
      <c r="AC9" s="113"/>
      <c r="AD9" s="62">
        <f>订货1!AG9</f>
        <v>0</v>
      </c>
      <c r="AE9" s="113"/>
      <c r="AF9" s="113"/>
      <c r="AG9" s="62">
        <f>订货1!AH9</f>
        <v>0</v>
      </c>
      <c r="AH9" s="113"/>
      <c r="AI9" s="113"/>
      <c r="AJ9" s="62">
        <f>订货1!AI9</f>
        <v>1</v>
      </c>
      <c r="AK9" s="113"/>
      <c r="AL9" s="113"/>
      <c r="AM9" s="62">
        <f>订货1!AJ9</f>
        <v>0</v>
      </c>
      <c r="AN9" s="113"/>
      <c r="AO9" s="113"/>
      <c r="AP9" s="62">
        <f>订货1!AK9</f>
        <v>0</v>
      </c>
      <c r="AQ9" s="113"/>
      <c r="AR9" s="113"/>
      <c r="AS9" s="62">
        <f>订货1!AL9</f>
        <v>0</v>
      </c>
      <c r="AT9" s="113"/>
      <c r="AU9" s="113"/>
      <c r="AV9" s="62">
        <f>订货1!AM9</f>
        <v>0</v>
      </c>
      <c r="AW9" s="113"/>
      <c r="AX9" s="113"/>
      <c r="AY9" s="62">
        <f>订货1!AN9</f>
        <v>0</v>
      </c>
      <c r="AZ9" s="113"/>
      <c r="BA9" s="113"/>
      <c r="BB9" s="62">
        <f>订货1!AO9</f>
        <v>0</v>
      </c>
      <c r="BC9" s="113"/>
      <c r="BD9" s="113"/>
      <c r="BE9" s="62">
        <f>订货1!AP9</f>
        <v>0</v>
      </c>
      <c r="BF9" s="113"/>
      <c r="BG9" s="113"/>
      <c r="BH9" s="62">
        <f>订货1!AQ9</f>
        <v>0</v>
      </c>
      <c r="BI9" s="113"/>
      <c r="BJ9" s="113"/>
      <c r="BK9" s="62">
        <f>订货1!AR9</f>
        <v>0</v>
      </c>
      <c r="BL9" s="113"/>
      <c r="BM9" s="113"/>
      <c r="BN9" s="62">
        <f>订货1!AS9</f>
        <v>0</v>
      </c>
      <c r="BO9" s="113"/>
      <c r="BP9" s="113"/>
      <c r="BQ9" s="62">
        <f>订货1!AT9</f>
        <v>0</v>
      </c>
      <c r="BR9" s="113"/>
      <c r="BS9" s="113"/>
      <c r="BT9" s="62">
        <f>订货1!AU9</f>
        <v>0</v>
      </c>
      <c r="BU9" s="113"/>
      <c r="BV9" s="113"/>
      <c r="BW9" s="62">
        <f>订货1!AV9</f>
        <v>0</v>
      </c>
      <c r="BX9" s="113"/>
      <c r="BY9" s="113"/>
      <c r="BZ9" s="62">
        <f>订货1!AW9</f>
        <v>0</v>
      </c>
      <c r="CA9" s="113"/>
      <c r="CB9" s="113"/>
      <c r="CC9" s="62">
        <f>订货1!AX9</f>
        <v>0</v>
      </c>
      <c r="CD9" s="113"/>
      <c r="CE9" s="113"/>
      <c r="CF9" s="62">
        <f>订货1!AY9</f>
        <v>0</v>
      </c>
      <c r="CG9" s="113"/>
      <c r="CH9" s="113"/>
      <c r="CI9" s="62">
        <f>订货1!AZ9</f>
        <v>0</v>
      </c>
      <c r="CJ9" s="113"/>
      <c r="CK9" s="113"/>
      <c r="CL9" s="62">
        <f>订货1!BA9</f>
        <v>0</v>
      </c>
      <c r="CM9" s="113"/>
      <c r="CN9" s="113"/>
      <c r="CO9" s="62">
        <f>订货1!BB9</f>
        <v>0</v>
      </c>
      <c r="CP9" s="113"/>
      <c r="CQ9" s="113"/>
      <c r="CR9" s="62">
        <f>订货1!BC9</f>
        <v>0</v>
      </c>
      <c r="CS9" s="113"/>
      <c r="CT9" s="113"/>
      <c r="CU9" s="62">
        <f>订货1!BD9</f>
        <v>0</v>
      </c>
      <c r="CV9" s="113"/>
      <c r="CW9" s="113"/>
      <c r="CX9" s="62">
        <f>订货1!BE9</f>
        <v>0</v>
      </c>
      <c r="CY9" s="113"/>
      <c r="CZ9" s="113"/>
      <c r="DA9" s="62">
        <f>订货1!BF9</f>
        <v>0</v>
      </c>
      <c r="DB9" s="113"/>
      <c r="DC9" s="113"/>
      <c r="DD9" s="208">
        <v>0</v>
      </c>
      <c r="DE9" s="110" t="e">
        <f t="shared" si="31"/>
        <v>#DIV/0!</v>
      </c>
      <c r="DF9" s="52">
        <f t="shared" si="29"/>
        <v>1</v>
      </c>
      <c r="DG9" s="32" t="str">
        <f>订货1!$Q9</f>
        <v>箱</v>
      </c>
      <c r="DH9" s="209" t="e">
        <f t="shared" si="32"/>
        <v>#DIV/0!</v>
      </c>
    </row>
    <row r="10" spans="1:114" ht="15" customHeight="1">
      <c r="A10" s="48">
        <f>订货1!A10</f>
        <v>101112</v>
      </c>
      <c r="B10" s="44" t="str">
        <f>VLOOKUP($A10,订货1!$A10:$G251,7,0)</f>
        <v>上海捷仪经贸有限公司</v>
      </c>
      <c r="C10" s="44" t="str">
        <f>VLOOKUP($A10,订货1!$A10:$H251,8,0)</f>
        <v>亨氏（青岛）食品有限公司</v>
      </c>
      <c r="D10" s="44" t="str">
        <f>VLOOKUP($A10,订货1!$A10:$B251,2,0)</f>
        <v>亨氏番茄调味酱</v>
      </c>
      <c r="E10" s="44" t="str">
        <f>VLOOKUP($A10,订货1!$A10:$E251,5,0)</f>
        <v>10g*600pc</v>
      </c>
      <c r="F10" s="49" t="str">
        <f>VLOOKUP($A10,订货1!$A10:$F251,6,0)</f>
        <v>箱</v>
      </c>
      <c r="G10" s="203"/>
      <c r="H10" s="56">
        <f t="shared" si="30"/>
        <v>2</v>
      </c>
      <c r="I10" s="196"/>
      <c r="J10" s="113"/>
      <c r="K10" s="113"/>
      <c r="L10" s="196"/>
      <c r="M10" s="113"/>
      <c r="N10" s="113"/>
      <c r="O10" s="62">
        <f>订货1!AB10</f>
        <v>0</v>
      </c>
      <c r="P10" s="113"/>
      <c r="Q10" s="113"/>
      <c r="R10" s="62">
        <f>订货1!AC10</f>
        <v>1</v>
      </c>
      <c r="S10" s="113"/>
      <c r="T10" s="113"/>
      <c r="U10" s="62">
        <f>订货1!AD10</f>
        <v>0</v>
      </c>
      <c r="V10" s="113"/>
      <c r="W10" s="113"/>
      <c r="X10" s="62">
        <f>订货1!AE10</f>
        <v>0</v>
      </c>
      <c r="Y10" s="113"/>
      <c r="Z10" s="113"/>
      <c r="AA10" s="62">
        <f>订货1!AF10</f>
        <v>0</v>
      </c>
      <c r="AB10" s="113"/>
      <c r="AC10" s="113"/>
      <c r="AD10" s="62">
        <f>订货1!AG10</f>
        <v>0</v>
      </c>
      <c r="AE10" s="113"/>
      <c r="AF10" s="113"/>
      <c r="AG10" s="62">
        <f>订货1!AH10</f>
        <v>0</v>
      </c>
      <c r="AH10" s="113"/>
      <c r="AI10" s="113"/>
      <c r="AJ10" s="62">
        <f>订货1!AI10</f>
        <v>0</v>
      </c>
      <c r="AK10" s="113"/>
      <c r="AL10" s="113"/>
      <c r="AM10" s="62">
        <f>订货1!AJ10</f>
        <v>0</v>
      </c>
      <c r="AN10" s="113"/>
      <c r="AO10" s="113"/>
      <c r="AP10" s="62">
        <f>订货1!AK10</f>
        <v>0</v>
      </c>
      <c r="AQ10" s="113"/>
      <c r="AR10" s="113"/>
      <c r="AS10" s="62">
        <f>订货1!AL10</f>
        <v>0</v>
      </c>
      <c r="AT10" s="113"/>
      <c r="AU10" s="113"/>
      <c r="AV10" s="62">
        <f>订货1!AM10</f>
        <v>1</v>
      </c>
      <c r="AW10" s="113"/>
      <c r="AX10" s="113"/>
      <c r="AY10" s="62">
        <f>订货1!AN10</f>
        <v>0</v>
      </c>
      <c r="AZ10" s="113"/>
      <c r="BA10" s="113"/>
      <c r="BB10" s="62">
        <f>订货1!AO10</f>
        <v>0</v>
      </c>
      <c r="BC10" s="113"/>
      <c r="BD10" s="113"/>
      <c r="BE10" s="62">
        <f>订货1!AP10</f>
        <v>0</v>
      </c>
      <c r="BF10" s="113"/>
      <c r="BG10" s="113"/>
      <c r="BH10" s="62">
        <f>订货1!AQ10</f>
        <v>0</v>
      </c>
      <c r="BI10" s="113"/>
      <c r="BJ10" s="113"/>
      <c r="BK10" s="62">
        <f>订货1!AR10</f>
        <v>0</v>
      </c>
      <c r="BL10" s="113"/>
      <c r="BM10" s="113"/>
      <c r="BN10" s="62">
        <f>订货1!AS10</f>
        <v>0</v>
      </c>
      <c r="BO10" s="113"/>
      <c r="BP10" s="113"/>
      <c r="BQ10" s="62">
        <f>订货1!AT10</f>
        <v>0</v>
      </c>
      <c r="BR10" s="113"/>
      <c r="BS10" s="113"/>
      <c r="BT10" s="62">
        <f>订货1!AU10</f>
        <v>0</v>
      </c>
      <c r="BU10" s="113"/>
      <c r="BV10" s="113"/>
      <c r="BW10" s="62">
        <f>订货1!AV10</f>
        <v>0</v>
      </c>
      <c r="BX10" s="113"/>
      <c r="BY10" s="113"/>
      <c r="BZ10" s="62">
        <f>订货1!AW10</f>
        <v>0</v>
      </c>
      <c r="CA10" s="113"/>
      <c r="CB10" s="113"/>
      <c r="CC10" s="62">
        <f>订货1!AX10</f>
        <v>0</v>
      </c>
      <c r="CD10" s="113"/>
      <c r="CE10" s="113"/>
      <c r="CF10" s="62">
        <f>订货1!AY10</f>
        <v>0</v>
      </c>
      <c r="CG10" s="113"/>
      <c r="CH10" s="113"/>
      <c r="CI10" s="62">
        <f>订货1!AZ10</f>
        <v>0</v>
      </c>
      <c r="CJ10" s="113"/>
      <c r="CK10" s="113"/>
      <c r="CL10" s="62">
        <f>订货1!BA10</f>
        <v>0</v>
      </c>
      <c r="CM10" s="113"/>
      <c r="CN10" s="113"/>
      <c r="CO10" s="62">
        <f>订货1!BB10</f>
        <v>0</v>
      </c>
      <c r="CP10" s="113"/>
      <c r="CQ10" s="113"/>
      <c r="CR10" s="62">
        <f>订货1!BC10</f>
        <v>0</v>
      </c>
      <c r="CS10" s="113"/>
      <c r="CT10" s="113"/>
      <c r="CU10" s="62">
        <f>订货1!BD10</f>
        <v>0</v>
      </c>
      <c r="CV10" s="113"/>
      <c r="CW10" s="113"/>
      <c r="CX10" s="62">
        <f>订货1!BE10</f>
        <v>0</v>
      </c>
      <c r="CY10" s="113"/>
      <c r="CZ10" s="113"/>
      <c r="DA10" s="62">
        <f>订货1!BF10</f>
        <v>0</v>
      </c>
      <c r="DB10" s="113"/>
      <c r="DC10" s="113"/>
      <c r="DD10" s="208">
        <v>0</v>
      </c>
      <c r="DE10" s="110" t="e">
        <f t="shared" si="31"/>
        <v>#DIV/0!</v>
      </c>
      <c r="DF10" s="52">
        <f t="shared" si="29"/>
        <v>2</v>
      </c>
      <c r="DG10" s="32" t="str">
        <f>订货1!$Q10</f>
        <v>箱</v>
      </c>
      <c r="DH10" s="209" t="e">
        <f t="shared" si="32"/>
        <v>#DIV/0!</v>
      </c>
    </row>
    <row r="11" spans="1:114" ht="15" customHeight="1">
      <c r="A11" s="48">
        <f>订货1!A11</f>
        <v>101687</v>
      </c>
      <c r="B11" s="44" t="str">
        <f>VLOOKUP($A11,订货1!$A11:$G252,7,0)</f>
        <v>上海潜深实业有限公司</v>
      </c>
      <c r="C11" s="44" t="str">
        <f>VLOOKUP($A11,订货1!$A11:$H252,8,0)</f>
        <v>雷州市绿河食品实业有限公司</v>
      </c>
      <c r="D11" s="44" t="str">
        <f>VLOOKUP($A11,订货1!$A11:$B252,2,0)</f>
        <v>椰果罐头（850g）</v>
      </c>
      <c r="E11" s="44" t="str">
        <f>VLOOKUP($A11,订货1!$A11:$E252,5,0)</f>
        <v>0.85kg*12can</v>
      </c>
      <c r="F11" s="49" t="str">
        <f>VLOOKUP($A11,订货1!$A11:$F252,6,0)</f>
        <v>箱</v>
      </c>
      <c r="G11" s="203"/>
      <c r="H11" s="56">
        <f t="shared" si="30"/>
        <v>2</v>
      </c>
      <c r="I11" s="196"/>
      <c r="J11" s="113"/>
      <c r="K11" s="113"/>
      <c r="L11" s="196"/>
      <c r="M11" s="113"/>
      <c r="N11" s="113"/>
      <c r="O11" s="62">
        <f>订货1!AB11</f>
        <v>0</v>
      </c>
      <c r="P11" s="113"/>
      <c r="Q11" s="113"/>
      <c r="R11" s="62">
        <f>订货1!AC11</f>
        <v>0</v>
      </c>
      <c r="S11" s="113"/>
      <c r="T11" s="113"/>
      <c r="U11" s="62">
        <f>订货1!AD11</f>
        <v>0</v>
      </c>
      <c r="V11" s="113"/>
      <c r="W11" s="113"/>
      <c r="X11" s="62">
        <f>订货1!AE11</f>
        <v>0</v>
      </c>
      <c r="Y11" s="113"/>
      <c r="Z11" s="113"/>
      <c r="AA11" s="62">
        <f>订货1!AF11</f>
        <v>0</v>
      </c>
      <c r="AB11" s="113"/>
      <c r="AC11" s="113"/>
      <c r="AD11" s="62">
        <f>订货1!AG11</f>
        <v>1</v>
      </c>
      <c r="AE11" s="113"/>
      <c r="AF11" s="113"/>
      <c r="AG11" s="62">
        <f>订货1!AH11</f>
        <v>0</v>
      </c>
      <c r="AH11" s="113"/>
      <c r="AI11" s="113"/>
      <c r="AJ11" s="62">
        <f>订货1!AI11</f>
        <v>0</v>
      </c>
      <c r="AK11" s="113"/>
      <c r="AL11" s="113"/>
      <c r="AM11" s="62">
        <f>订货1!AJ11</f>
        <v>0</v>
      </c>
      <c r="AN11" s="113"/>
      <c r="AO11" s="113"/>
      <c r="AP11" s="62">
        <f>订货1!AK11</f>
        <v>0</v>
      </c>
      <c r="AQ11" s="113"/>
      <c r="AR11" s="113"/>
      <c r="AS11" s="62">
        <f>订货1!AL11</f>
        <v>0</v>
      </c>
      <c r="AT11" s="113"/>
      <c r="AU11" s="113"/>
      <c r="AV11" s="62">
        <f>订货1!AM11</f>
        <v>1</v>
      </c>
      <c r="AW11" s="113"/>
      <c r="AX11" s="113"/>
      <c r="AY11" s="62">
        <f>订货1!AN11</f>
        <v>0</v>
      </c>
      <c r="AZ11" s="113"/>
      <c r="BA11" s="113"/>
      <c r="BB11" s="62">
        <f>订货1!AO11</f>
        <v>0</v>
      </c>
      <c r="BC11" s="113"/>
      <c r="BD11" s="113"/>
      <c r="BE11" s="62">
        <f>订货1!AP11</f>
        <v>0</v>
      </c>
      <c r="BF11" s="113"/>
      <c r="BG11" s="113"/>
      <c r="BH11" s="62">
        <f>订货1!AQ11</f>
        <v>0</v>
      </c>
      <c r="BI11" s="113"/>
      <c r="BJ11" s="113"/>
      <c r="BK11" s="62">
        <f>订货1!AR11</f>
        <v>0</v>
      </c>
      <c r="BL11" s="113"/>
      <c r="BM11" s="113"/>
      <c r="BN11" s="62">
        <f>订货1!AS11</f>
        <v>0</v>
      </c>
      <c r="BO11" s="113"/>
      <c r="BP11" s="113"/>
      <c r="BQ11" s="62">
        <f>订货1!AT11</f>
        <v>0</v>
      </c>
      <c r="BR11" s="113"/>
      <c r="BS11" s="113"/>
      <c r="BT11" s="62">
        <f>订货1!AU11</f>
        <v>0</v>
      </c>
      <c r="BU11" s="113"/>
      <c r="BV11" s="113"/>
      <c r="BW11" s="62">
        <f>订货1!AV11</f>
        <v>0</v>
      </c>
      <c r="BX11" s="113"/>
      <c r="BY11" s="113"/>
      <c r="BZ11" s="62">
        <f>订货1!AW11</f>
        <v>0</v>
      </c>
      <c r="CA11" s="113"/>
      <c r="CB11" s="113"/>
      <c r="CC11" s="62">
        <f>订货1!AX11</f>
        <v>0</v>
      </c>
      <c r="CD11" s="113"/>
      <c r="CE11" s="113"/>
      <c r="CF11" s="62">
        <f>订货1!AY11</f>
        <v>0</v>
      </c>
      <c r="CG11" s="113"/>
      <c r="CH11" s="113"/>
      <c r="CI11" s="62">
        <f>订货1!AZ11</f>
        <v>0</v>
      </c>
      <c r="CJ11" s="113"/>
      <c r="CK11" s="113"/>
      <c r="CL11" s="62">
        <f>订货1!BA11</f>
        <v>0</v>
      </c>
      <c r="CM11" s="113"/>
      <c r="CN11" s="113"/>
      <c r="CO11" s="62">
        <f>订货1!BB11</f>
        <v>0</v>
      </c>
      <c r="CP11" s="113"/>
      <c r="CQ11" s="113"/>
      <c r="CR11" s="62">
        <f>订货1!BC11</f>
        <v>0</v>
      </c>
      <c r="CS11" s="113"/>
      <c r="CT11" s="113"/>
      <c r="CU11" s="62">
        <f>订货1!BD11</f>
        <v>0</v>
      </c>
      <c r="CV11" s="113"/>
      <c r="CW11" s="113"/>
      <c r="CX11" s="62">
        <f>订货1!BE11</f>
        <v>0</v>
      </c>
      <c r="CY11" s="113"/>
      <c r="CZ11" s="113"/>
      <c r="DA11" s="62">
        <f>订货1!BF11</f>
        <v>0</v>
      </c>
      <c r="DB11" s="113"/>
      <c r="DC11" s="113"/>
      <c r="DD11" s="208">
        <v>0</v>
      </c>
      <c r="DE11" s="110" t="e">
        <f t="shared" si="31"/>
        <v>#DIV/0!</v>
      </c>
      <c r="DF11" s="52">
        <f t="shared" si="29"/>
        <v>2</v>
      </c>
      <c r="DG11" s="32" t="str">
        <f>订货1!$Q11</f>
        <v>箱</v>
      </c>
      <c r="DH11" s="209" t="e">
        <f t="shared" si="32"/>
        <v>#DIV/0!</v>
      </c>
    </row>
    <row r="12" spans="1:114" ht="15" customHeight="1">
      <c r="A12" s="48">
        <f>订货1!A12</f>
        <v>101738</v>
      </c>
      <c r="B12" s="44" t="str">
        <f>VLOOKUP($A12,订货1!$A12:$G253,7,0)</f>
        <v>苏州欧福蛋液股份有限公司</v>
      </c>
      <c r="C12" s="44" t="str">
        <f>VLOOKUP($A12,订货1!$A12:$H253,8,0)</f>
        <v>苏州欧福蛋液股份有限公司</v>
      </c>
      <c r="D12" s="44" t="str">
        <f>VLOOKUP($A12,订货1!$A12:$B253,2,0)</f>
        <v>（组）巴氏杀菌冰全蛋</v>
      </c>
      <c r="E12" s="44" t="str">
        <f>VLOOKUP($A12,订货1!$A12:$E253,5,0)</f>
        <v>970g*6</v>
      </c>
      <c r="F12" s="49" t="str">
        <f>VLOOKUP($A12,订货1!$A12:$F253,6,0)</f>
        <v>组</v>
      </c>
      <c r="G12" s="203"/>
      <c r="H12" s="56">
        <f t="shared" si="30"/>
        <v>2</v>
      </c>
      <c r="I12" s="196"/>
      <c r="J12" s="113"/>
      <c r="K12" s="113"/>
      <c r="L12" s="196"/>
      <c r="M12" s="113"/>
      <c r="N12" s="113"/>
      <c r="O12" s="62">
        <f>订货1!AB12</f>
        <v>0</v>
      </c>
      <c r="P12" s="113"/>
      <c r="Q12" s="113"/>
      <c r="R12" s="62">
        <f>订货1!AC12</f>
        <v>0</v>
      </c>
      <c r="S12" s="113"/>
      <c r="T12" s="113"/>
      <c r="U12" s="62">
        <f>订货1!AD12</f>
        <v>0</v>
      </c>
      <c r="V12" s="113"/>
      <c r="W12" s="113"/>
      <c r="X12" s="62">
        <f>订货1!AE12</f>
        <v>0</v>
      </c>
      <c r="Y12" s="113"/>
      <c r="Z12" s="113"/>
      <c r="AA12" s="62">
        <f>订货1!AF12</f>
        <v>0</v>
      </c>
      <c r="AB12" s="113"/>
      <c r="AC12" s="113"/>
      <c r="AD12" s="62">
        <f>订货1!AG12</f>
        <v>1</v>
      </c>
      <c r="AE12" s="113"/>
      <c r="AF12" s="113"/>
      <c r="AG12" s="62">
        <f>订货1!AH12</f>
        <v>0</v>
      </c>
      <c r="AH12" s="113"/>
      <c r="AI12" s="113"/>
      <c r="AJ12" s="62">
        <f>订货1!AI12</f>
        <v>0</v>
      </c>
      <c r="AK12" s="113"/>
      <c r="AL12" s="113"/>
      <c r="AM12" s="62">
        <f>订货1!AJ12</f>
        <v>0</v>
      </c>
      <c r="AN12" s="113"/>
      <c r="AO12" s="113"/>
      <c r="AP12" s="62">
        <f>订货1!AK12</f>
        <v>0</v>
      </c>
      <c r="AQ12" s="113"/>
      <c r="AR12" s="113"/>
      <c r="AS12" s="62">
        <f>订货1!AL12</f>
        <v>0</v>
      </c>
      <c r="AT12" s="113"/>
      <c r="AU12" s="113"/>
      <c r="AV12" s="62">
        <f>订货1!AM12</f>
        <v>0</v>
      </c>
      <c r="AW12" s="113"/>
      <c r="AX12" s="113"/>
      <c r="AY12" s="62">
        <f>订货1!AN12</f>
        <v>1</v>
      </c>
      <c r="AZ12" s="113"/>
      <c r="BA12" s="113"/>
      <c r="BB12" s="62">
        <f>订货1!AO12</f>
        <v>0</v>
      </c>
      <c r="BC12" s="113"/>
      <c r="BD12" s="113"/>
      <c r="BE12" s="62">
        <f>订货1!AP12</f>
        <v>0</v>
      </c>
      <c r="BF12" s="113"/>
      <c r="BG12" s="113"/>
      <c r="BH12" s="62">
        <f>订货1!AQ12</f>
        <v>0</v>
      </c>
      <c r="BI12" s="113"/>
      <c r="BJ12" s="113"/>
      <c r="BK12" s="62">
        <f>订货1!AR12</f>
        <v>0</v>
      </c>
      <c r="BL12" s="113"/>
      <c r="BM12" s="113"/>
      <c r="BN12" s="62">
        <f>订货1!AS12</f>
        <v>0</v>
      </c>
      <c r="BO12" s="113"/>
      <c r="BP12" s="113"/>
      <c r="BQ12" s="62">
        <f>订货1!AT12</f>
        <v>0</v>
      </c>
      <c r="BR12" s="113"/>
      <c r="BS12" s="113"/>
      <c r="BT12" s="62">
        <f>订货1!AU12</f>
        <v>0</v>
      </c>
      <c r="BU12" s="113"/>
      <c r="BV12" s="113"/>
      <c r="BW12" s="62">
        <f>订货1!AV12</f>
        <v>0</v>
      </c>
      <c r="BX12" s="113"/>
      <c r="BY12" s="113"/>
      <c r="BZ12" s="62">
        <f>订货1!AW12</f>
        <v>0</v>
      </c>
      <c r="CA12" s="113"/>
      <c r="CB12" s="113"/>
      <c r="CC12" s="62">
        <f>订货1!AX12</f>
        <v>0</v>
      </c>
      <c r="CD12" s="113"/>
      <c r="CE12" s="113"/>
      <c r="CF12" s="62">
        <f>订货1!AY12</f>
        <v>0</v>
      </c>
      <c r="CG12" s="113"/>
      <c r="CH12" s="113"/>
      <c r="CI12" s="62">
        <f>订货1!AZ12</f>
        <v>0</v>
      </c>
      <c r="CJ12" s="113"/>
      <c r="CK12" s="113"/>
      <c r="CL12" s="62">
        <f>订货1!BA12</f>
        <v>0</v>
      </c>
      <c r="CM12" s="113"/>
      <c r="CN12" s="113"/>
      <c r="CO12" s="62">
        <f>订货1!BB12</f>
        <v>0</v>
      </c>
      <c r="CP12" s="113"/>
      <c r="CQ12" s="113"/>
      <c r="CR12" s="62">
        <f>订货1!BC12</f>
        <v>0</v>
      </c>
      <c r="CS12" s="113"/>
      <c r="CT12" s="113"/>
      <c r="CU12" s="62">
        <f>订货1!BD12</f>
        <v>0</v>
      </c>
      <c r="CV12" s="113"/>
      <c r="CW12" s="113"/>
      <c r="CX12" s="62">
        <f>订货1!BE12</f>
        <v>0</v>
      </c>
      <c r="CY12" s="113"/>
      <c r="CZ12" s="113"/>
      <c r="DA12" s="62">
        <f>订货1!BF12</f>
        <v>0</v>
      </c>
      <c r="DB12" s="113"/>
      <c r="DC12" s="113"/>
      <c r="DD12" s="208">
        <v>0</v>
      </c>
      <c r="DE12" s="110" t="e">
        <f t="shared" si="31"/>
        <v>#DIV/0!</v>
      </c>
      <c r="DF12" s="52">
        <f t="shared" si="29"/>
        <v>2</v>
      </c>
      <c r="DG12" s="32" t="str">
        <f>订货1!$Q12</f>
        <v>组</v>
      </c>
      <c r="DH12" s="209" t="e">
        <f t="shared" si="32"/>
        <v>#DIV/0!</v>
      </c>
    </row>
    <row r="13" spans="1:114" ht="15" customHeight="1">
      <c r="A13" s="48">
        <f>订货1!A13</f>
        <v>101688</v>
      </c>
      <c r="B13" s="44" t="str">
        <f>VLOOKUP($A13,订货1!$A13:$G254,7,0)</f>
        <v>上海宝立食品科技股份有限公司</v>
      </c>
      <c r="C13" s="44" t="str">
        <f>VLOOKUP($A13,订货1!$A13:$H254,8,0)</f>
        <v>浙江宝立食品科技有限公司</v>
      </c>
      <c r="D13" s="44" t="str">
        <f>VLOOKUP($A13,订货1!$A13:$B254,2,0)</f>
        <v>奶油蘑菇汤</v>
      </c>
      <c r="E13" s="44" t="str">
        <f>VLOOKUP($A13,订货1!$A13:$E254,5,0)</f>
        <v>0.16kg*50pc</v>
      </c>
      <c r="F13" s="49" t="str">
        <f>VLOOKUP($A13,订货1!$A13:$F254,6,0)</f>
        <v>箱</v>
      </c>
      <c r="G13" s="203"/>
      <c r="H13" s="56">
        <f t="shared" si="30"/>
        <v>12</v>
      </c>
      <c r="I13" s="196"/>
      <c r="J13" s="113"/>
      <c r="K13" s="113"/>
      <c r="L13" s="196"/>
      <c r="M13" s="113"/>
      <c r="N13" s="113"/>
      <c r="O13" s="62">
        <f>订货1!AB13</f>
        <v>1</v>
      </c>
      <c r="P13" s="113"/>
      <c r="Q13" s="113"/>
      <c r="R13" s="62">
        <f>订货1!AC13</f>
        <v>0</v>
      </c>
      <c r="S13" s="113"/>
      <c r="T13" s="113"/>
      <c r="U13" s="62">
        <f>订货1!AD13</f>
        <v>0</v>
      </c>
      <c r="V13" s="113"/>
      <c r="W13" s="113"/>
      <c r="X13" s="62">
        <f>订货1!AE13</f>
        <v>2</v>
      </c>
      <c r="Y13" s="113"/>
      <c r="Z13" s="113"/>
      <c r="AA13" s="62">
        <f>订货1!AF13</f>
        <v>1</v>
      </c>
      <c r="AB13" s="113"/>
      <c r="AC13" s="113"/>
      <c r="AD13" s="62">
        <f>订货1!AG13</f>
        <v>2</v>
      </c>
      <c r="AE13" s="113"/>
      <c r="AF13" s="113"/>
      <c r="AG13" s="62">
        <f>订货1!AH13</f>
        <v>0</v>
      </c>
      <c r="AH13" s="113"/>
      <c r="AI13" s="113"/>
      <c r="AJ13" s="62">
        <f>订货1!AI13</f>
        <v>1</v>
      </c>
      <c r="AK13" s="113"/>
      <c r="AL13" s="113"/>
      <c r="AM13" s="62">
        <f>订货1!AJ13</f>
        <v>0</v>
      </c>
      <c r="AN13" s="113"/>
      <c r="AO13" s="113"/>
      <c r="AP13" s="62">
        <f>订货1!AK13</f>
        <v>0</v>
      </c>
      <c r="AQ13" s="113"/>
      <c r="AR13" s="113"/>
      <c r="AS13" s="62">
        <f>订货1!AL13</f>
        <v>0</v>
      </c>
      <c r="AT13" s="113"/>
      <c r="AU13" s="113"/>
      <c r="AV13" s="62">
        <f>订货1!AM13</f>
        <v>2</v>
      </c>
      <c r="AW13" s="113"/>
      <c r="AX13" s="113"/>
      <c r="AY13" s="62">
        <f>订货1!AN13</f>
        <v>2</v>
      </c>
      <c r="AZ13" s="113"/>
      <c r="BA13" s="113"/>
      <c r="BB13" s="62">
        <f>订货1!AO13</f>
        <v>1</v>
      </c>
      <c r="BC13" s="113"/>
      <c r="BD13" s="113"/>
      <c r="BE13" s="62">
        <f>订货1!AP13</f>
        <v>0</v>
      </c>
      <c r="BF13" s="113"/>
      <c r="BG13" s="113"/>
      <c r="BH13" s="62">
        <f>订货1!AQ13</f>
        <v>0</v>
      </c>
      <c r="BI13" s="113"/>
      <c r="BJ13" s="113"/>
      <c r="BK13" s="62">
        <f>订货1!AR13</f>
        <v>0</v>
      </c>
      <c r="BL13" s="113"/>
      <c r="BM13" s="113"/>
      <c r="BN13" s="62">
        <f>订货1!AS13</f>
        <v>0</v>
      </c>
      <c r="BO13" s="113"/>
      <c r="BP13" s="113"/>
      <c r="BQ13" s="62">
        <f>订货1!AT13</f>
        <v>0</v>
      </c>
      <c r="BR13" s="113"/>
      <c r="BS13" s="113"/>
      <c r="BT13" s="62">
        <f>订货1!AU13</f>
        <v>0</v>
      </c>
      <c r="BU13" s="113"/>
      <c r="BV13" s="113"/>
      <c r="BW13" s="62">
        <f>订货1!AV13</f>
        <v>0</v>
      </c>
      <c r="BX13" s="113"/>
      <c r="BY13" s="113"/>
      <c r="BZ13" s="62">
        <f>订货1!AW13</f>
        <v>0</v>
      </c>
      <c r="CA13" s="113"/>
      <c r="CB13" s="113"/>
      <c r="CC13" s="62">
        <f>订货1!AX13</f>
        <v>0</v>
      </c>
      <c r="CD13" s="113"/>
      <c r="CE13" s="113"/>
      <c r="CF13" s="62">
        <f>订货1!AY13</f>
        <v>0</v>
      </c>
      <c r="CG13" s="113"/>
      <c r="CH13" s="113"/>
      <c r="CI13" s="62">
        <f>订货1!AZ13</f>
        <v>0</v>
      </c>
      <c r="CJ13" s="113"/>
      <c r="CK13" s="113"/>
      <c r="CL13" s="62">
        <f>订货1!BA13</f>
        <v>0</v>
      </c>
      <c r="CM13" s="113"/>
      <c r="CN13" s="113"/>
      <c r="CO13" s="62">
        <f>订货1!BB13</f>
        <v>0</v>
      </c>
      <c r="CP13" s="113"/>
      <c r="CQ13" s="113"/>
      <c r="CR13" s="62">
        <f>订货1!BC13</f>
        <v>0</v>
      </c>
      <c r="CS13" s="113"/>
      <c r="CT13" s="113"/>
      <c r="CU13" s="62">
        <f>订货1!BD13</f>
        <v>0</v>
      </c>
      <c r="CV13" s="113"/>
      <c r="CW13" s="113"/>
      <c r="CX13" s="62">
        <f>订货1!BE13</f>
        <v>0</v>
      </c>
      <c r="CY13" s="113"/>
      <c r="CZ13" s="113"/>
      <c r="DA13" s="62">
        <f>订货1!BF13</f>
        <v>0</v>
      </c>
      <c r="DB13" s="113"/>
      <c r="DC13" s="113"/>
      <c r="DD13" s="208">
        <v>0</v>
      </c>
      <c r="DE13" s="110" t="e">
        <f t="shared" si="31"/>
        <v>#DIV/0!</v>
      </c>
      <c r="DF13" s="52">
        <f t="shared" si="29"/>
        <v>12</v>
      </c>
      <c r="DG13" s="32" t="str">
        <f>订货1!$Q13</f>
        <v>箱</v>
      </c>
      <c r="DH13" s="209" t="e">
        <f t="shared" si="32"/>
        <v>#DIV/0!</v>
      </c>
    </row>
    <row r="14" spans="1:114" ht="15" customHeight="1">
      <c r="A14" s="48">
        <f>订货1!A14</f>
        <v>101290</v>
      </c>
      <c r="B14" s="44" t="str">
        <f>VLOOKUP($A14,订货1!$A14:$G255,7,0)</f>
        <v>上海捷仪经贸有限公司</v>
      </c>
      <c r="C14" s="44" t="str">
        <f>VLOOKUP($A14,订货1!$A14:$H255,8,0)</f>
        <v>泰州顶淳食品有限公司</v>
      </c>
      <c r="D14" s="44" t="str">
        <f>VLOOKUP($A14,订货1!$A14:$B255,2,0)</f>
        <v>黑胡椒碎</v>
      </c>
      <c r="E14" s="44" t="str">
        <f>VLOOKUP($A14,订货1!$A14:$E255,5,0)</f>
        <v>1kg</v>
      </c>
      <c r="F14" s="49" t="str">
        <f>VLOOKUP($A14,订货1!$A14:$F255,6,0)</f>
        <v>袋</v>
      </c>
      <c r="G14" s="203"/>
      <c r="H14" s="56">
        <f t="shared" si="30"/>
        <v>0</v>
      </c>
      <c r="I14" s="196"/>
      <c r="J14" s="113"/>
      <c r="K14" s="113"/>
      <c r="L14" s="196"/>
      <c r="M14" s="113"/>
      <c r="N14" s="113"/>
      <c r="O14" s="62">
        <f>订货1!AB14</f>
        <v>0</v>
      </c>
      <c r="P14" s="113"/>
      <c r="Q14" s="113"/>
      <c r="R14" s="62">
        <f>订货1!AC14</f>
        <v>0</v>
      </c>
      <c r="S14" s="113"/>
      <c r="T14" s="113"/>
      <c r="U14" s="62">
        <f>订货1!AD14</f>
        <v>0</v>
      </c>
      <c r="V14" s="113"/>
      <c r="W14" s="113"/>
      <c r="X14" s="62">
        <f>订货1!AE14</f>
        <v>0</v>
      </c>
      <c r="Y14" s="113"/>
      <c r="Z14" s="113"/>
      <c r="AA14" s="62">
        <f>订货1!AF14</f>
        <v>0</v>
      </c>
      <c r="AB14" s="113"/>
      <c r="AC14" s="113"/>
      <c r="AD14" s="62">
        <f>订货1!AG14</f>
        <v>0</v>
      </c>
      <c r="AE14" s="113"/>
      <c r="AF14" s="113"/>
      <c r="AG14" s="62">
        <f>订货1!AH14</f>
        <v>0</v>
      </c>
      <c r="AH14" s="113"/>
      <c r="AI14" s="113"/>
      <c r="AJ14" s="62">
        <f>订货1!AI14</f>
        <v>0</v>
      </c>
      <c r="AK14" s="113"/>
      <c r="AL14" s="113"/>
      <c r="AM14" s="62">
        <f>订货1!AJ14</f>
        <v>0</v>
      </c>
      <c r="AN14" s="113"/>
      <c r="AO14" s="113"/>
      <c r="AP14" s="62">
        <f>订货1!AK14</f>
        <v>0</v>
      </c>
      <c r="AQ14" s="113"/>
      <c r="AR14" s="113"/>
      <c r="AS14" s="62">
        <f>订货1!AL14</f>
        <v>0</v>
      </c>
      <c r="AT14" s="113"/>
      <c r="AU14" s="113"/>
      <c r="AV14" s="62">
        <f>订货1!AM14</f>
        <v>0</v>
      </c>
      <c r="AW14" s="113"/>
      <c r="AX14" s="113"/>
      <c r="AY14" s="62">
        <f>订货1!AN14</f>
        <v>0</v>
      </c>
      <c r="AZ14" s="113"/>
      <c r="BA14" s="113"/>
      <c r="BB14" s="62">
        <f>订货1!AO14</f>
        <v>0</v>
      </c>
      <c r="BC14" s="113"/>
      <c r="BD14" s="113"/>
      <c r="BE14" s="62">
        <f>订货1!AP14</f>
        <v>0</v>
      </c>
      <c r="BF14" s="113"/>
      <c r="BG14" s="113"/>
      <c r="BH14" s="62">
        <f>订货1!AQ14</f>
        <v>0</v>
      </c>
      <c r="BI14" s="113"/>
      <c r="BJ14" s="113"/>
      <c r="BK14" s="62">
        <f>订货1!AR14</f>
        <v>0</v>
      </c>
      <c r="BL14" s="113"/>
      <c r="BM14" s="113"/>
      <c r="BN14" s="62">
        <f>订货1!AS14</f>
        <v>0</v>
      </c>
      <c r="BO14" s="113"/>
      <c r="BP14" s="113"/>
      <c r="BQ14" s="62">
        <f>订货1!AT14</f>
        <v>0</v>
      </c>
      <c r="BR14" s="113"/>
      <c r="BS14" s="113"/>
      <c r="BT14" s="62">
        <f>订货1!AU14</f>
        <v>0</v>
      </c>
      <c r="BU14" s="113"/>
      <c r="BV14" s="113"/>
      <c r="BW14" s="62">
        <f>订货1!AV14</f>
        <v>0</v>
      </c>
      <c r="BX14" s="113"/>
      <c r="BY14" s="113"/>
      <c r="BZ14" s="62">
        <f>订货1!AW14</f>
        <v>0</v>
      </c>
      <c r="CA14" s="113"/>
      <c r="CB14" s="113"/>
      <c r="CC14" s="62">
        <f>订货1!AX14</f>
        <v>0</v>
      </c>
      <c r="CD14" s="113"/>
      <c r="CE14" s="113"/>
      <c r="CF14" s="62">
        <f>订货1!AY14</f>
        <v>0</v>
      </c>
      <c r="CG14" s="113"/>
      <c r="CH14" s="113"/>
      <c r="CI14" s="62">
        <f>订货1!AZ14</f>
        <v>0</v>
      </c>
      <c r="CJ14" s="113"/>
      <c r="CK14" s="113"/>
      <c r="CL14" s="62">
        <f>订货1!BA14</f>
        <v>0</v>
      </c>
      <c r="CM14" s="113"/>
      <c r="CN14" s="113"/>
      <c r="CO14" s="62">
        <f>订货1!BB14</f>
        <v>0</v>
      </c>
      <c r="CP14" s="113"/>
      <c r="CQ14" s="113"/>
      <c r="CR14" s="62">
        <f>订货1!BC14</f>
        <v>0</v>
      </c>
      <c r="CS14" s="113"/>
      <c r="CT14" s="113"/>
      <c r="CU14" s="62">
        <f>订货1!BD14</f>
        <v>0</v>
      </c>
      <c r="CV14" s="113"/>
      <c r="CW14" s="113"/>
      <c r="CX14" s="62">
        <f>订货1!BE14</f>
        <v>0</v>
      </c>
      <c r="CY14" s="113"/>
      <c r="CZ14" s="113"/>
      <c r="DA14" s="62">
        <f>订货1!BF14</f>
        <v>0</v>
      </c>
      <c r="DB14" s="113"/>
      <c r="DC14" s="113"/>
      <c r="DD14" s="208">
        <v>0</v>
      </c>
      <c r="DE14" s="110" t="e">
        <f t="shared" si="31"/>
        <v>#DIV/0!</v>
      </c>
      <c r="DF14" s="52">
        <f t="shared" si="29"/>
        <v>0</v>
      </c>
      <c r="DG14" s="32" t="str">
        <f>订货1!$Q14</f>
        <v>袋</v>
      </c>
      <c r="DH14" s="209" t="e">
        <f t="shared" si="32"/>
        <v>#DIV/0!</v>
      </c>
    </row>
    <row r="15" spans="1:114" ht="15" customHeight="1">
      <c r="A15" s="48">
        <f>订货1!A15</f>
        <v>101398</v>
      </c>
      <c r="B15" s="44" t="str">
        <f>VLOOKUP($A15,订货1!$A15:$G256,7,0)</f>
        <v>上海捷仪经贸有限公司</v>
      </c>
      <c r="C15" s="44" t="str">
        <f>VLOOKUP($A15,订货1!$A15:$H256,8,0)</f>
        <v>福建好日子食品有限公司</v>
      </c>
      <c r="D15" s="44" t="str">
        <f>VLOOKUP($A15,订货1!$A15:$B256,2,0)</f>
        <v>好日子红茶</v>
      </c>
      <c r="E15" s="44" t="str">
        <f>VLOOKUP($A15,订货1!$A15:$E256,5,0)</f>
        <v>2g*100pc*30pc大</v>
      </c>
      <c r="F15" s="49" t="str">
        <f>VLOOKUP($A15,订货1!$A15:$F256,6,0)</f>
        <v>袋</v>
      </c>
      <c r="G15" s="203"/>
      <c r="H15" s="56">
        <f t="shared" si="30"/>
        <v>0</v>
      </c>
      <c r="I15" s="196"/>
      <c r="J15" s="113"/>
      <c r="K15" s="113"/>
      <c r="L15" s="196"/>
      <c r="M15" s="113"/>
      <c r="N15" s="113"/>
      <c r="O15" s="62">
        <f>订货1!AB15</f>
        <v>0</v>
      </c>
      <c r="P15" s="113"/>
      <c r="Q15" s="113"/>
      <c r="R15" s="62">
        <f>订货1!AC15</f>
        <v>0</v>
      </c>
      <c r="S15" s="113"/>
      <c r="T15" s="113"/>
      <c r="U15" s="62">
        <f>订货1!AD15</f>
        <v>0</v>
      </c>
      <c r="V15" s="113"/>
      <c r="W15" s="113"/>
      <c r="X15" s="62">
        <f>订货1!AE15</f>
        <v>0</v>
      </c>
      <c r="Y15" s="113"/>
      <c r="Z15" s="113"/>
      <c r="AA15" s="62">
        <f>订货1!AF15</f>
        <v>0</v>
      </c>
      <c r="AB15" s="113"/>
      <c r="AC15" s="113"/>
      <c r="AD15" s="62">
        <f>订货1!AG15</f>
        <v>0</v>
      </c>
      <c r="AE15" s="113"/>
      <c r="AF15" s="113"/>
      <c r="AG15" s="62">
        <f>订货1!AH15</f>
        <v>0</v>
      </c>
      <c r="AH15" s="113"/>
      <c r="AI15" s="113"/>
      <c r="AJ15" s="62">
        <f>订货1!AI15</f>
        <v>0</v>
      </c>
      <c r="AK15" s="113"/>
      <c r="AL15" s="113"/>
      <c r="AM15" s="62">
        <f>订货1!AJ15</f>
        <v>0</v>
      </c>
      <c r="AN15" s="113"/>
      <c r="AO15" s="113"/>
      <c r="AP15" s="62">
        <f>订货1!AK15</f>
        <v>0</v>
      </c>
      <c r="AQ15" s="113"/>
      <c r="AR15" s="113"/>
      <c r="AS15" s="62">
        <f>订货1!AL15</f>
        <v>0</v>
      </c>
      <c r="AT15" s="113"/>
      <c r="AU15" s="113"/>
      <c r="AV15" s="62">
        <f>订货1!AM15</f>
        <v>0</v>
      </c>
      <c r="AW15" s="113"/>
      <c r="AX15" s="113"/>
      <c r="AY15" s="62">
        <f>订货1!AN15</f>
        <v>0</v>
      </c>
      <c r="AZ15" s="113"/>
      <c r="BA15" s="113"/>
      <c r="BB15" s="62">
        <f>订货1!AO15</f>
        <v>0</v>
      </c>
      <c r="BC15" s="113"/>
      <c r="BD15" s="113"/>
      <c r="BE15" s="62">
        <f>订货1!AP15</f>
        <v>0</v>
      </c>
      <c r="BF15" s="113"/>
      <c r="BG15" s="113"/>
      <c r="BH15" s="62">
        <f>订货1!AQ15</f>
        <v>0</v>
      </c>
      <c r="BI15" s="113"/>
      <c r="BJ15" s="113"/>
      <c r="BK15" s="62">
        <f>订货1!AR15</f>
        <v>0</v>
      </c>
      <c r="BL15" s="113"/>
      <c r="BM15" s="113"/>
      <c r="BN15" s="62">
        <f>订货1!AS15</f>
        <v>0</v>
      </c>
      <c r="BO15" s="113"/>
      <c r="BP15" s="113"/>
      <c r="BQ15" s="62">
        <f>订货1!AT15</f>
        <v>0</v>
      </c>
      <c r="BR15" s="113"/>
      <c r="BS15" s="113"/>
      <c r="BT15" s="62">
        <f>订货1!AU15</f>
        <v>0</v>
      </c>
      <c r="BU15" s="113"/>
      <c r="BV15" s="113"/>
      <c r="BW15" s="62">
        <f>订货1!AV15</f>
        <v>0</v>
      </c>
      <c r="BX15" s="113"/>
      <c r="BY15" s="113"/>
      <c r="BZ15" s="62">
        <f>订货1!AW15</f>
        <v>0</v>
      </c>
      <c r="CA15" s="113"/>
      <c r="CB15" s="113"/>
      <c r="CC15" s="62">
        <f>订货1!AX15</f>
        <v>0</v>
      </c>
      <c r="CD15" s="113"/>
      <c r="CE15" s="113"/>
      <c r="CF15" s="62">
        <f>订货1!AY15</f>
        <v>0</v>
      </c>
      <c r="CG15" s="113"/>
      <c r="CH15" s="113"/>
      <c r="CI15" s="62">
        <f>订货1!AZ15</f>
        <v>0</v>
      </c>
      <c r="CJ15" s="113"/>
      <c r="CK15" s="113"/>
      <c r="CL15" s="62">
        <f>订货1!BA15</f>
        <v>0</v>
      </c>
      <c r="CM15" s="113"/>
      <c r="CN15" s="113"/>
      <c r="CO15" s="62">
        <f>订货1!BB15</f>
        <v>0</v>
      </c>
      <c r="CP15" s="113"/>
      <c r="CQ15" s="113"/>
      <c r="CR15" s="62">
        <f>订货1!BC15</f>
        <v>0</v>
      </c>
      <c r="CS15" s="113"/>
      <c r="CT15" s="113"/>
      <c r="CU15" s="62">
        <f>订货1!BD15</f>
        <v>0</v>
      </c>
      <c r="CV15" s="113"/>
      <c r="CW15" s="113"/>
      <c r="CX15" s="62">
        <f>订货1!BE15</f>
        <v>0</v>
      </c>
      <c r="CY15" s="113"/>
      <c r="CZ15" s="113"/>
      <c r="DA15" s="62">
        <f>订货1!BF15</f>
        <v>0</v>
      </c>
      <c r="DB15" s="113"/>
      <c r="DC15" s="113"/>
      <c r="DD15" s="208">
        <v>0</v>
      </c>
      <c r="DE15" s="110" t="e">
        <f t="shared" si="31"/>
        <v>#DIV/0!</v>
      </c>
      <c r="DF15" s="52">
        <f t="shared" si="29"/>
        <v>0</v>
      </c>
      <c r="DG15" s="32" t="str">
        <f>订货1!$Q15</f>
        <v>袋</v>
      </c>
      <c r="DH15" s="209" t="e">
        <f t="shared" si="32"/>
        <v>#DIV/0!</v>
      </c>
    </row>
    <row r="16" spans="1:114" ht="15" customHeight="1">
      <c r="A16" s="48">
        <f>订货1!A16</f>
        <v>101399</v>
      </c>
      <c r="B16" s="44" t="str">
        <f>VLOOKUP($A16,订货1!$A16:$G257,7,0)</f>
        <v>上海捷仪经贸有限公司</v>
      </c>
      <c r="C16" s="44" t="str">
        <f>VLOOKUP($A16,订货1!$A16:$H257,8,0)</f>
        <v>福建好日子食品有限公司</v>
      </c>
      <c r="D16" s="44" t="str">
        <f>VLOOKUP($A16,订货1!$A16:$B257,2,0)</f>
        <v>好日子绿茶</v>
      </c>
      <c r="E16" s="44" t="str">
        <f>VLOOKUP($A16,订货1!$A16:$E257,5,0)</f>
        <v>2g*100pc*30pc大</v>
      </c>
      <c r="F16" s="49" t="str">
        <f>VLOOKUP($A16,订货1!$A16:$F257,6,0)</f>
        <v>袋</v>
      </c>
      <c r="G16" s="203"/>
      <c r="H16" s="56">
        <f t="shared" si="30"/>
        <v>0</v>
      </c>
      <c r="I16" s="196"/>
      <c r="J16" s="113"/>
      <c r="K16" s="113"/>
      <c r="L16" s="196"/>
      <c r="M16" s="113"/>
      <c r="N16" s="113"/>
      <c r="O16" s="62">
        <f>订货1!AB16</f>
        <v>0</v>
      </c>
      <c r="P16" s="113"/>
      <c r="Q16" s="113"/>
      <c r="R16" s="62">
        <f>订货1!AC16</f>
        <v>0</v>
      </c>
      <c r="S16" s="113"/>
      <c r="T16" s="113"/>
      <c r="U16" s="62">
        <f>订货1!AD16</f>
        <v>0</v>
      </c>
      <c r="V16" s="113"/>
      <c r="W16" s="113"/>
      <c r="X16" s="62">
        <f>订货1!AE16</f>
        <v>0</v>
      </c>
      <c r="Y16" s="113"/>
      <c r="Z16" s="113"/>
      <c r="AA16" s="62">
        <f>订货1!AF16</f>
        <v>0</v>
      </c>
      <c r="AB16" s="113"/>
      <c r="AC16" s="113"/>
      <c r="AD16" s="62">
        <f>订货1!AG16</f>
        <v>0</v>
      </c>
      <c r="AE16" s="113"/>
      <c r="AF16" s="113"/>
      <c r="AG16" s="62">
        <f>订货1!AH16</f>
        <v>0</v>
      </c>
      <c r="AH16" s="113"/>
      <c r="AI16" s="113"/>
      <c r="AJ16" s="62">
        <f>订货1!AI16</f>
        <v>0</v>
      </c>
      <c r="AK16" s="113"/>
      <c r="AL16" s="113"/>
      <c r="AM16" s="62">
        <f>订货1!AJ16</f>
        <v>0</v>
      </c>
      <c r="AN16" s="113"/>
      <c r="AO16" s="113"/>
      <c r="AP16" s="62">
        <f>订货1!AK16</f>
        <v>0</v>
      </c>
      <c r="AQ16" s="113"/>
      <c r="AR16" s="113"/>
      <c r="AS16" s="62">
        <f>订货1!AL16</f>
        <v>0</v>
      </c>
      <c r="AT16" s="113"/>
      <c r="AU16" s="113"/>
      <c r="AV16" s="62">
        <f>订货1!AM16</f>
        <v>0</v>
      </c>
      <c r="AW16" s="113"/>
      <c r="AX16" s="113"/>
      <c r="AY16" s="62">
        <f>订货1!AN16</f>
        <v>0</v>
      </c>
      <c r="AZ16" s="113"/>
      <c r="BA16" s="113"/>
      <c r="BB16" s="62">
        <f>订货1!AO16</f>
        <v>0</v>
      </c>
      <c r="BC16" s="113"/>
      <c r="BD16" s="113"/>
      <c r="BE16" s="62">
        <f>订货1!AP16</f>
        <v>0</v>
      </c>
      <c r="BF16" s="113"/>
      <c r="BG16" s="113"/>
      <c r="BH16" s="62">
        <f>订货1!AQ16</f>
        <v>0</v>
      </c>
      <c r="BI16" s="113"/>
      <c r="BJ16" s="113"/>
      <c r="BK16" s="62">
        <f>订货1!AR16</f>
        <v>0</v>
      </c>
      <c r="BL16" s="113"/>
      <c r="BM16" s="113"/>
      <c r="BN16" s="62">
        <f>订货1!AS16</f>
        <v>0</v>
      </c>
      <c r="BO16" s="113"/>
      <c r="BP16" s="113"/>
      <c r="BQ16" s="62">
        <f>订货1!AT16</f>
        <v>0</v>
      </c>
      <c r="BR16" s="113"/>
      <c r="BS16" s="113"/>
      <c r="BT16" s="62">
        <f>订货1!AU16</f>
        <v>0</v>
      </c>
      <c r="BU16" s="113"/>
      <c r="BV16" s="113"/>
      <c r="BW16" s="62">
        <f>订货1!AV16</f>
        <v>0</v>
      </c>
      <c r="BX16" s="113"/>
      <c r="BY16" s="113"/>
      <c r="BZ16" s="62">
        <f>订货1!AW16</f>
        <v>0</v>
      </c>
      <c r="CA16" s="113"/>
      <c r="CB16" s="113"/>
      <c r="CC16" s="62">
        <f>订货1!AX16</f>
        <v>0</v>
      </c>
      <c r="CD16" s="113"/>
      <c r="CE16" s="113"/>
      <c r="CF16" s="62">
        <f>订货1!AY16</f>
        <v>0</v>
      </c>
      <c r="CG16" s="113"/>
      <c r="CH16" s="113"/>
      <c r="CI16" s="62">
        <f>订货1!AZ16</f>
        <v>0</v>
      </c>
      <c r="CJ16" s="113"/>
      <c r="CK16" s="113"/>
      <c r="CL16" s="62">
        <f>订货1!BA16</f>
        <v>0</v>
      </c>
      <c r="CM16" s="113"/>
      <c r="CN16" s="113"/>
      <c r="CO16" s="62">
        <f>订货1!BB16</f>
        <v>0</v>
      </c>
      <c r="CP16" s="113"/>
      <c r="CQ16" s="113"/>
      <c r="CR16" s="62">
        <f>订货1!BC16</f>
        <v>0</v>
      </c>
      <c r="CS16" s="113"/>
      <c r="CT16" s="113"/>
      <c r="CU16" s="62">
        <f>订货1!BD16</f>
        <v>0</v>
      </c>
      <c r="CV16" s="113"/>
      <c r="CW16" s="113"/>
      <c r="CX16" s="62">
        <f>订货1!BE16</f>
        <v>0</v>
      </c>
      <c r="CY16" s="113"/>
      <c r="CZ16" s="113"/>
      <c r="DA16" s="62">
        <f>订货1!BF16</f>
        <v>0</v>
      </c>
      <c r="DB16" s="113"/>
      <c r="DC16" s="113"/>
      <c r="DD16" s="208">
        <v>0</v>
      </c>
      <c r="DE16" s="110" t="e">
        <f t="shared" si="31"/>
        <v>#DIV/0!</v>
      </c>
      <c r="DF16" s="52">
        <f t="shared" si="29"/>
        <v>0</v>
      </c>
      <c r="DG16" s="32" t="str">
        <f>订货1!$Q16</f>
        <v>袋</v>
      </c>
      <c r="DH16" s="209" t="e">
        <f t="shared" si="32"/>
        <v>#DIV/0!</v>
      </c>
    </row>
    <row r="17" spans="1:112" ht="15" customHeight="1">
      <c r="A17" s="48">
        <f>订货1!A17</f>
        <v>101400</v>
      </c>
      <c r="B17" s="44" t="str">
        <f>VLOOKUP($A17,订货1!$A17:$G258,7,0)</f>
        <v>上海捷仪经贸有限公司</v>
      </c>
      <c r="C17" s="44" t="str">
        <f>VLOOKUP($A17,订货1!$A17:$H258,8,0)</f>
        <v>福建好日子食品有限公司</v>
      </c>
      <c r="D17" s="44" t="str">
        <f>VLOOKUP($A17,订货1!$A17:$B258,2,0)</f>
        <v>好日子茉莉花茶</v>
      </c>
      <c r="E17" s="44" t="str">
        <f>VLOOKUP($A17,订货1!$A17:$E258,5,0)</f>
        <v>2g*100pc*30pc大</v>
      </c>
      <c r="F17" s="49" t="str">
        <f>VLOOKUP($A17,订货1!$A17:$F258,6,0)</f>
        <v>袋</v>
      </c>
      <c r="G17" s="203"/>
      <c r="H17" s="56">
        <f t="shared" si="30"/>
        <v>1</v>
      </c>
      <c r="I17" s="196"/>
      <c r="J17" s="113"/>
      <c r="K17" s="113"/>
      <c r="L17" s="196"/>
      <c r="M17" s="113"/>
      <c r="N17" s="113"/>
      <c r="O17" s="62">
        <f>订货1!AB17</f>
        <v>0</v>
      </c>
      <c r="P17" s="113"/>
      <c r="Q17" s="113"/>
      <c r="R17" s="62">
        <f>订货1!AC17</f>
        <v>0</v>
      </c>
      <c r="S17" s="113"/>
      <c r="T17" s="113"/>
      <c r="U17" s="62">
        <f>订货1!AD17</f>
        <v>0</v>
      </c>
      <c r="V17" s="113"/>
      <c r="W17" s="113"/>
      <c r="X17" s="62">
        <f>订货1!AE17</f>
        <v>0</v>
      </c>
      <c r="Y17" s="113"/>
      <c r="Z17" s="113"/>
      <c r="AA17" s="62">
        <f>订货1!AF17</f>
        <v>0</v>
      </c>
      <c r="AB17" s="113"/>
      <c r="AC17" s="113"/>
      <c r="AD17" s="62">
        <f>订货1!AG17</f>
        <v>0</v>
      </c>
      <c r="AE17" s="113"/>
      <c r="AF17" s="113"/>
      <c r="AG17" s="62">
        <f>订货1!AH17</f>
        <v>0</v>
      </c>
      <c r="AH17" s="113"/>
      <c r="AI17" s="113"/>
      <c r="AJ17" s="62">
        <f>订货1!AI17</f>
        <v>0</v>
      </c>
      <c r="AK17" s="113"/>
      <c r="AL17" s="113"/>
      <c r="AM17" s="62">
        <f>订货1!AJ17</f>
        <v>0</v>
      </c>
      <c r="AN17" s="113"/>
      <c r="AO17" s="113"/>
      <c r="AP17" s="62">
        <f>订货1!AK17</f>
        <v>0</v>
      </c>
      <c r="AQ17" s="113"/>
      <c r="AR17" s="113"/>
      <c r="AS17" s="62">
        <f>订货1!AL17</f>
        <v>0</v>
      </c>
      <c r="AT17" s="113"/>
      <c r="AU17" s="113"/>
      <c r="AV17" s="62">
        <f>订货1!AM17</f>
        <v>1</v>
      </c>
      <c r="AW17" s="113"/>
      <c r="AX17" s="113"/>
      <c r="AY17" s="62">
        <f>订货1!AN17</f>
        <v>0</v>
      </c>
      <c r="AZ17" s="113"/>
      <c r="BA17" s="113"/>
      <c r="BB17" s="62">
        <f>订货1!AO17</f>
        <v>0</v>
      </c>
      <c r="BC17" s="113"/>
      <c r="BD17" s="113"/>
      <c r="BE17" s="62">
        <f>订货1!AP17</f>
        <v>0</v>
      </c>
      <c r="BF17" s="113"/>
      <c r="BG17" s="113"/>
      <c r="BH17" s="62">
        <f>订货1!AQ17</f>
        <v>0</v>
      </c>
      <c r="BI17" s="113"/>
      <c r="BJ17" s="113"/>
      <c r="BK17" s="62">
        <f>订货1!AR17</f>
        <v>0</v>
      </c>
      <c r="BL17" s="113"/>
      <c r="BM17" s="113"/>
      <c r="BN17" s="62">
        <f>订货1!AS17</f>
        <v>0</v>
      </c>
      <c r="BO17" s="113"/>
      <c r="BP17" s="113"/>
      <c r="BQ17" s="62">
        <f>订货1!AT17</f>
        <v>0</v>
      </c>
      <c r="BR17" s="113"/>
      <c r="BS17" s="113"/>
      <c r="BT17" s="62">
        <f>订货1!AU17</f>
        <v>0</v>
      </c>
      <c r="BU17" s="113"/>
      <c r="BV17" s="113"/>
      <c r="BW17" s="62">
        <f>订货1!AV17</f>
        <v>0</v>
      </c>
      <c r="BX17" s="113"/>
      <c r="BY17" s="113"/>
      <c r="BZ17" s="62">
        <f>订货1!AW17</f>
        <v>0</v>
      </c>
      <c r="CA17" s="113"/>
      <c r="CB17" s="113"/>
      <c r="CC17" s="62">
        <f>订货1!AX17</f>
        <v>0</v>
      </c>
      <c r="CD17" s="113"/>
      <c r="CE17" s="113"/>
      <c r="CF17" s="62">
        <f>订货1!AY17</f>
        <v>0</v>
      </c>
      <c r="CG17" s="113"/>
      <c r="CH17" s="113"/>
      <c r="CI17" s="62">
        <f>订货1!AZ17</f>
        <v>0</v>
      </c>
      <c r="CJ17" s="113"/>
      <c r="CK17" s="113"/>
      <c r="CL17" s="62">
        <f>订货1!BA17</f>
        <v>0</v>
      </c>
      <c r="CM17" s="113"/>
      <c r="CN17" s="113"/>
      <c r="CO17" s="62">
        <f>订货1!BB17</f>
        <v>0</v>
      </c>
      <c r="CP17" s="113"/>
      <c r="CQ17" s="113"/>
      <c r="CR17" s="62">
        <f>订货1!BC17</f>
        <v>0</v>
      </c>
      <c r="CS17" s="113"/>
      <c r="CT17" s="113"/>
      <c r="CU17" s="62">
        <f>订货1!BD17</f>
        <v>0</v>
      </c>
      <c r="CV17" s="113"/>
      <c r="CW17" s="113"/>
      <c r="CX17" s="62">
        <f>订货1!BE17</f>
        <v>0</v>
      </c>
      <c r="CY17" s="113"/>
      <c r="CZ17" s="113"/>
      <c r="DA17" s="62">
        <f>订货1!BF17</f>
        <v>0</v>
      </c>
      <c r="DB17" s="113"/>
      <c r="DC17" s="113"/>
      <c r="DD17" s="208">
        <v>0</v>
      </c>
      <c r="DE17" s="110" t="e">
        <f t="shared" si="31"/>
        <v>#DIV/0!</v>
      </c>
      <c r="DF17" s="52">
        <f t="shared" si="29"/>
        <v>1</v>
      </c>
      <c r="DG17" s="32" t="str">
        <f>订货1!$Q17</f>
        <v>袋</v>
      </c>
      <c r="DH17" s="209" t="e">
        <f t="shared" si="32"/>
        <v>#DIV/0!</v>
      </c>
    </row>
    <row r="18" spans="1:112" ht="15" customHeight="1">
      <c r="A18" s="48">
        <f>订货1!A18</f>
        <v>201276</v>
      </c>
      <c r="B18" s="44" t="str">
        <f>VLOOKUP($A18,订货1!$A18:$G259,7,0)</f>
        <v>上海捷仪经贸有限公司</v>
      </c>
      <c r="C18" s="44" t="str">
        <f>VLOOKUP($A18,订货1!$A18:$H259,8,0)</f>
        <v>广州华糖食品有限公司</v>
      </c>
      <c r="D18" s="44" t="str">
        <f>VLOOKUP($A18,订货1!$A18:$B259,2,0)</f>
        <v>白糖包</v>
      </c>
      <c r="E18" s="44" t="str">
        <f>VLOOKUP($A18,订货1!$A18:$E259,5,0)</f>
        <v>7g*250pc</v>
      </c>
      <c r="F18" s="49" t="str">
        <f>VLOOKUP($A18,订货1!$A18:$F259,6,0)</f>
        <v>袋</v>
      </c>
      <c r="G18" s="203"/>
      <c r="H18" s="56">
        <f t="shared" si="30"/>
        <v>1</v>
      </c>
      <c r="I18" s="196"/>
      <c r="J18" s="113"/>
      <c r="K18" s="113"/>
      <c r="L18" s="196"/>
      <c r="M18" s="113"/>
      <c r="N18" s="113"/>
      <c r="O18" s="62">
        <f>订货1!AB18</f>
        <v>0</v>
      </c>
      <c r="P18" s="113"/>
      <c r="Q18" s="113"/>
      <c r="R18" s="62">
        <f>订货1!AC18</f>
        <v>0</v>
      </c>
      <c r="S18" s="113"/>
      <c r="T18" s="113"/>
      <c r="U18" s="62">
        <f>订货1!AD18</f>
        <v>0</v>
      </c>
      <c r="V18" s="113"/>
      <c r="W18" s="113"/>
      <c r="X18" s="62">
        <f>订货1!AE18</f>
        <v>0</v>
      </c>
      <c r="Y18" s="113"/>
      <c r="Z18" s="113"/>
      <c r="AA18" s="62">
        <f>订货1!AF18</f>
        <v>0</v>
      </c>
      <c r="AB18" s="113"/>
      <c r="AC18" s="113"/>
      <c r="AD18" s="62">
        <f>订货1!AG18</f>
        <v>0</v>
      </c>
      <c r="AE18" s="113"/>
      <c r="AF18" s="113"/>
      <c r="AG18" s="62">
        <f>订货1!AH18</f>
        <v>0</v>
      </c>
      <c r="AH18" s="113"/>
      <c r="AI18" s="113"/>
      <c r="AJ18" s="62">
        <f>订货1!AI18</f>
        <v>0</v>
      </c>
      <c r="AK18" s="113"/>
      <c r="AL18" s="113"/>
      <c r="AM18" s="62">
        <f>订货1!AJ18</f>
        <v>0</v>
      </c>
      <c r="AN18" s="113"/>
      <c r="AO18" s="113"/>
      <c r="AP18" s="62">
        <f>订货1!AK18</f>
        <v>0</v>
      </c>
      <c r="AQ18" s="113"/>
      <c r="AR18" s="113"/>
      <c r="AS18" s="62">
        <f>订货1!AL18</f>
        <v>0</v>
      </c>
      <c r="AT18" s="113"/>
      <c r="AU18" s="113"/>
      <c r="AV18" s="62">
        <f>订货1!AM18</f>
        <v>1</v>
      </c>
      <c r="AW18" s="113"/>
      <c r="AX18" s="113"/>
      <c r="AY18" s="62">
        <f>订货1!AN18</f>
        <v>0</v>
      </c>
      <c r="AZ18" s="113"/>
      <c r="BA18" s="113"/>
      <c r="BB18" s="62">
        <f>订货1!AO18</f>
        <v>0</v>
      </c>
      <c r="BC18" s="113"/>
      <c r="BD18" s="113"/>
      <c r="BE18" s="62">
        <f>订货1!AP18</f>
        <v>0</v>
      </c>
      <c r="BF18" s="113"/>
      <c r="BG18" s="113"/>
      <c r="BH18" s="62">
        <f>订货1!AQ18</f>
        <v>0</v>
      </c>
      <c r="BI18" s="113"/>
      <c r="BJ18" s="113"/>
      <c r="BK18" s="62">
        <f>订货1!AR18</f>
        <v>0</v>
      </c>
      <c r="BL18" s="113"/>
      <c r="BM18" s="113"/>
      <c r="BN18" s="62">
        <f>订货1!AS18</f>
        <v>0</v>
      </c>
      <c r="BO18" s="113"/>
      <c r="BP18" s="113"/>
      <c r="BQ18" s="62">
        <f>订货1!AT18</f>
        <v>0</v>
      </c>
      <c r="BR18" s="113"/>
      <c r="BS18" s="113"/>
      <c r="BT18" s="62">
        <f>订货1!AU18</f>
        <v>0</v>
      </c>
      <c r="BU18" s="113"/>
      <c r="BV18" s="113"/>
      <c r="BW18" s="62">
        <f>订货1!AV18</f>
        <v>0</v>
      </c>
      <c r="BX18" s="113"/>
      <c r="BY18" s="113"/>
      <c r="BZ18" s="62">
        <f>订货1!AW18</f>
        <v>0</v>
      </c>
      <c r="CA18" s="113"/>
      <c r="CB18" s="113"/>
      <c r="CC18" s="62">
        <f>订货1!AX18</f>
        <v>0</v>
      </c>
      <c r="CD18" s="113"/>
      <c r="CE18" s="113"/>
      <c r="CF18" s="62">
        <f>订货1!AY18</f>
        <v>0</v>
      </c>
      <c r="CG18" s="113"/>
      <c r="CH18" s="113"/>
      <c r="CI18" s="62">
        <f>订货1!AZ18</f>
        <v>0</v>
      </c>
      <c r="CJ18" s="113"/>
      <c r="CK18" s="113"/>
      <c r="CL18" s="62">
        <f>订货1!BA18</f>
        <v>0</v>
      </c>
      <c r="CM18" s="113"/>
      <c r="CN18" s="113"/>
      <c r="CO18" s="62">
        <f>订货1!BB18</f>
        <v>0</v>
      </c>
      <c r="CP18" s="113"/>
      <c r="CQ18" s="113"/>
      <c r="CR18" s="62">
        <f>订货1!BC18</f>
        <v>0</v>
      </c>
      <c r="CS18" s="113"/>
      <c r="CT18" s="113"/>
      <c r="CU18" s="62">
        <f>订货1!BD18</f>
        <v>0</v>
      </c>
      <c r="CV18" s="113"/>
      <c r="CW18" s="113"/>
      <c r="CX18" s="62">
        <f>订货1!BE18</f>
        <v>0</v>
      </c>
      <c r="CY18" s="113"/>
      <c r="CZ18" s="113"/>
      <c r="DA18" s="62">
        <f>订货1!BF18</f>
        <v>0</v>
      </c>
      <c r="DB18" s="113"/>
      <c r="DC18" s="113"/>
      <c r="DD18" s="208">
        <v>0</v>
      </c>
      <c r="DE18" s="110" t="e">
        <f t="shared" si="31"/>
        <v>#DIV/0!</v>
      </c>
      <c r="DF18" s="52">
        <f t="shared" si="29"/>
        <v>1</v>
      </c>
      <c r="DG18" s="32" t="str">
        <f>订货1!$Q18</f>
        <v>袋</v>
      </c>
      <c r="DH18" s="209" t="e">
        <f t="shared" si="32"/>
        <v>#DIV/0!</v>
      </c>
    </row>
    <row r="19" spans="1:112" ht="15" customHeight="1">
      <c r="A19" s="48">
        <f>订货1!A19</f>
        <v>101650</v>
      </c>
      <c r="B19" s="44" t="str">
        <f>VLOOKUP($A19,订货1!$A19:$G260,7,0)</f>
        <v>川商（大連）貿易有限公司</v>
      </c>
      <c r="C19" s="44" t="str">
        <f>VLOOKUP($A19,订货1!$A19:$H260,8,0)</f>
        <v>河北乾亿食品股份有限公司</v>
      </c>
      <c r="D19" s="44" t="str">
        <f>VLOOKUP($A19,订货1!$A19:$B260,2,0)</f>
        <v>干辣椒段</v>
      </c>
      <c r="E19" s="44" t="str">
        <f>VLOOKUP($A19,订货1!$A19:$E260,5,0)</f>
        <v>1kg</v>
      </c>
      <c r="F19" s="49" t="str">
        <f>VLOOKUP($A19,订货1!$A19:$F260,6,0)</f>
        <v>箱</v>
      </c>
      <c r="G19" s="203"/>
      <c r="H19" s="56">
        <f t="shared" si="30"/>
        <v>1</v>
      </c>
      <c r="I19" s="196"/>
      <c r="J19" s="113"/>
      <c r="K19" s="113"/>
      <c r="L19" s="196"/>
      <c r="M19" s="113"/>
      <c r="N19" s="113"/>
      <c r="O19" s="62">
        <f>订货1!AB19</f>
        <v>0</v>
      </c>
      <c r="P19" s="113"/>
      <c r="Q19" s="113"/>
      <c r="R19" s="62">
        <f>订货1!AC19</f>
        <v>0</v>
      </c>
      <c r="S19" s="113"/>
      <c r="T19" s="113"/>
      <c r="U19" s="62">
        <f>订货1!AD19</f>
        <v>0</v>
      </c>
      <c r="V19" s="113"/>
      <c r="W19" s="113"/>
      <c r="X19" s="62">
        <f>订货1!AE19</f>
        <v>0</v>
      </c>
      <c r="Y19" s="113"/>
      <c r="Z19" s="113"/>
      <c r="AA19" s="62">
        <f>订货1!AF19</f>
        <v>0</v>
      </c>
      <c r="AB19" s="113"/>
      <c r="AC19" s="113"/>
      <c r="AD19" s="62">
        <f>订货1!AG19</f>
        <v>0</v>
      </c>
      <c r="AE19" s="113"/>
      <c r="AF19" s="113"/>
      <c r="AG19" s="62">
        <f>订货1!AH19</f>
        <v>0</v>
      </c>
      <c r="AH19" s="113"/>
      <c r="AI19" s="113"/>
      <c r="AJ19" s="62">
        <f>订货1!AI19</f>
        <v>0</v>
      </c>
      <c r="AK19" s="113"/>
      <c r="AL19" s="113"/>
      <c r="AM19" s="62">
        <f>订货1!AJ19</f>
        <v>0</v>
      </c>
      <c r="AN19" s="113"/>
      <c r="AO19" s="113"/>
      <c r="AP19" s="62">
        <f>订货1!AK19</f>
        <v>0</v>
      </c>
      <c r="AQ19" s="113"/>
      <c r="AR19" s="113"/>
      <c r="AS19" s="62">
        <f>订货1!AL19</f>
        <v>0</v>
      </c>
      <c r="AT19" s="113"/>
      <c r="AU19" s="113"/>
      <c r="AV19" s="62">
        <f>订货1!AM19</f>
        <v>1</v>
      </c>
      <c r="AW19" s="113"/>
      <c r="AX19" s="113"/>
      <c r="AY19" s="62">
        <f>订货1!AN19</f>
        <v>0</v>
      </c>
      <c r="AZ19" s="113"/>
      <c r="BA19" s="113"/>
      <c r="BB19" s="62">
        <f>订货1!AO19</f>
        <v>0</v>
      </c>
      <c r="BC19" s="113"/>
      <c r="BD19" s="113"/>
      <c r="BE19" s="62">
        <f>订货1!AP19</f>
        <v>0</v>
      </c>
      <c r="BF19" s="113"/>
      <c r="BG19" s="113"/>
      <c r="BH19" s="62">
        <f>订货1!AQ19</f>
        <v>0</v>
      </c>
      <c r="BI19" s="113"/>
      <c r="BJ19" s="113"/>
      <c r="BK19" s="62">
        <f>订货1!AR19</f>
        <v>0</v>
      </c>
      <c r="BL19" s="113"/>
      <c r="BM19" s="113"/>
      <c r="BN19" s="62">
        <f>订货1!AS19</f>
        <v>0</v>
      </c>
      <c r="BO19" s="113"/>
      <c r="BP19" s="113"/>
      <c r="BQ19" s="62">
        <f>订货1!AT19</f>
        <v>0</v>
      </c>
      <c r="BR19" s="113"/>
      <c r="BS19" s="113"/>
      <c r="BT19" s="62">
        <f>订货1!AU19</f>
        <v>0</v>
      </c>
      <c r="BU19" s="113"/>
      <c r="BV19" s="113"/>
      <c r="BW19" s="62">
        <f>订货1!AV19</f>
        <v>0</v>
      </c>
      <c r="BX19" s="113"/>
      <c r="BY19" s="113"/>
      <c r="BZ19" s="62">
        <f>订货1!AW19</f>
        <v>0</v>
      </c>
      <c r="CA19" s="113"/>
      <c r="CB19" s="113"/>
      <c r="CC19" s="62">
        <f>订货1!AX19</f>
        <v>0</v>
      </c>
      <c r="CD19" s="113"/>
      <c r="CE19" s="113"/>
      <c r="CF19" s="62">
        <f>订货1!AY19</f>
        <v>0</v>
      </c>
      <c r="CG19" s="113"/>
      <c r="CH19" s="113"/>
      <c r="CI19" s="62">
        <f>订货1!AZ19</f>
        <v>0</v>
      </c>
      <c r="CJ19" s="113"/>
      <c r="CK19" s="113"/>
      <c r="CL19" s="62">
        <f>订货1!BA19</f>
        <v>0</v>
      </c>
      <c r="CM19" s="113"/>
      <c r="CN19" s="113"/>
      <c r="CO19" s="62">
        <f>订货1!BB19</f>
        <v>0</v>
      </c>
      <c r="CP19" s="113"/>
      <c r="CQ19" s="113"/>
      <c r="CR19" s="62">
        <f>订货1!BC19</f>
        <v>0</v>
      </c>
      <c r="CS19" s="113"/>
      <c r="CT19" s="113"/>
      <c r="CU19" s="62">
        <f>订货1!BD19</f>
        <v>0</v>
      </c>
      <c r="CV19" s="113"/>
      <c r="CW19" s="113"/>
      <c r="CX19" s="62">
        <f>订货1!BE19</f>
        <v>0</v>
      </c>
      <c r="CY19" s="113"/>
      <c r="CZ19" s="113"/>
      <c r="DA19" s="62">
        <f>订货1!BF19</f>
        <v>0</v>
      </c>
      <c r="DB19" s="113"/>
      <c r="DC19" s="113"/>
      <c r="DD19" s="208">
        <v>0</v>
      </c>
      <c r="DE19" s="110" t="e">
        <f t="shared" si="31"/>
        <v>#DIV/0!</v>
      </c>
      <c r="DF19" s="52">
        <f t="shared" si="29"/>
        <v>1</v>
      </c>
      <c r="DG19" s="32" t="str">
        <f>订货1!$Q19</f>
        <v>箱</v>
      </c>
      <c r="DH19" s="209" t="e">
        <f t="shared" si="32"/>
        <v>#DIV/0!</v>
      </c>
    </row>
    <row r="20" spans="1:112" ht="15" customHeight="1">
      <c r="A20" s="48">
        <f>订货1!A20</f>
        <v>101025</v>
      </c>
      <c r="B20" s="44" t="str">
        <f>VLOOKUP($A20,订货1!$A20:$G261,7,0)</f>
        <v>嘉兴铃吉食品有限公司</v>
      </c>
      <c r="C20" s="44" t="str">
        <f>VLOOKUP($A20,订货1!$A20:$H261,8,0)</f>
        <v>嘉兴铃吉食品有限公司</v>
      </c>
      <c r="D20" s="44" t="str">
        <f>VLOOKUP($A20,订货1!$A20:$B261,2,0)</f>
        <v>大蒜黄油</v>
      </c>
      <c r="E20" s="44" t="str">
        <f>VLOOKUP($A20,订货1!$A20:$E261,5,0)</f>
        <v>3kg*4pc</v>
      </c>
      <c r="F20" s="49" t="str">
        <f>VLOOKUP($A20,订货1!$A20:$F261,6,0)</f>
        <v>箱</v>
      </c>
      <c r="G20" s="203"/>
      <c r="H20" s="56">
        <f t="shared" si="30"/>
        <v>0</v>
      </c>
      <c r="I20" s="196"/>
      <c r="J20" s="113"/>
      <c r="K20" s="113"/>
      <c r="L20" s="196"/>
      <c r="M20" s="113"/>
      <c r="N20" s="113"/>
      <c r="O20" s="62">
        <f>订货1!AB20</f>
        <v>0</v>
      </c>
      <c r="P20" s="113"/>
      <c r="Q20" s="113"/>
      <c r="R20" s="62">
        <f>订货1!AC20</f>
        <v>0</v>
      </c>
      <c r="S20" s="113"/>
      <c r="T20" s="113"/>
      <c r="U20" s="62">
        <f>订货1!AD20</f>
        <v>0</v>
      </c>
      <c r="V20" s="113"/>
      <c r="W20" s="113"/>
      <c r="X20" s="62">
        <f>订货1!AE20</f>
        <v>0</v>
      </c>
      <c r="Y20" s="113"/>
      <c r="Z20" s="113"/>
      <c r="AA20" s="62">
        <f>订货1!AF20</f>
        <v>0</v>
      </c>
      <c r="AB20" s="113"/>
      <c r="AC20" s="113"/>
      <c r="AD20" s="62">
        <f>订货1!AG20</f>
        <v>0</v>
      </c>
      <c r="AE20" s="113"/>
      <c r="AF20" s="113"/>
      <c r="AG20" s="62">
        <f>订货1!AH20</f>
        <v>0</v>
      </c>
      <c r="AH20" s="113"/>
      <c r="AI20" s="113"/>
      <c r="AJ20" s="62">
        <f>订货1!AI20</f>
        <v>0</v>
      </c>
      <c r="AK20" s="113"/>
      <c r="AL20" s="113"/>
      <c r="AM20" s="62">
        <f>订货1!AJ20</f>
        <v>0</v>
      </c>
      <c r="AN20" s="113"/>
      <c r="AO20" s="113"/>
      <c r="AP20" s="62">
        <f>订货1!AK20</f>
        <v>0</v>
      </c>
      <c r="AQ20" s="113"/>
      <c r="AR20" s="113"/>
      <c r="AS20" s="62">
        <f>订货1!AL20</f>
        <v>0</v>
      </c>
      <c r="AT20" s="113"/>
      <c r="AU20" s="113"/>
      <c r="AV20" s="62">
        <f>订货1!AM20</f>
        <v>0</v>
      </c>
      <c r="AW20" s="113"/>
      <c r="AX20" s="113"/>
      <c r="AY20" s="62">
        <f>订货1!AN20</f>
        <v>0</v>
      </c>
      <c r="AZ20" s="113"/>
      <c r="BA20" s="113"/>
      <c r="BB20" s="62">
        <f>订货1!AO20</f>
        <v>0</v>
      </c>
      <c r="BC20" s="113"/>
      <c r="BD20" s="113"/>
      <c r="BE20" s="62">
        <f>订货1!AP20</f>
        <v>0</v>
      </c>
      <c r="BF20" s="113"/>
      <c r="BG20" s="113"/>
      <c r="BH20" s="62">
        <f>订货1!AQ20</f>
        <v>0</v>
      </c>
      <c r="BI20" s="113"/>
      <c r="BJ20" s="113"/>
      <c r="BK20" s="62">
        <f>订货1!AR20</f>
        <v>0</v>
      </c>
      <c r="BL20" s="113"/>
      <c r="BM20" s="113"/>
      <c r="BN20" s="62">
        <f>订货1!AS20</f>
        <v>0</v>
      </c>
      <c r="BO20" s="113"/>
      <c r="BP20" s="113"/>
      <c r="BQ20" s="62">
        <f>订货1!AT20</f>
        <v>0</v>
      </c>
      <c r="BR20" s="113"/>
      <c r="BS20" s="113"/>
      <c r="BT20" s="62">
        <f>订货1!AU20</f>
        <v>0</v>
      </c>
      <c r="BU20" s="113"/>
      <c r="BV20" s="113"/>
      <c r="BW20" s="62">
        <f>订货1!AV20</f>
        <v>0</v>
      </c>
      <c r="BX20" s="113"/>
      <c r="BY20" s="113"/>
      <c r="BZ20" s="62">
        <f>订货1!AW20</f>
        <v>0</v>
      </c>
      <c r="CA20" s="113"/>
      <c r="CB20" s="113"/>
      <c r="CC20" s="62">
        <f>订货1!AX20</f>
        <v>0</v>
      </c>
      <c r="CD20" s="113"/>
      <c r="CE20" s="113"/>
      <c r="CF20" s="62">
        <f>订货1!AY20</f>
        <v>0</v>
      </c>
      <c r="CG20" s="113"/>
      <c r="CH20" s="113"/>
      <c r="CI20" s="62">
        <f>订货1!AZ20</f>
        <v>0</v>
      </c>
      <c r="CJ20" s="113"/>
      <c r="CK20" s="113"/>
      <c r="CL20" s="62">
        <f>订货1!BA20</f>
        <v>0</v>
      </c>
      <c r="CM20" s="113"/>
      <c r="CN20" s="113"/>
      <c r="CO20" s="62">
        <f>订货1!BB20</f>
        <v>0</v>
      </c>
      <c r="CP20" s="113"/>
      <c r="CQ20" s="113"/>
      <c r="CR20" s="62">
        <f>订货1!BC20</f>
        <v>0</v>
      </c>
      <c r="CS20" s="113"/>
      <c r="CT20" s="113"/>
      <c r="CU20" s="62">
        <f>订货1!BD20</f>
        <v>0</v>
      </c>
      <c r="CV20" s="113"/>
      <c r="CW20" s="113"/>
      <c r="CX20" s="62">
        <f>订货1!BE20</f>
        <v>0</v>
      </c>
      <c r="CY20" s="113"/>
      <c r="CZ20" s="113"/>
      <c r="DA20" s="62">
        <f>订货1!BF20</f>
        <v>0</v>
      </c>
      <c r="DB20" s="113"/>
      <c r="DC20" s="113"/>
      <c r="DD20" s="208">
        <v>0</v>
      </c>
      <c r="DE20" s="110" t="e">
        <f t="shared" si="31"/>
        <v>#DIV/0!</v>
      </c>
      <c r="DF20" s="52">
        <f t="shared" si="29"/>
        <v>0</v>
      </c>
      <c r="DG20" s="32" t="str">
        <f>订货1!$Q20</f>
        <v>箱</v>
      </c>
      <c r="DH20" s="209" t="e">
        <f t="shared" si="32"/>
        <v>#DIV/0!</v>
      </c>
    </row>
    <row r="21" spans="1:112" ht="15" customHeight="1">
      <c r="A21" s="48">
        <f>订货1!A21</f>
        <v>101027</v>
      </c>
      <c r="B21" s="44" t="str">
        <f>VLOOKUP($A21,订货1!$A21:$G262,7,0)</f>
        <v>嘉兴铃吉食品有限公司</v>
      </c>
      <c r="C21" s="44" t="str">
        <f>VLOOKUP($A21,订货1!$A21:$H262,8,0)</f>
        <v>嘉兴铃吉食品有限公司</v>
      </c>
      <c r="D21" s="44" t="str">
        <f>VLOOKUP($A21,订货1!$A21:$B262,2,0)</f>
        <v>酱蒜汁</v>
      </c>
      <c r="E21" s="44" t="str">
        <f>VLOOKUP($A21,订货1!$A21:$E262,5,0)</f>
        <v>1kg*6pc</v>
      </c>
      <c r="F21" s="49" t="str">
        <f>VLOOKUP($A21,订货1!$A21:$F262,6,0)</f>
        <v>箱</v>
      </c>
      <c r="G21" s="203"/>
      <c r="H21" s="56">
        <f t="shared" si="30"/>
        <v>1</v>
      </c>
      <c r="I21" s="196"/>
      <c r="J21" s="113"/>
      <c r="K21" s="113"/>
      <c r="L21" s="196"/>
      <c r="M21" s="113"/>
      <c r="N21" s="113"/>
      <c r="O21" s="62">
        <f>订货1!AB21</f>
        <v>0</v>
      </c>
      <c r="P21" s="113"/>
      <c r="Q21" s="113"/>
      <c r="R21" s="62">
        <f>订货1!AC21</f>
        <v>0</v>
      </c>
      <c r="S21" s="113"/>
      <c r="T21" s="113"/>
      <c r="U21" s="62">
        <f>订货1!AD21</f>
        <v>0</v>
      </c>
      <c r="V21" s="113"/>
      <c r="W21" s="113"/>
      <c r="X21" s="62">
        <f>订货1!AE21</f>
        <v>0</v>
      </c>
      <c r="Y21" s="113"/>
      <c r="Z21" s="113"/>
      <c r="AA21" s="62">
        <f>订货1!AF21</f>
        <v>0</v>
      </c>
      <c r="AB21" s="113"/>
      <c r="AC21" s="113"/>
      <c r="AD21" s="62">
        <f>订货1!AG21</f>
        <v>0</v>
      </c>
      <c r="AE21" s="113"/>
      <c r="AF21" s="113"/>
      <c r="AG21" s="62">
        <f>订货1!AH21</f>
        <v>1</v>
      </c>
      <c r="AH21" s="113"/>
      <c r="AI21" s="113"/>
      <c r="AJ21" s="62">
        <f>订货1!AI21</f>
        <v>0</v>
      </c>
      <c r="AK21" s="113"/>
      <c r="AL21" s="113"/>
      <c r="AM21" s="62">
        <f>订货1!AJ21</f>
        <v>0</v>
      </c>
      <c r="AN21" s="113"/>
      <c r="AO21" s="113"/>
      <c r="AP21" s="62">
        <f>订货1!AK21</f>
        <v>0</v>
      </c>
      <c r="AQ21" s="113"/>
      <c r="AR21" s="113"/>
      <c r="AS21" s="62">
        <f>订货1!AL21</f>
        <v>0</v>
      </c>
      <c r="AT21" s="113"/>
      <c r="AU21" s="113"/>
      <c r="AV21" s="62">
        <f>订货1!AM21</f>
        <v>0</v>
      </c>
      <c r="AW21" s="113"/>
      <c r="AX21" s="113"/>
      <c r="AY21" s="62">
        <f>订货1!AN21</f>
        <v>0</v>
      </c>
      <c r="AZ21" s="113"/>
      <c r="BA21" s="113"/>
      <c r="BB21" s="62">
        <f>订货1!AO21</f>
        <v>0</v>
      </c>
      <c r="BC21" s="113"/>
      <c r="BD21" s="113"/>
      <c r="BE21" s="62">
        <f>订货1!AP21</f>
        <v>0</v>
      </c>
      <c r="BF21" s="113"/>
      <c r="BG21" s="113"/>
      <c r="BH21" s="62">
        <f>订货1!AQ21</f>
        <v>0</v>
      </c>
      <c r="BI21" s="113"/>
      <c r="BJ21" s="113"/>
      <c r="BK21" s="62">
        <f>订货1!AR21</f>
        <v>0</v>
      </c>
      <c r="BL21" s="113"/>
      <c r="BM21" s="113"/>
      <c r="BN21" s="62">
        <f>订货1!AS21</f>
        <v>0</v>
      </c>
      <c r="BO21" s="113"/>
      <c r="BP21" s="113"/>
      <c r="BQ21" s="62">
        <f>订货1!AT21</f>
        <v>0</v>
      </c>
      <c r="BR21" s="113"/>
      <c r="BS21" s="113"/>
      <c r="BT21" s="62">
        <f>订货1!AU21</f>
        <v>0</v>
      </c>
      <c r="BU21" s="113"/>
      <c r="BV21" s="113"/>
      <c r="BW21" s="62">
        <f>订货1!AV21</f>
        <v>0</v>
      </c>
      <c r="BX21" s="113"/>
      <c r="BY21" s="113"/>
      <c r="BZ21" s="62">
        <f>订货1!AW21</f>
        <v>0</v>
      </c>
      <c r="CA21" s="113"/>
      <c r="CB21" s="113"/>
      <c r="CC21" s="62">
        <f>订货1!AX21</f>
        <v>0</v>
      </c>
      <c r="CD21" s="113"/>
      <c r="CE21" s="113"/>
      <c r="CF21" s="62">
        <f>订货1!AY21</f>
        <v>0</v>
      </c>
      <c r="CG21" s="113"/>
      <c r="CH21" s="113"/>
      <c r="CI21" s="62">
        <f>订货1!AZ21</f>
        <v>0</v>
      </c>
      <c r="CJ21" s="113"/>
      <c r="CK21" s="113"/>
      <c r="CL21" s="62">
        <f>订货1!BA21</f>
        <v>0</v>
      </c>
      <c r="CM21" s="113"/>
      <c r="CN21" s="113"/>
      <c r="CO21" s="62">
        <f>订货1!BB21</f>
        <v>0</v>
      </c>
      <c r="CP21" s="113"/>
      <c r="CQ21" s="113"/>
      <c r="CR21" s="62">
        <f>订货1!BC21</f>
        <v>0</v>
      </c>
      <c r="CS21" s="113"/>
      <c r="CT21" s="113"/>
      <c r="CU21" s="62">
        <f>订货1!BD21</f>
        <v>0</v>
      </c>
      <c r="CV21" s="113"/>
      <c r="CW21" s="113"/>
      <c r="CX21" s="62">
        <f>订货1!BE21</f>
        <v>0</v>
      </c>
      <c r="CY21" s="113"/>
      <c r="CZ21" s="113"/>
      <c r="DA21" s="62">
        <f>订货1!BF21</f>
        <v>0</v>
      </c>
      <c r="DB21" s="113"/>
      <c r="DC21" s="113"/>
      <c r="DD21" s="208">
        <v>0</v>
      </c>
      <c r="DE21" s="110" t="e">
        <f t="shared" si="31"/>
        <v>#DIV/0!</v>
      </c>
      <c r="DF21" s="52">
        <f t="shared" si="29"/>
        <v>1</v>
      </c>
      <c r="DG21" s="32" t="str">
        <f>订货1!$Q21</f>
        <v>箱</v>
      </c>
      <c r="DH21" s="209" t="e">
        <f t="shared" si="32"/>
        <v>#DIV/0!</v>
      </c>
    </row>
    <row r="22" spans="1:112" ht="15" customHeight="1">
      <c r="A22" s="48">
        <f>订货1!A22</f>
        <v>101732</v>
      </c>
      <c r="B22" s="44" t="str">
        <f>VLOOKUP($A22,订货1!$A22:$G263,7,0)</f>
        <v>融滋合味（上海）科技有限公司</v>
      </c>
      <c r="C22" s="44" t="str">
        <f>VLOOKUP($A22,订货1!$A22:$H263,8,0)</f>
        <v>Sunshine International Co., Ltd</v>
      </c>
      <c r="D22" s="44" t="str">
        <f>VLOOKUP($A22,订货1!$A22:$B263,2,0)</f>
        <v>榴莲果肉</v>
      </c>
      <c r="E22" s="44" t="str">
        <f>VLOOKUP($A22,订货1!$A22:$E263,5,0)</f>
        <v>1kg</v>
      </c>
      <c r="F22" s="49" t="str">
        <f>VLOOKUP($A22,订货1!$A22:$F263,6,0)</f>
        <v>包</v>
      </c>
      <c r="G22" s="203"/>
      <c r="H22" s="56">
        <f t="shared" si="30"/>
        <v>16</v>
      </c>
      <c r="I22" s="196"/>
      <c r="J22" s="113"/>
      <c r="K22" s="113"/>
      <c r="L22" s="196"/>
      <c r="M22" s="113"/>
      <c r="N22" s="113"/>
      <c r="O22" s="62">
        <f>订货1!AB22</f>
        <v>1</v>
      </c>
      <c r="P22" s="113"/>
      <c r="Q22" s="113"/>
      <c r="R22" s="62">
        <f>订货1!AC22</f>
        <v>2</v>
      </c>
      <c r="S22" s="113"/>
      <c r="T22" s="113"/>
      <c r="U22" s="62">
        <f>订货1!AD22</f>
        <v>0</v>
      </c>
      <c r="V22" s="113"/>
      <c r="W22" s="113"/>
      <c r="X22" s="62">
        <f>订货1!AE22</f>
        <v>1</v>
      </c>
      <c r="Y22" s="113"/>
      <c r="Z22" s="113"/>
      <c r="AA22" s="62">
        <f>订货1!AF22</f>
        <v>2</v>
      </c>
      <c r="AB22" s="113"/>
      <c r="AC22" s="113"/>
      <c r="AD22" s="62">
        <f>订货1!AG22</f>
        <v>2</v>
      </c>
      <c r="AE22" s="113"/>
      <c r="AF22" s="113"/>
      <c r="AG22" s="62">
        <f>订货1!AH22</f>
        <v>0</v>
      </c>
      <c r="AH22" s="113"/>
      <c r="AI22" s="113"/>
      <c r="AJ22" s="62">
        <f>订货1!AI22</f>
        <v>0</v>
      </c>
      <c r="AK22" s="113"/>
      <c r="AL22" s="113"/>
      <c r="AM22" s="62">
        <f>订货1!AJ22</f>
        <v>2</v>
      </c>
      <c r="AN22" s="113"/>
      <c r="AO22" s="113"/>
      <c r="AP22" s="62">
        <f>订货1!AK22</f>
        <v>0</v>
      </c>
      <c r="AQ22" s="113"/>
      <c r="AR22" s="113"/>
      <c r="AS22" s="62">
        <f>订货1!AL22</f>
        <v>0</v>
      </c>
      <c r="AT22" s="113"/>
      <c r="AU22" s="113"/>
      <c r="AV22" s="62">
        <f>订货1!AM22</f>
        <v>3</v>
      </c>
      <c r="AW22" s="113"/>
      <c r="AX22" s="113"/>
      <c r="AY22" s="62">
        <f>订货1!AN22</f>
        <v>2</v>
      </c>
      <c r="AZ22" s="113"/>
      <c r="BA22" s="113"/>
      <c r="BB22" s="62">
        <f>订货1!AO22</f>
        <v>1</v>
      </c>
      <c r="BC22" s="113"/>
      <c r="BD22" s="113"/>
      <c r="BE22" s="62">
        <f>订货1!AP22</f>
        <v>0</v>
      </c>
      <c r="BF22" s="113"/>
      <c r="BG22" s="113"/>
      <c r="BH22" s="62">
        <f>订货1!AQ22</f>
        <v>0</v>
      </c>
      <c r="BI22" s="113"/>
      <c r="BJ22" s="113"/>
      <c r="BK22" s="62">
        <f>订货1!AR22</f>
        <v>0</v>
      </c>
      <c r="BL22" s="113"/>
      <c r="BM22" s="113"/>
      <c r="BN22" s="62">
        <f>订货1!AS22</f>
        <v>0</v>
      </c>
      <c r="BO22" s="113"/>
      <c r="BP22" s="113"/>
      <c r="BQ22" s="62">
        <f>订货1!AT22</f>
        <v>0</v>
      </c>
      <c r="BR22" s="113"/>
      <c r="BS22" s="113"/>
      <c r="BT22" s="62">
        <f>订货1!AU22</f>
        <v>0</v>
      </c>
      <c r="BU22" s="113"/>
      <c r="BV22" s="113"/>
      <c r="BW22" s="62">
        <f>订货1!AV22</f>
        <v>0</v>
      </c>
      <c r="BX22" s="113"/>
      <c r="BY22" s="113"/>
      <c r="BZ22" s="62">
        <f>订货1!AW22</f>
        <v>0</v>
      </c>
      <c r="CA22" s="113"/>
      <c r="CB22" s="113"/>
      <c r="CC22" s="62">
        <f>订货1!AX22</f>
        <v>0</v>
      </c>
      <c r="CD22" s="113"/>
      <c r="CE22" s="113"/>
      <c r="CF22" s="62">
        <f>订货1!AY22</f>
        <v>0</v>
      </c>
      <c r="CG22" s="113"/>
      <c r="CH22" s="113"/>
      <c r="CI22" s="62">
        <f>订货1!AZ22</f>
        <v>0</v>
      </c>
      <c r="CJ22" s="113"/>
      <c r="CK22" s="113"/>
      <c r="CL22" s="62">
        <f>订货1!BA22</f>
        <v>0</v>
      </c>
      <c r="CM22" s="113"/>
      <c r="CN22" s="113"/>
      <c r="CO22" s="62">
        <f>订货1!BB22</f>
        <v>0</v>
      </c>
      <c r="CP22" s="113"/>
      <c r="CQ22" s="113"/>
      <c r="CR22" s="62">
        <f>订货1!BC22</f>
        <v>0</v>
      </c>
      <c r="CS22" s="113"/>
      <c r="CT22" s="113"/>
      <c r="CU22" s="62">
        <f>订货1!BD22</f>
        <v>0</v>
      </c>
      <c r="CV22" s="113"/>
      <c r="CW22" s="113"/>
      <c r="CX22" s="62">
        <f>订货1!BE22</f>
        <v>0</v>
      </c>
      <c r="CY22" s="113"/>
      <c r="CZ22" s="113"/>
      <c r="DA22" s="62">
        <f>订货1!BF22</f>
        <v>0</v>
      </c>
      <c r="DB22" s="113"/>
      <c r="DC22" s="113"/>
      <c r="DD22" s="208">
        <v>0</v>
      </c>
      <c r="DE22" s="110" t="e">
        <f t="shared" si="31"/>
        <v>#DIV/0!</v>
      </c>
      <c r="DF22" s="52">
        <f t="shared" si="29"/>
        <v>16</v>
      </c>
      <c r="DG22" s="32" t="str">
        <f>订货1!$Q22</f>
        <v>包</v>
      </c>
      <c r="DH22" s="209" t="e">
        <f t="shared" si="32"/>
        <v>#DIV/0!</v>
      </c>
    </row>
    <row r="23" spans="1:112" ht="15" customHeight="1">
      <c r="A23" s="48">
        <f>订货1!A23</f>
        <v>101617</v>
      </c>
      <c r="B23" s="44" t="str">
        <f>VLOOKUP($A23,订货1!$A23:$G264,7,0)</f>
        <v>丹东永明食品有限公司</v>
      </c>
      <c r="C23" s="44" t="str">
        <f>VLOOKUP($A23,订货1!$A23:$H264,8,0)</f>
        <v>丹东永明食品有限公司</v>
      </c>
      <c r="D23" s="44" t="str">
        <f>VLOOKUP($A23,订货1!$A23:$B264,2,0)</f>
        <v>冻鱿鱼</v>
      </c>
      <c r="E23" s="44" t="str">
        <f>VLOOKUP($A23,订货1!$A23:$E264,5,0)</f>
        <v>1kg*10pkt</v>
      </c>
      <c r="F23" s="49" t="str">
        <f>VLOOKUP($A23,订货1!$A23:$F264,6,0)</f>
        <v>箱</v>
      </c>
      <c r="G23" s="203"/>
      <c r="H23" s="56">
        <f t="shared" si="30"/>
        <v>4</v>
      </c>
      <c r="I23" s="196"/>
      <c r="J23" s="113"/>
      <c r="K23" s="113"/>
      <c r="L23" s="196"/>
      <c r="M23" s="113"/>
      <c r="N23" s="113"/>
      <c r="O23" s="62">
        <f>订货1!AB23</f>
        <v>0</v>
      </c>
      <c r="P23" s="113"/>
      <c r="Q23" s="113"/>
      <c r="R23" s="62">
        <f>订货1!AC23</f>
        <v>0</v>
      </c>
      <c r="S23" s="113"/>
      <c r="T23" s="113"/>
      <c r="U23" s="62">
        <f>订货1!AD23</f>
        <v>0</v>
      </c>
      <c r="V23" s="113"/>
      <c r="W23" s="113"/>
      <c r="X23" s="62">
        <f>订货1!AE23</f>
        <v>0</v>
      </c>
      <c r="Y23" s="113"/>
      <c r="Z23" s="113"/>
      <c r="AA23" s="62">
        <f>订货1!AF23</f>
        <v>1</v>
      </c>
      <c r="AB23" s="113"/>
      <c r="AC23" s="113"/>
      <c r="AD23" s="62">
        <f>订货1!AG23</f>
        <v>0</v>
      </c>
      <c r="AE23" s="113"/>
      <c r="AF23" s="113"/>
      <c r="AG23" s="62">
        <f>订货1!AH23</f>
        <v>0</v>
      </c>
      <c r="AH23" s="113"/>
      <c r="AI23" s="113"/>
      <c r="AJ23" s="62">
        <f>订货1!AI23</f>
        <v>0</v>
      </c>
      <c r="AK23" s="113"/>
      <c r="AL23" s="113"/>
      <c r="AM23" s="62">
        <f>订货1!AJ23</f>
        <v>1</v>
      </c>
      <c r="AN23" s="113"/>
      <c r="AO23" s="113"/>
      <c r="AP23" s="62">
        <f>订货1!AK23</f>
        <v>0</v>
      </c>
      <c r="AQ23" s="113"/>
      <c r="AR23" s="113"/>
      <c r="AS23" s="62">
        <f>订货1!AL23</f>
        <v>0</v>
      </c>
      <c r="AT23" s="113"/>
      <c r="AU23" s="113"/>
      <c r="AV23" s="62">
        <f>订货1!AM23</f>
        <v>1</v>
      </c>
      <c r="AW23" s="113"/>
      <c r="AX23" s="113"/>
      <c r="AY23" s="62">
        <f>订货1!AN23</f>
        <v>0</v>
      </c>
      <c r="AZ23" s="113"/>
      <c r="BA23" s="113"/>
      <c r="BB23" s="62">
        <f>订货1!AO23</f>
        <v>1</v>
      </c>
      <c r="BC23" s="113"/>
      <c r="BD23" s="113"/>
      <c r="BE23" s="62">
        <f>订货1!AP23</f>
        <v>0</v>
      </c>
      <c r="BF23" s="113"/>
      <c r="BG23" s="113"/>
      <c r="BH23" s="62">
        <f>订货1!AQ23</f>
        <v>0</v>
      </c>
      <c r="BI23" s="113"/>
      <c r="BJ23" s="113"/>
      <c r="BK23" s="62">
        <f>订货1!AR23</f>
        <v>0</v>
      </c>
      <c r="BL23" s="113"/>
      <c r="BM23" s="113"/>
      <c r="BN23" s="62">
        <f>订货1!AS23</f>
        <v>0</v>
      </c>
      <c r="BO23" s="113"/>
      <c r="BP23" s="113"/>
      <c r="BQ23" s="62">
        <f>订货1!AT23</f>
        <v>0</v>
      </c>
      <c r="BR23" s="113"/>
      <c r="BS23" s="113"/>
      <c r="BT23" s="62">
        <f>订货1!AU23</f>
        <v>0</v>
      </c>
      <c r="BU23" s="113"/>
      <c r="BV23" s="113"/>
      <c r="BW23" s="62">
        <f>订货1!AV23</f>
        <v>0</v>
      </c>
      <c r="BX23" s="113"/>
      <c r="BY23" s="113"/>
      <c r="BZ23" s="62">
        <f>订货1!AW23</f>
        <v>0</v>
      </c>
      <c r="CA23" s="113"/>
      <c r="CB23" s="113"/>
      <c r="CC23" s="62">
        <f>订货1!AX23</f>
        <v>0</v>
      </c>
      <c r="CD23" s="113"/>
      <c r="CE23" s="113"/>
      <c r="CF23" s="62">
        <f>订货1!AY23</f>
        <v>0</v>
      </c>
      <c r="CG23" s="113"/>
      <c r="CH23" s="113"/>
      <c r="CI23" s="62">
        <f>订货1!AZ23</f>
        <v>0</v>
      </c>
      <c r="CJ23" s="113"/>
      <c r="CK23" s="113"/>
      <c r="CL23" s="62">
        <f>订货1!BA23</f>
        <v>0</v>
      </c>
      <c r="CM23" s="113"/>
      <c r="CN23" s="113"/>
      <c r="CO23" s="62">
        <f>订货1!BB23</f>
        <v>0</v>
      </c>
      <c r="CP23" s="113"/>
      <c r="CQ23" s="113"/>
      <c r="CR23" s="62">
        <f>订货1!BC23</f>
        <v>0</v>
      </c>
      <c r="CS23" s="113"/>
      <c r="CT23" s="113"/>
      <c r="CU23" s="62">
        <f>订货1!BD23</f>
        <v>0</v>
      </c>
      <c r="CV23" s="113"/>
      <c r="CW23" s="113"/>
      <c r="CX23" s="62">
        <f>订货1!BE23</f>
        <v>0</v>
      </c>
      <c r="CY23" s="113"/>
      <c r="CZ23" s="113"/>
      <c r="DA23" s="62">
        <f>订货1!BF23</f>
        <v>0</v>
      </c>
      <c r="DB23" s="113"/>
      <c r="DC23" s="113"/>
      <c r="DD23" s="208">
        <v>0</v>
      </c>
      <c r="DE23" s="110" t="e">
        <f t="shared" si="31"/>
        <v>#DIV/0!</v>
      </c>
      <c r="DF23" s="52">
        <f t="shared" si="29"/>
        <v>4</v>
      </c>
      <c r="DG23" s="32" t="str">
        <f>订货1!$Q23</f>
        <v>箱</v>
      </c>
      <c r="DH23" s="209" t="e">
        <f t="shared" si="32"/>
        <v>#DIV/0!</v>
      </c>
    </row>
    <row r="24" spans="1:112" ht="15" customHeight="1">
      <c r="A24" s="48">
        <f>订货1!A24</f>
        <v>101030</v>
      </c>
      <c r="B24" s="44" t="str">
        <f>VLOOKUP($A24,订货1!$A24:$G265,7,0)</f>
        <v>嘉兴铃吉食品有限公司</v>
      </c>
      <c r="C24" s="44" t="str">
        <f>VLOOKUP($A24,订货1!$A24:$H265,8,0)</f>
        <v>嘉兴铃吉食品有限公司</v>
      </c>
      <c r="D24" s="44" t="str">
        <f>VLOOKUP($A24,订货1!$A24:$B265,2,0)</f>
        <v>海鲜味调味汁</v>
      </c>
      <c r="E24" s="44" t="str">
        <f>VLOOKUP($A24,订货1!$A24:$E265,5,0)</f>
        <v>2kg*5pc</v>
      </c>
      <c r="F24" s="49" t="str">
        <f>VLOOKUP($A24,订货1!$A24:$F265,6,0)</f>
        <v>箱</v>
      </c>
      <c r="G24" s="203"/>
      <c r="H24" s="56">
        <f t="shared" si="30"/>
        <v>3</v>
      </c>
      <c r="I24" s="196"/>
      <c r="J24" s="113"/>
      <c r="K24" s="113"/>
      <c r="L24" s="196"/>
      <c r="M24" s="113"/>
      <c r="N24" s="113"/>
      <c r="O24" s="62">
        <f>订货1!AB24</f>
        <v>0</v>
      </c>
      <c r="P24" s="113"/>
      <c r="Q24" s="113"/>
      <c r="R24" s="62">
        <f>订货1!AC24</f>
        <v>0</v>
      </c>
      <c r="S24" s="113"/>
      <c r="T24" s="113"/>
      <c r="U24" s="62">
        <f>订货1!AD24</f>
        <v>0</v>
      </c>
      <c r="V24" s="113"/>
      <c r="W24" s="113"/>
      <c r="X24" s="62">
        <f>订货1!AE24</f>
        <v>0</v>
      </c>
      <c r="Y24" s="113"/>
      <c r="Z24" s="113"/>
      <c r="AA24" s="62">
        <f>订货1!AF24</f>
        <v>0</v>
      </c>
      <c r="AB24" s="113"/>
      <c r="AC24" s="113"/>
      <c r="AD24" s="62">
        <f>订货1!AG24</f>
        <v>1</v>
      </c>
      <c r="AE24" s="113"/>
      <c r="AF24" s="113"/>
      <c r="AG24" s="62">
        <f>订货1!AH24</f>
        <v>0</v>
      </c>
      <c r="AH24" s="113"/>
      <c r="AI24" s="113"/>
      <c r="AJ24" s="62">
        <f>订货1!AI24</f>
        <v>1</v>
      </c>
      <c r="AK24" s="113"/>
      <c r="AL24" s="113"/>
      <c r="AM24" s="62">
        <f>订货1!AJ24</f>
        <v>0</v>
      </c>
      <c r="AN24" s="113"/>
      <c r="AO24" s="113"/>
      <c r="AP24" s="62">
        <f>订货1!AK24</f>
        <v>0</v>
      </c>
      <c r="AQ24" s="113"/>
      <c r="AR24" s="113"/>
      <c r="AS24" s="62">
        <f>订货1!AL24</f>
        <v>0</v>
      </c>
      <c r="AT24" s="113"/>
      <c r="AU24" s="113"/>
      <c r="AV24" s="62">
        <f>订货1!AM24</f>
        <v>0</v>
      </c>
      <c r="AW24" s="113"/>
      <c r="AX24" s="113"/>
      <c r="AY24" s="62">
        <f>订货1!AN24</f>
        <v>1</v>
      </c>
      <c r="AZ24" s="113"/>
      <c r="BA24" s="113"/>
      <c r="BB24" s="62">
        <f>订货1!AO24</f>
        <v>0</v>
      </c>
      <c r="BC24" s="113"/>
      <c r="BD24" s="113"/>
      <c r="BE24" s="62">
        <f>订货1!AP24</f>
        <v>0</v>
      </c>
      <c r="BF24" s="113"/>
      <c r="BG24" s="113"/>
      <c r="BH24" s="62">
        <f>订货1!AQ24</f>
        <v>0</v>
      </c>
      <c r="BI24" s="113"/>
      <c r="BJ24" s="113"/>
      <c r="BK24" s="62">
        <f>订货1!AR24</f>
        <v>0</v>
      </c>
      <c r="BL24" s="113"/>
      <c r="BM24" s="113"/>
      <c r="BN24" s="62">
        <f>订货1!AS24</f>
        <v>0</v>
      </c>
      <c r="BO24" s="113"/>
      <c r="BP24" s="113"/>
      <c r="BQ24" s="62">
        <f>订货1!AT24</f>
        <v>0</v>
      </c>
      <c r="BR24" s="113"/>
      <c r="BS24" s="113"/>
      <c r="BT24" s="62">
        <f>订货1!AU24</f>
        <v>0</v>
      </c>
      <c r="BU24" s="113"/>
      <c r="BV24" s="113"/>
      <c r="BW24" s="62">
        <f>订货1!AV24</f>
        <v>0</v>
      </c>
      <c r="BX24" s="113"/>
      <c r="BY24" s="113"/>
      <c r="BZ24" s="62">
        <f>订货1!AW24</f>
        <v>0</v>
      </c>
      <c r="CA24" s="113"/>
      <c r="CB24" s="113"/>
      <c r="CC24" s="62">
        <f>订货1!AX24</f>
        <v>0</v>
      </c>
      <c r="CD24" s="113"/>
      <c r="CE24" s="113"/>
      <c r="CF24" s="62">
        <f>订货1!AY24</f>
        <v>0</v>
      </c>
      <c r="CG24" s="113"/>
      <c r="CH24" s="113"/>
      <c r="CI24" s="62">
        <f>订货1!AZ24</f>
        <v>0</v>
      </c>
      <c r="CJ24" s="113"/>
      <c r="CK24" s="113"/>
      <c r="CL24" s="62">
        <f>订货1!BA24</f>
        <v>0</v>
      </c>
      <c r="CM24" s="113"/>
      <c r="CN24" s="113"/>
      <c r="CO24" s="62">
        <f>订货1!BB24</f>
        <v>0</v>
      </c>
      <c r="CP24" s="113"/>
      <c r="CQ24" s="113"/>
      <c r="CR24" s="62">
        <f>订货1!BC24</f>
        <v>0</v>
      </c>
      <c r="CS24" s="113"/>
      <c r="CT24" s="113"/>
      <c r="CU24" s="62">
        <f>订货1!BD24</f>
        <v>0</v>
      </c>
      <c r="CV24" s="113"/>
      <c r="CW24" s="113"/>
      <c r="CX24" s="62">
        <f>订货1!BE24</f>
        <v>0</v>
      </c>
      <c r="CY24" s="113"/>
      <c r="CZ24" s="113"/>
      <c r="DA24" s="62">
        <f>订货1!BF24</f>
        <v>0</v>
      </c>
      <c r="DB24" s="113"/>
      <c r="DC24" s="113"/>
      <c r="DD24" s="208">
        <v>0</v>
      </c>
      <c r="DE24" s="110" t="e">
        <f t="shared" si="31"/>
        <v>#DIV/0!</v>
      </c>
      <c r="DF24" s="52">
        <f t="shared" si="29"/>
        <v>3</v>
      </c>
      <c r="DG24" s="32" t="str">
        <f>订货1!$Q24</f>
        <v>箱</v>
      </c>
      <c r="DH24" s="209" t="e">
        <f t="shared" si="32"/>
        <v>#DIV/0!</v>
      </c>
    </row>
    <row r="25" spans="1:112" ht="15" customHeight="1">
      <c r="A25" s="48">
        <f>订货1!A25</f>
        <v>101055</v>
      </c>
      <c r="B25" s="44" t="str">
        <f>VLOOKUP($A25,订货1!$A25:$G266,7,0)</f>
        <v>嘉兴铃吉食品有限公司</v>
      </c>
      <c r="C25" s="44" t="str">
        <f>VLOOKUP($A25,订货1!$A25:$H266,8,0)</f>
        <v>嘉兴铃吉食品有限公司</v>
      </c>
      <c r="D25" s="44" t="str">
        <f>VLOOKUP($A25,订货1!$A25:$B266,2,0)</f>
        <v>蔬菜汤</v>
      </c>
      <c r="E25" s="44" t="str">
        <f>VLOOKUP($A25,订货1!$A25:$E266,5,0)</f>
        <v>1kg*10pc</v>
      </c>
      <c r="F25" s="49" t="str">
        <f>VLOOKUP($A25,订货1!$A25:$F266,6,0)</f>
        <v>箱</v>
      </c>
      <c r="G25" s="203"/>
      <c r="H25" s="56">
        <f t="shared" si="30"/>
        <v>2</v>
      </c>
      <c r="I25" s="196"/>
      <c r="J25" s="113"/>
      <c r="K25" s="113"/>
      <c r="L25" s="196"/>
      <c r="M25" s="113"/>
      <c r="N25" s="113"/>
      <c r="O25" s="62">
        <f>订货1!AB25</f>
        <v>0</v>
      </c>
      <c r="P25" s="113"/>
      <c r="Q25" s="113"/>
      <c r="R25" s="62">
        <f>订货1!AC25</f>
        <v>0</v>
      </c>
      <c r="S25" s="113"/>
      <c r="T25" s="113"/>
      <c r="U25" s="62">
        <f>订货1!AD25</f>
        <v>0</v>
      </c>
      <c r="V25" s="113"/>
      <c r="W25" s="113"/>
      <c r="X25" s="62">
        <f>订货1!AE25</f>
        <v>0</v>
      </c>
      <c r="Y25" s="113"/>
      <c r="Z25" s="113"/>
      <c r="AA25" s="62">
        <f>订货1!AF25</f>
        <v>1</v>
      </c>
      <c r="AB25" s="113"/>
      <c r="AC25" s="113"/>
      <c r="AD25" s="62">
        <f>订货1!AG25</f>
        <v>0</v>
      </c>
      <c r="AE25" s="113"/>
      <c r="AF25" s="113"/>
      <c r="AG25" s="62">
        <f>订货1!AH25</f>
        <v>0</v>
      </c>
      <c r="AH25" s="113"/>
      <c r="AI25" s="113"/>
      <c r="AJ25" s="62">
        <f>订货1!AI25</f>
        <v>0</v>
      </c>
      <c r="AK25" s="113"/>
      <c r="AL25" s="113"/>
      <c r="AM25" s="62">
        <f>订货1!AJ25</f>
        <v>0</v>
      </c>
      <c r="AN25" s="113"/>
      <c r="AO25" s="113"/>
      <c r="AP25" s="62">
        <f>订货1!AK25</f>
        <v>0</v>
      </c>
      <c r="AQ25" s="113"/>
      <c r="AR25" s="113"/>
      <c r="AS25" s="62">
        <f>订货1!AL25</f>
        <v>0</v>
      </c>
      <c r="AT25" s="113"/>
      <c r="AU25" s="113"/>
      <c r="AV25" s="62">
        <f>订货1!AM25</f>
        <v>1</v>
      </c>
      <c r="AW25" s="113"/>
      <c r="AX25" s="113"/>
      <c r="AY25" s="62">
        <f>订货1!AN25</f>
        <v>0</v>
      </c>
      <c r="AZ25" s="113"/>
      <c r="BA25" s="113"/>
      <c r="BB25" s="62">
        <f>订货1!AO25</f>
        <v>0</v>
      </c>
      <c r="BC25" s="113"/>
      <c r="BD25" s="113"/>
      <c r="BE25" s="62">
        <f>订货1!AP25</f>
        <v>0</v>
      </c>
      <c r="BF25" s="113"/>
      <c r="BG25" s="113"/>
      <c r="BH25" s="62">
        <f>订货1!AQ25</f>
        <v>0</v>
      </c>
      <c r="BI25" s="113"/>
      <c r="BJ25" s="113"/>
      <c r="BK25" s="62">
        <f>订货1!AR25</f>
        <v>0</v>
      </c>
      <c r="BL25" s="113"/>
      <c r="BM25" s="113"/>
      <c r="BN25" s="62">
        <f>订货1!AS25</f>
        <v>0</v>
      </c>
      <c r="BO25" s="113"/>
      <c r="BP25" s="113"/>
      <c r="BQ25" s="62">
        <f>订货1!AT25</f>
        <v>0</v>
      </c>
      <c r="BR25" s="113"/>
      <c r="BS25" s="113"/>
      <c r="BT25" s="62">
        <f>订货1!AU25</f>
        <v>0</v>
      </c>
      <c r="BU25" s="113"/>
      <c r="BV25" s="113"/>
      <c r="BW25" s="62">
        <f>订货1!AV25</f>
        <v>0</v>
      </c>
      <c r="BX25" s="113"/>
      <c r="BY25" s="113"/>
      <c r="BZ25" s="62">
        <f>订货1!AW25</f>
        <v>0</v>
      </c>
      <c r="CA25" s="113"/>
      <c r="CB25" s="113"/>
      <c r="CC25" s="62">
        <f>订货1!AX25</f>
        <v>0</v>
      </c>
      <c r="CD25" s="113"/>
      <c r="CE25" s="113"/>
      <c r="CF25" s="62">
        <f>订货1!AY25</f>
        <v>0</v>
      </c>
      <c r="CG25" s="113"/>
      <c r="CH25" s="113"/>
      <c r="CI25" s="62">
        <f>订货1!AZ25</f>
        <v>0</v>
      </c>
      <c r="CJ25" s="113"/>
      <c r="CK25" s="113"/>
      <c r="CL25" s="62">
        <f>订货1!BA25</f>
        <v>0</v>
      </c>
      <c r="CM25" s="113"/>
      <c r="CN25" s="113"/>
      <c r="CO25" s="62">
        <f>订货1!BB25</f>
        <v>0</v>
      </c>
      <c r="CP25" s="113"/>
      <c r="CQ25" s="113"/>
      <c r="CR25" s="62">
        <f>订货1!BC25</f>
        <v>0</v>
      </c>
      <c r="CS25" s="113"/>
      <c r="CT25" s="113"/>
      <c r="CU25" s="62">
        <f>订货1!BD25</f>
        <v>0</v>
      </c>
      <c r="CV25" s="113"/>
      <c r="CW25" s="113"/>
      <c r="CX25" s="62">
        <f>订货1!BE25</f>
        <v>0</v>
      </c>
      <c r="CY25" s="113"/>
      <c r="CZ25" s="113"/>
      <c r="DA25" s="62">
        <f>订货1!BF25</f>
        <v>0</v>
      </c>
      <c r="DB25" s="113"/>
      <c r="DC25" s="113"/>
      <c r="DD25" s="208">
        <v>0</v>
      </c>
      <c r="DE25" s="110" t="e">
        <f t="shared" si="31"/>
        <v>#DIV/0!</v>
      </c>
      <c r="DF25" s="52">
        <f t="shared" si="29"/>
        <v>2</v>
      </c>
      <c r="DG25" s="32" t="str">
        <f>订货1!$Q25</f>
        <v>箱</v>
      </c>
      <c r="DH25" s="209" t="e">
        <f t="shared" si="32"/>
        <v>#DIV/0!</v>
      </c>
    </row>
    <row r="26" spans="1:112" ht="15" customHeight="1">
      <c r="A26" s="48">
        <f>订货1!A26</f>
        <v>101597</v>
      </c>
      <c r="B26" s="44" t="str">
        <f>VLOOKUP($A26,订货1!$A26:$G267,7,0)</f>
        <v>嘉兴铃吉食品有限公司</v>
      </c>
      <c r="C26" s="44" t="str">
        <f>VLOOKUP($A26,订货1!$A26:$H267,8,0)</f>
        <v>嘉兴铃吉食品有限公司</v>
      </c>
      <c r="D26" s="44" t="str">
        <f>VLOOKUP($A26,订货1!$A26:$B267,2,0)</f>
        <v>黑胡椒酱</v>
      </c>
      <c r="E26" s="44" t="str">
        <f>VLOOKUP($A26,订货1!$A26:$E267,5,0)</f>
        <v>1kg*10pc</v>
      </c>
      <c r="F26" s="49" t="str">
        <f>VLOOKUP($A26,订货1!$A26:$F267,6,0)</f>
        <v>箱</v>
      </c>
      <c r="G26" s="203"/>
      <c r="H26" s="56">
        <f t="shared" si="30"/>
        <v>2</v>
      </c>
      <c r="I26" s="196"/>
      <c r="J26" s="113"/>
      <c r="K26" s="113"/>
      <c r="L26" s="196"/>
      <c r="M26" s="113"/>
      <c r="N26" s="113"/>
      <c r="O26" s="62">
        <f>订货1!AB26</f>
        <v>0</v>
      </c>
      <c r="P26" s="113"/>
      <c r="Q26" s="113"/>
      <c r="R26" s="62">
        <f>订货1!AC26</f>
        <v>0</v>
      </c>
      <c r="S26" s="113"/>
      <c r="T26" s="113"/>
      <c r="U26" s="62">
        <f>订货1!AD26</f>
        <v>0</v>
      </c>
      <c r="V26" s="113"/>
      <c r="W26" s="113"/>
      <c r="X26" s="62">
        <f>订货1!AE26</f>
        <v>0</v>
      </c>
      <c r="Y26" s="113"/>
      <c r="Z26" s="113"/>
      <c r="AA26" s="62">
        <f>订货1!AF26</f>
        <v>0</v>
      </c>
      <c r="AB26" s="113"/>
      <c r="AC26" s="113"/>
      <c r="AD26" s="62">
        <f>订货1!AG26</f>
        <v>1</v>
      </c>
      <c r="AE26" s="113"/>
      <c r="AF26" s="113"/>
      <c r="AG26" s="62">
        <f>订货1!AH26</f>
        <v>0</v>
      </c>
      <c r="AH26" s="113"/>
      <c r="AI26" s="113"/>
      <c r="AJ26" s="62">
        <f>订货1!AI26</f>
        <v>0</v>
      </c>
      <c r="AK26" s="113"/>
      <c r="AL26" s="113"/>
      <c r="AM26" s="62">
        <f>订货1!AJ26</f>
        <v>0</v>
      </c>
      <c r="AN26" s="113"/>
      <c r="AO26" s="113"/>
      <c r="AP26" s="62">
        <f>订货1!AK26</f>
        <v>0</v>
      </c>
      <c r="AQ26" s="113"/>
      <c r="AR26" s="113"/>
      <c r="AS26" s="62">
        <f>订货1!AL26</f>
        <v>0</v>
      </c>
      <c r="AT26" s="113"/>
      <c r="AU26" s="113"/>
      <c r="AV26" s="62">
        <f>订货1!AM26</f>
        <v>1</v>
      </c>
      <c r="AW26" s="113"/>
      <c r="AX26" s="113"/>
      <c r="AY26" s="62">
        <f>订货1!AN26</f>
        <v>0</v>
      </c>
      <c r="AZ26" s="113"/>
      <c r="BA26" s="113"/>
      <c r="BB26" s="62">
        <f>订货1!AO26</f>
        <v>0</v>
      </c>
      <c r="BC26" s="113"/>
      <c r="BD26" s="113"/>
      <c r="BE26" s="62">
        <f>订货1!AP26</f>
        <v>0</v>
      </c>
      <c r="BF26" s="113"/>
      <c r="BG26" s="113"/>
      <c r="BH26" s="62">
        <f>订货1!AQ26</f>
        <v>0</v>
      </c>
      <c r="BI26" s="113"/>
      <c r="BJ26" s="113"/>
      <c r="BK26" s="62">
        <f>订货1!AR26</f>
        <v>0</v>
      </c>
      <c r="BL26" s="113"/>
      <c r="BM26" s="113"/>
      <c r="BN26" s="62">
        <f>订货1!AS26</f>
        <v>0</v>
      </c>
      <c r="BO26" s="113"/>
      <c r="BP26" s="113"/>
      <c r="BQ26" s="62">
        <f>订货1!AT26</f>
        <v>0</v>
      </c>
      <c r="BR26" s="113"/>
      <c r="BS26" s="113"/>
      <c r="BT26" s="62">
        <f>订货1!AU26</f>
        <v>0</v>
      </c>
      <c r="BU26" s="113"/>
      <c r="BV26" s="113"/>
      <c r="BW26" s="62">
        <f>订货1!AV26</f>
        <v>0</v>
      </c>
      <c r="BX26" s="113"/>
      <c r="BY26" s="113"/>
      <c r="BZ26" s="62">
        <f>订货1!AW26</f>
        <v>0</v>
      </c>
      <c r="CA26" s="113"/>
      <c r="CB26" s="113"/>
      <c r="CC26" s="62">
        <f>订货1!AX26</f>
        <v>0</v>
      </c>
      <c r="CD26" s="113"/>
      <c r="CE26" s="113"/>
      <c r="CF26" s="62">
        <f>订货1!AY26</f>
        <v>0</v>
      </c>
      <c r="CG26" s="113"/>
      <c r="CH26" s="113"/>
      <c r="CI26" s="62">
        <f>订货1!AZ26</f>
        <v>0</v>
      </c>
      <c r="CJ26" s="113"/>
      <c r="CK26" s="113"/>
      <c r="CL26" s="62">
        <f>订货1!BA26</f>
        <v>0</v>
      </c>
      <c r="CM26" s="113"/>
      <c r="CN26" s="113"/>
      <c r="CO26" s="62">
        <f>订货1!BB26</f>
        <v>0</v>
      </c>
      <c r="CP26" s="113"/>
      <c r="CQ26" s="113"/>
      <c r="CR26" s="62">
        <f>订货1!BC26</f>
        <v>0</v>
      </c>
      <c r="CS26" s="113"/>
      <c r="CT26" s="113"/>
      <c r="CU26" s="62">
        <f>订货1!BD26</f>
        <v>0</v>
      </c>
      <c r="CV26" s="113"/>
      <c r="CW26" s="113"/>
      <c r="CX26" s="62">
        <f>订货1!BE26</f>
        <v>0</v>
      </c>
      <c r="CY26" s="113"/>
      <c r="CZ26" s="113"/>
      <c r="DA26" s="62">
        <f>订货1!BF26</f>
        <v>0</v>
      </c>
      <c r="DB26" s="113"/>
      <c r="DC26" s="113"/>
      <c r="DD26" s="208">
        <v>0</v>
      </c>
      <c r="DE26" s="110" t="e">
        <f t="shared" si="31"/>
        <v>#DIV/0!</v>
      </c>
      <c r="DF26" s="52">
        <f t="shared" si="29"/>
        <v>2</v>
      </c>
      <c r="DG26" s="32" t="str">
        <f>订货1!$Q26</f>
        <v>箱</v>
      </c>
      <c r="DH26" s="209" t="e">
        <f t="shared" si="32"/>
        <v>#DIV/0!</v>
      </c>
    </row>
    <row r="27" spans="1:112" ht="15" customHeight="1">
      <c r="A27" s="48">
        <f>订货1!A27</f>
        <v>101769</v>
      </c>
      <c r="B27" s="44" t="str">
        <f>VLOOKUP($A27,订货1!$A27:$G268,7,0)</f>
        <v>杭州洲际食品有限公司</v>
      </c>
      <c r="C27" s="44" t="str">
        <f>VLOOKUP($A27,订货1!$A27:$H268,8,0)</f>
        <v>杭州洲际食品有限公司</v>
      </c>
      <c r="D27" s="44" t="str">
        <f>VLOOKUP($A27,订货1!$A27:$B268,2,0)</f>
        <v>扁可颂面包</v>
      </c>
      <c r="E27" s="44" t="str">
        <f>VLOOKUP($A27,订货1!$A27:$E268,5,0)</f>
        <v>20g*50pc</v>
      </c>
      <c r="F27" s="49" t="str">
        <f>VLOOKUP($A27,订货1!$A27:$F268,6,0)</f>
        <v>箱</v>
      </c>
      <c r="G27" s="203"/>
      <c r="H27" s="56">
        <f t="shared" si="30"/>
        <v>0</v>
      </c>
      <c r="I27" s="196"/>
      <c r="J27" s="113"/>
      <c r="K27" s="113"/>
      <c r="L27" s="196"/>
      <c r="M27" s="113"/>
      <c r="N27" s="113"/>
      <c r="O27" s="62">
        <f>订货1!AB27</f>
        <v>0</v>
      </c>
      <c r="P27" s="113"/>
      <c r="Q27" s="113"/>
      <c r="R27" s="62">
        <f>订货1!AC27</f>
        <v>0</v>
      </c>
      <c r="S27" s="113"/>
      <c r="T27" s="113"/>
      <c r="U27" s="62">
        <f>订货1!AD27</f>
        <v>0</v>
      </c>
      <c r="V27" s="113"/>
      <c r="W27" s="113"/>
      <c r="X27" s="62">
        <f>订货1!AE27</f>
        <v>0</v>
      </c>
      <c r="Y27" s="113"/>
      <c r="Z27" s="113"/>
      <c r="AA27" s="62">
        <f>订货1!AF27</f>
        <v>0</v>
      </c>
      <c r="AB27" s="113"/>
      <c r="AC27" s="113"/>
      <c r="AD27" s="62">
        <f>订货1!AG27</f>
        <v>0</v>
      </c>
      <c r="AE27" s="113"/>
      <c r="AF27" s="113"/>
      <c r="AG27" s="62">
        <f>订货1!AH27</f>
        <v>0</v>
      </c>
      <c r="AH27" s="113"/>
      <c r="AI27" s="113"/>
      <c r="AJ27" s="62">
        <f>订货1!AI27</f>
        <v>0</v>
      </c>
      <c r="AK27" s="113"/>
      <c r="AL27" s="113"/>
      <c r="AM27" s="62">
        <f>订货1!AJ27</f>
        <v>0</v>
      </c>
      <c r="AN27" s="113"/>
      <c r="AO27" s="113"/>
      <c r="AP27" s="62">
        <f>订货1!AK27</f>
        <v>0</v>
      </c>
      <c r="AQ27" s="113"/>
      <c r="AR27" s="113"/>
      <c r="AS27" s="62">
        <f>订货1!AL27</f>
        <v>0</v>
      </c>
      <c r="AT27" s="113"/>
      <c r="AU27" s="113"/>
      <c r="AV27" s="62">
        <f>订货1!AM27</f>
        <v>0</v>
      </c>
      <c r="AW27" s="113"/>
      <c r="AX27" s="113"/>
      <c r="AY27" s="62">
        <f>订货1!AN27</f>
        <v>0</v>
      </c>
      <c r="AZ27" s="113"/>
      <c r="BA27" s="113"/>
      <c r="BB27" s="62">
        <f>订货1!AO27</f>
        <v>0</v>
      </c>
      <c r="BC27" s="113"/>
      <c r="BD27" s="113"/>
      <c r="BE27" s="62">
        <f>订货1!AP27</f>
        <v>0</v>
      </c>
      <c r="BF27" s="113"/>
      <c r="BG27" s="113"/>
      <c r="BH27" s="62">
        <f>订货1!AQ27</f>
        <v>0</v>
      </c>
      <c r="BI27" s="113"/>
      <c r="BJ27" s="113"/>
      <c r="BK27" s="62">
        <f>订货1!AR27</f>
        <v>0</v>
      </c>
      <c r="BL27" s="113"/>
      <c r="BM27" s="113"/>
      <c r="BN27" s="62">
        <f>订货1!AS27</f>
        <v>0</v>
      </c>
      <c r="BO27" s="113"/>
      <c r="BP27" s="113"/>
      <c r="BQ27" s="62">
        <f>订货1!AT27</f>
        <v>0</v>
      </c>
      <c r="BR27" s="113"/>
      <c r="BS27" s="113"/>
      <c r="BT27" s="62">
        <f>订货1!AU27</f>
        <v>0</v>
      </c>
      <c r="BU27" s="113"/>
      <c r="BV27" s="113"/>
      <c r="BW27" s="62">
        <f>订货1!AV27</f>
        <v>0</v>
      </c>
      <c r="BX27" s="113"/>
      <c r="BY27" s="113"/>
      <c r="BZ27" s="62">
        <f>订货1!AW27</f>
        <v>0</v>
      </c>
      <c r="CA27" s="113"/>
      <c r="CB27" s="113"/>
      <c r="CC27" s="62">
        <f>订货1!AX27</f>
        <v>0</v>
      </c>
      <c r="CD27" s="113"/>
      <c r="CE27" s="113"/>
      <c r="CF27" s="62">
        <f>订货1!AY27</f>
        <v>0</v>
      </c>
      <c r="CG27" s="113"/>
      <c r="CH27" s="113"/>
      <c r="CI27" s="62">
        <f>订货1!AZ27</f>
        <v>0</v>
      </c>
      <c r="CJ27" s="113"/>
      <c r="CK27" s="113"/>
      <c r="CL27" s="62">
        <f>订货1!BA27</f>
        <v>0</v>
      </c>
      <c r="CM27" s="113"/>
      <c r="CN27" s="113"/>
      <c r="CO27" s="62">
        <f>订货1!BB27</f>
        <v>0</v>
      </c>
      <c r="CP27" s="113"/>
      <c r="CQ27" s="113"/>
      <c r="CR27" s="62">
        <f>订货1!BC27</f>
        <v>0</v>
      </c>
      <c r="CS27" s="113"/>
      <c r="CT27" s="113"/>
      <c r="CU27" s="62">
        <f>订货1!BD27</f>
        <v>0</v>
      </c>
      <c r="CV27" s="113"/>
      <c r="CW27" s="113"/>
      <c r="CX27" s="62">
        <f>订货1!BE27</f>
        <v>0</v>
      </c>
      <c r="CY27" s="113"/>
      <c r="CZ27" s="113"/>
      <c r="DA27" s="62">
        <f>订货1!BF27</f>
        <v>0</v>
      </c>
      <c r="DB27" s="113"/>
      <c r="DC27" s="113"/>
      <c r="DD27" s="208">
        <v>0</v>
      </c>
      <c r="DE27" s="110" t="e">
        <f t="shared" si="31"/>
        <v>#DIV/0!</v>
      </c>
      <c r="DF27" s="52">
        <f t="shared" si="29"/>
        <v>0</v>
      </c>
      <c r="DG27" s="32" t="str">
        <f>订货1!$Q27</f>
        <v>箱</v>
      </c>
      <c r="DH27" s="209" t="e">
        <f t="shared" si="32"/>
        <v>#DIV/0!</v>
      </c>
    </row>
    <row r="28" spans="1:112" ht="15" customHeight="1">
      <c r="A28" s="48">
        <f>订货1!A28</f>
        <v>101508</v>
      </c>
      <c r="B28" s="44" t="str">
        <f>VLOOKUP($A28,订货1!$A28:$G269,7,0)</f>
        <v>嘉兴铃吉食品有限公司</v>
      </c>
      <c r="C28" s="44" t="str">
        <f>VLOOKUP($A28,订货1!$A28:$H269,8,0)</f>
        <v>嘉兴铃吉食品有限公司</v>
      </c>
      <c r="D28" s="44" t="str">
        <f>VLOOKUP($A28,订货1!$A28:$B269,2,0)</f>
        <v>肉酱</v>
      </c>
      <c r="E28" s="44" t="str">
        <f>VLOOKUP($A28,订货1!$A28:$E269,5,0)</f>
        <v>1kg*10pc</v>
      </c>
      <c r="F28" s="49" t="str">
        <f>VLOOKUP($A28,订货1!$A28:$F269,6,0)</f>
        <v>箱</v>
      </c>
      <c r="G28" s="203"/>
      <c r="H28" s="56">
        <f t="shared" si="30"/>
        <v>0</v>
      </c>
      <c r="I28" s="196"/>
      <c r="J28" s="113"/>
      <c r="K28" s="113"/>
      <c r="L28" s="196"/>
      <c r="M28" s="113"/>
      <c r="N28" s="113"/>
      <c r="O28" s="62">
        <f>订货1!AB28</f>
        <v>0</v>
      </c>
      <c r="P28" s="113"/>
      <c r="Q28" s="113"/>
      <c r="R28" s="62">
        <f>订货1!AC28</f>
        <v>0</v>
      </c>
      <c r="S28" s="113"/>
      <c r="T28" s="113"/>
      <c r="U28" s="62">
        <f>订货1!AD28</f>
        <v>0</v>
      </c>
      <c r="V28" s="113"/>
      <c r="W28" s="113"/>
      <c r="X28" s="62">
        <f>订货1!AE28</f>
        <v>0</v>
      </c>
      <c r="Y28" s="113"/>
      <c r="Z28" s="113"/>
      <c r="AA28" s="62">
        <f>订货1!AF28</f>
        <v>0</v>
      </c>
      <c r="AB28" s="113"/>
      <c r="AC28" s="113"/>
      <c r="AD28" s="62">
        <f>订货1!AG28</f>
        <v>0</v>
      </c>
      <c r="AE28" s="113"/>
      <c r="AF28" s="113"/>
      <c r="AG28" s="62">
        <f>订货1!AH28</f>
        <v>0</v>
      </c>
      <c r="AH28" s="113"/>
      <c r="AI28" s="113"/>
      <c r="AJ28" s="62">
        <f>订货1!AI28</f>
        <v>0</v>
      </c>
      <c r="AK28" s="113"/>
      <c r="AL28" s="113"/>
      <c r="AM28" s="62">
        <f>订货1!AJ28</f>
        <v>0</v>
      </c>
      <c r="AN28" s="113"/>
      <c r="AO28" s="113"/>
      <c r="AP28" s="62">
        <f>订货1!AK28</f>
        <v>0</v>
      </c>
      <c r="AQ28" s="113"/>
      <c r="AR28" s="113"/>
      <c r="AS28" s="62">
        <f>订货1!AL28</f>
        <v>0</v>
      </c>
      <c r="AT28" s="113"/>
      <c r="AU28" s="113"/>
      <c r="AV28" s="62">
        <f>订货1!AM28</f>
        <v>0</v>
      </c>
      <c r="AW28" s="113"/>
      <c r="AX28" s="113"/>
      <c r="AY28" s="62">
        <f>订货1!AN28</f>
        <v>0</v>
      </c>
      <c r="AZ28" s="113"/>
      <c r="BA28" s="113"/>
      <c r="BB28" s="62">
        <f>订货1!AO28</f>
        <v>0</v>
      </c>
      <c r="BC28" s="113"/>
      <c r="BD28" s="113"/>
      <c r="BE28" s="62">
        <f>订货1!AP28</f>
        <v>0</v>
      </c>
      <c r="BF28" s="113"/>
      <c r="BG28" s="113"/>
      <c r="BH28" s="62">
        <f>订货1!AQ28</f>
        <v>0</v>
      </c>
      <c r="BI28" s="113"/>
      <c r="BJ28" s="113"/>
      <c r="BK28" s="62">
        <f>订货1!AR28</f>
        <v>0</v>
      </c>
      <c r="BL28" s="113"/>
      <c r="BM28" s="113"/>
      <c r="BN28" s="62">
        <f>订货1!AS28</f>
        <v>0</v>
      </c>
      <c r="BO28" s="113"/>
      <c r="BP28" s="113"/>
      <c r="BQ28" s="62">
        <f>订货1!AT28</f>
        <v>0</v>
      </c>
      <c r="BR28" s="113"/>
      <c r="BS28" s="113"/>
      <c r="BT28" s="62">
        <f>订货1!AU28</f>
        <v>0</v>
      </c>
      <c r="BU28" s="113"/>
      <c r="BV28" s="113"/>
      <c r="BW28" s="62">
        <f>订货1!AV28</f>
        <v>0</v>
      </c>
      <c r="BX28" s="113"/>
      <c r="BY28" s="113"/>
      <c r="BZ28" s="62">
        <f>订货1!AW28</f>
        <v>0</v>
      </c>
      <c r="CA28" s="113"/>
      <c r="CB28" s="113"/>
      <c r="CC28" s="62">
        <f>订货1!AX28</f>
        <v>0</v>
      </c>
      <c r="CD28" s="113"/>
      <c r="CE28" s="113"/>
      <c r="CF28" s="62">
        <f>订货1!AY28</f>
        <v>0</v>
      </c>
      <c r="CG28" s="113"/>
      <c r="CH28" s="113"/>
      <c r="CI28" s="62">
        <f>订货1!AZ28</f>
        <v>0</v>
      </c>
      <c r="CJ28" s="113"/>
      <c r="CK28" s="113"/>
      <c r="CL28" s="62">
        <f>订货1!BA28</f>
        <v>0</v>
      </c>
      <c r="CM28" s="113"/>
      <c r="CN28" s="113"/>
      <c r="CO28" s="62">
        <f>订货1!BB28</f>
        <v>0</v>
      </c>
      <c r="CP28" s="113"/>
      <c r="CQ28" s="113"/>
      <c r="CR28" s="62">
        <f>订货1!BC28</f>
        <v>0</v>
      </c>
      <c r="CS28" s="113"/>
      <c r="CT28" s="113"/>
      <c r="CU28" s="62">
        <f>订货1!BD28</f>
        <v>0</v>
      </c>
      <c r="CV28" s="113"/>
      <c r="CW28" s="113"/>
      <c r="CX28" s="62">
        <f>订货1!BE28</f>
        <v>0</v>
      </c>
      <c r="CY28" s="113"/>
      <c r="CZ28" s="113"/>
      <c r="DA28" s="62">
        <f>订货1!BF28</f>
        <v>0</v>
      </c>
      <c r="DB28" s="113"/>
      <c r="DC28" s="113"/>
      <c r="DD28" s="208">
        <v>0</v>
      </c>
      <c r="DE28" s="110" t="e">
        <f t="shared" si="31"/>
        <v>#DIV/0!</v>
      </c>
      <c r="DF28" s="52">
        <f t="shared" si="29"/>
        <v>0</v>
      </c>
      <c r="DG28" s="32" t="str">
        <f>订货1!$Q28</f>
        <v>箱</v>
      </c>
      <c r="DH28" s="209" t="e">
        <f t="shared" si="32"/>
        <v>#DIV/0!</v>
      </c>
    </row>
    <row r="29" spans="1:112" ht="15" customHeight="1">
      <c r="A29" s="48">
        <f>订货1!A29</f>
        <v>101347</v>
      </c>
      <c r="B29" s="44" t="str">
        <f>VLOOKUP($A29,订货1!$A29:$G270,7,0)</f>
        <v>上海申美饮料食品有限公司</v>
      </c>
      <c r="C29" s="44" t="str">
        <f>VLOOKUP($A29,订货1!$A29:$H270,8,0)</f>
        <v>上海申美饮料食品有限公司</v>
      </c>
      <c r="D29" s="44" t="str">
        <f>VLOOKUP($A29,订货1!$A29:$B270,2,0)</f>
        <v>雪碧糖浆</v>
      </c>
      <c r="E29" s="44" t="str">
        <f>VLOOKUP($A29,订货1!$A29:$E270,5,0)</f>
        <v>10L</v>
      </c>
      <c r="F29" s="49" t="str">
        <f>VLOOKUP($A29,订货1!$A29:$F270,6,0)</f>
        <v>箱</v>
      </c>
      <c r="G29" s="203"/>
      <c r="H29" s="56">
        <f t="shared" si="30"/>
        <v>2</v>
      </c>
      <c r="I29" s="196"/>
      <c r="J29" s="113"/>
      <c r="K29" s="113"/>
      <c r="L29" s="196"/>
      <c r="M29" s="113"/>
      <c r="N29" s="113"/>
      <c r="O29" s="62">
        <f>订货1!AB29</f>
        <v>1</v>
      </c>
      <c r="P29" s="113"/>
      <c r="Q29" s="113"/>
      <c r="R29" s="62">
        <f>订货1!AC29</f>
        <v>0</v>
      </c>
      <c r="S29" s="113"/>
      <c r="T29" s="113"/>
      <c r="U29" s="62">
        <f>订货1!AD29</f>
        <v>0</v>
      </c>
      <c r="V29" s="113"/>
      <c r="W29" s="113"/>
      <c r="X29" s="62">
        <f>订货1!AE29</f>
        <v>0</v>
      </c>
      <c r="Y29" s="113"/>
      <c r="Z29" s="113"/>
      <c r="AA29" s="62">
        <f>订货1!AF29</f>
        <v>0</v>
      </c>
      <c r="AB29" s="113"/>
      <c r="AC29" s="113"/>
      <c r="AD29" s="62">
        <f>订货1!AG29</f>
        <v>0</v>
      </c>
      <c r="AE29" s="113"/>
      <c r="AF29" s="113"/>
      <c r="AG29" s="62">
        <f>订货1!AH29</f>
        <v>0</v>
      </c>
      <c r="AH29" s="113"/>
      <c r="AI29" s="113"/>
      <c r="AJ29" s="62">
        <f>订货1!AI29</f>
        <v>1</v>
      </c>
      <c r="AK29" s="113"/>
      <c r="AL29" s="113"/>
      <c r="AM29" s="62">
        <f>订货1!AJ29</f>
        <v>0</v>
      </c>
      <c r="AN29" s="113"/>
      <c r="AO29" s="113"/>
      <c r="AP29" s="62">
        <f>订货1!AK29</f>
        <v>0</v>
      </c>
      <c r="AQ29" s="113"/>
      <c r="AR29" s="113"/>
      <c r="AS29" s="62">
        <f>订货1!AL29</f>
        <v>0</v>
      </c>
      <c r="AT29" s="113"/>
      <c r="AU29" s="113"/>
      <c r="AV29" s="62">
        <f>订货1!AM29</f>
        <v>0</v>
      </c>
      <c r="AW29" s="113"/>
      <c r="AX29" s="113"/>
      <c r="AY29" s="62">
        <f>订货1!AN29</f>
        <v>0</v>
      </c>
      <c r="AZ29" s="113"/>
      <c r="BA29" s="113"/>
      <c r="BB29" s="62">
        <f>订货1!AO29</f>
        <v>0</v>
      </c>
      <c r="BC29" s="113"/>
      <c r="BD29" s="113"/>
      <c r="BE29" s="62">
        <f>订货1!AP29</f>
        <v>0</v>
      </c>
      <c r="BF29" s="113"/>
      <c r="BG29" s="113"/>
      <c r="BH29" s="62">
        <f>订货1!AQ29</f>
        <v>0</v>
      </c>
      <c r="BI29" s="113"/>
      <c r="BJ29" s="113"/>
      <c r="BK29" s="62">
        <f>订货1!AR29</f>
        <v>0</v>
      </c>
      <c r="BL29" s="113"/>
      <c r="BM29" s="113"/>
      <c r="BN29" s="62">
        <f>订货1!AS29</f>
        <v>0</v>
      </c>
      <c r="BO29" s="113"/>
      <c r="BP29" s="113"/>
      <c r="BQ29" s="62">
        <f>订货1!AT29</f>
        <v>0</v>
      </c>
      <c r="BR29" s="113"/>
      <c r="BS29" s="113"/>
      <c r="BT29" s="62">
        <f>订货1!AU29</f>
        <v>0</v>
      </c>
      <c r="BU29" s="113"/>
      <c r="BV29" s="113"/>
      <c r="BW29" s="62">
        <f>订货1!AV29</f>
        <v>0</v>
      </c>
      <c r="BX29" s="113"/>
      <c r="BY29" s="113"/>
      <c r="BZ29" s="62">
        <f>订货1!AW29</f>
        <v>0</v>
      </c>
      <c r="CA29" s="113"/>
      <c r="CB29" s="113"/>
      <c r="CC29" s="62">
        <f>订货1!AX29</f>
        <v>0</v>
      </c>
      <c r="CD29" s="113"/>
      <c r="CE29" s="113"/>
      <c r="CF29" s="62">
        <f>订货1!AY29</f>
        <v>0</v>
      </c>
      <c r="CG29" s="113"/>
      <c r="CH29" s="113"/>
      <c r="CI29" s="62">
        <f>订货1!AZ29</f>
        <v>0</v>
      </c>
      <c r="CJ29" s="113"/>
      <c r="CK29" s="113"/>
      <c r="CL29" s="62">
        <f>订货1!BA29</f>
        <v>0</v>
      </c>
      <c r="CM29" s="113"/>
      <c r="CN29" s="113"/>
      <c r="CO29" s="62">
        <f>订货1!BB29</f>
        <v>0</v>
      </c>
      <c r="CP29" s="113"/>
      <c r="CQ29" s="113"/>
      <c r="CR29" s="62">
        <f>订货1!BC29</f>
        <v>0</v>
      </c>
      <c r="CS29" s="113"/>
      <c r="CT29" s="113"/>
      <c r="CU29" s="62">
        <f>订货1!BD29</f>
        <v>0</v>
      </c>
      <c r="CV29" s="113"/>
      <c r="CW29" s="113"/>
      <c r="CX29" s="62">
        <f>订货1!BE29</f>
        <v>0</v>
      </c>
      <c r="CY29" s="113"/>
      <c r="CZ29" s="113"/>
      <c r="DA29" s="62">
        <f>订货1!BF29</f>
        <v>0</v>
      </c>
      <c r="DB29" s="113"/>
      <c r="DC29" s="113"/>
      <c r="DD29" s="208">
        <v>0</v>
      </c>
      <c r="DE29" s="110" t="e">
        <f t="shared" si="31"/>
        <v>#DIV/0!</v>
      </c>
      <c r="DF29" s="52">
        <f t="shared" si="29"/>
        <v>2</v>
      </c>
      <c r="DG29" s="32" t="str">
        <f>订货1!$Q29</f>
        <v>箱</v>
      </c>
      <c r="DH29" s="209" t="e">
        <f t="shared" si="32"/>
        <v>#DIV/0!</v>
      </c>
    </row>
    <row r="30" spans="1:112" ht="15" customHeight="1">
      <c r="A30" s="48">
        <f>订货1!A30</f>
        <v>101348</v>
      </c>
      <c r="B30" s="44" t="str">
        <f>VLOOKUP($A30,订货1!$A30:$G271,7,0)</f>
        <v>上海申美饮料食品有限公司</v>
      </c>
      <c r="C30" s="44" t="str">
        <f>VLOOKUP($A30,订货1!$A30:$H271,8,0)</f>
        <v>上海申美饮料食品有限公司</v>
      </c>
      <c r="D30" s="44" t="str">
        <f>VLOOKUP($A30,订货1!$A30:$B271,2,0)</f>
        <v>飞想茶糖浆</v>
      </c>
      <c r="E30" s="44" t="str">
        <f>VLOOKUP($A30,订货1!$A30:$E271,5,0)</f>
        <v>10L</v>
      </c>
      <c r="F30" s="49" t="str">
        <f>VLOOKUP($A30,订货1!$A30:$F271,6,0)</f>
        <v>箱</v>
      </c>
      <c r="G30" s="203"/>
      <c r="H30" s="56">
        <f t="shared" si="30"/>
        <v>2</v>
      </c>
      <c r="I30" s="196"/>
      <c r="J30" s="113"/>
      <c r="K30" s="113"/>
      <c r="L30" s="196"/>
      <c r="M30" s="113"/>
      <c r="N30" s="113"/>
      <c r="O30" s="62">
        <f>订货1!AB30</f>
        <v>1</v>
      </c>
      <c r="P30" s="113"/>
      <c r="Q30" s="113"/>
      <c r="R30" s="62">
        <f>订货1!AC30</f>
        <v>0</v>
      </c>
      <c r="S30" s="113"/>
      <c r="T30" s="113"/>
      <c r="U30" s="62">
        <f>订货1!AD30</f>
        <v>0</v>
      </c>
      <c r="V30" s="113"/>
      <c r="W30" s="113"/>
      <c r="X30" s="62">
        <f>订货1!AE30</f>
        <v>0</v>
      </c>
      <c r="Y30" s="113"/>
      <c r="Z30" s="113"/>
      <c r="AA30" s="62">
        <f>订货1!AF30</f>
        <v>0</v>
      </c>
      <c r="AB30" s="113"/>
      <c r="AC30" s="113"/>
      <c r="AD30" s="62">
        <f>订货1!AG30</f>
        <v>0</v>
      </c>
      <c r="AE30" s="113"/>
      <c r="AF30" s="113"/>
      <c r="AG30" s="62">
        <f>订货1!AH30</f>
        <v>0</v>
      </c>
      <c r="AH30" s="113"/>
      <c r="AI30" s="113"/>
      <c r="AJ30" s="62">
        <f>订货1!AI30</f>
        <v>0</v>
      </c>
      <c r="AK30" s="113"/>
      <c r="AL30" s="113"/>
      <c r="AM30" s="62">
        <f>订货1!AJ30</f>
        <v>0</v>
      </c>
      <c r="AN30" s="113"/>
      <c r="AO30" s="113"/>
      <c r="AP30" s="62">
        <f>订货1!AK30</f>
        <v>0</v>
      </c>
      <c r="AQ30" s="113"/>
      <c r="AR30" s="113"/>
      <c r="AS30" s="62">
        <f>订货1!AL30</f>
        <v>1</v>
      </c>
      <c r="AT30" s="113"/>
      <c r="AU30" s="113"/>
      <c r="AV30" s="62">
        <f>订货1!AM30</f>
        <v>0</v>
      </c>
      <c r="AW30" s="113"/>
      <c r="AX30" s="113"/>
      <c r="AY30" s="62">
        <f>订货1!AN30</f>
        <v>0</v>
      </c>
      <c r="AZ30" s="113"/>
      <c r="BA30" s="113"/>
      <c r="BB30" s="62">
        <f>订货1!AO30</f>
        <v>0</v>
      </c>
      <c r="BC30" s="113"/>
      <c r="BD30" s="113"/>
      <c r="BE30" s="62">
        <f>订货1!AP30</f>
        <v>0</v>
      </c>
      <c r="BF30" s="113"/>
      <c r="BG30" s="113"/>
      <c r="BH30" s="62">
        <f>订货1!AQ30</f>
        <v>0</v>
      </c>
      <c r="BI30" s="113"/>
      <c r="BJ30" s="113"/>
      <c r="BK30" s="62">
        <f>订货1!AR30</f>
        <v>0</v>
      </c>
      <c r="BL30" s="113"/>
      <c r="BM30" s="113"/>
      <c r="BN30" s="62">
        <f>订货1!AS30</f>
        <v>0</v>
      </c>
      <c r="BO30" s="113"/>
      <c r="BP30" s="113"/>
      <c r="BQ30" s="62">
        <f>订货1!AT30</f>
        <v>0</v>
      </c>
      <c r="BR30" s="113"/>
      <c r="BS30" s="113"/>
      <c r="BT30" s="62">
        <f>订货1!AU30</f>
        <v>0</v>
      </c>
      <c r="BU30" s="113"/>
      <c r="BV30" s="113"/>
      <c r="BW30" s="62">
        <f>订货1!AV30</f>
        <v>0</v>
      </c>
      <c r="BX30" s="113"/>
      <c r="BY30" s="113"/>
      <c r="BZ30" s="62">
        <f>订货1!AW30</f>
        <v>0</v>
      </c>
      <c r="CA30" s="113"/>
      <c r="CB30" s="113"/>
      <c r="CC30" s="62">
        <f>订货1!AX30</f>
        <v>0</v>
      </c>
      <c r="CD30" s="113"/>
      <c r="CE30" s="113"/>
      <c r="CF30" s="62">
        <f>订货1!AY30</f>
        <v>0</v>
      </c>
      <c r="CG30" s="113"/>
      <c r="CH30" s="113"/>
      <c r="CI30" s="62">
        <f>订货1!AZ30</f>
        <v>0</v>
      </c>
      <c r="CJ30" s="113"/>
      <c r="CK30" s="113"/>
      <c r="CL30" s="62">
        <f>订货1!BA30</f>
        <v>0</v>
      </c>
      <c r="CM30" s="113"/>
      <c r="CN30" s="113"/>
      <c r="CO30" s="62">
        <f>订货1!BB30</f>
        <v>0</v>
      </c>
      <c r="CP30" s="113"/>
      <c r="CQ30" s="113"/>
      <c r="CR30" s="62">
        <f>订货1!BC30</f>
        <v>0</v>
      </c>
      <c r="CS30" s="113"/>
      <c r="CT30" s="113"/>
      <c r="CU30" s="62">
        <f>订货1!BD30</f>
        <v>0</v>
      </c>
      <c r="CV30" s="113"/>
      <c r="CW30" s="113"/>
      <c r="CX30" s="62">
        <f>订货1!BE30</f>
        <v>0</v>
      </c>
      <c r="CY30" s="113"/>
      <c r="CZ30" s="113"/>
      <c r="DA30" s="62">
        <f>订货1!BF30</f>
        <v>0</v>
      </c>
      <c r="DB30" s="113"/>
      <c r="DC30" s="113"/>
      <c r="DD30" s="208">
        <v>0</v>
      </c>
      <c r="DE30" s="110" t="e">
        <f t="shared" si="31"/>
        <v>#DIV/0!</v>
      </c>
      <c r="DF30" s="52">
        <f t="shared" si="29"/>
        <v>2</v>
      </c>
      <c r="DG30" s="32" t="str">
        <f>订货1!$Q30</f>
        <v>箱</v>
      </c>
      <c r="DH30" s="209" t="e">
        <f t="shared" si="32"/>
        <v>#DIV/0!</v>
      </c>
    </row>
    <row r="31" spans="1:112" ht="15" customHeight="1">
      <c r="A31" s="48">
        <f>订货1!A31</f>
        <v>101355</v>
      </c>
      <c r="B31" s="44" t="str">
        <f>VLOOKUP($A31,订货1!$A31:$G272,7,0)</f>
        <v>上海申美饮料食品有限公司</v>
      </c>
      <c r="C31" s="44" t="str">
        <f>VLOOKUP($A31,订货1!$A31:$H272,8,0)</f>
        <v>上海申美饮料食品有限公司</v>
      </c>
      <c r="D31" s="44" t="str">
        <f>VLOOKUP($A31,订货1!$A31:$B272,2,0)</f>
        <v>可乐糖浆</v>
      </c>
      <c r="E31" s="44" t="str">
        <f>VLOOKUP($A31,订货1!$A31:$E272,5,0)</f>
        <v>20L</v>
      </c>
      <c r="F31" s="49" t="str">
        <f>VLOOKUP($A31,订货1!$A31:$F272,6,0)</f>
        <v>箱</v>
      </c>
      <c r="G31" s="203"/>
      <c r="H31" s="56">
        <f t="shared" si="30"/>
        <v>2</v>
      </c>
      <c r="I31" s="196"/>
      <c r="J31" s="113"/>
      <c r="K31" s="113"/>
      <c r="L31" s="196"/>
      <c r="M31" s="113"/>
      <c r="N31" s="113"/>
      <c r="O31" s="62">
        <f>订货1!AB31</f>
        <v>0</v>
      </c>
      <c r="P31" s="113"/>
      <c r="Q31" s="113"/>
      <c r="R31" s="62">
        <f>订货1!AC31</f>
        <v>0</v>
      </c>
      <c r="S31" s="113"/>
      <c r="T31" s="113"/>
      <c r="U31" s="62">
        <f>订货1!AD31</f>
        <v>0</v>
      </c>
      <c r="V31" s="113"/>
      <c r="W31" s="113"/>
      <c r="X31" s="62">
        <f>订货1!AE31</f>
        <v>1</v>
      </c>
      <c r="Y31" s="113"/>
      <c r="Z31" s="113"/>
      <c r="AA31" s="62">
        <f>订货1!AF31</f>
        <v>0</v>
      </c>
      <c r="AB31" s="113"/>
      <c r="AC31" s="113"/>
      <c r="AD31" s="62">
        <f>订货1!AG31</f>
        <v>0</v>
      </c>
      <c r="AE31" s="113"/>
      <c r="AF31" s="113"/>
      <c r="AG31" s="62">
        <f>订货1!AH31</f>
        <v>0</v>
      </c>
      <c r="AH31" s="113"/>
      <c r="AI31" s="113"/>
      <c r="AJ31" s="62">
        <f>订货1!AI31</f>
        <v>0</v>
      </c>
      <c r="AK31" s="113"/>
      <c r="AL31" s="113"/>
      <c r="AM31" s="62">
        <f>订货1!AJ31</f>
        <v>0</v>
      </c>
      <c r="AN31" s="113"/>
      <c r="AO31" s="113"/>
      <c r="AP31" s="62">
        <f>订货1!AK31</f>
        <v>0</v>
      </c>
      <c r="AQ31" s="113"/>
      <c r="AR31" s="113"/>
      <c r="AS31" s="62">
        <f>订货1!AL31</f>
        <v>0</v>
      </c>
      <c r="AT31" s="113"/>
      <c r="AU31" s="113"/>
      <c r="AV31" s="62">
        <f>订货1!AM31</f>
        <v>0</v>
      </c>
      <c r="AW31" s="113"/>
      <c r="AX31" s="113"/>
      <c r="AY31" s="62">
        <f>订货1!AN31</f>
        <v>0</v>
      </c>
      <c r="AZ31" s="113"/>
      <c r="BA31" s="113"/>
      <c r="BB31" s="62">
        <f>订货1!AO31</f>
        <v>1</v>
      </c>
      <c r="BC31" s="113"/>
      <c r="BD31" s="113"/>
      <c r="BE31" s="62">
        <f>订货1!AP31</f>
        <v>0</v>
      </c>
      <c r="BF31" s="113"/>
      <c r="BG31" s="113"/>
      <c r="BH31" s="62">
        <f>订货1!AQ31</f>
        <v>0</v>
      </c>
      <c r="BI31" s="113"/>
      <c r="BJ31" s="113"/>
      <c r="BK31" s="62">
        <f>订货1!AR31</f>
        <v>0</v>
      </c>
      <c r="BL31" s="113"/>
      <c r="BM31" s="113"/>
      <c r="BN31" s="62">
        <f>订货1!AS31</f>
        <v>0</v>
      </c>
      <c r="BO31" s="113"/>
      <c r="BP31" s="113"/>
      <c r="BQ31" s="62">
        <f>订货1!AT31</f>
        <v>0</v>
      </c>
      <c r="BR31" s="113"/>
      <c r="BS31" s="113"/>
      <c r="BT31" s="62">
        <f>订货1!AU31</f>
        <v>0</v>
      </c>
      <c r="BU31" s="113"/>
      <c r="BV31" s="113"/>
      <c r="BW31" s="62">
        <f>订货1!AV31</f>
        <v>0</v>
      </c>
      <c r="BX31" s="113"/>
      <c r="BY31" s="113"/>
      <c r="BZ31" s="62">
        <f>订货1!AW31</f>
        <v>0</v>
      </c>
      <c r="CA31" s="113"/>
      <c r="CB31" s="113"/>
      <c r="CC31" s="62">
        <f>订货1!AX31</f>
        <v>0</v>
      </c>
      <c r="CD31" s="113"/>
      <c r="CE31" s="113"/>
      <c r="CF31" s="62">
        <f>订货1!AY31</f>
        <v>0</v>
      </c>
      <c r="CG31" s="113"/>
      <c r="CH31" s="113"/>
      <c r="CI31" s="62">
        <f>订货1!AZ31</f>
        <v>0</v>
      </c>
      <c r="CJ31" s="113"/>
      <c r="CK31" s="113"/>
      <c r="CL31" s="62">
        <f>订货1!BA31</f>
        <v>0</v>
      </c>
      <c r="CM31" s="113"/>
      <c r="CN31" s="113"/>
      <c r="CO31" s="62">
        <f>订货1!BB31</f>
        <v>0</v>
      </c>
      <c r="CP31" s="113"/>
      <c r="CQ31" s="113"/>
      <c r="CR31" s="62">
        <f>订货1!BC31</f>
        <v>0</v>
      </c>
      <c r="CS31" s="113"/>
      <c r="CT31" s="113"/>
      <c r="CU31" s="62">
        <f>订货1!BD31</f>
        <v>0</v>
      </c>
      <c r="CV31" s="113"/>
      <c r="CW31" s="113"/>
      <c r="CX31" s="62">
        <f>订货1!BE31</f>
        <v>0</v>
      </c>
      <c r="CY31" s="113"/>
      <c r="CZ31" s="113"/>
      <c r="DA31" s="62">
        <f>订货1!BF31</f>
        <v>0</v>
      </c>
      <c r="DB31" s="113"/>
      <c r="DC31" s="113"/>
      <c r="DD31" s="208">
        <v>0</v>
      </c>
      <c r="DE31" s="110" t="e">
        <f t="shared" si="31"/>
        <v>#DIV/0!</v>
      </c>
      <c r="DF31" s="52">
        <f t="shared" si="29"/>
        <v>2</v>
      </c>
      <c r="DG31" s="32" t="str">
        <f>订货1!$Q31</f>
        <v>箱</v>
      </c>
      <c r="DH31" s="209" t="e">
        <f t="shared" si="32"/>
        <v>#DIV/0!</v>
      </c>
    </row>
    <row r="32" spans="1:112" ht="15" customHeight="1">
      <c r="A32" s="48">
        <f>订货1!A32</f>
        <v>101356</v>
      </c>
      <c r="B32" s="44" t="str">
        <f>VLOOKUP($A32,订货1!$A32:$G273,7,0)</f>
        <v>上海申美饮料食品有限公司</v>
      </c>
      <c r="C32" s="44" t="str">
        <f>VLOOKUP($A32,订货1!$A32:$H273,8,0)</f>
        <v>上海申美饮料食品有限公司</v>
      </c>
      <c r="D32" s="44" t="str">
        <f>VLOOKUP($A32,订货1!$A32:$B273,2,0)</f>
        <v>芬达糖浆</v>
      </c>
      <c r="E32" s="44" t="str">
        <f>VLOOKUP($A32,订货1!$A32:$E273,5,0)</f>
        <v>10L</v>
      </c>
      <c r="F32" s="49" t="str">
        <f>VLOOKUP($A32,订货1!$A32:$F273,6,0)</f>
        <v>箱</v>
      </c>
      <c r="G32" s="203"/>
      <c r="H32" s="56">
        <f t="shared" si="30"/>
        <v>1</v>
      </c>
      <c r="I32" s="196"/>
      <c r="J32" s="113"/>
      <c r="K32" s="113"/>
      <c r="L32" s="196"/>
      <c r="M32" s="113"/>
      <c r="N32" s="113"/>
      <c r="O32" s="62">
        <f>订货1!AB32</f>
        <v>0</v>
      </c>
      <c r="P32" s="113"/>
      <c r="Q32" s="113"/>
      <c r="R32" s="62">
        <f>订货1!AC32</f>
        <v>0</v>
      </c>
      <c r="S32" s="113"/>
      <c r="T32" s="113"/>
      <c r="U32" s="62">
        <f>订货1!AD32</f>
        <v>0</v>
      </c>
      <c r="V32" s="113"/>
      <c r="W32" s="113"/>
      <c r="X32" s="62">
        <f>订货1!AE32</f>
        <v>0</v>
      </c>
      <c r="Y32" s="113"/>
      <c r="Z32" s="113"/>
      <c r="AA32" s="62">
        <f>订货1!AF32</f>
        <v>0</v>
      </c>
      <c r="AB32" s="113"/>
      <c r="AC32" s="113"/>
      <c r="AD32" s="62">
        <f>订货1!AG32</f>
        <v>0</v>
      </c>
      <c r="AE32" s="113"/>
      <c r="AF32" s="113"/>
      <c r="AG32" s="62">
        <f>订货1!AH32</f>
        <v>1</v>
      </c>
      <c r="AH32" s="113"/>
      <c r="AI32" s="113"/>
      <c r="AJ32" s="62">
        <f>订货1!AI32</f>
        <v>0</v>
      </c>
      <c r="AK32" s="113"/>
      <c r="AL32" s="113"/>
      <c r="AM32" s="62">
        <f>订货1!AJ32</f>
        <v>0</v>
      </c>
      <c r="AN32" s="113"/>
      <c r="AO32" s="113"/>
      <c r="AP32" s="62">
        <f>订货1!AK32</f>
        <v>0</v>
      </c>
      <c r="AQ32" s="113"/>
      <c r="AR32" s="113"/>
      <c r="AS32" s="62">
        <f>订货1!AL32</f>
        <v>0</v>
      </c>
      <c r="AT32" s="113"/>
      <c r="AU32" s="113"/>
      <c r="AV32" s="62">
        <f>订货1!AM32</f>
        <v>0</v>
      </c>
      <c r="AW32" s="113"/>
      <c r="AX32" s="113"/>
      <c r="AY32" s="62">
        <f>订货1!AN32</f>
        <v>0</v>
      </c>
      <c r="AZ32" s="113"/>
      <c r="BA32" s="113"/>
      <c r="BB32" s="62">
        <f>订货1!AO32</f>
        <v>0</v>
      </c>
      <c r="BC32" s="113"/>
      <c r="BD32" s="113"/>
      <c r="BE32" s="62">
        <f>订货1!AP32</f>
        <v>0</v>
      </c>
      <c r="BF32" s="113"/>
      <c r="BG32" s="113"/>
      <c r="BH32" s="62">
        <f>订货1!AQ32</f>
        <v>0</v>
      </c>
      <c r="BI32" s="113"/>
      <c r="BJ32" s="113"/>
      <c r="BK32" s="62">
        <f>订货1!AR32</f>
        <v>0</v>
      </c>
      <c r="BL32" s="113"/>
      <c r="BM32" s="113"/>
      <c r="BN32" s="62">
        <f>订货1!AS32</f>
        <v>0</v>
      </c>
      <c r="BO32" s="113"/>
      <c r="BP32" s="113"/>
      <c r="BQ32" s="62">
        <f>订货1!AT32</f>
        <v>0</v>
      </c>
      <c r="BR32" s="113"/>
      <c r="BS32" s="113"/>
      <c r="BT32" s="62">
        <f>订货1!AU32</f>
        <v>0</v>
      </c>
      <c r="BU32" s="113"/>
      <c r="BV32" s="113"/>
      <c r="BW32" s="62">
        <f>订货1!AV32</f>
        <v>0</v>
      </c>
      <c r="BX32" s="113"/>
      <c r="BY32" s="113"/>
      <c r="BZ32" s="62">
        <f>订货1!AW32</f>
        <v>0</v>
      </c>
      <c r="CA32" s="113"/>
      <c r="CB32" s="113"/>
      <c r="CC32" s="62">
        <f>订货1!AX32</f>
        <v>0</v>
      </c>
      <c r="CD32" s="113"/>
      <c r="CE32" s="113"/>
      <c r="CF32" s="62">
        <f>订货1!AY32</f>
        <v>0</v>
      </c>
      <c r="CG32" s="113"/>
      <c r="CH32" s="113"/>
      <c r="CI32" s="62">
        <f>订货1!AZ32</f>
        <v>0</v>
      </c>
      <c r="CJ32" s="113"/>
      <c r="CK32" s="113"/>
      <c r="CL32" s="62">
        <f>订货1!BA32</f>
        <v>0</v>
      </c>
      <c r="CM32" s="113"/>
      <c r="CN32" s="113"/>
      <c r="CO32" s="62">
        <f>订货1!BB32</f>
        <v>0</v>
      </c>
      <c r="CP32" s="113"/>
      <c r="CQ32" s="113"/>
      <c r="CR32" s="62">
        <f>订货1!BC32</f>
        <v>0</v>
      </c>
      <c r="CS32" s="113"/>
      <c r="CT32" s="113"/>
      <c r="CU32" s="62">
        <f>订货1!BD32</f>
        <v>0</v>
      </c>
      <c r="CV32" s="113"/>
      <c r="CW32" s="113"/>
      <c r="CX32" s="62">
        <f>订货1!BE32</f>
        <v>0</v>
      </c>
      <c r="CY32" s="113"/>
      <c r="CZ32" s="113"/>
      <c r="DA32" s="62">
        <f>订货1!BF32</f>
        <v>0</v>
      </c>
      <c r="DB32" s="113"/>
      <c r="DC32" s="113"/>
      <c r="DD32" s="208">
        <v>0</v>
      </c>
      <c r="DE32" s="110" t="e">
        <f t="shared" si="31"/>
        <v>#DIV/0!</v>
      </c>
      <c r="DF32" s="52">
        <f t="shared" si="29"/>
        <v>1</v>
      </c>
      <c r="DG32" s="32" t="str">
        <f>订货1!$Q32</f>
        <v>箱</v>
      </c>
      <c r="DH32" s="209" t="e">
        <f t="shared" si="32"/>
        <v>#DIV/0!</v>
      </c>
    </row>
    <row r="33" spans="1:112" ht="15" customHeight="1">
      <c r="A33" s="48">
        <f>订货1!A33</f>
        <v>101483</v>
      </c>
      <c r="B33" s="44" t="str">
        <f>VLOOKUP($A33,订货1!$A33:$G274,7,0)</f>
        <v>上海申美饮料食品有限公司</v>
      </c>
      <c r="C33" s="44" t="str">
        <f>VLOOKUP($A33,订货1!$A33:$H274,8,0)</f>
        <v>上海申美饮料食品有限公司</v>
      </c>
      <c r="D33" s="44" t="str">
        <f>VLOOKUP($A33,订货1!$A33:$B274,2,0)</f>
        <v>柠檬+C糖浆</v>
      </c>
      <c r="E33" s="44" t="str">
        <f>VLOOKUP($A33,订货1!$A33:$E274,5,0)</f>
        <v>10L</v>
      </c>
      <c r="F33" s="49" t="str">
        <f>VLOOKUP($A33,订货1!$A33:$F274,6,0)</f>
        <v>箱</v>
      </c>
      <c r="G33" s="203"/>
      <c r="H33" s="56">
        <f t="shared" si="30"/>
        <v>2</v>
      </c>
      <c r="I33" s="196"/>
      <c r="J33" s="113"/>
      <c r="K33" s="113"/>
      <c r="L33" s="196"/>
      <c r="M33" s="113"/>
      <c r="N33" s="113"/>
      <c r="O33" s="62">
        <f>订货1!AB33</f>
        <v>0</v>
      </c>
      <c r="P33" s="113"/>
      <c r="Q33" s="113"/>
      <c r="R33" s="62">
        <f>订货1!AC33</f>
        <v>0</v>
      </c>
      <c r="S33" s="113"/>
      <c r="T33" s="113"/>
      <c r="U33" s="62">
        <f>订货1!AD33</f>
        <v>0</v>
      </c>
      <c r="V33" s="113"/>
      <c r="W33" s="113"/>
      <c r="X33" s="62">
        <f>订货1!AE33</f>
        <v>0</v>
      </c>
      <c r="Y33" s="113"/>
      <c r="Z33" s="113"/>
      <c r="AA33" s="62">
        <f>订货1!AF33</f>
        <v>1</v>
      </c>
      <c r="AB33" s="113"/>
      <c r="AC33" s="113"/>
      <c r="AD33" s="62">
        <f>订货1!AG33</f>
        <v>0</v>
      </c>
      <c r="AE33" s="113"/>
      <c r="AF33" s="113"/>
      <c r="AG33" s="62">
        <f>订货1!AH33</f>
        <v>0</v>
      </c>
      <c r="AH33" s="113"/>
      <c r="AI33" s="113"/>
      <c r="AJ33" s="62">
        <f>订货1!AI33</f>
        <v>0</v>
      </c>
      <c r="AK33" s="113"/>
      <c r="AL33" s="113"/>
      <c r="AM33" s="62">
        <f>订货1!AJ33</f>
        <v>1</v>
      </c>
      <c r="AN33" s="113"/>
      <c r="AO33" s="113"/>
      <c r="AP33" s="62">
        <f>订货1!AK33</f>
        <v>0</v>
      </c>
      <c r="AQ33" s="113"/>
      <c r="AR33" s="113"/>
      <c r="AS33" s="62">
        <f>订货1!AL33</f>
        <v>0</v>
      </c>
      <c r="AT33" s="113"/>
      <c r="AU33" s="113"/>
      <c r="AV33" s="62">
        <f>订货1!AM33</f>
        <v>0</v>
      </c>
      <c r="AW33" s="113"/>
      <c r="AX33" s="113"/>
      <c r="AY33" s="62">
        <f>订货1!AN33</f>
        <v>0</v>
      </c>
      <c r="AZ33" s="113"/>
      <c r="BA33" s="113"/>
      <c r="BB33" s="62">
        <f>订货1!AO33</f>
        <v>0</v>
      </c>
      <c r="BC33" s="113"/>
      <c r="BD33" s="113"/>
      <c r="BE33" s="62">
        <f>订货1!AP33</f>
        <v>0</v>
      </c>
      <c r="BF33" s="113"/>
      <c r="BG33" s="113"/>
      <c r="BH33" s="62">
        <f>订货1!AQ33</f>
        <v>0</v>
      </c>
      <c r="BI33" s="113"/>
      <c r="BJ33" s="113"/>
      <c r="BK33" s="62">
        <f>订货1!AR33</f>
        <v>0</v>
      </c>
      <c r="BL33" s="113"/>
      <c r="BM33" s="113"/>
      <c r="BN33" s="62">
        <f>订货1!AS33</f>
        <v>0</v>
      </c>
      <c r="BO33" s="113"/>
      <c r="BP33" s="113"/>
      <c r="BQ33" s="62">
        <f>订货1!AT33</f>
        <v>0</v>
      </c>
      <c r="BR33" s="113"/>
      <c r="BS33" s="113"/>
      <c r="BT33" s="62">
        <f>订货1!AU33</f>
        <v>0</v>
      </c>
      <c r="BU33" s="113"/>
      <c r="BV33" s="113"/>
      <c r="BW33" s="62">
        <f>订货1!AV33</f>
        <v>0</v>
      </c>
      <c r="BX33" s="113"/>
      <c r="BY33" s="113"/>
      <c r="BZ33" s="62">
        <f>订货1!AW33</f>
        <v>0</v>
      </c>
      <c r="CA33" s="113"/>
      <c r="CB33" s="113"/>
      <c r="CC33" s="62">
        <f>订货1!AX33</f>
        <v>0</v>
      </c>
      <c r="CD33" s="113"/>
      <c r="CE33" s="113"/>
      <c r="CF33" s="62">
        <f>订货1!AY33</f>
        <v>0</v>
      </c>
      <c r="CG33" s="113"/>
      <c r="CH33" s="113"/>
      <c r="CI33" s="62">
        <f>订货1!AZ33</f>
        <v>0</v>
      </c>
      <c r="CJ33" s="113"/>
      <c r="CK33" s="113"/>
      <c r="CL33" s="62">
        <f>订货1!BA33</f>
        <v>0</v>
      </c>
      <c r="CM33" s="113"/>
      <c r="CN33" s="113"/>
      <c r="CO33" s="62">
        <f>订货1!BB33</f>
        <v>0</v>
      </c>
      <c r="CP33" s="113"/>
      <c r="CQ33" s="113"/>
      <c r="CR33" s="62">
        <f>订货1!BC33</f>
        <v>0</v>
      </c>
      <c r="CS33" s="113"/>
      <c r="CT33" s="113"/>
      <c r="CU33" s="62">
        <f>订货1!BD33</f>
        <v>0</v>
      </c>
      <c r="CV33" s="113"/>
      <c r="CW33" s="113"/>
      <c r="CX33" s="62">
        <f>订货1!BE33</f>
        <v>0</v>
      </c>
      <c r="CY33" s="113"/>
      <c r="CZ33" s="113"/>
      <c r="DA33" s="62">
        <f>订货1!BF33</f>
        <v>0</v>
      </c>
      <c r="DB33" s="113"/>
      <c r="DC33" s="113"/>
      <c r="DD33" s="208">
        <v>0</v>
      </c>
      <c r="DE33" s="110" t="e">
        <f t="shared" si="31"/>
        <v>#DIV/0!</v>
      </c>
      <c r="DF33" s="52">
        <f t="shared" si="29"/>
        <v>2</v>
      </c>
      <c r="DG33" s="32" t="str">
        <f>订货1!$Q33</f>
        <v>箱</v>
      </c>
      <c r="DH33" s="209" t="e">
        <f t="shared" si="32"/>
        <v>#DIV/0!</v>
      </c>
    </row>
    <row r="34" spans="1:112" ht="15" customHeight="1">
      <c r="A34" s="48">
        <f>订货1!A34</f>
        <v>700000</v>
      </c>
      <c r="B34" s="44" t="str">
        <f>VLOOKUP($A34,订货1!$A34:$G275,7,0)</f>
        <v>上海申美饮料食品有限公司</v>
      </c>
      <c r="C34" s="44" t="str">
        <f>VLOOKUP($A34,订货1!$A34:$H275,8,0)</f>
        <v>上海申美饮料食品有限公司</v>
      </c>
      <c r="D34" s="44" t="str">
        <f>VLOOKUP($A34,订货1!$A34:$B275,2,0)</f>
        <v>申美碳酸</v>
      </c>
      <c r="E34" s="44" t="str">
        <f>VLOOKUP($A34,订货1!$A34:$E275,5,0)</f>
        <v>10L</v>
      </c>
      <c r="F34" s="49" t="str">
        <f>VLOOKUP($A34,订货1!$A34:$F275,6,0)</f>
        <v>桶</v>
      </c>
      <c r="G34" s="203"/>
      <c r="H34" s="56">
        <f t="shared" si="30"/>
        <v>0</v>
      </c>
      <c r="I34" s="196"/>
      <c r="J34" s="113"/>
      <c r="K34" s="113"/>
      <c r="L34" s="196"/>
      <c r="M34" s="113"/>
      <c r="N34" s="113"/>
      <c r="O34" s="62">
        <f>订货1!AB34</f>
        <v>0</v>
      </c>
      <c r="P34" s="113"/>
      <c r="Q34" s="113"/>
      <c r="R34" s="62">
        <f>订货1!AC34</f>
        <v>0</v>
      </c>
      <c r="S34" s="113"/>
      <c r="T34" s="113"/>
      <c r="U34" s="62">
        <f>订货1!AD34</f>
        <v>0</v>
      </c>
      <c r="V34" s="113"/>
      <c r="W34" s="113"/>
      <c r="X34" s="62">
        <f>订货1!AE34</f>
        <v>0</v>
      </c>
      <c r="Y34" s="113"/>
      <c r="Z34" s="113"/>
      <c r="AA34" s="62">
        <f>订货1!AF34</f>
        <v>0</v>
      </c>
      <c r="AB34" s="113"/>
      <c r="AC34" s="113"/>
      <c r="AD34" s="62">
        <f>订货1!AG34</f>
        <v>0</v>
      </c>
      <c r="AE34" s="113"/>
      <c r="AF34" s="113"/>
      <c r="AG34" s="62">
        <f>订货1!AH34</f>
        <v>0</v>
      </c>
      <c r="AH34" s="113"/>
      <c r="AI34" s="113"/>
      <c r="AJ34" s="62">
        <f>订货1!AI34</f>
        <v>0</v>
      </c>
      <c r="AK34" s="113"/>
      <c r="AL34" s="113"/>
      <c r="AM34" s="62">
        <f>订货1!AJ34</f>
        <v>0</v>
      </c>
      <c r="AN34" s="113"/>
      <c r="AO34" s="113"/>
      <c r="AP34" s="62">
        <f>订货1!AK34</f>
        <v>0</v>
      </c>
      <c r="AQ34" s="113"/>
      <c r="AR34" s="113"/>
      <c r="AS34" s="62">
        <f>订货1!AL34</f>
        <v>0</v>
      </c>
      <c r="AT34" s="113"/>
      <c r="AU34" s="113"/>
      <c r="AV34" s="62">
        <f>订货1!AM34</f>
        <v>0</v>
      </c>
      <c r="AW34" s="113"/>
      <c r="AX34" s="113"/>
      <c r="AY34" s="62">
        <f>订货1!AN34</f>
        <v>0</v>
      </c>
      <c r="AZ34" s="113"/>
      <c r="BA34" s="113"/>
      <c r="BB34" s="62">
        <f>订货1!AO34</f>
        <v>0</v>
      </c>
      <c r="BC34" s="113"/>
      <c r="BD34" s="113"/>
      <c r="BE34" s="62">
        <f>订货1!AP34</f>
        <v>0</v>
      </c>
      <c r="BF34" s="113"/>
      <c r="BG34" s="113"/>
      <c r="BH34" s="62">
        <f>订货1!AQ34</f>
        <v>0</v>
      </c>
      <c r="BI34" s="113"/>
      <c r="BJ34" s="113"/>
      <c r="BK34" s="62">
        <f>订货1!AR34</f>
        <v>0</v>
      </c>
      <c r="BL34" s="113"/>
      <c r="BM34" s="113"/>
      <c r="BN34" s="62">
        <f>订货1!AS34</f>
        <v>0</v>
      </c>
      <c r="BO34" s="113"/>
      <c r="BP34" s="113"/>
      <c r="BQ34" s="62">
        <f>订货1!AT34</f>
        <v>0</v>
      </c>
      <c r="BR34" s="113"/>
      <c r="BS34" s="113"/>
      <c r="BT34" s="62">
        <f>订货1!AU34</f>
        <v>0</v>
      </c>
      <c r="BU34" s="113"/>
      <c r="BV34" s="113"/>
      <c r="BW34" s="62">
        <f>订货1!AV34</f>
        <v>0</v>
      </c>
      <c r="BX34" s="113"/>
      <c r="BY34" s="113"/>
      <c r="BZ34" s="62">
        <f>订货1!AW34</f>
        <v>0</v>
      </c>
      <c r="CA34" s="113"/>
      <c r="CB34" s="113"/>
      <c r="CC34" s="62">
        <f>订货1!AX34</f>
        <v>0</v>
      </c>
      <c r="CD34" s="113"/>
      <c r="CE34" s="113"/>
      <c r="CF34" s="62">
        <f>订货1!AY34</f>
        <v>0</v>
      </c>
      <c r="CG34" s="113"/>
      <c r="CH34" s="113"/>
      <c r="CI34" s="62">
        <f>订货1!AZ34</f>
        <v>0</v>
      </c>
      <c r="CJ34" s="113"/>
      <c r="CK34" s="113"/>
      <c r="CL34" s="62">
        <f>订货1!BA34</f>
        <v>0</v>
      </c>
      <c r="CM34" s="113"/>
      <c r="CN34" s="113"/>
      <c r="CO34" s="62">
        <f>订货1!BB34</f>
        <v>0</v>
      </c>
      <c r="CP34" s="113"/>
      <c r="CQ34" s="113"/>
      <c r="CR34" s="62">
        <f>订货1!BC34</f>
        <v>0</v>
      </c>
      <c r="CS34" s="113"/>
      <c r="CT34" s="113"/>
      <c r="CU34" s="62">
        <f>订货1!BD34</f>
        <v>0</v>
      </c>
      <c r="CV34" s="113"/>
      <c r="CW34" s="113"/>
      <c r="CX34" s="62">
        <f>订货1!BE34</f>
        <v>0</v>
      </c>
      <c r="CY34" s="113"/>
      <c r="CZ34" s="113"/>
      <c r="DA34" s="62">
        <f>订货1!BF34</f>
        <v>0</v>
      </c>
      <c r="DB34" s="113"/>
      <c r="DC34" s="113"/>
      <c r="DD34" s="208">
        <v>0</v>
      </c>
      <c r="DE34" s="110" t="e">
        <f t="shared" si="31"/>
        <v>#DIV/0!</v>
      </c>
      <c r="DF34" s="52">
        <f t="shared" si="29"/>
        <v>0</v>
      </c>
      <c r="DG34" s="32" t="str">
        <f>订货1!$Q34</f>
        <v>桶</v>
      </c>
      <c r="DH34" s="209" t="e">
        <f t="shared" si="32"/>
        <v>#DIV/0!</v>
      </c>
    </row>
    <row r="35" spans="1:112" ht="15" customHeight="1">
      <c r="A35" s="48">
        <f>订货1!A35</f>
        <v>730003</v>
      </c>
      <c r="B35" s="44" t="str">
        <f>VLOOKUP($A35,订货1!$A35:$G276,7,0)</f>
        <v>赛沛弗科技发展（浙江）有限公司</v>
      </c>
      <c r="C35" s="44" t="str">
        <f>VLOOKUP($A35,订货1!$A35:$H276,8,0)</f>
        <v>上海亚太国际蔬菜有限公司</v>
      </c>
      <c r="D35" s="44" t="str">
        <f>VLOOKUP($A35,订货1!$A35:$B276,2,0)</f>
        <v>樱桃番茄</v>
      </c>
      <c r="E35" s="44" t="str">
        <f>VLOOKUP($A35,订货1!$A35:$E276,5,0)</f>
        <v>0.5kg</v>
      </c>
      <c r="F35" s="49" t="str">
        <f>VLOOKUP($A35,订货1!$A35:$F276,6,0)</f>
        <v>袋</v>
      </c>
      <c r="G35" s="203"/>
      <c r="H35" s="56">
        <f t="shared" si="30"/>
        <v>0</v>
      </c>
      <c r="I35" s="196"/>
      <c r="J35" s="113"/>
      <c r="K35" s="113"/>
      <c r="L35" s="196"/>
      <c r="M35" s="113"/>
      <c r="N35" s="113"/>
      <c r="O35" s="62">
        <f>订货1!AB35</f>
        <v>0</v>
      </c>
      <c r="P35" s="113"/>
      <c r="Q35" s="113"/>
      <c r="R35" s="62">
        <f>订货1!AC35</f>
        <v>0</v>
      </c>
      <c r="S35" s="113"/>
      <c r="T35" s="113"/>
      <c r="U35" s="62">
        <f>订货1!AD35</f>
        <v>0</v>
      </c>
      <c r="V35" s="113"/>
      <c r="W35" s="113"/>
      <c r="X35" s="62">
        <f>订货1!AE35</f>
        <v>0</v>
      </c>
      <c r="Y35" s="113"/>
      <c r="Z35" s="113"/>
      <c r="AA35" s="62">
        <f>订货1!AF35</f>
        <v>0</v>
      </c>
      <c r="AB35" s="113"/>
      <c r="AC35" s="113"/>
      <c r="AD35" s="62">
        <f>订货1!AG35</f>
        <v>0</v>
      </c>
      <c r="AE35" s="113"/>
      <c r="AF35" s="113"/>
      <c r="AG35" s="62">
        <f>订货1!AH35</f>
        <v>0</v>
      </c>
      <c r="AH35" s="113"/>
      <c r="AI35" s="113"/>
      <c r="AJ35" s="62">
        <f>订货1!AI35</f>
        <v>0</v>
      </c>
      <c r="AK35" s="113"/>
      <c r="AL35" s="113"/>
      <c r="AM35" s="62">
        <f>订货1!AJ35</f>
        <v>0</v>
      </c>
      <c r="AN35" s="113"/>
      <c r="AO35" s="113"/>
      <c r="AP35" s="62">
        <f>订货1!AK35</f>
        <v>0</v>
      </c>
      <c r="AQ35" s="113"/>
      <c r="AR35" s="113"/>
      <c r="AS35" s="62">
        <f>订货1!AL35</f>
        <v>0</v>
      </c>
      <c r="AT35" s="113"/>
      <c r="AU35" s="113"/>
      <c r="AV35" s="62">
        <f>订货1!AM35</f>
        <v>0</v>
      </c>
      <c r="AW35" s="113"/>
      <c r="AX35" s="113"/>
      <c r="AY35" s="62">
        <f>订货1!AN35</f>
        <v>0</v>
      </c>
      <c r="AZ35" s="113"/>
      <c r="BA35" s="113"/>
      <c r="BB35" s="62">
        <f>订货1!AO35</f>
        <v>0</v>
      </c>
      <c r="BC35" s="113"/>
      <c r="BD35" s="113"/>
      <c r="BE35" s="62">
        <f>订货1!AP35</f>
        <v>0</v>
      </c>
      <c r="BF35" s="113"/>
      <c r="BG35" s="113"/>
      <c r="BH35" s="62">
        <f>订货1!AQ35</f>
        <v>0</v>
      </c>
      <c r="BI35" s="113"/>
      <c r="BJ35" s="113"/>
      <c r="BK35" s="62">
        <f>订货1!AR35</f>
        <v>0</v>
      </c>
      <c r="BL35" s="113"/>
      <c r="BM35" s="113"/>
      <c r="BN35" s="62">
        <f>订货1!AS35</f>
        <v>0</v>
      </c>
      <c r="BO35" s="113"/>
      <c r="BP35" s="113"/>
      <c r="BQ35" s="62">
        <f>订货1!AT35</f>
        <v>0</v>
      </c>
      <c r="BR35" s="113"/>
      <c r="BS35" s="113"/>
      <c r="BT35" s="62">
        <f>订货1!AU35</f>
        <v>0</v>
      </c>
      <c r="BU35" s="113"/>
      <c r="BV35" s="113"/>
      <c r="BW35" s="62">
        <f>订货1!AV35</f>
        <v>0</v>
      </c>
      <c r="BX35" s="113"/>
      <c r="BY35" s="113"/>
      <c r="BZ35" s="62">
        <f>订货1!AW35</f>
        <v>0</v>
      </c>
      <c r="CA35" s="113"/>
      <c r="CB35" s="113"/>
      <c r="CC35" s="62">
        <f>订货1!AX35</f>
        <v>0</v>
      </c>
      <c r="CD35" s="113"/>
      <c r="CE35" s="113"/>
      <c r="CF35" s="62">
        <f>订货1!AY35</f>
        <v>0</v>
      </c>
      <c r="CG35" s="113"/>
      <c r="CH35" s="113"/>
      <c r="CI35" s="62">
        <f>订货1!AZ35</f>
        <v>0</v>
      </c>
      <c r="CJ35" s="113"/>
      <c r="CK35" s="113"/>
      <c r="CL35" s="62">
        <f>订货1!BA35</f>
        <v>0</v>
      </c>
      <c r="CM35" s="113"/>
      <c r="CN35" s="113"/>
      <c r="CO35" s="62">
        <f>订货1!BB35</f>
        <v>0</v>
      </c>
      <c r="CP35" s="113"/>
      <c r="CQ35" s="113"/>
      <c r="CR35" s="62">
        <f>订货1!BC35</f>
        <v>0</v>
      </c>
      <c r="CS35" s="113"/>
      <c r="CT35" s="113"/>
      <c r="CU35" s="62">
        <f>订货1!BD35</f>
        <v>0</v>
      </c>
      <c r="CV35" s="113"/>
      <c r="CW35" s="113"/>
      <c r="CX35" s="62">
        <f>订货1!BE35</f>
        <v>0</v>
      </c>
      <c r="CY35" s="113"/>
      <c r="CZ35" s="113"/>
      <c r="DA35" s="62">
        <f>订货1!BF35</f>
        <v>0</v>
      </c>
      <c r="DB35" s="113"/>
      <c r="DC35" s="113"/>
      <c r="DD35" s="208">
        <v>0</v>
      </c>
      <c r="DE35" s="110" t="e">
        <f t="shared" si="31"/>
        <v>#DIV/0!</v>
      </c>
      <c r="DF35" s="52">
        <f t="shared" si="29"/>
        <v>0</v>
      </c>
      <c r="DG35" s="32" t="str">
        <f>订货1!$Q35</f>
        <v>袋</v>
      </c>
      <c r="DH35" s="209" t="e">
        <f t="shared" si="32"/>
        <v>#DIV/0!</v>
      </c>
    </row>
    <row r="36" spans="1:112" ht="15" customHeight="1">
      <c r="A36" s="48">
        <f>订货1!A36</f>
        <v>730004</v>
      </c>
      <c r="B36" s="44" t="str">
        <f>VLOOKUP($A36,订货1!$A36:$G277,7,0)</f>
        <v>赛沛弗科技发展（浙江）有限公司</v>
      </c>
      <c r="C36" s="44" t="str">
        <f>VLOOKUP($A36,订货1!$A36:$H277,8,0)</f>
        <v>上海亚太国际蔬菜有限公司</v>
      </c>
      <c r="D36" s="44" t="str">
        <f>VLOOKUP($A36,订货1!$A36:$B277,2,0)</f>
        <v>彩椒丝</v>
      </c>
      <c r="E36" s="44" t="str">
        <f>VLOOKUP($A36,订货1!$A36:$E277,5,0)</f>
        <v>0.2kg</v>
      </c>
      <c r="F36" s="49" t="str">
        <f>VLOOKUP($A36,订货1!$A36:$F277,6,0)</f>
        <v>袋</v>
      </c>
      <c r="G36" s="203"/>
      <c r="H36" s="56">
        <f t="shared" si="30"/>
        <v>0</v>
      </c>
      <c r="I36" s="196"/>
      <c r="J36" s="113"/>
      <c r="K36" s="113"/>
      <c r="L36" s="196"/>
      <c r="M36" s="113"/>
      <c r="N36" s="113"/>
      <c r="O36" s="62">
        <f>订货1!AB36</f>
        <v>0</v>
      </c>
      <c r="P36" s="113"/>
      <c r="Q36" s="113"/>
      <c r="R36" s="62">
        <f>订货1!AC36</f>
        <v>0</v>
      </c>
      <c r="S36" s="113"/>
      <c r="T36" s="113"/>
      <c r="U36" s="62">
        <f>订货1!AD36</f>
        <v>0</v>
      </c>
      <c r="V36" s="113"/>
      <c r="W36" s="113"/>
      <c r="X36" s="62">
        <f>订货1!AE36</f>
        <v>0</v>
      </c>
      <c r="Y36" s="113"/>
      <c r="Z36" s="113"/>
      <c r="AA36" s="62">
        <f>订货1!AF36</f>
        <v>0</v>
      </c>
      <c r="AB36" s="113"/>
      <c r="AC36" s="113"/>
      <c r="AD36" s="62">
        <f>订货1!AG36</f>
        <v>0</v>
      </c>
      <c r="AE36" s="113"/>
      <c r="AF36" s="113"/>
      <c r="AG36" s="62">
        <f>订货1!AH36</f>
        <v>0</v>
      </c>
      <c r="AH36" s="113"/>
      <c r="AI36" s="113"/>
      <c r="AJ36" s="62">
        <f>订货1!AI36</f>
        <v>0</v>
      </c>
      <c r="AK36" s="113"/>
      <c r="AL36" s="113"/>
      <c r="AM36" s="62">
        <f>订货1!AJ36</f>
        <v>0</v>
      </c>
      <c r="AN36" s="113"/>
      <c r="AO36" s="113"/>
      <c r="AP36" s="62">
        <f>订货1!AK36</f>
        <v>0</v>
      </c>
      <c r="AQ36" s="113"/>
      <c r="AR36" s="113"/>
      <c r="AS36" s="62">
        <f>订货1!AL36</f>
        <v>0</v>
      </c>
      <c r="AT36" s="113"/>
      <c r="AU36" s="113"/>
      <c r="AV36" s="62">
        <f>订货1!AM36</f>
        <v>0</v>
      </c>
      <c r="AW36" s="113"/>
      <c r="AX36" s="113"/>
      <c r="AY36" s="62">
        <f>订货1!AN36</f>
        <v>0</v>
      </c>
      <c r="AZ36" s="113"/>
      <c r="BA36" s="113"/>
      <c r="BB36" s="62">
        <f>订货1!AO36</f>
        <v>0</v>
      </c>
      <c r="BC36" s="113"/>
      <c r="BD36" s="113"/>
      <c r="BE36" s="62">
        <f>订货1!AP36</f>
        <v>0</v>
      </c>
      <c r="BF36" s="113"/>
      <c r="BG36" s="113"/>
      <c r="BH36" s="62">
        <f>订货1!AQ36</f>
        <v>0</v>
      </c>
      <c r="BI36" s="113"/>
      <c r="BJ36" s="113"/>
      <c r="BK36" s="62">
        <f>订货1!AR36</f>
        <v>0</v>
      </c>
      <c r="BL36" s="113"/>
      <c r="BM36" s="113"/>
      <c r="BN36" s="62">
        <f>订货1!AS36</f>
        <v>0</v>
      </c>
      <c r="BO36" s="113"/>
      <c r="BP36" s="113"/>
      <c r="BQ36" s="62">
        <f>订货1!AT36</f>
        <v>0</v>
      </c>
      <c r="BR36" s="113"/>
      <c r="BS36" s="113"/>
      <c r="BT36" s="62">
        <f>订货1!AU36</f>
        <v>0</v>
      </c>
      <c r="BU36" s="113"/>
      <c r="BV36" s="113"/>
      <c r="BW36" s="62">
        <f>订货1!AV36</f>
        <v>0</v>
      </c>
      <c r="BX36" s="113"/>
      <c r="BY36" s="113"/>
      <c r="BZ36" s="62">
        <f>订货1!AW36</f>
        <v>0</v>
      </c>
      <c r="CA36" s="113"/>
      <c r="CB36" s="113"/>
      <c r="CC36" s="62">
        <f>订货1!AX36</f>
        <v>0</v>
      </c>
      <c r="CD36" s="113"/>
      <c r="CE36" s="113"/>
      <c r="CF36" s="62">
        <f>订货1!AY36</f>
        <v>0</v>
      </c>
      <c r="CG36" s="113"/>
      <c r="CH36" s="113"/>
      <c r="CI36" s="62">
        <f>订货1!AZ36</f>
        <v>0</v>
      </c>
      <c r="CJ36" s="113"/>
      <c r="CK36" s="113"/>
      <c r="CL36" s="62">
        <f>订货1!BA36</f>
        <v>0</v>
      </c>
      <c r="CM36" s="113"/>
      <c r="CN36" s="113"/>
      <c r="CO36" s="62">
        <f>订货1!BB36</f>
        <v>0</v>
      </c>
      <c r="CP36" s="113"/>
      <c r="CQ36" s="113"/>
      <c r="CR36" s="62">
        <f>订货1!BC36</f>
        <v>0</v>
      </c>
      <c r="CS36" s="113"/>
      <c r="CT36" s="113"/>
      <c r="CU36" s="62">
        <f>订货1!BD36</f>
        <v>0</v>
      </c>
      <c r="CV36" s="113"/>
      <c r="CW36" s="113"/>
      <c r="CX36" s="62">
        <f>订货1!BE36</f>
        <v>0</v>
      </c>
      <c r="CY36" s="113"/>
      <c r="CZ36" s="113"/>
      <c r="DA36" s="62">
        <f>订货1!BF36</f>
        <v>0</v>
      </c>
      <c r="DB36" s="113"/>
      <c r="DC36" s="113"/>
      <c r="DD36" s="208">
        <v>0</v>
      </c>
      <c r="DE36" s="110" t="e">
        <f t="shared" si="31"/>
        <v>#DIV/0!</v>
      </c>
      <c r="DF36" s="52">
        <f t="shared" si="29"/>
        <v>0</v>
      </c>
      <c r="DG36" s="32" t="str">
        <f>订货1!$Q36</f>
        <v>袋</v>
      </c>
      <c r="DH36" s="209" t="e">
        <f t="shared" si="32"/>
        <v>#DIV/0!</v>
      </c>
    </row>
    <row r="37" spans="1:112" ht="15" customHeight="1">
      <c r="A37" s="48">
        <f>订货1!A37</f>
        <v>730005</v>
      </c>
      <c r="B37" s="44" t="str">
        <f>VLOOKUP($A37,订货1!$A37:$G278,7,0)</f>
        <v>赛沛弗科技发展（浙江）有限公司</v>
      </c>
      <c r="C37" s="44" t="str">
        <f>VLOOKUP($A37,订货1!$A37:$H278,8,0)</f>
        <v>上海盛科果蔬专业合作社</v>
      </c>
      <c r="D37" s="44" t="str">
        <f>VLOOKUP($A37,订货1!$A37:$B278,2,0)</f>
        <v>蔬菜底料</v>
      </c>
      <c r="E37" s="44" t="str">
        <f>VLOOKUP($A37,订货1!$A37:$E278,5,0)</f>
        <v>1kg</v>
      </c>
      <c r="F37" s="49" t="str">
        <f>VLOOKUP($A37,订货1!$A37:$F278,6,0)</f>
        <v>袋</v>
      </c>
      <c r="G37" s="203"/>
      <c r="H37" s="56">
        <f t="shared" si="30"/>
        <v>0</v>
      </c>
      <c r="I37" s="196"/>
      <c r="J37" s="113"/>
      <c r="K37" s="113"/>
      <c r="L37" s="196"/>
      <c r="M37" s="113"/>
      <c r="N37" s="113"/>
      <c r="O37" s="62">
        <f>订货1!AB37</f>
        <v>0</v>
      </c>
      <c r="P37" s="113"/>
      <c r="Q37" s="113"/>
      <c r="R37" s="62">
        <f>订货1!AC37</f>
        <v>0</v>
      </c>
      <c r="S37" s="113"/>
      <c r="T37" s="113"/>
      <c r="U37" s="62">
        <f>订货1!AD37</f>
        <v>0</v>
      </c>
      <c r="V37" s="113"/>
      <c r="W37" s="113"/>
      <c r="X37" s="62">
        <f>订货1!AE37</f>
        <v>0</v>
      </c>
      <c r="Y37" s="113"/>
      <c r="Z37" s="113"/>
      <c r="AA37" s="62">
        <f>订货1!AF37</f>
        <v>0</v>
      </c>
      <c r="AB37" s="113"/>
      <c r="AC37" s="113"/>
      <c r="AD37" s="62">
        <f>订货1!AG37</f>
        <v>0</v>
      </c>
      <c r="AE37" s="113"/>
      <c r="AF37" s="113"/>
      <c r="AG37" s="62">
        <f>订货1!AH37</f>
        <v>0</v>
      </c>
      <c r="AH37" s="113"/>
      <c r="AI37" s="113"/>
      <c r="AJ37" s="62">
        <f>订货1!AI37</f>
        <v>0</v>
      </c>
      <c r="AK37" s="113"/>
      <c r="AL37" s="113"/>
      <c r="AM37" s="62">
        <f>订货1!AJ37</f>
        <v>0</v>
      </c>
      <c r="AN37" s="113"/>
      <c r="AO37" s="113"/>
      <c r="AP37" s="62">
        <f>订货1!AK37</f>
        <v>0</v>
      </c>
      <c r="AQ37" s="113"/>
      <c r="AR37" s="113"/>
      <c r="AS37" s="62">
        <f>订货1!AL37</f>
        <v>0</v>
      </c>
      <c r="AT37" s="113"/>
      <c r="AU37" s="113"/>
      <c r="AV37" s="62">
        <f>订货1!AM37</f>
        <v>0</v>
      </c>
      <c r="AW37" s="113"/>
      <c r="AX37" s="113"/>
      <c r="AY37" s="62">
        <f>订货1!AN37</f>
        <v>0</v>
      </c>
      <c r="AZ37" s="113"/>
      <c r="BA37" s="113"/>
      <c r="BB37" s="62">
        <f>订货1!AO37</f>
        <v>0</v>
      </c>
      <c r="BC37" s="113"/>
      <c r="BD37" s="113"/>
      <c r="BE37" s="62">
        <f>订货1!AP37</f>
        <v>0</v>
      </c>
      <c r="BF37" s="113"/>
      <c r="BG37" s="113"/>
      <c r="BH37" s="62">
        <f>订货1!AQ37</f>
        <v>0</v>
      </c>
      <c r="BI37" s="113"/>
      <c r="BJ37" s="113"/>
      <c r="BK37" s="62">
        <f>订货1!AR37</f>
        <v>0</v>
      </c>
      <c r="BL37" s="113"/>
      <c r="BM37" s="113"/>
      <c r="BN37" s="62">
        <f>订货1!AS37</f>
        <v>0</v>
      </c>
      <c r="BO37" s="113"/>
      <c r="BP37" s="113"/>
      <c r="BQ37" s="62">
        <f>订货1!AT37</f>
        <v>0</v>
      </c>
      <c r="BR37" s="113"/>
      <c r="BS37" s="113"/>
      <c r="BT37" s="62">
        <f>订货1!AU37</f>
        <v>0</v>
      </c>
      <c r="BU37" s="113"/>
      <c r="BV37" s="113"/>
      <c r="BW37" s="62">
        <f>订货1!AV37</f>
        <v>0</v>
      </c>
      <c r="BX37" s="113"/>
      <c r="BY37" s="113"/>
      <c r="BZ37" s="62">
        <f>订货1!AW37</f>
        <v>0</v>
      </c>
      <c r="CA37" s="113"/>
      <c r="CB37" s="113"/>
      <c r="CC37" s="62">
        <f>订货1!AX37</f>
        <v>0</v>
      </c>
      <c r="CD37" s="113"/>
      <c r="CE37" s="113"/>
      <c r="CF37" s="62">
        <f>订货1!AY37</f>
        <v>0</v>
      </c>
      <c r="CG37" s="113"/>
      <c r="CH37" s="113"/>
      <c r="CI37" s="62">
        <f>订货1!AZ37</f>
        <v>0</v>
      </c>
      <c r="CJ37" s="113"/>
      <c r="CK37" s="113"/>
      <c r="CL37" s="62">
        <f>订货1!BA37</f>
        <v>0</v>
      </c>
      <c r="CM37" s="113"/>
      <c r="CN37" s="113"/>
      <c r="CO37" s="62">
        <f>订货1!BB37</f>
        <v>0</v>
      </c>
      <c r="CP37" s="113"/>
      <c r="CQ37" s="113"/>
      <c r="CR37" s="62">
        <f>订货1!BC37</f>
        <v>0</v>
      </c>
      <c r="CS37" s="113"/>
      <c r="CT37" s="113"/>
      <c r="CU37" s="62">
        <f>订货1!BD37</f>
        <v>0</v>
      </c>
      <c r="CV37" s="113"/>
      <c r="CW37" s="113"/>
      <c r="CX37" s="62">
        <f>订货1!BE37</f>
        <v>0</v>
      </c>
      <c r="CY37" s="113"/>
      <c r="CZ37" s="113"/>
      <c r="DA37" s="62">
        <f>订货1!BF37</f>
        <v>0</v>
      </c>
      <c r="DB37" s="113"/>
      <c r="DC37" s="113"/>
      <c r="DD37" s="208">
        <v>0</v>
      </c>
      <c r="DE37" s="110" t="e">
        <f t="shared" si="31"/>
        <v>#DIV/0!</v>
      </c>
      <c r="DF37" s="52">
        <f t="shared" si="29"/>
        <v>0</v>
      </c>
      <c r="DG37" s="32" t="str">
        <f>订货1!$Q37</f>
        <v>袋</v>
      </c>
      <c r="DH37" s="209" t="e">
        <f t="shared" si="32"/>
        <v>#DIV/0!</v>
      </c>
    </row>
    <row r="38" spans="1:112" ht="15" customHeight="1">
      <c r="A38" s="48">
        <f>订货1!A38</f>
        <v>730006</v>
      </c>
      <c r="B38" s="44" t="str">
        <f>VLOOKUP($A38,订货1!$A38:$G279,7,0)</f>
        <v>赛沛弗科技发展（浙江）有限公司</v>
      </c>
      <c r="C38" s="44" t="str">
        <f>VLOOKUP($A38,订货1!$A38:$H279,8,0)</f>
        <v>上海亚太国际蔬菜有限公司</v>
      </c>
      <c r="D38" s="44" t="str">
        <f>VLOOKUP($A38,订货1!$A38:$B279,2,0)</f>
        <v>脆爽沙拉</v>
      </c>
      <c r="E38" s="44" t="str">
        <f>VLOOKUP($A38,订货1!$A38:$E279,5,0)</f>
        <v>1kg</v>
      </c>
      <c r="F38" s="49" t="str">
        <f>VLOOKUP($A38,订货1!$A38:$F279,6,0)</f>
        <v>袋</v>
      </c>
      <c r="G38" s="203"/>
      <c r="H38" s="56">
        <f t="shared" si="30"/>
        <v>0</v>
      </c>
      <c r="I38" s="196"/>
      <c r="J38" s="113"/>
      <c r="K38" s="113"/>
      <c r="L38" s="196"/>
      <c r="M38" s="113"/>
      <c r="N38" s="113"/>
      <c r="O38" s="62">
        <f>订货1!AB38</f>
        <v>0</v>
      </c>
      <c r="P38" s="113"/>
      <c r="Q38" s="113"/>
      <c r="R38" s="62">
        <f>订货1!AC38</f>
        <v>0</v>
      </c>
      <c r="S38" s="113"/>
      <c r="T38" s="113"/>
      <c r="U38" s="62">
        <f>订货1!AD38</f>
        <v>0</v>
      </c>
      <c r="V38" s="113"/>
      <c r="W38" s="113"/>
      <c r="X38" s="62">
        <f>订货1!AE38</f>
        <v>0</v>
      </c>
      <c r="Y38" s="113"/>
      <c r="Z38" s="113"/>
      <c r="AA38" s="62">
        <f>订货1!AF38</f>
        <v>0</v>
      </c>
      <c r="AB38" s="113"/>
      <c r="AC38" s="113"/>
      <c r="AD38" s="62">
        <f>订货1!AG38</f>
        <v>0</v>
      </c>
      <c r="AE38" s="113"/>
      <c r="AF38" s="113"/>
      <c r="AG38" s="62">
        <f>订货1!AH38</f>
        <v>0</v>
      </c>
      <c r="AH38" s="113"/>
      <c r="AI38" s="113"/>
      <c r="AJ38" s="62">
        <f>订货1!AI38</f>
        <v>0</v>
      </c>
      <c r="AK38" s="113"/>
      <c r="AL38" s="113"/>
      <c r="AM38" s="62">
        <f>订货1!AJ38</f>
        <v>0</v>
      </c>
      <c r="AN38" s="113"/>
      <c r="AO38" s="113"/>
      <c r="AP38" s="62">
        <f>订货1!AK38</f>
        <v>0</v>
      </c>
      <c r="AQ38" s="113"/>
      <c r="AR38" s="113"/>
      <c r="AS38" s="62">
        <f>订货1!AL38</f>
        <v>0</v>
      </c>
      <c r="AT38" s="113"/>
      <c r="AU38" s="113"/>
      <c r="AV38" s="62">
        <f>订货1!AM38</f>
        <v>0</v>
      </c>
      <c r="AW38" s="113"/>
      <c r="AX38" s="113"/>
      <c r="AY38" s="62">
        <f>订货1!AN38</f>
        <v>0</v>
      </c>
      <c r="AZ38" s="113"/>
      <c r="BA38" s="113"/>
      <c r="BB38" s="62">
        <f>订货1!AO38</f>
        <v>0</v>
      </c>
      <c r="BC38" s="113"/>
      <c r="BD38" s="113"/>
      <c r="BE38" s="62">
        <f>订货1!AP38</f>
        <v>0</v>
      </c>
      <c r="BF38" s="113"/>
      <c r="BG38" s="113"/>
      <c r="BH38" s="62">
        <f>订货1!AQ38</f>
        <v>0</v>
      </c>
      <c r="BI38" s="113"/>
      <c r="BJ38" s="113"/>
      <c r="BK38" s="62">
        <f>订货1!AR38</f>
        <v>0</v>
      </c>
      <c r="BL38" s="113"/>
      <c r="BM38" s="113"/>
      <c r="BN38" s="62">
        <f>订货1!AS38</f>
        <v>0</v>
      </c>
      <c r="BO38" s="113"/>
      <c r="BP38" s="113"/>
      <c r="BQ38" s="62">
        <f>订货1!AT38</f>
        <v>0</v>
      </c>
      <c r="BR38" s="113"/>
      <c r="BS38" s="113"/>
      <c r="BT38" s="62">
        <f>订货1!AU38</f>
        <v>0</v>
      </c>
      <c r="BU38" s="113"/>
      <c r="BV38" s="113"/>
      <c r="BW38" s="62">
        <f>订货1!AV38</f>
        <v>0</v>
      </c>
      <c r="BX38" s="113"/>
      <c r="BY38" s="113"/>
      <c r="BZ38" s="62">
        <f>订货1!AW38</f>
        <v>0</v>
      </c>
      <c r="CA38" s="113"/>
      <c r="CB38" s="113"/>
      <c r="CC38" s="62">
        <f>订货1!AX38</f>
        <v>0</v>
      </c>
      <c r="CD38" s="113"/>
      <c r="CE38" s="113"/>
      <c r="CF38" s="62">
        <f>订货1!AY38</f>
        <v>0</v>
      </c>
      <c r="CG38" s="113"/>
      <c r="CH38" s="113"/>
      <c r="CI38" s="62">
        <f>订货1!AZ38</f>
        <v>0</v>
      </c>
      <c r="CJ38" s="113"/>
      <c r="CK38" s="113"/>
      <c r="CL38" s="62">
        <f>订货1!BA38</f>
        <v>0</v>
      </c>
      <c r="CM38" s="113"/>
      <c r="CN38" s="113"/>
      <c r="CO38" s="62">
        <f>订货1!BB38</f>
        <v>0</v>
      </c>
      <c r="CP38" s="113"/>
      <c r="CQ38" s="113"/>
      <c r="CR38" s="62">
        <f>订货1!BC38</f>
        <v>0</v>
      </c>
      <c r="CS38" s="113"/>
      <c r="CT38" s="113"/>
      <c r="CU38" s="62">
        <f>订货1!BD38</f>
        <v>0</v>
      </c>
      <c r="CV38" s="113"/>
      <c r="CW38" s="113"/>
      <c r="CX38" s="62">
        <f>订货1!BE38</f>
        <v>0</v>
      </c>
      <c r="CY38" s="113"/>
      <c r="CZ38" s="113"/>
      <c r="DA38" s="62">
        <f>订货1!BF38</f>
        <v>0</v>
      </c>
      <c r="DB38" s="113"/>
      <c r="DC38" s="113"/>
      <c r="DD38" s="208">
        <v>0</v>
      </c>
      <c r="DE38" s="110" t="e">
        <f t="shared" si="31"/>
        <v>#DIV/0!</v>
      </c>
      <c r="DF38" s="52">
        <f t="shared" si="29"/>
        <v>0</v>
      </c>
      <c r="DG38" s="32" t="str">
        <f>订货1!$Q38</f>
        <v>袋</v>
      </c>
      <c r="DH38" s="209" t="e">
        <f t="shared" si="32"/>
        <v>#DIV/0!</v>
      </c>
    </row>
    <row r="39" spans="1:112" ht="15" customHeight="1">
      <c r="A39" s="48">
        <f>订货1!A39</f>
        <v>730018</v>
      </c>
      <c r="B39" s="44" t="str">
        <f>VLOOKUP($A39,订货1!$A39:$G280,7,0)</f>
        <v>赛沛弗科技发展（浙江）有限公司</v>
      </c>
      <c r="C39" s="44" t="str">
        <f>VLOOKUP($A39,订货1!$A39:$H280,8,0)</f>
        <v>上海亚太国际蔬菜有限公司</v>
      </c>
      <c r="D39" s="44" t="str">
        <f>VLOOKUP($A39,订货1!$A39:$B280,2,0)</f>
        <v>小青菜</v>
      </c>
      <c r="E39" s="44" t="str">
        <f>VLOOKUP($A39,订货1!$A39:$E280,5,0)</f>
        <v>0.5kg</v>
      </c>
      <c r="F39" s="49" t="str">
        <f>VLOOKUP($A39,订货1!$A39:$F280,6,0)</f>
        <v>袋</v>
      </c>
      <c r="G39" s="203"/>
      <c r="H39" s="56">
        <f t="shared" si="30"/>
        <v>0</v>
      </c>
      <c r="I39" s="196"/>
      <c r="J39" s="113"/>
      <c r="K39" s="113"/>
      <c r="L39" s="196"/>
      <c r="M39" s="113"/>
      <c r="N39" s="113"/>
      <c r="O39" s="62">
        <f>订货1!AB39</f>
        <v>0</v>
      </c>
      <c r="P39" s="113"/>
      <c r="Q39" s="113"/>
      <c r="R39" s="62">
        <f>订货1!AC39</f>
        <v>0</v>
      </c>
      <c r="S39" s="113"/>
      <c r="T39" s="113"/>
      <c r="U39" s="62">
        <f>订货1!AD39</f>
        <v>0</v>
      </c>
      <c r="V39" s="113"/>
      <c r="W39" s="113"/>
      <c r="X39" s="62">
        <f>订货1!AE39</f>
        <v>0</v>
      </c>
      <c r="Y39" s="113"/>
      <c r="Z39" s="113"/>
      <c r="AA39" s="62">
        <f>订货1!AF39</f>
        <v>0</v>
      </c>
      <c r="AB39" s="113"/>
      <c r="AC39" s="113"/>
      <c r="AD39" s="62">
        <f>订货1!AG39</f>
        <v>0</v>
      </c>
      <c r="AE39" s="113"/>
      <c r="AF39" s="113"/>
      <c r="AG39" s="62">
        <f>订货1!AH39</f>
        <v>0</v>
      </c>
      <c r="AH39" s="113"/>
      <c r="AI39" s="113"/>
      <c r="AJ39" s="62">
        <f>订货1!AI39</f>
        <v>0</v>
      </c>
      <c r="AK39" s="113"/>
      <c r="AL39" s="113"/>
      <c r="AM39" s="62">
        <f>订货1!AJ39</f>
        <v>0</v>
      </c>
      <c r="AN39" s="113"/>
      <c r="AO39" s="113"/>
      <c r="AP39" s="62">
        <f>订货1!AK39</f>
        <v>0</v>
      </c>
      <c r="AQ39" s="113"/>
      <c r="AR39" s="113"/>
      <c r="AS39" s="62">
        <f>订货1!AL39</f>
        <v>0</v>
      </c>
      <c r="AT39" s="113"/>
      <c r="AU39" s="113"/>
      <c r="AV39" s="62">
        <f>订货1!AM39</f>
        <v>0</v>
      </c>
      <c r="AW39" s="113"/>
      <c r="AX39" s="113"/>
      <c r="AY39" s="62">
        <f>订货1!AN39</f>
        <v>0</v>
      </c>
      <c r="AZ39" s="113"/>
      <c r="BA39" s="113"/>
      <c r="BB39" s="62">
        <f>订货1!AO39</f>
        <v>0</v>
      </c>
      <c r="BC39" s="113"/>
      <c r="BD39" s="113"/>
      <c r="BE39" s="62">
        <f>订货1!AP39</f>
        <v>0</v>
      </c>
      <c r="BF39" s="113"/>
      <c r="BG39" s="113"/>
      <c r="BH39" s="62">
        <f>订货1!AQ39</f>
        <v>0</v>
      </c>
      <c r="BI39" s="113"/>
      <c r="BJ39" s="113"/>
      <c r="BK39" s="62">
        <f>订货1!AR39</f>
        <v>0</v>
      </c>
      <c r="BL39" s="113"/>
      <c r="BM39" s="113"/>
      <c r="BN39" s="62">
        <f>订货1!AS39</f>
        <v>0</v>
      </c>
      <c r="BO39" s="113"/>
      <c r="BP39" s="113"/>
      <c r="BQ39" s="62">
        <f>订货1!AT39</f>
        <v>0</v>
      </c>
      <c r="BR39" s="113"/>
      <c r="BS39" s="113"/>
      <c r="BT39" s="62">
        <f>订货1!AU39</f>
        <v>0</v>
      </c>
      <c r="BU39" s="113"/>
      <c r="BV39" s="113"/>
      <c r="BW39" s="62">
        <f>订货1!AV39</f>
        <v>0</v>
      </c>
      <c r="BX39" s="113"/>
      <c r="BY39" s="113"/>
      <c r="BZ39" s="62">
        <f>订货1!AW39</f>
        <v>0</v>
      </c>
      <c r="CA39" s="113"/>
      <c r="CB39" s="113"/>
      <c r="CC39" s="62">
        <f>订货1!AX39</f>
        <v>0</v>
      </c>
      <c r="CD39" s="113"/>
      <c r="CE39" s="113"/>
      <c r="CF39" s="62">
        <f>订货1!AY39</f>
        <v>0</v>
      </c>
      <c r="CG39" s="113"/>
      <c r="CH39" s="113"/>
      <c r="CI39" s="62">
        <f>订货1!AZ39</f>
        <v>0</v>
      </c>
      <c r="CJ39" s="113"/>
      <c r="CK39" s="113"/>
      <c r="CL39" s="62">
        <f>订货1!BA39</f>
        <v>0</v>
      </c>
      <c r="CM39" s="113"/>
      <c r="CN39" s="113"/>
      <c r="CO39" s="62">
        <f>订货1!BB39</f>
        <v>0</v>
      </c>
      <c r="CP39" s="113"/>
      <c r="CQ39" s="113"/>
      <c r="CR39" s="62">
        <f>订货1!BC39</f>
        <v>0</v>
      </c>
      <c r="CS39" s="113"/>
      <c r="CT39" s="113"/>
      <c r="CU39" s="62">
        <f>订货1!BD39</f>
        <v>0</v>
      </c>
      <c r="CV39" s="113"/>
      <c r="CW39" s="113"/>
      <c r="CX39" s="62">
        <f>订货1!BE39</f>
        <v>0</v>
      </c>
      <c r="CY39" s="113"/>
      <c r="CZ39" s="113"/>
      <c r="DA39" s="62">
        <f>订货1!BF39</f>
        <v>0</v>
      </c>
      <c r="DB39" s="113"/>
      <c r="DC39" s="113"/>
      <c r="DD39" s="208">
        <v>0</v>
      </c>
      <c r="DE39" s="110" t="e">
        <f t="shared" si="31"/>
        <v>#DIV/0!</v>
      </c>
      <c r="DF39" s="52">
        <f t="shared" si="29"/>
        <v>0</v>
      </c>
      <c r="DG39" s="32" t="str">
        <f>订货1!$Q39</f>
        <v>袋</v>
      </c>
      <c r="DH39" s="209" t="e">
        <f t="shared" si="32"/>
        <v>#DIV/0!</v>
      </c>
    </row>
    <row r="40" spans="1:112" ht="15" customHeight="1">
      <c r="A40" s="48">
        <f>订货1!A40</f>
        <v>730008</v>
      </c>
      <c r="B40" s="44" t="str">
        <f>VLOOKUP($A40,订货1!$A40:$G281,7,0)</f>
        <v>赛沛弗科技发展（浙江）有限公司</v>
      </c>
      <c r="C40" s="44" t="str">
        <f>VLOOKUP($A40,订货1!$A40:$H281,8,0)</f>
        <v>上海盛科果蔬专业合作社</v>
      </c>
      <c r="D40" s="44" t="str">
        <f>VLOOKUP($A40,订货1!$A40:$B281,2,0)</f>
        <v>猕猴桃</v>
      </c>
      <c r="E40" s="44" t="str">
        <f>VLOOKUP($A40,订货1!$A40:$E281,5,0)</f>
        <v>0.08kg</v>
      </c>
      <c r="F40" s="49" t="str">
        <f>VLOOKUP($A40,订货1!$A40:$F281,6,0)</f>
        <v>个</v>
      </c>
      <c r="G40" s="203"/>
      <c r="H40" s="56">
        <f t="shared" si="30"/>
        <v>0</v>
      </c>
      <c r="I40" s="196"/>
      <c r="J40" s="113"/>
      <c r="K40" s="113"/>
      <c r="L40" s="196"/>
      <c r="M40" s="113"/>
      <c r="N40" s="113"/>
      <c r="O40" s="62">
        <f>订货1!AB40</f>
        <v>0</v>
      </c>
      <c r="P40" s="113"/>
      <c r="Q40" s="113"/>
      <c r="R40" s="62">
        <f>订货1!AC40</f>
        <v>0</v>
      </c>
      <c r="S40" s="113"/>
      <c r="T40" s="113"/>
      <c r="U40" s="62">
        <f>订货1!AD40</f>
        <v>0</v>
      </c>
      <c r="V40" s="113"/>
      <c r="W40" s="113"/>
      <c r="X40" s="62">
        <f>订货1!AE40</f>
        <v>0</v>
      </c>
      <c r="Y40" s="113"/>
      <c r="Z40" s="113"/>
      <c r="AA40" s="62">
        <f>订货1!AF40</f>
        <v>0</v>
      </c>
      <c r="AB40" s="113"/>
      <c r="AC40" s="113"/>
      <c r="AD40" s="62">
        <f>订货1!AG40</f>
        <v>0</v>
      </c>
      <c r="AE40" s="113"/>
      <c r="AF40" s="113"/>
      <c r="AG40" s="62">
        <f>订货1!AH40</f>
        <v>0</v>
      </c>
      <c r="AH40" s="113"/>
      <c r="AI40" s="113"/>
      <c r="AJ40" s="62">
        <f>订货1!AI40</f>
        <v>0</v>
      </c>
      <c r="AK40" s="113"/>
      <c r="AL40" s="113"/>
      <c r="AM40" s="62">
        <f>订货1!AJ40</f>
        <v>0</v>
      </c>
      <c r="AN40" s="113"/>
      <c r="AO40" s="113"/>
      <c r="AP40" s="62">
        <f>订货1!AK40</f>
        <v>0</v>
      </c>
      <c r="AQ40" s="113"/>
      <c r="AR40" s="113"/>
      <c r="AS40" s="62">
        <f>订货1!AL40</f>
        <v>0</v>
      </c>
      <c r="AT40" s="113"/>
      <c r="AU40" s="113"/>
      <c r="AV40" s="62">
        <f>订货1!AM40</f>
        <v>0</v>
      </c>
      <c r="AW40" s="113"/>
      <c r="AX40" s="113"/>
      <c r="AY40" s="62">
        <f>订货1!AN40</f>
        <v>0</v>
      </c>
      <c r="AZ40" s="113"/>
      <c r="BA40" s="113"/>
      <c r="BB40" s="62">
        <f>订货1!AO40</f>
        <v>0</v>
      </c>
      <c r="BC40" s="113"/>
      <c r="BD40" s="113"/>
      <c r="BE40" s="62">
        <f>订货1!AP40</f>
        <v>0</v>
      </c>
      <c r="BF40" s="113"/>
      <c r="BG40" s="113"/>
      <c r="BH40" s="62">
        <f>订货1!AQ40</f>
        <v>0</v>
      </c>
      <c r="BI40" s="113"/>
      <c r="BJ40" s="113"/>
      <c r="BK40" s="62">
        <f>订货1!AR40</f>
        <v>0</v>
      </c>
      <c r="BL40" s="113"/>
      <c r="BM40" s="113"/>
      <c r="BN40" s="62">
        <f>订货1!AS40</f>
        <v>0</v>
      </c>
      <c r="BO40" s="113"/>
      <c r="BP40" s="113"/>
      <c r="BQ40" s="62">
        <f>订货1!AT40</f>
        <v>0</v>
      </c>
      <c r="BR40" s="113"/>
      <c r="BS40" s="113"/>
      <c r="BT40" s="62">
        <f>订货1!AU40</f>
        <v>0</v>
      </c>
      <c r="BU40" s="113"/>
      <c r="BV40" s="113"/>
      <c r="BW40" s="62">
        <f>订货1!AV40</f>
        <v>0</v>
      </c>
      <c r="BX40" s="113"/>
      <c r="BY40" s="113"/>
      <c r="BZ40" s="62">
        <f>订货1!AW40</f>
        <v>0</v>
      </c>
      <c r="CA40" s="113"/>
      <c r="CB40" s="113"/>
      <c r="CC40" s="62">
        <f>订货1!AX40</f>
        <v>0</v>
      </c>
      <c r="CD40" s="113"/>
      <c r="CE40" s="113"/>
      <c r="CF40" s="62">
        <f>订货1!AY40</f>
        <v>0</v>
      </c>
      <c r="CG40" s="113"/>
      <c r="CH40" s="113"/>
      <c r="CI40" s="62">
        <f>订货1!AZ40</f>
        <v>0</v>
      </c>
      <c r="CJ40" s="113"/>
      <c r="CK40" s="113"/>
      <c r="CL40" s="62">
        <f>订货1!BA40</f>
        <v>0</v>
      </c>
      <c r="CM40" s="113"/>
      <c r="CN40" s="113"/>
      <c r="CO40" s="62">
        <f>订货1!BB40</f>
        <v>0</v>
      </c>
      <c r="CP40" s="113"/>
      <c r="CQ40" s="113"/>
      <c r="CR40" s="62">
        <f>订货1!BC40</f>
        <v>0</v>
      </c>
      <c r="CS40" s="113"/>
      <c r="CT40" s="113"/>
      <c r="CU40" s="62">
        <f>订货1!BD40</f>
        <v>0</v>
      </c>
      <c r="CV40" s="113"/>
      <c r="CW40" s="113"/>
      <c r="CX40" s="62">
        <f>订货1!BE40</f>
        <v>0</v>
      </c>
      <c r="CY40" s="113"/>
      <c r="CZ40" s="113"/>
      <c r="DA40" s="62">
        <f>订货1!BF40</f>
        <v>0</v>
      </c>
      <c r="DB40" s="113"/>
      <c r="DC40" s="113"/>
      <c r="DD40" s="208">
        <v>0</v>
      </c>
      <c r="DE40" s="110" t="e">
        <f t="shared" si="31"/>
        <v>#DIV/0!</v>
      </c>
      <c r="DF40" s="52">
        <f t="shared" si="29"/>
        <v>0</v>
      </c>
      <c r="DG40" s="32" t="str">
        <f>订货1!$Q40</f>
        <v>个</v>
      </c>
      <c r="DH40" s="209" t="e">
        <f t="shared" si="32"/>
        <v>#DIV/0!</v>
      </c>
    </row>
    <row r="41" spans="1:112" ht="15" customHeight="1">
      <c r="A41" s="48">
        <f>订货1!A41</f>
        <v>730009</v>
      </c>
      <c r="B41" s="44" t="str">
        <f>VLOOKUP($A41,订货1!$A41:$G282,7,0)</f>
        <v>赛沛弗科技发展（浙江）有限公司</v>
      </c>
      <c r="C41" s="44" t="str">
        <f>VLOOKUP($A41,订货1!$A41:$H282,8,0)</f>
        <v>上海亚太国际蔬菜有限公司</v>
      </c>
      <c r="D41" s="44" t="str">
        <f>VLOOKUP($A41,订货1!$A41:$B282,2,0)</f>
        <v>大蒜</v>
      </c>
      <c r="E41" s="44" t="str">
        <f>VLOOKUP($A41,订货1!$A41:$E282,5,0)</f>
        <v>0.5kg</v>
      </c>
      <c r="F41" s="49" t="str">
        <f>VLOOKUP($A41,订货1!$A41:$F282,6,0)</f>
        <v>袋</v>
      </c>
      <c r="G41" s="203"/>
      <c r="H41" s="56">
        <f t="shared" si="30"/>
        <v>0</v>
      </c>
      <c r="I41" s="196"/>
      <c r="J41" s="113"/>
      <c r="K41" s="113"/>
      <c r="L41" s="196"/>
      <c r="M41" s="113"/>
      <c r="N41" s="113"/>
      <c r="O41" s="62">
        <f>订货1!AB41</f>
        <v>0</v>
      </c>
      <c r="P41" s="113"/>
      <c r="Q41" s="113"/>
      <c r="R41" s="62">
        <f>订货1!AC41</f>
        <v>0</v>
      </c>
      <c r="S41" s="113"/>
      <c r="T41" s="113"/>
      <c r="U41" s="62">
        <f>订货1!AD41</f>
        <v>0</v>
      </c>
      <c r="V41" s="113"/>
      <c r="W41" s="113"/>
      <c r="X41" s="62">
        <f>订货1!AE41</f>
        <v>0</v>
      </c>
      <c r="Y41" s="113"/>
      <c r="Z41" s="113"/>
      <c r="AA41" s="62">
        <f>订货1!AF41</f>
        <v>0</v>
      </c>
      <c r="AB41" s="113"/>
      <c r="AC41" s="113"/>
      <c r="AD41" s="62">
        <f>订货1!AG41</f>
        <v>0</v>
      </c>
      <c r="AE41" s="113"/>
      <c r="AF41" s="113"/>
      <c r="AG41" s="62">
        <f>订货1!AH41</f>
        <v>0</v>
      </c>
      <c r="AH41" s="113"/>
      <c r="AI41" s="113"/>
      <c r="AJ41" s="62">
        <f>订货1!AI41</f>
        <v>0</v>
      </c>
      <c r="AK41" s="113"/>
      <c r="AL41" s="113"/>
      <c r="AM41" s="62">
        <f>订货1!AJ41</f>
        <v>0</v>
      </c>
      <c r="AN41" s="113"/>
      <c r="AO41" s="113"/>
      <c r="AP41" s="62">
        <f>订货1!AK41</f>
        <v>0</v>
      </c>
      <c r="AQ41" s="113"/>
      <c r="AR41" s="113"/>
      <c r="AS41" s="62">
        <f>订货1!AL41</f>
        <v>0</v>
      </c>
      <c r="AT41" s="113"/>
      <c r="AU41" s="113"/>
      <c r="AV41" s="62">
        <f>订货1!AM41</f>
        <v>0</v>
      </c>
      <c r="AW41" s="113"/>
      <c r="AX41" s="113"/>
      <c r="AY41" s="62">
        <f>订货1!AN41</f>
        <v>0</v>
      </c>
      <c r="AZ41" s="113"/>
      <c r="BA41" s="113"/>
      <c r="BB41" s="62">
        <f>订货1!AO41</f>
        <v>0</v>
      </c>
      <c r="BC41" s="113"/>
      <c r="BD41" s="113"/>
      <c r="BE41" s="62">
        <f>订货1!AP41</f>
        <v>0</v>
      </c>
      <c r="BF41" s="113"/>
      <c r="BG41" s="113"/>
      <c r="BH41" s="62">
        <f>订货1!AQ41</f>
        <v>0</v>
      </c>
      <c r="BI41" s="113"/>
      <c r="BJ41" s="113"/>
      <c r="BK41" s="62">
        <f>订货1!AR41</f>
        <v>0</v>
      </c>
      <c r="BL41" s="113"/>
      <c r="BM41" s="113"/>
      <c r="BN41" s="62">
        <f>订货1!AS41</f>
        <v>0</v>
      </c>
      <c r="BO41" s="113"/>
      <c r="BP41" s="113"/>
      <c r="BQ41" s="62">
        <f>订货1!AT41</f>
        <v>0</v>
      </c>
      <c r="BR41" s="113"/>
      <c r="BS41" s="113"/>
      <c r="BT41" s="62">
        <f>订货1!AU41</f>
        <v>0</v>
      </c>
      <c r="BU41" s="113"/>
      <c r="BV41" s="113"/>
      <c r="BW41" s="62">
        <f>订货1!AV41</f>
        <v>0</v>
      </c>
      <c r="BX41" s="113"/>
      <c r="BY41" s="113"/>
      <c r="BZ41" s="62">
        <f>订货1!AW41</f>
        <v>0</v>
      </c>
      <c r="CA41" s="113"/>
      <c r="CB41" s="113"/>
      <c r="CC41" s="62">
        <f>订货1!AX41</f>
        <v>0</v>
      </c>
      <c r="CD41" s="113"/>
      <c r="CE41" s="113"/>
      <c r="CF41" s="62">
        <f>订货1!AY41</f>
        <v>0</v>
      </c>
      <c r="CG41" s="113"/>
      <c r="CH41" s="113"/>
      <c r="CI41" s="62">
        <f>订货1!AZ41</f>
        <v>0</v>
      </c>
      <c r="CJ41" s="113"/>
      <c r="CK41" s="113"/>
      <c r="CL41" s="62">
        <f>订货1!BA41</f>
        <v>0</v>
      </c>
      <c r="CM41" s="113"/>
      <c r="CN41" s="113"/>
      <c r="CO41" s="62">
        <f>订货1!BB41</f>
        <v>0</v>
      </c>
      <c r="CP41" s="113"/>
      <c r="CQ41" s="113"/>
      <c r="CR41" s="62">
        <f>订货1!BC41</f>
        <v>0</v>
      </c>
      <c r="CS41" s="113"/>
      <c r="CT41" s="113"/>
      <c r="CU41" s="62">
        <f>订货1!BD41</f>
        <v>0</v>
      </c>
      <c r="CV41" s="113"/>
      <c r="CW41" s="113"/>
      <c r="CX41" s="62">
        <f>订货1!BE41</f>
        <v>0</v>
      </c>
      <c r="CY41" s="113"/>
      <c r="CZ41" s="113"/>
      <c r="DA41" s="62">
        <f>订货1!BF41</f>
        <v>0</v>
      </c>
      <c r="DB41" s="113"/>
      <c r="DC41" s="113"/>
      <c r="DD41" s="208">
        <v>0</v>
      </c>
      <c r="DE41" s="110" t="e">
        <f t="shared" si="31"/>
        <v>#DIV/0!</v>
      </c>
      <c r="DF41" s="52">
        <f t="shared" si="29"/>
        <v>0</v>
      </c>
      <c r="DG41" s="32" t="str">
        <f>订货1!$Q41</f>
        <v>袋</v>
      </c>
      <c r="DH41" s="209" t="e">
        <f t="shared" si="32"/>
        <v>#DIV/0!</v>
      </c>
    </row>
    <row r="42" spans="1:112" ht="15" customHeight="1">
      <c r="A42" s="48">
        <f>订货1!A42</f>
        <v>730010</v>
      </c>
      <c r="B42" s="44" t="str">
        <f>VLOOKUP($A42,订货1!$A42:$G283,7,0)</f>
        <v>赛沛弗科技发展（浙江）有限公司</v>
      </c>
      <c r="C42" s="44" t="str">
        <f>VLOOKUP($A42,订货1!$A42:$H283,8,0)</f>
        <v>上海亚太国际蔬菜有限公司</v>
      </c>
      <c r="D42" s="44" t="str">
        <f>VLOOKUP($A42,订货1!$A42:$B283,2,0)</f>
        <v>番茄</v>
      </c>
      <c r="E42" s="44" t="str">
        <f>VLOOKUP($A42,订货1!$A42:$E283,5,0)</f>
        <v>0.5kg</v>
      </c>
      <c r="F42" s="49" t="str">
        <f>VLOOKUP($A42,订货1!$A42:$F283,6,0)</f>
        <v>袋</v>
      </c>
      <c r="G42" s="203"/>
      <c r="H42" s="56">
        <f t="shared" si="30"/>
        <v>0</v>
      </c>
      <c r="I42" s="196"/>
      <c r="J42" s="113"/>
      <c r="K42" s="113"/>
      <c r="L42" s="196"/>
      <c r="M42" s="113"/>
      <c r="N42" s="113"/>
      <c r="O42" s="62">
        <f>订货1!AB42</f>
        <v>0</v>
      </c>
      <c r="P42" s="113"/>
      <c r="Q42" s="113"/>
      <c r="R42" s="62">
        <f>订货1!AC42</f>
        <v>0</v>
      </c>
      <c r="S42" s="113"/>
      <c r="T42" s="113"/>
      <c r="U42" s="62">
        <f>订货1!AD42</f>
        <v>0</v>
      </c>
      <c r="V42" s="113"/>
      <c r="W42" s="113"/>
      <c r="X42" s="62">
        <f>订货1!AE42</f>
        <v>0</v>
      </c>
      <c r="Y42" s="113"/>
      <c r="Z42" s="113"/>
      <c r="AA42" s="62">
        <f>订货1!AF42</f>
        <v>0</v>
      </c>
      <c r="AB42" s="113"/>
      <c r="AC42" s="113"/>
      <c r="AD42" s="62">
        <f>订货1!AG42</f>
        <v>0</v>
      </c>
      <c r="AE42" s="113"/>
      <c r="AF42" s="113"/>
      <c r="AG42" s="62">
        <f>订货1!AH42</f>
        <v>0</v>
      </c>
      <c r="AH42" s="113"/>
      <c r="AI42" s="113"/>
      <c r="AJ42" s="62">
        <f>订货1!AI42</f>
        <v>0</v>
      </c>
      <c r="AK42" s="113"/>
      <c r="AL42" s="113"/>
      <c r="AM42" s="62">
        <f>订货1!AJ42</f>
        <v>0</v>
      </c>
      <c r="AN42" s="113"/>
      <c r="AO42" s="113"/>
      <c r="AP42" s="62">
        <f>订货1!AK42</f>
        <v>0</v>
      </c>
      <c r="AQ42" s="113"/>
      <c r="AR42" s="113"/>
      <c r="AS42" s="62">
        <f>订货1!AL42</f>
        <v>0</v>
      </c>
      <c r="AT42" s="113"/>
      <c r="AU42" s="113"/>
      <c r="AV42" s="62">
        <f>订货1!AM42</f>
        <v>0</v>
      </c>
      <c r="AW42" s="113"/>
      <c r="AX42" s="113"/>
      <c r="AY42" s="62">
        <f>订货1!AN42</f>
        <v>0</v>
      </c>
      <c r="AZ42" s="113"/>
      <c r="BA42" s="113"/>
      <c r="BB42" s="62">
        <f>订货1!AO42</f>
        <v>0</v>
      </c>
      <c r="BC42" s="113"/>
      <c r="BD42" s="113"/>
      <c r="BE42" s="62">
        <f>订货1!AP42</f>
        <v>0</v>
      </c>
      <c r="BF42" s="113"/>
      <c r="BG42" s="113"/>
      <c r="BH42" s="62">
        <f>订货1!AQ42</f>
        <v>0</v>
      </c>
      <c r="BI42" s="113"/>
      <c r="BJ42" s="113"/>
      <c r="BK42" s="62">
        <f>订货1!AR42</f>
        <v>0</v>
      </c>
      <c r="BL42" s="113"/>
      <c r="BM42" s="113"/>
      <c r="BN42" s="62">
        <f>订货1!AS42</f>
        <v>0</v>
      </c>
      <c r="BO42" s="113"/>
      <c r="BP42" s="113"/>
      <c r="BQ42" s="62">
        <f>订货1!AT42</f>
        <v>0</v>
      </c>
      <c r="BR42" s="113"/>
      <c r="BS42" s="113"/>
      <c r="BT42" s="62">
        <f>订货1!AU42</f>
        <v>0</v>
      </c>
      <c r="BU42" s="113"/>
      <c r="BV42" s="113"/>
      <c r="BW42" s="62">
        <f>订货1!AV42</f>
        <v>0</v>
      </c>
      <c r="BX42" s="113"/>
      <c r="BY42" s="113"/>
      <c r="BZ42" s="62">
        <f>订货1!AW42</f>
        <v>0</v>
      </c>
      <c r="CA42" s="113"/>
      <c r="CB42" s="113"/>
      <c r="CC42" s="62">
        <f>订货1!AX42</f>
        <v>0</v>
      </c>
      <c r="CD42" s="113"/>
      <c r="CE42" s="113"/>
      <c r="CF42" s="62">
        <f>订货1!AY42</f>
        <v>0</v>
      </c>
      <c r="CG42" s="113"/>
      <c r="CH42" s="113"/>
      <c r="CI42" s="62">
        <f>订货1!AZ42</f>
        <v>0</v>
      </c>
      <c r="CJ42" s="113"/>
      <c r="CK42" s="113"/>
      <c r="CL42" s="62">
        <f>订货1!BA42</f>
        <v>0</v>
      </c>
      <c r="CM42" s="113"/>
      <c r="CN42" s="113"/>
      <c r="CO42" s="62">
        <f>订货1!BB42</f>
        <v>0</v>
      </c>
      <c r="CP42" s="113"/>
      <c r="CQ42" s="113"/>
      <c r="CR42" s="62">
        <f>订货1!BC42</f>
        <v>0</v>
      </c>
      <c r="CS42" s="113"/>
      <c r="CT42" s="113"/>
      <c r="CU42" s="62">
        <f>订货1!BD42</f>
        <v>0</v>
      </c>
      <c r="CV42" s="113"/>
      <c r="CW42" s="113"/>
      <c r="CX42" s="62">
        <f>订货1!BE42</f>
        <v>0</v>
      </c>
      <c r="CY42" s="113"/>
      <c r="CZ42" s="113"/>
      <c r="DA42" s="62">
        <f>订货1!BF42</f>
        <v>0</v>
      </c>
      <c r="DB42" s="113"/>
      <c r="DC42" s="113"/>
      <c r="DD42" s="208">
        <v>0</v>
      </c>
      <c r="DE42" s="110" t="e">
        <f t="shared" si="31"/>
        <v>#DIV/0!</v>
      </c>
      <c r="DF42" s="52">
        <f t="shared" si="29"/>
        <v>0</v>
      </c>
      <c r="DG42" s="32" t="str">
        <f>订货1!$Q42</f>
        <v>袋</v>
      </c>
      <c r="DH42" s="209" t="e">
        <f t="shared" si="32"/>
        <v>#DIV/0!</v>
      </c>
    </row>
    <row r="43" spans="1:112" ht="15" customHeight="1">
      <c r="A43" s="48">
        <f>订货1!A43</f>
        <v>730011</v>
      </c>
      <c r="B43" s="44" t="str">
        <f>VLOOKUP($A43,订货1!$A43:$G284,7,0)</f>
        <v>赛沛弗科技发展（浙江）有限公司</v>
      </c>
      <c r="C43" s="44" t="str">
        <f>VLOOKUP($A43,订货1!$A43:$H284,8,0)</f>
        <v>上海亚太国际蔬菜有限公司</v>
      </c>
      <c r="D43" s="44" t="str">
        <f>VLOOKUP($A43,订货1!$A43:$B284,2,0)</f>
        <v>芝麻菜</v>
      </c>
      <c r="E43" s="44" t="str">
        <f>VLOOKUP($A43,订货1!$A43:$E284,5,0)</f>
        <v>0.2kg</v>
      </c>
      <c r="F43" s="49" t="str">
        <f>VLOOKUP($A43,订货1!$A43:$F284,6,0)</f>
        <v>袋</v>
      </c>
      <c r="G43" s="203"/>
      <c r="H43" s="56">
        <f t="shared" si="30"/>
        <v>0</v>
      </c>
      <c r="I43" s="196"/>
      <c r="J43" s="113"/>
      <c r="K43" s="113"/>
      <c r="L43" s="196"/>
      <c r="M43" s="113"/>
      <c r="N43" s="113"/>
      <c r="O43" s="62">
        <f>订货1!AB43</f>
        <v>0</v>
      </c>
      <c r="P43" s="113"/>
      <c r="Q43" s="113"/>
      <c r="R43" s="62">
        <f>订货1!AC43</f>
        <v>0</v>
      </c>
      <c r="S43" s="113"/>
      <c r="T43" s="113"/>
      <c r="U43" s="62">
        <f>订货1!AD43</f>
        <v>0</v>
      </c>
      <c r="V43" s="113"/>
      <c r="W43" s="113"/>
      <c r="X43" s="62">
        <f>订货1!AE43</f>
        <v>0</v>
      </c>
      <c r="Y43" s="113"/>
      <c r="Z43" s="113"/>
      <c r="AA43" s="62">
        <f>订货1!AF43</f>
        <v>0</v>
      </c>
      <c r="AB43" s="113"/>
      <c r="AC43" s="113"/>
      <c r="AD43" s="62">
        <f>订货1!AG43</f>
        <v>0</v>
      </c>
      <c r="AE43" s="113"/>
      <c r="AF43" s="113"/>
      <c r="AG43" s="62">
        <f>订货1!AH43</f>
        <v>0</v>
      </c>
      <c r="AH43" s="113"/>
      <c r="AI43" s="113"/>
      <c r="AJ43" s="62">
        <f>订货1!AI43</f>
        <v>0</v>
      </c>
      <c r="AK43" s="113"/>
      <c r="AL43" s="113"/>
      <c r="AM43" s="62">
        <f>订货1!AJ43</f>
        <v>0</v>
      </c>
      <c r="AN43" s="113"/>
      <c r="AO43" s="113"/>
      <c r="AP43" s="62">
        <f>订货1!AK43</f>
        <v>0</v>
      </c>
      <c r="AQ43" s="113"/>
      <c r="AR43" s="113"/>
      <c r="AS43" s="62">
        <f>订货1!AL43</f>
        <v>0</v>
      </c>
      <c r="AT43" s="113"/>
      <c r="AU43" s="113"/>
      <c r="AV43" s="62">
        <f>订货1!AM43</f>
        <v>0</v>
      </c>
      <c r="AW43" s="113"/>
      <c r="AX43" s="113"/>
      <c r="AY43" s="62">
        <f>订货1!AN43</f>
        <v>0</v>
      </c>
      <c r="AZ43" s="113"/>
      <c r="BA43" s="113"/>
      <c r="BB43" s="62">
        <f>订货1!AO43</f>
        <v>0</v>
      </c>
      <c r="BC43" s="113"/>
      <c r="BD43" s="113"/>
      <c r="BE43" s="62">
        <f>订货1!AP43</f>
        <v>0</v>
      </c>
      <c r="BF43" s="113"/>
      <c r="BG43" s="113"/>
      <c r="BH43" s="62">
        <f>订货1!AQ43</f>
        <v>0</v>
      </c>
      <c r="BI43" s="113"/>
      <c r="BJ43" s="113"/>
      <c r="BK43" s="62">
        <f>订货1!AR43</f>
        <v>0</v>
      </c>
      <c r="BL43" s="113"/>
      <c r="BM43" s="113"/>
      <c r="BN43" s="62">
        <f>订货1!AS43</f>
        <v>0</v>
      </c>
      <c r="BO43" s="113"/>
      <c r="BP43" s="113"/>
      <c r="BQ43" s="62">
        <f>订货1!AT43</f>
        <v>0</v>
      </c>
      <c r="BR43" s="113"/>
      <c r="BS43" s="113"/>
      <c r="BT43" s="62">
        <f>订货1!AU43</f>
        <v>0</v>
      </c>
      <c r="BU43" s="113"/>
      <c r="BV43" s="113"/>
      <c r="BW43" s="62">
        <f>订货1!AV43</f>
        <v>0</v>
      </c>
      <c r="BX43" s="113"/>
      <c r="BY43" s="113"/>
      <c r="BZ43" s="62">
        <f>订货1!AW43</f>
        <v>0</v>
      </c>
      <c r="CA43" s="113"/>
      <c r="CB43" s="113"/>
      <c r="CC43" s="62">
        <f>订货1!AX43</f>
        <v>0</v>
      </c>
      <c r="CD43" s="113"/>
      <c r="CE43" s="113"/>
      <c r="CF43" s="62">
        <f>订货1!AY43</f>
        <v>0</v>
      </c>
      <c r="CG43" s="113"/>
      <c r="CH43" s="113"/>
      <c r="CI43" s="62">
        <f>订货1!AZ43</f>
        <v>0</v>
      </c>
      <c r="CJ43" s="113"/>
      <c r="CK43" s="113"/>
      <c r="CL43" s="62">
        <f>订货1!BA43</f>
        <v>0</v>
      </c>
      <c r="CM43" s="113"/>
      <c r="CN43" s="113"/>
      <c r="CO43" s="62">
        <f>订货1!BB43</f>
        <v>0</v>
      </c>
      <c r="CP43" s="113"/>
      <c r="CQ43" s="113"/>
      <c r="CR43" s="62">
        <f>订货1!BC43</f>
        <v>0</v>
      </c>
      <c r="CS43" s="113"/>
      <c r="CT43" s="113"/>
      <c r="CU43" s="62">
        <f>订货1!BD43</f>
        <v>0</v>
      </c>
      <c r="CV43" s="113"/>
      <c r="CW43" s="113"/>
      <c r="CX43" s="62">
        <f>订货1!BE43</f>
        <v>0</v>
      </c>
      <c r="CY43" s="113"/>
      <c r="CZ43" s="113"/>
      <c r="DA43" s="62">
        <f>订货1!BF43</f>
        <v>0</v>
      </c>
      <c r="DB43" s="113"/>
      <c r="DC43" s="113"/>
      <c r="DD43" s="208">
        <v>0</v>
      </c>
      <c r="DE43" s="110" t="e">
        <f t="shared" si="31"/>
        <v>#DIV/0!</v>
      </c>
      <c r="DF43" s="52">
        <f t="shared" si="29"/>
        <v>0</v>
      </c>
      <c r="DG43" s="32" t="str">
        <f>订货1!$Q43</f>
        <v>袋</v>
      </c>
      <c r="DH43" s="209" t="e">
        <f t="shared" si="32"/>
        <v>#DIV/0!</v>
      </c>
    </row>
    <row r="44" spans="1:112" ht="15" customHeight="1">
      <c r="A44" s="48">
        <f>订货1!A44</f>
        <v>730012</v>
      </c>
      <c r="B44" s="44" t="str">
        <f>VLOOKUP($A44,订货1!$A44:$G285,7,0)</f>
        <v>赛沛弗科技发展（浙江）有限公司</v>
      </c>
      <c r="C44" s="44" t="str">
        <f>VLOOKUP($A44,订货1!$A44:$H285,8,0)</f>
        <v>上海亚太国际蔬菜有限公司</v>
      </c>
      <c r="D44" s="44" t="str">
        <f>VLOOKUP($A44,订货1!$A44:$B285,2,0)</f>
        <v>柠檬</v>
      </c>
      <c r="E44" s="44" t="str">
        <f>VLOOKUP($A44,订货1!$A44:$E285,5,0)</f>
        <v>0.08kg</v>
      </c>
      <c r="F44" s="49" t="str">
        <f>VLOOKUP($A44,订货1!$A44:$F285,6,0)</f>
        <v>袋</v>
      </c>
      <c r="G44" s="203"/>
      <c r="H44" s="56">
        <f t="shared" si="30"/>
        <v>0</v>
      </c>
      <c r="I44" s="196"/>
      <c r="J44" s="113"/>
      <c r="K44" s="113"/>
      <c r="L44" s="196"/>
      <c r="M44" s="113"/>
      <c r="N44" s="113"/>
      <c r="O44" s="62">
        <f>订货1!AB44</f>
        <v>0</v>
      </c>
      <c r="P44" s="113"/>
      <c r="Q44" s="113"/>
      <c r="R44" s="62">
        <f>订货1!AC44</f>
        <v>0</v>
      </c>
      <c r="S44" s="113"/>
      <c r="T44" s="113"/>
      <c r="U44" s="62">
        <f>订货1!AD44</f>
        <v>0</v>
      </c>
      <c r="V44" s="113"/>
      <c r="W44" s="113"/>
      <c r="X44" s="62">
        <f>订货1!AE44</f>
        <v>0</v>
      </c>
      <c r="Y44" s="113"/>
      <c r="Z44" s="113"/>
      <c r="AA44" s="62">
        <f>订货1!AF44</f>
        <v>0</v>
      </c>
      <c r="AB44" s="113"/>
      <c r="AC44" s="113"/>
      <c r="AD44" s="62">
        <f>订货1!AG44</f>
        <v>0</v>
      </c>
      <c r="AE44" s="113"/>
      <c r="AF44" s="113"/>
      <c r="AG44" s="62">
        <f>订货1!AH44</f>
        <v>0</v>
      </c>
      <c r="AH44" s="113"/>
      <c r="AI44" s="113"/>
      <c r="AJ44" s="62">
        <f>订货1!AI44</f>
        <v>0</v>
      </c>
      <c r="AK44" s="113"/>
      <c r="AL44" s="113"/>
      <c r="AM44" s="62">
        <f>订货1!AJ44</f>
        <v>0</v>
      </c>
      <c r="AN44" s="113"/>
      <c r="AO44" s="113"/>
      <c r="AP44" s="62">
        <f>订货1!AK44</f>
        <v>0</v>
      </c>
      <c r="AQ44" s="113"/>
      <c r="AR44" s="113"/>
      <c r="AS44" s="62">
        <f>订货1!AL44</f>
        <v>0</v>
      </c>
      <c r="AT44" s="113"/>
      <c r="AU44" s="113"/>
      <c r="AV44" s="62">
        <f>订货1!AM44</f>
        <v>0</v>
      </c>
      <c r="AW44" s="113"/>
      <c r="AX44" s="113"/>
      <c r="AY44" s="62">
        <f>订货1!AN44</f>
        <v>0</v>
      </c>
      <c r="AZ44" s="113"/>
      <c r="BA44" s="113"/>
      <c r="BB44" s="62">
        <f>订货1!AO44</f>
        <v>0</v>
      </c>
      <c r="BC44" s="113"/>
      <c r="BD44" s="113"/>
      <c r="BE44" s="62">
        <f>订货1!AP44</f>
        <v>0</v>
      </c>
      <c r="BF44" s="113"/>
      <c r="BG44" s="113"/>
      <c r="BH44" s="62">
        <f>订货1!AQ44</f>
        <v>0</v>
      </c>
      <c r="BI44" s="113"/>
      <c r="BJ44" s="113"/>
      <c r="BK44" s="62">
        <f>订货1!AR44</f>
        <v>0</v>
      </c>
      <c r="BL44" s="113"/>
      <c r="BM44" s="113"/>
      <c r="BN44" s="62">
        <f>订货1!AS44</f>
        <v>0</v>
      </c>
      <c r="BO44" s="113"/>
      <c r="BP44" s="113"/>
      <c r="BQ44" s="62">
        <f>订货1!AT44</f>
        <v>0</v>
      </c>
      <c r="BR44" s="113"/>
      <c r="BS44" s="113"/>
      <c r="BT44" s="62">
        <f>订货1!AU44</f>
        <v>0</v>
      </c>
      <c r="BU44" s="113"/>
      <c r="BV44" s="113"/>
      <c r="BW44" s="62">
        <f>订货1!AV44</f>
        <v>0</v>
      </c>
      <c r="BX44" s="113"/>
      <c r="BY44" s="113"/>
      <c r="BZ44" s="62">
        <f>订货1!AW44</f>
        <v>0</v>
      </c>
      <c r="CA44" s="113"/>
      <c r="CB44" s="113"/>
      <c r="CC44" s="62">
        <f>订货1!AX44</f>
        <v>0</v>
      </c>
      <c r="CD44" s="113"/>
      <c r="CE44" s="113"/>
      <c r="CF44" s="62">
        <f>订货1!AY44</f>
        <v>0</v>
      </c>
      <c r="CG44" s="113"/>
      <c r="CH44" s="113"/>
      <c r="CI44" s="62">
        <f>订货1!AZ44</f>
        <v>0</v>
      </c>
      <c r="CJ44" s="113"/>
      <c r="CK44" s="113"/>
      <c r="CL44" s="62">
        <f>订货1!BA44</f>
        <v>0</v>
      </c>
      <c r="CM44" s="113"/>
      <c r="CN44" s="113"/>
      <c r="CO44" s="62">
        <f>订货1!BB44</f>
        <v>0</v>
      </c>
      <c r="CP44" s="113"/>
      <c r="CQ44" s="113"/>
      <c r="CR44" s="62">
        <f>订货1!BC44</f>
        <v>0</v>
      </c>
      <c r="CS44" s="113"/>
      <c r="CT44" s="113"/>
      <c r="CU44" s="62">
        <f>订货1!BD44</f>
        <v>0</v>
      </c>
      <c r="CV44" s="113"/>
      <c r="CW44" s="113"/>
      <c r="CX44" s="62">
        <f>订货1!BE44</f>
        <v>0</v>
      </c>
      <c r="CY44" s="113"/>
      <c r="CZ44" s="113"/>
      <c r="DA44" s="62">
        <f>订货1!BF44</f>
        <v>0</v>
      </c>
      <c r="DB44" s="113"/>
      <c r="DC44" s="113"/>
      <c r="DD44" s="208">
        <v>0</v>
      </c>
      <c r="DE44" s="110" t="e">
        <f t="shared" si="31"/>
        <v>#DIV/0!</v>
      </c>
      <c r="DF44" s="52">
        <f t="shared" si="29"/>
        <v>0</v>
      </c>
      <c r="DG44" s="32" t="str">
        <f>订货1!$Q44</f>
        <v>袋</v>
      </c>
      <c r="DH44" s="209" t="e">
        <f t="shared" si="32"/>
        <v>#DIV/0!</v>
      </c>
    </row>
    <row r="45" spans="1:112" ht="15" customHeight="1">
      <c r="A45" s="48">
        <f>订货1!A45</f>
        <v>730013</v>
      </c>
      <c r="B45" s="44" t="str">
        <f>VLOOKUP($A45,订货1!$A45:$G286,7,0)</f>
        <v>赛沛弗科技发展（浙江）有限公司</v>
      </c>
      <c r="C45" s="44" t="str">
        <f>VLOOKUP($A45,订货1!$A45:$H286,8,0)</f>
        <v>上海盛科果蔬专业合作社</v>
      </c>
      <c r="D45" s="44" t="str">
        <f>VLOOKUP($A45,订货1!$A45:$B286,2,0)</f>
        <v>火龙果</v>
      </c>
      <c r="E45" s="44" t="str">
        <f>VLOOKUP($A45,订货1!$A45:$E286,5,0)</f>
        <v>0.6kg</v>
      </c>
      <c r="F45" s="49" t="str">
        <f>VLOOKUP($A45,订货1!$A45:$F286,6,0)</f>
        <v>个</v>
      </c>
      <c r="G45" s="203"/>
      <c r="H45" s="56">
        <f t="shared" si="30"/>
        <v>0</v>
      </c>
      <c r="I45" s="196"/>
      <c r="J45" s="113"/>
      <c r="K45" s="113"/>
      <c r="L45" s="196"/>
      <c r="M45" s="113"/>
      <c r="N45" s="113"/>
      <c r="O45" s="62">
        <f>订货1!AB45</f>
        <v>0</v>
      </c>
      <c r="P45" s="113"/>
      <c r="Q45" s="113"/>
      <c r="R45" s="62">
        <f>订货1!AC45</f>
        <v>0</v>
      </c>
      <c r="S45" s="113"/>
      <c r="T45" s="113"/>
      <c r="U45" s="62">
        <f>订货1!AD45</f>
        <v>0</v>
      </c>
      <c r="V45" s="113"/>
      <c r="W45" s="113"/>
      <c r="X45" s="62">
        <f>订货1!AE45</f>
        <v>0</v>
      </c>
      <c r="Y45" s="113"/>
      <c r="Z45" s="113"/>
      <c r="AA45" s="62">
        <f>订货1!AF45</f>
        <v>0</v>
      </c>
      <c r="AB45" s="113"/>
      <c r="AC45" s="113"/>
      <c r="AD45" s="62">
        <f>订货1!AG45</f>
        <v>0</v>
      </c>
      <c r="AE45" s="113"/>
      <c r="AF45" s="113"/>
      <c r="AG45" s="62">
        <f>订货1!AH45</f>
        <v>0</v>
      </c>
      <c r="AH45" s="113"/>
      <c r="AI45" s="113"/>
      <c r="AJ45" s="62">
        <f>订货1!AI45</f>
        <v>0</v>
      </c>
      <c r="AK45" s="113"/>
      <c r="AL45" s="113"/>
      <c r="AM45" s="62">
        <f>订货1!AJ45</f>
        <v>0</v>
      </c>
      <c r="AN45" s="113"/>
      <c r="AO45" s="113"/>
      <c r="AP45" s="62">
        <f>订货1!AK45</f>
        <v>0</v>
      </c>
      <c r="AQ45" s="113"/>
      <c r="AR45" s="113"/>
      <c r="AS45" s="62">
        <f>订货1!AL45</f>
        <v>0</v>
      </c>
      <c r="AT45" s="113"/>
      <c r="AU45" s="113"/>
      <c r="AV45" s="62">
        <f>订货1!AM45</f>
        <v>0</v>
      </c>
      <c r="AW45" s="113"/>
      <c r="AX45" s="113"/>
      <c r="AY45" s="62">
        <f>订货1!AN45</f>
        <v>0</v>
      </c>
      <c r="AZ45" s="113"/>
      <c r="BA45" s="113"/>
      <c r="BB45" s="62">
        <f>订货1!AO45</f>
        <v>0</v>
      </c>
      <c r="BC45" s="113"/>
      <c r="BD45" s="113"/>
      <c r="BE45" s="62">
        <f>订货1!AP45</f>
        <v>0</v>
      </c>
      <c r="BF45" s="113"/>
      <c r="BG45" s="113"/>
      <c r="BH45" s="62">
        <f>订货1!AQ45</f>
        <v>0</v>
      </c>
      <c r="BI45" s="113"/>
      <c r="BJ45" s="113"/>
      <c r="BK45" s="62">
        <f>订货1!AR45</f>
        <v>0</v>
      </c>
      <c r="BL45" s="113"/>
      <c r="BM45" s="113"/>
      <c r="BN45" s="62">
        <f>订货1!AS45</f>
        <v>0</v>
      </c>
      <c r="BO45" s="113"/>
      <c r="BP45" s="113"/>
      <c r="BQ45" s="62">
        <f>订货1!AT45</f>
        <v>0</v>
      </c>
      <c r="BR45" s="113"/>
      <c r="BS45" s="113"/>
      <c r="BT45" s="62">
        <f>订货1!AU45</f>
        <v>0</v>
      </c>
      <c r="BU45" s="113"/>
      <c r="BV45" s="113"/>
      <c r="BW45" s="62">
        <f>订货1!AV45</f>
        <v>0</v>
      </c>
      <c r="BX45" s="113"/>
      <c r="BY45" s="113"/>
      <c r="BZ45" s="62">
        <f>订货1!AW45</f>
        <v>0</v>
      </c>
      <c r="CA45" s="113"/>
      <c r="CB45" s="113"/>
      <c r="CC45" s="62">
        <f>订货1!AX45</f>
        <v>0</v>
      </c>
      <c r="CD45" s="113"/>
      <c r="CE45" s="113"/>
      <c r="CF45" s="62">
        <f>订货1!AY45</f>
        <v>0</v>
      </c>
      <c r="CG45" s="113"/>
      <c r="CH45" s="113"/>
      <c r="CI45" s="62">
        <f>订货1!AZ45</f>
        <v>0</v>
      </c>
      <c r="CJ45" s="113"/>
      <c r="CK45" s="113"/>
      <c r="CL45" s="62">
        <f>订货1!BA45</f>
        <v>0</v>
      </c>
      <c r="CM45" s="113"/>
      <c r="CN45" s="113"/>
      <c r="CO45" s="62">
        <f>订货1!BB45</f>
        <v>0</v>
      </c>
      <c r="CP45" s="113"/>
      <c r="CQ45" s="113"/>
      <c r="CR45" s="62">
        <f>订货1!BC45</f>
        <v>0</v>
      </c>
      <c r="CS45" s="113"/>
      <c r="CT45" s="113"/>
      <c r="CU45" s="62">
        <f>订货1!BD45</f>
        <v>0</v>
      </c>
      <c r="CV45" s="113"/>
      <c r="CW45" s="113"/>
      <c r="CX45" s="62">
        <f>订货1!BE45</f>
        <v>0</v>
      </c>
      <c r="CY45" s="113"/>
      <c r="CZ45" s="113"/>
      <c r="DA45" s="62">
        <f>订货1!BF45</f>
        <v>0</v>
      </c>
      <c r="DB45" s="113"/>
      <c r="DC45" s="113"/>
      <c r="DD45" s="208">
        <v>0</v>
      </c>
      <c r="DE45" s="110" t="e">
        <f t="shared" si="31"/>
        <v>#DIV/0!</v>
      </c>
      <c r="DF45" s="52">
        <f t="shared" si="29"/>
        <v>0</v>
      </c>
      <c r="DG45" s="32" t="str">
        <f>订货1!$Q45</f>
        <v>个</v>
      </c>
      <c r="DH45" s="209" t="e">
        <f t="shared" si="32"/>
        <v>#DIV/0!</v>
      </c>
    </row>
    <row r="46" spans="1:112" ht="15" customHeight="1">
      <c r="A46" s="48">
        <f>订货1!A46</f>
        <v>730014</v>
      </c>
      <c r="B46" s="44" t="str">
        <f>VLOOKUP($A46,订货1!$A46:$G287,7,0)</f>
        <v>赛沛弗科技发展（浙江）有限公司</v>
      </c>
      <c r="C46" s="44" t="str">
        <f>VLOOKUP($A46,订货1!$A46:$H287,8,0)</f>
        <v>上海亚太国际蔬菜有限公司</v>
      </c>
      <c r="D46" s="44" t="str">
        <f>VLOOKUP($A46,订货1!$A46:$B287,2,0)</f>
        <v>牛肚配菜(实验店铺用）</v>
      </c>
      <c r="E46" s="44" t="str">
        <f>VLOOKUP($A46,订货1!$A46:$E287,5,0)</f>
        <v>0.1kg</v>
      </c>
      <c r="F46" s="49" t="str">
        <f>VLOOKUP($A46,订货1!$A46:$F287,6,0)</f>
        <v>袋</v>
      </c>
      <c r="G46" s="203"/>
      <c r="H46" s="56">
        <f t="shared" si="30"/>
        <v>0</v>
      </c>
      <c r="I46" s="196"/>
      <c r="J46" s="113"/>
      <c r="K46" s="113"/>
      <c r="L46" s="196"/>
      <c r="M46" s="113"/>
      <c r="N46" s="113"/>
      <c r="O46" s="62">
        <f>订货1!AB46</f>
        <v>0</v>
      </c>
      <c r="P46" s="113"/>
      <c r="Q46" s="113"/>
      <c r="R46" s="62">
        <f>订货1!AC46</f>
        <v>0</v>
      </c>
      <c r="S46" s="113"/>
      <c r="T46" s="113"/>
      <c r="U46" s="62">
        <f>订货1!AD46</f>
        <v>0</v>
      </c>
      <c r="V46" s="113"/>
      <c r="W46" s="113"/>
      <c r="X46" s="62">
        <f>订货1!AE46</f>
        <v>0</v>
      </c>
      <c r="Y46" s="113"/>
      <c r="Z46" s="113"/>
      <c r="AA46" s="62">
        <f>订货1!AF46</f>
        <v>0</v>
      </c>
      <c r="AB46" s="113"/>
      <c r="AC46" s="113"/>
      <c r="AD46" s="62">
        <f>订货1!AG46</f>
        <v>0</v>
      </c>
      <c r="AE46" s="113"/>
      <c r="AF46" s="113"/>
      <c r="AG46" s="62">
        <f>订货1!AH46</f>
        <v>0</v>
      </c>
      <c r="AH46" s="113"/>
      <c r="AI46" s="113"/>
      <c r="AJ46" s="62">
        <f>订货1!AI46</f>
        <v>0</v>
      </c>
      <c r="AK46" s="113"/>
      <c r="AL46" s="113"/>
      <c r="AM46" s="62">
        <f>订货1!AJ46</f>
        <v>0</v>
      </c>
      <c r="AN46" s="113"/>
      <c r="AO46" s="113"/>
      <c r="AP46" s="62">
        <f>订货1!AK46</f>
        <v>0</v>
      </c>
      <c r="AQ46" s="113"/>
      <c r="AR46" s="113"/>
      <c r="AS46" s="62">
        <f>订货1!AL46</f>
        <v>0</v>
      </c>
      <c r="AT46" s="113"/>
      <c r="AU46" s="113"/>
      <c r="AV46" s="62">
        <f>订货1!AM46</f>
        <v>0</v>
      </c>
      <c r="AW46" s="113"/>
      <c r="AX46" s="113"/>
      <c r="AY46" s="62">
        <f>订货1!AN46</f>
        <v>0</v>
      </c>
      <c r="AZ46" s="113"/>
      <c r="BA46" s="113"/>
      <c r="BB46" s="62">
        <f>订货1!AO46</f>
        <v>0</v>
      </c>
      <c r="BC46" s="113"/>
      <c r="BD46" s="113"/>
      <c r="BE46" s="62">
        <f>订货1!AP46</f>
        <v>0</v>
      </c>
      <c r="BF46" s="113"/>
      <c r="BG46" s="113"/>
      <c r="BH46" s="62">
        <f>订货1!AQ46</f>
        <v>0</v>
      </c>
      <c r="BI46" s="113"/>
      <c r="BJ46" s="113"/>
      <c r="BK46" s="62">
        <f>订货1!AR46</f>
        <v>0</v>
      </c>
      <c r="BL46" s="113"/>
      <c r="BM46" s="113"/>
      <c r="BN46" s="62">
        <f>订货1!AS46</f>
        <v>0</v>
      </c>
      <c r="BO46" s="113"/>
      <c r="BP46" s="113"/>
      <c r="BQ46" s="62">
        <f>订货1!AT46</f>
        <v>0</v>
      </c>
      <c r="BR46" s="113"/>
      <c r="BS46" s="113"/>
      <c r="BT46" s="62">
        <f>订货1!AU46</f>
        <v>0</v>
      </c>
      <c r="BU46" s="113"/>
      <c r="BV46" s="113"/>
      <c r="BW46" s="62">
        <f>订货1!AV46</f>
        <v>0</v>
      </c>
      <c r="BX46" s="113"/>
      <c r="BY46" s="113"/>
      <c r="BZ46" s="62">
        <f>订货1!AW46</f>
        <v>0</v>
      </c>
      <c r="CA46" s="113"/>
      <c r="CB46" s="113"/>
      <c r="CC46" s="62">
        <f>订货1!AX46</f>
        <v>0</v>
      </c>
      <c r="CD46" s="113"/>
      <c r="CE46" s="113"/>
      <c r="CF46" s="62">
        <f>订货1!AY46</f>
        <v>0</v>
      </c>
      <c r="CG46" s="113"/>
      <c r="CH46" s="113"/>
      <c r="CI46" s="62">
        <f>订货1!AZ46</f>
        <v>0</v>
      </c>
      <c r="CJ46" s="113"/>
      <c r="CK46" s="113"/>
      <c r="CL46" s="62">
        <f>订货1!BA46</f>
        <v>0</v>
      </c>
      <c r="CM46" s="113"/>
      <c r="CN46" s="113"/>
      <c r="CO46" s="62">
        <f>订货1!BB46</f>
        <v>0</v>
      </c>
      <c r="CP46" s="113"/>
      <c r="CQ46" s="113"/>
      <c r="CR46" s="62">
        <f>订货1!BC46</f>
        <v>0</v>
      </c>
      <c r="CS46" s="113"/>
      <c r="CT46" s="113"/>
      <c r="CU46" s="62">
        <f>订货1!BD46</f>
        <v>0</v>
      </c>
      <c r="CV46" s="113"/>
      <c r="CW46" s="113"/>
      <c r="CX46" s="62">
        <f>订货1!BE46</f>
        <v>0</v>
      </c>
      <c r="CY46" s="113"/>
      <c r="CZ46" s="113"/>
      <c r="DA46" s="62">
        <f>订货1!BF46</f>
        <v>0</v>
      </c>
      <c r="DB46" s="113"/>
      <c r="DC46" s="113"/>
      <c r="DD46" s="208">
        <v>0</v>
      </c>
      <c r="DE46" s="110" t="e">
        <f t="shared" si="31"/>
        <v>#DIV/0!</v>
      </c>
      <c r="DF46" s="52">
        <f t="shared" si="29"/>
        <v>0</v>
      </c>
      <c r="DG46" s="32" t="str">
        <f>订货1!$Q46</f>
        <v>袋</v>
      </c>
      <c r="DH46" s="209" t="e">
        <f t="shared" si="32"/>
        <v>#DIV/0!</v>
      </c>
    </row>
    <row r="47" spans="1:112" ht="15" customHeight="1">
      <c r="A47" s="48">
        <f>订货1!A47</f>
        <v>730017</v>
      </c>
      <c r="B47" s="44" t="str">
        <f>VLOOKUP($A47,订货1!$A47:$G288,7,0)</f>
        <v>赛沛弗科技发展（浙江）有限公司</v>
      </c>
      <c r="C47" s="44" t="str">
        <f>VLOOKUP($A47,订货1!$A47:$H288,8,0)</f>
        <v>上海亚太国际蔬菜有限公司</v>
      </c>
      <c r="D47" s="44" t="str">
        <f>VLOOKUP($A47,订货1!$A47:$B288,2,0)</f>
        <v>柏林沙拉（新）</v>
      </c>
      <c r="E47" s="44" t="str">
        <f>VLOOKUP($A47,订货1!$A47:$E288,5,0)</f>
        <v>0.6kg</v>
      </c>
      <c r="F47" s="49" t="str">
        <f>VLOOKUP($A47,订货1!$A47:$F288,6,0)</f>
        <v>袋</v>
      </c>
      <c r="G47" s="203"/>
      <c r="H47" s="56">
        <f t="shared" si="30"/>
        <v>0</v>
      </c>
      <c r="I47" s="196"/>
      <c r="J47" s="113"/>
      <c r="K47" s="113"/>
      <c r="L47" s="196"/>
      <c r="M47" s="113"/>
      <c r="N47" s="113"/>
      <c r="O47" s="62">
        <f>订货1!AB47</f>
        <v>0</v>
      </c>
      <c r="P47" s="113"/>
      <c r="Q47" s="113"/>
      <c r="R47" s="62">
        <f>订货1!AC47</f>
        <v>0</v>
      </c>
      <c r="S47" s="113"/>
      <c r="T47" s="113"/>
      <c r="U47" s="62">
        <f>订货1!AD47</f>
        <v>0</v>
      </c>
      <c r="V47" s="113"/>
      <c r="W47" s="113"/>
      <c r="X47" s="62">
        <f>订货1!AE47</f>
        <v>0</v>
      </c>
      <c r="Y47" s="113"/>
      <c r="Z47" s="113"/>
      <c r="AA47" s="62">
        <f>订货1!AF47</f>
        <v>0</v>
      </c>
      <c r="AB47" s="113"/>
      <c r="AC47" s="113"/>
      <c r="AD47" s="62">
        <f>订货1!AG47</f>
        <v>0</v>
      </c>
      <c r="AE47" s="113"/>
      <c r="AF47" s="113"/>
      <c r="AG47" s="62">
        <f>订货1!AH47</f>
        <v>0</v>
      </c>
      <c r="AH47" s="113"/>
      <c r="AI47" s="113"/>
      <c r="AJ47" s="62">
        <f>订货1!AI47</f>
        <v>0</v>
      </c>
      <c r="AK47" s="113"/>
      <c r="AL47" s="113"/>
      <c r="AM47" s="62">
        <f>订货1!AJ47</f>
        <v>0</v>
      </c>
      <c r="AN47" s="113"/>
      <c r="AO47" s="113"/>
      <c r="AP47" s="62">
        <f>订货1!AK47</f>
        <v>0</v>
      </c>
      <c r="AQ47" s="113"/>
      <c r="AR47" s="113"/>
      <c r="AS47" s="62">
        <f>订货1!AL47</f>
        <v>0</v>
      </c>
      <c r="AT47" s="113"/>
      <c r="AU47" s="113"/>
      <c r="AV47" s="62">
        <f>订货1!AM47</f>
        <v>0</v>
      </c>
      <c r="AW47" s="113"/>
      <c r="AX47" s="113"/>
      <c r="AY47" s="62">
        <f>订货1!AN47</f>
        <v>0</v>
      </c>
      <c r="AZ47" s="113"/>
      <c r="BA47" s="113"/>
      <c r="BB47" s="62">
        <f>订货1!AO47</f>
        <v>0</v>
      </c>
      <c r="BC47" s="113"/>
      <c r="BD47" s="113"/>
      <c r="BE47" s="62">
        <f>订货1!AP47</f>
        <v>0</v>
      </c>
      <c r="BF47" s="113"/>
      <c r="BG47" s="113"/>
      <c r="BH47" s="62">
        <f>订货1!AQ47</f>
        <v>0</v>
      </c>
      <c r="BI47" s="113"/>
      <c r="BJ47" s="113"/>
      <c r="BK47" s="62">
        <f>订货1!AR47</f>
        <v>0</v>
      </c>
      <c r="BL47" s="113"/>
      <c r="BM47" s="113"/>
      <c r="BN47" s="62">
        <f>订货1!AS47</f>
        <v>0</v>
      </c>
      <c r="BO47" s="113"/>
      <c r="BP47" s="113"/>
      <c r="BQ47" s="62">
        <f>订货1!AT47</f>
        <v>0</v>
      </c>
      <c r="BR47" s="113"/>
      <c r="BS47" s="113"/>
      <c r="BT47" s="62">
        <f>订货1!AU47</f>
        <v>0</v>
      </c>
      <c r="BU47" s="113"/>
      <c r="BV47" s="113"/>
      <c r="BW47" s="62">
        <f>订货1!AV47</f>
        <v>0</v>
      </c>
      <c r="BX47" s="113"/>
      <c r="BY47" s="113"/>
      <c r="BZ47" s="62">
        <f>订货1!AW47</f>
        <v>0</v>
      </c>
      <c r="CA47" s="113"/>
      <c r="CB47" s="113"/>
      <c r="CC47" s="62">
        <f>订货1!AX47</f>
        <v>0</v>
      </c>
      <c r="CD47" s="113"/>
      <c r="CE47" s="113"/>
      <c r="CF47" s="62">
        <f>订货1!AY47</f>
        <v>0</v>
      </c>
      <c r="CG47" s="113"/>
      <c r="CH47" s="113"/>
      <c r="CI47" s="62">
        <f>订货1!AZ47</f>
        <v>0</v>
      </c>
      <c r="CJ47" s="113"/>
      <c r="CK47" s="113"/>
      <c r="CL47" s="62">
        <f>订货1!BA47</f>
        <v>0</v>
      </c>
      <c r="CM47" s="113"/>
      <c r="CN47" s="113"/>
      <c r="CO47" s="62">
        <f>订货1!BB47</f>
        <v>0</v>
      </c>
      <c r="CP47" s="113"/>
      <c r="CQ47" s="113"/>
      <c r="CR47" s="62">
        <f>订货1!BC47</f>
        <v>0</v>
      </c>
      <c r="CS47" s="113"/>
      <c r="CT47" s="113"/>
      <c r="CU47" s="62">
        <f>订货1!BD47</f>
        <v>0</v>
      </c>
      <c r="CV47" s="113"/>
      <c r="CW47" s="113"/>
      <c r="CX47" s="62">
        <f>订货1!BE47</f>
        <v>0</v>
      </c>
      <c r="CY47" s="113"/>
      <c r="CZ47" s="113"/>
      <c r="DA47" s="62">
        <f>订货1!BF47</f>
        <v>0</v>
      </c>
      <c r="DB47" s="113"/>
      <c r="DC47" s="113"/>
      <c r="DD47" s="208">
        <v>0</v>
      </c>
      <c r="DE47" s="110" t="e">
        <f t="shared" si="31"/>
        <v>#DIV/0!</v>
      </c>
      <c r="DF47" s="52">
        <f t="shared" si="29"/>
        <v>0</v>
      </c>
      <c r="DG47" s="32" t="str">
        <f>订货1!$Q47</f>
        <v>袋</v>
      </c>
      <c r="DH47" s="209" t="e">
        <f t="shared" si="32"/>
        <v>#DIV/0!</v>
      </c>
    </row>
    <row r="48" spans="1:112" ht="15" customHeight="1">
      <c r="A48" s="48">
        <f>订货1!A48</f>
        <v>730016</v>
      </c>
      <c r="B48" s="44" t="str">
        <f>VLOOKUP($A48,订货1!$A48:$G289,7,0)</f>
        <v>上海亚太国际蔬菜有限公司</v>
      </c>
      <c r="C48" s="44" t="str">
        <f>VLOOKUP($A48,订货1!$A48:$H289,8,0)</f>
        <v>上海亚太国际蔬菜有限公司</v>
      </c>
      <c r="D48" s="44" t="str">
        <f>VLOOKUP($A48,订货1!$A48:$B289,2,0)</f>
        <v>盒色拉</v>
      </c>
      <c r="E48" s="44" t="str">
        <f>VLOOKUP($A48,订货1!$A48:$E289,5,0)</f>
        <v>0.095kg</v>
      </c>
      <c r="F48" s="49" t="str">
        <f>VLOOKUP($A48,订货1!$A48:$F289,6,0)</f>
        <v>盒</v>
      </c>
      <c r="G48" s="203"/>
      <c r="H48" s="56">
        <f t="shared" si="30"/>
        <v>0</v>
      </c>
      <c r="I48" s="196"/>
      <c r="J48" s="113"/>
      <c r="K48" s="113"/>
      <c r="L48" s="196"/>
      <c r="M48" s="113"/>
      <c r="N48" s="113"/>
      <c r="O48" s="62">
        <f>订货1!AB48</f>
        <v>0</v>
      </c>
      <c r="P48" s="113"/>
      <c r="Q48" s="113"/>
      <c r="R48" s="62">
        <f>订货1!AC48</f>
        <v>0</v>
      </c>
      <c r="S48" s="113"/>
      <c r="T48" s="113"/>
      <c r="U48" s="62">
        <f>订货1!AD48</f>
        <v>0</v>
      </c>
      <c r="V48" s="113"/>
      <c r="W48" s="113"/>
      <c r="X48" s="62">
        <f>订货1!AE48</f>
        <v>0</v>
      </c>
      <c r="Y48" s="113"/>
      <c r="Z48" s="113"/>
      <c r="AA48" s="62">
        <f>订货1!AF48</f>
        <v>0</v>
      </c>
      <c r="AB48" s="113"/>
      <c r="AC48" s="113"/>
      <c r="AD48" s="62">
        <f>订货1!AG48</f>
        <v>0</v>
      </c>
      <c r="AE48" s="113"/>
      <c r="AF48" s="113"/>
      <c r="AG48" s="62">
        <f>订货1!AH48</f>
        <v>0</v>
      </c>
      <c r="AH48" s="113"/>
      <c r="AI48" s="113"/>
      <c r="AJ48" s="62">
        <f>订货1!AI48</f>
        <v>0</v>
      </c>
      <c r="AK48" s="113"/>
      <c r="AL48" s="113"/>
      <c r="AM48" s="62">
        <f>订货1!AJ48</f>
        <v>0</v>
      </c>
      <c r="AN48" s="113"/>
      <c r="AO48" s="113"/>
      <c r="AP48" s="62">
        <f>订货1!AK48</f>
        <v>0</v>
      </c>
      <c r="AQ48" s="113"/>
      <c r="AR48" s="113"/>
      <c r="AS48" s="62">
        <f>订货1!AL48</f>
        <v>0</v>
      </c>
      <c r="AT48" s="113"/>
      <c r="AU48" s="113"/>
      <c r="AV48" s="62">
        <f>订货1!AM48</f>
        <v>0</v>
      </c>
      <c r="AW48" s="113"/>
      <c r="AX48" s="113"/>
      <c r="AY48" s="62">
        <f>订货1!AN48</f>
        <v>0</v>
      </c>
      <c r="AZ48" s="113"/>
      <c r="BA48" s="113"/>
      <c r="BB48" s="62">
        <f>订货1!AO48</f>
        <v>0</v>
      </c>
      <c r="BC48" s="113"/>
      <c r="BD48" s="113"/>
      <c r="BE48" s="62">
        <f>订货1!AP48</f>
        <v>0</v>
      </c>
      <c r="BF48" s="113"/>
      <c r="BG48" s="113"/>
      <c r="BH48" s="62">
        <f>订货1!AQ48</f>
        <v>0</v>
      </c>
      <c r="BI48" s="113"/>
      <c r="BJ48" s="113"/>
      <c r="BK48" s="62">
        <f>订货1!AR48</f>
        <v>0</v>
      </c>
      <c r="BL48" s="113"/>
      <c r="BM48" s="113"/>
      <c r="BN48" s="62">
        <f>订货1!AS48</f>
        <v>0</v>
      </c>
      <c r="BO48" s="113"/>
      <c r="BP48" s="113"/>
      <c r="BQ48" s="62">
        <f>订货1!AT48</f>
        <v>0</v>
      </c>
      <c r="BR48" s="113"/>
      <c r="BS48" s="113"/>
      <c r="BT48" s="62">
        <f>订货1!AU48</f>
        <v>0</v>
      </c>
      <c r="BU48" s="113"/>
      <c r="BV48" s="113"/>
      <c r="BW48" s="62">
        <f>订货1!AV48</f>
        <v>0</v>
      </c>
      <c r="BX48" s="113"/>
      <c r="BY48" s="113"/>
      <c r="BZ48" s="62">
        <f>订货1!AW48</f>
        <v>0</v>
      </c>
      <c r="CA48" s="113"/>
      <c r="CB48" s="113"/>
      <c r="CC48" s="62">
        <f>订货1!AX48</f>
        <v>0</v>
      </c>
      <c r="CD48" s="113"/>
      <c r="CE48" s="113"/>
      <c r="CF48" s="62">
        <f>订货1!AY48</f>
        <v>0</v>
      </c>
      <c r="CG48" s="113"/>
      <c r="CH48" s="113"/>
      <c r="CI48" s="62">
        <f>订货1!AZ48</f>
        <v>0</v>
      </c>
      <c r="CJ48" s="113"/>
      <c r="CK48" s="113"/>
      <c r="CL48" s="62">
        <f>订货1!BA48</f>
        <v>0</v>
      </c>
      <c r="CM48" s="113"/>
      <c r="CN48" s="113"/>
      <c r="CO48" s="62">
        <f>订货1!BB48</f>
        <v>0</v>
      </c>
      <c r="CP48" s="113"/>
      <c r="CQ48" s="113"/>
      <c r="CR48" s="62">
        <f>订货1!BC48</f>
        <v>0</v>
      </c>
      <c r="CS48" s="113"/>
      <c r="CT48" s="113"/>
      <c r="CU48" s="62">
        <f>订货1!BD48</f>
        <v>0</v>
      </c>
      <c r="CV48" s="113"/>
      <c r="CW48" s="113"/>
      <c r="CX48" s="62">
        <f>订货1!BE48</f>
        <v>0</v>
      </c>
      <c r="CY48" s="113"/>
      <c r="CZ48" s="113"/>
      <c r="DA48" s="62">
        <f>订货1!BF48</f>
        <v>0</v>
      </c>
      <c r="DB48" s="113"/>
      <c r="DC48" s="113"/>
      <c r="DD48" s="208">
        <v>0</v>
      </c>
      <c r="DE48" s="110" t="e">
        <f t="shared" si="31"/>
        <v>#DIV/0!</v>
      </c>
      <c r="DF48" s="52">
        <f t="shared" si="29"/>
        <v>0</v>
      </c>
      <c r="DG48" s="32" t="str">
        <f>订货1!$Q48</f>
        <v>盒</v>
      </c>
      <c r="DH48" s="209" t="e">
        <f t="shared" si="32"/>
        <v>#DIV/0!</v>
      </c>
    </row>
    <row r="49" spans="1:112" ht="15" customHeight="1">
      <c r="A49" s="48">
        <f>订货1!A49</f>
        <v>101135</v>
      </c>
      <c r="B49" s="44" t="str">
        <f>VLOOKUP($A49,订货1!$A49:$G290,7,0)</f>
        <v>娜米克食品（昆山）有限公司</v>
      </c>
      <c r="C49" s="44" t="str">
        <f>VLOOKUP($A49,订货1!$A49:$H290,8,0)</f>
        <v>娜米克食品（昆山）有限公司</v>
      </c>
      <c r="D49" s="44" t="str">
        <f>VLOOKUP($A49,订货1!$A49:$B290,2,0)</f>
        <v>披萨专用面团</v>
      </c>
      <c r="E49" s="44" t="str">
        <f>VLOOKUP($A49,订货1!$A49:$E290,5,0)</f>
        <v>210g*80</v>
      </c>
      <c r="F49" s="49" t="str">
        <f>VLOOKUP($A49,订货1!$A49:$F290,6,0)</f>
        <v>箱</v>
      </c>
      <c r="G49" s="203"/>
      <c r="H49" s="56">
        <f t="shared" si="30"/>
        <v>0</v>
      </c>
      <c r="I49" s="196"/>
      <c r="J49" s="113"/>
      <c r="K49" s="113"/>
      <c r="L49" s="196"/>
      <c r="M49" s="113"/>
      <c r="N49" s="113"/>
      <c r="O49" s="62">
        <f>订货1!AB49</f>
        <v>0</v>
      </c>
      <c r="P49" s="113"/>
      <c r="Q49" s="113"/>
      <c r="R49" s="62">
        <f>订货1!AC49</f>
        <v>0</v>
      </c>
      <c r="S49" s="113"/>
      <c r="T49" s="113"/>
      <c r="U49" s="62">
        <f>订货1!AD49</f>
        <v>0</v>
      </c>
      <c r="V49" s="113"/>
      <c r="W49" s="113"/>
      <c r="X49" s="62">
        <f>订货1!AE49</f>
        <v>0</v>
      </c>
      <c r="Y49" s="113"/>
      <c r="Z49" s="113"/>
      <c r="AA49" s="62">
        <f>订货1!AF49</f>
        <v>0</v>
      </c>
      <c r="AB49" s="113"/>
      <c r="AC49" s="113"/>
      <c r="AD49" s="62">
        <f>订货1!AG49</f>
        <v>0</v>
      </c>
      <c r="AE49" s="113"/>
      <c r="AF49" s="113"/>
      <c r="AG49" s="62">
        <f>订货1!AH49</f>
        <v>0</v>
      </c>
      <c r="AH49" s="113"/>
      <c r="AI49" s="113"/>
      <c r="AJ49" s="62">
        <f>订货1!AI49</f>
        <v>0</v>
      </c>
      <c r="AK49" s="113"/>
      <c r="AL49" s="113"/>
      <c r="AM49" s="62">
        <f>订货1!AJ49</f>
        <v>0</v>
      </c>
      <c r="AN49" s="113"/>
      <c r="AO49" s="113"/>
      <c r="AP49" s="62">
        <f>订货1!AK49</f>
        <v>0</v>
      </c>
      <c r="AQ49" s="113"/>
      <c r="AR49" s="113"/>
      <c r="AS49" s="62">
        <f>订货1!AL49</f>
        <v>0</v>
      </c>
      <c r="AT49" s="113"/>
      <c r="AU49" s="113"/>
      <c r="AV49" s="62">
        <f>订货1!AM49</f>
        <v>0</v>
      </c>
      <c r="AW49" s="113"/>
      <c r="AX49" s="113"/>
      <c r="AY49" s="62">
        <f>订货1!AN49</f>
        <v>0</v>
      </c>
      <c r="AZ49" s="113"/>
      <c r="BA49" s="113"/>
      <c r="BB49" s="62">
        <f>订货1!AO49</f>
        <v>0</v>
      </c>
      <c r="BC49" s="113"/>
      <c r="BD49" s="113"/>
      <c r="BE49" s="62">
        <f>订货1!AP49</f>
        <v>0</v>
      </c>
      <c r="BF49" s="113"/>
      <c r="BG49" s="113"/>
      <c r="BH49" s="62">
        <f>订货1!AQ49</f>
        <v>0</v>
      </c>
      <c r="BI49" s="113"/>
      <c r="BJ49" s="113"/>
      <c r="BK49" s="62">
        <f>订货1!AR49</f>
        <v>0</v>
      </c>
      <c r="BL49" s="113"/>
      <c r="BM49" s="113"/>
      <c r="BN49" s="62">
        <f>订货1!AS49</f>
        <v>0</v>
      </c>
      <c r="BO49" s="113"/>
      <c r="BP49" s="113"/>
      <c r="BQ49" s="62">
        <f>订货1!AT49</f>
        <v>0</v>
      </c>
      <c r="BR49" s="113"/>
      <c r="BS49" s="113"/>
      <c r="BT49" s="62">
        <f>订货1!AU49</f>
        <v>0</v>
      </c>
      <c r="BU49" s="113"/>
      <c r="BV49" s="113"/>
      <c r="BW49" s="62">
        <f>订货1!AV49</f>
        <v>0</v>
      </c>
      <c r="BX49" s="113"/>
      <c r="BY49" s="113"/>
      <c r="BZ49" s="62">
        <f>订货1!AW49</f>
        <v>0</v>
      </c>
      <c r="CA49" s="113"/>
      <c r="CB49" s="113"/>
      <c r="CC49" s="62">
        <f>订货1!AX49</f>
        <v>0</v>
      </c>
      <c r="CD49" s="113"/>
      <c r="CE49" s="113"/>
      <c r="CF49" s="62">
        <f>订货1!AY49</f>
        <v>0</v>
      </c>
      <c r="CG49" s="113"/>
      <c r="CH49" s="113"/>
      <c r="CI49" s="62">
        <f>订货1!AZ49</f>
        <v>0</v>
      </c>
      <c r="CJ49" s="113"/>
      <c r="CK49" s="113"/>
      <c r="CL49" s="62">
        <f>订货1!BA49</f>
        <v>0</v>
      </c>
      <c r="CM49" s="113"/>
      <c r="CN49" s="113"/>
      <c r="CO49" s="62">
        <f>订货1!BB49</f>
        <v>0</v>
      </c>
      <c r="CP49" s="113"/>
      <c r="CQ49" s="113"/>
      <c r="CR49" s="62">
        <f>订货1!BC49</f>
        <v>0</v>
      </c>
      <c r="CS49" s="113"/>
      <c r="CT49" s="113"/>
      <c r="CU49" s="62">
        <f>订货1!BD49</f>
        <v>0</v>
      </c>
      <c r="CV49" s="113"/>
      <c r="CW49" s="113"/>
      <c r="CX49" s="62">
        <f>订货1!BE49</f>
        <v>0</v>
      </c>
      <c r="CY49" s="113"/>
      <c r="CZ49" s="113"/>
      <c r="DA49" s="62">
        <f>订货1!BF49</f>
        <v>0</v>
      </c>
      <c r="DB49" s="113"/>
      <c r="DC49" s="113"/>
      <c r="DD49" s="208">
        <v>0</v>
      </c>
      <c r="DE49" s="110" t="e">
        <f t="shared" si="31"/>
        <v>#DIV/0!</v>
      </c>
      <c r="DF49" s="52">
        <f t="shared" si="29"/>
        <v>0</v>
      </c>
      <c r="DG49" s="32" t="str">
        <f>订货1!$Q49</f>
        <v>箱</v>
      </c>
      <c r="DH49" s="209" t="e">
        <f t="shared" si="32"/>
        <v>#DIV/0!</v>
      </c>
    </row>
    <row r="50" spans="1:112" ht="15" customHeight="1">
      <c r="A50" s="48">
        <f>订货1!A50</f>
        <v>101543</v>
      </c>
      <c r="B50" s="44" t="str">
        <f>VLOOKUP($A50,订货1!$A50:$G291,7,0)</f>
        <v>娜米克食品（昆山）有限公司</v>
      </c>
      <c r="C50" s="44" t="str">
        <f>VLOOKUP($A50,订货1!$A50:$H291,8,0)</f>
        <v>娜米克食品（昆山）有限公司</v>
      </c>
      <c r="D50" s="44" t="str">
        <f>VLOOKUP($A50,订货1!$A50:$B291,2,0)</f>
        <v>9寸实验饼底</v>
      </c>
      <c r="E50" s="44" t="str">
        <f>VLOOKUP($A50,订货1!$A50:$E291,5,0)</f>
        <v>160g*60</v>
      </c>
      <c r="F50" s="49" t="str">
        <f>VLOOKUP($A50,订货1!$A50:$F291,6,0)</f>
        <v>箱</v>
      </c>
      <c r="G50" s="203"/>
      <c r="H50" s="56">
        <f t="shared" si="30"/>
        <v>0</v>
      </c>
      <c r="I50" s="196"/>
      <c r="J50" s="113"/>
      <c r="K50" s="113"/>
      <c r="L50" s="196"/>
      <c r="M50" s="113"/>
      <c r="N50" s="113"/>
      <c r="O50" s="62">
        <f>订货1!AB50</f>
        <v>0</v>
      </c>
      <c r="P50" s="113"/>
      <c r="Q50" s="113"/>
      <c r="R50" s="62">
        <f>订货1!AC50</f>
        <v>0</v>
      </c>
      <c r="S50" s="113"/>
      <c r="T50" s="113"/>
      <c r="U50" s="62">
        <f>订货1!AD50</f>
        <v>0</v>
      </c>
      <c r="V50" s="113"/>
      <c r="W50" s="113"/>
      <c r="X50" s="62">
        <f>订货1!AE50</f>
        <v>0</v>
      </c>
      <c r="Y50" s="113"/>
      <c r="Z50" s="113"/>
      <c r="AA50" s="62">
        <f>订货1!AF50</f>
        <v>0</v>
      </c>
      <c r="AB50" s="113"/>
      <c r="AC50" s="113"/>
      <c r="AD50" s="62">
        <f>订货1!AG50</f>
        <v>0</v>
      </c>
      <c r="AE50" s="113"/>
      <c r="AF50" s="113"/>
      <c r="AG50" s="62">
        <f>订货1!AH50</f>
        <v>0</v>
      </c>
      <c r="AH50" s="113"/>
      <c r="AI50" s="113"/>
      <c r="AJ50" s="62">
        <f>订货1!AI50</f>
        <v>0</v>
      </c>
      <c r="AK50" s="113"/>
      <c r="AL50" s="113"/>
      <c r="AM50" s="62">
        <f>订货1!AJ50</f>
        <v>0</v>
      </c>
      <c r="AN50" s="113"/>
      <c r="AO50" s="113"/>
      <c r="AP50" s="62">
        <f>订货1!AK50</f>
        <v>0</v>
      </c>
      <c r="AQ50" s="113"/>
      <c r="AR50" s="113"/>
      <c r="AS50" s="62">
        <f>订货1!AL50</f>
        <v>0</v>
      </c>
      <c r="AT50" s="113"/>
      <c r="AU50" s="113"/>
      <c r="AV50" s="62">
        <f>订货1!AM50</f>
        <v>0</v>
      </c>
      <c r="AW50" s="113"/>
      <c r="AX50" s="113"/>
      <c r="AY50" s="62">
        <f>订货1!AN50</f>
        <v>0</v>
      </c>
      <c r="AZ50" s="113"/>
      <c r="BA50" s="113"/>
      <c r="BB50" s="62">
        <f>订货1!AO50</f>
        <v>0</v>
      </c>
      <c r="BC50" s="113"/>
      <c r="BD50" s="113"/>
      <c r="BE50" s="62">
        <f>订货1!AP50</f>
        <v>0</v>
      </c>
      <c r="BF50" s="113"/>
      <c r="BG50" s="113"/>
      <c r="BH50" s="62">
        <f>订货1!AQ50</f>
        <v>0</v>
      </c>
      <c r="BI50" s="113"/>
      <c r="BJ50" s="113"/>
      <c r="BK50" s="62">
        <f>订货1!AR50</f>
        <v>0</v>
      </c>
      <c r="BL50" s="113"/>
      <c r="BM50" s="113"/>
      <c r="BN50" s="62">
        <f>订货1!AS50</f>
        <v>0</v>
      </c>
      <c r="BO50" s="113"/>
      <c r="BP50" s="113"/>
      <c r="BQ50" s="62">
        <f>订货1!AT50</f>
        <v>0</v>
      </c>
      <c r="BR50" s="113"/>
      <c r="BS50" s="113"/>
      <c r="BT50" s="62">
        <f>订货1!AU50</f>
        <v>0</v>
      </c>
      <c r="BU50" s="113"/>
      <c r="BV50" s="113"/>
      <c r="BW50" s="62">
        <f>订货1!AV50</f>
        <v>0</v>
      </c>
      <c r="BX50" s="113"/>
      <c r="BY50" s="113"/>
      <c r="BZ50" s="62">
        <f>订货1!AW50</f>
        <v>0</v>
      </c>
      <c r="CA50" s="113"/>
      <c r="CB50" s="113"/>
      <c r="CC50" s="62">
        <f>订货1!AX50</f>
        <v>0</v>
      </c>
      <c r="CD50" s="113"/>
      <c r="CE50" s="113"/>
      <c r="CF50" s="62">
        <f>订货1!AY50</f>
        <v>0</v>
      </c>
      <c r="CG50" s="113"/>
      <c r="CH50" s="113"/>
      <c r="CI50" s="62">
        <f>订货1!AZ50</f>
        <v>0</v>
      </c>
      <c r="CJ50" s="113"/>
      <c r="CK50" s="113"/>
      <c r="CL50" s="62">
        <f>订货1!BA50</f>
        <v>0</v>
      </c>
      <c r="CM50" s="113"/>
      <c r="CN50" s="113"/>
      <c r="CO50" s="62">
        <f>订货1!BB50</f>
        <v>0</v>
      </c>
      <c r="CP50" s="113"/>
      <c r="CQ50" s="113"/>
      <c r="CR50" s="62">
        <f>订货1!BC50</f>
        <v>0</v>
      </c>
      <c r="CS50" s="113"/>
      <c r="CT50" s="113"/>
      <c r="CU50" s="62">
        <f>订货1!BD50</f>
        <v>0</v>
      </c>
      <c r="CV50" s="113"/>
      <c r="CW50" s="113"/>
      <c r="CX50" s="62">
        <f>订货1!BE50</f>
        <v>0</v>
      </c>
      <c r="CY50" s="113"/>
      <c r="CZ50" s="113"/>
      <c r="DA50" s="62">
        <f>订货1!BF50</f>
        <v>0</v>
      </c>
      <c r="DB50" s="113"/>
      <c r="DC50" s="113"/>
      <c r="DD50" s="208">
        <v>0</v>
      </c>
      <c r="DE50" s="110" t="e">
        <f t="shared" si="31"/>
        <v>#DIV/0!</v>
      </c>
      <c r="DF50" s="52">
        <f t="shared" si="29"/>
        <v>0</v>
      </c>
      <c r="DG50" s="32" t="str">
        <f>订货1!$Q50</f>
        <v>箱</v>
      </c>
      <c r="DH50" s="209" t="e">
        <f t="shared" si="32"/>
        <v>#DIV/0!</v>
      </c>
    </row>
    <row r="51" spans="1:112" ht="15" customHeight="1">
      <c r="A51" s="48">
        <f>订货1!A51</f>
        <v>101746</v>
      </c>
      <c r="B51" s="44" t="str">
        <f>VLOOKUP($A51,订货1!$A51:$G292,7,0)</f>
        <v>上海妙可蓝多食品科技股份有限公司</v>
      </c>
      <c r="C51" s="44" t="str">
        <f>VLOOKUP($A51,订货1!$A51:$H292,8,0)</f>
        <v>妙可蓝多（天津）食品科技有限公司</v>
      </c>
      <c r="D51" s="44" t="str">
        <f>VLOOKUP($A51,订货1!$A51:$B292,2,0)</f>
        <v>稀奶油</v>
      </c>
      <c r="E51" s="44" t="str">
        <f>VLOOKUP($A51,订货1!$A51:$E292,5,0)</f>
        <v>1L*12</v>
      </c>
      <c r="F51" s="49" t="str">
        <f>VLOOKUP($A51,订货1!$A51:$F292,6,0)</f>
        <v>箱</v>
      </c>
      <c r="G51" s="203"/>
      <c r="H51" s="56">
        <f t="shared" si="30"/>
        <v>1</v>
      </c>
      <c r="I51" s="196"/>
      <c r="J51" s="113"/>
      <c r="K51" s="113"/>
      <c r="L51" s="196"/>
      <c r="M51" s="113"/>
      <c r="N51" s="113"/>
      <c r="O51" s="62">
        <f>订货1!AB51</f>
        <v>0</v>
      </c>
      <c r="P51" s="113"/>
      <c r="Q51" s="113"/>
      <c r="R51" s="62">
        <f>订货1!AC51</f>
        <v>0</v>
      </c>
      <c r="S51" s="113"/>
      <c r="T51" s="113"/>
      <c r="U51" s="62">
        <f>订货1!AD51</f>
        <v>0</v>
      </c>
      <c r="V51" s="113"/>
      <c r="W51" s="113"/>
      <c r="X51" s="62">
        <f>订货1!AE51</f>
        <v>0</v>
      </c>
      <c r="Y51" s="113"/>
      <c r="Z51" s="113"/>
      <c r="AA51" s="62">
        <f>订货1!AF51</f>
        <v>0</v>
      </c>
      <c r="AB51" s="113"/>
      <c r="AC51" s="113"/>
      <c r="AD51" s="62">
        <f>订货1!AG51</f>
        <v>1</v>
      </c>
      <c r="AE51" s="113"/>
      <c r="AF51" s="113"/>
      <c r="AG51" s="62">
        <f>订货1!AH51</f>
        <v>0</v>
      </c>
      <c r="AH51" s="113"/>
      <c r="AI51" s="113"/>
      <c r="AJ51" s="62">
        <f>订货1!AI51</f>
        <v>0</v>
      </c>
      <c r="AK51" s="113"/>
      <c r="AL51" s="113"/>
      <c r="AM51" s="62">
        <f>订货1!AJ51</f>
        <v>0</v>
      </c>
      <c r="AN51" s="113"/>
      <c r="AO51" s="113"/>
      <c r="AP51" s="62">
        <f>订货1!AK51</f>
        <v>0</v>
      </c>
      <c r="AQ51" s="113"/>
      <c r="AR51" s="113"/>
      <c r="AS51" s="62">
        <f>订货1!AL51</f>
        <v>0</v>
      </c>
      <c r="AT51" s="113"/>
      <c r="AU51" s="113"/>
      <c r="AV51" s="62">
        <f>订货1!AM51</f>
        <v>0</v>
      </c>
      <c r="AW51" s="113"/>
      <c r="AX51" s="113"/>
      <c r="AY51" s="62">
        <f>订货1!AN51</f>
        <v>0</v>
      </c>
      <c r="AZ51" s="113"/>
      <c r="BA51" s="113"/>
      <c r="BB51" s="62">
        <f>订货1!AO51</f>
        <v>0</v>
      </c>
      <c r="BC51" s="113"/>
      <c r="BD51" s="113"/>
      <c r="BE51" s="62">
        <f>订货1!AP51</f>
        <v>0</v>
      </c>
      <c r="BF51" s="113"/>
      <c r="BG51" s="113"/>
      <c r="BH51" s="62">
        <f>订货1!AQ51</f>
        <v>0</v>
      </c>
      <c r="BI51" s="113"/>
      <c r="BJ51" s="113"/>
      <c r="BK51" s="62">
        <f>订货1!AR51</f>
        <v>0</v>
      </c>
      <c r="BL51" s="113"/>
      <c r="BM51" s="113"/>
      <c r="BN51" s="62">
        <f>订货1!AS51</f>
        <v>0</v>
      </c>
      <c r="BO51" s="113"/>
      <c r="BP51" s="113"/>
      <c r="BQ51" s="62">
        <f>订货1!AT51</f>
        <v>0</v>
      </c>
      <c r="BR51" s="113"/>
      <c r="BS51" s="113"/>
      <c r="BT51" s="62">
        <f>订货1!AU51</f>
        <v>0</v>
      </c>
      <c r="BU51" s="113"/>
      <c r="BV51" s="113"/>
      <c r="BW51" s="62">
        <f>订货1!AV51</f>
        <v>0</v>
      </c>
      <c r="BX51" s="113"/>
      <c r="BY51" s="113"/>
      <c r="BZ51" s="62">
        <f>订货1!AW51</f>
        <v>0</v>
      </c>
      <c r="CA51" s="113"/>
      <c r="CB51" s="113"/>
      <c r="CC51" s="62">
        <f>订货1!AX51</f>
        <v>0</v>
      </c>
      <c r="CD51" s="113"/>
      <c r="CE51" s="113"/>
      <c r="CF51" s="62">
        <f>订货1!AY51</f>
        <v>0</v>
      </c>
      <c r="CG51" s="113"/>
      <c r="CH51" s="113"/>
      <c r="CI51" s="62">
        <f>订货1!AZ51</f>
        <v>0</v>
      </c>
      <c r="CJ51" s="113"/>
      <c r="CK51" s="113"/>
      <c r="CL51" s="62">
        <f>订货1!BA51</f>
        <v>0</v>
      </c>
      <c r="CM51" s="113"/>
      <c r="CN51" s="113"/>
      <c r="CO51" s="62">
        <f>订货1!BB51</f>
        <v>0</v>
      </c>
      <c r="CP51" s="113"/>
      <c r="CQ51" s="113"/>
      <c r="CR51" s="62">
        <f>订货1!BC51</f>
        <v>0</v>
      </c>
      <c r="CS51" s="113"/>
      <c r="CT51" s="113"/>
      <c r="CU51" s="62">
        <f>订货1!BD51</f>
        <v>0</v>
      </c>
      <c r="CV51" s="113"/>
      <c r="CW51" s="113"/>
      <c r="CX51" s="62">
        <f>订货1!BE51</f>
        <v>0</v>
      </c>
      <c r="CY51" s="113"/>
      <c r="CZ51" s="113"/>
      <c r="DA51" s="62">
        <f>订货1!BF51</f>
        <v>0</v>
      </c>
      <c r="DB51" s="113"/>
      <c r="DC51" s="113"/>
      <c r="DD51" s="208">
        <v>0</v>
      </c>
      <c r="DE51" s="110" t="e">
        <f t="shared" si="31"/>
        <v>#DIV/0!</v>
      </c>
      <c r="DF51" s="52">
        <f t="shared" si="29"/>
        <v>1</v>
      </c>
      <c r="DG51" s="32" t="str">
        <f>订货1!$Q51</f>
        <v>箱</v>
      </c>
      <c r="DH51" s="209" t="e">
        <f t="shared" si="32"/>
        <v>#DIV/0!</v>
      </c>
    </row>
    <row r="52" spans="1:112" ht="15" customHeight="1">
      <c r="A52" s="48">
        <f>订货1!A52</f>
        <v>101702</v>
      </c>
      <c r="B52" s="44" t="str">
        <f>VLOOKUP($A52,订货1!$A52:$G293,7,0)</f>
        <v>日冷食品贸易（上海）有限公司</v>
      </c>
      <c r="C52" s="44" t="str">
        <f>VLOOKUP($A52,订货1!$A52:$H293,8,0)</f>
        <v>锦州新和盛食品有限公司</v>
      </c>
      <c r="D52" s="44" t="str">
        <f>VLOOKUP($A52,订货1!$A52:$B293,2,0)</f>
        <v>茄汁千层面</v>
      </c>
      <c r="E52" s="44" t="str">
        <f>VLOOKUP($A52,订货1!$A52:$E293,5,0)</f>
        <v>0.1kg*64pc</v>
      </c>
      <c r="F52" s="49" t="str">
        <f>VLOOKUP($A52,订货1!$A52:$F293,6,0)</f>
        <v>箱</v>
      </c>
      <c r="G52" s="203"/>
      <c r="H52" s="56">
        <f t="shared" si="30"/>
        <v>0</v>
      </c>
      <c r="I52" s="196"/>
      <c r="J52" s="113"/>
      <c r="K52" s="113"/>
      <c r="L52" s="196"/>
      <c r="M52" s="113"/>
      <c r="N52" s="113"/>
      <c r="O52" s="62">
        <f>订货1!AB52</f>
        <v>0</v>
      </c>
      <c r="P52" s="113"/>
      <c r="Q52" s="113"/>
      <c r="R52" s="62">
        <f>订货1!AC52</f>
        <v>0</v>
      </c>
      <c r="S52" s="113"/>
      <c r="T52" s="113"/>
      <c r="U52" s="62">
        <f>订货1!AD52</f>
        <v>0</v>
      </c>
      <c r="V52" s="113"/>
      <c r="W52" s="113"/>
      <c r="X52" s="62">
        <f>订货1!AE52</f>
        <v>0</v>
      </c>
      <c r="Y52" s="113"/>
      <c r="Z52" s="113"/>
      <c r="AA52" s="62">
        <f>订货1!AF52</f>
        <v>0</v>
      </c>
      <c r="AB52" s="113"/>
      <c r="AC52" s="113"/>
      <c r="AD52" s="62">
        <f>订货1!AG52</f>
        <v>0</v>
      </c>
      <c r="AE52" s="113"/>
      <c r="AF52" s="113"/>
      <c r="AG52" s="62">
        <f>订货1!AH52</f>
        <v>0</v>
      </c>
      <c r="AH52" s="113"/>
      <c r="AI52" s="113"/>
      <c r="AJ52" s="62">
        <f>订货1!AI52</f>
        <v>0</v>
      </c>
      <c r="AK52" s="113"/>
      <c r="AL52" s="113"/>
      <c r="AM52" s="62">
        <f>订货1!AJ52</f>
        <v>0</v>
      </c>
      <c r="AN52" s="113"/>
      <c r="AO52" s="113"/>
      <c r="AP52" s="62">
        <f>订货1!AK52</f>
        <v>0</v>
      </c>
      <c r="AQ52" s="113"/>
      <c r="AR52" s="113"/>
      <c r="AS52" s="62">
        <f>订货1!AL52</f>
        <v>0</v>
      </c>
      <c r="AT52" s="113"/>
      <c r="AU52" s="113"/>
      <c r="AV52" s="62">
        <f>订货1!AM52</f>
        <v>0</v>
      </c>
      <c r="AW52" s="113"/>
      <c r="AX52" s="113"/>
      <c r="AY52" s="62">
        <f>订货1!AN52</f>
        <v>0</v>
      </c>
      <c r="AZ52" s="113"/>
      <c r="BA52" s="113"/>
      <c r="BB52" s="62">
        <f>订货1!AO52</f>
        <v>0</v>
      </c>
      <c r="BC52" s="113"/>
      <c r="BD52" s="113"/>
      <c r="BE52" s="62">
        <f>订货1!AP52</f>
        <v>0</v>
      </c>
      <c r="BF52" s="113"/>
      <c r="BG52" s="113"/>
      <c r="BH52" s="62">
        <f>订货1!AQ52</f>
        <v>0</v>
      </c>
      <c r="BI52" s="113"/>
      <c r="BJ52" s="113"/>
      <c r="BK52" s="62">
        <f>订货1!AR52</f>
        <v>0</v>
      </c>
      <c r="BL52" s="113"/>
      <c r="BM52" s="113"/>
      <c r="BN52" s="62">
        <f>订货1!AS52</f>
        <v>0</v>
      </c>
      <c r="BO52" s="113"/>
      <c r="BP52" s="113"/>
      <c r="BQ52" s="62">
        <f>订货1!AT52</f>
        <v>0</v>
      </c>
      <c r="BR52" s="113"/>
      <c r="BS52" s="113"/>
      <c r="BT52" s="62">
        <f>订货1!AU52</f>
        <v>0</v>
      </c>
      <c r="BU52" s="113"/>
      <c r="BV52" s="113"/>
      <c r="BW52" s="62">
        <f>订货1!AV52</f>
        <v>0</v>
      </c>
      <c r="BX52" s="113"/>
      <c r="BY52" s="113"/>
      <c r="BZ52" s="62">
        <f>订货1!AW52</f>
        <v>0</v>
      </c>
      <c r="CA52" s="113"/>
      <c r="CB52" s="113"/>
      <c r="CC52" s="62">
        <f>订货1!AX52</f>
        <v>0</v>
      </c>
      <c r="CD52" s="113"/>
      <c r="CE52" s="113"/>
      <c r="CF52" s="62">
        <f>订货1!AY52</f>
        <v>0</v>
      </c>
      <c r="CG52" s="113"/>
      <c r="CH52" s="113"/>
      <c r="CI52" s="62">
        <f>订货1!AZ52</f>
        <v>0</v>
      </c>
      <c r="CJ52" s="113"/>
      <c r="CK52" s="113"/>
      <c r="CL52" s="62">
        <f>订货1!BA52</f>
        <v>0</v>
      </c>
      <c r="CM52" s="113"/>
      <c r="CN52" s="113"/>
      <c r="CO52" s="62">
        <f>订货1!BB52</f>
        <v>0</v>
      </c>
      <c r="CP52" s="113"/>
      <c r="CQ52" s="113"/>
      <c r="CR52" s="62">
        <f>订货1!BC52</f>
        <v>0</v>
      </c>
      <c r="CS52" s="113"/>
      <c r="CT52" s="113"/>
      <c r="CU52" s="62">
        <f>订货1!BD52</f>
        <v>0</v>
      </c>
      <c r="CV52" s="113"/>
      <c r="CW52" s="113"/>
      <c r="CX52" s="62">
        <f>订货1!BE52</f>
        <v>0</v>
      </c>
      <c r="CY52" s="113"/>
      <c r="CZ52" s="113"/>
      <c r="DA52" s="62">
        <f>订货1!BF52</f>
        <v>0</v>
      </c>
      <c r="DB52" s="113"/>
      <c r="DC52" s="113"/>
      <c r="DD52" s="208">
        <v>0</v>
      </c>
      <c r="DE52" s="110" t="e">
        <f t="shared" si="31"/>
        <v>#DIV/0!</v>
      </c>
      <c r="DF52" s="52">
        <f t="shared" si="29"/>
        <v>0</v>
      </c>
      <c r="DG52" s="32" t="str">
        <f>订货1!$Q52</f>
        <v>箱</v>
      </c>
      <c r="DH52" s="209" t="e">
        <f t="shared" si="32"/>
        <v>#DIV/0!</v>
      </c>
    </row>
    <row r="53" spans="1:112" ht="15" customHeight="1">
      <c r="A53" s="48">
        <f>订货1!A53</f>
        <v>101595</v>
      </c>
      <c r="B53" s="44" t="str">
        <f>VLOOKUP($A53,订货1!$A53:$G294,7,0)</f>
        <v>嘉兴铃吉食品有限公司</v>
      </c>
      <c r="C53" s="44" t="str">
        <f>VLOOKUP($A53,订货1!$A53:$H294,8,0)</f>
        <v>嘉兴铃吉食品有限公司</v>
      </c>
      <c r="D53" s="44" t="str">
        <f>VLOOKUP($A53,订货1!$A53:$B294,2,0)</f>
        <v>罗勒松子酱</v>
      </c>
      <c r="E53" s="44" t="str">
        <f>VLOOKUP($A53,订货1!$A53:$E294,5,0)</f>
        <v>1kg*10pc</v>
      </c>
      <c r="F53" s="49" t="str">
        <f>VLOOKUP($A53,订货1!$A53:$F294,6,0)</f>
        <v>箱</v>
      </c>
      <c r="G53" s="203"/>
      <c r="H53" s="56">
        <f t="shared" si="30"/>
        <v>1</v>
      </c>
      <c r="I53" s="196"/>
      <c r="J53" s="113"/>
      <c r="K53" s="113"/>
      <c r="L53" s="196"/>
      <c r="M53" s="113"/>
      <c r="N53" s="113"/>
      <c r="O53" s="62">
        <f>订货1!AB53</f>
        <v>0</v>
      </c>
      <c r="P53" s="113"/>
      <c r="Q53" s="113"/>
      <c r="R53" s="62">
        <f>订货1!AC53</f>
        <v>0</v>
      </c>
      <c r="S53" s="113"/>
      <c r="T53" s="113"/>
      <c r="U53" s="62">
        <f>订货1!AD53</f>
        <v>0</v>
      </c>
      <c r="V53" s="113"/>
      <c r="W53" s="113"/>
      <c r="X53" s="62">
        <f>订货1!AE53</f>
        <v>0</v>
      </c>
      <c r="Y53" s="113"/>
      <c r="Z53" s="113"/>
      <c r="AA53" s="62">
        <f>订货1!AF53</f>
        <v>0</v>
      </c>
      <c r="AB53" s="113"/>
      <c r="AC53" s="113"/>
      <c r="AD53" s="62">
        <f>订货1!AG53</f>
        <v>1</v>
      </c>
      <c r="AE53" s="113"/>
      <c r="AF53" s="113"/>
      <c r="AG53" s="62">
        <f>订货1!AH53</f>
        <v>0</v>
      </c>
      <c r="AH53" s="113"/>
      <c r="AI53" s="113"/>
      <c r="AJ53" s="62">
        <f>订货1!AI53</f>
        <v>0</v>
      </c>
      <c r="AK53" s="113"/>
      <c r="AL53" s="113"/>
      <c r="AM53" s="62">
        <f>订货1!AJ53</f>
        <v>0</v>
      </c>
      <c r="AN53" s="113"/>
      <c r="AO53" s="113"/>
      <c r="AP53" s="62">
        <f>订货1!AK53</f>
        <v>0</v>
      </c>
      <c r="AQ53" s="113"/>
      <c r="AR53" s="113"/>
      <c r="AS53" s="62">
        <f>订货1!AL53</f>
        <v>0</v>
      </c>
      <c r="AT53" s="113"/>
      <c r="AU53" s="113"/>
      <c r="AV53" s="62">
        <f>订货1!AM53</f>
        <v>0</v>
      </c>
      <c r="AW53" s="113"/>
      <c r="AX53" s="113"/>
      <c r="AY53" s="62">
        <f>订货1!AN53</f>
        <v>0</v>
      </c>
      <c r="AZ53" s="113"/>
      <c r="BA53" s="113"/>
      <c r="BB53" s="62">
        <f>订货1!AO53</f>
        <v>0</v>
      </c>
      <c r="BC53" s="113"/>
      <c r="BD53" s="113"/>
      <c r="BE53" s="62">
        <f>订货1!AP53</f>
        <v>0</v>
      </c>
      <c r="BF53" s="113"/>
      <c r="BG53" s="113"/>
      <c r="BH53" s="62">
        <f>订货1!AQ53</f>
        <v>0</v>
      </c>
      <c r="BI53" s="113"/>
      <c r="BJ53" s="113"/>
      <c r="BK53" s="62">
        <f>订货1!AR53</f>
        <v>0</v>
      </c>
      <c r="BL53" s="113"/>
      <c r="BM53" s="113"/>
      <c r="BN53" s="62">
        <f>订货1!AS53</f>
        <v>0</v>
      </c>
      <c r="BO53" s="113"/>
      <c r="BP53" s="113"/>
      <c r="BQ53" s="62">
        <f>订货1!AT53</f>
        <v>0</v>
      </c>
      <c r="BR53" s="113"/>
      <c r="BS53" s="113"/>
      <c r="BT53" s="62">
        <f>订货1!AU53</f>
        <v>0</v>
      </c>
      <c r="BU53" s="113"/>
      <c r="BV53" s="113"/>
      <c r="BW53" s="62">
        <f>订货1!AV53</f>
        <v>0</v>
      </c>
      <c r="BX53" s="113"/>
      <c r="BY53" s="113"/>
      <c r="BZ53" s="62">
        <f>订货1!AW53</f>
        <v>0</v>
      </c>
      <c r="CA53" s="113"/>
      <c r="CB53" s="113"/>
      <c r="CC53" s="62">
        <f>订货1!AX53</f>
        <v>0</v>
      </c>
      <c r="CD53" s="113"/>
      <c r="CE53" s="113"/>
      <c r="CF53" s="62">
        <f>订货1!AY53</f>
        <v>0</v>
      </c>
      <c r="CG53" s="113"/>
      <c r="CH53" s="113"/>
      <c r="CI53" s="62">
        <f>订货1!AZ53</f>
        <v>0</v>
      </c>
      <c r="CJ53" s="113"/>
      <c r="CK53" s="113"/>
      <c r="CL53" s="62">
        <f>订货1!BA53</f>
        <v>0</v>
      </c>
      <c r="CM53" s="113"/>
      <c r="CN53" s="113"/>
      <c r="CO53" s="62">
        <f>订货1!BB53</f>
        <v>0</v>
      </c>
      <c r="CP53" s="113"/>
      <c r="CQ53" s="113"/>
      <c r="CR53" s="62">
        <f>订货1!BC53</f>
        <v>0</v>
      </c>
      <c r="CS53" s="113"/>
      <c r="CT53" s="113"/>
      <c r="CU53" s="62">
        <f>订货1!BD53</f>
        <v>0</v>
      </c>
      <c r="CV53" s="113"/>
      <c r="CW53" s="113"/>
      <c r="CX53" s="62">
        <f>订货1!BE53</f>
        <v>0</v>
      </c>
      <c r="CY53" s="113"/>
      <c r="CZ53" s="113"/>
      <c r="DA53" s="62">
        <f>订货1!BF53</f>
        <v>0</v>
      </c>
      <c r="DB53" s="113"/>
      <c r="DC53" s="113"/>
      <c r="DD53" s="208">
        <v>0</v>
      </c>
      <c r="DE53" s="110" t="e">
        <f t="shared" si="31"/>
        <v>#DIV/0!</v>
      </c>
      <c r="DF53" s="52">
        <f t="shared" si="29"/>
        <v>1</v>
      </c>
      <c r="DG53" s="32" t="str">
        <f>订货1!$Q53</f>
        <v>箱</v>
      </c>
      <c r="DH53" s="209" t="e">
        <f t="shared" si="32"/>
        <v>#DIV/0!</v>
      </c>
    </row>
    <row r="54" spans="1:112" ht="15" customHeight="1">
      <c r="A54" s="48">
        <f>订货1!A54</f>
        <v>101700</v>
      </c>
      <c r="B54" s="44" t="str">
        <f>VLOOKUP($A54,订货1!$A54:$G295,7,0)</f>
        <v>上海潜深实业有限公司</v>
      </c>
      <c r="C54" s="44" t="str">
        <f>VLOOKUP($A54,订货1!$A54:$H295,8,0)</f>
        <v>大丰英茂糖业有限公司</v>
      </c>
      <c r="D54" s="44" t="str">
        <f>VLOOKUP($A54,订货1!$A54:$B295,2,0)</f>
        <v>白砂糖</v>
      </c>
      <c r="E54" s="44" t="str">
        <f>VLOOKUP($A54,订货1!$A54:$E295,5,0)</f>
        <v>1kg*20pc</v>
      </c>
      <c r="F54" s="49" t="str">
        <f>VLOOKUP($A54,订货1!$A54:$F295,6,0)</f>
        <v>箱</v>
      </c>
      <c r="G54" s="203"/>
      <c r="H54" s="56">
        <f t="shared" si="30"/>
        <v>0</v>
      </c>
      <c r="I54" s="196"/>
      <c r="J54" s="113"/>
      <c r="K54" s="113"/>
      <c r="L54" s="196"/>
      <c r="M54" s="113"/>
      <c r="N54" s="113"/>
      <c r="O54" s="62">
        <f>订货1!AB54</f>
        <v>0</v>
      </c>
      <c r="P54" s="113"/>
      <c r="Q54" s="113"/>
      <c r="R54" s="62">
        <f>订货1!AC54</f>
        <v>0</v>
      </c>
      <c r="S54" s="113"/>
      <c r="T54" s="113"/>
      <c r="U54" s="62">
        <f>订货1!AD54</f>
        <v>0</v>
      </c>
      <c r="V54" s="113"/>
      <c r="W54" s="113"/>
      <c r="X54" s="62">
        <f>订货1!AE54</f>
        <v>0</v>
      </c>
      <c r="Y54" s="113"/>
      <c r="Z54" s="113"/>
      <c r="AA54" s="62">
        <f>订货1!AF54</f>
        <v>0</v>
      </c>
      <c r="AB54" s="113"/>
      <c r="AC54" s="113"/>
      <c r="AD54" s="62">
        <f>订货1!AG54</f>
        <v>0</v>
      </c>
      <c r="AE54" s="113"/>
      <c r="AF54" s="113"/>
      <c r="AG54" s="62">
        <f>订货1!AH54</f>
        <v>0</v>
      </c>
      <c r="AH54" s="113"/>
      <c r="AI54" s="113"/>
      <c r="AJ54" s="62">
        <f>订货1!AI54</f>
        <v>0</v>
      </c>
      <c r="AK54" s="113"/>
      <c r="AL54" s="113"/>
      <c r="AM54" s="62">
        <f>订货1!AJ54</f>
        <v>0</v>
      </c>
      <c r="AN54" s="113"/>
      <c r="AO54" s="113"/>
      <c r="AP54" s="62">
        <f>订货1!AK54</f>
        <v>0</v>
      </c>
      <c r="AQ54" s="113"/>
      <c r="AR54" s="113"/>
      <c r="AS54" s="62">
        <f>订货1!AL54</f>
        <v>0</v>
      </c>
      <c r="AT54" s="113"/>
      <c r="AU54" s="113"/>
      <c r="AV54" s="62">
        <f>订货1!AM54</f>
        <v>0</v>
      </c>
      <c r="AW54" s="113"/>
      <c r="AX54" s="113"/>
      <c r="AY54" s="62">
        <f>订货1!AN54</f>
        <v>0</v>
      </c>
      <c r="AZ54" s="113"/>
      <c r="BA54" s="113"/>
      <c r="BB54" s="62">
        <f>订货1!AO54</f>
        <v>0</v>
      </c>
      <c r="BC54" s="113"/>
      <c r="BD54" s="113"/>
      <c r="BE54" s="62">
        <f>订货1!AP54</f>
        <v>0</v>
      </c>
      <c r="BF54" s="113"/>
      <c r="BG54" s="113"/>
      <c r="BH54" s="62">
        <f>订货1!AQ54</f>
        <v>0</v>
      </c>
      <c r="BI54" s="113"/>
      <c r="BJ54" s="113"/>
      <c r="BK54" s="62">
        <f>订货1!AR54</f>
        <v>0</v>
      </c>
      <c r="BL54" s="113"/>
      <c r="BM54" s="113"/>
      <c r="BN54" s="62">
        <f>订货1!AS54</f>
        <v>0</v>
      </c>
      <c r="BO54" s="113"/>
      <c r="BP54" s="113"/>
      <c r="BQ54" s="62">
        <f>订货1!AT54</f>
        <v>0</v>
      </c>
      <c r="BR54" s="113"/>
      <c r="BS54" s="113"/>
      <c r="BT54" s="62">
        <f>订货1!AU54</f>
        <v>0</v>
      </c>
      <c r="BU54" s="113"/>
      <c r="BV54" s="113"/>
      <c r="BW54" s="62">
        <f>订货1!AV54</f>
        <v>0</v>
      </c>
      <c r="BX54" s="113"/>
      <c r="BY54" s="113"/>
      <c r="BZ54" s="62">
        <f>订货1!AW54</f>
        <v>0</v>
      </c>
      <c r="CA54" s="113"/>
      <c r="CB54" s="113"/>
      <c r="CC54" s="62">
        <f>订货1!AX54</f>
        <v>0</v>
      </c>
      <c r="CD54" s="113"/>
      <c r="CE54" s="113"/>
      <c r="CF54" s="62">
        <f>订货1!AY54</f>
        <v>0</v>
      </c>
      <c r="CG54" s="113"/>
      <c r="CH54" s="113"/>
      <c r="CI54" s="62">
        <f>订货1!AZ54</f>
        <v>0</v>
      </c>
      <c r="CJ54" s="113"/>
      <c r="CK54" s="113"/>
      <c r="CL54" s="62">
        <f>订货1!BA54</f>
        <v>0</v>
      </c>
      <c r="CM54" s="113"/>
      <c r="CN54" s="113"/>
      <c r="CO54" s="62">
        <f>订货1!BB54</f>
        <v>0</v>
      </c>
      <c r="CP54" s="113"/>
      <c r="CQ54" s="113"/>
      <c r="CR54" s="62">
        <f>订货1!BC54</f>
        <v>0</v>
      </c>
      <c r="CS54" s="113"/>
      <c r="CT54" s="113"/>
      <c r="CU54" s="62">
        <f>订货1!BD54</f>
        <v>0</v>
      </c>
      <c r="CV54" s="113"/>
      <c r="CW54" s="113"/>
      <c r="CX54" s="62">
        <f>订货1!BE54</f>
        <v>0</v>
      </c>
      <c r="CY54" s="113"/>
      <c r="CZ54" s="113"/>
      <c r="DA54" s="62">
        <f>订货1!BF54</f>
        <v>0</v>
      </c>
      <c r="DB54" s="113"/>
      <c r="DC54" s="113"/>
      <c r="DD54" s="208">
        <v>0</v>
      </c>
      <c r="DE54" s="110" t="e">
        <f t="shared" si="31"/>
        <v>#DIV/0!</v>
      </c>
      <c r="DF54" s="52">
        <f t="shared" si="29"/>
        <v>0</v>
      </c>
      <c r="DG54" s="32" t="str">
        <f>订货1!$Q54</f>
        <v>箱</v>
      </c>
      <c r="DH54" s="209" t="e">
        <f t="shared" si="32"/>
        <v>#DIV/0!</v>
      </c>
    </row>
    <row r="55" spans="1:112" ht="15" customHeight="1">
      <c r="A55" s="48">
        <f>订货1!A55</f>
        <v>101594</v>
      </c>
      <c r="B55" s="44" t="str">
        <f>VLOOKUP($A55,订货1!$A55:$G296,7,0)</f>
        <v>嘉兴铃吉食品有限公司</v>
      </c>
      <c r="C55" s="44" t="str">
        <f>VLOOKUP($A55,订货1!$A55:$H296,8,0)</f>
        <v>嘉兴铃吉食品有限公司</v>
      </c>
      <c r="D55" s="44" t="str">
        <f>VLOOKUP($A55,订货1!$A55:$B296,2,0)</f>
        <v>麻辣肉酱</v>
      </c>
      <c r="E55" s="44" t="str">
        <f>VLOOKUP($A55,订货1!$A55:$E296,5,0)</f>
        <v>1kg*10pc</v>
      </c>
      <c r="F55" s="49" t="str">
        <f>VLOOKUP($A55,订货1!$A55:$F296,6,0)</f>
        <v>箱</v>
      </c>
      <c r="G55" s="203"/>
      <c r="H55" s="56">
        <f t="shared" si="30"/>
        <v>4</v>
      </c>
      <c r="I55" s="196"/>
      <c r="J55" s="113"/>
      <c r="K55" s="113"/>
      <c r="L55" s="196"/>
      <c r="M55" s="113"/>
      <c r="N55" s="113"/>
      <c r="O55" s="62">
        <f>订货1!AB55</f>
        <v>0</v>
      </c>
      <c r="P55" s="113"/>
      <c r="Q55" s="113"/>
      <c r="R55" s="62">
        <f>订货1!AC55</f>
        <v>0</v>
      </c>
      <c r="S55" s="113"/>
      <c r="T55" s="113"/>
      <c r="U55" s="62">
        <f>订货1!AD55</f>
        <v>0</v>
      </c>
      <c r="V55" s="113"/>
      <c r="W55" s="113"/>
      <c r="X55" s="62">
        <f>订货1!AE55</f>
        <v>0</v>
      </c>
      <c r="Y55" s="113"/>
      <c r="Z55" s="113"/>
      <c r="AA55" s="62">
        <f>订货1!AF55</f>
        <v>1</v>
      </c>
      <c r="AB55" s="113"/>
      <c r="AC55" s="113"/>
      <c r="AD55" s="62">
        <f>订货1!AG55</f>
        <v>0</v>
      </c>
      <c r="AE55" s="113"/>
      <c r="AF55" s="113"/>
      <c r="AG55" s="62">
        <f>订货1!AH55</f>
        <v>0</v>
      </c>
      <c r="AH55" s="113"/>
      <c r="AI55" s="113"/>
      <c r="AJ55" s="62">
        <f>订货1!AI55</f>
        <v>1</v>
      </c>
      <c r="AK55" s="113"/>
      <c r="AL55" s="113"/>
      <c r="AM55" s="62">
        <f>订货1!AJ55</f>
        <v>0</v>
      </c>
      <c r="AN55" s="113"/>
      <c r="AO55" s="113"/>
      <c r="AP55" s="62">
        <f>订货1!AK55</f>
        <v>0</v>
      </c>
      <c r="AQ55" s="113"/>
      <c r="AR55" s="113"/>
      <c r="AS55" s="62">
        <f>订货1!AL55</f>
        <v>0</v>
      </c>
      <c r="AT55" s="113"/>
      <c r="AU55" s="113"/>
      <c r="AV55" s="62">
        <f>订货1!AM55</f>
        <v>1</v>
      </c>
      <c r="AW55" s="113"/>
      <c r="AX55" s="113"/>
      <c r="AY55" s="62">
        <f>订货1!AN55</f>
        <v>0</v>
      </c>
      <c r="AZ55" s="113"/>
      <c r="BA55" s="113"/>
      <c r="BB55" s="62">
        <f>订货1!AO55</f>
        <v>1</v>
      </c>
      <c r="BC55" s="113"/>
      <c r="BD55" s="113"/>
      <c r="BE55" s="62">
        <f>订货1!AP55</f>
        <v>0</v>
      </c>
      <c r="BF55" s="113"/>
      <c r="BG55" s="113"/>
      <c r="BH55" s="62">
        <f>订货1!AQ55</f>
        <v>0</v>
      </c>
      <c r="BI55" s="113"/>
      <c r="BJ55" s="113"/>
      <c r="BK55" s="62">
        <f>订货1!AR55</f>
        <v>0</v>
      </c>
      <c r="BL55" s="113"/>
      <c r="BM55" s="113"/>
      <c r="BN55" s="62">
        <f>订货1!AS55</f>
        <v>0</v>
      </c>
      <c r="BO55" s="113"/>
      <c r="BP55" s="113"/>
      <c r="BQ55" s="62">
        <f>订货1!AT55</f>
        <v>0</v>
      </c>
      <c r="BR55" s="113"/>
      <c r="BS55" s="113"/>
      <c r="BT55" s="62">
        <f>订货1!AU55</f>
        <v>0</v>
      </c>
      <c r="BU55" s="113"/>
      <c r="BV55" s="113"/>
      <c r="BW55" s="62">
        <f>订货1!AV55</f>
        <v>0</v>
      </c>
      <c r="BX55" s="113"/>
      <c r="BY55" s="113"/>
      <c r="BZ55" s="62">
        <f>订货1!AW55</f>
        <v>0</v>
      </c>
      <c r="CA55" s="113"/>
      <c r="CB55" s="113"/>
      <c r="CC55" s="62">
        <f>订货1!AX55</f>
        <v>0</v>
      </c>
      <c r="CD55" s="113"/>
      <c r="CE55" s="113"/>
      <c r="CF55" s="62">
        <f>订货1!AY55</f>
        <v>0</v>
      </c>
      <c r="CG55" s="113"/>
      <c r="CH55" s="113"/>
      <c r="CI55" s="62">
        <f>订货1!AZ55</f>
        <v>0</v>
      </c>
      <c r="CJ55" s="113"/>
      <c r="CK55" s="113"/>
      <c r="CL55" s="62">
        <f>订货1!BA55</f>
        <v>0</v>
      </c>
      <c r="CM55" s="113"/>
      <c r="CN55" s="113"/>
      <c r="CO55" s="62">
        <f>订货1!BB55</f>
        <v>0</v>
      </c>
      <c r="CP55" s="113"/>
      <c r="CQ55" s="113"/>
      <c r="CR55" s="62">
        <f>订货1!BC55</f>
        <v>0</v>
      </c>
      <c r="CS55" s="113"/>
      <c r="CT55" s="113"/>
      <c r="CU55" s="62">
        <f>订货1!BD55</f>
        <v>0</v>
      </c>
      <c r="CV55" s="113"/>
      <c r="CW55" s="113"/>
      <c r="CX55" s="62">
        <f>订货1!BE55</f>
        <v>0</v>
      </c>
      <c r="CY55" s="113"/>
      <c r="CZ55" s="113"/>
      <c r="DA55" s="62">
        <f>订货1!BF55</f>
        <v>0</v>
      </c>
      <c r="DB55" s="113"/>
      <c r="DC55" s="113"/>
      <c r="DD55" s="208">
        <v>0</v>
      </c>
      <c r="DE55" s="110" t="e">
        <f t="shared" si="31"/>
        <v>#DIV/0!</v>
      </c>
      <c r="DF55" s="52">
        <f t="shared" si="29"/>
        <v>4</v>
      </c>
      <c r="DG55" s="32" t="str">
        <f>订货1!$Q55</f>
        <v>箱</v>
      </c>
      <c r="DH55" s="209" t="e">
        <f t="shared" si="32"/>
        <v>#DIV/0!</v>
      </c>
    </row>
    <row r="56" spans="1:112" ht="15" customHeight="1">
      <c r="A56" s="48">
        <f>订货1!A56</f>
        <v>101642</v>
      </c>
      <c r="B56" s="44" t="str">
        <f>VLOOKUP($A56,订货1!$A56:$G297,7,0)</f>
        <v>上海亮珠米业有限公司</v>
      </c>
      <c r="C56" s="44" t="str">
        <f>VLOOKUP($A56,订货1!$A56:$H297,8,0)</f>
        <v>上海亮珠米业有限公司</v>
      </c>
      <c r="D56" s="44" t="str">
        <f>VLOOKUP($A56,订货1!$A56:$B297,2,0)</f>
        <v>长粒香大米</v>
      </c>
      <c r="E56" s="44" t="str">
        <f>VLOOKUP($A56,订货1!$A56:$E297,5,0)</f>
        <v>1.1kg*10pc</v>
      </c>
      <c r="F56" s="49" t="str">
        <f>VLOOKUP($A56,订货1!$A56:$F297,6,0)</f>
        <v>袋</v>
      </c>
      <c r="G56" s="203"/>
      <c r="H56" s="56">
        <f t="shared" si="30"/>
        <v>0</v>
      </c>
      <c r="I56" s="196"/>
      <c r="J56" s="113"/>
      <c r="K56" s="113"/>
      <c r="L56" s="196"/>
      <c r="M56" s="113"/>
      <c r="N56" s="113"/>
      <c r="O56" s="62">
        <f>订货1!AB56</f>
        <v>0</v>
      </c>
      <c r="P56" s="113"/>
      <c r="Q56" s="113"/>
      <c r="R56" s="62">
        <f>订货1!AC56</f>
        <v>0</v>
      </c>
      <c r="S56" s="113"/>
      <c r="T56" s="113"/>
      <c r="U56" s="62">
        <f>订货1!AD56</f>
        <v>0</v>
      </c>
      <c r="V56" s="113"/>
      <c r="W56" s="113"/>
      <c r="X56" s="62">
        <f>订货1!AE56</f>
        <v>0</v>
      </c>
      <c r="Y56" s="113"/>
      <c r="Z56" s="113"/>
      <c r="AA56" s="62">
        <f>订货1!AF56</f>
        <v>0</v>
      </c>
      <c r="AB56" s="113"/>
      <c r="AC56" s="113"/>
      <c r="AD56" s="62">
        <f>订货1!AG56</f>
        <v>0</v>
      </c>
      <c r="AE56" s="113"/>
      <c r="AF56" s="113"/>
      <c r="AG56" s="62">
        <f>订货1!AH56</f>
        <v>0</v>
      </c>
      <c r="AH56" s="113"/>
      <c r="AI56" s="113"/>
      <c r="AJ56" s="62">
        <f>订货1!AI56</f>
        <v>0</v>
      </c>
      <c r="AK56" s="113"/>
      <c r="AL56" s="113"/>
      <c r="AM56" s="62">
        <f>订货1!AJ56</f>
        <v>0</v>
      </c>
      <c r="AN56" s="113"/>
      <c r="AO56" s="113"/>
      <c r="AP56" s="62">
        <f>订货1!AK56</f>
        <v>0</v>
      </c>
      <c r="AQ56" s="113"/>
      <c r="AR56" s="113"/>
      <c r="AS56" s="62">
        <f>订货1!AL56</f>
        <v>0</v>
      </c>
      <c r="AT56" s="113"/>
      <c r="AU56" s="113"/>
      <c r="AV56" s="62">
        <f>订货1!AM56</f>
        <v>0</v>
      </c>
      <c r="AW56" s="113"/>
      <c r="AX56" s="113"/>
      <c r="AY56" s="62">
        <f>订货1!AN56</f>
        <v>0</v>
      </c>
      <c r="AZ56" s="113"/>
      <c r="BA56" s="113"/>
      <c r="BB56" s="62">
        <f>订货1!AO56</f>
        <v>0</v>
      </c>
      <c r="BC56" s="113"/>
      <c r="BD56" s="113"/>
      <c r="BE56" s="62">
        <f>订货1!AP56</f>
        <v>0</v>
      </c>
      <c r="BF56" s="113"/>
      <c r="BG56" s="113"/>
      <c r="BH56" s="62">
        <f>订货1!AQ56</f>
        <v>0</v>
      </c>
      <c r="BI56" s="113"/>
      <c r="BJ56" s="113"/>
      <c r="BK56" s="62">
        <f>订货1!AR56</f>
        <v>0</v>
      </c>
      <c r="BL56" s="113"/>
      <c r="BM56" s="113"/>
      <c r="BN56" s="62">
        <f>订货1!AS56</f>
        <v>0</v>
      </c>
      <c r="BO56" s="113"/>
      <c r="BP56" s="113"/>
      <c r="BQ56" s="62">
        <f>订货1!AT56</f>
        <v>0</v>
      </c>
      <c r="BR56" s="113"/>
      <c r="BS56" s="113"/>
      <c r="BT56" s="62">
        <f>订货1!AU56</f>
        <v>0</v>
      </c>
      <c r="BU56" s="113"/>
      <c r="BV56" s="113"/>
      <c r="BW56" s="62">
        <f>订货1!AV56</f>
        <v>0</v>
      </c>
      <c r="BX56" s="113"/>
      <c r="BY56" s="113"/>
      <c r="BZ56" s="62">
        <f>订货1!AW56</f>
        <v>0</v>
      </c>
      <c r="CA56" s="113"/>
      <c r="CB56" s="113"/>
      <c r="CC56" s="62">
        <f>订货1!AX56</f>
        <v>0</v>
      </c>
      <c r="CD56" s="113"/>
      <c r="CE56" s="113"/>
      <c r="CF56" s="62">
        <f>订货1!AY56</f>
        <v>0</v>
      </c>
      <c r="CG56" s="113"/>
      <c r="CH56" s="113"/>
      <c r="CI56" s="62">
        <f>订货1!AZ56</f>
        <v>0</v>
      </c>
      <c r="CJ56" s="113"/>
      <c r="CK56" s="113"/>
      <c r="CL56" s="62">
        <f>订货1!BA56</f>
        <v>0</v>
      </c>
      <c r="CM56" s="113"/>
      <c r="CN56" s="113"/>
      <c r="CO56" s="62">
        <f>订货1!BB56</f>
        <v>0</v>
      </c>
      <c r="CP56" s="113"/>
      <c r="CQ56" s="113"/>
      <c r="CR56" s="62">
        <f>订货1!BC56</f>
        <v>0</v>
      </c>
      <c r="CS56" s="113"/>
      <c r="CT56" s="113"/>
      <c r="CU56" s="62">
        <f>订货1!BD56</f>
        <v>0</v>
      </c>
      <c r="CV56" s="113"/>
      <c r="CW56" s="113"/>
      <c r="CX56" s="62">
        <f>订货1!BE56</f>
        <v>0</v>
      </c>
      <c r="CY56" s="113"/>
      <c r="CZ56" s="113"/>
      <c r="DA56" s="62">
        <f>订货1!BF56</f>
        <v>0</v>
      </c>
      <c r="DB56" s="113"/>
      <c r="DC56" s="113"/>
      <c r="DD56" s="208">
        <v>0</v>
      </c>
      <c r="DE56" s="110" t="e">
        <f t="shared" si="31"/>
        <v>#DIV/0!</v>
      </c>
      <c r="DF56" s="52">
        <f t="shared" si="29"/>
        <v>0</v>
      </c>
      <c r="DG56" s="32" t="str">
        <f>订货1!$Q56</f>
        <v>袋</v>
      </c>
      <c r="DH56" s="209" t="e">
        <f t="shared" si="32"/>
        <v>#DIV/0!</v>
      </c>
    </row>
    <row r="57" spans="1:112" ht="15" customHeight="1">
      <c r="A57" s="48">
        <f>订货1!A57</f>
        <v>101015</v>
      </c>
      <c r="B57" s="44" t="str">
        <f>VLOOKUP($A57,订货1!$A57:$G298,7,0)</f>
        <v>丹东永明食品有限公司</v>
      </c>
      <c r="C57" s="44" t="str">
        <f>VLOOKUP($A57,订货1!$A57:$H298,8,0)</f>
        <v>丹东永明食品有限公司</v>
      </c>
      <c r="D57" s="44" t="str">
        <f>VLOOKUP($A57,订货1!$A57:$B298,2,0)</f>
        <v>冻鱿鱼圈</v>
      </c>
      <c r="E57" s="44" t="str">
        <f>VLOOKUP($A57,订货1!$A57:$E298,5,0)</f>
        <v>1kg*10pc</v>
      </c>
      <c r="F57" s="49" t="str">
        <f>VLOOKUP($A57,订货1!$A57:$F298,6,0)</f>
        <v>箱</v>
      </c>
      <c r="G57" s="203"/>
      <c r="H57" s="56">
        <f t="shared" si="30"/>
        <v>1</v>
      </c>
      <c r="I57" s="196"/>
      <c r="J57" s="113"/>
      <c r="K57" s="113"/>
      <c r="L57" s="196"/>
      <c r="M57" s="113"/>
      <c r="N57" s="113"/>
      <c r="O57" s="62">
        <f>订货1!AB57</f>
        <v>0</v>
      </c>
      <c r="P57" s="113"/>
      <c r="Q57" s="113"/>
      <c r="R57" s="62">
        <f>订货1!AC57</f>
        <v>0</v>
      </c>
      <c r="S57" s="113"/>
      <c r="T57" s="113"/>
      <c r="U57" s="62">
        <f>订货1!AD57</f>
        <v>0</v>
      </c>
      <c r="V57" s="113"/>
      <c r="W57" s="113"/>
      <c r="X57" s="62">
        <f>订货1!AE57</f>
        <v>0</v>
      </c>
      <c r="Y57" s="113"/>
      <c r="Z57" s="113"/>
      <c r="AA57" s="62">
        <f>订货1!AF57</f>
        <v>0</v>
      </c>
      <c r="AB57" s="113"/>
      <c r="AC57" s="113"/>
      <c r="AD57" s="62">
        <f>订货1!AG57</f>
        <v>0</v>
      </c>
      <c r="AE57" s="113"/>
      <c r="AF57" s="113"/>
      <c r="AG57" s="62">
        <f>订货1!AH57</f>
        <v>0</v>
      </c>
      <c r="AH57" s="113"/>
      <c r="AI57" s="113"/>
      <c r="AJ57" s="62">
        <f>订货1!AI57</f>
        <v>0</v>
      </c>
      <c r="AK57" s="113"/>
      <c r="AL57" s="113"/>
      <c r="AM57" s="62">
        <f>订货1!AJ57</f>
        <v>0</v>
      </c>
      <c r="AN57" s="113"/>
      <c r="AO57" s="113"/>
      <c r="AP57" s="62">
        <f>订货1!AK57</f>
        <v>0</v>
      </c>
      <c r="AQ57" s="113"/>
      <c r="AR57" s="113"/>
      <c r="AS57" s="62">
        <f>订货1!AL57</f>
        <v>0</v>
      </c>
      <c r="AT57" s="113"/>
      <c r="AU57" s="113"/>
      <c r="AV57" s="62">
        <f>订货1!AM57</f>
        <v>1</v>
      </c>
      <c r="AW57" s="113"/>
      <c r="AX57" s="113"/>
      <c r="AY57" s="62">
        <f>订货1!AN57</f>
        <v>0</v>
      </c>
      <c r="AZ57" s="113"/>
      <c r="BA57" s="113"/>
      <c r="BB57" s="62">
        <f>订货1!AO57</f>
        <v>0</v>
      </c>
      <c r="BC57" s="113"/>
      <c r="BD57" s="113"/>
      <c r="BE57" s="62">
        <f>订货1!AP57</f>
        <v>0</v>
      </c>
      <c r="BF57" s="113"/>
      <c r="BG57" s="113"/>
      <c r="BH57" s="62">
        <f>订货1!AQ57</f>
        <v>0</v>
      </c>
      <c r="BI57" s="113"/>
      <c r="BJ57" s="113"/>
      <c r="BK57" s="62">
        <f>订货1!AR57</f>
        <v>0</v>
      </c>
      <c r="BL57" s="113"/>
      <c r="BM57" s="113"/>
      <c r="BN57" s="62">
        <f>订货1!AS57</f>
        <v>0</v>
      </c>
      <c r="BO57" s="113"/>
      <c r="BP57" s="113"/>
      <c r="BQ57" s="62">
        <f>订货1!AT57</f>
        <v>0</v>
      </c>
      <c r="BR57" s="113"/>
      <c r="BS57" s="113"/>
      <c r="BT57" s="62">
        <f>订货1!AU57</f>
        <v>0</v>
      </c>
      <c r="BU57" s="113"/>
      <c r="BV57" s="113"/>
      <c r="BW57" s="62">
        <f>订货1!AV57</f>
        <v>0</v>
      </c>
      <c r="BX57" s="113"/>
      <c r="BY57" s="113"/>
      <c r="BZ57" s="62">
        <f>订货1!AW57</f>
        <v>0</v>
      </c>
      <c r="CA57" s="113"/>
      <c r="CB57" s="113"/>
      <c r="CC57" s="62">
        <f>订货1!AX57</f>
        <v>0</v>
      </c>
      <c r="CD57" s="113"/>
      <c r="CE57" s="113"/>
      <c r="CF57" s="62">
        <f>订货1!AY57</f>
        <v>0</v>
      </c>
      <c r="CG57" s="113"/>
      <c r="CH57" s="113"/>
      <c r="CI57" s="62">
        <f>订货1!AZ57</f>
        <v>0</v>
      </c>
      <c r="CJ57" s="113"/>
      <c r="CK57" s="113"/>
      <c r="CL57" s="62">
        <f>订货1!BA57</f>
        <v>0</v>
      </c>
      <c r="CM57" s="113"/>
      <c r="CN57" s="113"/>
      <c r="CO57" s="62">
        <f>订货1!BB57</f>
        <v>0</v>
      </c>
      <c r="CP57" s="113"/>
      <c r="CQ57" s="113"/>
      <c r="CR57" s="62">
        <f>订货1!BC57</f>
        <v>0</v>
      </c>
      <c r="CS57" s="113"/>
      <c r="CT57" s="113"/>
      <c r="CU57" s="62">
        <f>订货1!BD57</f>
        <v>0</v>
      </c>
      <c r="CV57" s="113"/>
      <c r="CW57" s="113"/>
      <c r="CX57" s="62">
        <f>订货1!BE57</f>
        <v>0</v>
      </c>
      <c r="CY57" s="113"/>
      <c r="CZ57" s="113"/>
      <c r="DA57" s="62">
        <f>订货1!BF57</f>
        <v>0</v>
      </c>
      <c r="DB57" s="113"/>
      <c r="DC57" s="113"/>
      <c r="DD57" s="208">
        <v>0</v>
      </c>
      <c r="DE57" s="110" t="e">
        <f t="shared" si="31"/>
        <v>#DIV/0!</v>
      </c>
      <c r="DF57" s="52">
        <f t="shared" si="29"/>
        <v>1</v>
      </c>
      <c r="DG57" s="32" t="str">
        <f>订货1!$Q57</f>
        <v>箱</v>
      </c>
      <c r="DH57" s="209" t="e">
        <f t="shared" si="32"/>
        <v>#DIV/0!</v>
      </c>
    </row>
    <row r="58" spans="1:112" ht="15" customHeight="1">
      <c r="A58" s="48">
        <f>订货1!A58</f>
        <v>101040</v>
      </c>
      <c r="B58" s="44" t="str">
        <f>VLOOKUP($A58,订货1!$A58:$G299,7,0)</f>
        <v>丹东永明食品有限公司</v>
      </c>
      <c r="C58" s="44" t="str">
        <f>VLOOKUP($A58,订货1!$A58:$H299,8,0)</f>
        <v>丹东永明食品有限公司</v>
      </c>
      <c r="D58" s="44" t="str">
        <f>VLOOKUP($A58,订货1!$A58:$B299,2,0)</f>
        <v>冻煮杂色蛤</v>
      </c>
      <c r="E58" s="44" t="str">
        <f>VLOOKUP($A58,订货1!$A58:$E299,5,0)</f>
        <v>96g*50pc</v>
      </c>
      <c r="F58" s="49" t="str">
        <f>VLOOKUP($A58,订货1!$A58:$F299,6,0)</f>
        <v>箱</v>
      </c>
      <c r="G58" s="203"/>
      <c r="H58" s="56">
        <f t="shared" si="30"/>
        <v>14</v>
      </c>
      <c r="I58" s="196"/>
      <c r="J58" s="113"/>
      <c r="K58" s="113"/>
      <c r="L58" s="196"/>
      <c r="M58" s="113"/>
      <c r="N58" s="113"/>
      <c r="O58" s="62">
        <f>订货1!AB58</f>
        <v>0</v>
      </c>
      <c r="P58" s="113"/>
      <c r="Q58" s="113"/>
      <c r="R58" s="62">
        <f>订货1!AC58</f>
        <v>2</v>
      </c>
      <c r="S58" s="113"/>
      <c r="T58" s="113"/>
      <c r="U58" s="62">
        <f>订货1!AD58</f>
        <v>0</v>
      </c>
      <c r="V58" s="113"/>
      <c r="W58" s="113"/>
      <c r="X58" s="62">
        <f>订货1!AE58</f>
        <v>1</v>
      </c>
      <c r="Y58" s="113"/>
      <c r="Z58" s="113"/>
      <c r="AA58" s="62">
        <f>订货1!AF58</f>
        <v>2</v>
      </c>
      <c r="AB58" s="113"/>
      <c r="AC58" s="113"/>
      <c r="AD58" s="62">
        <f>订货1!AG58</f>
        <v>2</v>
      </c>
      <c r="AE58" s="113"/>
      <c r="AF58" s="113"/>
      <c r="AG58" s="62">
        <f>订货1!AH58</f>
        <v>1</v>
      </c>
      <c r="AH58" s="113"/>
      <c r="AI58" s="113"/>
      <c r="AJ58" s="62">
        <f>订货1!AI58</f>
        <v>1</v>
      </c>
      <c r="AK58" s="113"/>
      <c r="AL58" s="113"/>
      <c r="AM58" s="62">
        <f>订货1!AJ58</f>
        <v>1</v>
      </c>
      <c r="AN58" s="113"/>
      <c r="AO58" s="113"/>
      <c r="AP58" s="62">
        <f>订货1!AK58</f>
        <v>0</v>
      </c>
      <c r="AQ58" s="113"/>
      <c r="AR58" s="113"/>
      <c r="AS58" s="62">
        <f>订货1!AL58</f>
        <v>0</v>
      </c>
      <c r="AT58" s="113"/>
      <c r="AU58" s="113"/>
      <c r="AV58" s="62">
        <f>订货1!AM58</f>
        <v>2</v>
      </c>
      <c r="AW58" s="113"/>
      <c r="AX58" s="113"/>
      <c r="AY58" s="62">
        <f>订货1!AN58</f>
        <v>2</v>
      </c>
      <c r="AZ58" s="113"/>
      <c r="BA58" s="113"/>
      <c r="BB58" s="62">
        <f>订货1!AO58</f>
        <v>0</v>
      </c>
      <c r="BC58" s="113"/>
      <c r="BD58" s="113"/>
      <c r="BE58" s="62">
        <f>订货1!AP58</f>
        <v>0</v>
      </c>
      <c r="BF58" s="113"/>
      <c r="BG58" s="113"/>
      <c r="BH58" s="62">
        <f>订货1!AQ58</f>
        <v>0</v>
      </c>
      <c r="BI58" s="113"/>
      <c r="BJ58" s="113"/>
      <c r="BK58" s="62">
        <f>订货1!AR58</f>
        <v>0</v>
      </c>
      <c r="BL58" s="113"/>
      <c r="BM58" s="113"/>
      <c r="BN58" s="62">
        <f>订货1!AS58</f>
        <v>0</v>
      </c>
      <c r="BO58" s="113"/>
      <c r="BP58" s="113"/>
      <c r="BQ58" s="62">
        <f>订货1!AT58</f>
        <v>0</v>
      </c>
      <c r="BR58" s="113"/>
      <c r="BS58" s="113"/>
      <c r="BT58" s="62">
        <f>订货1!AU58</f>
        <v>0</v>
      </c>
      <c r="BU58" s="113"/>
      <c r="BV58" s="113"/>
      <c r="BW58" s="62">
        <f>订货1!AV58</f>
        <v>0</v>
      </c>
      <c r="BX58" s="113"/>
      <c r="BY58" s="113"/>
      <c r="BZ58" s="62">
        <f>订货1!AW58</f>
        <v>0</v>
      </c>
      <c r="CA58" s="113"/>
      <c r="CB58" s="113"/>
      <c r="CC58" s="62">
        <f>订货1!AX58</f>
        <v>0</v>
      </c>
      <c r="CD58" s="113"/>
      <c r="CE58" s="113"/>
      <c r="CF58" s="62">
        <f>订货1!AY58</f>
        <v>0</v>
      </c>
      <c r="CG58" s="113"/>
      <c r="CH58" s="113"/>
      <c r="CI58" s="62">
        <f>订货1!AZ58</f>
        <v>0</v>
      </c>
      <c r="CJ58" s="113"/>
      <c r="CK58" s="113"/>
      <c r="CL58" s="62">
        <f>订货1!BA58</f>
        <v>0</v>
      </c>
      <c r="CM58" s="113"/>
      <c r="CN58" s="113"/>
      <c r="CO58" s="62">
        <f>订货1!BB58</f>
        <v>0</v>
      </c>
      <c r="CP58" s="113"/>
      <c r="CQ58" s="113"/>
      <c r="CR58" s="62">
        <f>订货1!BC58</f>
        <v>0</v>
      </c>
      <c r="CS58" s="113"/>
      <c r="CT58" s="113"/>
      <c r="CU58" s="62">
        <f>订货1!BD58</f>
        <v>0</v>
      </c>
      <c r="CV58" s="113"/>
      <c r="CW58" s="113"/>
      <c r="CX58" s="62">
        <f>订货1!BE58</f>
        <v>0</v>
      </c>
      <c r="CY58" s="113"/>
      <c r="CZ58" s="113"/>
      <c r="DA58" s="62">
        <f>订货1!BF58</f>
        <v>0</v>
      </c>
      <c r="DB58" s="113"/>
      <c r="DC58" s="113"/>
      <c r="DD58" s="208">
        <v>0</v>
      </c>
      <c r="DE58" s="110" t="e">
        <f t="shared" si="31"/>
        <v>#DIV/0!</v>
      </c>
      <c r="DF58" s="52">
        <f t="shared" si="29"/>
        <v>14</v>
      </c>
      <c r="DG58" s="32" t="str">
        <f>订货1!$Q58</f>
        <v>箱</v>
      </c>
      <c r="DH58" s="209" t="e">
        <f t="shared" si="32"/>
        <v>#DIV/0!</v>
      </c>
    </row>
    <row r="59" spans="1:112" ht="15" customHeight="1">
      <c r="A59" s="48">
        <f>订货1!A59</f>
        <v>101726</v>
      </c>
      <c r="B59" s="44" t="str">
        <f>VLOOKUP($A59,订货1!$A59:$G300,7,0)</f>
        <v>熠沣实业（上海）有限公司</v>
      </c>
      <c r="C59" s="44" t="str">
        <f>VLOOKUP($A59,订货1!$A59:$H300,8,0)</f>
        <v>贵州省贵三红食品有限公司</v>
      </c>
      <c r="D59" s="44" t="str">
        <f>VLOOKUP($A59,订货1!$A59:$B300,2,0)</f>
        <v>辣泡椒</v>
      </c>
      <c r="E59" s="44" t="str">
        <f>VLOOKUP($A59,订货1!$A59:$E300,5,0)</f>
        <v>0.5kg*30pc</v>
      </c>
      <c r="F59" s="49" t="str">
        <f>VLOOKUP($A59,订货1!$A59:$F300,6,0)</f>
        <v>箱</v>
      </c>
      <c r="G59" s="203"/>
      <c r="H59" s="56">
        <f t="shared" si="30"/>
        <v>1</v>
      </c>
      <c r="I59" s="196"/>
      <c r="J59" s="113"/>
      <c r="K59" s="113"/>
      <c r="L59" s="196"/>
      <c r="M59" s="113"/>
      <c r="N59" s="113"/>
      <c r="O59" s="62">
        <f>订货1!AB59</f>
        <v>0</v>
      </c>
      <c r="P59" s="113"/>
      <c r="Q59" s="113"/>
      <c r="R59" s="62">
        <f>订货1!AC59</f>
        <v>0</v>
      </c>
      <c r="S59" s="113"/>
      <c r="T59" s="113"/>
      <c r="U59" s="62">
        <f>订货1!AD59</f>
        <v>0</v>
      </c>
      <c r="V59" s="113"/>
      <c r="W59" s="113"/>
      <c r="X59" s="62">
        <f>订货1!AE59</f>
        <v>0</v>
      </c>
      <c r="Y59" s="113"/>
      <c r="Z59" s="113"/>
      <c r="AA59" s="62">
        <f>订货1!AF59</f>
        <v>0</v>
      </c>
      <c r="AB59" s="113"/>
      <c r="AC59" s="113"/>
      <c r="AD59" s="62">
        <f>订货1!AG59</f>
        <v>0</v>
      </c>
      <c r="AE59" s="113"/>
      <c r="AF59" s="113"/>
      <c r="AG59" s="62">
        <f>订货1!AH59</f>
        <v>0</v>
      </c>
      <c r="AH59" s="113"/>
      <c r="AI59" s="113"/>
      <c r="AJ59" s="62">
        <f>订货1!AI59</f>
        <v>0</v>
      </c>
      <c r="AK59" s="113"/>
      <c r="AL59" s="113"/>
      <c r="AM59" s="62">
        <f>订货1!AJ59</f>
        <v>0</v>
      </c>
      <c r="AN59" s="113"/>
      <c r="AO59" s="113"/>
      <c r="AP59" s="62">
        <f>订货1!AK59</f>
        <v>0</v>
      </c>
      <c r="AQ59" s="113"/>
      <c r="AR59" s="113"/>
      <c r="AS59" s="62">
        <f>订货1!AL59</f>
        <v>0</v>
      </c>
      <c r="AT59" s="113"/>
      <c r="AU59" s="113"/>
      <c r="AV59" s="62">
        <f>订货1!AM59</f>
        <v>1</v>
      </c>
      <c r="AW59" s="113"/>
      <c r="AX59" s="113"/>
      <c r="AY59" s="62">
        <f>订货1!AN59</f>
        <v>0</v>
      </c>
      <c r="AZ59" s="113"/>
      <c r="BA59" s="113"/>
      <c r="BB59" s="62">
        <f>订货1!AO59</f>
        <v>0</v>
      </c>
      <c r="BC59" s="113"/>
      <c r="BD59" s="113"/>
      <c r="BE59" s="62">
        <f>订货1!AP59</f>
        <v>0</v>
      </c>
      <c r="BF59" s="113"/>
      <c r="BG59" s="113"/>
      <c r="BH59" s="62">
        <f>订货1!AQ59</f>
        <v>0</v>
      </c>
      <c r="BI59" s="113"/>
      <c r="BJ59" s="113"/>
      <c r="BK59" s="62">
        <f>订货1!AR59</f>
        <v>0</v>
      </c>
      <c r="BL59" s="113"/>
      <c r="BM59" s="113"/>
      <c r="BN59" s="62">
        <f>订货1!AS59</f>
        <v>0</v>
      </c>
      <c r="BO59" s="113"/>
      <c r="BP59" s="113"/>
      <c r="BQ59" s="62">
        <f>订货1!AT59</f>
        <v>0</v>
      </c>
      <c r="BR59" s="113"/>
      <c r="BS59" s="113"/>
      <c r="BT59" s="62">
        <f>订货1!AU59</f>
        <v>0</v>
      </c>
      <c r="BU59" s="113"/>
      <c r="BV59" s="113"/>
      <c r="BW59" s="62">
        <f>订货1!AV59</f>
        <v>0</v>
      </c>
      <c r="BX59" s="113"/>
      <c r="BY59" s="113"/>
      <c r="BZ59" s="62">
        <f>订货1!AW59</f>
        <v>0</v>
      </c>
      <c r="CA59" s="113"/>
      <c r="CB59" s="113"/>
      <c r="CC59" s="62">
        <f>订货1!AX59</f>
        <v>0</v>
      </c>
      <c r="CD59" s="113"/>
      <c r="CE59" s="113"/>
      <c r="CF59" s="62">
        <f>订货1!AY59</f>
        <v>0</v>
      </c>
      <c r="CG59" s="113"/>
      <c r="CH59" s="113"/>
      <c r="CI59" s="62">
        <f>订货1!AZ59</f>
        <v>0</v>
      </c>
      <c r="CJ59" s="113"/>
      <c r="CK59" s="113"/>
      <c r="CL59" s="62">
        <f>订货1!BA59</f>
        <v>0</v>
      </c>
      <c r="CM59" s="113"/>
      <c r="CN59" s="113"/>
      <c r="CO59" s="62">
        <f>订货1!BB59</f>
        <v>0</v>
      </c>
      <c r="CP59" s="113"/>
      <c r="CQ59" s="113"/>
      <c r="CR59" s="62">
        <f>订货1!BC59</f>
        <v>0</v>
      </c>
      <c r="CS59" s="113"/>
      <c r="CT59" s="113"/>
      <c r="CU59" s="62">
        <f>订货1!BD59</f>
        <v>0</v>
      </c>
      <c r="CV59" s="113"/>
      <c r="CW59" s="113"/>
      <c r="CX59" s="62">
        <f>订货1!BE59</f>
        <v>0</v>
      </c>
      <c r="CY59" s="113"/>
      <c r="CZ59" s="113"/>
      <c r="DA59" s="62">
        <f>订货1!BF59</f>
        <v>0</v>
      </c>
      <c r="DB59" s="113"/>
      <c r="DC59" s="113"/>
      <c r="DD59" s="208">
        <v>0</v>
      </c>
      <c r="DE59" s="110" t="e">
        <f t="shared" si="31"/>
        <v>#DIV/0!</v>
      </c>
      <c r="DF59" s="52">
        <f t="shared" si="29"/>
        <v>1</v>
      </c>
      <c r="DG59" s="32" t="str">
        <f>订货1!$Q59</f>
        <v>箱</v>
      </c>
      <c r="DH59" s="209" t="e">
        <f t="shared" si="32"/>
        <v>#DIV/0!</v>
      </c>
    </row>
    <row r="60" spans="1:112" ht="15" customHeight="1">
      <c r="A60" s="48">
        <f>订货1!A60</f>
        <v>101590</v>
      </c>
      <c r="B60" s="44" t="str">
        <f>VLOOKUP($A60,订货1!$A60:$G301,7,0)</f>
        <v>承武贸易（上海）有限公司</v>
      </c>
      <c r="C60" s="44" t="str">
        <f>VLOOKUP($A60,订货1!$A60:$H301,8,0)</f>
        <v>山东泰乐源农业科技有限公司</v>
      </c>
      <c r="D60" s="44" t="str">
        <f>VLOOKUP($A60,订货1!$A60:$B301,2,0)</f>
        <v>金牌巴西甜橙（糖浆）</v>
      </c>
      <c r="E60" s="44" t="str">
        <f>VLOOKUP($A60,订货1!$A60:$E301,5,0)</f>
        <v>5kg*4pc</v>
      </c>
      <c r="F60" s="49" t="str">
        <f>VLOOKUP($A60,订货1!$A60:$F301,6,0)</f>
        <v>箱</v>
      </c>
      <c r="G60" s="203"/>
      <c r="H60" s="56">
        <f t="shared" si="30"/>
        <v>1</v>
      </c>
      <c r="I60" s="196"/>
      <c r="J60" s="113"/>
      <c r="K60" s="113"/>
      <c r="L60" s="196"/>
      <c r="M60" s="113"/>
      <c r="N60" s="113"/>
      <c r="O60" s="62">
        <f>订货1!AB60</f>
        <v>0</v>
      </c>
      <c r="P60" s="113"/>
      <c r="Q60" s="113"/>
      <c r="R60" s="62">
        <f>订货1!AC60</f>
        <v>0</v>
      </c>
      <c r="S60" s="113"/>
      <c r="T60" s="113"/>
      <c r="U60" s="62">
        <f>订货1!AD60</f>
        <v>0</v>
      </c>
      <c r="V60" s="113"/>
      <c r="W60" s="113"/>
      <c r="X60" s="62">
        <f>订货1!AE60</f>
        <v>0</v>
      </c>
      <c r="Y60" s="113"/>
      <c r="Z60" s="113"/>
      <c r="AA60" s="62">
        <f>订货1!AF60</f>
        <v>0</v>
      </c>
      <c r="AB60" s="113"/>
      <c r="AC60" s="113"/>
      <c r="AD60" s="62">
        <f>订货1!AG60</f>
        <v>0</v>
      </c>
      <c r="AE60" s="113"/>
      <c r="AF60" s="113"/>
      <c r="AG60" s="62">
        <f>订货1!AH60</f>
        <v>0</v>
      </c>
      <c r="AH60" s="113"/>
      <c r="AI60" s="113"/>
      <c r="AJ60" s="62">
        <f>订货1!AI60</f>
        <v>0</v>
      </c>
      <c r="AK60" s="113"/>
      <c r="AL60" s="113"/>
      <c r="AM60" s="62">
        <f>订货1!AJ60</f>
        <v>1</v>
      </c>
      <c r="AN60" s="113"/>
      <c r="AO60" s="113"/>
      <c r="AP60" s="62">
        <f>订货1!AK60</f>
        <v>0</v>
      </c>
      <c r="AQ60" s="113"/>
      <c r="AR60" s="113"/>
      <c r="AS60" s="62">
        <f>订货1!AL60</f>
        <v>0</v>
      </c>
      <c r="AT60" s="113"/>
      <c r="AU60" s="113"/>
      <c r="AV60" s="62">
        <f>订货1!AM60</f>
        <v>0</v>
      </c>
      <c r="AW60" s="113"/>
      <c r="AX60" s="113"/>
      <c r="AY60" s="62">
        <f>订货1!AN60</f>
        <v>0</v>
      </c>
      <c r="AZ60" s="113"/>
      <c r="BA60" s="113"/>
      <c r="BB60" s="62">
        <f>订货1!AO60</f>
        <v>0</v>
      </c>
      <c r="BC60" s="113"/>
      <c r="BD60" s="113"/>
      <c r="BE60" s="62">
        <f>订货1!AP60</f>
        <v>0</v>
      </c>
      <c r="BF60" s="113"/>
      <c r="BG60" s="113"/>
      <c r="BH60" s="62">
        <f>订货1!AQ60</f>
        <v>0</v>
      </c>
      <c r="BI60" s="113"/>
      <c r="BJ60" s="113"/>
      <c r="BK60" s="62">
        <f>订货1!AR60</f>
        <v>0</v>
      </c>
      <c r="BL60" s="113"/>
      <c r="BM60" s="113"/>
      <c r="BN60" s="62">
        <f>订货1!AS60</f>
        <v>0</v>
      </c>
      <c r="BO60" s="113"/>
      <c r="BP60" s="113"/>
      <c r="BQ60" s="62">
        <f>订货1!AT60</f>
        <v>0</v>
      </c>
      <c r="BR60" s="113"/>
      <c r="BS60" s="113"/>
      <c r="BT60" s="62">
        <f>订货1!AU60</f>
        <v>0</v>
      </c>
      <c r="BU60" s="113"/>
      <c r="BV60" s="113"/>
      <c r="BW60" s="62">
        <f>订货1!AV60</f>
        <v>0</v>
      </c>
      <c r="BX60" s="113"/>
      <c r="BY60" s="113"/>
      <c r="BZ60" s="62">
        <f>订货1!AW60</f>
        <v>0</v>
      </c>
      <c r="CA60" s="113"/>
      <c r="CB60" s="113"/>
      <c r="CC60" s="62">
        <f>订货1!AX60</f>
        <v>0</v>
      </c>
      <c r="CD60" s="113"/>
      <c r="CE60" s="113"/>
      <c r="CF60" s="62">
        <f>订货1!AY60</f>
        <v>0</v>
      </c>
      <c r="CG60" s="113"/>
      <c r="CH60" s="113"/>
      <c r="CI60" s="62">
        <f>订货1!AZ60</f>
        <v>0</v>
      </c>
      <c r="CJ60" s="113"/>
      <c r="CK60" s="113"/>
      <c r="CL60" s="62">
        <f>订货1!BA60</f>
        <v>0</v>
      </c>
      <c r="CM60" s="113"/>
      <c r="CN60" s="113"/>
      <c r="CO60" s="62">
        <f>订货1!BB60</f>
        <v>0</v>
      </c>
      <c r="CP60" s="113"/>
      <c r="CQ60" s="113"/>
      <c r="CR60" s="62">
        <f>订货1!BC60</f>
        <v>0</v>
      </c>
      <c r="CS60" s="113"/>
      <c r="CT60" s="113"/>
      <c r="CU60" s="62">
        <f>订货1!BD60</f>
        <v>0</v>
      </c>
      <c r="CV60" s="113"/>
      <c r="CW60" s="113"/>
      <c r="CX60" s="62">
        <f>订货1!BE60</f>
        <v>0</v>
      </c>
      <c r="CY60" s="113"/>
      <c r="CZ60" s="113"/>
      <c r="DA60" s="62">
        <f>订货1!BF60</f>
        <v>0</v>
      </c>
      <c r="DB60" s="113"/>
      <c r="DC60" s="113"/>
      <c r="DD60" s="208">
        <v>0</v>
      </c>
      <c r="DE60" s="110" t="e">
        <f t="shared" si="31"/>
        <v>#DIV/0!</v>
      </c>
      <c r="DF60" s="52">
        <f t="shared" si="29"/>
        <v>1</v>
      </c>
      <c r="DG60" s="32" t="str">
        <f>订货1!$Q60</f>
        <v>箱</v>
      </c>
      <c r="DH60" s="209" t="e">
        <f t="shared" si="32"/>
        <v>#DIV/0!</v>
      </c>
    </row>
    <row r="61" spans="1:112" ht="15" customHeight="1">
      <c r="A61" s="48">
        <f>订货1!A61</f>
        <v>101767</v>
      </c>
      <c r="B61" s="44" t="str">
        <f>VLOOKUP($A61,订货1!$A61:$G302,7,0)</f>
        <v>福建圣农食品有限公司</v>
      </c>
      <c r="C61" s="44" t="str">
        <f>VLOOKUP($A61,订货1!$A61:$H302,8,0)</f>
        <v>福建圣农食品(浦城)有限公司</v>
      </c>
      <c r="D61" s="44" t="str">
        <f>VLOOKUP($A61,订货1!$A61:$B302,2,0)</f>
        <v>薄脆茄红烤翅</v>
      </c>
      <c r="E61" s="44" t="str">
        <f>VLOOKUP($A61,订货1!$A61:$E302,5,0)</f>
        <v>1kg*12pc</v>
      </c>
      <c r="F61" s="49" t="str">
        <f>VLOOKUP($A61,订货1!$A61:$F302,6,0)</f>
        <v>箱</v>
      </c>
      <c r="G61" s="203"/>
      <c r="H61" s="56">
        <f t="shared" si="30"/>
        <v>0</v>
      </c>
      <c r="I61" s="196"/>
      <c r="J61" s="113"/>
      <c r="K61" s="113"/>
      <c r="L61" s="196"/>
      <c r="M61" s="113"/>
      <c r="N61" s="113"/>
      <c r="O61" s="62">
        <f>订货1!AB61</f>
        <v>0</v>
      </c>
      <c r="P61" s="113"/>
      <c r="Q61" s="113"/>
      <c r="R61" s="62">
        <f>订货1!AC61</f>
        <v>0</v>
      </c>
      <c r="S61" s="113"/>
      <c r="T61" s="113"/>
      <c r="U61" s="62">
        <f>订货1!AD61</f>
        <v>0</v>
      </c>
      <c r="V61" s="113"/>
      <c r="W61" s="113"/>
      <c r="X61" s="62">
        <f>订货1!AE61</f>
        <v>0</v>
      </c>
      <c r="Y61" s="113"/>
      <c r="Z61" s="113"/>
      <c r="AA61" s="62">
        <f>订货1!AF61</f>
        <v>0</v>
      </c>
      <c r="AB61" s="113"/>
      <c r="AC61" s="113"/>
      <c r="AD61" s="62">
        <f>订货1!AG61</f>
        <v>0</v>
      </c>
      <c r="AE61" s="113"/>
      <c r="AF61" s="113"/>
      <c r="AG61" s="62">
        <f>订货1!AH61</f>
        <v>0</v>
      </c>
      <c r="AH61" s="113"/>
      <c r="AI61" s="113"/>
      <c r="AJ61" s="62">
        <f>订货1!AI61</f>
        <v>0</v>
      </c>
      <c r="AK61" s="113"/>
      <c r="AL61" s="113"/>
      <c r="AM61" s="62">
        <f>订货1!AJ61</f>
        <v>0</v>
      </c>
      <c r="AN61" s="113"/>
      <c r="AO61" s="113"/>
      <c r="AP61" s="62">
        <f>订货1!AK61</f>
        <v>0</v>
      </c>
      <c r="AQ61" s="113"/>
      <c r="AR61" s="113"/>
      <c r="AS61" s="62">
        <f>订货1!AL61</f>
        <v>0</v>
      </c>
      <c r="AT61" s="113"/>
      <c r="AU61" s="113"/>
      <c r="AV61" s="62">
        <f>订货1!AM61</f>
        <v>0</v>
      </c>
      <c r="AW61" s="113"/>
      <c r="AX61" s="113"/>
      <c r="AY61" s="62">
        <f>订货1!AN61</f>
        <v>0</v>
      </c>
      <c r="AZ61" s="113"/>
      <c r="BA61" s="113"/>
      <c r="BB61" s="62">
        <f>订货1!AO61</f>
        <v>0</v>
      </c>
      <c r="BC61" s="113"/>
      <c r="BD61" s="113"/>
      <c r="BE61" s="62">
        <f>订货1!AP61</f>
        <v>0</v>
      </c>
      <c r="BF61" s="113"/>
      <c r="BG61" s="113"/>
      <c r="BH61" s="62">
        <f>订货1!AQ61</f>
        <v>0</v>
      </c>
      <c r="BI61" s="113"/>
      <c r="BJ61" s="113"/>
      <c r="BK61" s="62">
        <f>订货1!AR61</f>
        <v>0</v>
      </c>
      <c r="BL61" s="113"/>
      <c r="BM61" s="113"/>
      <c r="BN61" s="62">
        <f>订货1!AS61</f>
        <v>0</v>
      </c>
      <c r="BO61" s="113"/>
      <c r="BP61" s="113"/>
      <c r="BQ61" s="62">
        <f>订货1!AT61</f>
        <v>0</v>
      </c>
      <c r="BR61" s="113"/>
      <c r="BS61" s="113"/>
      <c r="BT61" s="62">
        <f>订货1!AU61</f>
        <v>0</v>
      </c>
      <c r="BU61" s="113"/>
      <c r="BV61" s="113"/>
      <c r="BW61" s="62">
        <f>订货1!AV61</f>
        <v>0</v>
      </c>
      <c r="BX61" s="113"/>
      <c r="BY61" s="113"/>
      <c r="BZ61" s="62">
        <f>订货1!AW61</f>
        <v>0</v>
      </c>
      <c r="CA61" s="113"/>
      <c r="CB61" s="113"/>
      <c r="CC61" s="62">
        <f>订货1!AX61</f>
        <v>0</v>
      </c>
      <c r="CD61" s="113"/>
      <c r="CE61" s="113"/>
      <c r="CF61" s="62">
        <f>订货1!AY61</f>
        <v>0</v>
      </c>
      <c r="CG61" s="113"/>
      <c r="CH61" s="113"/>
      <c r="CI61" s="62">
        <f>订货1!AZ61</f>
        <v>0</v>
      </c>
      <c r="CJ61" s="113"/>
      <c r="CK61" s="113"/>
      <c r="CL61" s="62">
        <f>订货1!BA61</f>
        <v>0</v>
      </c>
      <c r="CM61" s="113"/>
      <c r="CN61" s="113"/>
      <c r="CO61" s="62">
        <f>订货1!BB61</f>
        <v>0</v>
      </c>
      <c r="CP61" s="113"/>
      <c r="CQ61" s="113"/>
      <c r="CR61" s="62">
        <f>订货1!BC61</f>
        <v>0</v>
      </c>
      <c r="CS61" s="113"/>
      <c r="CT61" s="113"/>
      <c r="CU61" s="62">
        <f>订货1!BD61</f>
        <v>0</v>
      </c>
      <c r="CV61" s="113"/>
      <c r="CW61" s="113"/>
      <c r="CX61" s="62">
        <f>订货1!BE61</f>
        <v>0</v>
      </c>
      <c r="CY61" s="113"/>
      <c r="CZ61" s="113"/>
      <c r="DA61" s="62">
        <f>订货1!BF61</f>
        <v>0</v>
      </c>
      <c r="DB61" s="113"/>
      <c r="DC61" s="113"/>
      <c r="DD61" s="208">
        <v>0</v>
      </c>
      <c r="DE61" s="110" t="e">
        <f t="shared" si="31"/>
        <v>#DIV/0!</v>
      </c>
      <c r="DF61" s="52">
        <f t="shared" si="29"/>
        <v>0</v>
      </c>
      <c r="DG61" s="32" t="str">
        <f>订货1!$Q61</f>
        <v>箱</v>
      </c>
      <c r="DH61" s="209" t="e">
        <f t="shared" si="32"/>
        <v>#DIV/0!</v>
      </c>
    </row>
    <row r="62" spans="1:112" ht="15" customHeight="1">
      <c r="A62" s="48">
        <f>订货1!A62</f>
        <v>101635</v>
      </c>
      <c r="B62" s="44" t="str">
        <f>VLOOKUP($A62,订货1!$A62:$G303,7,0)</f>
        <v>曼可顿（上海）实业有限公司</v>
      </c>
      <c r="C62" s="44" t="str">
        <f>VLOOKUP($A62,订货1!$A62:$H303,8,0)</f>
        <v>曼可顿食品（上海）有限公司</v>
      </c>
      <c r="D62" s="44" t="str">
        <f>VLOOKUP($A62,订货1!$A62:$B303,2,0)</f>
        <v>萨莉亚冷冻小法棍600g</v>
      </c>
      <c r="E62" s="44" t="str">
        <f>VLOOKUP($A62,订货1!$A62:$E303,5,0)</f>
        <v>0.6kg*6pkt</v>
      </c>
      <c r="F62" s="49" t="str">
        <f>VLOOKUP($A62,订货1!$A62:$F303,6,0)</f>
        <v>箱</v>
      </c>
      <c r="G62" s="203"/>
      <c r="H62" s="56">
        <f t="shared" si="30"/>
        <v>15</v>
      </c>
      <c r="I62" s="196"/>
      <c r="J62" s="113"/>
      <c r="K62" s="113"/>
      <c r="L62" s="196"/>
      <c r="M62" s="113"/>
      <c r="N62" s="113"/>
      <c r="O62" s="62">
        <f>订货1!AB62</f>
        <v>0</v>
      </c>
      <c r="P62" s="113"/>
      <c r="Q62" s="113"/>
      <c r="R62" s="62">
        <f>订货1!AC62</f>
        <v>2</v>
      </c>
      <c r="S62" s="113"/>
      <c r="T62" s="113"/>
      <c r="U62" s="62">
        <f>订货1!AD62</f>
        <v>0</v>
      </c>
      <c r="V62" s="113"/>
      <c r="W62" s="113"/>
      <c r="X62" s="62">
        <f>订货1!AE62</f>
        <v>2</v>
      </c>
      <c r="Y62" s="113"/>
      <c r="Z62" s="113"/>
      <c r="AA62" s="62">
        <f>订货1!AF62</f>
        <v>1</v>
      </c>
      <c r="AB62" s="113"/>
      <c r="AC62" s="113"/>
      <c r="AD62" s="62">
        <f>订货1!AG62</f>
        <v>2</v>
      </c>
      <c r="AE62" s="113"/>
      <c r="AF62" s="113"/>
      <c r="AG62" s="62">
        <f>订货1!AH62</f>
        <v>0</v>
      </c>
      <c r="AH62" s="113"/>
      <c r="AI62" s="113"/>
      <c r="AJ62" s="62">
        <f>订货1!AI62</f>
        <v>2</v>
      </c>
      <c r="AK62" s="113"/>
      <c r="AL62" s="113"/>
      <c r="AM62" s="62">
        <f>订货1!AJ62</f>
        <v>1</v>
      </c>
      <c r="AN62" s="113"/>
      <c r="AO62" s="113"/>
      <c r="AP62" s="62">
        <f>订货1!AK62</f>
        <v>0</v>
      </c>
      <c r="AQ62" s="113"/>
      <c r="AR62" s="113"/>
      <c r="AS62" s="62">
        <f>订货1!AL62</f>
        <v>0</v>
      </c>
      <c r="AT62" s="113"/>
      <c r="AU62" s="113"/>
      <c r="AV62" s="62">
        <f>订货1!AM62</f>
        <v>3</v>
      </c>
      <c r="AW62" s="113"/>
      <c r="AX62" s="113"/>
      <c r="AY62" s="62">
        <f>订货1!AN62</f>
        <v>1</v>
      </c>
      <c r="AZ62" s="113"/>
      <c r="BA62" s="113"/>
      <c r="BB62" s="62">
        <f>订货1!AO62</f>
        <v>1</v>
      </c>
      <c r="BC62" s="113"/>
      <c r="BD62" s="113"/>
      <c r="BE62" s="62">
        <f>订货1!AP62</f>
        <v>0</v>
      </c>
      <c r="BF62" s="113"/>
      <c r="BG62" s="113"/>
      <c r="BH62" s="62">
        <f>订货1!AQ62</f>
        <v>0</v>
      </c>
      <c r="BI62" s="113"/>
      <c r="BJ62" s="113"/>
      <c r="BK62" s="62">
        <f>订货1!AR62</f>
        <v>0</v>
      </c>
      <c r="BL62" s="113"/>
      <c r="BM62" s="113"/>
      <c r="BN62" s="62">
        <f>订货1!AS62</f>
        <v>0</v>
      </c>
      <c r="BO62" s="113"/>
      <c r="BP62" s="113"/>
      <c r="BQ62" s="62">
        <f>订货1!AT62</f>
        <v>0</v>
      </c>
      <c r="BR62" s="113"/>
      <c r="BS62" s="113"/>
      <c r="BT62" s="62">
        <f>订货1!AU62</f>
        <v>0</v>
      </c>
      <c r="BU62" s="113"/>
      <c r="BV62" s="113"/>
      <c r="BW62" s="62">
        <f>订货1!AV62</f>
        <v>0</v>
      </c>
      <c r="BX62" s="113"/>
      <c r="BY62" s="113"/>
      <c r="BZ62" s="62">
        <f>订货1!AW62</f>
        <v>0</v>
      </c>
      <c r="CA62" s="113"/>
      <c r="CB62" s="113"/>
      <c r="CC62" s="62">
        <f>订货1!AX62</f>
        <v>0</v>
      </c>
      <c r="CD62" s="113"/>
      <c r="CE62" s="113"/>
      <c r="CF62" s="62">
        <f>订货1!AY62</f>
        <v>0</v>
      </c>
      <c r="CG62" s="113"/>
      <c r="CH62" s="113"/>
      <c r="CI62" s="62">
        <f>订货1!AZ62</f>
        <v>0</v>
      </c>
      <c r="CJ62" s="113"/>
      <c r="CK62" s="113"/>
      <c r="CL62" s="62">
        <f>订货1!BA62</f>
        <v>0</v>
      </c>
      <c r="CM62" s="113"/>
      <c r="CN62" s="113"/>
      <c r="CO62" s="62">
        <f>订货1!BB62</f>
        <v>0</v>
      </c>
      <c r="CP62" s="113"/>
      <c r="CQ62" s="113"/>
      <c r="CR62" s="62">
        <f>订货1!BC62</f>
        <v>0</v>
      </c>
      <c r="CS62" s="113"/>
      <c r="CT62" s="113"/>
      <c r="CU62" s="62">
        <f>订货1!BD62</f>
        <v>0</v>
      </c>
      <c r="CV62" s="113"/>
      <c r="CW62" s="113"/>
      <c r="CX62" s="62">
        <f>订货1!BE62</f>
        <v>0</v>
      </c>
      <c r="CY62" s="113"/>
      <c r="CZ62" s="113"/>
      <c r="DA62" s="62">
        <f>订货1!BF62</f>
        <v>0</v>
      </c>
      <c r="DB62" s="113"/>
      <c r="DC62" s="113"/>
      <c r="DD62" s="208">
        <v>0</v>
      </c>
      <c r="DE62" s="110" t="e">
        <f t="shared" si="31"/>
        <v>#DIV/0!</v>
      </c>
      <c r="DF62" s="52">
        <f t="shared" si="29"/>
        <v>15</v>
      </c>
      <c r="DG62" s="32" t="str">
        <f>订货1!$Q62</f>
        <v>箱</v>
      </c>
      <c r="DH62" s="209" t="e">
        <f t="shared" si="32"/>
        <v>#DIV/0!</v>
      </c>
    </row>
    <row r="63" spans="1:112" ht="15" customHeight="1">
      <c r="A63" s="48">
        <f>订货1!A63</f>
        <v>101266</v>
      </c>
      <c r="B63" s="44" t="str">
        <f>VLOOKUP($A63,订货1!$A63:$G304,7,0)</f>
        <v>辣西西里（北京）国际贸易有限公司</v>
      </c>
      <c r="C63" s="44" t="str">
        <f>VLOOKUP($A63,订货1!$A63:$H304,8,0)</f>
        <v>Pastificio Guido Ferrara S.p.A</v>
      </c>
      <c r="D63" s="44" t="str">
        <f>VLOOKUP($A63,订货1!$A63:$B304,2,0)</f>
        <v>辣西西里5#直条形意大利面</v>
      </c>
      <c r="E63" s="44" t="str">
        <f>VLOOKUP($A63,订货1!$A63:$E304,5,0)</f>
        <v>3kg*4pc</v>
      </c>
      <c r="F63" s="49" t="str">
        <f>VLOOKUP($A63,订货1!$A63:$F304,6,0)</f>
        <v>箱</v>
      </c>
      <c r="G63" s="203"/>
      <c r="H63" s="56">
        <f t="shared" si="30"/>
        <v>28</v>
      </c>
      <c r="I63" s="196"/>
      <c r="J63" s="113"/>
      <c r="K63" s="113"/>
      <c r="L63" s="196"/>
      <c r="M63" s="113"/>
      <c r="N63" s="113"/>
      <c r="O63" s="62">
        <f>订货1!AB63</f>
        <v>1</v>
      </c>
      <c r="P63" s="113"/>
      <c r="Q63" s="113"/>
      <c r="R63" s="62">
        <f>订货1!AC63</f>
        <v>2</v>
      </c>
      <c r="S63" s="113"/>
      <c r="T63" s="113"/>
      <c r="U63" s="62">
        <f>订货1!AD63</f>
        <v>0</v>
      </c>
      <c r="V63" s="113"/>
      <c r="W63" s="113"/>
      <c r="X63" s="62">
        <f>订货1!AE63</f>
        <v>3</v>
      </c>
      <c r="Y63" s="113"/>
      <c r="Z63" s="113"/>
      <c r="AA63" s="62">
        <f>订货1!AF63</f>
        <v>3</v>
      </c>
      <c r="AB63" s="113"/>
      <c r="AC63" s="113"/>
      <c r="AD63" s="62">
        <f>订货1!AG63</f>
        <v>3</v>
      </c>
      <c r="AE63" s="113"/>
      <c r="AF63" s="113"/>
      <c r="AG63" s="62">
        <f>订货1!AH63</f>
        <v>1</v>
      </c>
      <c r="AH63" s="113"/>
      <c r="AI63" s="113"/>
      <c r="AJ63" s="62">
        <f>订货1!AI63</f>
        <v>2</v>
      </c>
      <c r="AK63" s="113"/>
      <c r="AL63" s="113"/>
      <c r="AM63" s="62">
        <f>订货1!AJ63</f>
        <v>2</v>
      </c>
      <c r="AN63" s="113"/>
      <c r="AO63" s="113"/>
      <c r="AP63" s="62">
        <f>订货1!AK63</f>
        <v>0</v>
      </c>
      <c r="AQ63" s="113"/>
      <c r="AR63" s="113"/>
      <c r="AS63" s="62">
        <f>订货1!AL63</f>
        <v>0</v>
      </c>
      <c r="AT63" s="113"/>
      <c r="AU63" s="113"/>
      <c r="AV63" s="62">
        <f>订货1!AM63</f>
        <v>5</v>
      </c>
      <c r="AW63" s="113"/>
      <c r="AX63" s="113"/>
      <c r="AY63" s="62">
        <f>订货1!AN63</f>
        <v>3</v>
      </c>
      <c r="AZ63" s="113"/>
      <c r="BA63" s="113"/>
      <c r="BB63" s="62">
        <f>订货1!AO63</f>
        <v>3</v>
      </c>
      <c r="BC63" s="113"/>
      <c r="BD63" s="113"/>
      <c r="BE63" s="62">
        <f>订货1!AP63</f>
        <v>0</v>
      </c>
      <c r="BF63" s="113"/>
      <c r="BG63" s="113"/>
      <c r="BH63" s="62">
        <f>订货1!AQ63</f>
        <v>0</v>
      </c>
      <c r="BI63" s="113"/>
      <c r="BJ63" s="113"/>
      <c r="BK63" s="62">
        <f>订货1!AR63</f>
        <v>0</v>
      </c>
      <c r="BL63" s="113"/>
      <c r="BM63" s="113"/>
      <c r="BN63" s="62">
        <f>订货1!AS63</f>
        <v>0</v>
      </c>
      <c r="BO63" s="113"/>
      <c r="BP63" s="113"/>
      <c r="BQ63" s="62">
        <f>订货1!AT63</f>
        <v>0</v>
      </c>
      <c r="BR63" s="113"/>
      <c r="BS63" s="113"/>
      <c r="BT63" s="62">
        <f>订货1!AU63</f>
        <v>0</v>
      </c>
      <c r="BU63" s="113"/>
      <c r="BV63" s="113"/>
      <c r="BW63" s="62">
        <f>订货1!AV63</f>
        <v>0</v>
      </c>
      <c r="BX63" s="113"/>
      <c r="BY63" s="113"/>
      <c r="BZ63" s="62">
        <f>订货1!AW63</f>
        <v>0</v>
      </c>
      <c r="CA63" s="113"/>
      <c r="CB63" s="113"/>
      <c r="CC63" s="62">
        <f>订货1!AX63</f>
        <v>0</v>
      </c>
      <c r="CD63" s="113"/>
      <c r="CE63" s="113"/>
      <c r="CF63" s="62">
        <f>订货1!AY63</f>
        <v>0</v>
      </c>
      <c r="CG63" s="113"/>
      <c r="CH63" s="113"/>
      <c r="CI63" s="62">
        <f>订货1!AZ63</f>
        <v>0</v>
      </c>
      <c r="CJ63" s="113"/>
      <c r="CK63" s="113"/>
      <c r="CL63" s="62">
        <f>订货1!BA63</f>
        <v>0</v>
      </c>
      <c r="CM63" s="113"/>
      <c r="CN63" s="113"/>
      <c r="CO63" s="62">
        <f>订货1!BB63</f>
        <v>0</v>
      </c>
      <c r="CP63" s="113"/>
      <c r="CQ63" s="113"/>
      <c r="CR63" s="62">
        <f>订货1!BC63</f>
        <v>0</v>
      </c>
      <c r="CS63" s="113"/>
      <c r="CT63" s="113"/>
      <c r="CU63" s="62">
        <f>订货1!BD63</f>
        <v>0</v>
      </c>
      <c r="CV63" s="113"/>
      <c r="CW63" s="113"/>
      <c r="CX63" s="62">
        <f>订货1!BE63</f>
        <v>0</v>
      </c>
      <c r="CY63" s="113"/>
      <c r="CZ63" s="113"/>
      <c r="DA63" s="62">
        <f>订货1!BF63</f>
        <v>0</v>
      </c>
      <c r="DB63" s="113"/>
      <c r="DC63" s="113"/>
      <c r="DD63" s="208">
        <v>0</v>
      </c>
      <c r="DE63" s="110" t="e">
        <f t="shared" si="31"/>
        <v>#DIV/0!</v>
      </c>
      <c r="DF63" s="52">
        <f t="shared" si="29"/>
        <v>28</v>
      </c>
      <c r="DG63" s="32" t="str">
        <f>订货1!$Q63</f>
        <v>箱</v>
      </c>
      <c r="DH63" s="209" t="e">
        <f t="shared" si="32"/>
        <v>#DIV/0!</v>
      </c>
    </row>
    <row r="64" spans="1:112" ht="15" customHeight="1">
      <c r="A64" s="48">
        <f>订货1!A64</f>
        <v>101289</v>
      </c>
      <c r="B64" s="44" t="str">
        <f>VLOOKUP($A64,订货1!$A64:$G305,7,0)</f>
        <v>辣西西里（北京）国际贸易有限公司</v>
      </c>
      <c r="C64" s="44" t="str">
        <f>VLOOKUP($A64,订货1!$A64:$H305,8,0)</f>
        <v>Biolevante Srl</v>
      </c>
      <c r="D64" s="44" t="str">
        <f>VLOOKUP($A64,订货1!$A64:$B305,2,0)</f>
        <v>辣西西里特级初榨橄榄油</v>
      </c>
      <c r="E64" s="44" t="str">
        <f>VLOOKUP($A64,订货1!$A64:$E305,5,0)</f>
        <v>1L*12本</v>
      </c>
      <c r="F64" s="49" t="str">
        <f>VLOOKUP($A64,订货1!$A64:$F305,6,0)</f>
        <v>箱</v>
      </c>
      <c r="G64" s="203"/>
      <c r="H64" s="56">
        <f t="shared" si="30"/>
        <v>0</v>
      </c>
      <c r="I64" s="196"/>
      <c r="J64" s="113"/>
      <c r="K64" s="113"/>
      <c r="L64" s="196"/>
      <c r="M64" s="113"/>
      <c r="N64" s="113"/>
      <c r="O64" s="62">
        <f>订货1!AB64</f>
        <v>0</v>
      </c>
      <c r="P64" s="113"/>
      <c r="Q64" s="113"/>
      <c r="R64" s="62">
        <f>订货1!AC64</f>
        <v>0</v>
      </c>
      <c r="S64" s="113"/>
      <c r="T64" s="113"/>
      <c r="U64" s="62">
        <f>订货1!AD64</f>
        <v>0</v>
      </c>
      <c r="V64" s="113"/>
      <c r="W64" s="113"/>
      <c r="X64" s="62">
        <f>订货1!AE64</f>
        <v>0</v>
      </c>
      <c r="Y64" s="113"/>
      <c r="Z64" s="113"/>
      <c r="AA64" s="62">
        <f>订货1!AF64</f>
        <v>0</v>
      </c>
      <c r="AB64" s="113"/>
      <c r="AC64" s="113"/>
      <c r="AD64" s="62">
        <f>订货1!AG64</f>
        <v>0</v>
      </c>
      <c r="AE64" s="113"/>
      <c r="AF64" s="113"/>
      <c r="AG64" s="62">
        <f>订货1!AH64</f>
        <v>0</v>
      </c>
      <c r="AH64" s="113"/>
      <c r="AI64" s="113"/>
      <c r="AJ64" s="62">
        <f>订货1!AI64</f>
        <v>0</v>
      </c>
      <c r="AK64" s="113"/>
      <c r="AL64" s="113"/>
      <c r="AM64" s="62">
        <f>订货1!AJ64</f>
        <v>0</v>
      </c>
      <c r="AN64" s="113"/>
      <c r="AO64" s="113"/>
      <c r="AP64" s="62">
        <f>订货1!AK64</f>
        <v>0</v>
      </c>
      <c r="AQ64" s="113"/>
      <c r="AR64" s="113"/>
      <c r="AS64" s="62">
        <f>订货1!AL64</f>
        <v>0</v>
      </c>
      <c r="AT64" s="113"/>
      <c r="AU64" s="113"/>
      <c r="AV64" s="62">
        <f>订货1!AM64</f>
        <v>0</v>
      </c>
      <c r="AW64" s="113"/>
      <c r="AX64" s="113"/>
      <c r="AY64" s="62">
        <f>订货1!AN64</f>
        <v>0</v>
      </c>
      <c r="AZ64" s="113"/>
      <c r="BA64" s="113"/>
      <c r="BB64" s="62">
        <f>订货1!AO64</f>
        <v>0</v>
      </c>
      <c r="BC64" s="113"/>
      <c r="BD64" s="113"/>
      <c r="BE64" s="62">
        <f>订货1!AP64</f>
        <v>0</v>
      </c>
      <c r="BF64" s="113"/>
      <c r="BG64" s="113"/>
      <c r="BH64" s="62">
        <f>订货1!AQ64</f>
        <v>0</v>
      </c>
      <c r="BI64" s="113"/>
      <c r="BJ64" s="113"/>
      <c r="BK64" s="62">
        <f>订货1!AR64</f>
        <v>0</v>
      </c>
      <c r="BL64" s="113"/>
      <c r="BM64" s="113"/>
      <c r="BN64" s="62">
        <f>订货1!AS64</f>
        <v>0</v>
      </c>
      <c r="BO64" s="113"/>
      <c r="BP64" s="113"/>
      <c r="BQ64" s="62">
        <f>订货1!AT64</f>
        <v>0</v>
      </c>
      <c r="BR64" s="113"/>
      <c r="BS64" s="113"/>
      <c r="BT64" s="62">
        <f>订货1!AU64</f>
        <v>0</v>
      </c>
      <c r="BU64" s="113"/>
      <c r="BV64" s="113"/>
      <c r="BW64" s="62">
        <f>订货1!AV64</f>
        <v>0</v>
      </c>
      <c r="BX64" s="113"/>
      <c r="BY64" s="113"/>
      <c r="BZ64" s="62">
        <f>订货1!AW64</f>
        <v>0</v>
      </c>
      <c r="CA64" s="113"/>
      <c r="CB64" s="113"/>
      <c r="CC64" s="62">
        <f>订货1!AX64</f>
        <v>0</v>
      </c>
      <c r="CD64" s="113"/>
      <c r="CE64" s="113"/>
      <c r="CF64" s="62">
        <f>订货1!AY64</f>
        <v>0</v>
      </c>
      <c r="CG64" s="113"/>
      <c r="CH64" s="113"/>
      <c r="CI64" s="62">
        <f>订货1!AZ64</f>
        <v>0</v>
      </c>
      <c r="CJ64" s="113"/>
      <c r="CK64" s="113"/>
      <c r="CL64" s="62">
        <f>订货1!BA64</f>
        <v>0</v>
      </c>
      <c r="CM64" s="113"/>
      <c r="CN64" s="113"/>
      <c r="CO64" s="62">
        <f>订货1!BB64</f>
        <v>0</v>
      </c>
      <c r="CP64" s="113"/>
      <c r="CQ64" s="113"/>
      <c r="CR64" s="62">
        <f>订货1!BC64</f>
        <v>0</v>
      </c>
      <c r="CS64" s="113"/>
      <c r="CT64" s="113"/>
      <c r="CU64" s="62">
        <f>订货1!BD64</f>
        <v>0</v>
      </c>
      <c r="CV64" s="113"/>
      <c r="CW64" s="113"/>
      <c r="CX64" s="62">
        <f>订货1!BE64</f>
        <v>0</v>
      </c>
      <c r="CY64" s="113"/>
      <c r="CZ64" s="113"/>
      <c r="DA64" s="62">
        <f>订货1!BF64</f>
        <v>0</v>
      </c>
      <c r="DB64" s="113"/>
      <c r="DC64" s="113"/>
      <c r="DD64" s="208">
        <v>0</v>
      </c>
      <c r="DE64" s="110" t="e">
        <f t="shared" si="31"/>
        <v>#DIV/0!</v>
      </c>
      <c r="DF64" s="52">
        <f t="shared" si="29"/>
        <v>0</v>
      </c>
      <c r="DG64" s="32" t="str">
        <f>订货1!$Q64</f>
        <v>箱</v>
      </c>
      <c r="DH64" s="209" t="e">
        <f t="shared" si="32"/>
        <v>#DIV/0!</v>
      </c>
    </row>
    <row r="65" spans="1:112" ht="15" customHeight="1">
      <c r="A65" s="48">
        <f>订货1!A65</f>
        <v>101359</v>
      </c>
      <c r="B65" s="44" t="str">
        <f>VLOOKUP($A65,订货1!$A65:$G306,7,0)</f>
        <v>辣西西里（北京）国际贸易有限公司</v>
      </c>
      <c r="C65" s="44" t="str">
        <f>VLOOKUP($A65,订货1!$A65:$H306,8,0)</f>
        <v>PR.I.V.I. SRL CHIARLI 1860</v>
      </c>
      <c r="D65" s="44" t="str">
        <f>VLOOKUP($A65,订货1!$A65:$B306,2,0)</f>
        <v>卡利酒庄蓝布鲁斯科低泡葡萄酒</v>
      </c>
      <c r="E65" s="44" t="str">
        <f>VLOOKUP($A65,订货1!$A65:$E306,5,0)</f>
        <v>750ml*6本</v>
      </c>
      <c r="F65" s="49" t="str">
        <f>VLOOKUP($A65,订货1!$A65:$F306,6,0)</f>
        <v>箱</v>
      </c>
      <c r="G65" s="203"/>
      <c r="H65" s="56">
        <f t="shared" si="30"/>
        <v>2</v>
      </c>
      <c r="I65" s="196"/>
      <c r="J65" s="113"/>
      <c r="K65" s="113"/>
      <c r="L65" s="196"/>
      <c r="M65" s="113"/>
      <c r="N65" s="113"/>
      <c r="O65" s="62">
        <f>订货1!AB65</f>
        <v>1</v>
      </c>
      <c r="P65" s="113"/>
      <c r="Q65" s="113"/>
      <c r="R65" s="62">
        <f>订货1!AC65</f>
        <v>0</v>
      </c>
      <c r="S65" s="113"/>
      <c r="T65" s="113"/>
      <c r="U65" s="62">
        <f>订货1!AD65</f>
        <v>0</v>
      </c>
      <c r="V65" s="113"/>
      <c r="W65" s="113"/>
      <c r="X65" s="62">
        <f>订货1!AE65</f>
        <v>1</v>
      </c>
      <c r="Y65" s="113"/>
      <c r="Z65" s="113"/>
      <c r="AA65" s="62">
        <f>订货1!AF65</f>
        <v>0</v>
      </c>
      <c r="AB65" s="113"/>
      <c r="AC65" s="113"/>
      <c r="AD65" s="62">
        <f>订货1!AG65</f>
        <v>0</v>
      </c>
      <c r="AE65" s="113"/>
      <c r="AF65" s="113"/>
      <c r="AG65" s="62">
        <f>订货1!AH65</f>
        <v>0</v>
      </c>
      <c r="AH65" s="113"/>
      <c r="AI65" s="113"/>
      <c r="AJ65" s="62">
        <f>订货1!AI65</f>
        <v>0</v>
      </c>
      <c r="AK65" s="113"/>
      <c r="AL65" s="113"/>
      <c r="AM65" s="62">
        <f>订货1!AJ65</f>
        <v>0</v>
      </c>
      <c r="AN65" s="113"/>
      <c r="AO65" s="113"/>
      <c r="AP65" s="62">
        <f>订货1!AK65</f>
        <v>0</v>
      </c>
      <c r="AQ65" s="113"/>
      <c r="AR65" s="113"/>
      <c r="AS65" s="62">
        <f>订货1!AL65</f>
        <v>0</v>
      </c>
      <c r="AT65" s="113"/>
      <c r="AU65" s="113"/>
      <c r="AV65" s="62">
        <f>订货1!AM65</f>
        <v>0</v>
      </c>
      <c r="AW65" s="113"/>
      <c r="AX65" s="113"/>
      <c r="AY65" s="62">
        <f>订货1!AN65</f>
        <v>0</v>
      </c>
      <c r="AZ65" s="113"/>
      <c r="BA65" s="113"/>
      <c r="BB65" s="62">
        <f>订货1!AO65</f>
        <v>0</v>
      </c>
      <c r="BC65" s="113"/>
      <c r="BD65" s="113"/>
      <c r="BE65" s="62">
        <f>订货1!AP65</f>
        <v>0</v>
      </c>
      <c r="BF65" s="113"/>
      <c r="BG65" s="113"/>
      <c r="BH65" s="62">
        <f>订货1!AQ65</f>
        <v>0</v>
      </c>
      <c r="BI65" s="113"/>
      <c r="BJ65" s="113"/>
      <c r="BK65" s="62">
        <f>订货1!AR65</f>
        <v>0</v>
      </c>
      <c r="BL65" s="113"/>
      <c r="BM65" s="113"/>
      <c r="BN65" s="62">
        <f>订货1!AS65</f>
        <v>0</v>
      </c>
      <c r="BO65" s="113"/>
      <c r="BP65" s="113"/>
      <c r="BQ65" s="62">
        <f>订货1!AT65</f>
        <v>0</v>
      </c>
      <c r="BR65" s="113"/>
      <c r="BS65" s="113"/>
      <c r="BT65" s="62">
        <f>订货1!AU65</f>
        <v>0</v>
      </c>
      <c r="BU65" s="113"/>
      <c r="BV65" s="113"/>
      <c r="BW65" s="62">
        <f>订货1!AV65</f>
        <v>0</v>
      </c>
      <c r="BX65" s="113"/>
      <c r="BY65" s="113"/>
      <c r="BZ65" s="62">
        <f>订货1!AW65</f>
        <v>0</v>
      </c>
      <c r="CA65" s="113"/>
      <c r="CB65" s="113"/>
      <c r="CC65" s="62">
        <f>订货1!AX65</f>
        <v>0</v>
      </c>
      <c r="CD65" s="113"/>
      <c r="CE65" s="113"/>
      <c r="CF65" s="62">
        <f>订货1!AY65</f>
        <v>0</v>
      </c>
      <c r="CG65" s="113"/>
      <c r="CH65" s="113"/>
      <c r="CI65" s="62">
        <f>订货1!AZ65</f>
        <v>0</v>
      </c>
      <c r="CJ65" s="113"/>
      <c r="CK65" s="113"/>
      <c r="CL65" s="62">
        <f>订货1!BA65</f>
        <v>0</v>
      </c>
      <c r="CM65" s="113"/>
      <c r="CN65" s="113"/>
      <c r="CO65" s="62">
        <f>订货1!BB65</f>
        <v>0</v>
      </c>
      <c r="CP65" s="113"/>
      <c r="CQ65" s="113"/>
      <c r="CR65" s="62">
        <f>订货1!BC65</f>
        <v>0</v>
      </c>
      <c r="CS65" s="113"/>
      <c r="CT65" s="113"/>
      <c r="CU65" s="62">
        <f>订货1!BD65</f>
        <v>0</v>
      </c>
      <c r="CV65" s="113"/>
      <c r="CW65" s="113"/>
      <c r="CX65" s="62">
        <f>订货1!BE65</f>
        <v>0</v>
      </c>
      <c r="CY65" s="113"/>
      <c r="CZ65" s="113"/>
      <c r="DA65" s="62">
        <f>订货1!BF65</f>
        <v>0</v>
      </c>
      <c r="DB65" s="113"/>
      <c r="DC65" s="113"/>
      <c r="DD65" s="208">
        <v>0</v>
      </c>
      <c r="DE65" s="110" t="e">
        <f t="shared" si="31"/>
        <v>#DIV/0!</v>
      </c>
      <c r="DF65" s="52">
        <f t="shared" si="29"/>
        <v>2</v>
      </c>
      <c r="DG65" s="32" t="str">
        <f>订货1!$Q65</f>
        <v>箱</v>
      </c>
      <c r="DH65" s="209" t="e">
        <f t="shared" si="32"/>
        <v>#DIV/0!</v>
      </c>
    </row>
    <row r="66" spans="1:112" ht="15" customHeight="1">
      <c r="A66" s="48">
        <f>订货1!A66</f>
        <v>101362</v>
      </c>
      <c r="B66" s="44" t="str">
        <f>VLOOKUP($A66,订货1!$A66:$G307,7,0)</f>
        <v>辣西西里（北京）国际贸易有限公司</v>
      </c>
      <c r="C66" s="44" t="str">
        <f>VLOOKUP($A66,订货1!$A66:$H307,8,0)</f>
        <v>Basso Sebastiano Srl</v>
      </c>
      <c r="D66" s="44" t="str">
        <f>VLOOKUP($A66,订货1!$A66:$B307,2,0)</f>
        <v>马塞研磨干酪粉</v>
      </c>
      <c r="E66" s="44" t="str">
        <f>VLOOKUP($A66,订货1!$A66:$E307,5,0)</f>
        <v>1kg*6</v>
      </c>
      <c r="F66" s="49" t="str">
        <f>VLOOKUP($A66,订货1!$A66:$F307,6,0)</f>
        <v>箱</v>
      </c>
      <c r="G66" s="203"/>
      <c r="H66" s="56">
        <f t="shared" si="30"/>
        <v>3</v>
      </c>
      <c r="I66" s="196"/>
      <c r="J66" s="113"/>
      <c r="K66" s="113"/>
      <c r="L66" s="196"/>
      <c r="M66" s="113"/>
      <c r="N66" s="113"/>
      <c r="O66" s="62">
        <f>订货1!AB66</f>
        <v>0</v>
      </c>
      <c r="P66" s="113"/>
      <c r="Q66" s="113"/>
      <c r="R66" s="62">
        <f>订货1!AC66</f>
        <v>0</v>
      </c>
      <c r="S66" s="113"/>
      <c r="T66" s="113"/>
      <c r="U66" s="62">
        <f>订货1!AD66</f>
        <v>0</v>
      </c>
      <c r="V66" s="113"/>
      <c r="W66" s="113"/>
      <c r="X66" s="62">
        <f>订货1!AE66</f>
        <v>0</v>
      </c>
      <c r="Y66" s="113"/>
      <c r="Z66" s="113"/>
      <c r="AA66" s="62">
        <f>订货1!AF66</f>
        <v>1</v>
      </c>
      <c r="AB66" s="113"/>
      <c r="AC66" s="113"/>
      <c r="AD66" s="62">
        <f>订货1!AG66</f>
        <v>0</v>
      </c>
      <c r="AE66" s="113"/>
      <c r="AF66" s="113"/>
      <c r="AG66" s="62">
        <f>订货1!AH66</f>
        <v>0</v>
      </c>
      <c r="AH66" s="113"/>
      <c r="AI66" s="113"/>
      <c r="AJ66" s="62">
        <f>订货1!AI66</f>
        <v>1</v>
      </c>
      <c r="AK66" s="113"/>
      <c r="AL66" s="113"/>
      <c r="AM66" s="62">
        <f>订货1!AJ66</f>
        <v>0</v>
      </c>
      <c r="AN66" s="113"/>
      <c r="AO66" s="113"/>
      <c r="AP66" s="62">
        <f>订货1!AK66</f>
        <v>0</v>
      </c>
      <c r="AQ66" s="113"/>
      <c r="AR66" s="113"/>
      <c r="AS66" s="62">
        <f>订货1!AL66</f>
        <v>0</v>
      </c>
      <c r="AT66" s="113"/>
      <c r="AU66" s="113"/>
      <c r="AV66" s="62">
        <f>订货1!AM66</f>
        <v>0</v>
      </c>
      <c r="AW66" s="113"/>
      <c r="AX66" s="113"/>
      <c r="AY66" s="62">
        <f>订货1!AN66</f>
        <v>1</v>
      </c>
      <c r="AZ66" s="113"/>
      <c r="BA66" s="113"/>
      <c r="BB66" s="62">
        <f>订货1!AO66</f>
        <v>0</v>
      </c>
      <c r="BC66" s="113"/>
      <c r="BD66" s="113"/>
      <c r="BE66" s="62">
        <f>订货1!AP66</f>
        <v>0</v>
      </c>
      <c r="BF66" s="113"/>
      <c r="BG66" s="113"/>
      <c r="BH66" s="62">
        <f>订货1!AQ66</f>
        <v>0</v>
      </c>
      <c r="BI66" s="113"/>
      <c r="BJ66" s="113"/>
      <c r="BK66" s="62">
        <f>订货1!AR66</f>
        <v>0</v>
      </c>
      <c r="BL66" s="113"/>
      <c r="BM66" s="113"/>
      <c r="BN66" s="62">
        <f>订货1!AS66</f>
        <v>0</v>
      </c>
      <c r="BO66" s="113"/>
      <c r="BP66" s="113"/>
      <c r="BQ66" s="62">
        <f>订货1!AT66</f>
        <v>0</v>
      </c>
      <c r="BR66" s="113"/>
      <c r="BS66" s="113"/>
      <c r="BT66" s="62">
        <f>订货1!AU66</f>
        <v>0</v>
      </c>
      <c r="BU66" s="113"/>
      <c r="BV66" s="113"/>
      <c r="BW66" s="62">
        <f>订货1!AV66</f>
        <v>0</v>
      </c>
      <c r="BX66" s="113"/>
      <c r="BY66" s="113"/>
      <c r="BZ66" s="62">
        <f>订货1!AW66</f>
        <v>0</v>
      </c>
      <c r="CA66" s="113"/>
      <c r="CB66" s="113"/>
      <c r="CC66" s="62">
        <f>订货1!AX66</f>
        <v>0</v>
      </c>
      <c r="CD66" s="113"/>
      <c r="CE66" s="113"/>
      <c r="CF66" s="62">
        <f>订货1!AY66</f>
        <v>0</v>
      </c>
      <c r="CG66" s="113"/>
      <c r="CH66" s="113"/>
      <c r="CI66" s="62">
        <f>订货1!AZ66</f>
        <v>0</v>
      </c>
      <c r="CJ66" s="113"/>
      <c r="CK66" s="113"/>
      <c r="CL66" s="62">
        <f>订货1!BA66</f>
        <v>0</v>
      </c>
      <c r="CM66" s="113"/>
      <c r="CN66" s="113"/>
      <c r="CO66" s="62">
        <f>订货1!BB66</f>
        <v>0</v>
      </c>
      <c r="CP66" s="113"/>
      <c r="CQ66" s="113"/>
      <c r="CR66" s="62">
        <f>订货1!BC66</f>
        <v>0</v>
      </c>
      <c r="CS66" s="113"/>
      <c r="CT66" s="113"/>
      <c r="CU66" s="62">
        <f>订货1!BD66</f>
        <v>0</v>
      </c>
      <c r="CV66" s="113"/>
      <c r="CW66" s="113"/>
      <c r="CX66" s="62">
        <f>订货1!BE66</f>
        <v>0</v>
      </c>
      <c r="CY66" s="113"/>
      <c r="CZ66" s="113"/>
      <c r="DA66" s="62">
        <f>订货1!BF66</f>
        <v>0</v>
      </c>
      <c r="DB66" s="113"/>
      <c r="DC66" s="113"/>
      <c r="DD66" s="208">
        <v>0</v>
      </c>
      <c r="DE66" s="110" t="e">
        <f t="shared" si="31"/>
        <v>#DIV/0!</v>
      </c>
      <c r="DF66" s="52">
        <f t="shared" ref="DF66:DF126" si="33">IFERROR(DD66+H66-G66,"")</f>
        <v>3</v>
      </c>
      <c r="DG66" s="32" t="str">
        <f>订货1!$Q66</f>
        <v>箱</v>
      </c>
      <c r="DH66" s="209" t="e">
        <f t="shared" si="32"/>
        <v>#DIV/0!</v>
      </c>
    </row>
    <row r="67" spans="1:112" ht="15" customHeight="1">
      <c r="A67" s="210">
        <f>订货1!A67</f>
        <v>101742</v>
      </c>
      <c r="B67" s="183" t="str">
        <f>VLOOKUP($A67,订货1!$A67:$G308,7,0)</f>
        <v>上海香尚香食品有限公司</v>
      </c>
      <c r="C67" s="183" t="str">
        <f>VLOOKUP($A67,订货1!$A67:$H308,8,0)</f>
        <v>上海香尚香食品有限公司</v>
      </c>
      <c r="D67" s="183" t="str">
        <f>VLOOKUP($A67,订货1!$A67:$B308,2,0)</f>
        <v>牛肝菌菌菇调理包</v>
      </c>
      <c r="E67" s="211" t="str">
        <f>VLOOKUP($A67,订货1!$A67:$E308,5,0)</f>
        <v>1kg*10</v>
      </c>
      <c r="F67" s="49" t="str">
        <f>VLOOKUP($A67,订货1!$A67:$F308,6,0)</f>
        <v>箱</v>
      </c>
      <c r="G67" s="204"/>
      <c r="H67" s="56">
        <f t="shared" si="30"/>
        <v>2</v>
      </c>
      <c r="I67" s="196"/>
      <c r="J67" s="113"/>
      <c r="K67" s="113"/>
      <c r="L67" s="196"/>
      <c r="M67" s="113"/>
      <c r="N67" s="113"/>
      <c r="O67" s="62">
        <f>订货1!AB67</f>
        <v>0</v>
      </c>
      <c r="P67" s="113"/>
      <c r="Q67" s="113"/>
      <c r="R67" s="62">
        <f>订货1!AC67</f>
        <v>0</v>
      </c>
      <c r="S67" s="113"/>
      <c r="T67" s="113"/>
      <c r="U67" s="62">
        <f>订货1!AD67</f>
        <v>0</v>
      </c>
      <c r="V67" s="113"/>
      <c r="W67" s="113"/>
      <c r="X67" s="62">
        <f>订货1!AE67</f>
        <v>0</v>
      </c>
      <c r="Y67" s="113"/>
      <c r="Z67" s="113"/>
      <c r="AA67" s="62">
        <f>订货1!AF67</f>
        <v>1</v>
      </c>
      <c r="AB67" s="113"/>
      <c r="AC67" s="113"/>
      <c r="AD67" s="62">
        <f>订货1!AG67</f>
        <v>0</v>
      </c>
      <c r="AE67" s="113"/>
      <c r="AF67" s="113"/>
      <c r="AG67" s="62">
        <f>订货1!AH67</f>
        <v>0</v>
      </c>
      <c r="AH67" s="113"/>
      <c r="AI67" s="113"/>
      <c r="AJ67" s="62">
        <f>订货1!AI67</f>
        <v>0</v>
      </c>
      <c r="AK67" s="113"/>
      <c r="AL67" s="113"/>
      <c r="AM67" s="62">
        <f>订货1!AJ67</f>
        <v>0</v>
      </c>
      <c r="AN67" s="113"/>
      <c r="AO67" s="113"/>
      <c r="AP67" s="62">
        <f>订货1!AK67</f>
        <v>0</v>
      </c>
      <c r="AQ67" s="113"/>
      <c r="AR67" s="113"/>
      <c r="AS67" s="62">
        <f>订货1!AL67</f>
        <v>0</v>
      </c>
      <c r="AT67" s="113"/>
      <c r="AU67" s="113"/>
      <c r="AV67" s="62">
        <f>订货1!AM67</f>
        <v>0</v>
      </c>
      <c r="AW67" s="113"/>
      <c r="AX67" s="113"/>
      <c r="AY67" s="62">
        <f>订货1!AN67</f>
        <v>0</v>
      </c>
      <c r="AZ67" s="113"/>
      <c r="BA67" s="113"/>
      <c r="BB67" s="62">
        <f>订货1!AO67</f>
        <v>1</v>
      </c>
      <c r="BC67" s="113"/>
      <c r="BD67" s="113"/>
      <c r="BE67" s="62">
        <f>订货1!AP67</f>
        <v>0</v>
      </c>
      <c r="BF67" s="113"/>
      <c r="BG67" s="113"/>
      <c r="BH67" s="62">
        <f>订货1!AQ67</f>
        <v>0</v>
      </c>
      <c r="BI67" s="113"/>
      <c r="BJ67" s="113"/>
      <c r="BK67" s="62">
        <f>订货1!AR67</f>
        <v>0</v>
      </c>
      <c r="BL67" s="113"/>
      <c r="BM67" s="113"/>
      <c r="BN67" s="62">
        <f>订货1!AS67</f>
        <v>0</v>
      </c>
      <c r="BO67" s="113"/>
      <c r="BP67" s="113"/>
      <c r="BQ67" s="62">
        <f>订货1!AT67</f>
        <v>0</v>
      </c>
      <c r="BR67" s="113"/>
      <c r="BS67" s="113"/>
      <c r="BT67" s="62">
        <f>订货1!AU67</f>
        <v>0</v>
      </c>
      <c r="BU67" s="113"/>
      <c r="BV67" s="113"/>
      <c r="BW67" s="62">
        <f>订货1!AV67</f>
        <v>0</v>
      </c>
      <c r="BX67" s="113"/>
      <c r="BY67" s="113"/>
      <c r="BZ67" s="62">
        <f>订货1!AW67</f>
        <v>0</v>
      </c>
      <c r="CA67" s="113"/>
      <c r="CB67" s="113"/>
      <c r="CC67" s="62">
        <f>订货1!AX67</f>
        <v>0</v>
      </c>
      <c r="CD67" s="113"/>
      <c r="CE67" s="113"/>
      <c r="CF67" s="62">
        <f>订货1!AY67</f>
        <v>0</v>
      </c>
      <c r="CG67" s="113"/>
      <c r="CH67" s="113"/>
      <c r="CI67" s="62">
        <f>订货1!AZ67</f>
        <v>0</v>
      </c>
      <c r="CJ67" s="113"/>
      <c r="CK67" s="113"/>
      <c r="CL67" s="62">
        <f>订货1!BA67</f>
        <v>0</v>
      </c>
      <c r="CM67" s="113"/>
      <c r="CN67" s="113"/>
      <c r="CO67" s="62">
        <f>订货1!BB67</f>
        <v>0</v>
      </c>
      <c r="CP67" s="113"/>
      <c r="CQ67" s="113"/>
      <c r="CR67" s="62">
        <f>订货1!BC67</f>
        <v>0</v>
      </c>
      <c r="CS67" s="113"/>
      <c r="CT67" s="113"/>
      <c r="CU67" s="62">
        <f>订货1!BD67</f>
        <v>0</v>
      </c>
      <c r="CV67" s="113"/>
      <c r="CW67" s="113"/>
      <c r="CX67" s="62">
        <f>订货1!BE67</f>
        <v>0</v>
      </c>
      <c r="CY67" s="113"/>
      <c r="CZ67" s="113"/>
      <c r="DA67" s="62">
        <f>订货1!BF67</f>
        <v>0</v>
      </c>
      <c r="DB67" s="113"/>
      <c r="DC67" s="113"/>
      <c r="DD67" s="208">
        <v>0</v>
      </c>
      <c r="DE67" s="110" t="e">
        <f t="shared" ref="DE67:DE127" si="34">INT(G67/DI67)</f>
        <v>#DIV/0!</v>
      </c>
      <c r="DF67" s="52">
        <f t="shared" si="33"/>
        <v>2</v>
      </c>
      <c r="DG67" s="32" t="str">
        <f>订货1!$Q67</f>
        <v>箱</v>
      </c>
      <c r="DH67" s="209" t="e">
        <f t="shared" si="32"/>
        <v>#DIV/0!</v>
      </c>
    </row>
    <row r="68" spans="1:112" ht="15" customHeight="1">
      <c r="A68" s="48">
        <f>订货1!A68</f>
        <v>101708</v>
      </c>
      <c r="B68" s="44" t="str">
        <f>VLOOKUP($A68,订货1!$A68:$G309,7,0)</f>
        <v>麦西恩食品（上海）有限公司</v>
      </c>
      <c r="C68" s="44" t="str">
        <f>VLOOKUP($A68,订货1!$A68:$H309,8,0)</f>
        <v>麦西恩食品（上海）有限公司</v>
      </c>
      <c r="D68" s="44" t="str">
        <f>VLOOKUP($A68,订货1!$A68:$B309,2,0)</f>
        <v>超薄脆比萨饼底</v>
      </c>
      <c r="E68" s="44" t="str">
        <f>VLOOKUP($A68,订货1!$A68:$E309,5,0)</f>
        <v>15*4pc</v>
      </c>
      <c r="F68" s="49" t="str">
        <f>VLOOKUP($A68,订货1!$A68:$F309,6,0)</f>
        <v>箱</v>
      </c>
      <c r="G68" s="203"/>
      <c r="H68" s="56">
        <f t="shared" si="30"/>
        <v>0</v>
      </c>
      <c r="I68" s="196"/>
      <c r="J68" s="113"/>
      <c r="K68" s="113"/>
      <c r="L68" s="196"/>
      <c r="M68" s="113"/>
      <c r="N68" s="113"/>
      <c r="O68" s="62">
        <f>订货1!AB68</f>
        <v>0</v>
      </c>
      <c r="P68" s="113"/>
      <c r="Q68" s="113"/>
      <c r="R68" s="62">
        <f>订货1!AC68</f>
        <v>0</v>
      </c>
      <c r="S68" s="113"/>
      <c r="T68" s="113"/>
      <c r="U68" s="62">
        <f>订货1!AD68</f>
        <v>0</v>
      </c>
      <c r="V68" s="113"/>
      <c r="W68" s="113"/>
      <c r="X68" s="62">
        <f>订货1!AE68</f>
        <v>0</v>
      </c>
      <c r="Y68" s="113"/>
      <c r="Z68" s="113"/>
      <c r="AA68" s="62">
        <f>订货1!AF68</f>
        <v>0</v>
      </c>
      <c r="AB68" s="113"/>
      <c r="AC68" s="113"/>
      <c r="AD68" s="62">
        <f>订货1!AG68</f>
        <v>0</v>
      </c>
      <c r="AE68" s="113"/>
      <c r="AF68" s="113"/>
      <c r="AG68" s="62">
        <f>订货1!AH68</f>
        <v>0</v>
      </c>
      <c r="AH68" s="113"/>
      <c r="AI68" s="113"/>
      <c r="AJ68" s="62">
        <f>订货1!AI68</f>
        <v>0</v>
      </c>
      <c r="AK68" s="113"/>
      <c r="AL68" s="113"/>
      <c r="AM68" s="62">
        <f>订货1!AJ68</f>
        <v>0</v>
      </c>
      <c r="AN68" s="113"/>
      <c r="AO68" s="113"/>
      <c r="AP68" s="62">
        <f>订货1!AK68</f>
        <v>0</v>
      </c>
      <c r="AQ68" s="113"/>
      <c r="AR68" s="113"/>
      <c r="AS68" s="62">
        <f>订货1!AL68</f>
        <v>0</v>
      </c>
      <c r="AT68" s="113"/>
      <c r="AU68" s="113"/>
      <c r="AV68" s="62">
        <f>订货1!AM68</f>
        <v>0</v>
      </c>
      <c r="AW68" s="113"/>
      <c r="AX68" s="113"/>
      <c r="AY68" s="62">
        <f>订货1!AN68</f>
        <v>0</v>
      </c>
      <c r="AZ68" s="113"/>
      <c r="BA68" s="113"/>
      <c r="BB68" s="62">
        <f>订货1!AO68</f>
        <v>0</v>
      </c>
      <c r="BC68" s="113"/>
      <c r="BD68" s="113"/>
      <c r="BE68" s="62">
        <f>订货1!AP68</f>
        <v>0</v>
      </c>
      <c r="BF68" s="113"/>
      <c r="BG68" s="113"/>
      <c r="BH68" s="62">
        <f>订货1!AQ68</f>
        <v>0</v>
      </c>
      <c r="BI68" s="113"/>
      <c r="BJ68" s="113"/>
      <c r="BK68" s="62">
        <f>订货1!AR68</f>
        <v>0</v>
      </c>
      <c r="BL68" s="113"/>
      <c r="BM68" s="113"/>
      <c r="BN68" s="62">
        <f>订货1!AS68</f>
        <v>0</v>
      </c>
      <c r="BO68" s="113"/>
      <c r="BP68" s="113"/>
      <c r="BQ68" s="62">
        <f>订货1!AT68</f>
        <v>0</v>
      </c>
      <c r="BR68" s="113"/>
      <c r="BS68" s="113"/>
      <c r="BT68" s="62">
        <f>订货1!AU68</f>
        <v>0</v>
      </c>
      <c r="BU68" s="113"/>
      <c r="BV68" s="113"/>
      <c r="BW68" s="62">
        <f>订货1!AV68</f>
        <v>0</v>
      </c>
      <c r="BX68" s="113"/>
      <c r="BY68" s="113"/>
      <c r="BZ68" s="62">
        <f>订货1!AW68</f>
        <v>0</v>
      </c>
      <c r="CA68" s="113"/>
      <c r="CB68" s="113"/>
      <c r="CC68" s="62">
        <f>订货1!AX68</f>
        <v>0</v>
      </c>
      <c r="CD68" s="113"/>
      <c r="CE68" s="113"/>
      <c r="CF68" s="62">
        <f>订货1!AY68</f>
        <v>0</v>
      </c>
      <c r="CG68" s="113"/>
      <c r="CH68" s="113"/>
      <c r="CI68" s="62">
        <f>订货1!AZ68</f>
        <v>0</v>
      </c>
      <c r="CJ68" s="113"/>
      <c r="CK68" s="113"/>
      <c r="CL68" s="62">
        <f>订货1!BA68</f>
        <v>0</v>
      </c>
      <c r="CM68" s="113"/>
      <c r="CN68" s="113"/>
      <c r="CO68" s="62">
        <f>订货1!BB68</f>
        <v>0</v>
      </c>
      <c r="CP68" s="113"/>
      <c r="CQ68" s="113"/>
      <c r="CR68" s="62">
        <f>订货1!BC68</f>
        <v>0</v>
      </c>
      <c r="CS68" s="113"/>
      <c r="CT68" s="113"/>
      <c r="CU68" s="62">
        <f>订货1!BD68</f>
        <v>0</v>
      </c>
      <c r="CV68" s="113"/>
      <c r="CW68" s="113"/>
      <c r="CX68" s="62">
        <f>订货1!BE68</f>
        <v>0</v>
      </c>
      <c r="CY68" s="113"/>
      <c r="CZ68" s="113"/>
      <c r="DA68" s="62">
        <f>订货1!BF68</f>
        <v>0</v>
      </c>
      <c r="DB68" s="113"/>
      <c r="DC68" s="113"/>
      <c r="DD68" s="208">
        <v>0</v>
      </c>
      <c r="DE68" s="110" t="e">
        <f t="shared" si="34"/>
        <v>#DIV/0!</v>
      </c>
      <c r="DF68" s="52">
        <f t="shared" si="33"/>
        <v>0</v>
      </c>
      <c r="DG68" s="32" t="str">
        <f>订货1!$Q68</f>
        <v>箱</v>
      </c>
      <c r="DH68" s="209" t="e">
        <f t="shared" ref="DH68:DH128" si="35">DF68/($DH$2/10000)</f>
        <v>#DIV/0!</v>
      </c>
    </row>
    <row r="69" spans="1:112" ht="15" customHeight="1">
      <c r="A69" s="48">
        <f>订货1!A69</f>
        <v>101748</v>
      </c>
      <c r="B69" s="44" t="str">
        <f>VLOOKUP($A69,订货1!$A69:$G310,7,0)</f>
        <v>辣西西里（北京）国际贸易有限公司</v>
      </c>
      <c r="C69" s="44" t="str">
        <f>VLOOKUP($A69,订货1!$A69:$H310,8,0)</f>
        <v>Dolceria Alba SPA</v>
      </c>
      <c r="D69" s="44" t="str">
        <f>VLOOKUP($A69,订货1!$A69:$B310,2,0)</f>
        <v>酥皮蛋糕</v>
      </c>
      <c r="E69" s="44" t="str">
        <f>VLOOKUP($A69,订货1!$A69:$E310,5,0)</f>
        <v>60g*4*4</v>
      </c>
      <c r="F69" s="49" t="str">
        <f>VLOOKUP($A69,订货1!$A69:$F310,6,0)</f>
        <v>盒</v>
      </c>
      <c r="G69" s="203"/>
      <c r="H69" s="56">
        <f t="shared" ref="H69:H132" si="36">O69+R69+X69+AA69+AD69+AG69+AJ69+AM69+AP69+AS69+AV69+AY69+BB69+BE69+BH69+BK69+BN69+BQ69+BT69+BW69+BZ69+CC69+CF69+CI69+CL69+CO69+CR69+U69+I69+L69</f>
        <v>0</v>
      </c>
      <c r="I69" s="196"/>
      <c r="J69" s="113"/>
      <c r="K69" s="113"/>
      <c r="L69" s="196"/>
      <c r="M69" s="113"/>
      <c r="N69" s="113"/>
      <c r="O69" s="62">
        <f>订货1!AB69</f>
        <v>0</v>
      </c>
      <c r="P69" s="113"/>
      <c r="Q69" s="113"/>
      <c r="R69" s="62">
        <f>订货1!AC69</f>
        <v>0</v>
      </c>
      <c r="S69" s="113"/>
      <c r="T69" s="113"/>
      <c r="U69" s="62">
        <f>订货1!AD69</f>
        <v>0</v>
      </c>
      <c r="V69" s="113"/>
      <c r="W69" s="113"/>
      <c r="X69" s="62">
        <f>订货1!AE69</f>
        <v>0</v>
      </c>
      <c r="Y69" s="113"/>
      <c r="Z69" s="113"/>
      <c r="AA69" s="62">
        <f>订货1!AF69</f>
        <v>0</v>
      </c>
      <c r="AB69" s="113"/>
      <c r="AC69" s="113"/>
      <c r="AD69" s="62">
        <f>订货1!AG69</f>
        <v>0</v>
      </c>
      <c r="AE69" s="113"/>
      <c r="AF69" s="113"/>
      <c r="AG69" s="62">
        <f>订货1!AH69</f>
        <v>0</v>
      </c>
      <c r="AH69" s="113"/>
      <c r="AI69" s="113"/>
      <c r="AJ69" s="62">
        <f>订货1!AI69</f>
        <v>0</v>
      </c>
      <c r="AK69" s="113"/>
      <c r="AL69" s="113"/>
      <c r="AM69" s="62">
        <f>订货1!AJ69</f>
        <v>0</v>
      </c>
      <c r="AN69" s="113"/>
      <c r="AO69" s="113"/>
      <c r="AP69" s="62">
        <f>订货1!AK69</f>
        <v>0</v>
      </c>
      <c r="AQ69" s="113"/>
      <c r="AR69" s="113"/>
      <c r="AS69" s="62">
        <f>订货1!AL69</f>
        <v>0</v>
      </c>
      <c r="AT69" s="113"/>
      <c r="AU69" s="113"/>
      <c r="AV69" s="62">
        <f>订货1!AM69</f>
        <v>0</v>
      </c>
      <c r="AW69" s="113"/>
      <c r="AX69" s="113"/>
      <c r="AY69" s="62">
        <f>订货1!AN69</f>
        <v>0</v>
      </c>
      <c r="AZ69" s="113"/>
      <c r="BA69" s="113"/>
      <c r="BB69" s="62">
        <f>订货1!AO69</f>
        <v>0</v>
      </c>
      <c r="BC69" s="113"/>
      <c r="BD69" s="113"/>
      <c r="BE69" s="62">
        <f>订货1!AP69</f>
        <v>0</v>
      </c>
      <c r="BF69" s="113"/>
      <c r="BG69" s="113"/>
      <c r="BH69" s="62">
        <f>订货1!AQ69</f>
        <v>0</v>
      </c>
      <c r="BI69" s="113"/>
      <c r="BJ69" s="113"/>
      <c r="BK69" s="62">
        <f>订货1!AR69</f>
        <v>0</v>
      </c>
      <c r="BL69" s="113"/>
      <c r="BM69" s="113"/>
      <c r="BN69" s="62">
        <f>订货1!AS69</f>
        <v>0</v>
      </c>
      <c r="BO69" s="113"/>
      <c r="BP69" s="113"/>
      <c r="BQ69" s="62">
        <f>订货1!AT69</f>
        <v>0</v>
      </c>
      <c r="BR69" s="113"/>
      <c r="BS69" s="113"/>
      <c r="BT69" s="62">
        <f>订货1!AU69</f>
        <v>0</v>
      </c>
      <c r="BU69" s="113"/>
      <c r="BV69" s="113"/>
      <c r="BW69" s="62">
        <f>订货1!AV69</f>
        <v>0</v>
      </c>
      <c r="BX69" s="113"/>
      <c r="BY69" s="113"/>
      <c r="BZ69" s="62">
        <f>订货1!AW69</f>
        <v>0</v>
      </c>
      <c r="CA69" s="113"/>
      <c r="CB69" s="113"/>
      <c r="CC69" s="62">
        <f>订货1!AX69</f>
        <v>0</v>
      </c>
      <c r="CD69" s="113"/>
      <c r="CE69" s="113"/>
      <c r="CF69" s="62">
        <f>订货1!AY69</f>
        <v>0</v>
      </c>
      <c r="CG69" s="113"/>
      <c r="CH69" s="113"/>
      <c r="CI69" s="62">
        <f>订货1!AZ69</f>
        <v>0</v>
      </c>
      <c r="CJ69" s="113"/>
      <c r="CK69" s="113"/>
      <c r="CL69" s="62">
        <f>订货1!BA69</f>
        <v>0</v>
      </c>
      <c r="CM69" s="113"/>
      <c r="CN69" s="113"/>
      <c r="CO69" s="62">
        <f>订货1!BB69</f>
        <v>0</v>
      </c>
      <c r="CP69" s="113"/>
      <c r="CQ69" s="113"/>
      <c r="CR69" s="62">
        <f>订货1!BC69</f>
        <v>0</v>
      </c>
      <c r="CS69" s="113"/>
      <c r="CT69" s="113"/>
      <c r="CU69" s="62">
        <f>订货1!BD69</f>
        <v>0</v>
      </c>
      <c r="CV69" s="113"/>
      <c r="CW69" s="113"/>
      <c r="CX69" s="62">
        <f>订货1!BE69</f>
        <v>0</v>
      </c>
      <c r="CY69" s="113"/>
      <c r="CZ69" s="113"/>
      <c r="DA69" s="62">
        <f>订货1!BF69</f>
        <v>0</v>
      </c>
      <c r="DB69" s="113"/>
      <c r="DC69" s="113"/>
      <c r="DD69" s="208">
        <v>0</v>
      </c>
      <c r="DE69" s="110" t="e">
        <f t="shared" si="34"/>
        <v>#DIV/0!</v>
      </c>
      <c r="DF69" s="52">
        <f t="shared" si="33"/>
        <v>0</v>
      </c>
      <c r="DG69" s="32" t="str">
        <f>订货1!$Q69</f>
        <v>盒</v>
      </c>
      <c r="DH69" s="209" t="e">
        <f t="shared" si="35"/>
        <v>#DIV/0!</v>
      </c>
    </row>
    <row r="70" spans="1:112" ht="15" customHeight="1">
      <c r="A70" s="48">
        <f>订货1!A70</f>
        <v>101554</v>
      </c>
      <c r="B70" s="44" t="str">
        <f>VLOOKUP($A70,订货1!$A70:$G312,7,0)</f>
        <v>辣西西里（北京）国际贸易有限公司</v>
      </c>
      <c r="C70" s="44" t="str">
        <f>VLOOKUP($A70,订货1!$A70:$H312,8,0)</f>
        <v>Dolceria Alba SPA</v>
      </c>
      <c r="D70" s="44" t="str">
        <f>VLOOKUP($A70,订货1!$A70:$B312,2,0)</f>
        <v>焦糖布丁蛋糕</v>
      </c>
      <c r="E70" s="44" t="str">
        <f>VLOOKUP($A70,订货1!$A70:$E312,5,0)</f>
        <v>100g*9块/盒</v>
      </c>
      <c r="F70" s="49" t="str">
        <f>VLOOKUP($A70,订货1!$A70:$F312,6,0)</f>
        <v>盒</v>
      </c>
      <c r="G70" s="203"/>
      <c r="H70" s="56">
        <f t="shared" si="36"/>
        <v>15</v>
      </c>
      <c r="I70" s="196"/>
      <c r="J70" s="113"/>
      <c r="K70" s="113"/>
      <c r="L70" s="196"/>
      <c r="M70" s="113"/>
      <c r="N70" s="113"/>
      <c r="O70" s="62">
        <f>订货1!AB70</f>
        <v>1</v>
      </c>
      <c r="P70" s="113"/>
      <c r="Q70" s="113"/>
      <c r="R70" s="62">
        <f>订货1!AC70</f>
        <v>0</v>
      </c>
      <c r="S70" s="113"/>
      <c r="T70" s="113"/>
      <c r="U70" s="62">
        <f>订货1!AD70</f>
        <v>0</v>
      </c>
      <c r="V70" s="113"/>
      <c r="W70" s="113"/>
      <c r="X70" s="62">
        <f>订货1!AE70</f>
        <v>1</v>
      </c>
      <c r="Y70" s="113"/>
      <c r="Z70" s="113"/>
      <c r="AA70" s="62">
        <f>订货1!AF70</f>
        <v>2</v>
      </c>
      <c r="AB70" s="113"/>
      <c r="AC70" s="113"/>
      <c r="AD70" s="62">
        <f>订货1!AG70</f>
        <v>3</v>
      </c>
      <c r="AE70" s="113"/>
      <c r="AF70" s="113"/>
      <c r="AG70" s="62">
        <f>订货1!AH70</f>
        <v>0</v>
      </c>
      <c r="AH70" s="113"/>
      <c r="AI70" s="113"/>
      <c r="AJ70" s="62">
        <f>订货1!AI70</f>
        <v>0</v>
      </c>
      <c r="AK70" s="113"/>
      <c r="AL70" s="113"/>
      <c r="AM70" s="62">
        <f>订货1!AJ70</f>
        <v>2</v>
      </c>
      <c r="AN70" s="113"/>
      <c r="AO70" s="113"/>
      <c r="AP70" s="62">
        <f>订货1!AK70</f>
        <v>0</v>
      </c>
      <c r="AQ70" s="113"/>
      <c r="AR70" s="113"/>
      <c r="AS70" s="62">
        <f>订货1!AL70</f>
        <v>1</v>
      </c>
      <c r="AT70" s="113"/>
      <c r="AU70" s="113"/>
      <c r="AV70" s="62">
        <f>订货1!AM70</f>
        <v>2</v>
      </c>
      <c r="AW70" s="113"/>
      <c r="AX70" s="113"/>
      <c r="AY70" s="62">
        <f>订货1!AN70</f>
        <v>3</v>
      </c>
      <c r="AZ70" s="113"/>
      <c r="BA70" s="113"/>
      <c r="BB70" s="62">
        <f>订货1!AO70</f>
        <v>0</v>
      </c>
      <c r="BC70" s="113"/>
      <c r="BD70" s="113"/>
      <c r="BE70" s="62">
        <f>订货1!AP70</f>
        <v>0</v>
      </c>
      <c r="BF70" s="113"/>
      <c r="BG70" s="113"/>
      <c r="BH70" s="62">
        <f>订货1!AQ70</f>
        <v>0</v>
      </c>
      <c r="BI70" s="113"/>
      <c r="BJ70" s="113"/>
      <c r="BK70" s="62">
        <f>订货1!AR70</f>
        <v>0</v>
      </c>
      <c r="BL70" s="113"/>
      <c r="BM70" s="113"/>
      <c r="BN70" s="62">
        <f>订货1!AS70</f>
        <v>0</v>
      </c>
      <c r="BO70" s="113"/>
      <c r="BP70" s="113"/>
      <c r="BQ70" s="62">
        <f>订货1!AT70</f>
        <v>0</v>
      </c>
      <c r="BR70" s="113"/>
      <c r="BS70" s="113"/>
      <c r="BT70" s="62">
        <f>订货1!AU70</f>
        <v>0</v>
      </c>
      <c r="BU70" s="113"/>
      <c r="BV70" s="113"/>
      <c r="BW70" s="62">
        <f>订货1!AV70</f>
        <v>0</v>
      </c>
      <c r="BX70" s="113"/>
      <c r="BY70" s="113"/>
      <c r="BZ70" s="62">
        <f>订货1!AW70</f>
        <v>0</v>
      </c>
      <c r="CA70" s="113"/>
      <c r="CB70" s="113"/>
      <c r="CC70" s="62">
        <f>订货1!AX70</f>
        <v>0</v>
      </c>
      <c r="CD70" s="113"/>
      <c r="CE70" s="113"/>
      <c r="CF70" s="62">
        <f>订货1!AY70</f>
        <v>0</v>
      </c>
      <c r="CG70" s="113"/>
      <c r="CH70" s="113"/>
      <c r="CI70" s="62">
        <f>订货1!AZ70</f>
        <v>0</v>
      </c>
      <c r="CJ70" s="113"/>
      <c r="CK70" s="113"/>
      <c r="CL70" s="62">
        <f>订货1!BA70</f>
        <v>0</v>
      </c>
      <c r="CM70" s="113"/>
      <c r="CN70" s="113"/>
      <c r="CO70" s="62">
        <f>订货1!BB70</f>
        <v>0</v>
      </c>
      <c r="CP70" s="113"/>
      <c r="CQ70" s="113"/>
      <c r="CR70" s="62">
        <f>订货1!BC70</f>
        <v>0</v>
      </c>
      <c r="CS70" s="113"/>
      <c r="CT70" s="113"/>
      <c r="CU70" s="62">
        <f>订货1!BD70</f>
        <v>0</v>
      </c>
      <c r="CV70" s="113"/>
      <c r="CW70" s="113"/>
      <c r="CX70" s="62">
        <f>订货1!BE70</f>
        <v>0</v>
      </c>
      <c r="CY70" s="113"/>
      <c r="CZ70" s="113"/>
      <c r="DA70" s="62">
        <f>订货1!BF70</f>
        <v>0</v>
      </c>
      <c r="DB70" s="113"/>
      <c r="DC70" s="113"/>
      <c r="DD70" s="208">
        <v>0</v>
      </c>
      <c r="DE70" s="110" t="e">
        <f t="shared" si="34"/>
        <v>#DIV/0!</v>
      </c>
      <c r="DF70" s="52">
        <f t="shared" si="33"/>
        <v>15</v>
      </c>
      <c r="DG70" s="32" t="str">
        <f>订货1!$Q70</f>
        <v>盒</v>
      </c>
      <c r="DH70" s="209" t="e">
        <f t="shared" si="35"/>
        <v>#DIV/0!</v>
      </c>
    </row>
    <row r="71" spans="1:112" ht="15" customHeight="1">
      <c r="A71" s="48">
        <f>订货1!A71</f>
        <v>101587</v>
      </c>
      <c r="B71" s="44" t="str">
        <f>VLOOKUP($A71,订货1!$A71:$G313,7,0)</f>
        <v>承武贸易（上海）有限公司</v>
      </c>
      <c r="C71" s="44" t="str">
        <f>VLOOKUP($A71,订货1!$A71:$H313,8,0)</f>
        <v>山东泰乐源农业科技有限公司</v>
      </c>
      <c r="D71" s="44" t="str">
        <f>VLOOKUP($A71,订货1!$A71:$B313,2,0)</f>
        <v>金牌印度阿方索芒果（糖浆）</v>
      </c>
      <c r="E71" s="44" t="str">
        <f>VLOOKUP($A71,订货1!$A71:$E313,5,0)</f>
        <v>5kg*4pc</v>
      </c>
      <c r="F71" s="49" t="str">
        <f>VLOOKUP($A71,订货1!$A71:$F313,6,0)</f>
        <v>盒</v>
      </c>
      <c r="G71" s="203"/>
      <c r="H71" s="56">
        <f t="shared" si="36"/>
        <v>1</v>
      </c>
      <c r="I71" s="196"/>
      <c r="J71" s="113"/>
      <c r="K71" s="113"/>
      <c r="L71" s="196"/>
      <c r="M71" s="113"/>
      <c r="N71" s="113"/>
      <c r="O71" s="62">
        <f>订货1!AB71</f>
        <v>0</v>
      </c>
      <c r="P71" s="113"/>
      <c r="Q71" s="113"/>
      <c r="R71" s="62">
        <f>订货1!AC71</f>
        <v>0</v>
      </c>
      <c r="S71" s="113"/>
      <c r="T71" s="113"/>
      <c r="U71" s="62">
        <f>订货1!AD71</f>
        <v>0</v>
      </c>
      <c r="V71" s="113"/>
      <c r="W71" s="113"/>
      <c r="X71" s="62">
        <f>订货1!AE71</f>
        <v>0</v>
      </c>
      <c r="Y71" s="113"/>
      <c r="Z71" s="113"/>
      <c r="AA71" s="62">
        <f>订货1!AF71</f>
        <v>0</v>
      </c>
      <c r="AB71" s="113"/>
      <c r="AC71" s="113"/>
      <c r="AD71" s="62">
        <f>订货1!AG71</f>
        <v>0</v>
      </c>
      <c r="AE71" s="113"/>
      <c r="AF71" s="113"/>
      <c r="AG71" s="62">
        <f>订货1!AH71</f>
        <v>0</v>
      </c>
      <c r="AH71" s="113"/>
      <c r="AI71" s="113"/>
      <c r="AJ71" s="62">
        <f>订货1!AI71</f>
        <v>1</v>
      </c>
      <c r="AK71" s="113"/>
      <c r="AL71" s="113"/>
      <c r="AM71" s="62">
        <f>订货1!AJ71</f>
        <v>0</v>
      </c>
      <c r="AN71" s="113"/>
      <c r="AO71" s="113"/>
      <c r="AP71" s="62">
        <f>订货1!AK71</f>
        <v>0</v>
      </c>
      <c r="AQ71" s="113"/>
      <c r="AR71" s="113"/>
      <c r="AS71" s="62">
        <f>订货1!AL71</f>
        <v>0</v>
      </c>
      <c r="AT71" s="113"/>
      <c r="AU71" s="113"/>
      <c r="AV71" s="62">
        <f>订货1!AM71</f>
        <v>0</v>
      </c>
      <c r="AW71" s="113"/>
      <c r="AX71" s="113"/>
      <c r="AY71" s="62">
        <f>订货1!AN71</f>
        <v>0</v>
      </c>
      <c r="AZ71" s="113"/>
      <c r="BA71" s="113"/>
      <c r="BB71" s="62">
        <f>订货1!AO71</f>
        <v>0</v>
      </c>
      <c r="BC71" s="113"/>
      <c r="BD71" s="113"/>
      <c r="BE71" s="62">
        <f>订货1!AP71</f>
        <v>0</v>
      </c>
      <c r="BF71" s="113"/>
      <c r="BG71" s="113"/>
      <c r="BH71" s="62">
        <f>订货1!AQ71</f>
        <v>0</v>
      </c>
      <c r="BI71" s="113"/>
      <c r="BJ71" s="113"/>
      <c r="BK71" s="62">
        <f>订货1!AR71</f>
        <v>0</v>
      </c>
      <c r="BL71" s="113"/>
      <c r="BM71" s="113"/>
      <c r="BN71" s="62">
        <f>订货1!AS71</f>
        <v>0</v>
      </c>
      <c r="BO71" s="113"/>
      <c r="BP71" s="113"/>
      <c r="BQ71" s="62">
        <f>订货1!AT71</f>
        <v>0</v>
      </c>
      <c r="BR71" s="113"/>
      <c r="BS71" s="113"/>
      <c r="BT71" s="62">
        <f>订货1!AU71</f>
        <v>0</v>
      </c>
      <c r="BU71" s="113"/>
      <c r="BV71" s="113"/>
      <c r="BW71" s="62">
        <f>订货1!AV71</f>
        <v>0</v>
      </c>
      <c r="BX71" s="113"/>
      <c r="BY71" s="113"/>
      <c r="BZ71" s="62">
        <f>订货1!AW71</f>
        <v>0</v>
      </c>
      <c r="CA71" s="113"/>
      <c r="CB71" s="113"/>
      <c r="CC71" s="62">
        <f>订货1!AX71</f>
        <v>0</v>
      </c>
      <c r="CD71" s="113"/>
      <c r="CE71" s="113"/>
      <c r="CF71" s="62">
        <f>订货1!AY71</f>
        <v>0</v>
      </c>
      <c r="CG71" s="113"/>
      <c r="CH71" s="113"/>
      <c r="CI71" s="62">
        <f>订货1!AZ71</f>
        <v>0</v>
      </c>
      <c r="CJ71" s="113"/>
      <c r="CK71" s="113"/>
      <c r="CL71" s="62">
        <f>订货1!BA71</f>
        <v>0</v>
      </c>
      <c r="CM71" s="113"/>
      <c r="CN71" s="113"/>
      <c r="CO71" s="62">
        <f>订货1!BB71</f>
        <v>0</v>
      </c>
      <c r="CP71" s="113"/>
      <c r="CQ71" s="113"/>
      <c r="CR71" s="62">
        <f>订货1!BC71</f>
        <v>0</v>
      </c>
      <c r="CS71" s="113"/>
      <c r="CT71" s="113"/>
      <c r="CU71" s="62">
        <f>订货1!BD71</f>
        <v>0</v>
      </c>
      <c r="CV71" s="113"/>
      <c r="CW71" s="113"/>
      <c r="CX71" s="62">
        <f>订货1!BE71</f>
        <v>0</v>
      </c>
      <c r="CY71" s="113"/>
      <c r="CZ71" s="113"/>
      <c r="DA71" s="62">
        <f>订货1!BF71</f>
        <v>0</v>
      </c>
      <c r="DB71" s="113"/>
      <c r="DC71" s="113"/>
      <c r="DD71" s="208">
        <v>0</v>
      </c>
      <c r="DE71" s="110" t="e">
        <f t="shared" si="34"/>
        <v>#DIV/0!</v>
      </c>
      <c r="DF71" s="52">
        <f t="shared" si="33"/>
        <v>1</v>
      </c>
      <c r="DG71" s="32" t="str">
        <f>订货1!$Q71</f>
        <v>盒</v>
      </c>
      <c r="DH71" s="209" t="e">
        <f t="shared" si="35"/>
        <v>#DIV/0!</v>
      </c>
    </row>
    <row r="72" spans="1:112" ht="15" customHeight="1">
      <c r="A72" s="48">
        <f>订货1!A72</f>
        <v>101286</v>
      </c>
      <c r="B72" s="44" t="str">
        <f>VLOOKUP($A72,订货1!$A72:$G314,7,0)</f>
        <v>仙波食品（浙江）有限公司</v>
      </c>
      <c r="C72" s="44" t="str">
        <f>VLOOKUP($A72,订货1!$A72:$H314,8,0)</f>
        <v>仙波食品（浙江）有限公司</v>
      </c>
      <c r="D72" s="44" t="str">
        <f>VLOOKUP($A72,订货1!$A72:$B314,2,0)</f>
        <v>萨莉亚特制沙拉酱</v>
      </c>
      <c r="E72" s="44" t="str">
        <f>VLOOKUP($A72,订货1!$A72:$E314,5,0)</f>
        <v>1kg*10pc</v>
      </c>
      <c r="F72" s="49" t="str">
        <f>VLOOKUP($A72,订货1!$A72:$F314,6,0)</f>
        <v>箱</v>
      </c>
      <c r="G72" s="203"/>
      <c r="H72" s="56">
        <f t="shared" si="36"/>
        <v>0</v>
      </c>
      <c r="I72" s="196"/>
      <c r="J72" s="113"/>
      <c r="K72" s="113"/>
      <c r="L72" s="196"/>
      <c r="M72" s="113"/>
      <c r="N72" s="113"/>
      <c r="O72" s="62">
        <f>订货1!AB72</f>
        <v>0</v>
      </c>
      <c r="P72" s="113"/>
      <c r="Q72" s="113"/>
      <c r="R72" s="62">
        <f>订货1!AC72</f>
        <v>0</v>
      </c>
      <c r="S72" s="113"/>
      <c r="T72" s="113"/>
      <c r="U72" s="62">
        <f>订货1!AD72</f>
        <v>0</v>
      </c>
      <c r="V72" s="113"/>
      <c r="W72" s="113"/>
      <c r="X72" s="62">
        <f>订货1!AE72</f>
        <v>0</v>
      </c>
      <c r="Y72" s="113"/>
      <c r="Z72" s="113"/>
      <c r="AA72" s="62">
        <f>订货1!AF72</f>
        <v>0</v>
      </c>
      <c r="AB72" s="113"/>
      <c r="AC72" s="113"/>
      <c r="AD72" s="62">
        <f>订货1!AG72</f>
        <v>0</v>
      </c>
      <c r="AE72" s="113"/>
      <c r="AF72" s="113"/>
      <c r="AG72" s="62">
        <f>订货1!AH72</f>
        <v>0</v>
      </c>
      <c r="AH72" s="113"/>
      <c r="AI72" s="113"/>
      <c r="AJ72" s="62">
        <f>订货1!AI72</f>
        <v>0</v>
      </c>
      <c r="AK72" s="113"/>
      <c r="AL72" s="113"/>
      <c r="AM72" s="62">
        <f>订货1!AJ72</f>
        <v>0</v>
      </c>
      <c r="AN72" s="113"/>
      <c r="AO72" s="113"/>
      <c r="AP72" s="62">
        <f>订货1!AK72</f>
        <v>0</v>
      </c>
      <c r="AQ72" s="113"/>
      <c r="AR72" s="113"/>
      <c r="AS72" s="62">
        <f>订货1!AL72</f>
        <v>0</v>
      </c>
      <c r="AT72" s="113"/>
      <c r="AU72" s="113"/>
      <c r="AV72" s="62">
        <f>订货1!AM72</f>
        <v>0</v>
      </c>
      <c r="AW72" s="113"/>
      <c r="AX72" s="113"/>
      <c r="AY72" s="62">
        <f>订货1!AN72</f>
        <v>0</v>
      </c>
      <c r="AZ72" s="113"/>
      <c r="BA72" s="113"/>
      <c r="BB72" s="62">
        <f>订货1!AO72</f>
        <v>0</v>
      </c>
      <c r="BC72" s="113"/>
      <c r="BD72" s="113"/>
      <c r="BE72" s="62">
        <f>订货1!AP72</f>
        <v>0</v>
      </c>
      <c r="BF72" s="113"/>
      <c r="BG72" s="113"/>
      <c r="BH72" s="62">
        <f>订货1!AQ72</f>
        <v>0</v>
      </c>
      <c r="BI72" s="113"/>
      <c r="BJ72" s="113"/>
      <c r="BK72" s="62">
        <f>订货1!AR72</f>
        <v>0</v>
      </c>
      <c r="BL72" s="113"/>
      <c r="BM72" s="113"/>
      <c r="BN72" s="62">
        <f>订货1!AS72</f>
        <v>0</v>
      </c>
      <c r="BO72" s="113"/>
      <c r="BP72" s="113"/>
      <c r="BQ72" s="62">
        <f>订货1!AT72</f>
        <v>0</v>
      </c>
      <c r="BR72" s="113"/>
      <c r="BS72" s="113"/>
      <c r="BT72" s="62">
        <f>订货1!AU72</f>
        <v>0</v>
      </c>
      <c r="BU72" s="113"/>
      <c r="BV72" s="113"/>
      <c r="BW72" s="62">
        <f>订货1!AV72</f>
        <v>0</v>
      </c>
      <c r="BX72" s="113"/>
      <c r="BY72" s="113"/>
      <c r="BZ72" s="62">
        <f>订货1!AW72</f>
        <v>0</v>
      </c>
      <c r="CA72" s="113"/>
      <c r="CB72" s="113"/>
      <c r="CC72" s="62">
        <f>订货1!AX72</f>
        <v>0</v>
      </c>
      <c r="CD72" s="113"/>
      <c r="CE72" s="113"/>
      <c r="CF72" s="62">
        <f>订货1!AY72</f>
        <v>0</v>
      </c>
      <c r="CG72" s="113"/>
      <c r="CH72" s="113"/>
      <c r="CI72" s="62">
        <f>订货1!AZ72</f>
        <v>0</v>
      </c>
      <c r="CJ72" s="113"/>
      <c r="CK72" s="113"/>
      <c r="CL72" s="62">
        <f>订货1!BA72</f>
        <v>0</v>
      </c>
      <c r="CM72" s="113"/>
      <c r="CN72" s="113"/>
      <c r="CO72" s="62">
        <f>订货1!BB72</f>
        <v>0</v>
      </c>
      <c r="CP72" s="113"/>
      <c r="CQ72" s="113"/>
      <c r="CR72" s="62">
        <f>订货1!BC72</f>
        <v>0</v>
      </c>
      <c r="CS72" s="113"/>
      <c r="CT72" s="113"/>
      <c r="CU72" s="62">
        <f>订货1!BD72</f>
        <v>0</v>
      </c>
      <c r="CV72" s="113"/>
      <c r="CW72" s="113"/>
      <c r="CX72" s="62">
        <f>订货1!BE72</f>
        <v>0</v>
      </c>
      <c r="CY72" s="113"/>
      <c r="CZ72" s="113"/>
      <c r="DA72" s="62">
        <f>订货1!BF72</f>
        <v>0</v>
      </c>
      <c r="DB72" s="113"/>
      <c r="DC72" s="113"/>
      <c r="DD72" s="208">
        <v>0</v>
      </c>
      <c r="DE72" s="110" t="e">
        <f t="shared" si="34"/>
        <v>#DIV/0!</v>
      </c>
      <c r="DF72" s="52">
        <f t="shared" si="33"/>
        <v>0</v>
      </c>
      <c r="DG72" s="32" t="str">
        <f>订货1!$Q72</f>
        <v>箱</v>
      </c>
      <c r="DH72" s="209" t="e">
        <f t="shared" si="35"/>
        <v>#DIV/0!</v>
      </c>
    </row>
    <row r="73" spans="1:112" ht="15" customHeight="1">
      <c r="A73" s="48">
        <f>订货1!A73</f>
        <v>101588</v>
      </c>
      <c r="B73" s="44" t="str">
        <f>VLOOKUP($A73,订货1!$A73:$G315,7,0)</f>
        <v>承武贸易（上海）有限公司</v>
      </c>
      <c r="C73" s="44" t="str">
        <f>VLOOKUP($A73,订货1!$A73:$H315,8,0)</f>
        <v>山东泰乐源农业科技有限公司</v>
      </c>
      <c r="D73" s="44" t="str">
        <f>VLOOKUP($A73,订货1!$A73:$B315,2,0)</f>
        <v>金牌红葡萄（糖浆）</v>
      </c>
      <c r="E73" s="44" t="str">
        <f>VLOOKUP($A73,订货1!$A73:$E315,5,0)</f>
        <v>5kg*4pc</v>
      </c>
      <c r="F73" s="49" t="str">
        <f>VLOOKUP($A73,订货1!$A73:$F315,6,0)</f>
        <v>箱</v>
      </c>
      <c r="G73" s="203"/>
      <c r="H73" s="56">
        <f t="shared" si="36"/>
        <v>1</v>
      </c>
      <c r="I73" s="196"/>
      <c r="J73" s="113"/>
      <c r="K73" s="113"/>
      <c r="L73" s="196"/>
      <c r="M73" s="113"/>
      <c r="N73" s="113"/>
      <c r="O73" s="62">
        <f>订货1!AB73</f>
        <v>0</v>
      </c>
      <c r="P73" s="113"/>
      <c r="Q73" s="113"/>
      <c r="R73" s="62">
        <f>订货1!AC73</f>
        <v>1</v>
      </c>
      <c r="S73" s="113"/>
      <c r="T73" s="113"/>
      <c r="U73" s="62">
        <f>订货1!AD73</f>
        <v>0</v>
      </c>
      <c r="V73" s="113"/>
      <c r="W73" s="113"/>
      <c r="X73" s="62">
        <f>订货1!AE73</f>
        <v>0</v>
      </c>
      <c r="Y73" s="113"/>
      <c r="Z73" s="113"/>
      <c r="AA73" s="62">
        <f>订货1!AF73</f>
        <v>0</v>
      </c>
      <c r="AB73" s="113"/>
      <c r="AC73" s="113"/>
      <c r="AD73" s="62">
        <f>订货1!AG73</f>
        <v>0</v>
      </c>
      <c r="AE73" s="113"/>
      <c r="AF73" s="113"/>
      <c r="AG73" s="62">
        <f>订货1!AH73</f>
        <v>0</v>
      </c>
      <c r="AH73" s="113"/>
      <c r="AI73" s="113"/>
      <c r="AJ73" s="62">
        <f>订货1!AI73</f>
        <v>0</v>
      </c>
      <c r="AK73" s="113"/>
      <c r="AL73" s="113"/>
      <c r="AM73" s="62">
        <f>订货1!AJ73</f>
        <v>0</v>
      </c>
      <c r="AN73" s="113"/>
      <c r="AO73" s="113"/>
      <c r="AP73" s="62">
        <f>订货1!AK73</f>
        <v>0</v>
      </c>
      <c r="AQ73" s="113"/>
      <c r="AR73" s="113"/>
      <c r="AS73" s="62">
        <f>订货1!AL73</f>
        <v>0</v>
      </c>
      <c r="AT73" s="113"/>
      <c r="AU73" s="113"/>
      <c r="AV73" s="62">
        <f>订货1!AM73</f>
        <v>0</v>
      </c>
      <c r="AW73" s="113"/>
      <c r="AX73" s="113"/>
      <c r="AY73" s="62">
        <f>订货1!AN73</f>
        <v>0</v>
      </c>
      <c r="AZ73" s="113"/>
      <c r="BA73" s="113"/>
      <c r="BB73" s="62">
        <f>订货1!AO73</f>
        <v>0</v>
      </c>
      <c r="BC73" s="113"/>
      <c r="BD73" s="113"/>
      <c r="BE73" s="62">
        <f>订货1!AP73</f>
        <v>0</v>
      </c>
      <c r="BF73" s="113"/>
      <c r="BG73" s="113"/>
      <c r="BH73" s="62">
        <f>订货1!AQ73</f>
        <v>0</v>
      </c>
      <c r="BI73" s="113"/>
      <c r="BJ73" s="113"/>
      <c r="BK73" s="62">
        <f>订货1!AR73</f>
        <v>0</v>
      </c>
      <c r="BL73" s="113"/>
      <c r="BM73" s="113"/>
      <c r="BN73" s="62">
        <f>订货1!AS73</f>
        <v>0</v>
      </c>
      <c r="BO73" s="113"/>
      <c r="BP73" s="113"/>
      <c r="BQ73" s="62">
        <f>订货1!AT73</f>
        <v>0</v>
      </c>
      <c r="BR73" s="113"/>
      <c r="BS73" s="113"/>
      <c r="BT73" s="62">
        <f>订货1!AU73</f>
        <v>0</v>
      </c>
      <c r="BU73" s="113"/>
      <c r="BV73" s="113"/>
      <c r="BW73" s="62">
        <f>订货1!AV73</f>
        <v>0</v>
      </c>
      <c r="BX73" s="113"/>
      <c r="BY73" s="113"/>
      <c r="BZ73" s="62">
        <f>订货1!AW73</f>
        <v>0</v>
      </c>
      <c r="CA73" s="113"/>
      <c r="CB73" s="113"/>
      <c r="CC73" s="62">
        <f>订货1!AX73</f>
        <v>0</v>
      </c>
      <c r="CD73" s="113"/>
      <c r="CE73" s="113"/>
      <c r="CF73" s="62">
        <f>订货1!AY73</f>
        <v>0</v>
      </c>
      <c r="CG73" s="113"/>
      <c r="CH73" s="113"/>
      <c r="CI73" s="62">
        <f>订货1!AZ73</f>
        <v>0</v>
      </c>
      <c r="CJ73" s="113"/>
      <c r="CK73" s="113"/>
      <c r="CL73" s="62">
        <f>订货1!BA73</f>
        <v>0</v>
      </c>
      <c r="CM73" s="113"/>
      <c r="CN73" s="113"/>
      <c r="CO73" s="62">
        <f>订货1!BB73</f>
        <v>0</v>
      </c>
      <c r="CP73" s="113"/>
      <c r="CQ73" s="113"/>
      <c r="CR73" s="62">
        <f>订货1!BC73</f>
        <v>0</v>
      </c>
      <c r="CS73" s="113"/>
      <c r="CT73" s="113"/>
      <c r="CU73" s="62">
        <f>订货1!BD73</f>
        <v>0</v>
      </c>
      <c r="CV73" s="113"/>
      <c r="CW73" s="113"/>
      <c r="CX73" s="62">
        <f>订货1!BE73</f>
        <v>0</v>
      </c>
      <c r="CY73" s="113"/>
      <c r="CZ73" s="113"/>
      <c r="DA73" s="62">
        <f>订货1!BF73</f>
        <v>0</v>
      </c>
      <c r="DB73" s="113"/>
      <c r="DC73" s="113"/>
      <c r="DD73" s="208">
        <v>0</v>
      </c>
      <c r="DE73" s="110" t="e">
        <f t="shared" si="34"/>
        <v>#DIV/0!</v>
      </c>
      <c r="DF73" s="52">
        <f t="shared" si="33"/>
        <v>1</v>
      </c>
      <c r="DG73" s="32" t="str">
        <f>订货1!$Q73</f>
        <v>箱</v>
      </c>
      <c r="DH73" s="209" t="e">
        <f t="shared" si="35"/>
        <v>#DIV/0!</v>
      </c>
    </row>
    <row r="74" spans="1:112" ht="15" customHeight="1">
      <c r="A74" s="48">
        <f>订货1!A74</f>
        <v>101768</v>
      </c>
      <c r="B74" s="44" t="str">
        <f>VLOOKUP($A74,订货1!$A74:$G316,7,0)</f>
        <v>辣西西里（北京）国际贸易有限公司</v>
      </c>
      <c r="C74" s="44" t="str">
        <f>VLOOKUP($A74,订货1!$A74:$H316,8,0)</f>
        <v>Pan Surgelati Srl</v>
      </c>
      <c r="D74" s="44" t="str">
        <f>VLOOKUP($A74,订货1!$A74:$B316,2,0)</f>
        <v>苹果派</v>
      </c>
      <c r="E74" s="44" t="str">
        <f>VLOOKUP($A74,订货1!$A74:$E316,5,0)</f>
        <v>76g*7*4pc</v>
      </c>
      <c r="F74" s="49" t="str">
        <f>VLOOKUP($A74,订货1!$A74:$F316,6,0)</f>
        <v>箱</v>
      </c>
      <c r="G74" s="203"/>
      <c r="H74" s="56">
        <f t="shared" si="36"/>
        <v>0</v>
      </c>
      <c r="I74" s="196"/>
      <c r="J74" s="113"/>
      <c r="K74" s="113"/>
      <c r="L74" s="196"/>
      <c r="M74" s="113"/>
      <c r="N74" s="113"/>
      <c r="O74" s="62">
        <f>订货1!AB74</f>
        <v>0</v>
      </c>
      <c r="P74" s="113"/>
      <c r="Q74" s="113"/>
      <c r="R74" s="62">
        <f>订货1!AC74</f>
        <v>0</v>
      </c>
      <c r="S74" s="113"/>
      <c r="T74" s="113"/>
      <c r="U74" s="62">
        <f>订货1!AD74</f>
        <v>0</v>
      </c>
      <c r="V74" s="113"/>
      <c r="W74" s="113"/>
      <c r="X74" s="62">
        <f>订货1!AE74</f>
        <v>0</v>
      </c>
      <c r="Y74" s="113"/>
      <c r="Z74" s="113"/>
      <c r="AA74" s="62">
        <f>订货1!AF74</f>
        <v>0</v>
      </c>
      <c r="AB74" s="113"/>
      <c r="AC74" s="113"/>
      <c r="AD74" s="62">
        <f>订货1!AG74</f>
        <v>0</v>
      </c>
      <c r="AE74" s="113"/>
      <c r="AF74" s="113"/>
      <c r="AG74" s="62">
        <f>订货1!AH74</f>
        <v>0</v>
      </c>
      <c r="AH74" s="113"/>
      <c r="AI74" s="113"/>
      <c r="AJ74" s="62">
        <f>订货1!AI74</f>
        <v>0</v>
      </c>
      <c r="AK74" s="113"/>
      <c r="AL74" s="113"/>
      <c r="AM74" s="62">
        <f>订货1!AJ74</f>
        <v>0</v>
      </c>
      <c r="AN74" s="113"/>
      <c r="AO74" s="113"/>
      <c r="AP74" s="62">
        <f>订货1!AK74</f>
        <v>0</v>
      </c>
      <c r="AQ74" s="113"/>
      <c r="AR74" s="113"/>
      <c r="AS74" s="62">
        <f>订货1!AL74</f>
        <v>0</v>
      </c>
      <c r="AT74" s="113"/>
      <c r="AU74" s="113"/>
      <c r="AV74" s="62">
        <f>订货1!AM74</f>
        <v>0</v>
      </c>
      <c r="AW74" s="113"/>
      <c r="AX74" s="113"/>
      <c r="AY74" s="62">
        <f>订货1!AN74</f>
        <v>0</v>
      </c>
      <c r="AZ74" s="113"/>
      <c r="BA74" s="113"/>
      <c r="BB74" s="62">
        <f>订货1!AO74</f>
        <v>0</v>
      </c>
      <c r="BC74" s="113"/>
      <c r="BD74" s="113"/>
      <c r="BE74" s="62">
        <f>订货1!AP74</f>
        <v>0</v>
      </c>
      <c r="BF74" s="113"/>
      <c r="BG74" s="113"/>
      <c r="BH74" s="62">
        <f>订货1!AQ74</f>
        <v>0</v>
      </c>
      <c r="BI74" s="113"/>
      <c r="BJ74" s="113"/>
      <c r="BK74" s="62">
        <f>订货1!AR74</f>
        <v>0</v>
      </c>
      <c r="BL74" s="113"/>
      <c r="BM74" s="113"/>
      <c r="BN74" s="62">
        <f>订货1!AS74</f>
        <v>0</v>
      </c>
      <c r="BO74" s="113"/>
      <c r="BP74" s="113"/>
      <c r="BQ74" s="62">
        <f>订货1!AT74</f>
        <v>0</v>
      </c>
      <c r="BR74" s="113"/>
      <c r="BS74" s="113"/>
      <c r="BT74" s="62">
        <f>订货1!AU74</f>
        <v>0</v>
      </c>
      <c r="BU74" s="113"/>
      <c r="BV74" s="113"/>
      <c r="BW74" s="62">
        <f>订货1!AV74</f>
        <v>0</v>
      </c>
      <c r="BX74" s="113"/>
      <c r="BY74" s="113"/>
      <c r="BZ74" s="62">
        <f>订货1!AW74</f>
        <v>0</v>
      </c>
      <c r="CA74" s="113"/>
      <c r="CB74" s="113"/>
      <c r="CC74" s="62">
        <f>订货1!AX74</f>
        <v>0</v>
      </c>
      <c r="CD74" s="113"/>
      <c r="CE74" s="113"/>
      <c r="CF74" s="62">
        <f>订货1!AY74</f>
        <v>0</v>
      </c>
      <c r="CG74" s="113"/>
      <c r="CH74" s="113"/>
      <c r="CI74" s="62">
        <f>订货1!AZ74</f>
        <v>0</v>
      </c>
      <c r="CJ74" s="113"/>
      <c r="CK74" s="113"/>
      <c r="CL74" s="62">
        <f>订货1!BA74</f>
        <v>0</v>
      </c>
      <c r="CM74" s="113"/>
      <c r="CN74" s="113"/>
      <c r="CO74" s="62">
        <f>订货1!BB74</f>
        <v>0</v>
      </c>
      <c r="CP74" s="113"/>
      <c r="CQ74" s="113"/>
      <c r="CR74" s="62">
        <f>订货1!BC74</f>
        <v>0</v>
      </c>
      <c r="CS74" s="113"/>
      <c r="CT74" s="113"/>
      <c r="CU74" s="62">
        <f>订货1!BD74</f>
        <v>0</v>
      </c>
      <c r="CV74" s="113"/>
      <c r="CW74" s="113"/>
      <c r="CX74" s="62">
        <f>订货1!BE74</f>
        <v>0</v>
      </c>
      <c r="CY74" s="113"/>
      <c r="CZ74" s="113"/>
      <c r="DA74" s="62">
        <f>订货1!BF74</f>
        <v>0</v>
      </c>
      <c r="DB74" s="113"/>
      <c r="DC74" s="113"/>
      <c r="DD74" s="208">
        <v>0</v>
      </c>
      <c r="DE74" s="110" t="e">
        <f t="shared" si="34"/>
        <v>#DIV/0!</v>
      </c>
      <c r="DF74" s="52">
        <f t="shared" si="33"/>
        <v>0</v>
      </c>
      <c r="DG74" s="32" t="str">
        <f>订货1!$Q74</f>
        <v>箱</v>
      </c>
      <c r="DH74" s="209" t="e">
        <f t="shared" si="35"/>
        <v>#DIV/0!</v>
      </c>
    </row>
    <row r="75" spans="1:112" ht="15" customHeight="1">
      <c r="A75" s="48">
        <f>订货1!A75</f>
        <v>101669</v>
      </c>
      <c r="B75" s="44" t="str">
        <f>VLOOKUP($A75,订货1!$A75:$G317,7,0)</f>
        <v>辣西西里（北京）国际贸易有限公司</v>
      </c>
      <c r="C75" s="44" t="str">
        <f>VLOOKUP($A75,订货1!$A75:$H317,8,0)</f>
        <v>Fattorie Giacobazzi srl</v>
      </c>
      <c r="D75" s="44" t="str">
        <f>VLOOKUP($A75,订货1!$A75:$B317,2,0)</f>
        <v>辣西西里摩德纳黑醋</v>
      </c>
      <c r="E75" s="44" t="str">
        <f>VLOOKUP($A75,订货1!$A75:$E317,5,0)</f>
        <v>0.5l</v>
      </c>
      <c r="F75" s="49" t="str">
        <f>VLOOKUP($A75,订货1!$A75:$F317,6,0)</f>
        <v>瓶</v>
      </c>
      <c r="G75" s="203"/>
      <c r="H75" s="56">
        <f t="shared" si="36"/>
        <v>1</v>
      </c>
      <c r="I75" s="196"/>
      <c r="J75" s="113"/>
      <c r="K75" s="113"/>
      <c r="L75" s="196"/>
      <c r="M75" s="113"/>
      <c r="N75" s="113"/>
      <c r="O75" s="62">
        <f>订货1!AB75</f>
        <v>0</v>
      </c>
      <c r="P75" s="113"/>
      <c r="Q75" s="113"/>
      <c r="R75" s="62">
        <f>订货1!AC75</f>
        <v>0</v>
      </c>
      <c r="S75" s="113"/>
      <c r="T75" s="113"/>
      <c r="U75" s="62">
        <f>订货1!AD75</f>
        <v>0</v>
      </c>
      <c r="V75" s="113"/>
      <c r="W75" s="113"/>
      <c r="X75" s="62">
        <f>订货1!AE75</f>
        <v>0</v>
      </c>
      <c r="Y75" s="113"/>
      <c r="Z75" s="113"/>
      <c r="AA75" s="62">
        <f>订货1!AF75</f>
        <v>0</v>
      </c>
      <c r="AB75" s="113"/>
      <c r="AC75" s="113"/>
      <c r="AD75" s="62">
        <f>订货1!AG75</f>
        <v>0</v>
      </c>
      <c r="AE75" s="113"/>
      <c r="AF75" s="113"/>
      <c r="AG75" s="62">
        <f>订货1!AH75</f>
        <v>0</v>
      </c>
      <c r="AH75" s="113"/>
      <c r="AI75" s="113"/>
      <c r="AJ75" s="62">
        <f>订货1!AI75</f>
        <v>0</v>
      </c>
      <c r="AK75" s="113"/>
      <c r="AL75" s="113"/>
      <c r="AM75" s="62">
        <f>订货1!AJ75</f>
        <v>0</v>
      </c>
      <c r="AN75" s="113"/>
      <c r="AO75" s="113"/>
      <c r="AP75" s="62">
        <f>订货1!AK75</f>
        <v>0</v>
      </c>
      <c r="AQ75" s="113"/>
      <c r="AR75" s="113"/>
      <c r="AS75" s="62">
        <f>订货1!AL75</f>
        <v>0</v>
      </c>
      <c r="AT75" s="113"/>
      <c r="AU75" s="113"/>
      <c r="AV75" s="62">
        <f>订货1!AM75</f>
        <v>1</v>
      </c>
      <c r="AW75" s="113"/>
      <c r="AX75" s="113"/>
      <c r="AY75" s="62">
        <f>订货1!AN75</f>
        <v>0</v>
      </c>
      <c r="AZ75" s="113"/>
      <c r="BA75" s="113"/>
      <c r="BB75" s="62">
        <f>订货1!AO75</f>
        <v>0</v>
      </c>
      <c r="BC75" s="113"/>
      <c r="BD75" s="113"/>
      <c r="BE75" s="62">
        <f>订货1!AP75</f>
        <v>0</v>
      </c>
      <c r="BF75" s="113"/>
      <c r="BG75" s="113"/>
      <c r="BH75" s="62">
        <f>订货1!AQ75</f>
        <v>0</v>
      </c>
      <c r="BI75" s="113"/>
      <c r="BJ75" s="113"/>
      <c r="BK75" s="62">
        <f>订货1!AR75</f>
        <v>0</v>
      </c>
      <c r="BL75" s="113"/>
      <c r="BM75" s="113"/>
      <c r="BN75" s="62">
        <f>订货1!AS75</f>
        <v>0</v>
      </c>
      <c r="BO75" s="113"/>
      <c r="BP75" s="113"/>
      <c r="BQ75" s="62">
        <f>订货1!AT75</f>
        <v>0</v>
      </c>
      <c r="BR75" s="113"/>
      <c r="BS75" s="113"/>
      <c r="BT75" s="62">
        <f>订货1!AU75</f>
        <v>0</v>
      </c>
      <c r="BU75" s="113"/>
      <c r="BV75" s="113"/>
      <c r="BW75" s="62">
        <f>订货1!AV75</f>
        <v>0</v>
      </c>
      <c r="BX75" s="113"/>
      <c r="BY75" s="113"/>
      <c r="BZ75" s="62">
        <f>订货1!AW75</f>
        <v>0</v>
      </c>
      <c r="CA75" s="113"/>
      <c r="CB75" s="113"/>
      <c r="CC75" s="62">
        <f>订货1!AX75</f>
        <v>0</v>
      </c>
      <c r="CD75" s="113"/>
      <c r="CE75" s="113"/>
      <c r="CF75" s="62">
        <f>订货1!AY75</f>
        <v>0</v>
      </c>
      <c r="CG75" s="113"/>
      <c r="CH75" s="113"/>
      <c r="CI75" s="62">
        <f>订货1!AZ75</f>
        <v>0</v>
      </c>
      <c r="CJ75" s="113"/>
      <c r="CK75" s="113"/>
      <c r="CL75" s="62">
        <f>订货1!BA75</f>
        <v>0</v>
      </c>
      <c r="CM75" s="113"/>
      <c r="CN75" s="113"/>
      <c r="CO75" s="62">
        <f>订货1!BB75</f>
        <v>0</v>
      </c>
      <c r="CP75" s="113"/>
      <c r="CQ75" s="113"/>
      <c r="CR75" s="62">
        <f>订货1!BC75</f>
        <v>0</v>
      </c>
      <c r="CS75" s="113"/>
      <c r="CT75" s="113"/>
      <c r="CU75" s="62">
        <f>订货1!BD75</f>
        <v>0</v>
      </c>
      <c r="CV75" s="113"/>
      <c r="CW75" s="113"/>
      <c r="CX75" s="62">
        <f>订货1!BE75</f>
        <v>0</v>
      </c>
      <c r="CY75" s="113"/>
      <c r="CZ75" s="113"/>
      <c r="DA75" s="62">
        <f>订货1!BF75</f>
        <v>0</v>
      </c>
      <c r="DB75" s="113"/>
      <c r="DC75" s="113"/>
      <c r="DD75" s="208">
        <v>0</v>
      </c>
      <c r="DE75" s="110" t="e">
        <f t="shared" si="34"/>
        <v>#DIV/0!</v>
      </c>
      <c r="DF75" s="52">
        <f t="shared" si="33"/>
        <v>1</v>
      </c>
      <c r="DG75" s="32" t="str">
        <f>订货1!$Q75</f>
        <v>瓶</v>
      </c>
      <c r="DH75" s="209" t="e">
        <f t="shared" si="35"/>
        <v>#DIV/0!</v>
      </c>
    </row>
    <row r="76" spans="1:112" ht="15" customHeight="1">
      <c r="A76" s="48">
        <f>订货1!A76</f>
        <v>101709</v>
      </c>
      <c r="B76" s="44" t="str">
        <f>VLOOKUP($A76,订货1!$A76:$G318,7,0)</f>
        <v>广州萨莉亚食品有限公司</v>
      </c>
      <c r="C76" s="44" t="str">
        <f>VLOOKUP($A76,订货1!$A76:$H318,8,0)</f>
        <v>广州萨莉亚食品有限公司</v>
      </c>
      <c r="D76" s="44" t="str">
        <f>VLOOKUP($A76,订货1!$A76:$B318,2,0)</f>
        <v>蒜蓉辣椒酱</v>
      </c>
      <c r="E76" s="44" t="str">
        <f>VLOOKUP($A76,订货1!$A76:$E318,5,0)</f>
        <v>500g*20pc</v>
      </c>
      <c r="F76" s="49" t="str">
        <f>VLOOKUP($A76,订货1!$A76:$F318,6,0)</f>
        <v>箱</v>
      </c>
      <c r="G76" s="203"/>
      <c r="H76" s="56">
        <f t="shared" si="36"/>
        <v>1</v>
      </c>
      <c r="I76" s="196"/>
      <c r="J76" s="113"/>
      <c r="K76" s="113"/>
      <c r="L76" s="196"/>
      <c r="M76" s="113"/>
      <c r="N76" s="113"/>
      <c r="O76" s="62">
        <f>订货1!AB76</f>
        <v>0</v>
      </c>
      <c r="P76" s="113"/>
      <c r="Q76" s="113"/>
      <c r="R76" s="62">
        <f>订货1!AC76</f>
        <v>0</v>
      </c>
      <c r="S76" s="113"/>
      <c r="T76" s="113"/>
      <c r="U76" s="62">
        <f>订货1!AD76</f>
        <v>0</v>
      </c>
      <c r="V76" s="113"/>
      <c r="W76" s="113"/>
      <c r="X76" s="62">
        <f>订货1!AE76</f>
        <v>0</v>
      </c>
      <c r="Y76" s="113"/>
      <c r="Z76" s="113"/>
      <c r="AA76" s="62">
        <f>订货1!AF76</f>
        <v>0</v>
      </c>
      <c r="AB76" s="113"/>
      <c r="AC76" s="113"/>
      <c r="AD76" s="62">
        <f>订货1!AG76</f>
        <v>0</v>
      </c>
      <c r="AE76" s="113"/>
      <c r="AF76" s="113"/>
      <c r="AG76" s="62">
        <f>订货1!AH76</f>
        <v>0</v>
      </c>
      <c r="AH76" s="113"/>
      <c r="AI76" s="113"/>
      <c r="AJ76" s="62">
        <f>订货1!AI76</f>
        <v>0</v>
      </c>
      <c r="AK76" s="113"/>
      <c r="AL76" s="113"/>
      <c r="AM76" s="62">
        <f>订货1!AJ76</f>
        <v>0</v>
      </c>
      <c r="AN76" s="113"/>
      <c r="AO76" s="113"/>
      <c r="AP76" s="62">
        <f>订货1!AK76</f>
        <v>0</v>
      </c>
      <c r="AQ76" s="113"/>
      <c r="AR76" s="113"/>
      <c r="AS76" s="62">
        <f>订货1!AL76</f>
        <v>0</v>
      </c>
      <c r="AT76" s="113"/>
      <c r="AU76" s="113"/>
      <c r="AV76" s="62">
        <f>订货1!AM76</f>
        <v>0</v>
      </c>
      <c r="AW76" s="113"/>
      <c r="AX76" s="113"/>
      <c r="AY76" s="62">
        <f>订货1!AN76</f>
        <v>1</v>
      </c>
      <c r="AZ76" s="113"/>
      <c r="BA76" s="113"/>
      <c r="BB76" s="62">
        <f>订货1!AO76</f>
        <v>0</v>
      </c>
      <c r="BC76" s="113"/>
      <c r="BD76" s="113"/>
      <c r="BE76" s="62">
        <f>订货1!AP76</f>
        <v>0</v>
      </c>
      <c r="BF76" s="113"/>
      <c r="BG76" s="113"/>
      <c r="BH76" s="62">
        <f>订货1!AQ76</f>
        <v>0</v>
      </c>
      <c r="BI76" s="113"/>
      <c r="BJ76" s="113"/>
      <c r="BK76" s="62">
        <f>订货1!AR76</f>
        <v>0</v>
      </c>
      <c r="BL76" s="113"/>
      <c r="BM76" s="113"/>
      <c r="BN76" s="62">
        <f>订货1!AS76</f>
        <v>0</v>
      </c>
      <c r="BO76" s="113"/>
      <c r="BP76" s="113"/>
      <c r="BQ76" s="62">
        <f>订货1!AT76</f>
        <v>0</v>
      </c>
      <c r="BR76" s="113"/>
      <c r="BS76" s="113"/>
      <c r="BT76" s="62">
        <f>订货1!AU76</f>
        <v>0</v>
      </c>
      <c r="BU76" s="113"/>
      <c r="BV76" s="113"/>
      <c r="BW76" s="62">
        <f>订货1!AV76</f>
        <v>0</v>
      </c>
      <c r="BX76" s="113"/>
      <c r="BY76" s="113"/>
      <c r="BZ76" s="62">
        <f>订货1!AW76</f>
        <v>0</v>
      </c>
      <c r="CA76" s="113"/>
      <c r="CB76" s="113"/>
      <c r="CC76" s="62">
        <f>订货1!AX76</f>
        <v>0</v>
      </c>
      <c r="CD76" s="113"/>
      <c r="CE76" s="113"/>
      <c r="CF76" s="62">
        <f>订货1!AY76</f>
        <v>0</v>
      </c>
      <c r="CG76" s="113"/>
      <c r="CH76" s="113"/>
      <c r="CI76" s="62">
        <f>订货1!AZ76</f>
        <v>0</v>
      </c>
      <c r="CJ76" s="113"/>
      <c r="CK76" s="113"/>
      <c r="CL76" s="62">
        <f>订货1!BA76</f>
        <v>0</v>
      </c>
      <c r="CM76" s="113"/>
      <c r="CN76" s="113"/>
      <c r="CO76" s="62">
        <f>订货1!BB76</f>
        <v>0</v>
      </c>
      <c r="CP76" s="113"/>
      <c r="CQ76" s="113"/>
      <c r="CR76" s="62">
        <f>订货1!BC76</f>
        <v>0</v>
      </c>
      <c r="CS76" s="113"/>
      <c r="CT76" s="113"/>
      <c r="CU76" s="62">
        <f>订货1!BD76</f>
        <v>0</v>
      </c>
      <c r="CV76" s="113"/>
      <c r="CW76" s="113"/>
      <c r="CX76" s="62">
        <f>订货1!BE76</f>
        <v>0</v>
      </c>
      <c r="CY76" s="113"/>
      <c r="CZ76" s="113"/>
      <c r="DA76" s="62">
        <f>订货1!BF76</f>
        <v>0</v>
      </c>
      <c r="DB76" s="113"/>
      <c r="DC76" s="113"/>
      <c r="DD76" s="208">
        <v>0</v>
      </c>
      <c r="DE76" s="110" t="e">
        <f t="shared" si="34"/>
        <v>#DIV/0!</v>
      </c>
      <c r="DF76" s="52">
        <f t="shared" si="33"/>
        <v>1</v>
      </c>
      <c r="DG76" s="32" t="str">
        <f>订货1!$Q76</f>
        <v>箱</v>
      </c>
      <c r="DH76" s="209" t="e">
        <f t="shared" si="35"/>
        <v>#DIV/0!</v>
      </c>
    </row>
    <row r="77" spans="1:112" ht="15" customHeight="1">
      <c r="A77" s="48">
        <f>订货1!A77</f>
        <v>101710</v>
      </c>
      <c r="B77" s="44" t="str">
        <f>VLOOKUP($A77,订货1!$A77:$G319,7,0)</f>
        <v>辣西西里（北京）国际贸易有限公司</v>
      </c>
      <c r="C77" s="44" t="str">
        <f>VLOOKUP($A77,订货1!$A77:$H319,8,0)</f>
        <v>Dolceria Alba SPA</v>
      </c>
      <c r="D77" s="44" t="str">
        <f>VLOOKUP($A77,订货1!$A77:$B319,2,0)</f>
        <v>双层手指饼提拉米苏蛋糕</v>
      </c>
      <c r="E77" s="44" t="str">
        <f>VLOOKUP($A77,订货1!$A77:$E319,5,0)</f>
        <v>85g*8个/盒</v>
      </c>
      <c r="F77" s="49" t="str">
        <f>VLOOKUP($A77,订货1!$A77:$F319,6,0)</f>
        <v>盒</v>
      </c>
      <c r="G77" s="203"/>
      <c r="H77" s="56">
        <f t="shared" si="36"/>
        <v>13</v>
      </c>
      <c r="I77" s="196"/>
      <c r="J77" s="113"/>
      <c r="K77" s="113"/>
      <c r="L77" s="196"/>
      <c r="M77" s="113"/>
      <c r="N77" s="113"/>
      <c r="O77" s="62">
        <f>订货1!AB77</f>
        <v>1</v>
      </c>
      <c r="P77" s="113"/>
      <c r="Q77" s="113"/>
      <c r="R77" s="62">
        <f>订货1!AC77</f>
        <v>0</v>
      </c>
      <c r="S77" s="113"/>
      <c r="T77" s="113"/>
      <c r="U77" s="62">
        <f>订货1!AD77</f>
        <v>0</v>
      </c>
      <c r="V77" s="113"/>
      <c r="W77" s="113"/>
      <c r="X77" s="62">
        <f>订货1!AE77</f>
        <v>1</v>
      </c>
      <c r="Y77" s="113"/>
      <c r="Z77" s="113"/>
      <c r="AA77" s="62">
        <f>订货1!AF77</f>
        <v>1</v>
      </c>
      <c r="AB77" s="113"/>
      <c r="AC77" s="113"/>
      <c r="AD77" s="62">
        <f>订货1!AG77</f>
        <v>2</v>
      </c>
      <c r="AE77" s="113"/>
      <c r="AF77" s="113"/>
      <c r="AG77" s="62">
        <f>订货1!AH77</f>
        <v>2</v>
      </c>
      <c r="AH77" s="113"/>
      <c r="AI77" s="113"/>
      <c r="AJ77" s="62">
        <f>订货1!AI77</f>
        <v>0</v>
      </c>
      <c r="AK77" s="113"/>
      <c r="AL77" s="113"/>
      <c r="AM77" s="62">
        <f>订货1!AJ77</f>
        <v>2</v>
      </c>
      <c r="AN77" s="113"/>
      <c r="AO77" s="113"/>
      <c r="AP77" s="62">
        <f>订货1!AK77</f>
        <v>0</v>
      </c>
      <c r="AQ77" s="113"/>
      <c r="AR77" s="113"/>
      <c r="AS77" s="62">
        <f>订货1!AL77</f>
        <v>0</v>
      </c>
      <c r="AT77" s="113"/>
      <c r="AU77" s="113"/>
      <c r="AV77" s="62">
        <f>订货1!AM77</f>
        <v>2</v>
      </c>
      <c r="AW77" s="113"/>
      <c r="AX77" s="113"/>
      <c r="AY77" s="62">
        <f>订货1!AN77</f>
        <v>1</v>
      </c>
      <c r="AZ77" s="113"/>
      <c r="BA77" s="113"/>
      <c r="BB77" s="62">
        <f>订货1!AO77</f>
        <v>1</v>
      </c>
      <c r="BC77" s="113"/>
      <c r="BD77" s="113"/>
      <c r="BE77" s="62">
        <f>订货1!AP77</f>
        <v>0</v>
      </c>
      <c r="BF77" s="113"/>
      <c r="BG77" s="113"/>
      <c r="BH77" s="62">
        <f>订货1!AQ77</f>
        <v>0</v>
      </c>
      <c r="BI77" s="113"/>
      <c r="BJ77" s="113"/>
      <c r="BK77" s="62">
        <f>订货1!AR77</f>
        <v>0</v>
      </c>
      <c r="BL77" s="113"/>
      <c r="BM77" s="113"/>
      <c r="BN77" s="62">
        <f>订货1!AS77</f>
        <v>0</v>
      </c>
      <c r="BO77" s="113"/>
      <c r="BP77" s="113"/>
      <c r="BQ77" s="62">
        <f>订货1!AT77</f>
        <v>0</v>
      </c>
      <c r="BR77" s="113"/>
      <c r="BS77" s="113"/>
      <c r="BT77" s="62">
        <f>订货1!AU77</f>
        <v>0</v>
      </c>
      <c r="BU77" s="113"/>
      <c r="BV77" s="113"/>
      <c r="BW77" s="62">
        <f>订货1!AV77</f>
        <v>0</v>
      </c>
      <c r="BX77" s="113"/>
      <c r="BY77" s="113"/>
      <c r="BZ77" s="62">
        <f>订货1!AW77</f>
        <v>0</v>
      </c>
      <c r="CA77" s="113"/>
      <c r="CB77" s="113"/>
      <c r="CC77" s="62">
        <f>订货1!AX77</f>
        <v>0</v>
      </c>
      <c r="CD77" s="113"/>
      <c r="CE77" s="113"/>
      <c r="CF77" s="62">
        <f>订货1!AY77</f>
        <v>0</v>
      </c>
      <c r="CG77" s="113"/>
      <c r="CH77" s="113"/>
      <c r="CI77" s="62">
        <f>订货1!AZ77</f>
        <v>0</v>
      </c>
      <c r="CJ77" s="113"/>
      <c r="CK77" s="113"/>
      <c r="CL77" s="62">
        <f>订货1!BA77</f>
        <v>0</v>
      </c>
      <c r="CM77" s="113"/>
      <c r="CN77" s="113"/>
      <c r="CO77" s="62">
        <f>订货1!BB77</f>
        <v>0</v>
      </c>
      <c r="CP77" s="113"/>
      <c r="CQ77" s="113"/>
      <c r="CR77" s="62">
        <f>订货1!BC77</f>
        <v>0</v>
      </c>
      <c r="CS77" s="113"/>
      <c r="CT77" s="113"/>
      <c r="CU77" s="62">
        <f>订货1!BD77</f>
        <v>0</v>
      </c>
      <c r="CV77" s="113"/>
      <c r="CW77" s="113"/>
      <c r="CX77" s="62">
        <f>订货1!BE77</f>
        <v>0</v>
      </c>
      <c r="CY77" s="113"/>
      <c r="CZ77" s="113"/>
      <c r="DA77" s="62">
        <f>订货1!BF77</f>
        <v>0</v>
      </c>
      <c r="DB77" s="113"/>
      <c r="DC77" s="113"/>
      <c r="DD77" s="208">
        <v>0</v>
      </c>
      <c r="DE77" s="110" t="e">
        <f t="shared" si="34"/>
        <v>#DIV/0!</v>
      </c>
      <c r="DF77" s="52">
        <f t="shared" si="33"/>
        <v>13</v>
      </c>
      <c r="DG77" s="32" t="str">
        <f>订货1!$Q77</f>
        <v>盒</v>
      </c>
      <c r="DH77" s="209" t="e">
        <f t="shared" si="35"/>
        <v>#DIV/0!</v>
      </c>
    </row>
    <row r="78" spans="1:112" ht="15" customHeight="1">
      <c r="A78" s="48">
        <f>订货1!A78</f>
        <v>101770</v>
      </c>
      <c r="B78" s="44" t="str">
        <f>VLOOKUP($A78,订货1!$A78:$G320,7,0)</f>
        <v>辣西西里（北京）国际贸易有限公司</v>
      </c>
      <c r="C78" s="44" t="str">
        <f>VLOOKUP($A78,订货1!$A78:$H320,8,0)</f>
        <v>FORMALACTIS S.r.L</v>
      </c>
      <c r="D78" s="44" t="str">
        <f>VLOOKUP($A78,订货1!$A78:$B320,2,0)</f>
        <v>辣西西-布拉塔干酪（迷你）</v>
      </c>
      <c r="E78" s="44" t="str">
        <f>VLOOKUP($A78,订货1!$A78:$E320,5,0)</f>
        <v>200g*8盒</v>
      </c>
      <c r="F78" s="49" t="str">
        <f>VLOOKUP($A78,订货1!$A78:$F320,6,0)</f>
        <v>箱</v>
      </c>
      <c r="G78" s="203"/>
      <c r="H78" s="56">
        <f t="shared" si="36"/>
        <v>0</v>
      </c>
      <c r="I78" s="196"/>
      <c r="J78" s="113"/>
      <c r="K78" s="113"/>
      <c r="L78" s="196"/>
      <c r="M78" s="113"/>
      <c r="N78" s="113"/>
      <c r="O78" s="62">
        <f>订货1!AB78</f>
        <v>0</v>
      </c>
      <c r="P78" s="113"/>
      <c r="Q78" s="113"/>
      <c r="R78" s="62">
        <f>订货1!AC78</f>
        <v>0</v>
      </c>
      <c r="S78" s="113"/>
      <c r="T78" s="113"/>
      <c r="U78" s="62">
        <f>订货1!AD78</f>
        <v>0</v>
      </c>
      <c r="V78" s="113"/>
      <c r="W78" s="113"/>
      <c r="X78" s="62">
        <f>订货1!AE78</f>
        <v>0</v>
      </c>
      <c r="Y78" s="113"/>
      <c r="Z78" s="113"/>
      <c r="AA78" s="62">
        <f>订货1!AF78</f>
        <v>0</v>
      </c>
      <c r="AB78" s="113"/>
      <c r="AC78" s="113"/>
      <c r="AD78" s="62">
        <f>订货1!AG78</f>
        <v>0</v>
      </c>
      <c r="AE78" s="113"/>
      <c r="AF78" s="113"/>
      <c r="AG78" s="62">
        <f>订货1!AH78</f>
        <v>0</v>
      </c>
      <c r="AH78" s="113"/>
      <c r="AI78" s="113"/>
      <c r="AJ78" s="62">
        <f>订货1!AI78</f>
        <v>0</v>
      </c>
      <c r="AK78" s="113"/>
      <c r="AL78" s="113"/>
      <c r="AM78" s="62">
        <f>订货1!AJ78</f>
        <v>0</v>
      </c>
      <c r="AN78" s="113"/>
      <c r="AO78" s="113"/>
      <c r="AP78" s="62">
        <f>订货1!AK78</f>
        <v>0</v>
      </c>
      <c r="AQ78" s="113"/>
      <c r="AR78" s="113"/>
      <c r="AS78" s="62">
        <f>订货1!AL78</f>
        <v>0</v>
      </c>
      <c r="AT78" s="113"/>
      <c r="AU78" s="113"/>
      <c r="AV78" s="62">
        <f>订货1!AM78</f>
        <v>0</v>
      </c>
      <c r="AW78" s="113"/>
      <c r="AX78" s="113"/>
      <c r="AY78" s="62">
        <f>订货1!AN78</f>
        <v>0</v>
      </c>
      <c r="AZ78" s="113"/>
      <c r="BA78" s="113"/>
      <c r="BB78" s="62">
        <f>订货1!AO78</f>
        <v>0</v>
      </c>
      <c r="BC78" s="113"/>
      <c r="BD78" s="113"/>
      <c r="BE78" s="62">
        <f>订货1!AP78</f>
        <v>0</v>
      </c>
      <c r="BF78" s="113"/>
      <c r="BG78" s="113"/>
      <c r="BH78" s="62">
        <f>订货1!AQ78</f>
        <v>0</v>
      </c>
      <c r="BI78" s="113"/>
      <c r="BJ78" s="113"/>
      <c r="BK78" s="62">
        <f>订货1!AR78</f>
        <v>0</v>
      </c>
      <c r="BL78" s="113"/>
      <c r="BM78" s="113"/>
      <c r="BN78" s="62">
        <f>订货1!AS78</f>
        <v>0</v>
      </c>
      <c r="BO78" s="113"/>
      <c r="BP78" s="113"/>
      <c r="BQ78" s="62">
        <f>订货1!AT78</f>
        <v>0</v>
      </c>
      <c r="BR78" s="113"/>
      <c r="BS78" s="113"/>
      <c r="BT78" s="62">
        <f>订货1!AU78</f>
        <v>0</v>
      </c>
      <c r="BU78" s="113"/>
      <c r="BV78" s="113"/>
      <c r="BW78" s="62">
        <f>订货1!AV78</f>
        <v>0</v>
      </c>
      <c r="BX78" s="113"/>
      <c r="BY78" s="113"/>
      <c r="BZ78" s="62">
        <f>订货1!AW78</f>
        <v>0</v>
      </c>
      <c r="CA78" s="113"/>
      <c r="CB78" s="113"/>
      <c r="CC78" s="62">
        <f>订货1!AX78</f>
        <v>0</v>
      </c>
      <c r="CD78" s="113"/>
      <c r="CE78" s="113"/>
      <c r="CF78" s="62">
        <f>订货1!AY78</f>
        <v>0</v>
      </c>
      <c r="CG78" s="113"/>
      <c r="CH78" s="113"/>
      <c r="CI78" s="62">
        <f>订货1!AZ78</f>
        <v>0</v>
      </c>
      <c r="CJ78" s="113"/>
      <c r="CK78" s="113"/>
      <c r="CL78" s="62">
        <f>订货1!BA78</f>
        <v>0</v>
      </c>
      <c r="CM78" s="113"/>
      <c r="CN78" s="113"/>
      <c r="CO78" s="62">
        <f>订货1!BB78</f>
        <v>0</v>
      </c>
      <c r="CP78" s="113"/>
      <c r="CQ78" s="113"/>
      <c r="CR78" s="62">
        <f>订货1!BC78</f>
        <v>0</v>
      </c>
      <c r="CS78" s="113"/>
      <c r="CT78" s="113"/>
      <c r="CU78" s="62">
        <f>订货1!BD78</f>
        <v>0</v>
      </c>
      <c r="CV78" s="113"/>
      <c r="CW78" s="113"/>
      <c r="CX78" s="62">
        <f>订货1!BE78</f>
        <v>0</v>
      </c>
      <c r="CY78" s="113"/>
      <c r="CZ78" s="113"/>
      <c r="DA78" s="62">
        <f>订货1!BF78</f>
        <v>0</v>
      </c>
      <c r="DB78" s="113"/>
      <c r="DC78" s="113"/>
      <c r="DD78" s="208">
        <v>0</v>
      </c>
      <c r="DE78" s="110" t="e">
        <f t="shared" si="34"/>
        <v>#DIV/0!</v>
      </c>
      <c r="DF78" s="52">
        <f t="shared" si="33"/>
        <v>0</v>
      </c>
      <c r="DG78" s="32" t="str">
        <f>订货1!$Q78</f>
        <v>箱</v>
      </c>
      <c r="DH78" s="209" t="e">
        <f t="shared" si="35"/>
        <v>#DIV/0!</v>
      </c>
    </row>
    <row r="79" spans="1:112" ht="15" customHeight="1">
      <c r="A79" s="48">
        <f>订货1!A79</f>
        <v>101747</v>
      </c>
      <c r="B79" s="44" t="str">
        <f>VLOOKUP($A79,订货1!$A79:$G321,7,0)</f>
        <v>麦西恩食品（上海）有限公司</v>
      </c>
      <c r="C79" s="44" t="str">
        <f>VLOOKUP($A79,订货1!$A79:$H321,8,0)</f>
        <v>麦西恩食品（上海）有限公司</v>
      </c>
      <c r="D79" s="44" t="str">
        <f>VLOOKUP($A79,订货1!$A79:$B321,2,0)</f>
        <v xml:space="preserve">8英寸薄脆比萨饼底 </v>
      </c>
      <c r="E79" s="44" t="str">
        <f>VLOOKUP($A79,订货1!$A79:$E321,5,0)</f>
        <v>4pc*15</v>
      </c>
      <c r="F79" s="49" t="str">
        <f>VLOOKUP($A79,订货1!$A79:$F321,6,0)</f>
        <v>箱</v>
      </c>
      <c r="G79" s="203"/>
      <c r="H79" s="56">
        <f t="shared" si="36"/>
        <v>11</v>
      </c>
      <c r="I79" s="196"/>
      <c r="J79" s="113"/>
      <c r="K79" s="113"/>
      <c r="L79" s="196"/>
      <c r="M79" s="113"/>
      <c r="N79" s="113"/>
      <c r="O79" s="62">
        <f>订货1!AB79</f>
        <v>0</v>
      </c>
      <c r="P79" s="113"/>
      <c r="Q79" s="113"/>
      <c r="R79" s="62">
        <f>订货1!AC79</f>
        <v>1</v>
      </c>
      <c r="S79" s="113"/>
      <c r="T79" s="113"/>
      <c r="U79" s="62">
        <f>订货1!AD79</f>
        <v>0</v>
      </c>
      <c r="V79" s="113"/>
      <c r="W79" s="113"/>
      <c r="X79" s="62">
        <f>订货1!AE79</f>
        <v>0</v>
      </c>
      <c r="Y79" s="113"/>
      <c r="Z79" s="113"/>
      <c r="AA79" s="62">
        <f>订货1!AF79</f>
        <v>1</v>
      </c>
      <c r="AB79" s="113">
        <v>43221</v>
      </c>
      <c r="AC79" s="113"/>
      <c r="AD79" s="62">
        <f>订货1!AG79</f>
        <v>2</v>
      </c>
      <c r="AE79" s="113">
        <v>43221</v>
      </c>
      <c r="AF79" s="113"/>
      <c r="AG79" s="62">
        <f>订货1!AH79</f>
        <v>0</v>
      </c>
      <c r="AH79" s="113">
        <v>43221</v>
      </c>
      <c r="AI79" s="113"/>
      <c r="AJ79" s="62">
        <f>订货1!AI79</f>
        <v>2</v>
      </c>
      <c r="AK79" s="113">
        <v>43221</v>
      </c>
      <c r="AL79" s="113"/>
      <c r="AM79" s="62">
        <f>订货1!AJ79</f>
        <v>0</v>
      </c>
      <c r="AN79" s="113">
        <v>43221</v>
      </c>
      <c r="AO79" s="113"/>
      <c r="AP79" s="62">
        <f>订货1!AK79</f>
        <v>0</v>
      </c>
      <c r="AQ79" s="113">
        <v>43221</v>
      </c>
      <c r="AR79" s="113"/>
      <c r="AS79" s="62">
        <f>订货1!AL79</f>
        <v>0</v>
      </c>
      <c r="AT79" s="113">
        <v>43221</v>
      </c>
      <c r="AU79" s="113"/>
      <c r="AV79" s="62">
        <f>订货1!AM79</f>
        <v>3</v>
      </c>
      <c r="AW79" s="113"/>
      <c r="AX79" s="113"/>
      <c r="AY79" s="62">
        <f>订货1!AN79</f>
        <v>1</v>
      </c>
      <c r="AZ79" s="113"/>
      <c r="BA79" s="113"/>
      <c r="BB79" s="62">
        <f>订货1!AO79</f>
        <v>1</v>
      </c>
      <c r="BC79" s="113"/>
      <c r="BD79" s="113"/>
      <c r="BE79" s="62">
        <f>订货1!AP79</f>
        <v>0</v>
      </c>
      <c r="BF79" s="113"/>
      <c r="BG79" s="113"/>
      <c r="BH79" s="62">
        <f>订货1!AQ79</f>
        <v>0</v>
      </c>
      <c r="BI79" s="113"/>
      <c r="BJ79" s="113"/>
      <c r="BK79" s="62">
        <f>订货1!AR79</f>
        <v>0</v>
      </c>
      <c r="BL79" s="113"/>
      <c r="BM79" s="113"/>
      <c r="BN79" s="62">
        <f>订货1!AS79</f>
        <v>0</v>
      </c>
      <c r="BO79" s="113"/>
      <c r="BP79" s="113"/>
      <c r="BQ79" s="62">
        <f>订货1!AT79</f>
        <v>0</v>
      </c>
      <c r="BR79" s="113"/>
      <c r="BS79" s="113"/>
      <c r="BT79" s="62">
        <f>订货1!AU79</f>
        <v>0</v>
      </c>
      <c r="BU79" s="113"/>
      <c r="BV79" s="113"/>
      <c r="BW79" s="62">
        <f>订货1!AV79</f>
        <v>0</v>
      </c>
      <c r="BX79" s="113"/>
      <c r="BY79" s="113"/>
      <c r="BZ79" s="62">
        <f>订货1!AW79</f>
        <v>0</v>
      </c>
      <c r="CA79" s="113"/>
      <c r="CB79" s="113"/>
      <c r="CC79" s="62">
        <f>订货1!AX79</f>
        <v>0</v>
      </c>
      <c r="CD79" s="113"/>
      <c r="CE79" s="113"/>
      <c r="CF79" s="62">
        <f>订货1!AY79</f>
        <v>0</v>
      </c>
      <c r="CG79" s="113"/>
      <c r="CH79" s="113"/>
      <c r="CI79" s="62">
        <f>订货1!AZ79</f>
        <v>0</v>
      </c>
      <c r="CJ79" s="113"/>
      <c r="CK79" s="113"/>
      <c r="CL79" s="62">
        <f>订货1!BA79</f>
        <v>0</v>
      </c>
      <c r="CM79" s="113"/>
      <c r="CN79" s="113"/>
      <c r="CO79" s="62">
        <f>订货1!BB79</f>
        <v>0</v>
      </c>
      <c r="CP79" s="113"/>
      <c r="CQ79" s="113"/>
      <c r="CR79" s="62">
        <f>订货1!BC79</f>
        <v>0</v>
      </c>
      <c r="CS79" s="113"/>
      <c r="CT79" s="113"/>
      <c r="CU79" s="62">
        <f>订货1!BD79</f>
        <v>0</v>
      </c>
      <c r="CV79" s="113"/>
      <c r="CW79" s="113"/>
      <c r="CX79" s="62">
        <f>订货1!BE79</f>
        <v>0</v>
      </c>
      <c r="CY79" s="113"/>
      <c r="CZ79" s="113"/>
      <c r="DA79" s="62">
        <f>订货1!BF79</f>
        <v>0</v>
      </c>
      <c r="DB79" s="113"/>
      <c r="DC79" s="113"/>
      <c r="DD79" s="208">
        <v>0</v>
      </c>
      <c r="DE79" s="110" t="e">
        <f t="shared" si="34"/>
        <v>#DIV/0!</v>
      </c>
      <c r="DF79" s="52">
        <f t="shared" si="33"/>
        <v>11</v>
      </c>
      <c r="DG79" s="32" t="str">
        <f>订货1!$Q79</f>
        <v>箱</v>
      </c>
      <c r="DH79" s="209" t="e">
        <f t="shared" si="35"/>
        <v>#DIV/0!</v>
      </c>
    </row>
    <row r="80" spans="1:112" ht="15" customHeight="1">
      <c r="A80" s="48">
        <f>订货1!A80</f>
        <v>101682</v>
      </c>
      <c r="B80" s="44" t="str">
        <f>VLOOKUP($A80,订货1!$A80:$G322,7,0)</f>
        <v>山東三涛食品有限公司</v>
      </c>
      <c r="C80" s="44" t="str">
        <f>VLOOKUP($A80,订货1!$A80:$H322,8,0)</f>
        <v>山東三涛食品有限公司</v>
      </c>
      <c r="D80" s="44" t="str">
        <f>VLOOKUP($A80,订货1!$A80:$B322,2,0)</f>
        <v>冷冻西兰花</v>
      </c>
      <c r="E80" s="44" t="str">
        <f>VLOOKUP($A80,订货1!$A80:$E322,5,0)</f>
        <v>1kg*6pc</v>
      </c>
      <c r="F80" s="49" t="str">
        <f>VLOOKUP($A80,订货1!$A80:$F322,6,0)</f>
        <v>箱</v>
      </c>
      <c r="G80" s="203"/>
      <c r="H80" s="56">
        <f t="shared" si="36"/>
        <v>5</v>
      </c>
      <c r="I80" s="196"/>
      <c r="J80" s="113"/>
      <c r="K80" s="113"/>
      <c r="L80" s="196"/>
      <c r="M80" s="113"/>
      <c r="N80" s="113"/>
      <c r="O80" s="62">
        <f>订货1!AB80</f>
        <v>0</v>
      </c>
      <c r="P80" s="113"/>
      <c r="Q80" s="113"/>
      <c r="R80" s="62">
        <f>订货1!AC80</f>
        <v>1</v>
      </c>
      <c r="S80" s="113"/>
      <c r="T80" s="113"/>
      <c r="U80" s="62">
        <f>订货1!AD80</f>
        <v>0</v>
      </c>
      <c r="V80" s="113"/>
      <c r="W80" s="113"/>
      <c r="X80" s="62">
        <f>订货1!AE80</f>
        <v>0</v>
      </c>
      <c r="Y80" s="113"/>
      <c r="Z80" s="113"/>
      <c r="AA80" s="62">
        <f>订货1!AF80</f>
        <v>1</v>
      </c>
      <c r="AB80" s="113"/>
      <c r="AC80" s="113"/>
      <c r="AD80" s="62">
        <f>订货1!AG80</f>
        <v>0</v>
      </c>
      <c r="AE80" s="113"/>
      <c r="AF80" s="113"/>
      <c r="AG80" s="62">
        <f>订货1!AH80</f>
        <v>0</v>
      </c>
      <c r="AH80" s="113"/>
      <c r="AI80" s="113"/>
      <c r="AJ80" s="62">
        <f>订货1!AI80</f>
        <v>1</v>
      </c>
      <c r="AK80" s="113"/>
      <c r="AL80" s="113"/>
      <c r="AM80" s="62">
        <f>订货1!AJ80</f>
        <v>0</v>
      </c>
      <c r="AN80" s="113"/>
      <c r="AO80" s="113"/>
      <c r="AP80" s="62">
        <f>订货1!AK80</f>
        <v>0</v>
      </c>
      <c r="AQ80" s="113"/>
      <c r="AR80" s="113"/>
      <c r="AS80" s="62">
        <f>订货1!AL80</f>
        <v>0</v>
      </c>
      <c r="AT80" s="113"/>
      <c r="AU80" s="113"/>
      <c r="AV80" s="62">
        <f>订货1!AM80</f>
        <v>1</v>
      </c>
      <c r="AW80" s="113"/>
      <c r="AX80" s="113"/>
      <c r="AY80" s="62">
        <f>订货1!AN80</f>
        <v>0</v>
      </c>
      <c r="AZ80" s="113"/>
      <c r="BA80" s="113"/>
      <c r="BB80" s="62">
        <f>订货1!AO80</f>
        <v>1</v>
      </c>
      <c r="BC80" s="113"/>
      <c r="BD80" s="113"/>
      <c r="BE80" s="62">
        <f>订货1!AP80</f>
        <v>0</v>
      </c>
      <c r="BF80" s="113"/>
      <c r="BG80" s="113"/>
      <c r="BH80" s="62">
        <f>订货1!AQ80</f>
        <v>0</v>
      </c>
      <c r="BI80" s="113"/>
      <c r="BJ80" s="113"/>
      <c r="BK80" s="62">
        <f>订货1!AR80</f>
        <v>0</v>
      </c>
      <c r="BL80" s="113"/>
      <c r="BM80" s="113"/>
      <c r="BN80" s="62">
        <f>订货1!AS80</f>
        <v>0</v>
      </c>
      <c r="BO80" s="113"/>
      <c r="BP80" s="113"/>
      <c r="BQ80" s="62">
        <f>订货1!AT80</f>
        <v>0</v>
      </c>
      <c r="BR80" s="113"/>
      <c r="BS80" s="113"/>
      <c r="BT80" s="62">
        <f>订货1!AU80</f>
        <v>0</v>
      </c>
      <c r="BU80" s="113"/>
      <c r="BV80" s="113"/>
      <c r="BW80" s="62">
        <f>订货1!AV80</f>
        <v>0</v>
      </c>
      <c r="BX80" s="113"/>
      <c r="BY80" s="113"/>
      <c r="BZ80" s="62">
        <f>订货1!AW80</f>
        <v>0</v>
      </c>
      <c r="CA80" s="113"/>
      <c r="CB80" s="113"/>
      <c r="CC80" s="62">
        <f>订货1!AX80</f>
        <v>0</v>
      </c>
      <c r="CD80" s="113"/>
      <c r="CE80" s="113"/>
      <c r="CF80" s="62">
        <f>订货1!AY80</f>
        <v>0</v>
      </c>
      <c r="CG80" s="113"/>
      <c r="CH80" s="113"/>
      <c r="CI80" s="62">
        <f>订货1!AZ80</f>
        <v>0</v>
      </c>
      <c r="CJ80" s="113"/>
      <c r="CK80" s="113"/>
      <c r="CL80" s="62">
        <f>订货1!BA80</f>
        <v>0</v>
      </c>
      <c r="CM80" s="113"/>
      <c r="CN80" s="113"/>
      <c r="CO80" s="62">
        <f>订货1!BB80</f>
        <v>0</v>
      </c>
      <c r="CP80" s="113"/>
      <c r="CQ80" s="113"/>
      <c r="CR80" s="62">
        <f>订货1!BC80</f>
        <v>0</v>
      </c>
      <c r="CS80" s="113"/>
      <c r="CT80" s="113"/>
      <c r="CU80" s="62">
        <f>订货1!BD80</f>
        <v>0</v>
      </c>
      <c r="CV80" s="113"/>
      <c r="CW80" s="113"/>
      <c r="CX80" s="62">
        <f>订货1!BE80</f>
        <v>0</v>
      </c>
      <c r="CY80" s="113"/>
      <c r="CZ80" s="113"/>
      <c r="DA80" s="62">
        <f>订货1!BF80</f>
        <v>0</v>
      </c>
      <c r="DB80" s="113"/>
      <c r="DC80" s="113"/>
      <c r="DD80" s="208">
        <v>0</v>
      </c>
      <c r="DE80" s="110" t="e">
        <f t="shared" si="34"/>
        <v>#DIV/0!</v>
      </c>
      <c r="DF80" s="52">
        <f t="shared" si="33"/>
        <v>5</v>
      </c>
      <c r="DG80" s="32" t="str">
        <f>订货1!$Q80</f>
        <v>箱</v>
      </c>
      <c r="DH80" s="209" t="e">
        <f t="shared" si="35"/>
        <v>#DIV/0!</v>
      </c>
    </row>
    <row r="81" spans="1:112" ht="15" customHeight="1">
      <c r="A81" s="48">
        <f>订货1!A81</f>
        <v>101073</v>
      </c>
      <c r="B81" s="44" t="str">
        <f>VLOOKUP($A81,订货1!$A81:$G323,7,0)</f>
        <v>嘉兴市潜鑫食品有限公司</v>
      </c>
      <c r="C81" s="44" t="str">
        <f>VLOOKUP($A81,订货1!$A81:$H323,8,0)</f>
        <v>嘉兴市潜鑫食品有限公司</v>
      </c>
      <c r="D81" s="44" t="str">
        <f>VLOOKUP($A81,订货1!$A81:$B323,2,0)</f>
        <v>萨莉亚速冻蜗牛肉</v>
      </c>
      <c r="E81" s="44" t="str">
        <f>VLOOKUP($A81,订货1!$A81:$E323,5,0)</f>
        <v>1kg*12pc</v>
      </c>
      <c r="F81" s="49" t="str">
        <f>VLOOKUP($A81,订货1!$A81:$F323,6,0)</f>
        <v>箱</v>
      </c>
      <c r="G81" s="203"/>
      <c r="H81" s="56">
        <f t="shared" si="36"/>
        <v>3</v>
      </c>
      <c r="I81" s="196"/>
      <c r="J81" s="113"/>
      <c r="K81" s="113"/>
      <c r="L81" s="196"/>
      <c r="M81" s="113"/>
      <c r="N81" s="113"/>
      <c r="O81" s="62">
        <f>订货1!AB81</f>
        <v>0</v>
      </c>
      <c r="P81" s="113"/>
      <c r="Q81" s="113"/>
      <c r="R81" s="62">
        <f>订货1!AC81</f>
        <v>0</v>
      </c>
      <c r="S81" s="113"/>
      <c r="T81" s="113"/>
      <c r="U81" s="62">
        <f>订货1!AD81</f>
        <v>0</v>
      </c>
      <c r="V81" s="113"/>
      <c r="W81" s="113"/>
      <c r="X81" s="62">
        <f>订货1!AE81</f>
        <v>0</v>
      </c>
      <c r="Y81" s="113"/>
      <c r="Z81" s="113"/>
      <c r="AA81" s="62">
        <f>订货1!AF81</f>
        <v>1</v>
      </c>
      <c r="AB81" s="113"/>
      <c r="AC81" s="113"/>
      <c r="AD81" s="62">
        <f>订货1!AG81</f>
        <v>0</v>
      </c>
      <c r="AE81" s="113"/>
      <c r="AF81" s="113"/>
      <c r="AG81" s="62">
        <f>订货1!AH81</f>
        <v>0</v>
      </c>
      <c r="AH81" s="113"/>
      <c r="AI81" s="113"/>
      <c r="AJ81" s="62">
        <f>订货1!AI81</f>
        <v>0</v>
      </c>
      <c r="AK81" s="113"/>
      <c r="AL81" s="113"/>
      <c r="AM81" s="62">
        <f>订货1!AJ81</f>
        <v>1</v>
      </c>
      <c r="AN81" s="113"/>
      <c r="AO81" s="113"/>
      <c r="AP81" s="62">
        <f>订货1!AK81</f>
        <v>0</v>
      </c>
      <c r="AQ81" s="113"/>
      <c r="AR81" s="113"/>
      <c r="AS81" s="62">
        <f>订货1!AL81</f>
        <v>0</v>
      </c>
      <c r="AT81" s="113"/>
      <c r="AU81" s="113"/>
      <c r="AV81" s="62">
        <f>订货1!AM81</f>
        <v>0</v>
      </c>
      <c r="AW81" s="113"/>
      <c r="AX81" s="113"/>
      <c r="AY81" s="62">
        <f>订货1!AN81</f>
        <v>1</v>
      </c>
      <c r="AZ81" s="113"/>
      <c r="BA81" s="113"/>
      <c r="BB81" s="62">
        <f>订货1!AO81</f>
        <v>0</v>
      </c>
      <c r="BC81" s="113"/>
      <c r="BD81" s="113"/>
      <c r="BE81" s="62">
        <f>订货1!AP81</f>
        <v>0</v>
      </c>
      <c r="BF81" s="113"/>
      <c r="BG81" s="113"/>
      <c r="BH81" s="62">
        <f>订货1!AQ81</f>
        <v>0</v>
      </c>
      <c r="BI81" s="113"/>
      <c r="BJ81" s="113"/>
      <c r="BK81" s="62">
        <f>订货1!AR81</f>
        <v>0</v>
      </c>
      <c r="BL81" s="113"/>
      <c r="BM81" s="113"/>
      <c r="BN81" s="62">
        <f>订货1!AS81</f>
        <v>0</v>
      </c>
      <c r="BO81" s="113"/>
      <c r="BP81" s="113"/>
      <c r="BQ81" s="62">
        <f>订货1!AT81</f>
        <v>0</v>
      </c>
      <c r="BR81" s="113"/>
      <c r="BS81" s="113"/>
      <c r="BT81" s="62">
        <f>订货1!AU81</f>
        <v>0</v>
      </c>
      <c r="BU81" s="113"/>
      <c r="BV81" s="113"/>
      <c r="BW81" s="62">
        <f>订货1!AV81</f>
        <v>0</v>
      </c>
      <c r="BX81" s="113"/>
      <c r="BY81" s="113"/>
      <c r="BZ81" s="62">
        <f>订货1!AW81</f>
        <v>0</v>
      </c>
      <c r="CA81" s="113"/>
      <c r="CB81" s="113"/>
      <c r="CC81" s="62">
        <f>订货1!AX81</f>
        <v>0</v>
      </c>
      <c r="CD81" s="113"/>
      <c r="CE81" s="113"/>
      <c r="CF81" s="62">
        <f>订货1!AY81</f>
        <v>0</v>
      </c>
      <c r="CG81" s="113"/>
      <c r="CH81" s="113"/>
      <c r="CI81" s="62">
        <f>订货1!AZ81</f>
        <v>0</v>
      </c>
      <c r="CJ81" s="113"/>
      <c r="CK81" s="113"/>
      <c r="CL81" s="62">
        <f>订货1!BA81</f>
        <v>0</v>
      </c>
      <c r="CM81" s="113"/>
      <c r="CN81" s="113"/>
      <c r="CO81" s="62">
        <f>订货1!BB81</f>
        <v>0</v>
      </c>
      <c r="CP81" s="113"/>
      <c r="CQ81" s="113"/>
      <c r="CR81" s="62">
        <f>订货1!BC81</f>
        <v>0</v>
      </c>
      <c r="CS81" s="113"/>
      <c r="CT81" s="113"/>
      <c r="CU81" s="62">
        <f>订货1!BD81</f>
        <v>0</v>
      </c>
      <c r="CV81" s="113"/>
      <c r="CW81" s="113"/>
      <c r="CX81" s="62">
        <f>订货1!BE81</f>
        <v>0</v>
      </c>
      <c r="CY81" s="113"/>
      <c r="CZ81" s="113"/>
      <c r="DA81" s="62">
        <f>订货1!BF81</f>
        <v>0</v>
      </c>
      <c r="DB81" s="113"/>
      <c r="DC81" s="113"/>
      <c r="DD81" s="208">
        <v>0</v>
      </c>
      <c r="DE81" s="110" t="e">
        <f t="shared" si="34"/>
        <v>#DIV/0!</v>
      </c>
      <c r="DF81" s="52">
        <f t="shared" si="33"/>
        <v>3</v>
      </c>
      <c r="DG81" s="32" t="str">
        <f>订货1!$Q81</f>
        <v>箱</v>
      </c>
      <c r="DH81" s="209" t="e">
        <f t="shared" si="35"/>
        <v>#DIV/0!</v>
      </c>
    </row>
    <row r="82" spans="1:112" ht="15" customHeight="1">
      <c r="A82" s="48">
        <f>订货1!A82</f>
        <v>720003</v>
      </c>
      <c r="B82" s="44" t="str">
        <f>VLOOKUP($A82,订货1!$A82:$G324,7,0)</f>
        <v>上海百蒂凯蔬果种植专业合作社</v>
      </c>
      <c r="C82" s="44" t="str">
        <f>VLOOKUP($A82,订货1!$A82:$H324,8,0)</f>
        <v>上海承祖食品有限公司</v>
      </c>
      <c r="D82" s="44" t="str">
        <f>VLOOKUP($A82,订货1!$A82:$B324,2,0)</f>
        <v>樱桃番茄</v>
      </c>
      <c r="E82" s="44" t="str">
        <f>VLOOKUP($A82,订货1!$A82:$E324,5,0)</f>
        <v>0.5kg</v>
      </c>
      <c r="F82" s="49" t="str">
        <f>VLOOKUP($A82,订货1!$A82:$F324,6,0)</f>
        <v>袋</v>
      </c>
      <c r="G82" s="203"/>
      <c r="H82" s="56">
        <f t="shared" si="36"/>
        <v>64</v>
      </c>
      <c r="I82" s="196"/>
      <c r="J82" s="113"/>
      <c r="K82" s="113"/>
      <c r="L82" s="196"/>
      <c r="M82" s="113"/>
      <c r="N82" s="113"/>
      <c r="O82" s="62">
        <f>订货1!AB82</f>
        <v>0</v>
      </c>
      <c r="P82" s="113"/>
      <c r="Q82" s="113"/>
      <c r="R82" s="62">
        <f>订货1!AC82</f>
        <v>3</v>
      </c>
      <c r="S82" s="113"/>
      <c r="T82" s="113"/>
      <c r="U82" s="62">
        <f>订货1!AD82</f>
        <v>0</v>
      </c>
      <c r="V82" s="113"/>
      <c r="W82" s="113"/>
      <c r="X82" s="62">
        <f>订货1!AE82</f>
        <v>6</v>
      </c>
      <c r="Y82" s="113"/>
      <c r="Z82" s="113"/>
      <c r="AA82" s="62">
        <f>订货1!AF82</f>
        <v>12</v>
      </c>
      <c r="AB82" s="113"/>
      <c r="AC82" s="113"/>
      <c r="AD82" s="62">
        <f>订货1!AG82</f>
        <v>9</v>
      </c>
      <c r="AE82" s="113"/>
      <c r="AF82" s="113"/>
      <c r="AG82" s="62">
        <f>订货1!AH82</f>
        <v>2</v>
      </c>
      <c r="AH82" s="113"/>
      <c r="AI82" s="113"/>
      <c r="AJ82" s="62">
        <f>订货1!AI82</f>
        <v>0</v>
      </c>
      <c r="AK82" s="113"/>
      <c r="AL82" s="113"/>
      <c r="AM82" s="62">
        <f>订货1!AJ82</f>
        <v>8</v>
      </c>
      <c r="AN82" s="113"/>
      <c r="AO82" s="113"/>
      <c r="AP82" s="62">
        <f>订货1!AK82</f>
        <v>0</v>
      </c>
      <c r="AQ82" s="113"/>
      <c r="AR82" s="113"/>
      <c r="AS82" s="62">
        <f>订货1!AL82</f>
        <v>1</v>
      </c>
      <c r="AT82" s="113"/>
      <c r="AU82" s="113"/>
      <c r="AV82" s="62">
        <f>订货1!AM82</f>
        <v>8</v>
      </c>
      <c r="AW82" s="113"/>
      <c r="AX82" s="113"/>
      <c r="AY82" s="62">
        <f>订货1!AN82</f>
        <v>11</v>
      </c>
      <c r="AZ82" s="113"/>
      <c r="BA82" s="113"/>
      <c r="BB82" s="62">
        <f>订货1!AO82</f>
        <v>4</v>
      </c>
      <c r="BC82" s="113"/>
      <c r="BD82" s="113"/>
      <c r="BE82" s="62">
        <f>订货1!AP82</f>
        <v>0</v>
      </c>
      <c r="BF82" s="113"/>
      <c r="BG82" s="113"/>
      <c r="BH82" s="62">
        <f>订货1!AQ82</f>
        <v>0</v>
      </c>
      <c r="BI82" s="113"/>
      <c r="BJ82" s="113"/>
      <c r="BK82" s="62">
        <f>订货1!AR82</f>
        <v>0</v>
      </c>
      <c r="BL82" s="113"/>
      <c r="BM82" s="113"/>
      <c r="BN82" s="62">
        <f>订货1!AS82</f>
        <v>0</v>
      </c>
      <c r="BO82" s="113"/>
      <c r="BP82" s="113"/>
      <c r="BQ82" s="62">
        <f>订货1!AT82</f>
        <v>0</v>
      </c>
      <c r="BR82" s="113"/>
      <c r="BS82" s="113"/>
      <c r="BT82" s="62">
        <f>订货1!AU82</f>
        <v>0</v>
      </c>
      <c r="BU82" s="113"/>
      <c r="BV82" s="113"/>
      <c r="BW82" s="62">
        <f>订货1!AV82</f>
        <v>0</v>
      </c>
      <c r="BX82" s="113"/>
      <c r="BY82" s="113"/>
      <c r="BZ82" s="62">
        <f>订货1!AW82</f>
        <v>0</v>
      </c>
      <c r="CA82" s="113"/>
      <c r="CB82" s="113"/>
      <c r="CC82" s="62">
        <f>订货1!AX82</f>
        <v>0</v>
      </c>
      <c r="CD82" s="113"/>
      <c r="CE82" s="113"/>
      <c r="CF82" s="62">
        <f>订货1!AY82</f>
        <v>0</v>
      </c>
      <c r="CG82" s="113"/>
      <c r="CH82" s="113"/>
      <c r="CI82" s="62">
        <f>订货1!AZ82</f>
        <v>0</v>
      </c>
      <c r="CJ82" s="113"/>
      <c r="CK82" s="113"/>
      <c r="CL82" s="62">
        <f>订货1!BA82</f>
        <v>0</v>
      </c>
      <c r="CM82" s="113"/>
      <c r="CN82" s="113"/>
      <c r="CO82" s="62">
        <f>订货1!BB82</f>
        <v>0</v>
      </c>
      <c r="CP82" s="113"/>
      <c r="CQ82" s="113"/>
      <c r="CR82" s="62">
        <f>订货1!BC82</f>
        <v>0</v>
      </c>
      <c r="CS82" s="113"/>
      <c r="CT82" s="113"/>
      <c r="CU82" s="62">
        <f>订货1!BD82</f>
        <v>0</v>
      </c>
      <c r="CV82" s="113"/>
      <c r="CW82" s="113"/>
      <c r="CX82" s="62">
        <f>订货1!BE82</f>
        <v>0</v>
      </c>
      <c r="CY82" s="113"/>
      <c r="CZ82" s="113"/>
      <c r="DA82" s="62">
        <f>订货1!BF82</f>
        <v>0</v>
      </c>
      <c r="DB82" s="113"/>
      <c r="DC82" s="113"/>
      <c r="DD82" s="208">
        <v>0</v>
      </c>
      <c r="DE82" s="110" t="e">
        <f t="shared" si="34"/>
        <v>#DIV/0!</v>
      </c>
      <c r="DF82" s="52">
        <f t="shared" si="33"/>
        <v>64</v>
      </c>
      <c r="DG82" s="32" t="str">
        <f>订货1!$Q82</f>
        <v>袋</v>
      </c>
      <c r="DH82" s="209" t="e">
        <f t="shared" si="35"/>
        <v>#DIV/0!</v>
      </c>
    </row>
    <row r="83" spans="1:112" ht="15" customHeight="1">
      <c r="A83" s="48">
        <f>订货1!A83</f>
        <v>720004</v>
      </c>
      <c r="B83" s="44" t="str">
        <f>VLOOKUP($A83,订货1!$A83:$G325,7,0)</f>
        <v>上海百蒂凯蔬果种植专业合作社</v>
      </c>
      <c r="C83" s="44" t="str">
        <f>VLOOKUP($A83,订货1!$A83:$H325,8,0)</f>
        <v>上海承祖食品有限公司</v>
      </c>
      <c r="D83" s="44" t="str">
        <f>VLOOKUP($A83,订货1!$A83:$B325,2,0)</f>
        <v>彩椒丝</v>
      </c>
      <c r="E83" s="44" t="str">
        <f>VLOOKUP($A83,订货1!$A83:$E325,5,0)</f>
        <v>0.5kg</v>
      </c>
      <c r="F83" s="49" t="str">
        <f>VLOOKUP($A83,订货1!$A83:$F325,6,0)</f>
        <v>袋</v>
      </c>
      <c r="G83" s="203"/>
      <c r="H83" s="56">
        <f t="shared" si="36"/>
        <v>0</v>
      </c>
      <c r="I83" s="196"/>
      <c r="J83" s="113"/>
      <c r="K83" s="113"/>
      <c r="L83" s="196"/>
      <c r="M83" s="113"/>
      <c r="N83" s="113"/>
      <c r="O83" s="62">
        <f>订货1!AB83</f>
        <v>0</v>
      </c>
      <c r="P83" s="113"/>
      <c r="Q83" s="113"/>
      <c r="R83" s="62">
        <f>订货1!AC83</f>
        <v>0</v>
      </c>
      <c r="S83" s="113"/>
      <c r="T83" s="113"/>
      <c r="U83" s="62">
        <f>订货1!AD83</f>
        <v>0</v>
      </c>
      <c r="V83" s="113"/>
      <c r="W83" s="113"/>
      <c r="X83" s="62">
        <f>订货1!AE83</f>
        <v>0</v>
      </c>
      <c r="Y83" s="113"/>
      <c r="Z83" s="113"/>
      <c r="AA83" s="62">
        <f>订货1!AF83</f>
        <v>0</v>
      </c>
      <c r="AB83" s="113"/>
      <c r="AC83" s="113"/>
      <c r="AD83" s="62">
        <f>订货1!AG83</f>
        <v>0</v>
      </c>
      <c r="AE83" s="113"/>
      <c r="AF83" s="113"/>
      <c r="AG83" s="62">
        <f>订货1!AH83</f>
        <v>0</v>
      </c>
      <c r="AH83" s="113"/>
      <c r="AI83" s="113"/>
      <c r="AJ83" s="62">
        <f>订货1!AI83</f>
        <v>0</v>
      </c>
      <c r="AK83" s="113"/>
      <c r="AL83" s="113"/>
      <c r="AM83" s="62">
        <f>订货1!AJ83</f>
        <v>0</v>
      </c>
      <c r="AN83" s="113"/>
      <c r="AO83" s="113"/>
      <c r="AP83" s="62">
        <f>订货1!AK83</f>
        <v>0</v>
      </c>
      <c r="AQ83" s="113"/>
      <c r="AR83" s="113"/>
      <c r="AS83" s="62">
        <f>订货1!AL83</f>
        <v>0</v>
      </c>
      <c r="AT83" s="113"/>
      <c r="AU83" s="113"/>
      <c r="AV83" s="62">
        <f>订货1!AM83</f>
        <v>0</v>
      </c>
      <c r="AW83" s="113"/>
      <c r="AX83" s="113"/>
      <c r="AY83" s="62">
        <f>订货1!AN83</f>
        <v>0</v>
      </c>
      <c r="AZ83" s="113"/>
      <c r="BA83" s="113"/>
      <c r="BB83" s="62">
        <f>订货1!AO83</f>
        <v>0</v>
      </c>
      <c r="BC83" s="113"/>
      <c r="BD83" s="113"/>
      <c r="BE83" s="62">
        <f>订货1!AP83</f>
        <v>0</v>
      </c>
      <c r="BF83" s="113"/>
      <c r="BG83" s="113"/>
      <c r="BH83" s="62">
        <f>订货1!AQ83</f>
        <v>0</v>
      </c>
      <c r="BI83" s="113"/>
      <c r="BJ83" s="113"/>
      <c r="BK83" s="62">
        <f>订货1!AR83</f>
        <v>0</v>
      </c>
      <c r="BL83" s="113"/>
      <c r="BM83" s="113"/>
      <c r="BN83" s="62">
        <f>订货1!AS83</f>
        <v>0</v>
      </c>
      <c r="BO83" s="113"/>
      <c r="BP83" s="113"/>
      <c r="BQ83" s="62">
        <f>订货1!AT83</f>
        <v>0</v>
      </c>
      <c r="BR83" s="113"/>
      <c r="BS83" s="113"/>
      <c r="BT83" s="62">
        <f>订货1!AU83</f>
        <v>0</v>
      </c>
      <c r="BU83" s="113"/>
      <c r="BV83" s="113"/>
      <c r="BW83" s="62">
        <f>订货1!AV83</f>
        <v>0</v>
      </c>
      <c r="BX83" s="113"/>
      <c r="BY83" s="113"/>
      <c r="BZ83" s="62">
        <f>订货1!AW83</f>
        <v>0</v>
      </c>
      <c r="CA83" s="113"/>
      <c r="CB83" s="113"/>
      <c r="CC83" s="62">
        <f>订货1!AX83</f>
        <v>0</v>
      </c>
      <c r="CD83" s="113"/>
      <c r="CE83" s="113"/>
      <c r="CF83" s="62">
        <f>订货1!AY83</f>
        <v>0</v>
      </c>
      <c r="CG83" s="113"/>
      <c r="CH83" s="113"/>
      <c r="CI83" s="62">
        <f>订货1!AZ83</f>
        <v>0</v>
      </c>
      <c r="CJ83" s="113"/>
      <c r="CK83" s="113"/>
      <c r="CL83" s="62">
        <f>订货1!BA83</f>
        <v>0</v>
      </c>
      <c r="CM83" s="113"/>
      <c r="CN83" s="113"/>
      <c r="CO83" s="62">
        <f>订货1!BB83</f>
        <v>0</v>
      </c>
      <c r="CP83" s="113"/>
      <c r="CQ83" s="113"/>
      <c r="CR83" s="62">
        <f>订货1!BC83</f>
        <v>0</v>
      </c>
      <c r="CS83" s="113"/>
      <c r="CT83" s="113"/>
      <c r="CU83" s="62">
        <f>订货1!BD83</f>
        <v>0</v>
      </c>
      <c r="CV83" s="113"/>
      <c r="CW83" s="113"/>
      <c r="CX83" s="62">
        <f>订货1!BE83</f>
        <v>0</v>
      </c>
      <c r="CY83" s="113"/>
      <c r="CZ83" s="113"/>
      <c r="DA83" s="62">
        <f>订货1!BF83</f>
        <v>0</v>
      </c>
      <c r="DB83" s="113"/>
      <c r="DC83" s="113"/>
      <c r="DD83" s="208">
        <v>0</v>
      </c>
      <c r="DE83" s="110" t="e">
        <f t="shared" si="34"/>
        <v>#DIV/0!</v>
      </c>
      <c r="DF83" s="52">
        <f t="shared" si="33"/>
        <v>0</v>
      </c>
      <c r="DG83" s="32" t="str">
        <f>订货1!$Q83</f>
        <v>袋</v>
      </c>
      <c r="DH83" s="209" t="e">
        <f t="shared" si="35"/>
        <v>#DIV/0!</v>
      </c>
    </row>
    <row r="84" spans="1:112" ht="15" customHeight="1">
      <c r="A84" s="48">
        <f>订货1!A84</f>
        <v>720005</v>
      </c>
      <c r="B84" s="44" t="str">
        <f>VLOOKUP($A84,订货1!$A84:$G326,7,0)</f>
        <v>上海百蒂凯蔬果种植专业合作社</v>
      </c>
      <c r="C84" s="44" t="str">
        <f>VLOOKUP($A84,订货1!$A84:$H326,8,0)</f>
        <v>上海承祖食品有限公司</v>
      </c>
      <c r="D84" s="44" t="str">
        <f>VLOOKUP($A84,订货1!$A84:$B326,2,0)</f>
        <v>蔬菜底料</v>
      </c>
      <c r="E84" s="44" t="str">
        <f>VLOOKUP($A84,订货1!$A84:$E326,5,0)</f>
        <v>1kg</v>
      </c>
      <c r="F84" s="49" t="str">
        <f>VLOOKUP($A84,订货1!$A84:$F326,6,0)</f>
        <v>袋</v>
      </c>
      <c r="G84" s="203"/>
      <c r="H84" s="56">
        <f t="shared" si="36"/>
        <v>29</v>
      </c>
      <c r="I84" s="196"/>
      <c r="J84" s="113"/>
      <c r="K84" s="113"/>
      <c r="L84" s="196"/>
      <c r="M84" s="113"/>
      <c r="N84" s="113"/>
      <c r="O84" s="62">
        <f>订货1!AB84</f>
        <v>3</v>
      </c>
      <c r="P84" s="113"/>
      <c r="Q84" s="113"/>
      <c r="R84" s="62">
        <f>订货1!AC84</f>
        <v>1</v>
      </c>
      <c r="S84" s="113"/>
      <c r="T84" s="113"/>
      <c r="U84" s="62">
        <f>订货1!AD84</f>
        <v>0</v>
      </c>
      <c r="V84" s="113"/>
      <c r="W84" s="113"/>
      <c r="X84" s="62">
        <f>订货1!AE84</f>
        <v>3</v>
      </c>
      <c r="Y84" s="113"/>
      <c r="Z84" s="113"/>
      <c r="AA84" s="62">
        <f>订货1!AF84</f>
        <v>3</v>
      </c>
      <c r="AB84" s="113"/>
      <c r="AC84" s="113"/>
      <c r="AD84" s="62">
        <f>订货1!AG84</f>
        <v>3</v>
      </c>
      <c r="AE84" s="113"/>
      <c r="AF84" s="113"/>
      <c r="AG84" s="62">
        <f>订货1!AH84</f>
        <v>1</v>
      </c>
      <c r="AH84" s="113"/>
      <c r="AI84" s="113"/>
      <c r="AJ84" s="62">
        <f>订货1!AI84</f>
        <v>2</v>
      </c>
      <c r="AK84" s="113"/>
      <c r="AL84" s="113"/>
      <c r="AM84" s="62">
        <f>订货1!AJ84</f>
        <v>2</v>
      </c>
      <c r="AN84" s="113"/>
      <c r="AO84" s="113"/>
      <c r="AP84" s="62">
        <f>订货1!AK84</f>
        <v>0</v>
      </c>
      <c r="AQ84" s="113"/>
      <c r="AR84" s="113"/>
      <c r="AS84" s="62">
        <f>订货1!AL84</f>
        <v>0</v>
      </c>
      <c r="AT84" s="113"/>
      <c r="AU84" s="113"/>
      <c r="AV84" s="62">
        <f>订货1!AM84</f>
        <v>6</v>
      </c>
      <c r="AW84" s="113"/>
      <c r="AX84" s="113"/>
      <c r="AY84" s="62">
        <f>订货1!AN84</f>
        <v>2</v>
      </c>
      <c r="AZ84" s="113"/>
      <c r="BA84" s="113"/>
      <c r="BB84" s="62">
        <f>订货1!AO84</f>
        <v>3</v>
      </c>
      <c r="BC84" s="113"/>
      <c r="BD84" s="113"/>
      <c r="BE84" s="62">
        <f>订货1!AP84</f>
        <v>0</v>
      </c>
      <c r="BF84" s="113"/>
      <c r="BG84" s="113"/>
      <c r="BH84" s="62">
        <f>订货1!AQ84</f>
        <v>0</v>
      </c>
      <c r="BI84" s="113"/>
      <c r="BJ84" s="113"/>
      <c r="BK84" s="62">
        <f>订货1!AR84</f>
        <v>0</v>
      </c>
      <c r="BL84" s="113"/>
      <c r="BM84" s="113"/>
      <c r="BN84" s="62">
        <f>订货1!AS84</f>
        <v>0</v>
      </c>
      <c r="BO84" s="113"/>
      <c r="BP84" s="113"/>
      <c r="BQ84" s="62">
        <f>订货1!AT84</f>
        <v>0</v>
      </c>
      <c r="BR84" s="113"/>
      <c r="BS84" s="113"/>
      <c r="BT84" s="62">
        <f>订货1!AU84</f>
        <v>0</v>
      </c>
      <c r="BU84" s="113"/>
      <c r="BV84" s="113"/>
      <c r="BW84" s="62">
        <f>订货1!AV84</f>
        <v>0</v>
      </c>
      <c r="BX84" s="113"/>
      <c r="BY84" s="113"/>
      <c r="BZ84" s="62">
        <f>订货1!AW84</f>
        <v>0</v>
      </c>
      <c r="CA84" s="113"/>
      <c r="CB84" s="113"/>
      <c r="CC84" s="62">
        <f>订货1!AX84</f>
        <v>0</v>
      </c>
      <c r="CD84" s="113"/>
      <c r="CE84" s="113"/>
      <c r="CF84" s="62">
        <f>订货1!AY84</f>
        <v>0</v>
      </c>
      <c r="CG84" s="113"/>
      <c r="CH84" s="113"/>
      <c r="CI84" s="62">
        <f>订货1!AZ84</f>
        <v>0</v>
      </c>
      <c r="CJ84" s="113"/>
      <c r="CK84" s="113"/>
      <c r="CL84" s="62">
        <f>订货1!BA84</f>
        <v>0</v>
      </c>
      <c r="CM84" s="113"/>
      <c r="CN84" s="113"/>
      <c r="CO84" s="62">
        <f>订货1!BB84</f>
        <v>0</v>
      </c>
      <c r="CP84" s="113"/>
      <c r="CQ84" s="113"/>
      <c r="CR84" s="62">
        <f>订货1!BC84</f>
        <v>0</v>
      </c>
      <c r="CS84" s="113"/>
      <c r="CT84" s="113"/>
      <c r="CU84" s="62">
        <f>订货1!BD84</f>
        <v>0</v>
      </c>
      <c r="CV84" s="113"/>
      <c r="CW84" s="113"/>
      <c r="CX84" s="62">
        <f>订货1!BE84</f>
        <v>0</v>
      </c>
      <c r="CY84" s="113"/>
      <c r="CZ84" s="113"/>
      <c r="DA84" s="62">
        <f>订货1!BF84</f>
        <v>0</v>
      </c>
      <c r="DB84" s="113"/>
      <c r="DC84" s="113"/>
      <c r="DD84" s="208">
        <v>0</v>
      </c>
      <c r="DE84" s="110" t="e">
        <f t="shared" si="34"/>
        <v>#DIV/0!</v>
      </c>
      <c r="DF84" s="52">
        <f t="shared" si="33"/>
        <v>29</v>
      </c>
      <c r="DG84" s="32" t="str">
        <f>订货1!$Q84</f>
        <v>袋</v>
      </c>
      <c r="DH84" s="209" t="e">
        <f t="shared" si="35"/>
        <v>#DIV/0!</v>
      </c>
    </row>
    <row r="85" spans="1:112" ht="15" customHeight="1">
      <c r="A85" s="48">
        <f>订货1!A85</f>
        <v>720006</v>
      </c>
      <c r="B85" s="44" t="str">
        <f>VLOOKUP($A85,订货1!$A85:$G327,7,0)</f>
        <v>上海百蒂凯蔬果种植专业合作社</v>
      </c>
      <c r="C85" s="44" t="str">
        <f>VLOOKUP($A85,订货1!$A85:$H327,8,0)</f>
        <v>上海承祖食品有限公司</v>
      </c>
      <c r="D85" s="44" t="str">
        <f>VLOOKUP($A85,订货1!$A85:$B327,2,0)</f>
        <v>混合生菜</v>
      </c>
      <c r="E85" s="44" t="str">
        <f>VLOOKUP($A85,订货1!$A85:$E327,5,0)</f>
        <v>1kg</v>
      </c>
      <c r="F85" s="49" t="str">
        <f>VLOOKUP($A85,订货1!$A85:$F327,6,0)</f>
        <v>袋</v>
      </c>
      <c r="G85" s="203"/>
      <c r="H85" s="56">
        <f t="shared" si="36"/>
        <v>0</v>
      </c>
      <c r="I85" s="196"/>
      <c r="J85" s="113"/>
      <c r="K85" s="113"/>
      <c r="L85" s="196"/>
      <c r="M85" s="113"/>
      <c r="N85" s="113"/>
      <c r="O85" s="62">
        <f>订货1!AB85</f>
        <v>0</v>
      </c>
      <c r="P85" s="113"/>
      <c r="Q85" s="113"/>
      <c r="R85" s="62">
        <f>订货1!AC85</f>
        <v>0</v>
      </c>
      <c r="S85" s="113"/>
      <c r="T85" s="113"/>
      <c r="U85" s="62">
        <f>订货1!AD85</f>
        <v>0</v>
      </c>
      <c r="V85" s="113"/>
      <c r="W85" s="113"/>
      <c r="X85" s="62">
        <f>订货1!AE85</f>
        <v>0</v>
      </c>
      <c r="Y85" s="113"/>
      <c r="Z85" s="113"/>
      <c r="AA85" s="62">
        <f>订货1!AF85</f>
        <v>0</v>
      </c>
      <c r="AB85" s="113"/>
      <c r="AC85" s="113"/>
      <c r="AD85" s="62">
        <f>订货1!AG85</f>
        <v>0</v>
      </c>
      <c r="AE85" s="113"/>
      <c r="AF85" s="113"/>
      <c r="AG85" s="62">
        <f>订货1!AH85</f>
        <v>0</v>
      </c>
      <c r="AH85" s="113"/>
      <c r="AI85" s="113"/>
      <c r="AJ85" s="62">
        <f>订货1!AI85</f>
        <v>0</v>
      </c>
      <c r="AK85" s="113"/>
      <c r="AL85" s="113"/>
      <c r="AM85" s="62">
        <f>订货1!AJ85</f>
        <v>0</v>
      </c>
      <c r="AN85" s="113"/>
      <c r="AO85" s="113"/>
      <c r="AP85" s="62">
        <f>订货1!AK85</f>
        <v>0</v>
      </c>
      <c r="AQ85" s="113"/>
      <c r="AR85" s="113"/>
      <c r="AS85" s="62">
        <f>订货1!AL85</f>
        <v>0</v>
      </c>
      <c r="AT85" s="113"/>
      <c r="AU85" s="113"/>
      <c r="AV85" s="62">
        <f>订货1!AM85</f>
        <v>0</v>
      </c>
      <c r="AW85" s="113"/>
      <c r="AX85" s="113"/>
      <c r="AY85" s="62">
        <f>订货1!AN85</f>
        <v>0</v>
      </c>
      <c r="AZ85" s="113"/>
      <c r="BA85" s="113"/>
      <c r="BB85" s="62">
        <f>订货1!AO85</f>
        <v>0</v>
      </c>
      <c r="BC85" s="113"/>
      <c r="BD85" s="113"/>
      <c r="BE85" s="62">
        <f>订货1!AP85</f>
        <v>0</v>
      </c>
      <c r="BF85" s="113"/>
      <c r="BG85" s="113"/>
      <c r="BH85" s="62">
        <f>订货1!AQ85</f>
        <v>0</v>
      </c>
      <c r="BI85" s="113"/>
      <c r="BJ85" s="113"/>
      <c r="BK85" s="62">
        <f>订货1!AR85</f>
        <v>0</v>
      </c>
      <c r="BL85" s="113"/>
      <c r="BM85" s="113"/>
      <c r="BN85" s="62">
        <f>订货1!AS85</f>
        <v>0</v>
      </c>
      <c r="BO85" s="113"/>
      <c r="BP85" s="113"/>
      <c r="BQ85" s="62">
        <f>订货1!AT85</f>
        <v>0</v>
      </c>
      <c r="BR85" s="113"/>
      <c r="BS85" s="113"/>
      <c r="BT85" s="62">
        <f>订货1!AU85</f>
        <v>0</v>
      </c>
      <c r="BU85" s="113"/>
      <c r="BV85" s="113"/>
      <c r="BW85" s="62">
        <f>订货1!AV85</f>
        <v>0</v>
      </c>
      <c r="BX85" s="113"/>
      <c r="BY85" s="113"/>
      <c r="BZ85" s="62">
        <f>订货1!AW85</f>
        <v>0</v>
      </c>
      <c r="CA85" s="113"/>
      <c r="CB85" s="113"/>
      <c r="CC85" s="62">
        <f>订货1!AX85</f>
        <v>0</v>
      </c>
      <c r="CD85" s="113"/>
      <c r="CE85" s="113"/>
      <c r="CF85" s="62">
        <f>订货1!AY85</f>
        <v>0</v>
      </c>
      <c r="CG85" s="113"/>
      <c r="CH85" s="113"/>
      <c r="CI85" s="62">
        <f>订货1!AZ85</f>
        <v>0</v>
      </c>
      <c r="CJ85" s="113"/>
      <c r="CK85" s="113"/>
      <c r="CL85" s="62">
        <f>订货1!BA85</f>
        <v>0</v>
      </c>
      <c r="CM85" s="113"/>
      <c r="CN85" s="113"/>
      <c r="CO85" s="62">
        <f>订货1!BB85</f>
        <v>0</v>
      </c>
      <c r="CP85" s="113"/>
      <c r="CQ85" s="113"/>
      <c r="CR85" s="62">
        <f>订货1!BC85</f>
        <v>0</v>
      </c>
      <c r="CS85" s="113"/>
      <c r="CT85" s="113"/>
      <c r="CU85" s="62">
        <f>订货1!BD85</f>
        <v>0</v>
      </c>
      <c r="CV85" s="113"/>
      <c r="CW85" s="113"/>
      <c r="CX85" s="62">
        <f>订货1!BE85</f>
        <v>0</v>
      </c>
      <c r="CY85" s="113"/>
      <c r="CZ85" s="113"/>
      <c r="DA85" s="62">
        <f>订货1!BF85</f>
        <v>0</v>
      </c>
      <c r="DB85" s="113"/>
      <c r="DC85" s="113"/>
      <c r="DD85" s="208">
        <v>0</v>
      </c>
      <c r="DE85" s="110" t="e">
        <f t="shared" si="34"/>
        <v>#DIV/0!</v>
      </c>
      <c r="DF85" s="52">
        <f t="shared" si="33"/>
        <v>0</v>
      </c>
      <c r="DG85" s="32" t="str">
        <f>订货1!$Q85</f>
        <v>袋</v>
      </c>
      <c r="DH85" s="209" t="e">
        <f t="shared" si="35"/>
        <v>#DIV/0!</v>
      </c>
    </row>
    <row r="86" spans="1:112" ht="15" customHeight="1">
      <c r="A86" s="48">
        <f>订货1!A86</f>
        <v>720018</v>
      </c>
      <c r="B86" s="44" t="str">
        <f>VLOOKUP($A86,订货1!$A86:$G328,7,0)</f>
        <v>上海百蒂凯蔬果种植专业合作社</v>
      </c>
      <c r="C86" s="44" t="str">
        <f>VLOOKUP($A86,订货1!$A86:$H328,8,0)</f>
        <v>上海承祖食品有限公司</v>
      </c>
      <c r="D86" s="44" t="str">
        <f>VLOOKUP($A86,订货1!$A86:$B328,2,0)</f>
        <v>小青菜</v>
      </c>
      <c r="E86" s="44" t="str">
        <f>VLOOKUP($A86,订货1!$A86:$E328,5,0)</f>
        <v>0.5kg</v>
      </c>
      <c r="F86" s="49" t="str">
        <f>VLOOKUP($A86,订货1!$A86:$F328,6,0)</f>
        <v>袋</v>
      </c>
      <c r="G86" s="203"/>
      <c r="H86" s="56">
        <f t="shared" si="36"/>
        <v>0</v>
      </c>
      <c r="I86" s="196"/>
      <c r="J86" s="113"/>
      <c r="K86" s="113"/>
      <c r="L86" s="196"/>
      <c r="M86" s="113"/>
      <c r="N86" s="113"/>
      <c r="O86" s="62">
        <f>订货1!AB86</f>
        <v>0</v>
      </c>
      <c r="P86" s="113"/>
      <c r="Q86" s="113"/>
      <c r="R86" s="62">
        <f>订货1!AC86</f>
        <v>0</v>
      </c>
      <c r="S86" s="113"/>
      <c r="T86" s="113"/>
      <c r="U86" s="62">
        <f>订货1!AD86</f>
        <v>0</v>
      </c>
      <c r="V86" s="113"/>
      <c r="W86" s="113"/>
      <c r="X86" s="62">
        <f>订货1!AE86</f>
        <v>0</v>
      </c>
      <c r="Y86" s="113"/>
      <c r="Z86" s="113"/>
      <c r="AA86" s="62">
        <f>订货1!AF86</f>
        <v>0</v>
      </c>
      <c r="AB86" s="113"/>
      <c r="AC86" s="113"/>
      <c r="AD86" s="62">
        <f>订货1!AG86</f>
        <v>0</v>
      </c>
      <c r="AE86" s="113"/>
      <c r="AF86" s="113"/>
      <c r="AG86" s="62">
        <f>订货1!AH86</f>
        <v>0</v>
      </c>
      <c r="AH86" s="113"/>
      <c r="AI86" s="113"/>
      <c r="AJ86" s="62">
        <f>订货1!AI86</f>
        <v>0</v>
      </c>
      <c r="AK86" s="113"/>
      <c r="AL86" s="113"/>
      <c r="AM86" s="62">
        <f>订货1!AJ86</f>
        <v>0</v>
      </c>
      <c r="AN86" s="113"/>
      <c r="AO86" s="113"/>
      <c r="AP86" s="62">
        <f>订货1!AK86</f>
        <v>0</v>
      </c>
      <c r="AQ86" s="113"/>
      <c r="AR86" s="113"/>
      <c r="AS86" s="62">
        <f>订货1!AL86</f>
        <v>0</v>
      </c>
      <c r="AT86" s="113"/>
      <c r="AU86" s="113"/>
      <c r="AV86" s="62">
        <f>订货1!AM86</f>
        <v>0</v>
      </c>
      <c r="AW86" s="113"/>
      <c r="AX86" s="113"/>
      <c r="AY86" s="62">
        <f>订货1!AN86</f>
        <v>0</v>
      </c>
      <c r="AZ86" s="113"/>
      <c r="BA86" s="113"/>
      <c r="BB86" s="62">
        <f>订货1!AO86</f>
        <v>0</v>
      </c>
      <c r="BC86" s="113"/>
      <c r="BD86" s="113"/>
      <c r="BE86" s="62">
        <f>订货1!AP86</f>
        <v>0</v>
      </c>
      <c r="BF86" s="113"/>
      <c r="BG86" s="113"/>
      <c r="BH86" s="62">
        <f>订货1!AQ86</f>
        <v>0</v>
      </c>
      <c r="BI86" s="113"/>
      <c r="BJ86" s="113"/>
      <c r="BK86" s="62">
        <f>订货1!AR86</f>
        <v>0</v>
      </c>
      <c r="BL86" s="113"/>
      <c r="BM86" s="113"/>
      <c r="BN86" s="62">
        <f>订货1!AS86</f>
        <v>0</v>
      </c>
      <c r="BO86" s="113"/>
      <c r="BP86" s="113"/>
      <c r="BQ86" s="62">
        <f>订货1!AT86</f>
        <v>0</v>
      </c>
      <c r="BR86" s="113"/>
      <c r="BS86" s="113"/>
      <c r="BT86" s="62">
        <f>订货1!AU86</f>
        <v>0</v>
      </c>
      <c r="BU86" s="113"/>
      <c r="BV86" s="113"/>
      <c r="BW86" s="62">
        <f>订货1!AV86</f>
        <v>0</v>
      </c>
      <c r="BX86" s="113"/>
      <c r="BY86" s="113"/>
      <c r="BZ86" s="62">
        <f>订货1!AW86</f>
        <v>0</v>
      </c>
      <c r="CA86" s="113"/>
      <c r="CB86" s="113"/>
      <c r="CC86" s="62">
        <f>订货1!AX86</f>
        <v>0</v>
      </c>
      <c r="CD86" s="113"/>
      <c r="CE86" s="113"/>
      <c r="CF86" s="62">
        <f>订货1!AY86</f>
        <v>0</v>
      </c>
      <c r="CG86" s="113"/>
      <c r="CH86" s="113"/>
      <c r="CI86" s="62">
        <f>订货1!AZ86</f>
        <v>0</v>
      </c>
      <c r="CJ86" s="113"/>
      <c r="CK86" s="113"/>
      <c r="CL86" s="62">
        <f>订货1!BA86</f>
        <v>0</v>
      </c>
      <c r="CM86" s="113"/>
      <c r="CN86" s="113"/>
      <c r="CO86" s="62">
        <f>订货1!BB86</f>
        <v>0</v>
      </c>
      <c r="CP86" s="113"/>
      <c r="CQ86" s="113"/>
      <c r="CR86" s="62">
        <f>订货1!BC86</f>
        <v>0</v>
      </c>
      <c r="CS86" s="113"/>
      <c r="CT86" s="113"/>
      <c r="CU86" s="62">
        <f>订货1!BD86</f>
        <v>0</v>
      </c>
      <c r="CV86" s="113"/>
      <c r="CW86" s="113"/>
      <c r="CX86" s="62">
        <f>订货1!BE86</f>
        <v>0</v>
      </c>
      <c r="CY86" s="113"/>
      <c r="CZ86" s="113"/>
      <c r="DA86" s="62">
        <f>订货1!BF86</f>
        <v>0</v>
      </c>
      <c r="DB86" s="113"/>
      <c r="DC86" s="113"/>
      <c r="DD86" s="208">
        <v>0</v>
      </c>
      <c r="DE86" s="110" t="e">
        <f t="shared" si="34"/>
        <v>#DIV/0!</v>
      </c>
      <c r="DF86" s="52">
        <f t="shared" si="33"/>
        <v>0</v>
      </c>
      <c r="DG86" s="32" t="str">
        <f>订货1!$Q86</f>
        <v>袋</v>
      </c>
      <c r="DH86" s="209" t="e">
        <f t="shared" si="35"/>
        <v>#DIV/0!</v>
      </c>
    </row>
    <row r="87" spans="1:112" ht="15" customHeight="1">
      <c r="A87" s="48">
        <f>订货1!A87</f>
        <v>720008</v>
      </c>
      <c r="B87" s="44" t="str">
        <f>VLOOKUP($A87,订货1!$A87:$G329,7,0)</f>
        <v>上海百蒂凯蔬果种植专业合作社</v>
      </c>
      <c r="C87" s="44" t="str">
        <f>VLOOKUP($A87,订货1!$A87:$H329,8,0)</f>
        <v>上海承祖食品有限公司</v>
      </c>
      <c r="D87" s="44" t="str">
        <f>VLOOKUP($A87,订货1!$A87:$B329,2,0)</f>
        <v>猕猴桃</v>
      </c>
      <c r="E87" s="44" t="str">
        <f>VLOOKUP($A87,订货1!$A87:$E329,5,0)</f>
        <v>0.08kg</v>
      </c>
      <c r="F87" s="49" t="str">
        <f>VLOOKUP($A87,订货1!$A87:$F329,6,0)</f>
        <v>个</v>
      </c>
      <c r="G87" s="203"/>
      <c r="H87" s="56">
        <f t="shared" si="36"/>
        <v>0</v>
      </c>
      <c r="I87" s="196"/>
      <c r="J87" s="113"/>
      <c r="K87" s="113"/>
      <c r="L87" s="196"/>
      <c r="M87" s="113"/>
      <c r="N87" s="113"/>
      <c r="O87" s="62">
        <f>订货1!AB87</f>
        <v>0</v>
      </c>
      <c r="P87" s="113"/>
      <c r="Q87" s="113"/>
      <c r="R87" s="62">
        <f>订货1!AC87</f>
        <v>0</v>
      </c>
      <c r="S87" s="113"/>
      <c r="T87" s="113"/>
      <c r="U87" s="62">
        <f>订货1!AD87</f>
        <v>0</v>
      </c>
      <c r="V87" s="113"/>
      <c r="W87" s="113"/>
      <c r="X87" s="62">
        <f>订货1!AE87</f>
        <v>0</v>
      </c>
      <c r="Y87" s="113"/>
      <c r="Z87" s="113"/>
      <c r="AA87" s="62">
        <f>订货1!AF87</f>
        <v>0</v>
      </c>
      <c r="AB87" s="113"/>
      <c r="AC87" s="113"/>
      <c r="AD87" s="62">
        <f>订货1!AG87</f>
        <v>0</v>
      </c>
      <c r="AE87" s="113"/>
      <c r="AF87" s="113"/>
      <c r="AG87" s="62">
        <f>订货1!AH87</f>
        <v>0</v>
      </c>
      <c r="AH87" s="113"/>
      <c r="AI87" s="113"/>
      <c r="AJ87" s="62">
        <f>订货1!AI87</f>
        <v>0</v>
      </c>
      <c r="AK87" s="113"/>
      <c r="AL87" s="113"/>
      <c r="AM87" s="62">
        <f>订货1!AJ87</f>
        <v>0</v>
      </c>
      <c r="AN87" s="113"/>
      <c r="AO87" s="113"/>
      <c r="AP87" s="62">
        <f>订货1!AK87</f>
        <v>0</v>
      </c>
      <c r="AQ87" s="113"/>
      <c r="AR87" s="113"/>
      <c r="AS87" s="62">
        <f>订货1!AL87</f>
        <v>0</v>
      </c>
      <c r="AT87" s="113"/>
      <c r="AU87" s="113"/>
      <c r="AV87" s="62">
        <f>订货1!AM87</f>
        <v>0</v>
      </c>
      <c r="AW87" s="113"/>
      <c r="AX87" s="113"/>
      <c r="AY87" s="62">
        <f>订货1!AN87</f>
        <v>0</v>
      </c>
      <c r="AZ87" s="113"/>
      <c r="BA87" s="113"/>
      <c r="BB87" s="62">
        <f>订货1!AO87</f>
        <v>0</v>
      </c>
      <c r="BC87" s="113"/>
      <c r="BD87" s="113"/>
      <c r="BE87" s="62">
        <f>订货1!AP87</f>
        <v>0</v>
      </c>
      <c r="BF87" s="113"/>
      <c r="BG87" s="113"/>
      <c r="BH87" s="62">
        <f>订货1!AQ87</f>
        <v>0</v>
      </c>
      <c r="BI87" s="113"/>
      <c r="BJ87" s="113"/>
      <c r="BK87" s="62">
        <f>订货1!AR87</f>
        <v>0</v>
      </c>
      <c r="BL87" s="113"/>
      <c r="BM87" s="113"/>
      <c r="BN87" s="62">
        <f>订货1!AS87</f>
        <v>0</v>
      </c>
      <c r="BO87" s="113"/>
      <c r="BP87" s="113"/>
      <c r="BQ87" s="62">
        <f>订货1!AT87</f>
        <v>0</v>
      </c>
      <c r="BR87" s="113"/>
      <c r="BS87" s="113"/>
      <c r="BT87" s="62">
        <f>订货1!AU87</f>
        <v>0</v>
      </c>
      <c r="BU87" s="113"/>
      <c r="BV87" s="113"/>
      <c r="BW87" s="62">
        <f>订货1!AV87</f>
        <v>0</v>
      </c>
      <c r="BX87" s="113"/>
      <c r="BY87" s="113"/>
      <c r="BZ87" s="62">
        <f>订货1!AW87</f>
        <v>0</v>
      </c>
      <c r="CA87" s="113"/>
      <c r="CB87" s="113"/>
      <c r="CC87" s="62">
        <f>订货1!AX87</f>
        <v>0</v>
      </c>
      <c r="CD87" s="113"/>
      <c r="CE87" s="113"/>
      <c r="CF87" s="62">
        <f>订货1!AY87</f>
        <v>0</v>
      </c>
      <c r="CG87" s="113"/>
      <c r="CH87" s="113"/>
      <c r="CI87" s="62">
        <f>订货1!AZ87</f>
        <v>0</v>
      </c>
      <c r="CJ87" s="113"/>
      <c r="CK87" s="113"/>
      <c r="CL87" s="62">
        <f>订货1!BA87</f>
        <v>0</v>
      </c>
      <c r="CM87" s="113"/>
      <c r="CN87" s="113"/>
      <c r="CO87" s="62">
        <f>订货1!BB87</f>
        <v>0</v>
      </c>
      <c r="CP87" s="113"/>
      <c r="CQ87" s="113"/>
      <c r="CR87" s="62">
        <f>订货1!BC87</f>
        <v>0</v>
      </c>
      <c r="CS87" s="113"/>
      <c r="CT87" s="113"/>
      <c r="CU87" s="62">
        <f>订货1!BD87</f>
        <v>0</v>
      </c>
      <c r="CV87" s="113"/>
      <c r="CW87" s="113"/>
      <c r="CX87" s="62">
        <f>订货1!BE87</f>
        <v>0</v>
      </c>
      <c r="CY87" s="113"/>
      <c r="CZ87" s="113"/>
      <c r="DA87" s="62">
        <f>订货1!BF87</f>
        <v>0</v>
      </c>
      <c r="DB87" s="113"/>
      <c r="DC87" s="113"/>
      <c r="DD87" s="208">
        <v>0</v>
      </c>
      <c r="DE87" s="110" t="e">
        <f t="shared" si="34"/>
        <v>#DIV/0!</v>
      </c>
      <c r="DF87" s="52">
        <f t="shared" si="33"/>
        <v>0</v>
      </c>
      <c r="DG87" s="32" t="str">
        <f>订货1!$Q87</f>
        <v>个</v>
      </c>
      <c r="DH87" s="209" t="e">
        <f t="shared" si="35"/>
        <v>#DIV/0!</v>
      </c>
    </row>
    <row r="88" spans="1:112" ht="15" customHeight="1">
      <c r="A88" s="48">
        <f>订货1!A88</f>
        <v>720009</v>
      </c>
      <c r="B88" s="44" t="str">
        <f>VLOOKUP($A88,订货1!$A88:$G330,7,0)</f>
        <v>上海百蒂凯蔬果种植专业合作社</v>
      </c>
      <c r="C88" s="44" t="str">
        <f>VLOOKUP($A88,订货1!$A88:$H330,8,0)</f>
        <v>上海承祖食品有限公司</v>
      </c>
      <c r="D88" s="44" t="str">
        <f>VLOOKUP($A88,订货1!$A88:$B330,2,0)</f>
        <v>大蒜</v>
      </c>
      <c r="E88" s="44" t="str">
        <f>VLOOKUP($A88,订货1!$A88:$E330,5,0)</f>
        <v>0.5kg</v>
      </c>
      <c r="F88" s="49" t="str">
        <f>VLOOKUP($A88,订货1!$A88:$F330,6,0)</f>
        <v>袋</v>
      </c>
      <c r="G88" s="203"/>
      <c r="H88" s="56">
        <f t="shared" si="36"/>
        <v>0</v>
      </c>
      <c r="I88" s="196"/>
      <c r="J88" s="113"/>
      <c r="K88" s="113"/>
      <c r="L88" s="196"/>
      <c r="M88" s="113"/>
      <c r="N88" s="113"/>
      <c r="O88" s="62">
        <f>订货1!AB88</f>
        <v>0</v>
      </c>
      <c r="P88" s="113"/>
      <c r="Q88" s="113"/>
      <c r="R88" s="62">
        <f>订货1!AC88</f>
        <v>0</v>
      </c>
      <c r="S88" s="113"/>
      <c r="T88" s="113"/>
      <c r="U88" s="62">
        <f>订货1!AD88</f>
        <v>0</v>
      </c>
      <c r="V88" s="113"/>
      <c r="W88" s="113"/>
      <c r="X88" s="62">
        <f>订货1!AE88</f>
        <v>0</v>
      </c>
      <c r="Y88" s="113"/>
      <c r="Z88" s="113"/>
      <c r="AA88" s="62">
        <f>订货1!AF88</f>
        <v>0</v>
      </c>
      <c r="AB88" s="113"/>
      <c r="AC88" s="113"/>
      <c r="AD88" s="62">
        <f>订货1!AG88</f>
        <v>0</v>
      </c>
      <c r="AE88" s="113"/>
      <c r="AF88" s="113"/>
      <c r="AG88" s="62">
        <f>订货1!AH88</f>
        <v>0</v>
      </c>
      <c r="AH88" s="113"/>
      <c r="AI88" s="113"/>
      <c r="AJ88" s="62">
        <f>订货1!AI88</f>
        <v>0</v>
      </c>
      <c r="AK88" s="113"/>
      <c r="AL88" s="113"/>
      <c r="AM88" s="62">
        <f>订货1!AJ88</f>
        <v>0</v>
      </c>
      <c r="AN88" s="113"/>
      <c r="AO88" s="113"/>
      <c r="AP88" s="62">
        <f>订货1!AK88</f>
        <v>0</v>
      </c>
      <c r="AQ88" s="113"/>
      <c r="AR88" s="113"/>
      <c r="AS88" s="62">
        <f>订货1!AL88</f>
        <v>0</v>
      </c>
      <c r="AT88" s="113"/>
      <c r="AU88" s="113"/>
      <c r="AV88" s="62">
        <f>订货1!AM88</f>
        <v>0</v>
      </c>
      <c r="AW88" s="113"/>
      <c r="AX88" s="113"/>
      <c r="AY88" s="62">
        <f>订货1!AN88</f>
        <v>0</v>
      </c>
      <c r="AZ88" s="113"/>
      <c r="BA88" s="113"/>
      <c r="BB88" s="62">
        <f>订货1!AO88</f>
        <v>0</v>
      </c>
      <c r="BC88" s="113"/>
      <c r="BD88" s="113"/>
      <c r="BE88" s="62">
        <f>订货1!AP88</f>
        <v>0</v>
      </c>
      <c r="BF88" s="113"/>
      <c r="BG88" s="113"/>
      <c r="BH88" s="62">
        <f>订货1!AQ88</f>
        <v>0</v>
      </c>
      <c r="BI88" s="113"/>
      <c r="BJ88" s="113"/>
      <c r="BK88" s="62">
        <f>订货1!AR88</f>
        <v>0</v>
      </c>
      <c r="BL88" s="113"/>
      <c r="BM88" s="113"/>
      <c r="BN88" s="62">
        <f>订货1!AS88</f>
        <v>0</v>
      </c>
      <c r="BO88" s="113"/>
      <c r="BP88" s="113"/>
      <c r="BQ88" s="62">
        <f>订货1!AT88</f>
        <v>0</v>
      </c>
      <c r="BR88" s="113"/>
      <c r="BS88" s="113"/>
      <c r="BT88" s="62">
        <f>订货1!AU88</f>
        <v>0</v>
      </c>
      <c r="BU88" s="113"/>
      <c r="BV88" s="113"/>
      <c r="BW88" s="62">
        <f>订货1!AV88</f>
        <v>0</v>
      </c>
      <c r="BX88" s="113"/>
      <c r="BY88" s="113"/>
      <c r="BZ88" s="62">
        <f>订货1!AW88</f>
        <v>0</v>
      </c>
      <c r="CA88" s="113"/>
      <c r="CB88" s="113"/>
      <c r="CC88" s="62">
        <f>订货1!AX88</f>
        <v>0</v>
      </c>
      <c r="CD88" s="113"/>
      <c r="CE88" s="113"/>
      <c r="CF88" s="62">
        <f>订货1!AY88</f>
        <v>0</v>
      </c>
      <c r="CG88" s="113"/>
      <c r="CH88" s="113"/>
      <c r="CI88" s="62">
        <f>订货1!AZ88</f>
        <v>0</v>
      </c>
      <c r="CJ88" s="113"/>
      <c r="CK88" s="113"/>
      <c r="CL88" s="62">
        <f>订货1!BA88</f>
        <v>0</v>
      </c>
      <c r="CM88" s="113"/>
      <c r="CN88" s="113"/>
      <c r="CO88" s="62">
        <f>订货1!BB88</f>
        <v>0</v>
      </c>
      <c r="CP88" s="113"/>
      <c r="CQ88" s="113"/>
      <c r="CR88" s="62">
        <f>订货1!BC88</f>
        <v>0</v>
      </c>
      <c r="CS88" s="113"/>
      <c r="CT88" s="113"/>
      <c r="CU88" s="62">
        <f>订货1!BD88</f>
        <v>0</v>
      </c>
      <c r="CV88" s="113"/>
      <c r="CW88" s="113"/>
      <c r="CX88" s="62">
        <f>订货1!BE88</f>
        <v>0</v>
      </c>
      <c r="CY88" s="113"/>
      <c r="CZ88" s="113"/>
      <c r="DA88" s="62">
        <f>订货1!BF88</f>
        <v>0</v>
      </c>
      <c r="DB88" s="113"/>
      <c r="DC88" s="113"/>
      <c r="DD88" s="208">
        <v>0</v>
      </c>
      <c r="DE88" s="110" t="e">
        <f t="shared" si="34"/>
        <v>#DIV/0!</v>
      </c>
      <c r="DF88" s="52">
        <f t="shared" si="33"/>
        <v>0</v>
      </c>
      <c r="DG88" s="32" t="str">
        <f>订货1!$Q88</f>
        <v>袋</v>
      </c>
      <c r="DH88" s="209" t="e">
        <f t="shared" si="35"/>
        <v>#DIV/0!</v>
      </c>
    </row>
    <row r="89" spans="1:112" ht="15" customHeight="1">
      <c r="A89" s="48">
        <f>订货1!A89</f>
        <v>720010</v>
      </c>
      <c r="B89" s="44" t="str">
        <f>VLOOKUP($A89,订货1!$A89:$G331,7,0)</f>
        <v>上海百蒂凯蔬果种植专业合作社</v>
      </c>
      <c r="C89" s="44" t="str">
        <f>VLOOKUP($A89,订货1!$A89:$H331,8,0)</f>
        <v>上海承祖食品有限公司</v>
      </c>
      <c r="D89" s="44" t="str">
        <f>VLOOKUP($A89,订货1!$A89:$B331,2,0)</f>
        <v>番茄</v>
      </c>
      <c r="E89" s="44" t="str">
        <f>VLOOKUP($A89,订货1!$A89:$E331,5,0)</f>
        <v>0.5kg</v>
      </c>
      <c r="F89" s="49" t="str">
        <f>VLOOKUP($A89,订货1!$A89:$F331,6,0)</f>
        <v>袋</v>
      </c>
      <c r="G89" s="203"/>
      <c r="H89" s="56">
        <f t="shared" si="36"/>
        <v>0</v>
      </c>
      <c r="I89" s="196"/>
      <c r="J89" s="113"/>
      <c r="K89" s="113"/>
      <c r="L89" s="196"/>
      <c r="M89" s="113"/>
      <c r="N89" s="113"/>
      <c r="O89" s="62">
        <f>订货1!AB89</f>
        <v>0</v>
      </c>
      <c r="P89" s="113"/>
      <c r="Q89" s="113"/>
      <c r="R89" s="62">
        <f>订货1!AC89</f>
        <v>0</v>
      </c>
      <c r="S89" s="113"/>
      <c r="T89" s="113"/>
      <c r="U89" s="62">
        <f>订货1!AD89</f>
        <v>0</v>
      </c>
      <c r="V89" s="113"/>
      <c r="W89" s="113"/>
      <c r="X89" s="62">
        <f>订货1!AE89</f>
        <v>0</v>
      </c>
      <c r="Y89" s="113"/>
      <c r="Z89" s="113"/>
      <c r="AA89" s="62">
        <f>订货1!AF89</f>
        <v>0</v>
      </c>
      <c r="AB89" s="113"/>
      <c r="AC89" s="113"/>
      <c r="AD89" s="62">
        <f>订货1!AG89</f>
        <v>0</v>
      </c>
      <c r="AE89" s="113"/>
      <c r="AF89" s="113"/>
      <c r="AG89" s="62">
        <f>订货1!AH89</f>
        <v>0</v>
      </c>
      <c r="AH89" s="113"/>
      <c r="AI89" s="113"/>
      <c r="AJ89" s="62">
        <f>订货1!AI89</f>
        <v>0</v>
      </c>
      <c r="AK89" s="113"/>
      <c r="AL89" s="113"/>
      <c r="AM89" s="62">
        <f>订货1!AJ89</f>
        <v>0</v>
      </c>
      <c r="AN89" s="113"/>
      <c r="AO89" s="113"/>
      <c r="AP89" s="62">
        <f>订货1!AK89</f>
        <v>0</v>
      </c>
      <c r="AQ89" s="113"/>
      <c r="AR89" s="113"/>
      <c r="AS89" s="62">
        <f>订货1!AL89</f>
        <v>0</v>
      </c>
      <c r="AT89" s="113"/>
      <c r="AU89" s="113"/>
      <c r="AV89" s="62">
        <f>订货1!AM89</f>
        <v>0</v>
      </c>
      <c r="AW89" s="113"/>
      <c r="AX89" s="113"/>
      <c r="AY89" s="62">
        <f>订货1!AN89</f>
        <v>0</v>
      </c>
      <c r="AZ89" s="113"/>
      <c r="BA89" s="113"/>
      <c r="BB89" s="62">
        <f>订货1!AO89</f>
        <v>0</v>
      </c>
      <c r="BC89" s="113"/>
      <c r="BD89" s="113"/>
      <c r="BE89" s="62">
        <f>订货1!AP89</f>
        <v>0</v>
      </c>
      <c r="BF89" s="113"/>
      <c r="BG89" s="113"/>
      <c r="BH89" s="62">
        <f>订货1!AQ89</f>
        <v>0</v>
      </c>
      <c r="BI89" s="113"/>
      <c r="BJ89" s="113"/>
      <c r="BK89" s="62">
        <f>订货1!AR89</f>
        <v>0</v>
      </c>
      <c r="BL89" s="113"/>
      <c r="BM89" s="113"/>
      <c r="BN89" s="62">
        <f>订货1!AS89</f>
        <v>0</v>
      </c>
      <c r="BO89" s="113"/>
      <c r="BP89" s="113"/>
      <c r="BQ89" s="62">
        <f>订货1!AT89</f>
        <v>0</v>
      </c>
      <c r="BR89" s="113"/>
      <c r="BS89" s="113"/>
      <c r="BT89" s="62">
        <f>订货1!AU89</f>
        <v>0</v>
      </c>
      <c r="BU89" s="113"/>
      <c r="BV89" s="113"/>
      <c r="BW89" s="62">
        <f>订货1!AV89</f>
        <v>0</v>
      </c>
      <c r="BX89" s="113"/>
      <c r="BY89" s="113"/>
      <c r="BZ89" s="62">
        <f>订货1!AW89</f>
        <v>0</v>
      </c>
      <c r="CA89" s="113"/>
      <c r="CB89" s="113"/>
      <c r="CC89" s="62">
        <f>订货1!AX89</f>
        <v>0</v>
      </c>
      <c r="CD89" s="113"/>
      <c r="CE89" s="113"/>
      <c r="CF89" s="62">
        <f>订货1!AY89</f>
        <v>0</v>
      </c>
      <c r="CG89" s="113"/>
      <c r="CH89" s="113"/>
      <c r="CI89" s="62">
        <f>订货1!AZ89</f>
        <v>0</v>
      </c>
      <c r="CJ89" s="113"/>
      <c r="CK89" s="113"/>
      <c r="CL89" s="62">
        <f>订货1!BA89</f>
        <v>0</v>
      </c>
      <c r="CM89" s="113"/>
      <c r="CN89" s="113"/>
      <c r="CO89" s="62">
        <f>订货1!BB89</f>
        <v>0</v>
      </c>
      <c r="CP89" s="113"/>
      <c r="CQ89" s="113"/>
      <c r="CR89" s="62">
        <f>订货1!BC89</f>
        <v>0</v>
      </c>
      <c r="CS89" s="113"/>
      <c r="CT89" s="113"/>
      <c r="CU89" s="62">
        <f>订货1!BD89</f>
        <v>0</v>
      </c>
      <c r="CV89" s="113"/>
      <c r="CW89" s="113"/>
      <c r="CX89" s="62">
        <f>订货1!BE89</f>
        <v>0</v>
      </c>
      <c r="CY89" s="113"/>
      <c r="CZ89" s="113"/>
      <c r="DA89" s="62">
        <f>订货1!BF89</f>
        <v>0</v>
      </c>
      <c r="DB89" s="113"/>
      <c r="DC89" s="113"/>
      <c r="DD89" s="208">
        <v>0</v>
      </c>
      <c r="DE89" s="110" t="e">
        <f t="shared" si="34"/>
        <v>#DIV/0!</v>
      </c>
      <c r="DF89" s="52">
        <f t="shared" si="33"/>
        <v>0</v>
      </c>
      <c r="DG89" s="32" t="str">
        <f>订货1!$Q89</f>
        <v>袋</v>
      </c>
      <c r="DH89" s="209" t="e">
        <f t="shared" si="35"/>
        <v>#DIV/0!</v>
      </c>
    </row>
    <row r="90" spans="1:112" ht="15" customHeight="1">
      <c r="A90" s="48">
        <f>订货1!A90</f>
        <v>720011</v>
      </c>
      <c r="B90" s="44" t="str">
        <f>VLOOKUP($A90,订货1!$A90:$G332,7,0)</f>
        <v>上海百蒂凯蔬果种植专业合作社</v>
      </c>
      <c r="C90" s="44" t="str">
        <f>VLOOKUP($A90,订货1!$A90:$H332,8,0)</f>
        <v>上海承祖食品有限公司</v>
      </c>
      <c r="D90" s="44" t="str">
        <f>VLOOKUP($A90,订货1!$A90:$B332,2,0)</f>
        <v>芝麻菜</v>
      </c>
      <c r="E90" s="44" t="str">
        <f>VLOOKUP($A90,订货1!$A90:$E332,5,0)</f>
        <v>0.2kg</v>
      </c>
      <c r="F90" s="49" t="str">
        <f>VLOOKUP($A90,订货1!$A90:$F332,6,0)</f>
        <v>袋</v>
      </c>
      <c r="G90" s="203"/>
      <c r="H90" s="56">
        <f t="shared" si="36"/>
        <v>22</v>
      </c>
      <c r="I90" s="196"/>
      <c r="J90" s="113"/>
      <c r="K90" s="113"/>
      <c r="L90" s="196"/>
      <c r="M90" s="113"/>
      <c r="N90" s="113"/>
      <c r="O90" s="62">
        <f>订货1!AB90</f>
        <v>1</v>
      </c>
      <c r="P90" s="113"/>
      <c r="Q90" s="113"/>
      <c r="R90" s="62">
        <f>订货1!AC90</f>
        <v>2</v>
      </c>
      <c r="S90" s="113"/>
      <c r="T90" s="113"/>
      <c r="U90" s="62">
        <f>订货1!AD90</f>
        <v>0</v>
      </c>
      <c r="V90" s="113"/>
      <c r="W90" s="113"/>
      <c r="X90" s="62">
        <f>订货1!AE90</f>
        <v>1</v>
      </c>
      <c r="Y90" s="113"/>
      <c r="Z90" s="113"/>
      <c r="AA90" s="62">
        <f>订货1!AF90</f>
        <v>3</v>
      </c>
      <c r="AB90" s="113"/>
      <c r="AC90" s="113"/>
      <c r="AD90" s="62">
        <f>订货1!AG90</f>
        <v>4</v>
      </c>
      <c r="AE90" s="113"/>
      <c r="AF90" s="113"/>
      <c r="AG90" s="62">
        <f>订货1!AH90</f>
        <v>1</v>
      </c>
      <c r="AH90" s="113"/>
      <c r="AI90" s="113"/>
      <c r="AJ90" s="62">
        <f>订货1!AI90</f>
        <v>1</v>
      </c>
      <c r="AK90" s="113"/>
      <c r="AL90" s="113"/>
      <c r="AM90" s="62">
        <f>订货1!AJ90</f>
        <v>2</v>
      </c>
      <c r="AN90" s="113"/>
      <c r="AO90" s="113"/>
      <c r="AP90" s="62">
        <f>订货1!AK90</f>
        <v>0</v>
      </c>
      <c r="AQ90" s="113"/>
      <c r="AR90" s="113"/>
      <c r="AS90" s="62">
        <f>订货1!AL90</f>
        <v>0</v>
      </c>
      <c r="AT90" s="113"/>
      <c r="AU90" s="113"/>
      <c r="AV90" s="62">
        <f>订货1!AM90</f>
        <v>3</v>
      </c>
      <c r="AW90" s="113"/>
      <c r="AX90" s="113"/>
      <c r="AY90" s="62">
        <f>订货1!AN90</f>
        <v>3</v>
      </c>
      <c r="AZ90" s="113"/>
      <c r="BA90" s="113"/>
      <c r="BB90" s="62">
        <f>订货1!AO90</f>
        <v>1</v>
      </c>
      <c r="BC90" s="113"/>
      <c r="BD90" s="113"/>
      <c r="BE90" s="62">
        <f>订货1!AP90</f>
        <v>0</v>
      </c>
      <c r="BF90" s="113"/>
      <c r="BG90" s="113"/>
      <c r="BH90" s="62">
        <f>订货1!AQ90</f>
        <v>0</v>
      </c>
      <c r="BI90" s="113"/>
      <c r="BJ90" s="113"/>
      <c r="BK90" s="62">
        <f>订货1!AR90</f>
        <v>0</v>
      </c>
      <c r="BL90" s="113"/>
      <c r="BM90" s="113"/>
      <c r="BN90" s="62">
        <f>订货1!AS90</f>
        <v>0</v>
      </c>
      <c r="BO90" s="113"/>
      <c r="BP90" s="113"/>
      <c r="BQ90" s="62">
        <f>订货1!AT90</f>
        <v>0</v>
      </c>
      <c r="BR90" s="113"/>
      <c r="BS90" s="113"/>
      <c r="BT90" s="62">
        <f>订货1!AU90</f>
        <v>0</v>
      </c>
      <c r="BU90" s="113"/>
      <c r="BV90" s="113"/>
      <c r="BW90" s="62">
        <f>订货1!AV90</f>
        <v>0</v>
      </c>
      <c r="BX90" s="113"/>
      <c r="BY90" s="113"/>
      <c r="BZ90" s="62">
        <f>订货1!AW90</f>
        <v>0</v>
      </c>
      <c r="CA90" s="113"/>
      <c r="CB90" s="113"/>
      <c r="CC90" s="62">
        <f>订货1!AX90</f>
        <v>0</v>
      </c>
      <c r="CD90" s="113"/>
      <c r="CE90" s="113"/>
      <c r="CF90" s="62">
        <f>订货1!AY90</f>
        <v>0</v>
      </c>
      <c r="CG90" s="113"/>
      <c r="CH90" s="113"/>
      <c r="CI90" s="62">
        <f>订货1!AZ90</f>
        <v>0</v>
      </c>
      <c r="CJ90" s="113"/>
      <c r="CK90" s="113"/>
      <c r="CL90" s="62">
        <f>订货1!BA90</f>
        <v>0</v>
      </c>
      <c r="CM90" s="113"/>
      <c r="CN90" s="113"/>
      <c r="CO90" s="62">
        <f>订货1!BB90</f>
        <v>0</v>
      </c>
      <c r="CP90" s="113"/>
      <c r="CQ90" s="113"/>
      <c r="CR90" s="62">
        <f>订货1!BC90</f>
        <v>0</v>
      </c>
      <c r="CS90" s="113"/>
      <c r="CT90" s="113"/>
      <c r="CU90" s="62">
        <f>订货1!BD90</f>
        <v>0</v>
      </c>
      <c r="CV90" s="113"/>
      <c r="CW90" s="113"/>
      <c r="CX90" s="62">
        <f>订货1!BE90</f>
        <v>0</v>
      </c>
      <c r="CY90" s="113"/>
      <c r="CZ90" s="113"/>
      <c r="DA90" s="62">
        <f>订货1!BF90</f>
        <v>0</v>
      </c>
      <c r="DB90" s="113"/>
      <c r="DC90" s="113"/>
      <c r="DD90" s="208">
        <v>0</v>
      </c>
      <c r="DE90" s="110" t="e">
        <f t="shared" si="34"/>
        <v>#DIV/0!</v>
      </c>
      <c r="DF90" s="52">
        <f t="shared" si="33"/>
        <v>22</v>
      </c>
      <c r="DG90" s="32" t="str">
        <f>订货1!$Q90</f>
        <v>袋</v>
      </c>
      <c r="DH90" s="209" t="e">
        <f t="shared" si="35"/>
        <v>#DIV/0!</v>
      </c>
    </row>
    <row r="91" spans="1:112" ht="15" customHeight="1">
      <c r="A91" s="48">
        <f>订货1!A91</f>
        <v>720012</v>
      </c>
      <c r="B91" s="44" t="str">
        <f>VLOOKUP($A91,订货1!$A91:$G333,7,0)</f>
        <v>上海百蒂凯蔬果种植专业合作社</v>
      </c>
      <c r="C91" s="44" t="str">
        <f>VLOOKUP($A91,订货1!$A91:$H333,8,0)</f>
        <v>上海承祖食品有限公司</v>
      </c>
      <c r="D91" s="44" t="str">
        <f>VLOOKUP($A91,订货1!$A91:$B333,2,0)</f>
        <v>柠檬</v>
      </c>
      <c r="E91" s="44" t="str">
        <f>VLOOKUP($A91,订货1!$A91:$E333,5,0)</f>
        <v>0.08kg</v>
      </c>
      <c r="F91" s="49" t="str">
        <f>VLOOKUP($A91,订货1!$A91:$F333,6,0)</f>
        <v>袋</v>
      </c>
      <c r="G91" s="203"/>
      <c r="H91" s="56">
        <f t="shared" si="36"/>
        <v>0</v>
      </c>
      <c r="I91" s="196"/>
      <c r="J91" s="113"/>
      <c r="K91" s="113"/>
      <c r="L91" s="196"/>
      <c r="M91" s="113"/>
      <c r="N91" s="113"/>
      <c r="O91" s="62">
        <f>订货1!AB91</f>
        <v>0</v>
      </c>
      <c r="P91" s="113"/>
      <c r="Q91" s="113"/>
      <c r="R91" s="62">
        <f>订货1!AC91</f>
        <v>0</v>
      </c>
      <c r="S91" s="113"/>
      <c r="T91" s="113"/>
      <c r="U91" s="62">
        <f>订货1!AD91</f>
        <v>0</v>
      </c>
      <c r="V91" s="113"/>
      <c r="W91" s="113"/>
      <c r="X91" s="62">
        <f>订货1!AE91</f>
        <v>0</v>
      </c>
      <c r="Y91" s="113"/>
      <c r="Z91" s="113"/>
      <c r="AA91" s="62">
        <f>订货1!AF91</f>
        <v>0</v>
      </c>
      <c r="AB91" s="113"/>
      <c r="AC91" s="113"/>
      <c r="AD91" s="62">
        <f>订货1!AG91</f>
        <v>0</v>
      </c>
      <c r="AE91" s="113"/>
      <c r="AF91" s="113"/>
      <c r="AG91" s="62">
        <f>订货1!AH91</f>
        <v>0</v>
      </c>
      <c r="AH91" s="113"/>
      <c r="AI91" s="113"/>
      <c r="AJ91" s="62">
        <f>订货1!AI91</f>
        <v>0</v>
      </c>
      <c r="AK91" s="113"/>
      <c r="AL91" s="113"/>
      <c r="AM91" s="62">
        <f>订货1!AJ91</f>
        <v>0</v>
      </c>
      <c r="AN91" s="113"/>
      <c r="AO91" s="113"/>
      <c r="AP91" s="62">
        <f>订货1!AK91</f>
        <v>0</v>
      </c>
      <c r="AQ91" s="113"/>
      <c r="AR91" s="113"/>
      <c r="AS91" s="62">
        <f>订货1!AL91</f>
        <v>0</v>
      </c>
      <c r="AT91" s="113"/>
      <c r="AU91" s="113"/>
      <c r="AV91" s="62">
        <f>订货1!AM91</f>
        <v>0</v>
      </c>
      <c r="AW91" s="113"/>
      <c r="AX91" s="113"/>
      <c r="AY91" s="62">
        <f>订货1!AN91</f>
        <v>0</v>
      </c>
      <c r="AZ91" s="113"/>
      <c r="BA91" s="113"/>
      <c r="BB91" s="62">
        <f>订货1!AO91</f>
        <v>0</v>
      </c>
      <c r="BC91" s="113"/>
      <c r="BD91" s="113"/>
      <c r="BE91" s="62">
        <f>订货1!AP91</f>
        <v>0</v>
      </c>
      <c r="BF91" s="113"/>
      <c r="BG91" s="113"/>
      <c r="BH91" s="62">
        <f>订货1!AQ91</f>
        <v>0</v>
      </c>
      <c r="BI91" s="113"/>
      <c r="BJ91" s="113"/>
      <c r="BK91" s="62">
        <f>订货1!AR91</f>
        <v>0</v>
      </c>
      <c r="BL91" s="113"/>
      <c r="BM91" s="113"/>
      <c r="BN91" s="62">
        <f>订货1!AS91</f>
        <v>0</v>
      </c>
      <c r="BO91" s="113"/>
      <c r="BP91" s="113"/>
      <c r="BQ91" s="62">
        <f>订货1!AT91</f>
        <v>0</v>
      </c>
      <c r="BR91" s="113"/>
      <c r="BS91" s="113"/>
      <c r="BT91" s="62">
        <f>订货1!AU91</f>
        <v>0</v>
      </c>
      <c r="BU91" s="113"/>
      <c r="BV91" s="113"/>
      <c r="BW91" s="62">
        <f>订货1!AV91</f>
        <v>0</v>
      </c>
      <c r="BX91" s="113"/>
      <c r="BY91" s="113"/>
      <c r="BZ91" s="62">
        <f>订货1!AW91</f>
        <v>0</v>
      </c>
      <c r="CA91" s="113"/>
      <c r="CB91" s="113"/>
      <c r="CC91" s="62">
        <f>订货1!AX91</f>
        <v>0</v>
      </c>
      <c r="CD91" s="113"/>
      <c r="CE91" s="113"/>
      <c r="CF91" s="62">
        <f>订货1!AY91</f>
        <v>0</v>
      </c>
      <c r="CG91" s="113"/>
      <c r="CH91" s="113"/>
      <c r="CI91" s="62">
        <f>订货1!AZ91</f>
        <v>0</v>
      </c>
      <c r="CJ91" s="113"/>
      <c r="CK91" s="113"/>
      <c r="CL91" s="62">
        <f>订货1!BA91</f>
        <v>0</v>
      </c>
      <c r="CM91" s="113"/>
      <c r="CN91" s="113"/>
      <c r="CO91" s="62">
        <f>订货1!BB91</f>
        <v>0</v>
      </c>
      <c r="CP91" s="113"/>
      <c r="CQ91" s="113"/>
      <c r="CR91" s="62">
        <f>订货1!BC91</f>
        <v>0</v>
      </c>
      <c r="CS91" s="113"/>
      <c r="CT91" s="113"/>
      <c r="CU91" s="62">
        <f>订货1!BD91</f>
        <v>0</v>
      </c>
      <c r="CV91" s="113"/>
      <c r="CW91" s="113"/>
      <c r="CX91" s="62">
        <f>订货1!BE91</f>
        <v>0</v>
      </c>
      <c r="CY91" s="113"/>
      <c r="CZ91" s="113"/>
      <c r="DA91" s="62">
        <f>订货1!BF91</f>
        <v>0</v>
      </c>
      <c r="DB91" s="113"/>
      <c r="DC91" s="113"/>
      <c r="DD91" s="208">
        <v>0</v>
      </c>
      <c r="DE91" s="110" t="e">
        <f t="shared" si="34"/>
        <v>#DIV/0!</v>
      </c>
      <c r="DF91" s="52">
        <f t="shared" si="33"/>
        <v>0</v>
      </c>
      <c r="DG91" s="32" t="str">
        <f>订货1!$Q91</f>
        <v>袋</v>
      </c>
      <c r="DH91" s="209" t="e">
        <f t="shared" si="35"/>
        <v>#DIV/0!</v>
      </c>
    </row>
    <row r="92" spans="1:112" ht="15" customHeight="1">
      <c r="A92" s="48">
        <f>订货1!A92</f>
        <v>720013</v>
      </c>
      <c r="B92" s="44" t="str">
        <f>VLOOKUP($A92,订货1!$A92:$G334,7,0)</f>
        <v>上海百蒂凯蔬果种植专业合作社</v>
      </c>
      <c r="C92" s="44" t="str">
        <f>VLOOKUP($A92,订货1!$A92:$H334,8,0)</f>
        <v>上海承祖食品有限公司</v>
      </c>
      <c r="D92" s="44" t="str">
        <f>VLOOKUP($A92,订货1!$A92:$B334,2,0)</f>
        <v>火龙果</v>
      </c>
      <c r="E92" s="44" t="str">
        <f>VLOOKUP($A92,订货1!$A92:$E334,5,0)</f>
        <v>0.6kg</v>
      </c>
      <c r="F92" s="49" t="str">
        <f>VLOOKUP($A92,订货1!$A92:$F334,6,0)</f>
        <v>个</v>
      </c>
      <c r="G92" s="203"/>
      <c r="H92" s="56">
        <f t="shared" si="36"/>
        <v>0</v>
      </c>
      <c r="I92" s="196"/>
      <c r="J92" s="113"/>
      <c r="K92" s="113"/>
      <c r="L92" s="196"/>
      <c r="M92" s="113"/>
      <c r="N92" s="113"/>
      <c r="O92" s="62">
        <f>订货1!AB92</f>
        <v>0</v>
      </c>
      <c r="P92" s="113"/>
      <c r="Q92" s="113"/>
      <c r="R92" s="62">
        <f>订货1!AC92</f>
        <v>0</v>
      </c>
      <c r="S92" s="113"/>
      <c r="T92" s="113"/>
      <c r="U92" s="62">
        <f>订货1!AD92</f>
        <v>0</v>
      </c>
      <c r="V92" s="113"/>
      <c r="W92" s="113"/>
      <c r="X92" s="62">
        <f>订货1!AE92</f>
        <v>0</v>
      </c>
      <c r="Y92" s="113"/>
      <c r="Z92" s="113"/>
      <c r="AA92" s="62">
        <f>订货1!AF92</f>
        <v>0</v>
      </c>
      <c r="AB92" s="113"/>
      <c r="AC92" s="113"/>
      <c r="AD92" s="62">
        <f>订货1!AG92</f>
        <v>0</v>
      </c>
      <c r="AE92" s="113"/>
      <c r="AF92" s="113"/>
      <c r="AG92" s="62">
        <f>订货1!AH92</f>
        <v>0</v>
      </c>
      <c r="AH92" s="113"/>
      <c r="AI92" s="113"/>
      <c r="AJ92" s="62">
        <f>订货1!AI92</f>
        <v>0</v>
      </c>
      <c r="AK92" s="113"/>
      <c r="AL92" s="113"/>
      <c r="AM92" s="62">
        <f>订货1!AJ92</f>
        <v>0</v>
      </c>
      <c r="AN92" s="113"/>
      <c r="AO92" s="113"/>
      <c r="AP92" s="62">
        <f>订货1!AK92</f>
        <v>0</v>
      </c>
      <c r="AQ92" s="113"/>
      <c r="AR92" s="113"/>
      <c r="AS92" s="62">
        <f>订货1!AL92</f>
        <v>0</v>
      </c>
      <c r="AT92" s="113"/>
      <c r="AU92" s="113"/>
      <c r="AV92" s="62">
        <f>订货1!AM92</f>
        <v>0</v>
      </c>
      <c r="AW92" s="113"/>
      <c r="AX92" s="113"/>
      <c r="AY92" s="62">
        <f>订货1!AN92</f>
        <v>0</v>
      </c>
      <c r="AZ92" s="113"/>
      <c r="BA92" s="113"/>
      <c r="BB92" s="62">
        <f>订货1!AO92</f>
        <v>0</v>
      </c>
      <c r="BC92" s="113"/>
      <c r="BD92" s="113"/>
      <c r="BE92" s="62">
        <f>订货1!AP92</f>
        <v>0</v>
      </c>
      <c r="BF92" s="113"/>
      <c r="BG92" s="113"/>
      <c r="BH92" s="62">
        <f>订货1!AQ92</f>
        <v>0</v>
      </c>
      <c r="BI92" s="113"/>
      <c r="BJ92" s="113"/>
      <c r="BK92" s="62">
        <f>订货1!AR92</f>
        <v>0</v>
      </c>
      <c r="BL92" s="113"/>
      <c r="BM92" s="113"/>
      <c r="BN92" s="62">
        <f>订货1!AS92</f>
        <v>0</v>
      </c>
      <c r="BO92" s="113"/>
      <c r="BP92" s="113"/>
      <c r="BQ92" s="62">
        <f>订货1!AT92</f>
        <v>0</v>
      </c>
      <c r="BR92" s="113"/>
      <c r="BS92" s="113"/>
      <c r="BT92" s="62">
        <f>订货1!AU92</f>
        <v>0</v>
      </c>
      <c r="BU92" s="113"/>
      <c r="BV92" s="113"/>
      <c r="BW92" s="62">
        <f>订货1!AV92</f>
        <v>0</v>
      </c>
      <c r="BX92" s="113"/>
      <c r="BY92" s="113"/>
      <c r="BZ92" s="62">
        <f>订货1!AW92</f>
        <v>0</v>
      </c>
      <c r="CA92" s="113"/>
      <c r="CB92" s="113"/>
      <c r="CC92" s="62">
        <f>订货1!AX92</f>
        <v>0</v>
      </c>
      <c r="CD92" s="113"/>
      <c r="CE92" s="113"/>
      <c r="CF92" s="62">
        <f>订货1!AY92</f>
        <v>0</v>
      </c>
      <c r="CG92" s="113"/>
      <c r="CH92" s="113"/>
      <c r="CI92" s="62">
        <f>订货1!AZ92</f>
        <v>0</v>
      </c>
      <c r="CJ92" s="113"/>
      <c r="CK92" s="113"/>
      <c r="CL92" s="62">
        <f>订货1!BA92</f>
        <v>0</v>
      </c>
      <c r="CM92" s="113"/>
      <c r="CN92" s="113"/>
      <c r="CO92" s="62">
        <f>订货1!BB92</f>
        <v>0</v>
      </c>
      <c r="CP92" s="113"/>
      <c r="CQ92" s="113"/>
      <c r="CR92" s="62">
        <f>订货1!BC92</f>
        <v>0</v>
      </c>
      <c r="CS92" s="113"/>
      <c r="CT92" s="113"/>
      <c r="CU92" s="62">
        <f>订货1!BD92</f>
        <v>0</v>
      </c>
      <c r="CV92" s="113"/>
      <c r="CW92" s="113"/>
      <c r="CX92" s="62">
        <f>订货1!BE92</f>
        <v>0</v>
      </c>
      <c r="CY92" s="113"/>
      <c r="CZ92" s="113"/>
      <c r="DA92" s="62">
        <f>订货1!BF92</f>
        <v>0</v>
      </c>
      <c r="DB92" s="113"/>
      <c r="DC92" s="113"/>
      <c r="DD92" s="208">
        <v>0</v>
      </c>
      <c r="DE92" s="110" t="e">
        <f t="shared" si="34"/>
        <v>#DIV/0!</v>
      </c>
      <c r="DF92" s="52">
        <f t="shared" si="33"/>
        <v>0</v>
      </c>
      <c r="DG92" s="32" t="str">
        <f>订货1!$Q92</f>
        <v>个</v>
      </c>
      <c r="DH92" s="209" t="e">
        <f t="shared" si="35"/>
        <v>#DIV/0!</v>
      </c>
    </row>
    <row r="93" spans="1:112" ht="15" customHeight="1">
      <c r="A93" s="48">
        <f>订货1!A93</f>
        <v>720014</v>
      </c>
      <c r="B93" s="44" t="str">
        <f>VLOOKUP($A93,订货1!$A93:$G335,7,0)</f>
        <v>上海百蒂凯蔬果种植专业合作社</v>
      </c>
      <c r="C93" s="44" t="str">
        <f>VLOOKUP($A93,订货1!$A93:$H335,8,0)</f>
        <v>上海承祖食品有限公司</v>
      </c>
      <c r="D93" s="44" t="str">
        <f>VLOOKUP($A93,订货1!$A93:$B335,2,0)</f>
        <v>牛肚配菜(实验店铺用）</v>
      </c>
      <c r="E93" s="44" t="str">
        <f>VLOOKUP($A93,订货1!$A93:$E335,5,0)</f>
        <v>0.1kg</v>
      </c>
      <c r="F93" s="49" t="str">
        <f>VLOOKUP($A93,订货1!$A93:$F335,6,0)</f>
        <v>袋</v>
      </c>
      <c r="G93" s="203"/>
      <c r="H93" s="56">
        <f t="shared" si="36"/>
        <v>0</v>
      </c>
      <c r="I93" s="196"/>
      <c r="J93" s="113"/>
      <c r="K93" s="113"/>
      <c r="L93" s="196"/>
      <c r="M93" s="113"/>
      <c r="N93" s="113"/>
      <c r="O93" s="62">
        <f>订货1!AB93</f>
        <v>0</v>
      </c>
      <c r="P93" s="113"/>
      <c r="Q93" s="113"/>
      <c r="R93" s="62">
        <f>订货1!AC93</f>
        <v>0</v>
      </c>
      <c r="S93" s="113"/>
      <c r="T93" s="113"/>
      <c r="U93" s="62">
        <f>订货1!AD93</f>
        <v>0</v>
      </c>
      <c r="V93" s="113"/>
      <c r="W93" s="113"/>
      <c r="X93" s="62">
        <f>订货1!AE93</f>
        <v>0</v>
      </c>
      <c r="Y93" s="113"/>
      <c r="Z93" s="113"/>
      <c r="AA93" s="62">
        <f>订货1!AF93</f>
        <v>0</v>
      </c>
      <c r="AB93" s="113"/>
      <c r="AC93" s="113"/>
      <c r="AD93" s="62">
        <f>订货1!AG93</f>
        <v>0</v>
      </c>
      <c r="AE93" s="113"/>
      <c r="AF93" s="113"/>
      <c r="AG93" s="62">
        <f>订货1!AH93</f>
        <v>0</v>
      </c>
      <c r="AH93" s="113"/>
      <c r="AI93" s="113"/>
      <c r="AJ93" s="62">
        <f>订货1!AI93</f>
        <v>0</v>
      </c>
      <c r="AK93" s="113"/>
      <c r="AL93" s="113"/>
      <c r="AM93" s="62">
        <f>订货1!AJ93</f>
        <v>0</v>
      </c>
      <c r="AN93" s="113"/>
      <c r="AO93" s="113"/>
      <c r="AP93" s="62">
        <f>订货1!AK93</f>
        <v>0</v>
      </c>
      <c r="AQ93" s="113"/>
      <c r="AR93" s="113"/>
      <c r="AS93" s="62">
        <f>订货1!AL93</f>
        <v>0</v>
      </c>
      <c r="AT93" s="113"/>
      <c r="AU93" s="113"/>
      <c r="AV93" s="62">
        <f>订货1!AM93</f>
        <v>0</v>
      </c>
      <c r="AW93" s="113"/>
      <c r="AX93" s="113"/>
      <c r="AY93" s="62">
        <f>订货1!AN93</f>
        <v>0</v>
      </c>
      <c r="AZ93" s="113"/>
      <c r="BA93" s="113"/>
      <c r="BB93" s="62">
        <f>订货1!AO93</f>
        <v>0</v>
      </c>
      <c r="BC93" s="113"/>
      <c r="BD93" s="113"/>
      <c r="BE93" s="62">
        <f>订货1!AP93</f>
        <v>0</v>
      </c>
      <c r="BF93" s="113"/>
      <c r="BG93" s="113"/>
      <c r="BH93" s="62">
        <f>订货1!AQ93</f>
        <v>0</v>
      </c>
      <c r="BI93" s="113"/>
      <c r="BJ93" s="113"/>
      <c r="BK93" s="62">
        <f>订货1!AR93</f>
        <v>0</v>
      </c>
      <c r="BL93" s="113"/>
      <c r="BM93" s="113"/>
      <c r="BN93" s="62">
        <f>订货1!AS93</f>
        <v>0</v>
      </c>
      <c r="BO93" s="113"/>
      <c r="BP93" s="113"/>
      <c r="BQ93" s="62">
        <f>订货1!AT93</f>
        <v>0</v>
      </c>
      <c r="BR93" s="113"/>
      <c r="BS93" s="113"/>
      <c r="BT93" s="62">
        <f>订货1!AU93</f>
        <v>0</v>
      </c>
      <c r="BU93" s="113"/>
      <c r="BV93" s="113"/>
      <c r="BW93" s="62">
        <f>订货1!AV93</f>
        <v>0</v>
      </c>
      <c r="BX93" s="113"/>
      <c r="BY93" s="113"/>
      <c r="BZ93" s="62">
        <f>订货1!AW93</f>
        <v>0</v>
      </c>
      <c r="CA93" s="113"/>
      <c r="CB93" s="113"/>
      <c r="CC93" s="62">
        <f>订货1!AX93</f>
        <v>0</v>
      </c>
      <c r="CD93" s="113"/>
      <c r="CE93" s="113"/>
      <c r="CF93" s="62">
        <f>订货1!AY93</f>
        <v>0</v>
      </c>
      <c r="CG93" s="113"/>
      <c r="CH93" s="113"/>
      <c r="CI93" s="62">
        <f>订货1!AZ93</f>
        <v>0</v>
      </c>
      <c r="CJ93" s="113"/>
      <c r="CK93" s="113"/>
      <c r="CL93" s="62">
        <f>订货1!BA93</f>
        <v>0</v>
      </c>
      <c r="CM93" s="113"/>
      <c r="CN93" s="113"/>
      <c r="CO93" s="62">
        <f>订货1!BB93</f>
        <v>0</v>
      </c>
      <c r="CP93" s="113"/>
      <c r="CQ93" s="113"/>
      <c r="CR93" s="62">
        <f>订货1!BC93</f>
        <v>0</v>
      </c>
      <c r="CS93" s="113"/>
      <c r="CT93" s="113"/>
      <c r="CU93" s="62">
        <f>订货1!BD93</f>
        <v>0</v>
      </c>
      <c r="CV93" s="113"/>
      <c r="CW93" s="113"/>
      <c r="CX93" s="62">
        <f>订货1!BE93</f>
        <v>0</v>
      </c>
      <c r="CY93" s="113"/>
      <c r="CZ93" s="113"/>
      <c r="DA93" s="62">
        <f>订货1!BF93</f>
        <v>0</v>
      </c>
      <c r="DB93" s="113"/>
      <c r="DC93" s="113"/>
      <c r="DD93" s="208">
        <v>0</v>
      </c>
      <c r="DE93" s="110" t="e">
        <f t="shared" si="34"/>
        <v>#DIV/0!</v>
      </c>
      <c r="DF93" s="52">
        <f t="shared" si="33"/>
        <v>0</v>
      </c>
      <c r="DG93" s="32" t="str">
        <f>订货1!$Q93</f>
        <v>袋</v>
      </c>
      <c r="DH93" s="209" t="e">
        <f t="shared" si="35"/>
        <v>#DIV/0!</v>
      </c>
    </row>
    <row r="94" spans="1:112" ht="15" customHeight="1">
      <c r="A94" s="48">
        <f>订货1!A94</f>
        <v>720017</v>
      </c>
      <c r="B94" s="44" t="str">
        <f>VLOOKUP($A94,订货1!$A94:$G336,7,0)</f>
        <v>上海百蒂凯蔬果种植专业合作社</v>
      </c>
      <c r="C94" s="44" t="str">
        <f>VLOOKUP($A94,订货1!$A94:$H336,8,0)</f>
        <v>上海承祖食品有限公司</v>
      </c>
      <c r="D94" s="44" t="str">
        <f>VLOOKUP($A94,订货1!$A94:$B336,2,0)</f>
        <v>混合色拉</v>
      </c>
      <c r="E94" s="44" t="str">
        <f>VLOOKUP($A94,订货1!$A94:$E336,5,0)</f>
        <v>0.6kg</v>
      </c>
      <c r="F94" s="49" t="str">
        <f>VLOOKUP($A94,订货1!$A94:$F336,6,0)</f>
        <v>袋</v>
      </c>
      <c r="G94" s="203"/>
      <c r="H94" s="56">
        <f t="shared" si="36"/>
        <v>82</v>
      </c>
      <c r="I94" s="196"/>
      <c r="J94" s="113"/>
      <c r="K94" s="113"/>
      <c r="L94" s="196"/>
      <c r="M94" s="113"/>
      <c r="N94" s="113"/>
      <c r="O94" s="62">
        <f>订货1!AB94</f>
        <v>0</v>
      </c>
      <c r="P94" s="113"/>
      <c r="Q94" s="113"/>
      <c r="R94" s="62">
        <f>订货1!AC94</f>
        <v>5</v>
      </c>
      <c r="S94" s="113"/>
      <c r="T94" s="113"/>
      <c r="U94" s="62">
        <f>订货1!AD94</f>
        <v>0</v>
      </c>
      <c r="V94" s="113"/>
      <c r="W94" s="113"/>
      <c r="X94" s="62">
        <f>订货1!AE94</f>
        <v>8</v>
      </c>
      <c r="Y94" s="113"/>
      <c r="Z94" s="113"/>
      <c r="AA94" s="62">
        <f>订货1!AF94</f>
        <v>14</v>
      </c>
      <c r="AB94" s="113"/>
      <c r="AC94" s="113"/>
      <c r="AD94" s="62">
        <f>订货1!AG94</f>
        <v>10</v>
      </c>
      <c r="AE94" s="113"/>
      <c r="AF94" s="113"/>
      <c r="AG94" s="62">
        <f>订货1!AH94</f>
        <v>1</v>
      </c>
      <c r="AH94" s="113"/>
      <c r="AI94" s="113"/>
      <c r="AJ94" s="62">
        <f>订货1!AI94</f>
        <v>3</v>
      </c>
      <c r="AK94" s="113"/>
      <c r="AL94" s="113"/>
      <c r="AM94" s="62">
        <f>订货1!AJ94</f>
        <v>7</v>
      </c>
      <c r="AN94" s="113"/>
      <c r="AO94" s="113"/>
      <c r="AP94" s="62">
        <f>订货1!AK94</f>
        <v>0</v>
      </c>
      <c r="AQ94" s="113"/>
      <c r="AR94" s="113"/>
      <c r="AS94" s="62">
        <f>订货1!AL94</f>
        <v>3</v>
      </c>
      <c r="AT94" s="113"/>
      <c r="AU94" s="113"/>
      <c r="AV94" s="62">
        <f>订货1!AM94</f>
        <v>15</v>
      </c>
      <c r="AW94" s="113"/>
      <c r="AX94" s="113"/>
      <c r="AY94" s="62">
        <f>订货1!AN94</f>
        <v>11</v>
      </c>
      <c r="AZ94" s="113"/>
      <c r="BA94" s="113"/>
      <c r="BB94" s="62">
        <f>订货1!AO94</f>
        <v>5</v>
      </c>
      <c r="BC94" s="113"/>
      <c r="BD94" s="113"/>
      <c r="BE94" s="62">
        <f>订货1!AP94</f>
        <v>0</v>
      </c>
      <c r="BF94" s="113"/>
      <c r="BG94" s="113"/>
      <c r="BH94" s="62">
        <f>订货1!AQ94</f>
        <v>0</v>
      </c>
      <c r="BI94" s="113"/>
      <c r="BJ94" s="113"/>
      <c r="BK94" s="62">
        <f>订货1!AR94</f>
        <v>0</v>
      </c>
      <c r="BL94" s="113"/>
      <c r="BM94" s="113"/>
      <c r="BN94" s="62">
        <f>订货1!AS94</f>
        <v>0</v>
      </c>
      <c r="BO94" s="113"/>
      <c r="BP94" s="113"/>
      <c r="BQ94" s="62">
        <f>订货1!AT94</f>
        <v>0</v>
      </c>
      <c r="BR94" s="113"/>
      <c r="BS94" s="113"/>
      <c r="BT94" s="62">
        <f>订货1!AU94</f>
        <v>0</v>
      </c>
      <c r="BU94" s="113"/>
      <c r="BV94" s="113"/>
      <c r="BW94" s="62">
        <f>订货1!AV94</f>
        <v>0</v>
      </c>
      <c r="BX94" s="113"/>
      <c r="BY94" s="113"/>
      <c r="BZ94" s="62">
        <f>订货1!AW94</f>
        <v>0</v>
      </c>
      <c r="CA94" s="113"/>
      <c r="CB94" s="113"/>
      <c r="CC94" s="62">
        <f>订货1!AX94</f>
        <v>0</v>
      </c>
      <c r="CD94" s="113"/>
      <c r="CE94" s="113"/>
      <c r="CF94" s="62">
        <f>订货1!AY94</f>
        <v>0</v>
      </c>
      <c r="CG94" s="113"/>
      <c r="CH94" s="113"/>
      <c r="CI94" s="62">
        <f>订货1!AZ94</f>
        <v>0</v>
      </c>
      <c r="CJ94" s="113"/>
      <c r="CK94" s="113"/>
      <c r="CL94" s="62">
        <f>订货1!BA94</f>
        <v>0</v>
      </c>
      <c r="CM94" s="113"/>
      <c r="CN94" s="113"/>
      <c r="CO94" s="62">
        <f>订货1!BB94</f>
        <v>0</v>
      </c>
      <c r="CP94" s="113"/>
      <c r="CQ94" s="113"/>
      <c r="CR94" s="62">
        <f>订货1!BC94</f>
        <v>0</v>
      </c>
      <c r="CS94" s="113"/>
      <c r="CT94" s="113"/>
      <c r="CU94" s="62">
        <f>订货1!BD94</f>
        <v>0</v>
      </c>
      <c r="CV94" s="113"/>
      <c r="CW94" s="113"/>
      <c r="CX94" s="62">
        <f>订货1!BE94</f>
        <v>0</v>
      </c>
      <c r="CY94" s="113"/>
      <c r="CZ94" s="113"/>
      <c r="DA94" s="62">
        <f>订货1!BF94</f>
        <v>0</v>
      </c>
      <c r="DB94" s="113"/>
      <c r="DC94" s="113"/>
      <c r="DD94" s="208">
        <v>0</v>
      </c>
      <c r="DE94" s="110" t="e">
        <f t="shared" si="34"/>
        <v>#DIV/0!</v>
      </c>
      <c r="DF94" s="52">
        <f t="shared" si="33"/>
        <v>82</v>
      </c>
      <c r="DG94" s="32" t="str">
        <f>订货1!$Q94</f>
        <v>袋</v>
      </c>
      <c r="DH94" s="209" t="e">
        <f t="shared" si="35"/>
        <v>#DIV/0!</v>
      </c>
    </row>
    <row r="95" spans="1:112" ht="15" customHeight="1">
      <c r="A95" s="48">
        <f>订货1!A95</f>
        <v>101332</v>
      </c>
      <c r="B95" s="44" t="str">
        <f>VLOOKUP($A95,订货1!$A95:$G337,7,0)</f>
        <v>上海蓬澜食品有限公司</v>
      </c>
      <c r="C95" s="44" t="str">
        <f>VLOOKUP($A95,订货1!$A95:$H337,8,0)</f>
        <v>湖南知味大师食品有限公司</v>
      </c>
      <c r="D95" s="44" t="str">
        <f>VLOOKUP($A95,订货1!$A95:$B337,2,0)</f>
        <v>早餐培根1</v>
      </c>
      <c r="E95" s="44" t="str">
        <f>VLOOKUP($A95,订货1!$A95:$E337,5,0)</f>
        <v>1kg*12pc</v>
      </c>
      <c r="F95" s="49" t="str">
        <f>VLOOKUP($A95,订货1!$A95:$F337,6,0)</f>
        <v>箱</v>
      </c>
      <c r="G95" s="203"/>
      <c r="H95" s="56">
        <f t="shared" si="36"/>
        <v>3</v>
      </c>
      <c r="I95" s="196"/>
      <c r="J95" s="113"/>
      <c r="K95" s="113"/>
      <c r="L95" s="196"/>
      <c r="M95" s="113"/>
      <c r="N95" s="113"/>
      <c r="O95" s="62">
        <f>订货1!AB95</f>
        <v>0</v>
      </c>
      <c r="P95" s="113"/>
      <c r="Q95" s="113"/>
      <c r="R95" s="62">
        <f>订货1!AC95</f>
        <v>0</v>
      </c>
      <c r="S95" s="113"/>
      <c r="T95" s="113"/>
      <c r="U95" s="62">
        <f>订货1!AD95</f>
        <v>0</v>
      </c>
      <c r="V95" s="113"/>
      <c r="W95" s="113"/>
      <c r="X95" s="62">
        <f>订货1!AE95</f>
        <v>0</v>
      </c>
      <c r="Y95" s="113"/>
      <c r="Z95" s="113"/>
      <c r="AA95" s="62">
        <f>订货1!AF95</f>
        <v>0</v>
      </c>
      <c r="AB95" s="113"/>
      <c r="AC95" s="113"/>
      <c r="AD95" s="62">
        <f>订货1!AG95</f>
        <v>1</v>
      </c>
      <c r="AE95" s="113"/>
      <c r="AF95" s="113"/>
      <c r="AG95" s="62">
        <f>订货1!AH95</f>
        <v>0</v>
      </c>
      <c r="AH95" s="113"/>
      <c r="AI95" s="113"/>
      <c r="AJ95" s="62">
        <f>订货1!AI95</f>
        <v>0</v>
      </c>
      <c r="AK95" s="113"/>
      <c r="AL95" s="113"/>
      <c r="AM95" s="62">
        <f>订货1!AJ95</f>
        <v>1</v>
      </c>
      <c r="AN95" s="113"/>
      <c r="AO95" s="113"/>
      <c r="AP95" s="62">
        <f>订货1!AK95</f>
        <v>0</v>
      </c>
      <c r="AQ95" s="113"/>
      <c r="AR95" s="113"/>
      <c r="AS95" s="62">
        <f>订货1!AL95</f>
        <v>0</v>
      </c>
      <c r="AT95" s="113"/>
      <c r="AU95" s="113"/>
      <c r="AV95" s="62">
        <f>订货1!AM95</f>
        <v>0</v>
      </c>
      <c r="AW95" s="113"/>
      <c r="AX95" s="113"/>
      <c r="AY95" s="62">
        <f>订货1!AN95</f>
        <v>1</v>
      </c>
      <c r="AZ95" s="113"/>
      <c r="BA95" s="113"/>
      <c r="BB95" s="62">
        <f>订货1!AO95</f>
        <v>0</v>
      </c>
      <c r="BC95" s="113"/>
      <c r="BD95" s="113"/>
      <c r="BE95" s="62">
        <f>订货1!AP95</f>
        <v>0</v>
      </c>
      <c r="BF95" s="113"/>
      <c r="BG95" s="113"/>
      <c r="BH95" s="62">
        <f>订货1!AQ95</f>
        <v>0</v>
      </c>
      <c r="BI95" s="113"/>
      <c r="BJ95" s="113"/>
      <c r="BK95" s="62">
        <f>订货1!AR95</f>
        <v>0</v>
      </c>
      <c r="BL95" s="113"/>
      <c r="BM95" s="113"/>
      <c r="BN95" s="62">
        <f>订货1!AS95</f>
        <v>0</v>
      </c>
      <c r="BO95" s="113"/>
      <c r="BP95" s="113"/>
      <c r="BQ95" s="62">
        <f>订货1!AT95</f>
        <v>0</v>
      </c>
      <c r="BR95" s="113"/>
      <c r="BS95" s="113"/>
      <c r="BT95" s="62">
        <f>订货1!AU95</f>
        <v>0</v>
      </c>
      <c r="BU95" s="113"/>
      <c r="BV95" s="113"/>
      <c r="BW95" s="62">
        <f>订货1!AV95</f>
        <v>0</v>
      </c>
      <c r="BX95" s="113"/>
      <c r="BY95" s="113"/>
      <c r="BZ95" s="62">
        <f>订货1!AW95</f>
        <v>0</v>
      </c>
      <c r="CA95" s="113"/>
      <c r="CB95" s="113"/>
      <c r="CC95" s="62">
        <f>订货1!AX95</f>
        <v>0</v>
      </c>
      <c r="CD95" s="113"/>
      <c r="CE95" s="113"/>
      <c r="CF95" s="62">
        <f>订货1!AY95</f>
        <v>0</v>
      </c>
      <c r="CG95" s="113"/>
      <c r="CH95" s="113"/>
      <c r="CI95" s="62">
        <f>订货1!AZ95</f>
        <v>0</v>
      </c>
      <c r="CJ95" s="113"/>
      <c r="CK95" s="113"/>
      <c r="CL95" s="62">
        <f>订货1!BA95</f>
        <v>0</v>
      </c>
      <c r="CM95" s="113"/>
      <c r="CN95" s="113"/>
      <c r="CO95" s="62">
        <f>订货1!BB95</f>
        <v>0</v>
      </c>
      <c r="CP95" s="113"/>
      <c r="CQ95" s="113"/>
      <c r="CR95" s="62">
        <f>订货1!BC95</f>
        <v>0</v>
      </c>
      <c r="CS95" s="113"/>
      <c r="CT95" s="113"/>
      <c r="CU95" s="62">
        <f>订货1!BD95</f>
        <v>0</v>
      </c>
      <c r="CV95" s="113"/>
      <c r="CW95" s="113"/>
      <c r="CX95" s="62">
        <f>订货1!BE95</f>
        <v>0</v>
      </c>
      <c r="CY95" s="113"/>
      <c r="CZ95" s="113"/>
      <c r="DA95" s="62">
        <f>订货1!BF95</f>
        <v>0</v>
      </c>
      <c r="DB95" s="113"/>
      <c r="DC95" s="113"/>
      <c r="DD95" s="208">
        <v>0</v>
      </c>
      <c r="DE95" s="110" t="e">
        <f t="shared" si="34"/>
        <v>#DIV/0!</v>
      </c>
      <c r="DF95" s="52">
        <f t="shared" si="33"/>
        <v>3</v>
      </c>
      <c r="DG95" s="32" t="str">
        <f>订货1!$Q95</f>
        <v>箱</v>
      </c>
      <c r="DH95" s="209" t="e">
        <f t="shared" si="35"/>
        <v>#DIV/0!</v>
      </c>
    </row>
    <row r="96" spans="1:112" ht="15" customHeight="1">
      <c r="A96" s="48">
        <f>订货1!A96</f>
        <v>101745</v>
      </c>
      <c r="B96" s="44" t="str">
        <f>VLOOKUP($A96,订货1!$A96:$G338,7,0)</f>
        <v>威海佳康食品有限公司</v>
      </c>
      <c r="C96" s="44" t="str">
        <f>VLOOKUP($A96,订货1!$A96:$H338,8,0)</f>
        <v>威海佳康食品有限公司</v>
      </c>
      <c r="D96" s="44" t="str">
        <f>VLOOKUP($A96,订货1!$A96:$B338,2,0)</f>
        <v>小可颂</v>
      </c>
      <c r="E96" s="44" t="str">
        <f>VLOOKUP($A96,订货1!$A96:$E338,5,0)</f>
        <v>20g*50pc</v>
      </c>
      <c r="F96" s="49" t="str">
        <f>VLOOKUP($A96,订货1!$A96:$F338,6,0)</f>
        <v>箱</v>
      </c>
      <c r="G96" s="203"/>
      <c r="H96" s="56">
        <f t="shared" si="36"/>
        <v>2</v>
      </c>
      <c r="I96" s="196"/>
      <c r="J96" s="113"/>
      <c r="K96" s="113"/>
      <c r="L96" s="196"/>
      <c r="M96" s="113"/>
      <c r="N96" s="113"/>
      <c r="O96" s="62">
        <f>订货1!AB96</f>
        <v>0</v>
      </c>
      <c r="P96" s="113"/>
      <c r="Q96" s="113"/>
      <c r="R96" s="62">
        <f>订货1!AC96</f>
        <v>1</v>
      </c>
      <c r="S96" s="113"/>
      <c r="T96" s="113"/>
      <c r="U96" s="62">
        <f>订货1!AD96</f>
        <v>0</v>
      </c>
      <c r="V96" s="113"/>
      <c r="W96" s="113"/>
      <c r="X96" s="62">
        <f>订货1!AE96</f>
        <v>0</v>
      </c>
      <c r="Y96" s="113"/>
      <c r="Z96" s="113"/>
      <c r="AA96" s="62">
        <f>订货1!AF96</f>
        <v>0</v>
      </c>
      <c r="AB96" s="113"/>
      <c r="AC96" s="113"/>
      <c r="AD96" s="62">
        <f>订货1!AG96</f>
        <v>0</v>
      </c>
      <c r="AE96" s="113"/>
      <c r="AF96" s="113"/>
      <c r="AG96" s="62">
        <f>订货1!AH96</f>
        <v>0</v>
      </c>
      <c r="AH96" s="113"/>
      <c r="AI96" s="113"/>
      <c r="AJ96" s="62">
        <f>订货1!AI96</f>
        <v>0</v>
      </c>
      <c r="AK96" s="113"/>
      <c r="AL96" s="113"/>
      <c r="AM96" s="62">
        <f>订货1!AJ96</f>
        <v>0</v>
      </c>
      <c r="AN96" s="113"/>
      <c r="AO96" s="113"/>
      <c r="AP96" s="62">
        <f>订货1!AK96</f>
        <v>0</v>
      </c>
      <c r="AQ96" s="113"/>
      <c r="AR96" s="113"/>
      <c r="AS96" s="62">
        <f>订货1!AL96</f>
        <v>0</v>
      </c>
      <c r="AT96" s="113"/>
      <c r="AU96" s="113"/>
      <c r="AV96" s="62">
        <f>订货1!AM96</f>
        <v>0</v>
      </c>
      <c r="AW96" s="113"/>
      <c r="AX96" s="113"/>
      <c r="AY96" s="62">
        <f>订货1!AN96</f>
        <v>1</v>
      </c>
      <c r="AZ96" s="113"/>
      <c r="BA96" s="113"/>
      <c r="BB96" s="62">
        <f>订货1!AO96</f>
        <v>0</v>
      </c>
      <c r="BC96" s="113"/>
      <c r="BD96" s="113"/>
      <c r="BE96" s="62">
        <f>订货1!AP96</f>
        <v>0</v>
      </c>
      <c r="BF96" s="113"/>
      <c r="BG96" s="113"/>
      <c r="BH96" s="62">
        <f>订货1!AQ96</f>
        <v>0</v>
      </c>
      <c r="BI96" s="113"/>
      <c r="BJ96" s="113"/>
      <c r="BK96" s="62">
        <f>订货1!AR96</f>
        <v>0</v>
      </c>
      <c r="BL96" s="113"/>
      <c r="BM96" s="113"/>
      <c r="BN96" s="62">
        <f>订货1!AS96</f>
        <v>0</v>
      </c>
      <c r="BO96" s="113"/>
      <c r="BP96" s="113"/>
      <c r="BQ96" s="62">
        <f>订货1!AT96</f>
        <v>0</v>
      </c>
      <c r="BR96" s="113"/>
      <c r="BS96" s="113"/>
      <c r="BT96" s="62">
        <f>订货1!AU96</f>
        <v>0</v>
      </c>
      <c r="BU96" s="113"/>
      <c r="BV96" s="113"/>
      <c r="BW96" s="62">
        <f>订货1!AV96</f>
        <v>0</v>
      </c>
      <c r="BX96" s="113"/>
      <c r="BY96" s="113"/>
      <c r="BZ96" s="62">
        <f>订货1!AW96</f>
        <v>0</v>
      </c>
      <c r="CA96" s="113"/>
      <c r="CB96" s="113"/>
      <c r="CC96" s="62">
        <f>订货1!AX96</f>
        <v>0</v>
      </c>
      <c r="CD96" s="113"/>
      <c r="CE96" s="113"/>
      <c r="CF96" s="62">
        <f>订货1!AY96</f>
        <v>0</v>
      </c>
      <c r="CG96" s="113"/>
      <c r="CH96" s="113"/>
      <c r="CI96" s="62">
        <f>订货1!AZ96</f>
        <v>0</v>
      </c>
      <c r="CJ96" s="113"/>
      <c r="CK96" s="113"/>
      <c r="CL96" s="62">
        <f>订货1!BA96</f>
        <v>0</v>
      </c>
      <c r="CM96" s="113"/>
      <c r="CN96" s="113"/>
      <c r="CO96" s="62">
        <f>订货1!BB96</f>
        <v>0</v>
      </c>
      <c r="CP96" s="113"/>
      <c r="CQ96" s="113"/>
      <c r="CR96" s="62">
        <f>订货1!BC96</f>
        <v>0</v>
      </c>
      <c r="CS96" s="113"/>
      <c r="CT96" s="113"/>
      <c r="CU96" s="62">
        <f>订货1!BD96</f>
        <v>0</v>
      </c>
      <c r="CV96" s="113"/>
      <c r="CW96" s="113"/>
      <c r="CX96" s="62">
        <f>订货1!BE96</f>
        <v>0</v>
      </c>
      <c r="CY96" s="113"/>
      <c r="CZ96" s="113"/>
      <c r="DA96" s="62">
        <f>订货1!BF96</f>
        <v>0</v>
      </c>
      <c r="DB96" s="113"/>
      <c r="DC96" s="113"/>
      <c r="DD96" s="208">
        <v>0</v>
      </c>
      <c r="DE96" s="110" t="e">
        <f t="shared" si="34"/>
        <v>#DIV/0!</v>
      </c>
      <c r="DF96" s="52">
        <f t="shared" si="33"/>
        <v>2</v>
      </c>
      <c r="DG96" s="32" t="str">
        <f>订货1!$Q96</f>
        <v>箱</v>
      </c>
      <c r="DH96" s="209" t="e">
        <f t="shared" si="35"/>
        <v>#DIV/0!</v>
      </c>
    </row>
    <row r="97" spans="1:112" ht="15" customHeight="1">
      <c r="A97" s="48">
        <f>订货1!A97</f>
        <v>101589</v>
      </c>
      <c r="B97" s="44" t="str">
        <f>VLOOKUP($A97,订货1!$A97:$G339,7,0)</f>
        <v>承武贸易（上海）有限公司</v>
      </c>
      <c r="C97" s="44" t="str">
        <f>VLOOKUP($A97,订货1!$A97:$H339,8,0)</f>
        <v>山东泰乐源农业科技有限公司</v>
      </c>
      <c r="D97" s="44" t="str">
        <f>VLOOKUP($A97,订货1!$A97:$B339,2,0)</f>
        <v>蓝莓（糖浆）</v>
      </c>
      <c r="E97" s="44" t="str">
        <f>VLOOKUP($A97,订货1!$A97:$E339,5,0)</f>
        <v>5kg*4pc</v>
      </c>
      <c r="F97" s="49" t="str">
        <f>VLOOKUP($A97,订货1!$A97:$F339,6,0)</f>
        <v>箱</v>
      </c>
      <c r="G97" s="203"/>
      <c r="H97" s="56">
        <f t="shared" si="36"/>
        <v>0</v>
      </c>
      <c r="I97" s="196"/>
      <c r="J97" s="113"/>
      <c r="K97" s="113"/>
      <c r="L97" s="196"/>
      <c r="M97" s="113"/>
      <c r="N97" s="113"/>
      <c r="O97" s="62">
        <f>订货1!AB97</f>
        <v>0</v>
      </c>
      <c r="P97" s="113"/>
      <c r="Q97" s="113"/>
      <c r="R97" s="62">
        <f>订货1!AC97</f>
        <v>0</v>
      </c>
      <c r="S97" s="113"/>
      <c r="T97" s="113"/>
      <c r="U97" s="62">
        <f>订货1!AD97</f>
        <v>0</v>
      </c>
      <c r="V97" s="113"/>
      <c r="W97" s="113"/>
      <c r="X97" s="62">
        <f>订货1!AE97</f>
        <v>0</v>
      </c>
      <c r="Y97" s="113"/>
      <c r="Z97" s="113"/>
      <c r="AA97" s="62">
        <f>订货1!AF97</f>
        <v>0</v>
      </c>
      <c r="AB97" s="113"/>
      <c r="AC97" s="113"/>
      <c r="AD97" s="62">
        <f>订货1!AG97</f>
        <v>0</v>
      </c>
      <c r="AE97" s="113"/>
      <c r="AF97" s="113"/>
      <c r="AG97" s="62">
        <f>订货1!AH97</f>
        <v>0</v>
      </c>
      <c r="AH97" s="113"/>
      <c r="AI97" s="113"/>
      <c r="AJ97" s="62">
        <f>订货1!AI97</f>
        <v>0</v>
      </c>
      <c r="AK97" s="113"/>
      <c r="AL97" s="113"/>
      <c r="AM97" s="62">
        <f>订货1!AJ97</f>
        <v>0</v>
      </c>
      <c r="AN97" s="113"/>
      <c r="AO97" s="113"/>
      <c r="AP97" s="62">
        <f>订货1!AK97</f>
        <v>0</v>
      </c>
      <c r="AQ97" s="113"/>
      <c r="AR97" s="113"/>
      <c r="AS97" s="62">
        <f>订货1!AL97</f>
        <v>0</v>
      </c>
      <c r="AT97" s="113"/>
      <c r="AU97" s="113"/>
      <c r="AV97" s="62">
        <f>订货1!AM97</f>
        <v>0</v>
      </c>
      <c r="AW97" s="113"/>
      <c r="AX97" s="113"/>
      <c r="AY97" s="62">
        <f>订货1!AN97</f>
        <v>0</v>
      </c>
      <c r="AZ97" s="113"/>
      <c r="BA97" s="113"/>
      <c r="BB97" s="62">
        <f>订货1!AO97</f>
        <v>0</v>
      </c>
      <c r="BC97" s="113"/>
      <c r="BD97" s="113"/>
      <c r="BE97" s="62">
        <f>订货1!AP97</f>
        <v>0</v>
      </c>
      <c r="BF97" s="113"/>
      <c r="BG97" s="113"/>
      <c r="BH97" s="62">
        <f>订货1!AQ97</f>
        <v>0</v>
      </c>
      <c r="BI97" s="113"/>
      <c r="BJ97" s="113"/>
      <c r="BK97" s="62">
        <f>订货1!AR97</f>
        <v>0</v>
      </c>
      <c r="BL97" s="113"/>
      <c r="BM97" s="113"/>
      <c r="BN97" s="62">
        <f>订货1!AS97</f>
        <v>0</v>
      </c>
      <c r="BO97" s="113"/>
      <c r="BP97" s="113"/>
      <c r="BQ97" s="62">
        <f>订货1!AT97</f>
        <v>0</v>
      </c>
      <c r="BR97" s="113"/>
      <c r="BS97" s="113"/>
      <c r="BT97" s="62">
        <f>订货1!AU97</f>
        <v>0</v>
      </c>
      <c r="BU97" s="113"/>
      <c r="BV97" s="113"/>
      <c r="BW97" s="62">
        <f>订货1!AV97</f>
        <v>0</v>
      </c>
      <c r="BX97" s="113"/>
      <c r="BY97" s="113"/>
      <c r="BZ97" s="62">
        <f>订货1!AW97</f>
        <v>0</v>
      </c>
      <c r="CA97" s="113"/>
      <c r="CB97" s="113"/>
      <c r="CC97" s="62">
        <f>订货1!AX97</f>
        <v>0</v>
      </c>
      <c r="CD97" s="113"/>
      <c r="CE97" s="113"/>
      <c r="CF97" s="62">
        <f>订货1!AY97</f>
        <v>0</v>
      </c>
      <c r="CG97" s="113"/>
      <c r="CH97" s="113"/>
      <c r="CI97" s="62">
        <f>订货1!AZ97</f>
        <v>0</v>
      </c>
      <c r="CJ97" s="113"/>
      <c r="CK97" s="113"/>
      <c r="CL97" s="62">
        <f>订货1!BA97</f>
        <v>0</v>
      </c>
      <c r="CM97" s="113"/>
      <c r="CN97" s="113"/>
      <c r="CO97" s="62">
        <f>订货1!BB97</f>
        <v>0</v>
      </c>
      <c r="CP97" s="113"/>
      <c r="CQ97" s="113"/>
      <c r="CR97" s="62">
        <f>订货1!BC97</f>
        <v>0</v>
      </c>
      <c r="CS97" s="113"/>
      <c r="CT97" s="113"/>
      <c r="CU97" s="62">
        <f>订货1!BD97</f>
        <v>0</v>
      </c>
      <c r="CV97" s="113"/>
      <c r="CW97" s="113"/>
      <c r="CX97" s="62">
        <f>订货1!BE97</f>
        <v>0</v>
      </c>
      <c r="CY97" s="113"/>
      <c r="CZ97" s="113"/>
      <c r="DA97" s="62">
        <f>订货1!BF97</f>
        <v>0</v>
      </c>
      <c r="DB97" s="113"/>
      <c r="DC97" s="113"/>
      <c r="DD97" s="208">
        <v>0</v>
      </c>
      <c r="DE97" s="110" t="e">
        <f t="shared" si="34"/>
        <v>#DIV/0!</v>
      </c>
      <c r="DF97" s="52">
        <f t="shared" si="33"/>
        <v>0</v>
      </c>
      <c r="DG97" s="32" t="str">
        <f>订货1!$Q97</f>
        <v>箱</v>
      </c>
      <c r="DH97" s="209" t="e">
        <f t="shared" si="35"/>
        <v>#DIV/0!</v>
      </c>
    </row>
    <row r="98" spans="1:112" ht="15" customHeight="1">
      <c r="A98" s="48">
        <f>订货1!A98</f>
        <v>710001</v>
      </c>
      <c r="B98" s="44" t="str">
        <f>VLOOKUP($A98,订货1!$A98:$G340,7,0)</f>
        <v>浙江太古可口可乐饮料有限公司</v>
      </c>
      <c r="C98" s="44" t="str">
        <f>VLOOKUP($A98,订货1!$A98:$H340,8,0)</f>
        <v>浙江太古可口可乐饮料有限公司</v>
      </c>
      <c r="D98" s="44" t="str">
        <f>VLOOKUP($A98,订货1!$A98:$B340,2,0)</f>
        <v>可口可乐糖浆</v>
      </c>
      <c r="E98" s="44" t="str">
        <f>VLOOKUP($A98,订货1!$A98:$E340,5,0)</f>
        <v>20L</v>
      </c>
      <c r="F98" s="49" t="str">
        <f>VLOOKUP($A98,订货1!$A98:$F340,6,0)</f>
        <v>箱</v>
      </c>
      <c r="G98" s="203"/>
      <c r="H98" s="56">
        <f t="shared" si="36"/>
        <v>0</v>
      </c>
      <c r="I98" s="196"/>
      <c r="J98" s="113"/>
      <c r="K98" s="113"/>
      <c r="L98" s="196"/>
      <c r="M98" s="113"/>
      <c r="N98" s="113"/>
      <c r="O98" s="62">
        <f>订货1!AB98</f>
        <v>0</v>
      </c>
      <c r="P98" s="113"/>
      <c r="Q98" s="113"/>
      <c r="R98" s="62">
        <f>订货1!AC98</f>
        <v>0</v>
      </c>
      <c r="S98" s="113"/>
      <c r="T98" s="113"/>
      <c r="U98" s="62">
        <f>订货1!AD98</f>
        <v>0</v>
      </c>
      <c r="V98" s="113"/>
      <c r="W98" s="113"/>
      <c r="X98" s="62">
        <f>订货1!AE98</f>
        <v>0</v>
      </c>
      <c r="Y98" s="113"/>
      <c r="Z98" s="113"/>
      <c r="AA98" s="62">
        <f>订货1!AF98</f>
        <v>0</v>
      </c>
      <c r="AB98" s="113"/>
      <c r="AC98" s="113"/>
      <c r="AD98" s="62">
        <f>订货1!AG98</f>
        <v>0</v>
      </c>
      <c r="AE98" s="113"/>
      <c r="AF98" s="113"/>
      <c r="AG98" s="62">
        <f>订货1!AH98</f>
        <v>0</v>
      </c>
      <c r="AH98" s="113"/>
      <c r="AI98" s="113"/>
      <c r="AJ98" s="62">
        <f>订货1!AI98</f>
        <v>0</v>
      </c>
      <c r="AK98" s="113"/>
      <c r="AL98" s="113"/>
      <c r="AM98" s="62">
        <f>订货1!AJ98</f>
        <v>0</v>
      </c>
      <c r="AN98" s="113"/>
      <c r="AO98" s="113"/>
      <c r="AP98" s="62">
        <f>订货1!AK98</f>
        <v>0</v>
      </c>
      <c r="AQ98" s="113"/>
      <c r="AR98" s="113"/>
      <c r="AS98" s="62">
        <f>订货1!AL98</f>
        <v>0</v>
      </c>
      <c r="AT98" s="113"/>
      <c r="AU98" s="113"/>
      <c r="AV98" s="62">
        <f>订货1!AM98</f>
        <v>0</v>
      </c>
      <c r="AW98" s="113"/>
      <c r="AX98" s="113"/>
      <c r="AY98" s="62">
        <f>订货1!AN98</f>
        <v>0</v>
      </c>
      <c r="AZ98" s="113"/>
      <c r="BA98" s="113"/>
      <c r="BB98" s="62">
        <f>订货1!AO98</f>
        <v>0</v>
      </c>
      <c r="BC98" s="113"/>
      <c r="BD98" s="113"/>
      <c r="BE98" s="62">
        <f>订货1!AP98</f>
        <v>0</v>
      </c>
      <c r="BF98" s="113"/>
      <c r="BG98" s="113"/>
      <c r="BH98" s="62">
        <f>订货1!AQ98</f>
        <v>0</v>
      </c>
      <c r="BI98" s="113"/>
      <c r="BJ98" s="113"/>
      <c r="BK98" s="62">
        <f>订货1!AR98</f>
        <v>0</v>
      </c>
      <c r="BL98" s="113"/>
      <c r="BM98" s="113"/>
      <c r="BN98" s="62">
        <f>订货1!AS98</f>
        <v>0</v>
      </c>
      <c r="BO98" s="113"/>
      <c r="BP98" s="113"/>
      <c r="BQ98" s="62">
        <f>订货1!AT98</f>
        <v>0</v>
      </c>
      <c r="BR98" s="113"/>
      <c r="BS98" s="113"/>
      <c r="BT98" s="62">
        <f>订货1!AU98</f>
        <v>0</v>
      </c>
      <c r="BU98" s="113"/>
      <c r="BV98" s="113"/>
      <c r="BW98" s="62">
        <f>订货1!AV98</f>
        <v>0</v>
      </c>
      <c r="BX98" s="113"/>
      <c r="BY98" s="113"/>
      <c r="BZ98" s="62">
        <f>订货1!AW98</f>
        <v>0</v>
      </c>
      <c r="CA98" s="113"/>
      <c r="CB98" s="113"/>
      <c r="CC98" s="62">
        <f>订货1!AX98</f>
        <v>0</v>
      </c>
      <c r="CD98" s="113"/>
      <c r="CE98" s="113"/>
      <c r="CF98" s="62">
        <f>订货1!AY98</f>
        <v>0</v>
      </c>
      <c r="CG98" s="113"/>
      <c r="CH98" s="113"/>
      <c r="CI98" s="62">
        <f>订货1!AZ98</f>
        <v>0</v>
      </c>
      <c r="CJ98" s="113"/>
      <c r="CK98" s="113"/>
      <c r="CL98" s="62">
        <f>订货1!BA98</f>
        <v>0</v>
      </c>
      <c r="CM98" s="113"/>
      <c r="CN98" s="113"/>
      <c r="CO98" s="62">
        <f>订货1!BB98</f>
        <v>0</v>
      </c>
      <c r="CP98" s="113"/>
      <c r="CQ98" s="113"/>
      <c r="CR98" s="62">
        <f>订货1!BC98</f>
        <v>0</v>
      </c>
      <c r="CS98" s="113"/>
      <c r="CT98" s="113"/>
      <c r="CU98" s="62">
        <f>订货1!BD98</f>
        <v>0</v>
      </c>
      <c r="CV98" s="113"/>
      <c r="CW98" s="113"/>
      <c r="CX98" s="62">
        <f>订货1!BE98</f>
        <v>0</v>
      </c>
      <c r="CY98" s="113"/>
      <c r="CZ98" s="113"/>
      <c r="DA98" s="62">
        <f>订货1!BF98</f>
        <v>0</v>
      </c>
      <c r="DB98" s="113"/>
      <c r="DC98" s="113"/>
      <c r="DD98" s="208">
        <v>0</v>
      </c>
      <c r="DE98" s="110" t="e">
        <f t="shared" si="34"/>
        <v>#DIV/0!</v>
      </c>
      <c r="DF98" s="52">
        <f t="shared" si="33"/>
        <v>0</v>
      </c>
      <c r="DG98" s="32" t="str">
        <f>订货1!$Q98</f>
        <v>箱</v>
      </c>
      <c r="DH98" s="209" t="e">
        <f t="shared" si="35"/>
        <v>#DIV/0!</v>
      </c>
    </row>
    <row r="99" spans="1:112" ht="15" customHeight="1">
      <c r="A99" s="48">
        <f>订货1!A99</f>
        <v>710002</v>
      </c>
      <c r="B99" s="44" t="str">
        <f>VLOOKUP($A99,订货1!$A99:$G341,7,0)</f>
        <v>浙江太古可口可乐饮料有限公司</v>
      </c>
      <c r="C99" s="44" t="str">
        <f>VLOOKUP($A99,订货1!$A99:$H341,8,0)</f>
        <v>浙江太古可口可乐饮料有限公司</v>
      </c>
      <c r="D99" s="44" t="str">
        <f>VLOOKUP($A99,订货1!$A99:$B341,2,0)</f>
        <v>雪碧糖浆</v>
      </c>
      <c r="E99" s="44" t="str">
        <f>VLOOKUP($A99,订货1!$A99:$E341,5,0)</f>
        <v>10L</v>
      </c>
      <c r="F99" s="49" t="str">
        <f>VLOOKUP($A99,订货1!$A99:$F341,6,0)</f>
        <v>箱</v>
      </c>
      <c r="G99" s="203"/>
      <c r="H99" s="56">
        <f t="shared" si="36"/>
        <v>0</v>
      </c>
      <c r="I99" s="196"/>
      <c r="J99" s="113"/>
      <c r="K99" s="113"/>
      <c r="L99" s="196"/>
      <c r="M99" s="113"/>
      <c r="N99" s="113"/>
      <c r="O99" s="62">
        <f>订货1!AB99</f>
        <v>0</v>
      </c>
      <c r="P99" s="113"/>
      <c r="Q99" s="113"/>
      <c r="R99" s="62">
        <f>订货1!AC99</f>
        <v>0</v>
      </c>
      <c r="S99" s="113"/>
      <c r="T99" s="113"/>
      <c r="U99" s="62">
        <f>订货1!AD99</f>
        <v>0</v>
      </c>
      <c r="V99" s="113"/>
      <c r="W99" s="113"/>
      <c r="X99" s="62">
        <f>订货1!AE99</f>
        <v>0</v>
      </c>
      <c r="Y99" s="113"/>
      <c r="Z99" s="113"/>
      <c r="AA99" s="62">
        <f>订货1!AF99</f>
        <v>0</v>
      </c>
      <c r="AB99" s="113"/>
      <c r="AC99" s="113"/>
      <c r="AD99" s="62">
        <f>订货1!AG99</f>
        <v>0</v>
      </c>
      <c r="AE99" s="113"/>
      <c r="AF99" s="113"/>
      <c r="AG99" s="62">
        <f>订货1!AH99</f>
        <v>0</v>
      </c>
      <c r="AH99" s="113"/>
      <c r="AI99" s="113"/>
      <c r="AJ99" s="62">
        <f>订货1!AI99</f>
        <v>0</v>
      </c>
      <c r="AK99" s="113"/>
      <c r="AL99" s="113"/>
      <c r="AM99" s="62">
        <f>订货1!AJ99</f>
        <v>0</v>
      </c>
      <c r="AN99" s="113"/>
      <c r="AO99" s="113"/>
      <c r="AP99" s="62">
        <f>订货1!AK99</f>
        <v>0</v>
      </c>
      <c r="AQ99" s="113"/>
      <c r="AR99" s="113"/>
      <c r="AS99" s="62">
        <f>订货1!AL99</f>
        <v>0</v>
      </c>
      <c r="AT99" s="113"/>
      <c r="AU99" s="113"/>
      <c r="AV99" s="62">
        <f>订货1!AM99</f>
        <v>0</v>
      </c>
      <c r="AW99" s="113"/>
      <c r="AX99" s="113"/>
      <c r="AY99" s="62">
        <f>订货1!AN99</f>
        <v>0</v>
      </c>
      <c r="AZ99" s="113"/>
      <c r="BA99" s="113"/>
      <c r="BB99" s="62">
        <f>订货1!AO99</f>
        <v>0</v>
      </c>
      <c r="BC99" s="113"/>
      <c r="BD99" s="113"/>
      <c r="BE99" s="62">
        <f>订货1!AP99</f>
        <v>0</v>
      </c>
      <c r="BF99" s="113"/>
      <c r="BG99" s="113"/>
      <c r="BH99" s="62">
        <f>订货1!AQ99</f>
        <v>0</v>
      </c>
      <c r="BI99" s="113"/>
      <c r="BJ99" s="113"/>
      <c r="BK99" s="62">
        <f>订货1!AR99</f>
        <v>0</v>
      </c>
      <c r="BL99" s="113"/>
      <c r="BM99" s="113"/>
      <c r="BN99" s="62">
        <f>订货1!AS99</f>
        <v>0</v>
      </c>
      <c r="BO99" s="113"/>
      <c r="BP99" s="113"/>
      <c r="BQ99" s="62">
        <f>订货1!AT99</f>
        <v>0</v>
      </c>
      <c r="BR99" s="113"/>
      <c r="BS99" s="113"/>
      <c r="BT99" s="62">
        <f>订货1!AU99</f>
        <v>0</v>
      </c>
      <c r="BU99" s="113"/>
      <c r="BV99" s="113"/>
      <c r="BW99" s="62">
        <f>订货1!AV99</f>
        <v>0</v>
      </c>
      <c r="BX99" s="113"/>
      <c r="BY99" s="113"/>
      <c r="BZ99" s="62">
        <f>订货1!AW99</f>
        <v>0</v>
      </c>
      <c r="CA99" s="113"/>
      <c r="CB99" s="113"/>
      <c r="CC99" s="62">
        <f>订货1!AX99</f>
        <v>0</v>
      </c>
      <c r="CD99" s="113"/>
      <c r="CE99" s="113"/>
      <c r="CF99" s="62">
        <f>订货1!AY99</f>
        <v>0</v>
      </c>
      <c r="CG99" s="113"/>
      <c r="CH99" s="113"/>
      <c r="CI99" s="62">
        <f>订货1!AZ99</f>
        <v>0</v>
      </c>
      <c r="CJ99" s="113"/>
      <c r="CK99" s="113"/>
      <c r="CL99" s="62">
        <f>订货1!BA99</f>
        <v>0</v>
      </c>
      <c r="CM99" s="113"/>
      <c r="CN99" s="113"/>
      <c r="CO99" s="62">
        <f>订货1!BB99</f>
        <v>0</v>
      </c>
      <c r="CP99" s="113"/>
      <c r="CQ99" s="113"/>
      <c r="CR99" s="62">
        <f>订货1!BC99</f>
        <v>0</v>
      </c>
      <c r="CS99" s="113"/>
      <c r="CT99" s="113"/>
      <c r="CU99" s="62">
        <f>订货1!BD99</f>
        <v>0</v>
      </c>
      <c r="CV99" s="113"/>
      <c r="CW99" s="113"/>
      <c r="CX99" s="62">
        <f>订货1!BE99</f>
        <v>0</v>
      </c>
      <c r="CY99" s="113"/>
      <c r="CZ99" s="113"/>
      <c r="DA99" s="62">
        <f>订货1!BF99</f>
        <v>0</v>
      </c>
      <c r="DB99" s="113"/>
      <c r="DC99" s="113"/>
      <c r="DD99" s="208">
        <v>0</v>
      </c>
      <c r="DE99" s="110" t="e">
        <f t="shared" si="34"/>
        <v>#DIV/0!</v>
      </c>
      <c r="DF99" s="52">
        <f t="shared" si="33"/>
        <v>0</v>
      </c>
      <c r="DG99" s="32" t="str">
        <f>订货1!$Q99</f>
        <v>箱</v>
      </c>
      <c r="DH99" s="209" t="e">
        <f t="shared" si="35"/>
        <v>#DIV/0!</v>
      </c>
    </row>
    <row r="100" spans="1:112" ht="15" customHeight="1">
      <c r="A100" s="48">
        <f>订货1!A100</f>
        <v>101771</v>
      </c>
      <c r="B100" s="44" t="str">
        <f>VLOOKUP($A100,订货1!$A100:$G342,7,0)</f>
        <v>广州萨莉亚食品有限公司</v>
      </c>
      <c r="C100" s="44" t="str">
        <f>VLOOKUP($A100,订货1!$A100:$H342,8,0)</f>
        <v>广州萨莉亚食品有限公司</v>
      </c>
      <c r="D100" s="44" t="str">
        <f>VLOOKUP($A100,订货1!$A100:$B342,2,0)</f>
        <v>罗勒松子调味酱</v>
      </c>
      <c r="E100" s="44" t="str">
        <f>VLOOKUP($A100,订货1!$A100:$E342,5,0)</f>
        <v>500g*20pc</v>
      </c>
      <c r="F100" s="49" t="str">
        <f>VLOOKUP($A100,订货1!$A100:$F342,6,0)</f>
        <v>箱</v>
      </c>
      <c r="G100" s="203"/>
      <c r="H100" s="56">
        <f t="shared" si="36"/>
        <v>0</v>
      </c>
      <c r="I100" s="196"/>
      <c r="J100" s="113"/>
      <c r="K100" s="113"/>
      <c r="L100" s="196"/>
      <c r="M100" s="113"/>
      <c r="N100" s="113"/>
      <c r="O100" s="62">
        <f>订货1!AB100</f>
        <v>0</v>
      </c>
      <c r="P100" s="113"/>
      <c r="Q100" s="113"/>
      <c r="R100" s="62">
        <f>订货1!AC100</f>
        <v>0</v>
      </c>
      <c r="S100" s="113"/>
      <c r="T100" s="113"/>
      <c r="U100" s="62">
        <f>订货1!AD100</f>
        <v>0</v>
      </c>
      <c r="V100" s="113"/>
      <c r="W100" s="113"/>
      <c r="X100" s="62">
        <f>订货1!AE100</f>
        <v>0</v>
      </c>
      <c r="Y100" s="113"/>
      <c r="Z100" s="113"/>
      <c r="AA100" s="62">
        <f>订货1!AF100</f>
        <v>0</v>
      </c>
      <c r="AB100" s="113"/>
      <c r="AC100" s="113"/>
      <c r="AD100" s="62">
        <f>订货1!AG100</f>
        <v>0</v>
      </c>
      <c r="AE100" s="113"/>
      <c r="AF100" s="113"/>
      <c r="AG100" s="62">
        <f>订货1!AH100</f>
        <v>0</v>
      </c>
      <c r="AH100" s="113"/>
      <c r="AI100" s="113"/>
      <c r="AJ100" s="62">
        <f>订货1!AI100</f>
        <v>0</v>
      </c>
      <c r="AK100" s="113"/>
      <c r="AL100" s="113"/>
      <c r="AM100" s="62">
        <f>订货1!AJ100</f>
        <v>0</v>
      </c>
      <c r="AN100" s="113"/>
      <c r="AO100" s="113"/>
      <c r="AP100" s="62">
        <f>订货1!AK100</f>
        <v>0</v>
      </c>
      <c r="AQ100" s="113"/>
      <c r="AR100" s="113"/>
      <c r="AS100" s="62">
        <f>订货1!AL100</f>
        <v>0</v>
      </c>
      <c r="AT100" s="113"/>
      <c r="AU100" s="113"/>
      <c r="AV100" s="62">
        <f>订货1!AM100</f>
        <v>0</v>
      </c>
      <c r="AW100" s="113"/>
      <c r="AX100" s="113"/>
      <c r="AY100" s="62">
        <f>订货1!AN100</f>
        <v>0</v>
      </c>
      <c r="AZ100" s="113"/>
      <c r="BA100" s="113"/>
      <c r="BB100" s="62">
        <f>订货1!AO100</f>
        <v>0</v>
      </c>
      <c r="BC100" s="113"/>
      <c r="BD100" s="113"/>
      <c r="BE100" s="62">
        <f>订货1!AP100</f>
        <v>0</v>
      </c>
      <c r="BF100" s="113"/>
      <c r="BG100" s="113"/>
      <c r="BH100" s="62">
        <f>订货1!AQ100</f>
        <v>0</v>
      </c>
      <c r="BI100" s="113"/>
      <c r="BJ100" s="113"/>
      <c r="BK100" s="62">
        <f>订货1!AR100</f>
        <v>0</v>
      </c>
      <c r="BL100" s="113"/>
      <c r="BM100" s="113"/>
      <c r="BN100" s="62">
        <f>订货1!AS100</f>
        <v>0</v>
      </c>
      <c r="BO100" s="113"/>
      <c r="BP100" s="113"/>
      <c r="BQ100" s="62">
        <f>订货1!AT100</f>
        <v>0</v>
      </c>
      <c r="BR100" s="113"/>
      <c r="BS100" s="113"/>
      <c r="BT100" s="62">
        <f>订货1!AU100</f>
        <v>0</v>
      </c>
      <c r="BU100" s="113"/>
      <c r="BV100" s="113"/>
      <c r="BW100" s="62">
        <f>订货1!AV100</f>
        <v>0</v>
      </c>
      <c r="BX100" s="113"/>
      <c r="BY100" s="113"/>
      <c r="BZ100" s="62">
        <f>订货1!AW100</f>
        <v>0</v>
      </c>
      <c r="CA100" s="113"/>
      <c r="CB100" s="113"/>
      <c r="CC100" s="62">
        <f>订货1!AX100</f>
        <v>0</v>
      </c>
      <c r="CD100" s="113"/>
      <c r="CE100" s="113"/>
      <c r="CF100" s="62">
        <f>订货1!AY100</f>
        <v>0</v>
      </c>
      <c r="CG100" s="113"/>
      <c r="CH100" s="113"/>
      <c r="CI100" s="62">
        <f>订货1!AZ100</f>
        <v>0</v>
      </c>
      <c r="CJ100" s="113"/>
      <c r="CK100" s="113"/>
      <c r="CL100" s="62">
        <f>订货1!BA100</f>
        <v>0</v>
      </c>
      <c r="CM100" s="113"/>
      <c r="CN100" s="113"/>
      <c r="CO100" s="62">
        <f>订货1!BB100</f>
        <v>0</v>
      </c>
      <c r="CP100" s="113"/>
      <c r="CQ100" s="113"/>
      <c r="CR100" s="62">
        <f>订货1!BC100</f>
        <v>0</v>
      </c>
      <c r="CS100" s="113"/>
      <c r="CT100" s="113"/>
      <c r="CU100" s="62">
        <f>订货1!BD100</f>
        <v>0</v>
      </c>
      <c r="CV100" s="113"/>
      <c r="CW100" s="113"/>
      <c r="CX100" s="62">
        <f>订货1!BE100</f>
        <v>0</v>
      </c>
      <c r="CY100" s="113"/>
      <c r="CZ100" s="113"/>
      <c r="DA100" s="62">
        <f>订货1!BF100</f>
        <v>0</v>
      </c>
      <c r="DB100" s="113"/>
      <c r="DC100" s="113"/>
      <c r="DD100" s="208">
        <v>0</v>
      </c>
      <c r="DE100" s="110" t="e">
        <f t="shared" si="34"/>
        <v>#DIV/0!</v>
      </c>
      <c r="DF100" s="52">
        <f t="shared" si="33"/>
        <v>0</v>
      </c>
      <c r="DG100" s="32" t="str">
        <f>订货1!$Q100</f>
        <v>箱</v>
      </c>
      <c r="DH100" s="209" t="e">
        <f t="shared" si="35"/>
        <v>#DIV/0!</v>
      </c>
    </row>
    <row r="101" spans="1:112" ht="15" customHeight="1">
      <c r="A101" s="48">
        <f>订货1!A101</f>
        <v>710003</v>
      </c>
      <c r="B101" s="44" t="str">
        <f>VLOOKUP($A101,订货1!$A101:$G343,7,0)</f>
        <v>浙江太古可口可乐饮料有限公司</v>
      </c>
      <c r="C101" s="44" t="str">
        <f>VLOOKUP($A101,订货1!$A101:$H343,8,0)</f>
        <v>浙江太古可口可乐饮料有限公司</v>
      </c>
      <c r="D101" s="44" t="str">
        <f>VLOOKUP($A101,订货1!$A101:$B343,2,0)</f>
        <v>芬达橙汁糖浆</v>
      </c>
      <c r="E101" s="44" t="str">
        <f>VLOOKUP($A101,订货1!$A101:$E343,5,0)</f>
        <v>10L</v>
      </c>
      <c r="F101" s="49" t="str">
        <f>VLOOKUP($A101,订货1!$A101:$F343,6,0)</f>
        <v>箱</v>
      </c>
      <c r="G101" s="203"/>
      <c r="H101" s="56">
        <f t="shared" si="36"/>
        <v>0</v>
      </c>
      <c r="I101" s="196"/>
      <c r="J101" s="113"/>
      <c r="K101" s="113"/>
      <c r="L101" s="196"/>
      <c r="M101" s="113"/>
      <c r="N101" s="113"/>
      <c r="O101" s="62">
        <f>订货1!AB101</f>
        <v>0</v>
      </c>
      <c r="P101" s="113"/>
      <c r="Q101" s="113"/>
      <c r="R101" s="62">
        <f>订货1!AC101</f>
        <v>0</v>
      </c>
      <c r="S101" s="113"/>
      <c r="T101" s="113"/>
      <c r="U101" s="62">
        <f>订货1!AD101</f>
        <v>0</v>
      </c>
      <c r="V101" s="113"/>
      <c r="W101" s="113"/>
      <c r="X101" s="62">
        <f>订货1!AE101</f>
        <v>0</v>
      </c>
      <c r="Y101" s="113"/>
      <c r="Z101" s="113"/>
      <c r="AA101" s="62">
        <f>订货1!AF101</f>
        <v>0</v>
      </c>
      <c r="AB101" s="113"/>
      <c r="AC101" s="113"/>
      <c r="AD101" s="62">
        <f>订货1!AG101</f>
        <v>0</v>
      </c>
      <c r="AE101" s="113"/>
      <c r="AF101" s="113"/>
      <c r="AG101" s="62">
        <f>订货1!AH101</f>
        <v>0</v>
      </c>
      <c r="AH101" s="113"/>
      <c r="AI101" s="113"/>
      <c r="AJ101" s="62">
        <f>订货1!AI101</f>
        <v>0</v>
      </c>
      <c r="AK101" s="113"/>
      <c r="AL101" s="113"/>
      <c r="AM101" s="62">
        <f>订货1!AJ101</f>
        <v>0</v>
      </c>
      <c r="AN101" s="113"/>
      <c r="AO101" s="113"/>
      <c r="AP101" s="62">
        <f>订货1!AK101</f>
        <v>0</v>
      </c>
      <c r="AQ101" s="113"/>
      <c r="AR101" s="113"/>
      <c r="AS101" s="62">
        <f>订货1!AL101</f>
        <v>0</v>
      </c>
      <c r="AT101" s="113"/>
      <c r="AU101" s="113"/>
      <c r="AV101" s="62">
        <f>订货1!AM101</f>
        <v>0</v>
      </c>
      <c r="AW101" s="113"/>
      <c r="AX101" s="113"/>
      <c r="AY101" s="62">
        <f>订货1!AN101</f>
        <v>0</v>
      </c>
      <c r="AZ101" s="113"/>
      <c r="BA101" s="113"/>
      <c r="BB101" s="62">
        <f>订货1!AO101</f>
        <v>0</v>
      </c>
      <c r="BC101" s="113"/>
      <c r="BD101" s="113"/>
      <c r="BE101" s="62">
        <f>订货1!AP101</f>
        <v>0</v>
      </c>
      <c r="BF101" s="113"/>
      <c r="BG101" s="113"/>
      <c r="BH101" s="62">
        <f>订货1!AQ101</f>
        <v>0</v>
      </c>
      <c r="BI101" s="113"/>
      <c r="BJ101" s="113"/>
      <c r="BK101" s="62">
        <f>订货1!AR101</f>
        <v>0</v>
      </c>
      <c r="BL101" s="113"/>
      <c r="BM101" s="113"/>
      <c r="BN101" s="62">
        <f>订货1!AS101</f>
        <v>0</v>
      </c>
      <c r="BO101" s="113"/>
      <c r="BP101" s="113"/>
      <c r="BQ101" s="62">
        <f>订货1!AT101</f>
        <v>0</v>
      </c>
      <c r="BR101" s="113"/>
      <c r="BS101" s="113"/>
      <c r="BT101" s="62">
        <f>订货1!AU101</f>
        <v>0</v>
      </c>
      <c r="BU101" s="113"/>
      <c r="BV101" s="113"/>
      <c r="BW101" s="62">
        <f>订货1!AV101</f>
        <v>0</v>
      </c>
      <c r="BX101" s="113"/>
      <c r="BY101" s="113"/>
      <c r="BZ101" s="62">
        <f>订货1!AW101</f>
        <v>0</v>
      </c>
      <c r="CA101" s="113"/>
      <c r="CB101" s="113"/>
      <c r="CC101" s="62">
        <f>订货1!AX101</f>
        <v>0</v>
      </c>
      <c r="CD101" s="113"/>
      <c r="CE101" s="113"/>
      <c r="CF101" s="62">
        <f>订货1!AY101</f>
        <v>0</v>
      </c>
      <c r="CG101" s="113"/>
      <c r="CH101" s="113"/>
      <c r="CI101" s="62">
        <f>订货1!AZ101</f>
        <v>0</v>
      </c>
      <c r="CJ101" s="113"/>
      <c r="CK101" s="113"/>
      <c r="CL101" s="62">
        <f>订货1!BA101</f>
        <v>0</v>
      </c>
      <c r="CM101" s="113"/>
      <c r="CN101" s="113"/>
      <c r="CO101" s="62">
        <f>订货1!BB101</f>
        <v>0</v>
      </c>
      <c r="CP101" s="113"/>
      <c r="CQ101" s="113"/>
      <c r="CR101" s="62">
        <f>订货1!BC101</f>
        <v>0</v>
      </c>
      <c r="CS101" s="113"/>
      <c r="CT101" s="113"/>
      <c r="CU101" s="62">
        <f>订货1!BD101</f>
        <v>0</v>
      </c>
      <c r="CV101" s="113"/>
      <c r="CW101" s="113"/>
      <c r="CX101" s="62">
        <f>订货1!BE101</f>
        <v>0</v>
      </c>
      <c r="CY101" s="113"/>
      <c r="CZ101" s="113"/>
      <c r="DA101" s="62">
        <f>订货1!BF101</f>
        <v>0</v>
      </c>
      <c r="DB101" s="113"/>
      <c r="DC101" s="113"/>
      <c r="DD101" s="208">
        <v>0</v>
      </c>
      <c r="DE101" s="110" t="e">
        <f t="shared" si="34"/>
        <v>#DIV/0!</v>
      </c>
      <c r="DF101" s="52">
        <f t="shared" si="33"/>
        <v>0</v>
      </c>
      <c r="DG101" s="32" t="str">
        <f>订货1!$Q101</f>
        <v>箱</v>
      </c>
      <c r="DH101" s="209" t="e">
        <f t="shared" si="35"/>
        <v>#DIV/0!</v>
      </c>
    </row>
    <row r="102" spans="1:112" ht="15" customHeight="1">
      <c r="A102" s="48">
        <f>订货1!A102</f>
        <v>710004</v>
      </c>
      <c r="B102" s="44" t="str">
        <f>VLOOKUP($A102,订货1!$A102:$G344,7,0)</f>
        <v>浙江太古可口可乐饮料有限公司</v>
      </c>
      <c r="C102" s="44" t="str">
        <f>VLOOKUP($A102,订货1!$A102:$H344,8,0)</f>
        <v>浙江太古可口可乐饮料有限公司</v>
      </c>
      <c r="D102" s="44" t="str">
        <f>VLOOKUP($A102,订货1!$A102:$B344,2,0)</f>
        <v>飞想柠檬红茶</v>
      </c>
      <c r="E102" s="44" t="str">
        <f>VLOOKUP($A102,订货1!$A102:$E344,5,0)</f>
        <v>10L</v>
      </c>
      <c r="F102" s="49" t="str">
        <f>VLOOKUP($A102,订货1!$A102:$F344,6,0)</f>
        <v>箱</v>
      </c>
      <c r="G102" s="203"/>
      <c r="H102" s="56">
        <f t="shared" si="36"/>
        <v>0</v>
      </c>
      <c r="I102" s="196"/>
      <c r="J102" s="113"/>
      <c r="K102" s="113"/>
      <c r="L102" s="196"/>
      <c r="M102" s="113"/>
      <c r="N102" s="113"/>
      <c r="O102" s="62">
        <f>订货1!AB102</f>
        <v>0</v>
      </c>
      <c r="P102" s="113"/>
      <c r="Q102" s="113"/>
      <c r="R102" s="62">
        <f>订货1!AC102</f>
        <v>0</v>
      </c>
      <c r="S102" s="113"/>
      <c r="T102" s="113"/>
      <c r="U102" s="62">
        <f>订货1!AD102</f>
        <v>0</v>
      </c>
      <c r="V102" s="113"/>
      <c r="W102" s="113"/>
      <c r="X102" s="62">
        <f>订货1!AE102</f>
        <v>0</v>
      </c>
      <c r="Y102" s="113"/>
      <c r="Z102" s="113"/>
      <c r="AA102" s="62">
        <f>订货1!AF102</f>
        <v>0</v>
      </c>
      <c r="AB102" s="113"/>
      <c r="AC102" s="113"/>
      <c r="AD102" s="62">
        <f>订货1!AG102</f>
        <v>0</v>
      </c>
      <c r="AE102" s="113"/>
      <c r="AF102" s="113"/>
      <c r="AG102" s="62">
        <f>订货1!AH102</f>
        <v>0</v>
      </c>
      <c r="AH102" s="113"/>
      <c r="AI102" s="113"/>
      <c r="AJ102" s="62">
        <f>订货1!AI102</f>
        <v>0</v>
      </c>
      <c r="AK102" s="113"/>
      <c r="AL102" s="113"/>
      <c r="AM102" s="62">
        <f>订货1!AJ102</f>
        <v>0</v>
      </c>
      <c r="AN102" s="113"/>
      <c r="AO102" s="113"/>
      <c r="AP102" s="62">
        <f>订货1!AK102</f>
        <v>0</v>
      </c>
      <c r="AQ102" s="113"/>
      <c r="AR102" s="113"/>
      <c r="AS102" s="62">
        <f>订货1!AL102</f>
        <v>0</v>
      </c>
      <c r="AT102" s="113"/>
      <c r="AU102" s="113"/>
      <c r="AV102" s="62">
        <f>订货1!AM102</f>
        <v>0</v>
      </c>
      <c r="AW102" s="113"/>
      <c r="AX102" s="113"/>
      <c r="AY102" s="62">
        <f>订货1!AN102</f>
        <v>0</v>
      </c>
      <c r="AZ102" s="113"/>
      <c r="BA102" s="113"/>
      <c r="BB102" s="62">
        <f>订货1!AO102</f>
        <v>0</v>
      </c>
      <c r="BC102" s="113"/>
      <c r="BD102" s="113"/>
      <c r="BE102" s="62">
        <f>订货1!AP102</f>
        <v>0</v>
      </c>
      <c r="BF102" s="113"/>
      <c r="BG102" s="113"/>
      <c r="BH102" s="62">
        <f>订货1!AQ102</f>
        <v>0</v>
      </c>
      <c r="BI102" s="113"/>
      <c r="BJ102" s="113"/>
      <c r="BK102" s="62">
        <f>订货1!AR102</f>
        <v>0</v>
      </c>
      <c r="BL102" s="113"/>
      <c r="BM102" s="113"/>
      <c r="BN102" s="62">
        <f>订货1!AS102</f>
        <v>0</v>
      </c>
      <c r="BO102" s="113"/>
      <c r="BP102" s="113"/>
      <c r="BQ102" s="62">
        <f>订货1!AT102</f>
        <v>0</v>
      </c>
      <c r="BR102" s="113"/>
      <c r="BS102" s="113"/>
      <c r="BT102" s="62">
        <f>订货1!AU102</f>
        <v>0</v>
      </c>
      <c r="BU102" s="113"/>
      <c r="BV102" s="113"/>
      <c r="BW102" s="62">
        <f>订货1!AV102</f>
        <v>0</v>
      </c>
      <c r="BX102" s="113"/>
      <c r="BY102" s="113"/>
      <c r="BZ102" s="62">
        <f>订货1!AW102</f>
        <v>0</v>
      </c>
      <c r="CA102" s="113"/>
      <c r="CB102" s="113"/>
      <c r="CC102" s="62">
        <f>订货1!AX102</f>
        <v>0</v>
      </c>
      <c r="CD102" s="113"/>
      <c r="CE102" s="113"/>
      <c r="CF102" s="62">
        <f>订货1!AY102</f>
        <v>0</v>
      </c>
      <c r="CG102" s="113"/>
      <c r="CH102" s="113"/>
      <c r="CI102" s="62">
        <f>订货1!AZ102</f>
        <v>0</v>
      </c>
      <c r="CJ102" s="113"/>
      <c r="CK102" s="113"/>
      <c r="CL102" s="62">
        <f>订货1!BA102</f>
        <v>0</v>
      </c>
      <c r="CM102" s="113"/>
      <c r="CN102" s="113"/>
      <c r="CO102" s="62">
        <f>订货1!BB102</f>
        <v>0</v>
      </c>
      <c r="CP102" s="113"/>
      <c r="CQ102" s="113"/>
      <c r="CR102" s="62">
        <f>订货1!BC102</f>
        <v>0</v>
      </c>
      <c r="CS102" s="113"/>
      <c r="CT102" s="113"/>
      <c r="CU102" s="62">
        <f>订货1!BD102</f>
        <v>0</v>
      </c>
      <c r="CV102" s="113"/>
      <c r="CW102" s="113"/>
      <c r="CX102" s="62">
        <f>订货1!BE102</f>
        <v>0</v>
      </c>
      <c r="CY102" s="113"/>
      <c r="CZ102" s="113"/>
      <c r="DA102" s="62">
        <f>订货1!BF102</f>
        <v>0</v>
      </c>
      <c r="DB102" s="113"/>
      <c r="DC102" s="113"/>
      <c r="DD102" s="208">
        <v>0</v>
      </c>
      <c r="DE102" s="110" t="e">
        <f t="shared" si="34"/>
        <v>#DIV/0!</v>
      </c>
      <c r="DF102" s="52">
        <f t="shared" si="33"/>
        <v>0</v>
      </c>
      <c r="DG102" s="32" t="str">
        <f>订货1!$Q102</f>
        <v>箱</v>
      </c>
      <c r="DH102" s="209" t="e">
        <f t="shared" si="35"/>
        <v>#DIV/0!</v>
      </c>
    </row>
    <row r="103" spans="1:112" ht="15" customHeight="1">
      <c r="A103" s="48">
        <f>订货1!A103</f>
        <v>101744</v>
      </c>
      <c r="B103" s="44" t="str">
        <f>VLOOKUP($A103,订货1!$A103:$G345,7,0)</f>
        <v>福建圣农食品有限公司</v>
      </c>
      <c r="C103" s="44" t="str">
        <f>VLOOKUP($A103,订货1!$A103:$H345,8,0)</f>
        <v>福建圣农食品（浦城）有限公司</v>
      </c>
      <c r="D103" s="44" t="str">
        <f>VLOOKUP($A103,订货1!$A103:$B345,2,0)</f>
        <v>黑椒牛肉片</v>
      </c>
      <c r="E103" s="44" t="str">
        <f>VLOOKUP($A103,订货1!$A103:$E345,5,0)</f>
        <v>0.4kg*30</v>
      </c>
      <c r="F103" s="49" t="str">
        <f>VLOOKUP($A103,订货1!$A103:$F345,6,0)</f>
        <v>箱</v>
      </c>
      <c r="G103" s="203"/>
      <c r="H103" s="56">
        <f t="shared" si="36"/>
        <v>1</v>
      </c>
      <c r="I103" s="196"/>
      <c r="J103" s="113"/>
      <c r="K103" s="113"/>
      <c r="L103" s="196"/>
      <c r="M103" s="113"/>
      <c r="N103" s="113"/>
      <c r="O103" s="62">
        <f>订货1!AB103</f>
        <v>0</v>
      </c>
      <c r="P103" s="113"/>
      <c r="Q103" s="113"/>
      <c r="R103" s="62">
        <f>订货1!AC103</f>
        <v>0</v>
      </c>
      <c r="S103" s="113"/>
      <c r="T103" s="113"/>
      <c r="U103" s="62">
        <f>订货1!AD103</f>
        <v>0</v>
      </c>
      <c r="V103" s="113"/>
      <c r="W103" s="113"/>
      <c r="X103" s="62">
        <f>订货1!AE103</f>
        <v>0</v>
      </c>
      <c r="Y103" s="113"/>
      <c r="Z103" s="113"/>
      <c r="AA103" s="62">
        <f>订货1!AF103</f>
        <v>0</v>
      </c>
      <c r="AB103" s="113"/>
      <c r="AC103" s="113"/>
      <c r="AD103" s="62">
        <f>订货1!AG103</f>
        <v>0</v>
      </c>
      <c r="AE103" s="113"/>
      <c r="AF103" s="113"/>
      <c r="AG103" s="62">
        <f>订货1!AH103</f>
        <v>0</v>
      </c>
      <c r="AH103" s="113"/>
      <c r="AI103" s="113"/>
      <c r="AJ103" s="62">
        <f>订货1!AI103</f>
        <v>0</v>
      </c>
      <c r="AK103" s="113"/>
      <c r="AL103" s="113"/>
      <c r="AM103" s="62">
        <f>订货1!AJ103</f>
        <v>0</v>
      </c>
      <c r="AN103" s="113"/>
      <c r="AO103" s="113"/>
      <c r="AP103" s="62">
        <f>订货1!AK103</f>
        <v>0</v>
      </c>
      <c r="AQ103" s="113"/>
      <c r="AR103" s="113"/>
      <c r="AS103" s="62">
        <f>订货1!AL103</f>
        <v>0</v>
      </c>
      <c r="AT103" s="113"/>
      <c r="AU103" s="113"/>
      <c r="AV103" s="62">
        <f>订货1!AM103</f>
        <v>0</v>
      </c>
      <c r="AW103" s="113"/>
      <c r="AX103" s="113"/>
      <c r="AY103" s="62">
        <f>订货1!AN103</f>
        <v>0</v>
      </c>
      <c r="AZ103" s="113"/>
      <c r="BA103" s="113"/>
      <c r="BB103" s="62">
        <f>订货1!AO103</f>
        <v>1</v>
      </c>
      <c r="BC103" s="113"/>
      <c r="BD103" s="113"/>
      <c r="BE103" s="62">
        <f>订货1!AP103</f>
        <v>0</v>
      </c>
      <c r="BF103" s="113"/>
      <c r="BG103" s="113"/>
      <c r="BH103" s="62">
        <f>订货1!AQ103</f>
        <v>0</v>
      </c>
      <c r="BI103" s="113"/>
      <c r="BJ103" s="113"/>
      <c r="BK103" s="62">
        <f>订货1!AR103</f>
        <v>0</v>
      </c>
      <c r="BL103" s="113"/>
      <c r="BM103" s="113"/>
      <c r="BN103" s="62">
        <f>订货1!AS103</f>
        <v>0</v>
      </c>
      <c r="BO103" s="113"/>
      <c r="BP103" s="113"/>
      <c r="BQ103" s="62">
        <f>订货1!AT103</f>
        <v>0</v>
      </c>
      <c r="BR103" s="113"/>
      <c r="BS103" s="113"/>
      <c r="BT103" s="62">
        <f>订货1!AU103</f>
        <v>0</v>
      </c>
      <c r="BU103" s="113"/>
      <c r="BV103" s="113"/>
      <c r="BW103" s="62">
        <f>订货1!AV103</f>
        <v>0</v>
      </c>
      <c r="BX103" s="113"/>
      <c r="BY103" s="113"/>
      <c r="BZ103" s="62">
        <f>订货1!AW103</f>
        <v>0</v>
      </c>
      <c r="CA103" s="113"/>
      <c r="CB103" s="113"/>
      <c r="CC103" s="62">
        <f>订货1!AX103</f>
        <v>0</v>
      </c>
      <c r="CD103" s="113"/>
      <c r="CE103" s="113"/>
      <c r="CF103" s="62">
        <f>订货1!AY103</f>
        <v>0</v>
      </c>
      <c r="CG103" s="113"/>
      <c r="CH103" s="113"/>
      <c r="CI103" s="62">
        <f>订货1!AZ103</f>
        <v>0</v>
      </c>
      <c r="CJ103" s="113"/>
      <c r="CK103" s="113"/>
      <c r="CL103" s="62">
        <f>订货1!BA103</f>
        <v>0</v>
      </c>
      <c r="CM103" s="113"/>
      <c r="CN103" s="113"/>
      <c r="CO103" s="62">
        <f>订货1!BB103</f>
        <v>0</v>
      </c>
      <c r="CP103" s="113"/>
      <c r="CQ103" s="113"/>
      <c r="CR103" s="62">
        <f>订货1!BC103</f>
        <v>0</v>
      </c>
      <c r="CS103" s="113"/>
      <c r="CT103" s="113"/>
      <c r="CU103" s="62">
        <f>订货1!BD103</f>
        <v>0</v>
      </c>
      <c r="CV103" s="113"/>
      <c r="CW103" s="113"/>
      <c r="CX103" s="62">
        <f>订货1!BE103</f>
        <v>0</v>
      </c>
      <c r="CY103" s="113"/>
      <c r="CZ103" s="113"/>
      <c r="DA103" s="62">
        <f>订货1!BF103</f>
        <v>0</v>
      </c>
      <c r="DB103" s="113"/>
      <c r="DC103" s="113"/>
      <c r="DD103" s="208">
        <v>0</v>
      </c>
      <c r="DE103" s="110" t="e">
        <f t="shared" si="34"/>
        <v>#DIV/0!</v>
      </c>
      <c r="DF103" s="52">
        <f t="shared" si="33"/>
        <v>1</v>
      </c>
      <c r="DG103" s="32" t="str">
        <f>订货1!$Q103</f>
        <v>箱</v>
      </c>
      <c r="DH103" s="209" t="e">
        <f t="shared" si="35"/>
        <v>#DIV/0!</v>
      </c>
    </row>
    <row r="104" spans="1:112" ht="15" customHeight="1">
      <c r="A104" s="48">
        <f>订货1!A104</f>
        <v>101740</v>
      </c>
      <c r="B104" s="44" t="str">
        <f>VLOOKUP($A104,订货1!$A104:$G346,7,0)</f>
        <v>日邦食品（上海）有限公司</v>
      </c>
      <c r="C104" s="44" t="str">
        <f>VLOOKUP($A104,订货1!$A104:$H346,8,0)</f>
        <v>山东日龙食品有限公司</v>
      </c>
      <c r="D104" s="44" t="str">
        <f>VLOOKUP($A104,订货1!$A104:$B346,2,0)</f>
        <v>原味香肠（长）</v>
      </c>
      <c r="E104" s="44" t="str">
        <f>VLOOKUP($A104,订货1!$A104:$E346,5,0)</f>
        <v>55g*16*10pc</v>
      </c>
      <c r="F104" s="49" t="str">
        <f>VLOOKUP($A104,订货1!$A104:$F346,6,0)</f>
        <v>箱</v>
      </c>
      <c r="G104" s="203"/>
      <c r="H104" s="56">
        <f t="shared" si="36"/>
        <v>0</v>
      </c>
      <c r="I104" s="196"/>
      <c r="J104" s="113"/>
      <c r="K104" s="113"/>
      <c r="L104" s="196"/>
      <c r="M104" s="113"/>
      <c r="N104" s="113"/>
      <c r="O104" s="62">
        <f>订货1!AB104</f>
        <v>0</v>
      </c>
      <c r="P104" s="113"/>
      <c r="Q104" s="113"/>
      <c r="R104" s="62">
        <f>订货1!AC104</f>
        <v>0</v>
      </c>
      <c r="S104" s="113"/>
      <c r="T104" s="113"/>
      <c r="U104" s="62">
        <f>订货1!AD104</f>
        <v>0</v>
      </c>
      <c r="V104" s="113"/>
      <c r="W104" s="113"/>
      <c r="X104" s="62">
        <f>订货1!AE104</f>
        <v>0</v>
      </c>
      <c r="Y104" s="113"/>
      <c r="Z104" s="113"/>
      <c r="AA104" s="62">
        <f>订货1!AF104</f>
        <v>0</v>
      </c>
      <c r="AB104" s="113"/>
      <c r="AC104" s="113"/>
      <c r="AD104" s="62">
        <f>订货1!AG104</f>
        <v>0</v>
      </c>
      <c r="AE104" s="113"/>
      <c r="AF104" s="113"/>
      <c r="AG104" s="62">
        <f>订货1!AH104</f>
        <v>0</v>
      </c>
      <c r="AH104" s="113"/>
      <c r="AI104" s="113"/>
      <c r="AJ104" s="62">
        <f>订货1!AI104</f>
        <v>0</v>
      </c>
      <c r="AK104" s="113"/>
      <c r="AL104" s="113"/>
      <c r="AM104" s="62">
        <f>订货1!AJ104</f>
        <v>0</v>
      </c>
      <c r="AN104" s="113"/>
      <c r="AO104" s="113"/>
      <c r="AP104" s="62">
        <f>订货1!AK104</f>
        <v>0</v>
      </c>
      <c r="AQ104" s="113"/>
      <c r="AR104" s="113"/>
      <c r="AS104" s="62">
        <f>订货1!AL104</f>
        <v>0</v>
      </c>
      <c r="AT104" s="113"/>
      <c r="AU104" s="113"/>
      <c r="AV104" s="62">
        <f>订货1!AM104</f>
        <v>0</v>
      </c>
      <c r="AW104" s="113"/>
      <c r="AX104" s="113"/>
      <c r="AY104" s="62">
        <f>订货1!AN104</f>
        <v>0</v>
      </c>
      <c r="AZ104" s="113"/>
      <c r="BA104" s="113"/>
      <c r="BB104" s="62">
        <f>订货1!AO104</f>
        <v>0</v>
      </c>
      <c r="BC104" s="113"/>
      <c r="BD104" s="113"/>
      <c r="BE104" s="62">
        <f>订货1!AP104</f>
        <v>0</v>
      </c>
      <c r="BF104" s="113"/>
      <c r="BG104" s="113"/>
      <c r="BH104" s="62">
        <f>订货1!AQ104</f>
        <v>0</v>
      </c>
      <c r="BI104" s="113"/>
      <c r="BJ104" s="113"/>
      <c r="BK104" s="62">
        <f>订货1!AR104</f>
        <v>0</v>
      </c>
      <c r="BL104" s="113"/>
      <c r="BM104" s="113"/>
      <c r="BN104" s="62">
        <f>订货1!AS104</f>
        <v>0</v>
      </c>
      <c r="BO104" s="113"/>
      <c r="BP104" s="113"/>
      <c r="BQ104" s="62">
        <f>订货1!AT104</f>
        <v>0</v>
      </c>
      <c r="BR104" s="113"/>
      <c r="BS104" s="113"/>
      <c r="BT104" s="62">
        <f>订货1!AU104</f>
        <v>0</v>
      </c>
      <c r="BU104" s="113"/>
      <c r="BV104" s="113"/>
      <c r="BW104" s="62">
        <f>订货1!AV104</f>
        <v>0</v>
      </c>
      <c r="BX104" s="113"/>
      <c r="BY104" s="113"/>
      <c r="BZ104" s="62">
        <f>订货1!AW104</f>
        <v>0</v>
      </c>
      <c r="CA104" s="113"/>
      <c r="CB104" s="113"/>
      <c r="CC104" s="62">
        <f>订货1!AX104</f>
        <v>0</v>
      </c>
      <c r="CD104" s="113"/>
      <c r="CE104" s="113"/>
      <c r="CF104" s="62">
        <f>订货1!AY104</f>
        <v>0</v>
      </c>
      <c r="CG104" s="113"/>
      <c r="CH104" s="113"/>
      <c r="CI104" s="62">
        <f>订货1!AZ104</f>
        <v>0</v>
      </c>
      <c r="CJ104" s="113"/>
      <c r="CK104" s="113"/>
      <c r="CL104" s="62">
        <f>订货1!BA104</f>
        <v>0</v>
      </c>
      <c r="CM104" s="113"/>
      <c r="CN104" s="113"/>
      <c r="CO104" s="62">
        <f>订货1!BB104</f>
        <v>0</v>
      </c>
      <c r="CP104" s="113"/>
      <c r="CQ104" s="113"/>
      <c r="CR104" s="62">
        <f>订货1!BC104</f>
        <v>0</v>
      </c>
      <c r="CS104" s="113"/>
      <c r="CT104" s="113"/>
      <c r="CU104" s="62">
        <f>订货1!BD104</f>
        <v>0</v>
      </c>
      <c r="CV104" s="113"/>
      <c r="CW104" s="113"/>
      <c r="CX104" s="62">
        <f>订货1!BE104</f>
        <v>0</v>
      </c>
      <c r="CY104" s="113"/>
      <c r="CZ104" s="113"/>
      <c r="DA104" s="62">
        <f>订货1!BF104</f>
        <v>0</v>
      </c>
      <c r="DB104" s="113"/>
      <c r="DC104" s="113"/>
      <c r="DD104" s="208">
        <v>0</v>
      </c>
      <c r="DE104" s="110" t="e">
        <f t="shared" si="34"/>
        <v>#DIV/0!</v>
      </c>
      <c r="DF104" s="52">
        <f t="shared" si="33"/>
        <v>0</v>
      </c>
      <c r="DG104" s="32" t="str">
        <f>订货1!$Q104</f>
        <v>箱</v>
      </c>
      <c r="DH104" s="209" t="e">
        <f t="shared" si="35"/>
        <v>#DIV/0!</v>
      </c>
    </row>
    <row r="105" spans="1:112" ht="15" customHeight="1">
      <c r="A105" s="48">
        <f>订货1!A105</f>
        <v>101741</v>
      </c>
      <c r="B105" s="44" t="str">
        <f>VLOOKUP($A105,订货1!$A105:$G347,7,0)</f>
        <v>马鞍山百瑞食品有限公司</v>
      </c>
      <c r="C105" s="44" t="str">
        <f>VLOOKUP($A105,订货1!$A105:$H347,8,0)</f>
        <v>马鞍山百瑞食品有限公司</v>
      </c>
      <c r="D105" s="44" t="str">
        <f>VLOOKUP($A105,订货1!$A105:$B347,2,0)</f>
        <v>百瑞猪肉卷</v>
      </c>
      <c r="E105" s="44" t="str">
        <f>VLOOKUP($A105,订货1!$A105:$E347,5,0)</f>
        <v>600g*9pc</v>
      </c>
      <c r="F105" s="49" t="str">
        <f>VLOOKUP($A105,订货1!$A105:$F347,6,0)</f>
        <v>箱</v>
      </c>
      <c r="G105" s="203"/>
      <c r="H105" s="56">
        <f t="shared" si="36"/>
        <v>0</v>
      </c>
      <c r="I105" s="196"/>
      <c r="J105" s="113"/>
      <c r="K105" s="113"/>
      <c r="L105" s="196"/>
      <c r="M105" s="113"/>
      <c r="N105" s="113"/>
      <c r="O105" s="62">
        <f>订货1!AB105</f>
        <v>0</v>
      </c>
      <c r="P105" s="113"/>
      <c r="Q105" s="113"/>
      <c r="R105" s="62">
        <f>订货1!AC105</f>
        <v>0</v>
      </c>
      <c r="S105" s="113"/>
      <c r="T105" s="113"/>
      <c r="U105" s="62">
        <f>订货1!AD105</f>
        <v>0</v>
      </c>
      <c r="V105" s="113"/>
      <c r="W105" s="113"/>
      <c r="X105" s="62">
        <f>订货1!AE105</f>
        <v>0</v>
      </c>
      <c r="Y105" s="113"/>
      <c r="Z105" s="113"/>
      <c r="AA105" s="62">
        <f>订货1!AF105</f>
        <v>0</v>
      </c>
      <c r="AB105" s="113"/>
      <c r="AC105" s="113"/>
      <c r="AD105" s="62">
        <f>订货1!AG105</f>
        <v>0</v>
      </c>
      <c r="AE105" s="113"/>
      <c r="AF105" s="113"/>
      <c r="AG105" s="62">
        <f>订货1!AH105</f>
        <v>0</v>
      </c>
      <c r="AH105" s="113"/>
      <c r="AI105" s="113"/>
      <c r="AJ105" s="62">
        <f>订货1!AI105</f>
        <v>0</v>
      </c>
      <c r="AK105" s="113"/>
      <c r="AL105" s="113"/>
      <c r="AM105" s="62">
        <f>订货1!AJ105</f>
        <v>0</v>
      </c>
      <c r="AN105" s="113"/>
      <c r="AO105" s="113"/>
      <c r="AP105" s="62">
        <f>订货1!AK105</f>
        <v>0</v>
      </c>
      <c r="AQ105" s="113"/>
      <c r="AR105" s="113"/>
      <c r="AS105" s="62">
        <f>订货1!AL105</f>
        <v>0</v>
      </c>
      <c r="AT105" s="113"/>
      <c r="AU105" s="113"/>
      <c r="AV105" s="62">
        <f>订货1!AM105</f>
        <v>0</v>
      </c>
      <c r="AW105" s="113"/>
      <c r="AX105" s="113"/>
      <c r="AY105" s="62">
        <f>订货1!AN105</f>
        <v>0</v>
      </c>
      <c r="AZ105" s="113"/>
      <c r="BA105" s="113"/>
      <c r="BB105" s="62">
        <f>订货1!AO105</f>
        <v>0</v>
      </c>
      <c r="BC105" s="113"/>
      <c r="BD105" s="113"/>
      <c r="BE105" s="62">
        <f>订货1!AP105</f>
        <v>0</v>
      </c>
      <c r="BF105" s="113"/>
      <c r="BG105" s="113"/>
      <c r="BH105" s="62">
        <f>订货1!AQ105</f>
        <v>0</v>
      </c>
      <c r="BI105" s="113"/>
      <c r="BJ105" s="113"/>
      <c r="BK105" s="62">
        <f>订货1!AR105</f>
        <v>0</v>
      </c>
      <c r="BL105" s="113"/>
      <c r="BM105" s="113"/>
      <c r="BN105" s="62">
        <f>订货1!AS105</f>
        <v>0</v>
      </c>
      <c r="BO105" s="113"/>
      <c r="BP105" s="113"/>
      <c r="BQ105" s="62">
        <f>订货1!AT105</f>
        <v>0</v>
      </c>
      <c r="BR105" s="113"/>
      <c r="BS105" s="113"/>
      <c r="BT105" s="62">
        <f>订货1!AU105</f>
        <v>0</v>
      </c>
      <c r="BU105" s="113"/>
      <c r="BV105" s="113"/>
      <c r="BW105" s="62">
        <f>订货1!AV105</f>
        <v>0</v>
      </c>
      <c r="BX105" s="113"/>
      <c r="BY105" s="113"/>
      <c r="BZ105" s="62">
        <f>订货1!AW105</f>
        <v>0</v>
      </c>
      <c r="CA105" s="113"/>
      <c r="CB105" s="113"/>
      <c r="CC105" s="62">
        <f>订货1!AX105</f>
        <v>0</v>
      </c>
      <c r="CD105" s="113"/>
      <c r="CE105" s="113"/>
      <c r="CF105" s="62">
        <f>订货1!AY105</f>
        <v>0</v>
      </c>
      <c r="CG105" s="113"/>
      <c r="CH105" s="113"/>
      <c r="CI105" s="62">
        <f>订货1!AZ105</f>
        <v>0</v>
      </c>
      <c r="CJ105" s="113"/>
      <c r="CK105" s="113"/>
      <c r="CL105" s="62">
        <f>订货1!BA105</f>
        <v>0</v>
      </c>
      <c r="CM105" s="113"/>
      <c r="CN105" s="113"/>
      <c r="CO105" s="62">
        <f>订货1!BB105</f>
        <v>0</v>
      </c>
      <c r="CP105" s="113"/>
      <c r="CQ105" s="113"/>
      <c r="CR105" s="62">
        <f>订货1!BC105</f>
        <v>0</v>
      </c>
      <c r="CS105" s="113"/>
      <c r="CT105" s="113"/>
      <c r="CU105" s="62">
        <f>订货1!BD105</f>
        <v>0</v>
      </c>
      <c r="CV105" s="113"/>
      <c r="CW105" s="113"/>
      <c r="CX105" s="62">
        <f>订货1!BE105</f>
        <v>0</v>
      </c>
      <c r="CY105" s="113"/>
      <c r="CZ105" s="113"/>
      <c r="DA105" s="62">
        <f>订货1!BF105</f>
        <v>0</v>
      </c>
      <c r="DB105" s="113"/>
      <c r="DC105" s="113"/>
      <c r="DD105" s="208">
        <v>0</v>
      </c>
      <c r="DE105" s="110" t="e">
        <f t="shared" si="34"/>
        <v>#DIV/0!</v>
      </c>
      <c r="DF105" s="52">
        <f t="shared" si="33"/>
        <v>0</v>
      </c>
      <c r="DG105" s="32" t="str">
        <f>订货1!$Q105</f>
        <v>箱</v>
      </c>
      <c r="DH105" s="209" t="e">
        <f t="shared" si="35"/>
        <v>#DIV/0!</v>
      </c>
    </row>
    <row r="106" spans="1:112" ht="15" customHeight="1">
      <c r="A106" s="48">
        <f>订货1!A106</f>
        <v>101716</v>
      </c>
      <c r="B106" s="44" t="str">
        <f>VLOOKUP($A106,订货1!$A106:$G348,7,0)</f>
        <v>广州萨莉亚食品有限公司</v>
      </c>
      <c r="C106" s="44" t="str">
        <f>VLOOKUP($A106,订货1!$A106:$H348,8,0)</f>
        <v>广州萨莉亚食品有限公司</v>
      </c>
      <c r="D106" s="44" t="str">
        <f>VLOOKUP($A106,订货1!$A106:$B348,2,0)</f>
        <v>墨鱼复合调味汁</v>
      </c>
      <c r="E106" s="44" t="str">
        <f>VLOOKUP($A106,订货1!$A106:$E348,5,0)</f>
        <v>200g*45袋</v>
      </c>
      <c r="F106" s="49" t="str">
        <f>VLOOKUP($A106,订货1!$A106:$F348,6,0)</f>
        <v>箱</v>
      </c>
      <c r="G106" s="203"/>
      <c r="H106" s="56">
        <f t="shared" si="36"/>
        <v>1</v>
      </c>
      <c r="I106" s="196"/>
      <c r="J106" s="113"/>
      <c r="K106" s="113"/>
      <c r="L106" s="196"/>
      <c r="M106" s="113"/>
      <c r="N106" s="113"/>
      <c r="O106" s="62">
        <f>订货1!AB106</f>
        <v>0</v>
      </c>
      <c r="P106" s="113"/>
      <c r="Q106" s="113"/>
      <c r="R106" s="62">
        <f>订货1!AC106</f>
        <v>0</v>
      </c>
      <c r="S106" s="113"/>
      <c r="T106" s="113"/>
      <c r="U106" s="62">
        <f>订货1!AD106</f>
        <v>0</v>
      </c>
      <c r="V106" s="113"/>
      <c r="W106" s="113"/>
      <c r="X106" s="62">
        <f>订货1!AE106</f>
        <v>0</v>
      </c>
      <c r="Y106" s="113"/>
      <c r="Z106" s="113"/>
      <c r="AA106" s="62">
        <f>订货1!AF106</f>
        <v>0</v>
      </c>
      <c r="AB106" s="113"/>
      <c r="AC106" s="113"/>
      <c r="AD106" s="62">
        <f>订货1!AG106</f>
        <v>1</v>
      </c>
      <c r="AE106" s="113"/>
      <c r="AF106" s="113"/>
      <c r="AG106" s="62">
        <f>订货1!AH106</f>
        <v>0</v>
      </c>
      <c r="AH106" s="113"/>
      <c r="AI106" s="113"/>
      <c r="AJ106" s="62">
        <f>订货1!AI106</f>
        <v>0</v>
      </c>
      <c r="AK106" s="113"/>
      <c r="AL106" s="113"/>
      <c r="AM106" s="62">
        <f>订货1!AJ106</f>
        <v>0</v>
      </c>
      <c r="AN106" s="113"/>
      <c r="AO106" s="113"/>
      <c r="AP106" s="62">
        <f>订货1!AK106</f>
        <v>0</v>
      </c>
      <c r="AQ106" s="113"/>
      <c r="AR106" s="113"/>
      <c r="AS106" s="62">
        <f>订货1!AL106</f>
        <v>0</v>
      </c>
      <c r="AT106" s="113"/>
      <c r="AU106" s="113"/>
      <c r="AV106" s="62">
        <f>订货1!AM106</f>
        <v>0</v>
      </c>
      <c r="AW106" s="113"/>
      <c r="AX106" s="113"/>
      <c r="AY106" s="62">
        <f>订货1!AN106</f>
        <v>0</v>
      </c>
      <c r="AZ106" s="113"/>
      <c r="BA106" s="113"/>
      <c r="BB106" s="62">
        <f>订货1!AO106</f>
        <v>0</v>
      </c>
      <c r="BC106" s="113"/>
      <c r="BD106" s="113"/>
      <c r="BE106" s="62">
        <f>订货1!AP106</f>
        <v>0</v>
      </c>
      <c r="BF106" s="113"/>
      <c r="BG106" s="113"/>
      <c r="BH106" s="62">
        <f>订货1!AQ106</f>
        <v>0</v>
      </c>
      <c r="BI106" s="113"/>
      <c r="BJ106" s="113"/>
      <c r="BK106" s="62">
        <f>订货1!AR106</f>
        <v>0</v>
      </c>
      <c r="BL106" s="113"/>
      <c r="BM106" s="113"/>
      <c r="BN106" s="62">
        <f>订货1!AS106</f>
        <v>0</v>
      </c>
      <c r="BO106" s="113"/>
      <c r="BP106" s="113"/>
      <c r="BQ106" s="62">
        <f>订货1!AT106</f>
        <v>0</v>
      </c>
      <c r="BR106" s="113"/>
      <c r="BS106" s="113"/>
      <c r="BT106" s="62">
        <f>订货1!AU106</f>
        <v>0</v>
      </c>
      <c r="BU106" s="113"/>
      <c r="BV106" s="113"/>
      <c r="BW106" s="62">
        <f>订货1!AV106</f>
        <v>0</v>
      </c>
      <c r="BX106" s="113"/>
      <c r="BY106" s="113"/>
      <c r="BZ106" s="62">
        <f>订货1!AW106</f>
        <v>0</v>
      </c>
      <c r="CA106" s="113"/>
      <c r="CB106" s="113"/>
      <c r="CC106" s="62">
        <f>订货1!AX106</f>
        <v>0</v>
      </c>
      <c r="CD106" s="113"/>
      <c r="CE106" s="113"/>
      <c r="CF106" s="62">
        <f>订货1!AY106</f>
        <v>0</v>
      </c>
      <c r="CG106" s="113"/>
      <c r="CH106" s="113"/>
      <c r="CI106" s="62">
        <f>订货1!AZ106</f>
        <v>0</v>
      </c>
      <c r="CJ106" s="113"/>
      <c r="CK106" s="113"/>
      <c r="CL106" s="62">
        <f>订货1!BA106</f>
        <v>0</v>
      </c>
      <c r="CM106" s="113"/>
      <c r="CN106" s="113"/>
      <c r="CO106" s="62">
        <f>订货1!BB106</f>
        <v>0</v>
      </c>
      <c r="CP106" s="113"/>
      <c r="CQ106" s="113"/>
      <c r="CR106" s="62">
        <f>订货1!BC106</f>
        <v>0</v>
      </c>
      <c r="CS106" s="113"/>
      <c r="CT106" s="113"/>
      <c r="CU106" s="62">
        <f>订货1!BD106</f>
        <v>0</v>
      </c>
      <c r="CV106" s="113"/>
      <c r="CW106" s="113"/>
      <c r="CX106" s="62">
        <f>订货1!BE106</f>
        <v>0</v>
      </c>
      <c r="CY106" s="113"/>
      <c r="CZ106" s="113"/>
      <c r="DA106" s="62">
        <f>订货1!BF106</f>
        <v>0</v>
      </c>
      <c r="DB106" s="113"/>
      <c r="DC106" s="113"/>
      <c r="DD106" s="208">
        <v>0</v>
      </c>
      <c r="DE106" s="110" t="e">
        <f t="shared" si="34"/>
        <v>#DIV/0!</v>
      </c>
      <c r="DF106" s="52">
        <f t="shared" si="33"/>
        <v>1</v>
      </c>
      <c r="DG106" s="32" t="str">
        <f>订货1!$Q106</f>
        <v>箱</v>
      </c>
      <c r="DH106" s="209" t="e">
        <f t="shared" si="35"/>
        <v>#DIV/0!</v>
      </c>
    </row>
    <row r="107" spans="1:112" ht="15" customHeight="1">
      <c r="A107" s="48">
        <f>订货1!A107</f>
        <v>101714</v>
      </c>
      <c r="B107" s="44" t="str">
        <f>VLOOKUP($A107,订货1!$A107:$G349,7,0)</f>
        <v>马鞍山百瑞食品有限公司</v>
      </c>
      <c r="C107" s="44" t="str">
        <f>VLOOKUP($A107,订货1!$A107:$H349,8,0)</f>
        <v>马鞍山百瑞食品有限公司</v>
      </c>
      <c r="D107" s="44" t="str">
        <f>VLOOKUP($A107,订货1!$A107:$B349,2,0)</f>
        <v>贝贝罗尼意式萨拉米</v>
      </c>
      <c r="E107" s="44" t="str">
        <f>VLOOKUP($A107,订货1!$A107:$E349,5,0)</f>
        <v>0.1kg*40</v>
      </c>
      <c r="F107" s="49" t="str">
        <f>VLOOKUP($A107,订货1!$A107:$F349,6,0)</f>
        <v>箱</v>
      </c>
      <c r="G107" s="203"/>
      <c r="H107" s="56">
        <f t="shared" si="36"/>
        <v>1</v>
      </c>
      <c r="I107" s="196"/>
      <c r="J107" s="113"/>
      <c r="K107" s="113"/>
      <c r="L107" s="196"/>
      <c r="M107" s="113"/>
      <c r="N107" s="113"/>
      <c r="O107" s="62">
        <f>订货1!AB107</f>
        <v>0</v>
      </c>
      <c r="P107" s="113"/>
      <c r="Q107" s="113"/>
      <c r="R107" s="62">
        <f>订货1!AC107</f>
        <v>0</v>
      </c>
      <c r="S107" s="113"/>
      <c r="T107" s="113"/>
      <c r="U107" s="62">
        <f>订货1!AD107</f>
        <v>0</v>
      </c>
      <c r="V107" s="113"/>
      <c r="W107" s="113"/>
      <c r="X107" s="62">
        <f>订货1!AE107</f>
        <v>0</v>
      </c>
      <c r="Y107" s="113"/>
      <c r="Z107" s="113"/>
      <c r="AA107" s="62">
        <f>订货1!AF107</f>
        <v>0</v>
      </c>
      <c r="AB107" s="113"/>
      <c r="AC107" s="113"/>
      <c r="AD107" s="62">
        <f>订货1!AG107</f>
        <v>0</v>
      </c>
      <c r="AE107" s="113"/>
      <c r="AF107" s="113"/>
      <c r="AG107" s="62">
        <f>订货1!AH107</f>
        <v>0</v>
      </c>
      <c r="AH107" s="113"/>
      <c r="AI107" s="113"/>
      <c r="AJ107" s="62">
        <f>订货1!AI107</f>
        <v>0</v>
      </c>
      <c r="AK107" s="113"/>
      <c r="AL107" s="113"/>
      <c r="AM107" s="62">
        <f>订货1!AJ107</f>
        <v>1</v>
      </c>
      <c r="AN107" s="113"/>
      <c r="AO107" s="113"/>
      <c r="AP107" s="62">
        <f>订货1!AK107</f>
        <v>0</v>
      </c>
      <c r="AQ107" s="113"/>
      <c r="AR107" s="113"/>
      <c r="AS107" s="62">
        <f>订货1!AL107</f>
        <v>0</v>
      </c>
      <c r="AT107" s="113"/>
      <c r="AU107" s="113"/>
      <c r="AV107" s="62">
        <f>订货1!AM107</f>
        <v>0</v>
      </c>
      <c r="AW107" s="113"/>
      <c r="AX107" s="113"/>
      <c r="AY107" s="62">
        <f>订货1!AN107</f>
        <v>0</v>
      </c>
      <c r="AZ107" s="113"/>
      <c r="BA107" s="113"/>
      <c r="BB107" s="62">
        <f>订货1!AO107</f>
        <v>0</v>
      </c>
      <c r="BC107" s="113"/>
      <c r="BD107" s="113"/>
      <c r="BE107" s="62">
        <f>订货1!AP107</f>
        <v>0</v>
      </c>
      <c r="BF107" s="113"/>
      <c r="BG107" s="113"/>
      <c r="BH107" s="62">
        <f>订货1!AQ107</f>
        <v>0</v>
      </c>
      <c r="BI107" s="113"/>
      <c r="BJ107" s="113"/>
      <c r="BK107" s="62">
        <f>订货1!AR107</f>
        <v>0</v>
      </c>
      <c r="BL107" s="113"/>
      <c r="BM107" s="113"/>
      <c r="BN107" s="62">
        <f>订货1!AS107</f>
        <v>0</v>
      </c>
      <c r="BO107" s="113"/>
      <c r="BP107" s="113"/>
      <c r="BQ107" s="62">
        <f>订货1!AT107</f>
        <v>0</v>
      </c>
      <c r="BR107" s="113"/>
      <c r="BS107" s="113"/>
      <c r="BT107" s="62">
        <f>订货1!AU107</f>
        <v>0</v>
      </c>
      <c r="BU107" s="113"/>
      <c r="BV107" s="113"/>
      <c r="BW107" s="62">
        <f>订货1!AV107</f>
        <v>0</v>
      </c>
      <c r="BX107" s="113"/>
      <c r="BY107" s="113"/>
      <c r="BZ107" s="62">
        <f>订货1!AW107</f>
        <v>0</v>
      </c>
      <c r="CA107" s="113"/>
      <c r="CB107" s="113"/>
      <c r="CC107" s="62">
        <f>订货1!AX107</f>
        <v>0</v>
      </c>
      <c r="CD107" s="113"/>
      <c r="CE107" s="113"/>
      <c r="CF107" s="62">
        <f>订货1!AY107</f>
        <v>0</v>
      </c>
      <c r="CG107" s="113"/>
      <c r="CH107" s="113"/>
      <c r="CI107" s="62">
        <f>订货1!AZ107</f>
        <v>0</v>
      </c>
      <c r="CJ107" s="113"/>
      <c r="CK107" s="113"/>
      <c r="CL107" s="62">
        <f>订货1!BA107</f>
        <v>0</v>
      </c>
      <c r="CM107" s="113"/>
      <c r="CN107" s="113"/>
      <c r="CO107" s="62">
        <f>订货1!BB107</f>
        <v>0</v>
      </c>
      <c r="CP107" s="113"/>
      <c r="CQ107" s="113"/>
      <c r="CR107" s="62">
        <f>订货1!BC107</f>
        <v>0</v>
      </c>
      <c r="CS107" s="113"/>
      <c r="CT107" s="113"/>
      <c r="CU107" s="62">
        <f>订货1!BD107</f>
        <v>0</v>
      </c>
      <c r="CV107" s="113"/>
      <c r="CW107" s="113"/>
      <c r="CX107" s="62">
        <f>订货1!BE107</f>
        <v>0</v>
      </c>
      <c r="CY107" s="113"/>
      <c r="CZ107" s="113"/>
      <c r="DA107" s="62">
        <f>订货1!BF107</f>
        <v>0</v>
      </c>
      <c r="DB107" s="113"/>
      <c r="DC107" s="113"/>
      <c r="DD107" s="208">
        <v>0</v>
      </c>
      <c r="DE107" s="110" t="e">
        <f t="shared" si="34"/>
        <v>#DIV/0!</v>
      </c>
      <c r="DF107" s="52">
        <f t="shared" si="33"/>
        <v>1</v>
      </c>
      <c r="DG107" s="32" t="str">
        <f>订货1!$Q107</f>
        <v>箱</v>
      </c>
      <c r="DH107" s="209" t="e">
        <f t="shared" si="35"/>
        <v>#DIV/0!</v>
      </c>
    </row>
    <row r="108" spans="1:112" ht="15" customHeight="1">
      <c r="A108" s="48">
        <f>订货1!A108</f>
        <v>101394</v>
      </c>
      <c r="B108" s="44" t="str">
        <f>VLOOKUP($A108,订货1!$A108:$G350,7,0)</f>
        <v>承武贸易（上海）有限公司</v>
      </c>
      <c r="C108" s="44" t="str">
        <f>VLOOKUP($A108,订货1!$A108:$H350,8,0)</f>
        <v>北京美滋乐源食品有限公司</v>
      </c>
      <c r="D108" s="44" t="str">
        <f>VLOOKUP($A108,订货1!$A108:$B350,2,0)</f>
        <v>美滋乐玉米汁</v>
      </c>
      <c r="E108" s="44" t="str">
        <f>VLOOKUP($A108,订货1!$A108:$E350,5,0)</f>
        <v>1kg*15pc</v>
      </c>
      <c r="F108" s="49" t="str">
        <f>VLOOKUP($A108,订货1!$A108:$F350,6,0)</f>
        <v>箱</v>
      </c>
      <c r="G108" s="203"/>
      <c r="H108" s="56">
        <f t="shared" si="36"/>
        <v>0</v>
      </c>
      <c r="I108" s="196"/>
      <c r="J108" s="113"/>
      <c r="K108" s="113"/>
      <c r="L108" s="196"/>
      <c r="M108" s="113"/>
      <c r="N108" s="113"/>
      <c r="O108" s="62">
        <f>订货1!AB108</f>
        <v>0</v>
      </c>
      <c r="P108" s="113"/>
      <c r="Q108" s="113"/>
      <c r="R108" s="62">
        <f>订货1!AC108</f>
        <v>0</v>
      </c>
      <c r="S108" s="113"/>
      <c r="T108" s="113"/>
      <c r="U108" s="62">
        <f>订货1!AD108</f>
        <v>0</v>
      </c>
      <c r="V108" s="113"/>
      <c r="W108" s="113"/>
      <c r="X108" s="62">
        <f>订货1!AE108</f>
        <v>0</v>
      </c>
      <c r="Y108" s="113"/>
      <c r="Z108" s="113"/>
      <c r="AA108" s="62">
        <f>订货1!AF108</f>
        <v>0</v>
      </c>
      <c r="AB108" s="113"/>
      <c r="AC108" s="113"/>
      <c r="AD108" s="62">
        <f>订货1!AG108</f>
        <v>0</v>
      </c>
      <c r="AE108" s="113"/>
      <c r="AF108" s="113"/>
      <c r="AG108" s="62">
        <f>订货1!AH108</f>
        <v>0</v>
      </c>
      <c r="AH108" s="113"/>
      <c r="AI108" s="113"/>
      <c r="AJ108" s="62">
        <f>订货1!AI108</f>
        <v>0</v>
      </c>
      <c r="AK108" s="113"/>
      <c r="AL108" s="113"/>
      <c r="AM108" s="62">
        <f>订货1!AJ108</f>
        <v>0</v>
      </c>
      <c r="AN108" s="113"/>
      <c r="AO108" s="113"/>
      <c r="AP108" s="62">
        <f>订货1!AK108</f>
        <v>0</v>
      </c>
      <c r="AQ108" s="113"/>
      <c r="AR108" s="113"/>
      <c r="AS108" s="62">
        <f>订货1!AL108</f>
        <v>0</v>
      </c>
      <c r="AT108" s="113"/>
      <c r="AU108" s="113"/>
      <c r="AV108" s="62">
        <f>订货1!AM108</f>
        <v>0</v>
      </c>
      <c r="AW108" s="113"/>
      <c r="AX108" s="113"/>
      <c r="AY108" s="62">
        <f>订货1!AN108</f>
        <v>0</v>
      </c>
      <c r="AZ108" s="113"/>
      <c r="BA108" s="113"/>
      <c r="BB108" s="62">
        <f>订货1!AO108</f>
        <v>0</v>
      </c>
      <c r="BC108" s="113"/>
      <c r="BD108" s="113"/>
      <c r="BE108" s="62">
        <f>订货1!AP108</f>
        <v>0</v>
      </c>
      <c r="BF108" s="113"/>
      <c r="BG108" s="113"/>
      <c r="BH108" s="62">
        <f>订货1!AQ108</f>
        <v>0</v>
      </c>
      <c r="BI108" s="113"/>
      <c r="BJ108" s="113"/>
      <c r="BK108" s="62">
        <f>订货1!AR108</f>
        <v>0</v>
      </c>
      <c r="BL108" s="113"/>
      <c r="BM108" s="113"/>
      <c r="BN108" s="62">
        <f>订货1!AS108</f>
        <v>0</v>
      </c>
      <c r="BO108" s="113"/>
      <c r="BP108" s="113"/>
      <c r="BQ108" s="62">
        <f>订货1!AT108</f>
        <v>0</v>
      </c>
      <c r="BR108" s="113"/>
      <c r="BS108" s="113"/>
      <c r="BT108" s="62">
        <f>订货1!AU108</f>
        <v>0</v>
      </c>
      <c r="BU108" s="113"/>
      <c r="BV108" s="113"/>
      <c r="BW108" s="62">
        <f>订货1!AV108</f>
        <v>0</v>
      </c>
      <c r="BX108" s="113"/>
      <c r="BY108" s="113"/>
      <c r="BZ108" s="62">
        <f>订货1!AW108</f>
        <v>0</v>
      </c>
      <c r="CA108" s="113"/>
      <c r="CB108" s="113"/>
      <c r="CC108" s="62">
        <f>订货1!AX108</f>
        <v>0</v>
      </c>
      <c r="CD108" s="113"/>
      <c r="CE108" s="113"/>
      <c r="CF108" s="62">
        <f>订货1!AY108</f>
        <v>0</v>
      </c>
      <c r="CG108" s="113"/>
      <c r="CH108" s="113"/>
      <c r="CI108" s="62">
        <f>订货1!AZ108</f>
        <v>0</v>
      </c>
      <c r="CJ108" s="113"/>
      <c r="CK108" s="113"/>
      <c r="CL108" s="62">
        <f>订货1!BA108</f>
        <v>0</v>
      </c>
      <c r="CM108" s="113"/>
      <c r="CN108" s="113"/>
      <c r="CO108" s="62">
        <f>订货1!BB108</f>
        <v>0</v>
      </c>
      <c r="CP108" s="113"/>
      <c r="CQ108" s="113"/>
      <c r="CR108" s="62">
        <f>订货1!BC108</f>
        <v>0</v>
      </c>
      <c r="CS108" s="113"/>
      <c r="CT108" s="113"/>
      <c r="CU108" s="62">
        <f>订货1!BD108</f>
        <v>0</v>
      </c>
      <c r="CV108" s="113"/>
      <c r="CW108" s="113"/>
      <c r="CX108" s="62">
        <f>订货1!BE108</f>
        <v>0</v>
      </c>
      <c r="CY108" s="113"/>
      <c r="CZ108" s="113"/>
      <c r="DA108" s="62">
        <f>订货1!BF108</f>
        <v>0</v>
      </c>
      <c r="DB108" s="113"/>
      <c r="DC108" s="113"/>
      <c r="DD108" s="208">
        <v>0</v>
      </c>
      <c r="DE108" s="110" t="e">
        <f t="shared" si="34"/>
        <v>#DIV/0!</v>
      </c>
      <c r="DF108" s="52">
        <f t="shared" si="33"/>
        <v>0</v>
      </c>
      <c r="DG108" s="32" t="str">
        <f>订货1!$Q108</f>
        <v>箱</v>
      </c>
      <c r="DH108" s="209" t="e">
        <f t="shared" si="35"/>
        <v>#DIV/0!</v>
      </c>
    </row>
    <row r="109" spans="1:112" ht="15" customHeight="1">
      <c r="A109" s="48">
        <f>订货1!A109</f>
        <v>101712</v>
      </c>
      <c r="B109" s="44" t="str">
        <f>VLOOKUP($A109,订货1!$A109:$G351,7,0)</f>
        <v>沈阳华美食品有限公司</v>
      </c>
      <c r="C109" s="44" t="str">
        <f>VLOOKUP($A109,订货1!$A109:$H351,8,0)</f>
        <v>沈阳华美食品有限公司</v>
      </c>
      <c r="D109" s="44" t="str">
        <f>VLOOKUP($A109,订货1!$A109:$B351,2,0)</f>
        <v xml:space="preserve">萨莉亚香酥鸡柳 </v>
      </c>
      <c r="E109" s="44" t="str">
        <f>VLOOKUP($A109,订货1!$A109:$E351,5,0)</f>
        <v>1kg*12pc</v>
      </c>
      <c r="F109" s="49" t="str">
        <f>VLOOKUP($A109,订货1!$A109:$F351,6,0)</f>
        <v>箱</v>
      </c>
      <c r="G109" s="203"/>
      <c r="H109" s="56">
        <f t="shared" si="36"/>
        <v>0</v>
      </c>
      <c r="I109" s="196"/>
      <c r="J109" s="113"/>
      <c r="K109" s="113"/>
      <c r="L109" s="196"/>
      <c r="M109" s="113"/>
      <c r="N109" s="113"/>
      <c r="O109" s="62">
        <f>订货1!AB109</f>
        <v>0</v>
      </c>
      <c r="P109" s="113"/>
      <c r="Q109" s="113"/>
      <c r="R109" s="62">
        <f>订货1!AC109</f>
        <v>0</v>
      </c>
      <c r="S109" s="113"/>
      <c r="T109" s="113"/>
      <c r="U109" s="62">
        <f>订货1!AD109</f>
        <v>0</v>
      </c>
      <c r="V109" s="113"/>
      <c r="W109" s="113"/>
      <c r="X109" s="62">
        <f>订货1!AE109</f>
        <v>0</v>
      </c>
      <c r="Y109" s="113"/>
      <c r="Z109" s="113"/>
      <c r="AA109" s="62">
        <f>订货1!AF109</f>
        <v>0</v>
      </c>
      <c r="AB109" s="113"/>
      <c r="AC109" s="113"/>
      <c r="AD109" s="62">
        <f>订货1!AG109</f>
        <v>0</v>
      </c>
      <c r="AE109" s="113"/>
      <c r="AF109" s="113"/>
      <c r="AG109" s="62">
        <f>订货1!AH109</f>
        <v>0</v>
      </c>
      <c r="AH109" s="113"/>
      <c r="AI109" s="113"/>
      <c r="AJ109" s="62">
        <f>订货1!AI109</f>
        <v>0</v>
      </c>
      <c r="AK109" s="113"/>
      <c r="AL109" s="113"/>
      <c r="AM109" s="62">
        <f>订货1!AJ109</f>
        <v>0</v>
      </c>
      <c r="AN109" s="113"/>
      <c r="AO109" s="113"/>
      <c r="AP109" s="62">
        <f>订货1!AK109</f>
        <v>0</v>
      </c>
      <c r="AQ109" s="113"/>
      <c r="AR109" s="113"/>
      <c r="AS109" s="62">
        <f>订货1!AL109</f>
        <v>0</v>
      </c>
      <c r="AT109" s="113"/>
      <c r="AU109" s="113"/>
      <c r="AV109" s="62">
        <f>订货1!AM109</f>
        <v>0</v>
      </c>
      <c r="AW109" s="113"/>
      <c r="AX109" s="113"/>
      <c r="AY109" s="62">
        <f>订货1!AN109</f>
        <v>0</v>
      </c>
      <c r="AZ109" s="113"/>
      <c r="BA109" s="113"/>
      <c r="BB109" s="62">
        <f>订货1!AO109</f>
        <v>0</v>
      </c>
      <c r="BC109" s="113"/>
      <c r="BD109" s="113"/>
      <c r="BE109" s="62">
        <f>订货1!AP109</f>
        <v>0</v>
      </c>
      <c r="BF109" s="113"/>
      <c r="BG109" s="113"/>
      <c r="BH109" s="62">
        <f>订货1!AQ109</f>
        <v>0</v>
      </c>
      <c r="BI109" s="113"/>
      <c r="BJ109" s="113"/>
      <c r="BK109" s="62">
        <f>订货1!AR109</f>
        <v>0</v>
      </c>
      <c r="BL109" s="113"/>
      <c r="BM109" s="113"/>
      <c r="BN109" s="62">
        <f>订货1!AS109</f>
        <v>0</v>
      </c>
      <c r="BO109" s="113"/>
      <c r="BP109" s="113"/>
      <c r="BQ109" s="62">
        <f>订货1!AT109</f>
        <v>0</v>
      </c>
      <c r="BR109" s="113"/>
      <c r="BS109" s="113"/>
      <c r="BT109" s="62">
        <f>订货1!AU109</f>
        <v>0</v>
      </c>
      <c r="BU109" s="113"/>
      <c r="BV109" s="113"/>
      <c r="BW109" s="62">
        <f>订货1!AV109</f>
        <v>0</v>
      </c>
      <c r="BX109" s="113"/>
      <c r="BY109" s="113"/>
      <c r="BZ109" s="62">
        <f>订货1!AW109</f>
        <v>0</v>
      </c>
      <c r="CA109" s="113"/>
      <c r="CB109" s="113"/>
      <c r="CC109" s="62">
        <f>订货1!AX109</f>
        <v>0</v>
      </c>
      <c r="CD109" s="113"/>
      <c r="CE109" s="113"/>
      <c r="CF109" s="62">
        <f>订货1!AY109</f>
        <v>0</v>
      </c>
      <c r="CG109" s="113"/>
      <c r="CH109" s="113"/>
      <c r="CI109" s="62">
        <f>订货1!AZ109</f>
        <v>0</v>
      </c>
      <c r="CJ109" s="113"/>
      <c r="CK109" s="113"/>
      <c r="CL109" s="62">
        <f>订货1!BA109</f>
        <v>0</v>
      </c>
      <c r="CM109" s="113"/>
      <c r="CN109" s="113"/>
      <c r="CO109" s="62">
        <f>订货1!BB109</f>
        <v>0</v>
      </c>
      <c r="CP109" s="113"/>
      <c r="CQ109" s="113"/>
      <c r="CR109" s="62">
        <f>订货1!BC109</f>
        <v>0</v>
      </c>
      <c r="CS109" s="113"/>
      <c r="CT109" s="113"/>
      <c r="CU109" s="62">
        <f>订货1!BD109</f>
        <v>0</v>
      </c>
      <c r="CV109" s="113"/>
      <c r="CW109" s="113"/>
      <c r="CX109" s="62">
        <f>订货1!BE109</f>
        <v>0</v>
      </c>
      <c r="CY109" s="113"/>
      <c r="CZ109" s="113"/>
      <c r="DA109" s="62">
        <f>订货1!BF109</f>
        <v>0</v>
      </c>
      <c r="DB109" s="113"/>
      <c r="DC109" s="113"/>
      <c r="DD109" s="208">
        <v>0</v>
      </c>
      <c r="DE109" s="110" t="e">
        <f t="shared" si="34"/>
        <v>#DIV/0!</v>
      </c>
      <c r="DF109" s="52">
        <f t="shared" si="33"/>
        <v>0</v>
      </c>
      <c r="DG109" s="32" t="str">
        <f>订货1!$Q109</f>
        <v>箱</v>
      </c>
      <c r="DH109" s="209" t="e">
        <f t="shared" si="35"/>
        <v>#DIV/0!</v>
      </c>
    </row>
    <row r="110" spans="1:112" ht="15" customHeight="1">
      <c r="A110" s="48">
        <f>订货1!A110</f>
        <v>101713</v>
      </c>
      <c r="B110" s="44" t="str">
        <f>VLOOKUP($A110,订货1!$A110:$G352,7,0)</f>
        <v>广州萨莉亚餐饮有限公司</v>
      </c>
      <c r="C110" s="44" t="str">
        <f>VLOOKUP($A110,订货1!$A110:$H352,8,0)</f>
        <v xml:space="preserve">Lacto Asia Pte Ltd </v>
      </c>
      <c r="D110" s="44" t="str">
        <f>VLOOKUP($A110,订货1!$A110:$B352,2,0)</f>
        <v>蓝纹干酪制品酱</v>
      </c>
      <c r="E110" s="44" t="str">
        <f>VLOOKUP($A110,订货1!$A110:$E352,5,0)</f>
        <v>0.5kg*20pc</v>
      </c>
      <c r="F110" s="49" t="str">
        <f>VLOOKUP($A110,订货1!$A110:$F352,6,0)</f>
        <v>箱</v>
      </c>
      <c r="G110" s="203"/>
      <c r="H110" s="56">
        <f t="shared" si="36"/>
        <v>0</v>
      </c>
      <c r="I110" s="196"/>
      <c r="J110" s="113"/>
      <c r="K110" s="113"/>
      <c r="L110" s="196"/>
      <c r="M110" s="113"/>
      <c r="N110" s="113"/>
      <c r="O110" s="62">
        <f>订货1!AB110</f>
        <v>0</v>
      </c>
      <c r="P110" s="113"/>
      <c r="Q110" s="113"/>
      <c r="R110" s="62">
        <f>订货1!AC110</f>
        <v>0</v>
      </c>
      <c r="S110" s="113"/>
      <c r="T110" s="113"/>
      <c r="U110" s="62">
        <f>订货1!AD110</f>
        <v>0</v>
      </c>
      <c r="V110" s="113"/>
      <c r="W110" s="113"/>
      <c r="X110" s="62">
        <f>订货1!AE110</f>
        <v>0</v>
      </c>
      <c r="Y110" s="113"/>
      <c r="Z110" s="113"/>
      <c r="AA110" s="62">
        <f>订货1!AF110</f>
        <v>0</v>
      </c>
      <c r="AB110" s="113"/>
      <c r="AC110" s="113"/>
      <c r="AD110" s="62">
        <f>订货1!AG110</f>
        <v>0</v>
      </c>
      <c r="AE110" s="113"/>
      <c r="AF110" s="113"/>
      <c r="AG110" s="62">
        <f>订货1!AH110</f>
        <v>0</v>
      </c>
      <c r="AH110" s="113"/>
      <c r="AI110" s="113"/>
      <c r="AJ110" s="62">
        <f>订货1!AI110</f>
        <v>0</v>
      </c>
      <c r="AK110" s="113"/>
      <c r="AL110" s="113"/>
      <c r="AM110" s="62">
        <f>订货1!AJ110</f>
        <v>0</v>
      </c>
      <c r="AN110" s="113"/>
      <c r="AO110" s="113"/>
      <c r="AP110" s="62">
        <f>订货1!AK110</f>
        <v>0</v>
      </c>
      <c r="AQ110" s="113"/>
      <c r="AR110" s="113"/>
      <c r="AS110" s="62">
        <f>订货1!AL110</f>
        <v>0</v>
      </c>
      <c r="AT110" s="113"/>
      <c r="AU110" s="113"/>
      <c r="AV110" s="62">
        <f>订货1!AM110</f>
        <v>0</v>
      </c>
      <c r="AW110" s="113"/>
      <c r="AX110" s="113"/>
      <c r="AY110" s="62">
        <f>订货1!AN110</f>
        <v>0</v>
      </c>
      <c r="AZ110" s="113"/>
      <c r="BA110" s="113"/>
      <c r="BB110" s="62">
        <f>订货1!AO110</f>
        <v>0</v>
      </c>
      <c r="BC110" s="113"/>
      <c r="BD110" s="113"/>
      <c r="BE110" s="62">
        <f>订货1!AP110</f>
        <v>0</v>
      </c>
      <c r="BF110" s="113"/>
      <c r="BG110" s="113"/>
      <c r="BH110" s="62">
        <f>订货1!AQ110</f>
        <v>0</v>
      </c>
      <c r="BI110" s="113"/>
      <c r="BJ110" s="113"/>
      <c r="BK110" s="62">
        <f>订货1!AR110</f>
        <v>0</v>
      </c>
      <c r="BL110" s="113"/>
      <c r="BM110" s="113"/>
      <c r="BN110" s="62">
        <f>订货1!AS110</f>
        <v>0</v>
      </c>
      <c r="BO110" s="113"/>
      <c r="BP110" s="113"/>
      <c r="BQ110" s="62">
        <f>订货1!AT110</f>
        <v>0</v>
      </c>
      <c r="BR110" s="113"/>
      <c r="BS110" s="113"/>
      <c r="BT110" s="62">
        <f>订货1!AU110</f>
        <v>0</v>
      </c>
      <c r="BU110" s="113"/>
      <c r="BV110" s="113"/>
      <c r="BW110" s="62">
        <f>订货1!AV110</f>
        <v>0</v>
      </c>
      <c r="BX110" s="113"/>
      <c r="BY110" s="113"/>
      <c r="BZ110" s="62">
        <f>订货1!AW110</f>
        <v>0</v>
      </c>
      <c r="CA110" s="113"/>
      <c r="CB110" s="113"/>
      <c r="CC110" s="62">
        <f>订货1!AX110</f>
        <v>0</v>
      </c>
      <c r="CD110" s="113"/>
      <c r="CE110" s="113"/>
      <c r="CF110" s="62">
        <f>订货1!AY110</f>
        <v>0</v>
      </c>
      <c r="CG110" s="113"/>
      <c r="CH110" s="113"/>
      <c r="CI110" s="62">
        <f>订货1!AZ110</f>
        <v>0</v>
      </c>
      <c r="CJ110" s="113"/>
      <c r="CK110" s="113"/>
      <c r="CL110" s="62">
        <f>订货1!BA110</f>
        <v>0</v>
      </c>
      <c r="CM110" s="113"/>
      <c r="CN110" s="113"/>
      <c r="CO110" s="62">
        <f>订货1!BB110</f>
        <v>0</v>
      </c>
      <c r="CP110" s="113"/>
      <c r="CQ110" s="113"/>
      <c r="CR110" s="62">
        <f>订货1!BC110</f>
        <v>0</v>
      </c>
      <c r="CS110" s="113"/>
      <c r="CT110" s="113"/>
      <c r="CU110" s="62">
        <f>订货1!BD110</f>
        <v>0</v>
      </c>
      <c r="CV110" s="113"/>
      <c r="CW110" s="113"/>
      <c r="CX110" s="62">
        <f>订货1!BE110</f>
        <v>0</v>
      </c>
      <c r="CY110" s="113"/>
      <c r="CZ110" s="113"/>
      <c r="DA110" s="62">
        <f>订货1!BF110</f>
        <v>0</v>
      </c>
      <c r="DB110" s="113"/>
      <c r="DC110" s="113"/>
      <c r="DD110" s="208">
        <v>0</v>
      </c>
      <c r="DE110" s="110" t="e">
        <f t="shared" si="34"/>
        <v>#DIV/0!</v>
      </c>
      <c r="DF110" s="52">
        <f t="shared" si="33"/>
        <v>0</v>
      </c>
      <c r="DG110" s="32" t="str">
        <f>订货1!$Q110</f>
        <v>箱</v>
      </c>
      <c r="DH110" s="209" t="e">
        <f t="shared" si="35"/>
        <v>#DIV/0!</v>
      </c>
    </row>
    <row r="111" spans="1:112" ht="15" customHeight="1">
      <c r="A111" s="48">
        <f>订货1!A111</f>
        <v>710005</v>
      </c>
      <c r="B111" s="44" t="str">
        <f>VLOOKUP($A111,订货1!$A111:$G353,7,0)</f>
        <v>浙江太古可口可乐饮料有限公司</v>
      </c>
      <c r="C111" s="44" t="str">
        <f>VLOOKUP($A111,订货1!$A111:$H353,8,0)</f>
        <v>浙江太古可口可乐饮料有限公司</v>
      </c>
      <c r="D111" s="44" t="str">
        <f>VLOOKUP($A111,订货1!$A111:$B353,2,0)</f>
        <v>零度可乐糖浆</v>
      </c>
      <c r="E111" s="44" t="str">
        <f>VLOOKUP($A111,订货1!$A111:$E353,5,0)</f>
        <v>10L</v>
      </c>
      <c r="F111" s="49" t="str">
        <f>VLOOKUP($A111,订货1!$A111:$F353,6,0)</f>
        <v>箱</v>
      </c>
      <c r="G111" s="203"/>
      <c r="H111" s="56">
        <f t="shared" si="36"/>
        <v>0</v>
      </c>
      <c r="I111" s="196"/>
      <c r="J111" s="113"/>
      <c r="K111" s="113"/>
      <c r="L111" s="196"/>
      <c r="M111" s="113"/>
      <c r="N111" s="113"/>
      <c r="O111" s="62">
        <f>订货1!AB111</f>
        <v>0</v>
      </c>
      <c r="P111" s="113"/>
      <c r="Q111" s="113"/>
      <c r="R111" s="62">
        <f>订货1!AC111</f>
        <v>0</v>
      </c>
      <c r="S111" s="113"/>
      <c r="T111" s="113"/>
      <c r="U111" s="62">
        <f>订货1!AD111</f>
        <v>0</v>
      </c>
      <c r="V111" s="113"/>
      <c r="W111" s="113"/>
      <c r="X111" s="62">
        <f>订货1!AE111</f>
        <v>0</v>
      </c>
      <c r="Y111" s="113"/>
      <c r="Z111" s="113"/>
      <c r="AA111" s="62">
        <f>订货1!AF111</f>
        <v>0</v>
      </c>
      <c r="AB111" s="113"/>
      <c r="AC111" s="113"/>
      <c r="AD111" s="62">
        <f>订货1!AG111</f>
        <v>0</v>
      </c>
      <c r="AE111" s="113"/>
      <c r="AF111" s="113"/>
      <c r="AG111" s="62">
        <f>订货1!AH111</f>
        <v>0</v>
      </c>
      <c r="AH111" s="113"/>
      <c r="AI111" s="113"/>
      <c r="AJ111" s="62">
        <f>订货1!AI111</f>
        <v>0</v>
      </c>
      <c r="AK111" s="113"/>
      <c r="AL111" s="113"/>
      <c r="AM111" s="62">
        <f>订货1!AJ111</f>
        <v>0</v>
      </c>
      <c r="AN111" s="113"/>
      <c r="AO111" s="113"/>
      <c r="AP111" s="62">
        <f>订货1!AK111</f>
        <v>0</v>
      </c>
      <c r="AQ111" s="113"/>
      <c r="AR111" s="113"/>
      <c r="AS111" s="62">
        <f>订货1!AL111</f>
        <v>0</v>
      </c>
      <c r="AT111" s="113"/>
      <c r="AU111" s="113"/>
      <c r="AV111" s="62">
        <f>订货1!AM111</f>
        <v>0</v>
      </c>
      <c r="AW111" s="113"/>
      <c r="AX111" s="113"/>
      <c r="AY111" s="62">
        <f>订货1!AN111</f>
        <v>0</v>
      </c>
      <c r="AZ111" s="113"/>
      <c r="BA111" s="113"/>
      <c r="BB111" s="62">
        <f>订货1!AO111</f>
        <v>0</v>
      </c>
      <c r="BC111" s="113"/>
      <c r="BD111" s="113"/>
      <c r="BE111" s="62">
        <f>订货1!AP111</f>
        <v>0</v>
      </c>
      <c r="BF111" s="113"/>
      <c r="BG111" s="113"/>
      <c r="BH111" s="62">
        <f>订货1!AQ111</f>
        <v>0</v>
      </c>
      <c r="BI111" s="113"/>
      <c r="BJ111" s="113"/>
      <c r="BK111" s="62">
        <f>订货1!AR111</f>
        <v>0</v>
      </c>
      <c r="BL111" s="113"/>
      <c r="BM111" s="113"/>
      <c r="BN111" s="62">
        <f>订货1!AS111</f>
        <v>0</v>
      </c>
      <c r="BO111" s="113"/>
      <c r="BP111" s="113"/>
      <c r="BQ111" s="62">
        <f>订货1!AT111</f>
        <v>0</v>
      </c>
      <c r="BR111" s="113"/>
      <c r="BS111" s="113"/>
      <c r="BT111" s="62">
        <f>订货1!AU111</f>
        <v>0</v>
      </c>
      <c r="BU111" s="113"/>
      <c r="BV111" s="113"/>
      <c r="BW111" s="62">
        <f>订货1!AV111</f>
        <v>0</v>
      </c>
      <c r="BX111" s="113"/>
      <c r="BY111" s="113"/>
      <c r="BZ111" s="62">
        <f>订货1!AW111</f>
        <v>0</v>
      </c>
      <c r="CA111" s="113"/>
      <c r="CB111" s="113"/>
      <c r="CC111" s="62">
        <f>订货1!AX111</f>
        <v>0</v>
      </c>
      <c r="CD111" s="113"/>
      <c r="CE111" s="113"/>
      <c r="CF111" s="62">
        <f>订货1!AY111</f>
        <v>0</v>
      </c>
      <c r="CG111" s="113"/>
      <c r="CH111" s="113"/>
      <c r="CI111" s="62">
        <f>订货1!AZ111</f>
        <v>0</v>
      </c>
      <c r="CJ111" s="113"/>
      <c r="CK111" s="113"/>
      <c r="CL111" s="62">
        <f>订货1!BA111</f>
        <v>0</v>
      </c>
      <c r="CM111" s="113"/>
      <c r="CN111" s="113"/>
      <c r="CO111" s="62">
        <f>订货1!BB111</f>
        <v>0</v>
      </c>
      <c r="CP111" s="113"/>
      <c r="CQ111" s="113"/>
      <c r="CR111" s="62">
        <f>订货1!BC111</f>
        <v>0</v>
      </c>
      <c r="CS111" s="113"/>
      <c r="CT111" s="113"/>
      <c r="CU111" s="62">
        <f>订货1!BD111</f>
        <v>0</v>
      </c>
      <c r="CV111" s="113"/>
      <c r="CW111" s="113"/>
      <c r="CX111" s="62">
        <f>订货1!BE111</f>
        <v>0</v>
      </c>
      <c r="CY111" s="113"/>
      <c r="CZ111" s="113"/>
      <c r="DA111" s="62">
        <f>订货1!BF111</f>
        <v>0</v>
      </c>
      <c r="DB111" s="113"/>
      <c r="DC111" s="113"/>
      <c r="DD111" s="208">
        <v>0</v>
      </c>
      <c r="DE111" s="110" t="e">
        <f t="shared" si="34"/>
        <v>#DIV/0!</v>
      </c>
      <c r="DF111" s="52">
        <f t="shared" si="33"/>
        <v>0</v>
      </c>
      <c r="DG111" s="32" t="str">
        <f>订货1!$Q111</f>
        <v>箱</v>
      </c>
      <c r="DH111" s="209" t="e">
        <f t="shared" si="35"/>
        <v>#DIV/0!</v>
      </c>
    </row>
    <row r="112" spans="1:112" ht="15" customHeight="1">
      <c r="A112" s="48">
        <f>订货1!A112</f>
        <v>710006</v>
      </c>
      <c r="B112" s="44" t="str">
        <f>VLOOKUP($A112,订货1!$A112:$G354,7,0)</f>
        <v>浙江太古可口可乐饮料有限公司</v>
      </c>
      <c r="C112" s="44" t="str">
        <f>VLOOKUP($A112,订货1!$A112:$H354,8,0)</f>
        <v>浙江太古可口可乐饮料有限公司</v>
      </c>
      <c r="D112" s="44" t="str">
        <f>VLOOKUP($A112,订货1!$A112:$B354,2,0)</f>
        <v>太古碳酸（仅限浙江店铺用）</v>
      </c>
      <c r="E112" s="44" t="str">
        <f>VLOOKUP($A112,订货1!$A112:$E354,5,0)</f>
        <v>桶</v>
      </c>
      <c r="F112" s="49" t="str">
        <f>VLOOKUP($A112,订货1!$A112:$F354,6,0)</f>
        <v>桶</v>
      </c>
      <c r="G112" s="203"/>
      <c r="H112" s="56">
        <f t="shared" si="36"/>
        <v>0</v>
      </c>
      <c r="I112" s="196"/>
      <c r="J112" s="113"/>
      <c r="K112" s="113"/>
      <c r="L112" s="196"/>
      <c r="M112" s="113"/>
      <c r="N112" s="113"/>
      <c r="O112" s="62">
        <f>订货1!AB112</f>
        <v>0</v>
      </c>
      <c r="P112" s="113"/>
      <c r="Q112" s="113"/>
      <c r="R112" s="62">
        <f>订货1!AC112</f>
        <v>0</v>
      </c>
      <c r="S112" s="113"/>
      <c r="T112" s="113"/>
      <c r="U112" s="62">
        <f>订货1!AD112</f>
        <v>0</v>
      </c>
      <c r="V112" s="113"/>
      <c r="W112" s="113"/>
      <c r="X112" s="62">
        <f>订货1!AE112</f>
        <v>0</v>
      </c>
      <c r="Y112" s="113"/>
      <c r="Z112" s="113"/>
      <c r="AA112" s="62">
        <f>订货1!AF112</f>
        <v>0</v>
      </c>
      <c r="AB112" s="113"/>
      <c r="AC112" s="113"/>
      <c r="AD112" s="62">
        <f>订货1!AG112</f>
        <v>0</v>
      </c>
      <c r="AE112" s="113"/>
      <c r="AF112" s="113"/>
      <c r="AG112" s="62">
        <f>订货1!AH112</f>
        <v>0</v>
      </c>
      <c r="AH112" s="113"/>
      <c r="AI112" s="113"/>
      <c r="AJ112" s="62">
        <f>订货1!AI112</f>
        <v>0</v>
      </c>
      <c r="AK112" s="113"/>
      <c r="AL112" s="113"/>
      <c r="AM112" s="62">
        <f>订货1!AJ112</f>
        <v>0</v>
      </c>
      <c r="AN112" s="113"/>
      <c r="AO112" s="113"/>
      <c r="AP112" s="62">
        <f>订货1!AK112</f>
        <v>0</v>
      </c>
      <c r="AQ112" s="113"/>
      <c r="AR112" s="113"/>
      <c r="AS112" s="62">
        <f>订货1!AL112</f>
        <v>0</v>
      </c>
      <c r="AT112" s="113"/>
      <c r="AU112" s="113"/>
      <c r="AV112" s="62">
        <f>订货1!AM112</f>
        <v>0</v>
      </c>
      <c r="AW112" s="113"/>
      <c r="AX112" s="113"/>
      <c r="AY112" s="62">
        <f>订货1!AN112</f>
        <v>0</v>
      </c>
      <c r="AZ112" s="113"/>
      <c r="BA112" s="113"/>
      <c r="BB112" s="62">
        <f>订货1!AO112</f>
        <v>0</v>
      </c>
      <c r="BC112" s="113"/>
      <c r="BD112" s="113"/>
      <c r="BE112" s="62">
        <f>订货1!AP112</f>
        <v>0</v>
      </c>
      <c r="BF112" s="113"/>
      <c r="BG112" s="113"/>
      <c r="BH112" s="62">
        <f>订货1!AQ112</f>
        <v>0</v>
      </c>
      <c r="BI112" s="113"/>
      <c r="BJ112" s="113"/>
      <c r="BK112" s="62">
        <f>订货1!AR112</f>
        <v>0</v>
      </c>
      <c r="BL112" s="113"/>
      <c r="BM112" s="113"/>
      <c r="BN112" s="62">
        <f>订货1!AS112</f>
        <v>0</v>
      </c>
      <c r="BO112" s="113"/>
      <c r="BP112" s="113"/>
      <c r="BQ112" s="62">
        <f>订货1!AT112</f>
        <v>0</v>
      </c>
      <c r="BR112" s="113"/>
      <c r="BS112" s="113"/>
      <c r="BT112" s="62">
        <f>订货1!AU112</f>
        <v>0</v>
      </c>
      <c r="BU112" s="113"/>
      <c r="BV112" s="113"/>
      <c r="BW112" s="62">
        <f>订货1!AV112</f>
        <v>0</v>
      </c>
      <c r="BX112" s="113"/>
      <c r="BY112" s="113"/>
      <c r="BZ112" s="62">
        <f>订货1!AW112</f>
        <v>0</v>
      </c>
      <c r="CA112" s="113"/>
      <c r="CB112" s="113"/>
      <c r="CC112" s="62">
        <f>订货1!AX112</f>
        <v>0</v>
      </c>
      <c r="CD112" s="113"/>
      <c r="CE112" s="113"/>
      <c r="CF112" s="62">
        <f>订货1!AY112</f>
        <v>0</v>
      </c>
      <c r="CG112" s="113"/>
      <c r="CH112" s="113"/>
      <c r="CI112" s="62">
        <f>订货1!AZ112</f>
        <v>0</v>
      </c>
      <c r="CJ112" s="113"/>
      <c r="CK112" s="113"/>
      <c r="CL112" s="62">
        <f>订货1!BA112</f>
        <v>0</v>
      </c>
      <c r="CM112" s="113"/>
      <c r="CN112" s="113"/>
      <c r="CO112" s="62">
        <f>订货1!BB112</f>
        <v>0</v>
      </c>
      <c r="CP112" s="113"/>
      <c r="CQ112" s="113"/>
      <c r="CR112" s="62">
        <f>订货1!BC112</f>
        <v>0</v>
      </c>
      <c r="CS112" s="113"/>
      <c r="CT112" s="113"/>
      <c r="CU112" s="62">
        <f>订货1!BD112</f>
        <v>0</v>
      </c>
      <c r="CV112" s="113"/>
      <c r="CW112" s="113"/>
      <c r="CX112" s="62">
        <f>订货1!BE112</f>
        <v>0</v>
      </c>
      <c r="CY112" s="113"/>
      <c r="CZ112" s="113"/>
      <c r="DA112" s="62">
        <f>订货1!BF112</f>
        <v>0</v>
      </c>
      <c r="DB112" s="113"/>
      <c r="DC112" s="113"/>
      <c r="DD112" s="208">
        <v>0</v>
      </c>
      <c r="DE112" s="110" t="e">
        <f t="shared" si="34"/>
        <v>#DIV/0!</v>
      </c>
      <c r="DF112" s="52">
        <f t="shared" si="33"/>
        <v>0</v>
      </c>
      <c r="DG112" s="32" t="str">
        <f>订货1!$Q112</f>
        <v>桶</v>
      </c>
      <c r="DH112" s="209" t="e">
        <f t="shared" si="35"/>
        <v>#DIV/0!</v>
      </c>
    </row>
    <row r="113" spans="1:112" ht="15" customHeight="1">
      <c r="A113" s="48">
        <f>订货1!A113</f>
        <v>101717</v>
      </c>
      <c r="B113" s="44" t="str">
        <f>VLOOKUP($A113,订货1!$A113:$G355,7,0)</f>
        <v>辣西西里（北京）国际贸易有限公司</v>
      </c>
      <c r="C113" s="44" t="str">
        <f>VLOOKUP($A113,订货1!$A113:$H355,8,0)</f>
        <v>Cantine Riondo SpA</v>
      </c>
      <c r="D113" s="44" t="str">
        <f>VLOOKUP($A113,订货1!$A113:$B355,2,0)</f>
        <v>薄荷巧克力味冰淇淋</v>
      </c>
      <c r="E113" s="44" t="str">
        <f>VLOOKUP($A113,订货1!$A113:$E355,5,0)</f>
        <v>85g*9</v>
      </c>
      <c r="F113" s="49" t="str">
        <f>VLOOKUP($A113,订货1!$A113:$F355,6,0)</f>
        <v>盒</v>
      </c>
      <c r="G113" s="203"/>
      <c r="H113" s="56">
        <f t="shared" si="36"/>
        <v>5</v>
      </c>
      <c r="I113" s="196"/>
      <c r="J113" s="113"/>
      <c r="K113" s="113"/>
      <c r="L113" s="196"/>
      <c r="M113" s="113"/>
      <c r="N113" s="113"/>
      <c r="O113" s="62">
        <f>订货1!AB113</f>
        <v>0</v>
      </c>
      <c r="P113" s="113"/>
      <c r="Q113" s="113"/>
      <c r="R113" s="62">
        <f>订货1!AC113</f>
        <v>1</v>
      </c>
      <c r="S113" s="113"/>
      <c r="T113" s="113"/>
      <c r="U113" s="62">
        <f>订货1!AD113</f>
        <v>0</v>
      </c>
      <c r="V113" s="113"/>
      <c r="W113" s="113"/>
      <c r="X113" s="62">
        <f>订货1!AE113</f>
        <v>0</v>
      </c>
      <c r="Y113" s="113"/>
      <c r="Z113" s="113"/>
      <c r="AA113" s="62">
        <f>订货1!AF113</f>
        <v>1</v>
      </c>
      <c r="AB113" s="113"/>
      <c r="AC113" s="113"/>
      <c r="AD113" s="62">
        <f>订货1!AG113</f>
        <v>1</v>
      </c>
      <c r="AE113" s="113"/>
      <c r="AF113" s="113"/>
      <c r="AG113" s="62">
        <f>订货1!AH113</f>
        <v>0</v>
      </c>
      <c r="AH113" s="113"/>
      <c r="AI113" s="113"/>
      <c r="AJ113" s="62">
        <f>订货1!AI113</f>
        <v>1</v>
      </c>
      <c r="AK113" s="113"/>
      <c r="AL113" s="113"/>
      <c r="AM113" s="62">
        <f>订货1!AJ113</f>
        <v>0</v>
      </c>
      <c r="AN113" s="113"/>
      <c r="AO113" s="113"/>
      <c r="AP113" s="62">
        <f>订货1!AK113</f>
        <v>0</v>
      </c>
      <c r="AQ113" s="113"/>
      <c r="AR113" s="113"/>
      <c r="AS113" s="62">
        <f>订货1!AL113</f>
        <v>0</v>
      </c>
      <c r="AT113" s="113"/>
      <c r="AU113" s="113"/>
      <c r="AV113" s="62">
        <f>订货1!AM113</f>
        <v>0</v>
      </c>
      <c r="AW113" s="113"/>
      <c r="AX113" s="113"/>
      <c r="AY113" s="62">
        <f>订货1!AN113</f>
        <v>1</v>
      </c>
      <c r="AZ113" s="113"/>
      <c r="BA113" s="113"/>
      <c r="BB113" s="62">
        <f>订货1!AO113</f>
        <v>0</v>
      </c>
      <c r="BC113" s="113"/>
      <c r="BD113" s="113"/>
      <c r="BE113" s="62">
        <f>订货1!AP113</f>
        <v>0</v>
      </c>
      <c r="BF113" s="113"/>
      <c r="BG113" s="113"/>
      <c r="BH113" s="62">
        <f>订货1!AQ113</f>
        <v>0</v>
      </c>
      <c r="BI113" s="113"/>
      <c r="BJ113" s="113"/>
      <c r="BK113" s="62">
        <f>订货1!AR113</f>
        <v>0</v>
      </c>
      <c r="BL113" s="113"/>
      <c r="BM113" s="113"/>
      <c r="BN113" s="62">
        <f>订货1!AS113</f>
        <v>0</v>
      </c>
      <c r="BO113" s="113"/>
      <c r="BP113" s="113"/>
      <c r="BQ113" s="62">
        <f>订货1!AT113</f>
        <v>0</v>
      </c>
      <c r="BR113" s="113"/>
      <c r="BS113" s="113"/>
      <c r="BT113" s="62">
        <f>订货1!AU113</f>
        <v>0</v>
      </c>
      <c r="BU113" s="113"/>
      <c r="BV113" s="113"/>
      <c r="BW113" s="62">
        <f>订货1!AV113</f>
        <v>0</v>
      </c>
      <c r="BX113" s="113"/>
      <c r="BY113" s="113"/>
      <c r="BZ113" s="62">
        <f>订货1!AW113</f>
        <v>0</v>
      </c>
      <c r="CA113" s="113"/>
      <c r="CB113" s="113"/>
      <c r="CC113" s="62">
        <f>订货1!AX113</f>
        <v>0</v>
      </c>
      <c r="CD113" s="113"/>
      <c r="CE113" s="113"/>
      <c r="CF113" s="62">
        <f>订货1!AY113</f>
        <v>0</v>
      </c>
      <c r="CG113" s="113"/>
      <c r="CH113" s="113"/>
      <c r="CI113" s="62">
        <f>订货1!AZ113</f>
        <v>0</v>
      </c>
      <c r="CJ113" s="113"/>
      <c r="CK113" s="113"/>
      <c r="CL113" s="62">
        <f>订货1!BA113</f>
        <v>0</v>
      </c>
      <c r="CM113" s="113"/>
      <c r="CN113" s="113"/>
      <c r="CO113" s="62">
        <f>订货1!BB113</f>
        <v>0</v>
      </c>
      <c r="CP113" s="113"/>
      <c r="CQ113" s="113"/>
      <c r="CR113" s="62">
        <f>订货1!BC113</f>
        <v>0</v>
      </c>
      <c r="CS113" s="113"/>
      <c r="CT113" s="113"/>
      <c r="CU113" s="62">
        <f>订货1!BD113</f>
        <v>0</v>
      </c>
      <c r="CV113" s="113"/>
      <c r="CW113" s="113"/>
      <c r="CX113" s="62">
        <f>订货1!BE113</f>
        <v>0</v>
      </c>
      <c r="CY113" s="113"/>
      <c r="CZ113" s="113"/>
      <c r="DA113" s="62">
        <f>订货1!BF113</f>
        <v>0</v>
      </c>
      <c r="DB113" s="113"/>
      <c r="DC113" s="113"/>
      <c r="DD113" s="208">
        <v>0</v>
      </c>
      <c r="DE113" s="110" t="e">
        <f t="shared" si="34"/>
        <v>#DIV/0!</v>
      </c>
      <c r="DF113" s="52">
        <f t="shared" si="33"/>
        <v>5</v>
      </c>
      <c r="DG113" s="32" t="str">
        <f>订货1!$Q113</f>
        <v>盒</v>
      </c>
      <c r="DH113" s="209" t="e">
        <f t="shared" si="35"/>
        <v>#DIV/0!</v>
      </c>
    </row>
    <row r="114" spans="1:112" ht="15" customHeight="1">
      <c r="A114" s="210">
        <f>订货1!A114</f>
        <v>101703</v>
      </c>
      <c r="B114" s="183" t="str">
        <f>VLOOKUP($A114,订货1!$A114:$G355,7,0)</f>
        <v>日邦食品（上海）有限公司</v>
      </c>
      <c r="C114" s="183" t="str">
        <f>VLOOKUP($A114,订货1!$A114:$H355,8,0)</f>
        <v>山东丰龙食品有限公司</v>
      </c>
      <c r="D114" s="183" t="str">
        <f>VLOOKUP($A114,订货1!$A114:$B355,2,0)</f>
        <v>油炸饭团</v>
      </c>
      <c r="E114" s="44" t="str">
        <f>VLOOKUP($A114,订货1!$A114:$E355,5,0)</f>
        <v>0.4kg*20pc</v>
      </c>
      <c r="F114" s="49" t="str">
        <f>VLOOKUP($A114,订货1!$A114:$F355,6,0)</f>
        <v>箱</v>
      </c>
      <c r="G114" s="203"/>
      <c r="H114" s="56">
        <f t="shared" si="36"/>
        <v>0</v>
      </c>
      <c r="I114" s="196"/>
      <c r="J114" s="113"/>
      <c r="K114" s="113"/>
      <c r="L114" s="196"/>
      <c r="M114" s="113"/>
      <c r="N114" s="113"/>
      <c r="O114" s="62">
        <f>订货1!AB114</f>
        <v>0</v>
      </c>
      <c r="P114" s="113"/>
      <c r="Q114" s="113"/>
      <c r="R114" s="62">
        <f>订货1!AC114</f>
        <v>0</v>
      </c>
      <c r="S114" s="113"/>
      <c r="T114" s="113"/>
      <c r="U114" s="62">
        <f>订货1!AD114</f>
        <v>0</v>
      </c>
      <c r="V114" s="113"/>
      <c r="W114" s="113"/>
      <c r="X114" s="62">
        <f>订货1!AE114</f>
        <v>0</v>
      </c>
      <c r="Y114" s="113"/>
      <c r="Z114" s="113"/>
      <c r="AA114" s="62">
        <f>订货1!AF114</f>
        <v>0</v>
      </c>
      <c r="AB114" s="113"/>
      <c r="AC114" s="113"/>
      <c r="AD114" s="62">
        <f>订货1!AG114</f>
        <v>0</v>
      </c>
      <c r="AE114" s="113"/>
      <c r="AF114" s="113"/>
      <c r="AG114" s="62">
        <f>订货1!AH114</f>
        <v>0</v>
      </c>
      <c r="AH114" s="113"/>
      <c r="AI114" s="113"/>
      <c r="AJ114" s="62">
        <f>订货1!AI114</f>
        <v>0</v>
      </c>
      <c r="AK114" s="113"/>
      <c r="AL114" s="113"/>
      <c r="AM114" s="62">
        <f>订货1!AJ114</f>
        <v>0</v>
      </c>
      <c r="AN114" s="113"/>
      <c r="AO114" s="113"/>
      <c r="AP114" s="62">
        <f>订货1!AK114</f>
        <v>0</v>
      </c>
      <c r="AQ114" s="113"/>
      <c r="AR114" s="113"/>
      <c r="AS114" s="62">
        <f>订货1!AL114</f>
        <v>0</v>
      </c>
      <c r="AT114" s="113"/>
      <c r="AU114" s="113"/>
      <c r="AV114" s="62">
        <f>订货1!AM114</f>
        <v>0</v>
      </c>
      <c r="AW114" s="113"/>
      <c r="AX114" s="113"/>
      <c r="AY114" s="62">
        <f>订货1!AN114</f>
        <v>0</v>
      </c>
      <c r="AZ114" s="113"/>
      <c r="BA114" s="113"/>
      <c r="BB114" s="62">
        <f>订货1!AO114</f>
        <v>0</v>
      </c>
      <c r="BC114" s="113"/>
      <c r="BD114" s="113"/>
      <c r="BE114" s="62">
        <f>订货1!AP114</f>
        <v>0</v>
      </c>
      <c r="BF114" s="113"/>
      <c r="BG114" s="113"/>
      <c r="BH114" s="62">
        <f>订货1!AQ114</f>
        <v>0</v>
      </c>
      <c r="BI114" s="113"/>
      <c r="BJ114" s="113"/>
      <c r="BK114" s="62">
        <f>订货1!AR114</f>
        <v>0</v>
      </c>
      <c r="BL114" s="113"/>
      <c r="BM114" s="113"/>
      <c r="BN114" s="62">
        <f>订货1!AS114</f>
        <v>0</v>
      </c>
      <c r="BO114" s="113"/>
      <c r="BP114" s="113"/>
      <c r="BQ114" s="62">
        <f>订货1!AT114</f>
        <v>0</v>
      </c>
      <c r="BR114" s="113"/>
      <c r="BS114" s="113"/>
      <c r="BT114" s="62">
        <f>订货1!AU114</f>
        <v>0</v>
      </c>
      <c r="BU114" s="113"/>
      <c r="BV114" s="113"/>
      <c r="BW114" s="62">
        <f>订货1!AV114</f>
        <v>0</v>
      </c>
      <c r="BX114" s="113"/>
      <c r="BY114" s="113"/>
      <c r="BZ114" s="62">
        <f>订货1!AW114</f>
        <v>0</v>
      </c>
      <c r="CA114" s="113"/>
      <c r="CB114" s="113"/>
      <c r="CC114" s="62">
        <f>订货1!AX114</f>
        <v>0</v>
      </c>
      <c r="CD114" s="113"/>
      <c r="CE114" s="113"/>
      <c r="CF114" s="62">
        <f>订货1!AY114</f>
        <v>0</v>
      </c>
      <c r="CG114" s="113"/>
      <c r="CH114" s="113"/>
      <c r="CI114" s="62">
        <f>订货1!AZ114</f>
        <v>0</v>
      </c>
      <c r="CJ114" s="113"/>
      <c r="CK114" s="113"/>
      <c r="CL114" s="62">
        <f>订货1!BA114</f>
        <v>0</v>
      </c>
      <c r="CM114" s="113"/>
      <c r="CN114" s="113"/>
      <c r="CO114" s="62">
        <f>订货1!BB114</f>
        <v>0</v>
      </c>
      <c r="CP114" s="113"/>
      <c r="CQ114" s="113"/>
      <c r="CR114" s="62">
        <f>订货1!BC114</f>
        <v>0</v>
      </c>
      <c r="CS114" s="113"/>
      <c r="CT114" s="113"/>
      <c r="CU114" s="62">
        <f>订货1!BD114</f>
        <v>0</v>
      </c>
      <c r="CV114" s="113"/>
      <c r="CW114" s="113"/>
      <c r="CX114" s="62">
        <f>订货1!BE114</f>
        <v>0</v>
      </c>
      <c r="CY114" s="113"/>
      <c r="CZ114" s="113"/>
      <c r="DA114" s="62">
        <f>订货1!BF114</f>
        <v>0</v>
      </c>
      <c r="DB114" s="113"/>
      <c r="DC114" s="113"/>
      <c r="DD114" s="208">
        <v>0</v>
      </c>
      <c r="DE114" s="110" t="e">
        <f t="shared" si="34"/>
        <v>#DIV/0!</v>
      </c>
      <c r="DF114" s="52">
        <f t="shared" si="33"/>
        <v>0</v>
      </c>
      <c r="DG114" s="32" t="str">
        <f>订货1!$Q114</f>
        <v>箱</v>
      </c>
      <c r="DH114" s="209" t="e">
        <f t="shared" si="35"/>
        <v>#DIV/0!</v>
      </c>
    </row>
    <row r="115" spans="1:112" ht="15" customHeight="1">
      <c r="A115" s="48">
        <f>订货1!A115</f>
        <v>101751</v>
      </c>
      <c r="B115" s="44" t="str">
        <f>VLOOKUP($A115,订货1!$A115:$G356,7,0)</f>
        <v>山东美佳集团有限公司市</v>
      </c>
      <c r="C115" s="44" t="str">
        <f>VLOOKUP($A115,订货1!$A115:$H356,8,0)</f>
        <v>山东美佳集团有限公司</v>
      </c>
      <c r="D115" s="44" t="str">
        <f>VLOOKUP($A115,订货1!$A115:$B356,2,0)</f>
        <v>明太子</v>
      </c>
      <c r="E115" s="44" t="str">
        <f>VLOOKUP($A115,订货1!$A115:$E356,5,0)</f>
        <v>0.5kg*10pc</v>
      </c>
      <c r="F115" s="49" t="str">
        <f>VLOOKUP($A115,订货1!$A115:$F356,6,0)</f>
        <v>箱</v>
      </c>
      <c r="G115" s="203"/>
      <c r="H115" s="56">
        <f t="shared" si="36"/>
        <v>0</v>
      </c>
      <c r="I115" s="196"/>
      <c r="J115" s="113"/>
      <c r="K115" s="113"/>
      <c r="L115" s="196"/>
      <c r="M115" s="113"/>
      <c r="N115" s="113"/>
      <c r="O115" s="62">
        <f>订货1!AB115</f>
        <v>0</v>
      </c>
      <c r="P115" s="113"/>
      <c r="Q115" s="113"/>
      <c r="R115" s="62">
        <f>订货1!AC115</f>
        <v>0</v>
      </c>
      <c r="S115" s="113"/>
      <c r="T115" s="113"/>
      <c r="U115" s="62">
        <f>订货1!AD115</f>
        <v>0</v>
      </c>
      <c r="V115" s="113"/>
      <c r="W115" s="113"/>
      <c r="X115" s="62">
        <f>订货1!AE115</f>
        <v>0</v>
      </c>
      <c r="Y115" s="113"/>
      <c r="Z115" s="113"/>
      <c r="AA115" s="62">
        <f>订货1!AF115</f>
        <v>0</v>
      </c>
      <c r="AB115" s="113"/>
      <c r="AC115" s="113"/>
      <c r="AD115" s="62">
        <f>订货1!AG115</f>
        <v>0</v>
      </c>
      <c r="AE115" s="113"/>
      <c r="AF115" s="113"/>
      <c r="AG115" s="62">
        <f>订货1!AH115</f>
        <v>0</v>
      </c>
      <c r="AH115" s="113"/>
      <c r="AI115" s="113"/>
      <c r="AJ115" s="62">
        <f>订货1!AI115</f>
        <v>0</v>
      </c>
      <c r="AK115" s="113"/>
      <c r="AL115" s="113"/>
      <c r="AM115" s="62">
        <f>订货1!AJ115</f>
        <v>0</v>
      </c>
      <c r="AN115" s="113"/>
      <c r="AO115" s="113"/>
      <c r="AP115" s="62">
        <f>订货1!AK115</f>
        <v>0</v>
      </c>
      <c r="AQ115" s="113"/>
      <c r="AR115" s="113"/>
      <c r="AS115" s="62">
        <f>订货1!AL115</f>
        <v>0</v>
      </c>
      <c r="AT115" s="113"/>
      <c r="AU115" s="113"/>
      <c r="AV115" s="62">
        <f>订货1!AM115</f>
        <v>0</v>
      </c>
      <c r="AW115" s="113"/>
      <c r="AX115" s="113"/>
      <c r="AY115" s="62">
        <f>订货1!AN115</f>
        <v>0</v>
      </c>
      <c r="AZ115" s="113"/>
      <c r="BA115" s="113"/>
      <c r="BB115" s="62">
        <f>订货1!AO115</f>
        <v>0</v>
      </c>
      <c r="BC115" s="113"/>
      <c r="BD115" s="113"/>
      <c r="BE115" s="62">
        <f>订货1!AP115</f>
        <v>0</v>
      </c>
      <c r="BF115" s="113"/>
      <c r="BG115" s="113"/>
      <c r="BH115" s="62">
        <f>订货1!AQ115</f>
        <v>0</v>
      </c>
      <c r="BI115" s="113"/>
      <c r="BJ115" s="113"/>
      <c r="BK115" s="62">
        <f>订货1!AR115</f>
        <v>0</v>
      </c>
      <c r="BL115" s="113"/>
      <c r="BM115" s="113"/>
      <c r="BN115" s="62">
        <f>订货1!AS115</f>
        <v>0</v>
      </c>
      <c r="BO115" s="113"/>
      <c r="BP115" s="113"/>
      <c r="BQ115" s="62">
        <f>订货1!AT115</f>
        <v>0</v>
      </c>
      <c r="BR115" s="113"/>
      <c r="BS115" s="113"/>
      <c r="BT115" s="62">
        <f>订货1!AU115</f>
        <v>0</v>
      </c>
      <c r="BU115" s="113"/>
      <c r="BV115" s="113"/>
      <c r="BW115" s="62">
        <f>订货1!AV115</f>
        <v>0</v>
      </c>
      <c r="BX115" s="113"/>
      <c r="BY115" s="113"/>
      <c r="BZ115" s="62">
        <f>订货1!AW115</f>
        <v>0</v>
      </c>
      <c r="CA115" s="113"/>
      <c r="CB115" s="113"/>
      <c r="CC115" s="62">
        <f>订货1!AX115</f>
        <v>0</v>
      </c>
      <c r="CD115" s="113"/>
      <c r="CE115" s="113"/>
      <c r="CF115" s="62">
        <f>订货1!AY115</f>
        <v>0</v>
      </c>
      <c r="CG115" s="113"/>
      <c r="CH115" s="113"/>
      <c r="CI115" s="62">
        <f>订货1!AZ115</f>
        <v>0</v>
      </c>
      <c r="CJ115" s="113"/>
      <c r="CK115" s="113"/>
      <c r="CL115" s="62">
        <f>订货1!BA115</f>
        <v>0</v>
      </c>
      <c r="CM115" s="113"/>
      <c r="CN115" s="113"/>
      <c r="CO115" s="62">
        <f>订货1!BB115</f>
        <v>0</v>
      </c>
      <c r="CP115" s="113"/>
      <c r="CQ115" s="113"/>
      <c r="CR115" s="62">
        <f>订货1!BC115</f>
        <v>0</v>
      </c>
      <c r="CS115" s="113"/>
      <c r="CT115" s="113"/>
      <c r="CU115" s="62">
        <f>订货1!BD115</f>
        <v>0</v>
      </c>
      <c r="CV115" s="113"/>
      <c r="CW115" s="113"/>
      <c r="CX115" s="62">
        <f>订货1!BE115</f>
        <v>0</v>
      </c>
      <c r="CY115" s="113"/>
      <c r="CZ115" s="113"/>
      <c r="DA115" s="62">
        <f>订货1!BF115</f>
        <v>0</v>
      </c>
      <c r="DB115" s="113"/>
      <c r="DC115" s="113"/>
      <c r="DD115" s="208">
        <v>0</v>
      </c>
      <c r="DE115" s="110" t="e">
        <f t="shared" si="34"/>
        <v>#DIV/0!</v>
      </c>
      <c r="DF115" s="52">
        <f t="shared" si="33"/>
        <v>0</v>
      </c>
      <c r="DG115" s="32" t="str">
        <f>订货1!$Q115</f>
        <v>箱</v>
      </c>
      <c r="DH115" s="209" t="e">
        <f t="shared" si="35"/>
        <v>#DIV/0!</v>
      </c>
    </row>
    <row r="116" spans="1:112" ht="15" customHeight="1">
      <c r="A116" s="48">
        <f>订货1!A116</f>
        <v>101754</v>
      </c>
      <c r="B116" s="44" t="str">
        <f>VLOOKUP($A116,订货1!$A116:$G360,7,0)</f>
        <v>浙江大菱海洋食品有限公司</v>
      </c>
      <c r="C116" s="44" t="str">
        <f>VLOOKUP($A116,订货1!$A116:$H360,8,0)</f>
        <v>大洋世家（舟山）优品有限公司</v>
      </c>
      <c r="D116" s="44" t="str">
        <f>VLOOKUP($A116,订货1!$A116:$B360,2,0)</f>
        <v>炸鱿鱼圈</v>
      </c>
      <c r="E116" s="44" t="str">
        <f>VLOOKUP($A116,订货1!$A116:$E360,5,0)</f>
        <v>500g*10pc</v>
      </c>
      <c r="F116" s="49" t="str">
        <f>VLOOKUP($A116,订货1!$A116:$F360,6,0)</f>
        <v>箱</v>
      </c>
      <c r="G116" s="203"/>
      <c r="H116" s="56">
        <f t="shared" si="36"/>
        <v>7</v>
      </c>
      <c r="I116" s="196"/>
      <c r="J116" s="113"/>
      <c r="K116" s="113"/>
      <c r="L116" s="196"/>
      <c r="M116" s="113"/>
      <c r="N116" s="113"/>
      <c r="O116" s="62">
        <f>订货1!AB116</f>
        <v>0</v>
      </c>
      <c r="P116" s="113"/>
      <c r="Q116" s="113"/>
      <c r="R116" s="62">
        <f>订货1!AC116</f>
        <v>1</v>
      </c>
      <c r="S116" s="113"/>
      <c r="T116" s="113"/>
      <c r="U116" s="62">
        <f>订货1!AD116</f>
        <v>0</v>
      </c>
      <c r="V116" s="113"/>
      <c r="W116" s="113"/>
      <c r="X116" s="62">
        <f>订货1!AE116</f>
        <v>0</v>
      </c>
      <c r="Y116" s="113"/>
      <c r="Z116" s="113"/>
      <c r="AA116" s="62">
        <f>订货1!AF116</f>
        <v>1</v>
      </c>
      <c r="AB116" s="113"/>
      <c r="AC116" s="113"/>
      <c r="AD116" s="62">
        <f>订货1!AG116</f>
        <v>0</v>
      </c>
      <c r="AE116" s="113"/>
      <c r="AF116" s="113"/>
      <c r="AG116" s="62">
        <f>订货1!AH116</f>
        <v>1</v>
      </c>
      <c r="AH116" s="113"/>
      <c r="AI116" s="113"/>
      <c r="AJ116" s="62">
        <f>订货1!AI116</f>
        <v>0</v>
      </c>
      <c r="AK116" s="113"/>
      <c r="AL116" s="113"/>
      <c r="AM116" s="62">
        <f>订货1!AJ116</f>
        <v>1</v>
      </c>
      <c r="AN116" s="113"/>
      <c r="AO116" s="113"/>
      <c r="AP116" s="62">
        <f>订货1!AK116</f>
        <v>0</v>
      </c>
      <c r="AQ116" s="113"/>
      <c r="AR116" s="113"/>
      <c r="AS116" s="62">
        <f>订货1!AL116</f>
        <v>0</v>
      </c>
      <c r="AT116" s="113"/>
      <c r="AU116" s="113"/>
      <c r="AV116" s="62">
        <f>订货1!AM116</f>
        <v>1</v>
      </c>
      <c r="AW116" s="113"/>
      <c r="AX116" s="113"/>
      <c r="AY116" s="62">
        <f>订货1!AN116</f>
        <v>1</v>
      </c>
      <c r="AZ116" s="113"/>
      <c r="BA116" s="113"/>
      <c r="BB116" s="62">
        <f>订货1!AO116</f>
        <v>1</v>
      </c>
      <c r="BC116" s="113"/>
      <c r="BD116" s="113"/>
      <c r="BE116" s="62">
        <f>订货1!AP116</f>
        <v>0</v>
      </c>
      <c r="BF116" s="113"/>
      <c r="BG116" s="113"/>
      <c r="BH116" s="62">
        <f>订货1!AQ116</f>
        <v>0</v>
      </c>
      <c r="BI116" s="113"/>
      <c r="BJ116" s="113"/>
      <c r="BK116" s="62">
        <f>订货1!AR116</f>
        <v>0</v>
      </c>
      <c r="BL116" s="113"/>
      <c r="BM116" s="113"/>
      <c r="BN116" s="62">
        <f>订货1!AS116</f>
        <v>0</v>
      </c>
      <c r="BO116" s="113"/>
      <c r="BP116" s="113"/>
      <c r="BQ116" s="62">
        <f>订货1!AT116</f>
        <v>0</v>
      </c>
      <c r="BR116" s="113"/>
      <c r="BS116" s="113"/>
      <c r="BT116" s="62">
        <f>订货1!AU116</f>
        <v>0</v>
      </c>
      <c r="BU116" s="113"/>
      <c r="BV116" s="113"/>
      <c r="BW116" s="62">
        <f>订货1!AV116</f>
        <v>0</v>
      </c>
      <c r="BX116" s="113"/>
      <c r="BY116" s="113"/>
      <c r="BZ116" s="62">
        <f>订货1!AW116</f>
        <v>0</v>
      </c>
      <c r="CA116" s="113"/>
      <c r="CB116" s="113"/>
      <c r="CC116" s="62">
        <f>订货1!AX116</f>
        <v>0</v>
      </c>
      <c r="CD116" s="113"/>
      <c r="CE116" s="113"/>
      <c r="CF116" s="62">
        <f>订货1!AY116</f>
        <v>0</v>
      </c>
      <c r="CG116" s="113"/>
      <c r="CH116" s="113"/>
      <c r="CI116" s="62">
        <f>订货1!AZ116</f>
        <v>0</v>
      </c>
      <c r="CJ116" s="113"/>
      <c r="CK116" s="113"/>
      <c r="CL116" s="62">
        <f>订货1!BA116</f>
        <v>0</v>
      </c>
      <c r="CM116" s="113"/>
      <c r="CN116" s="113"/>
      <c r="CO116" s="62">
        <f>订货1!BB116</f>
        <v>0</v>
      </c>
      <c r="CP116" s="113"/>
      <c r="CQ116" s="113"/>
      <c r="CR116" s="62">
        <f>订货1!BC116</f>
        <v>0</v>
      </c>
      <c r="CS116" s="113"/>
      <c r="CT116" s="113"/>
      <c r="CU116" s="62">
        <f>订货1!BD116</f>
        <v>0</v>
      </c>
      <c r="CV116" s="113"/>
      <c r="CW116" s="113"/>
      <c r="CX116" s="62">
        <f>订货1!BE116</f>
        <v>0</v>
      </c>
      <c r="CY116" s="113"/>
      <c r="CZ116" s="113"/>
      <c r="DA116" s="62">
        <f>订货1!BF116</f>
        <v>0</v>
      </c>
      <c r="DB116" s="113"/>
      <c r="DC116" s="113"/>
      <c r="DD116" s="208">
        <v>0</v>
      </c>
      <c r="DE116" s="110" t="e">
        <f t="shared" si="34"/>
        <v>#DIV/0!</v>
      </c>
      <c r="DF116" s="52">
        <f t="shared" si="33"/>
        <v>7</v>
      </c>
      <c r="DG116" s="32" t="str">
        <f>订货1!$Q116</f>
        <v>箱</v>
      </c>
      <c r="DH116" s="209" t="e">
        <f t="shared" si="35"/>
        <v>#DIV/0!</v>
      </c>
    </row>
    <row r="117" spans="1:112" ht="15" customHeight="1">
      <c r="A117" s="48">
        <f>订货1!A117</f>
        <v>101755</v>
      </c>
      <c r="B117" s="44" t="str">
        <f>VLOOKUP($A117,订货1!$A117:$G361,7,0)</f>
        <v>上海香尚香食品有限公司</v>
      </c>
      <c r="C117" s="44" t="str">
        <f>VLOOKUP($A117,订货1!$A117:$H361,8,0)</f>
        <v>上海香尚香食品有限公司</v>
      </c>
      <c r="D117" s="44" t="str">
        <f>VLOOKUP($A117,订货1!$A117:$B361,2,0)</f>
        <v>速冻甜青豆</v>
      </c>
      <c r="E117" s="44" t="str">
        <f>VLOOKUP($A117,订货1!$A117:$E361,5,0)</f>
        <v>1kg*4pc</v>
      </c>
      <c r="F117" s="49" t="str">
        <f>VLOOKUP($A117,订货1!$A117:$F361,6,0)</f>
        <v>箱</v>
      </c>
      <c r="G117" s="203"/>
      <c r="H117" s="56">
        <f t="shared" si="36"/>
        <v>3</v>
      </c>
      <c r="I117" s="196"/>
      <c r="J117" s="113"/>
      <c r="K117" s="113"/>
      <c r="L117" s="196"/>
      <c r="M117" s="113"/>
      <c r="N117" s="113"/>
      <c r="O117" s="62">
        <f>订货1!AB117</f>
        <v>0</v>
      </c>
      <c r="P117" s="113"/>
      <c r="Q117" s="113"/>
      <c r="R117" s="62">
        <f>订货1!AC117</f>
        <v>0</v>
      </c>
      <c r="S117" s="113"/>
      <c r="T117" s="113"/>
      <c r="U117" s="62">
        <f>订货1!AD117</f>
        <v>0</v>
      </c>
      <c r="V117" s="113"/>
      <c r="W117" s="113"/>
      <c r="X117" s="62">
        <f>订货1!AE117</f>
        <v>1</v>
      </c>
      <c r="Y117" s="113"/>
      <c r="Z117" s="113"/>
      <c r="AA117" s="62">
        <f>订货1!AF117</f>
        <v>0</v>
      </c>
      <c r="AB117" s="113"/>
      <c r="AC117" s="113"/>
      <c r="AD117" s="62">
        <f>订货1!AG117</f>
        <v>0</v>
      </c>
      <c r="AE117" s="113"/>
      <c r="AF117" s="113"/>
      <c r="AG117" s="62">
        <f>订货1!AH117</f>
        <v>0</v>
      </c>
      <c r="AH117" s="113"/>
      <c r="AI117" s="113"/>
      <c r="AJ117" s="62">
        <f>订货1!AI117</f>
        <v>1</v>
      </c>
      <c r="AK117" s="113"/>
      <c r="AL117" s="113"/>
      <c r="AM117" s="62">
        <f>订货1!AJ117</f>
        <v>0</v>
      </c>
      <c r="AN117" s="113"/>
      <c r="AO117" s="113"/>
      <c r="AP117" s="62">
        <f>订货1!AK117</f>
        <v>0</v>
      </c>
      <c r="AQ117" s="113"/>
      <c r="AR117" s="113"/>
      <c r="AS117" s="62">
        <f>订货1!AL117</f>
        <v>0</v>
      </c>
      <c r="AT117" s="113"/>
      <c r="AU117" s="113"/>
      <c r="AV117" s="62">
        <f>订货1!AM117</f>
        <v>0</v>
      </c>
      <c r="AW117" s="113"/>
      <c r="AX117" s="113"/>
      <c r="AY117" s="62">
        <f>订货1!AN117</f>
        <v>0</v>
      </c>
      <c r="AZ117" s="113"/>
      <c r="BA117" s="113"/>
      <c r="BB117" s="62">
        <f>订货1!AO117</f>
        <v>1</v>
      </c>
      <c r="BC117" s="113"/>
      <c r="BD117" s="113"/>
      <c r="BE117" s="62">
        <f>订货1!AP117</f>
        <v>0</v>
      </c>
      <c r="BF117" s="113"/>
      <c r="BG117" s="113"/>
      <c r="BH117" s="62">
        <f>订货1!AQ117</f>
        <v>0</v>
      </c>
      <c r="BI117" s="113"/>
      <c r="BJ117" s="113"/>
      <c r="BK117" s="62">
        <f>订货1!AR117</f>
        <v>0</v>
      </c>
      <c r="BL117" s="113"/>
      <c r="BM117" s="113"/>
      <c r="BN117" s="62">
        <f>订货1!AS117</f>
        <v>0</v>
      </c>
      <c r="BO117" s="113"/>
      <c r="BP117" s="113"/>
      <c r="BQ117" s="62">
        <f>订货1!AT117</f>
        <v>0</v>
      </c>
      <c r="BR117" s="113"/>
      <c r="BS117" s="113"/>
      <c r="BT117" s="62">
        <f>订货1!AU117</f>
        <v>0</v>
      </c>
      <c r="BU117" s="113"/>
      <c r="BV117" s="113"/>
      <c r="BW117" s="62">
        <f>订货1!AV117</f>
        <v>0</v>
      </c>
      <c r="BX117" s="113"/>
      <c r="BY117" s="113"/>
      <c r="BZ117" s="62">
        <f>订货1!AW117</f>
        <v>0</v>
      </c>
      <c r="CA117" s="113"/>
      <c r="CB117" s="113"/>
      <c r="CC117" s="62">
        <f>订货1!AX117</f>
        <v>0</v>
      </c>
      <c r="CD117" s="113"/>
      <c r="CE117" s="113"/>
      <c r="CF117" s="62">
        <f>订货1!AY117</f>
        <v>0</v>
      </c>
      <c r="CG117" s="113"/>
      <c r="CH117" s="113"/>
      <c r="CI117" s="62">
        <f>订货1!AZ117</f>
        <v>0</v>
      </c>
      <c r="CJ117" s="113"/>
      <c r="CK117" s="113"/>
      <c r="CL117" s="62">
        <f>订货1!BA117</f>
        <v>0</v>
      </c>
      <c r="CM117" s="113"/>
      <c r="CN117" s="113"/>
      <c r="CO117" s="62">
        <f>订货1!BB117</f>
        <v>0</v>
      </c>
      <c r="CP117" s="113"/>
      <c r="CQ117" s="113"/>
      <c r="CR117" s="62">
        <f>订货1!BC117</f>
        <v>0</v>
      </c>
      <c r="CS117" s="113"/>
      <c r="CT117" s="113"/>
      <c r="CU117" s="62">
        <f>订货1!BD117</f>
        <v>0</v>
      </c>
      <c r="CV117" s="113"/>
      <c r="CW117" s="113"/>
      <c r="CX117" s="62">
        <f>订货1!BE117</f>
        <v>0</v>
      </c>
      <c r="CY117" s="113"/>
      <c r="CZ117" s="113"/>
      <c r="DA117" s="62">
        <f>订货1!BF117</f>
        <v>0</v>
      </c>
      <c r="DB117" s="113"/>
      <c r="DC117" s="113"/>
      <c r="DD117" s="208">
        <v>0</v>
      </c>
      <c r="DE117" s="110" t="e">
        <f t="shared" si="34"/>
        <v>#DIV/0!</v>
      </c>
      <c r="DF117" s="52">
        <f t="shared" si="33"/>
        <v>3</v>
      </c>
      <c r="DG117" s="32" t="str">
        <f>订货1!$Q117</f>
        <v>箱</v>
      </c>
      <c r="DH117" s="209" t="e">
        <f t="shared" si="35"/>
        <v>#DIV/0!</v>
      </c>
    </row>
    <row r="118" spans="1:112" ht="15" customHeight="1">
      <c r="A118" s="48">
        <f>订货1!A118</f>
        <v>101756</v>
      </c>
      <c r="B118" s="44" t="str">
        <f>VLOOKUP($A118,订货1!$A118:$G362,7,0)</f>
        <v>上海香尚香食品有限公司</v>
      </c>
      <c r="C118" s="44" t="str">
        <f>VLOOKUP($A118,订货1!$A118:$H362,8,0)</f>
        <v>上海香尚香食品有限公司</v>
      </c>
      <c r="D118" s="44" t="str">
        <f>VLOOKUP($A118,订货1!$A118:$B362,2,0)</f>
        <v>意式甜椒核桃酱</v>
      </c>
      <c r="E118" s="44" t="str">
        <f>VLOOKUP($A118,订货1!$A118:$E362,5,0)</f>
        <v>200g*20pc</v>
      </c>
      <c r="F118" s="49" t="str">
        <f>VLOOKUP($A118,订货1!$A118:$F362,6,0)</f>
        <v>箱</v>
      </c>
      <c r="G118" s="203"/>
      <c r="H118" s="56">
        <f t="shared" si="36"/>
        <v>0</v>
      </c>
      <c r="I118" s="196"/>
      <c r="J118" s="113"/>
      <c r="K118" s="113"/>
      <c r="L118" s="196"/>
      <c r="M118" s="113"/>
      <c r="N118" s="113"/>
      <c r="O118" s="62">
        <f>订货1!AB118</f>
        <v>0</v>
      </c>
      <c r="P118" s="113"/>
      <c r="Q118" s="113"/>
      <c r="R118" s="62">
        <f>订货1!AC118</f>
        <v>0</v>
      </c>
      <c r="S118" s="113"/>
      <c r="T118" s="113"/>
      <c r="U118" s="62">
        <f>订货1!AD118</f>
        <v>0</v>
      </c>
      <c r="V118" s="113"/>
      <c r="W118" s="113"/>
      <c r="X118" s="62">
        <f>订货1!AE118</f>
        <v>0</v>
      </c>
      <c r="Y118" s="113"/>
      <c r="Z118" s="113"/>
      <c r="AA118" s="62">
        <f>订货1!AF118</f>
        <v>0</v>
      </c>
      <c r="AB118" s="113"/>
      <c r="AC118" s="113"/>
      <c r="AD118" s="62">
        <f>订货1!AG118</f>
        <v>0</v>
      </c>
      <c r="AE118" s="113"/>
      <c r="AF118" s="113"/>
      <c r="AG118" s="62">
        <f>订货1!AH118</f>
        <v>0</v>
      </c>
      <c r="AH118" s="113"/>
      <c r="AI118" s="113"/>
      <c r="AJ118" s="62">
        <f>订货1!AI118</f>
        <v>0</v>
      </c>
      <c r="AK118" s="113"/>
      <c r="AL118" s="113"/>
      <c r="AM118" s="62">
        <f>订货1!AJ118</f>
        <v>0</v>
      </c>
      <c r="AN118" s="113"/>
      <c r="AO118" s="113"/>
      <c r="AP118" s="62">
        <f>订货1!AK118</f>
        <v>0</v>
      </c>
      <c r="AQ118" s="113"/>
      <c r="AR118" s="113"/>
      <c r="AS118" s="62">
        <f>订货1!AL118</f>
        <v>0</v>
      </c>
      <c r="AT118" s="113"/>
      <c r="AU118" s="113"/>
      <c r="AV118" s="62">
        <f>订货1!AM118</f>
        <v>0</v>
      </c>
      <c r="AW118" s="113"/>
      <c r="AX118" s="113"/>
      <c r="AY118" s="62">
        <f>订货1!AN118</f>
        <v>0</v>
      </c>
      <c r="AZ118" s="113"/>
      <c r="BA118" s="113"/>
      <c r="BB118" s="62">
        <f>订货1!AO118</f>
        <v>0</v>
      </c>
      <c r="BC118" s="113"/>
      <c r="BD118" s="113"/>
      <c r="BE118" s="62">
        <f>订货1!AP118</f>
        <v>0</v>
      </c>
      <c r="BF118" s="113"/>
      <c r="BG118" s="113"/>
      <c r="BH118" s="62">
        <f>订货1!AQ118</f>
        <v>0</v>
      </c>
      <c r="BI118" s="113"/>
      <c r="BJ118" s="113"/>
      <c r="BK118" s="62">
        <f>订货1!AR118</f>
        <v>0</v>
      </c>
      <c r="BL118" s="113"/>
      <c r="BM118" s="113"/>
      <c r="BN118" s="62">
        <f>订货1!AS118</f>
        <v>0</v>
      </c>
      <c r="BO118" s="113"/>
      <c r="BP118" s="113"/>
      <c r="BQ118" s="62">
        <f>订货1!AT118</f>
        <v>0</v>
      </c>
      <c r="BR118" s="113"/>
      <c r="BS118" s="113"/>
      <c r="BT118" s="62">
        <f>订货1!AU118</f>
        <v>0</v>
      </c>
      <c r="BU118" s="113"/>
      <c r="BV118" s="113"/>
      <c r="BW118" s="62">
        <f>订货1!AV118</f>
        <v>0</v>
      </c>
      <c r="BX118" s="113"/>
      <c r="BY118" s="113"/>
      <c r="BZ118" s="62">
        <f>订货1!AW118</f>
        <v>0</v>
      </c>
      <c r="CA118" s="113"/>
      <c r="CB118" s="113"/>
      <c r="CC118" s="62">
        <f>订货1!AX118</f>
        <v>0</v>
      </c>
      <c r="CD118" s="113"/>
      <c r="CE118" s="113"/>
      <c r="CF118" s="62">
        <f>订货1!AY118</f>
        <v>0</v>
      </c>
      <c r="CG118" s="113"/>
      <c r="CH118" s="113"/>
      <c r="CI118" s="62">
        <f>订货1!AZ118</f>
        <v>0</v>
      </c>
      <c r="CJ118" s="113"/>
      <c r="CK118" s="113"/>
      <c r="CL118" s="62">
        <f>订货1!BA118</f>
        <v>0</v>
      </c>
      <c r="CM118" s="113"/>
      <c r="CN118" s="113"/>
      <c r="CO118" s="62">
        <f>订货1!BB118</f>
        <v>0</v>
      </c>
      <c r="CP118" s="113"/>
      <c r="CQ118" s="113"/>
      <c r="CR118" s="62">
        <f>订货1!BC118</f>
        <v>0</v>
      </c>
      <c r="CS118" s="113"/>
      <c r="CT118" s="113"/>
      <c r="CU118" s="62">
        <f>订货1!BD118</f>
        <v>0</v>
      </c>
      <c r="CV118" s="113"/>
      <c r="CW118" s="113"/>
      <c r="CX118" s="62">
        <f>订货1!BE118</f>
        <v>0</v>
      </c>
      <c r="CY118" s="113"/>
      <c r="CZ118" s="113"/>
      <c r="DA118" s="62">
        <f>订货1!BF118</f>
        <v>0</v>
      </c>
      <c r="DB118" s="113"/>
      <c r="DC118" s="113"/>
      <c r="DD118" s="208">
        <v>0</v>
      </c>
      <c r="DE118" s="110" t="e">
        <f t="shared" si="34"/>
        <v>#DIV/0!</v>
      </c>
      <c r="DF118" s="52">
        <f t="shared" si="33"/>
        <v>0</v>
      </c>
      <c r="DG118" s="32" t="str">
        <f>订货1!$Q118</f>
        <v>箱</v>
      </c>
      <c r="DH118" s="209" t="e">
        <f t="shared" si="35"/>
        <v>#DIV/0!</v>
      </c>
    </row>
    <row r="119" spans="1:112" ht="15" customHeight="1">
      <c r="A119" s="48">
        <f>订货1!A119</f>
        <v>101757</v>
      </c>
      <c r="B119" s="44" t="str">
        <f>VLOOKUP($A119,订货1!$A119:$G363,7,0)</f>
        <v>融滋合味（上海）科技有限公司</v>
      </c>
      <c r="C119" s="44" t="str">
        <f>VLOOKUP($A119,订货1!$A119:$H363,8,0)</f>
        <v>连云港明洋食品有限公司</v>
      </c>
      <c r="D119" s="44" t="str">
        <f>VLOOKUP($A119,订货1!$A119:$B363,2,0)</f>
        <v>海苔片2*35毫米</v>
      </c>
      <c r="E119" s="44" t="str">
        <f>VLOOKUP($A119,订货1!$A119:$E363,5,0)</f>
        <v>100g</v>
      </c>
      <c r="F119" s="49" t="str">
        <f>VLOOKUP($A119,订货1!$A119:$F363,6,0)</f>
        <v>包</v>
      </c>
      <c r="G119" s="203"/>
      <c r="H119" s="56">
        <f t="shared" si="36"/>
        <v>5</v>
      </c>
      <c r="I119" s="196"/>
      <c r="J119" s="113"/>
      <c r="K119" s="113"/>
      <c r="L119" s="196"/>
      <c r="M119" s="113"/>
      <c r="N119" s="113"/>
      <c r="O119" s="62">
        <f>订货1!AB119</f>
        <v>0</v>
      </c>
      <c r="P119" s="113"/>
      <c r="Q119" s="113"/>
      <c r="R119" s="62">
        <f>订货1!AC119</f>
        <v>1</v>
      </c>
      <c r="S119" s="113"/>
      <c r="T119" s="113"/>
      <c r="U119" s="62">
        <f>订货1!AD119</f>
        <v>0</v>
      </c>
      <c r="V119" s="113"/>
      <c r="W119" s="113"/>
      <c r="X119" s="62">
        <f>订货1!AE119</f>
        <v>0</v>
      </c>
      <c r="Y119" s="113"/>
      <c r="Z119" s="113"/>
      <c r="AA119" s="62">
        <f>订货1!AF119</f>
        <v>0</v>
      </c>
      <c r="AB119" s="113"/>
      <c r="AC119" s="113"/>
      <c r="AD119" s="62">
        <f>订货1!AG119</f>
        <v>0</v>
      </c>
      <c r="AE119" s="113"/>
      <c r="AF119" s="113"/>
      <c r="AG119" s="62">
        <f>订货1!AH119</f>
        <v>1</v>
      </c>
      <c r="AH119" s="113"/>
      <c r="AI119" s="113"/>
      <c r="AJ119" s="62">
        <f>订货1!AI119</f>
        <v>0</v>
      </c>
      <c r="AK119" s="113"/>
      <c r="AL119" s="113"/>
      <c r="AM119" s="62">
        <f>订货1!AJ119</f>
        <v>1</v>
      </c>
      <c r="AN119" s="113"/>
      <c r="AO119" s="113"/>
      <c r="AP119" s="62">
        <f>订货1!AK119</f>
        <v>0</v>
      </c>
      <c r="AQ119" s="113"/>
      <c r="AR119" s="113"/>
      <c r="AS119" s="62">
        <f>订货1!AL119</f>
        <v>1</v>
      </c>
      <c r="AT119" s="113"/>
      <c r="AU119" s="113"/>
      <c r="AV119" s="62">
        <f>订货1!AM119</f>
        <v>0</v>
      </c>
      <c r="AW119" s="113"/>
      <c r="AX119" s="113"/>
      <c r="AY119" s="62">
        <f>订货1!AN119</f>
        <v>1</v>
      </c>
      <c r="AZ119" s="113"/>
      <c r="BA119" s="113"/>
      <c r="BB119" s="62">
        <f>订货1!AO119</f>
        <v>0</v>
      </c>
      <c r="BC119" s="113"/>
      <c r="BD119" s="113"/>
      <c r="BE119" s="62">
        <f>订货1!AP119</f>
        <v>0</v>
      </c>
      <c r="BF119" s="113"/>
      <c r="BG119" s="113"/>
      <c r="BH119" s="62">
        <f>订货1!AQ119</f>
        <v>0</v>
      </c>
      <c r="BI119" s="113"/>
      <c r="BJ119" s="113"/>
      <c r="BK119" s="62">
        <f>订货1!AR119</f>
        <v>0</v>
      </c>
      <c r="BL119" s="113"/>
      <c r="BM119" s="113"/>
      <c r="BN119" s="62">
        <f>订货1!AS119</f>
        <v>0</v>
      </c>
      <c r="BO119" s="113"/>
      <c r="BP119" s="113"/>
      <c r="BQ119" s="62">
        <f>订货1!AT119</f>
        <v>0</v>
      </c>
      <c r="BR119" s="113"/>
      <c r="BS119" s="113"/>
      <c r="BT119" s="62">
        <f>订货1!AU119</f>
        <v>0</v>
      </c>
      <c r="BU119" s="113"/>
      <c r="BV119" s="113"/>
      <c r="BW119" s="62">
        <f>订货1!AV119</f>
        <v>0</v>
      </c>
      <c r="BX119" s="113"/>
      <c r="BY119" s="113"/>
      <c r="BZ119" s="62">
        <f>订货1!AW119</f>
        <v>0</v>
      </c>
      <c r="CA119" s="113"/>
      <c r="CB119" s="113"/>
      <c r="CC119" s="62">
        <f>订货1!AX119</f>
        <v>0</v>
      </c>
      <c r="CD119" s="113"/>
      <c r="CE119" s="113"/>
      <c r="CF119" s="62">
        <f>订货1!AY119</f>
        <v>0</v>
      </c>
      <c r="CG119" s="113"/>
      <c r="CH119" s="113"/>
      <c r="CI119" s="62">
        <f>订货1!AZ119</f>
        <v>0</v>
      </c>
      <c r="CJ119" s="113"/>
      <c r="CK119" s="113"/>
      <c r="CL119" s="62">
        <f>订货1!BA119</f>
        <v>0</v>
      </c>
      <c r="CM119" s="113"/>
      <c r="CN119" s="113"/>
      <c r="CO119" s="62">
        <f>订货1!BB119</f>
        <v>0</v>
      </c>
      <c r="CP119" s="113"/>
      <c r="CQ119" s="113"/>
      <c r="CR119" s="62">
        <f>订货1!BC119</f>
        <v>0</v>
      </c>
      <c r="CS119" s="113"/>
      <c r="CT119" s="113"/>
      <c r="CU119" s="62">
        <f>订货1!BD119</f>
        <v>0</v>
      </c>
      <c r="CV119" s="113"/>
      <c r="CW119" s="113"/>
      <c r="CX119" s="62">
        <f>订货1!BE119</f>
        <v>0</v>
      </c>
      <c r="CY119" s="113"/>
      <c r="CZ119" s="113"/>
      <c r="DA119" s="62">
        <f>订货1!BF119</f>
        <v>0</v>
      </c>
      <c r="DB119" s="113"/>
      <c r="DC119" s="113"/>
      <c r="DD119" s="208">
        <v>0</v>
      </c>
      <c r="DE119" s="110" t="e">
        <f t="shared" si="34"/>
        <v>#DIV/0!</v>
      </c>
      <c r="DF119" s="52">
        <f t="shared" si="33"/>
        <v>5</v>
      </c>
      <c r="DG119" s="32" t="str">
        <f>订货1!$Q119</f>
        <v>包</v>
      </c>
      <c r="DH119" s="209" t="e">
        <f t="shared" si="35"/>
        <v>#DIV/0!</v>
      </c>
    </row>
    <row r="120" spans="1:112" ht="15" customHeight="1">
      <c r="A120" s="48">
        <f>订货1!A120</f>
        <v>101775</v>
      </c>
      <c r="B120" s="44" t="str">
        <f>VLOOKUP($A120,订货1!$A120:$G364,7,0)</f>
        <v>秦皇岛双裕食品制造有限公司</v>
      </c>
      <c r="C120" s="44" t="str">
        <f>VLOOKUP($A120,订货1!$A120:$H364,8,0)</f>
        <v>秦皇岛双裕食品制造有限公司</v>
      </c>
      <c r="D120" s="44" t="str">
        <f>VLOOKUP($A120,订货1!$A120:$B364,2,0)</f>
        <v>双裕速冻甜玉米粒</v>
      </c>
      <c r="E120" s="44" t="str">
        <f>VLOOKUP($A120,订货1!$A120:$E364,5,0)</f>
        <v>3KG×4 袋</v>
      </c>
      <c r="F120" s="49" t="str">
        <f>VLOOKUP($A120,订货1!$A120:$F364,6,0)</f>
        <v>箱</v>
      </c>
      <c r="G120" s="203"/>
      <c r="H120" s="56">
        <f t="shared" si="36"/>
        <v>0</v>
      </c>
      <c r="I120" s="196"/>
      <c r="J120" s="113"/>
      <c r="K120" s="113"/>
      <c r="L120" s="196"/>
      <c r="M120" s="113"/>
      <c r="N120" s="113"/>
      <c r="O120" s="62">
        <f>订货1!AB120</f>
        <v>0</v>
      </c>
      <c r="P120" s="113"/>
      <c r="Q120" s="113"/>
      <c r="R120" s="62">
        <f>订货1!AC120</f>
        <v>0</v>
      </c>
      <c r="S120" s="113"/>
      <c r="T120" s="113"/>
      <c r="U120" s="62">
        <f>订货1!AD120</f>
        <v>0</v>
      </c>
      <c r="V120" s="113"/>
      <c r="W120" s="113"/>
      <c r="X120" s="62">
        <f>订货1!AE120</f>
        <v>0</v>
      </c>
      <c r="Y120" s="113"/>
      <c r="Z120" s="113"/>
      <c r="AA120" s="62">
        <f>订货1!AF120</f>
        <v>0</v>
      </c>
      <c r="AB120" s="113"/>
      <c r="AC120" s="113"/>
      <c r="AD120" s="62">
        <f>订货1!AG120</f>
        <v>0</v>
      </c>
      <c r="AE120" s="113"/>
      <c r="AF120" s="113"/>
      <c r="AG120" s="62">
        <f>订货1!AH120</f>
        <v>0</v>
      </c>
      <c r="AH120" s="113"/>
      <c r="AI120" s="113"/>
      <c r="AJ120" s="62">
        <f>订货1!AI120</f>
        <v>0</v>
      </c>
      <c r="AK120" s="113"/>
      <c r="AL120" s="113"/>
      <c r="AM120" s="62">
        <f>订货1!AJ120</f>
        <v>0</v>
      </c>
      <c r="AN120" s="113"/>
      <c r="AO120" s="113"/>
      <c r="AP120" s="62">
        <f>订货1!AK120</f>
        <v>0</v>
      </c>
      <c r="AQ120" s="113"/>
      <c r="AR120" s="113"/>
      <c r="AS120" s="62">
        <f>订货1!AL120</f>
        <v>0</v>
      </c>
      <c r="AT120" s="113"/>
      <c r="AU120" s="113"/>
      <c r="AV120" s="62">
        <f>订货1!AM120</f>
        <v>0</v>
      </c>
      <c r="AW120" s="113"/>
      <c r="AX120" s="113"/>
      <c r="AY120" s="62">
        <f>订货1!AN120</f>
        <v>0</v>
      </c>
      <c r="AZ120" s="113"/>
      <c r="BA120" s="113"/>
      <c r="BB120" s="62">
        <f>订货1!AO120</f>
        <v>0</v>
      </c>
      <c r="BC120" s="113"/>
      <c r="BD120" s="113"/>
      <c r="BE120" s="62">
        <f>订货1!AP120</f>
        <v>0</v>
      </c>
      <c r="BF120" s="113"/>
      <c r="BG120" s="113"/>
      <c r="BH120" s="62">
        <f>订货1!AQ120</f>
        <v>0</v>
      </c>
      <c r="BI120" s="113"/>
      <c r="BJ120" s="113"/>
      <c r="BK120" s="62">
        <f>订货1!AR120</f>
        <v>0</v>
      </c>
      <c r="BL120" s="113"/>
      <c r="BM120" s="113"/>
      <c r="BN120" s="62">
        <f>订货1!AS120</f>
        <v>0</v>
      </c>
      <c r="BO120" s="113"/>
      <c r="BP120" s="113"/>
      <c r="BQ120" s="62">
        <f>订货1!AT120</f>
        <v>0</v>
      </c>
      <c r="BR120" s="113"/>
      <c r="BS120" s="113"/>
      <c r="BT120" s="62">
        <f>订货1!AU120</f>
        <v>0</v>
      </c>
      <c r="BU120" s="113"/>
      <c r="BV120" s="113"/>
      <c r="BW120" s="62">
        <f>订货1!AV120</f>
        <v>0</v>
      </c>
      <c r="BX120" s="113"/>
      <c r="BY120" s="113"/>
      <c r="BZ120" s="62">
        <f>订货1!AW120</f>
        <v>0</v>
      </c>
      <c r="CA120" s="113"/>
      <c r="CB120" s="113"/>
      <c r="CC120" s="62">
        <f>订货1!AX120</f>
        <v>0</v>
      </c>
      <c r="CD120" s="113"/>
      <c r="CE120" s="113"/>
      <c r="CF120" s="62">
        <f>订货1!AY120</f>
        <v>0</v>
      </c>
      <c r="CG120" s="113"/>
      <c r="CH120" s="113"/>
      <c r="CI120" s="62">
        <f>订货1!AZ120</f>
        <v>0</v>
      </c>
      <c r="CJ120" s="113"/>
      <c r="CK120" s="113"/>
      <c r="CL120" s="62">
        <f>订货1!BA120</f>
        <v>0</v>
      </c>
      <c r="CM120" s="113"/>
      <c r="CN120" s="113"/>
      <c r="CO120" s="62">
        <f>订货1!BB120</f>
        <v>0</v>
      </c>
      <c r="CP120" s="113"/>
      <c r="CQ120" s="113"/>
      <c r="CR120" s="62">
        <f>订货1!BC120</f>
        <v>0</v>
      </c>
      <c r="CS120" s="113"/>
      <c r="CT120" s="113"/>
      <c r="CU120" s="62">
        <f>订货1!BD120</f>
        <v>0</v>
      </c>
      <c r="CV120" s="113"/>
      <c r="CW120" s="113"/>
      <c r="CX120" s="62">
        <f>订货1!BE120</f>
        <v>0</v>
      </c>
      <c r="CY120" s="113"/>
      <c r="CZ120" s="113"/>
      <c r="DA120" s="62">
        <f>订货1!BF120</f>
        <v>0</v>
      </c>
      <c r="DB120" s="113"/>
      <c r="DC120" s="113"/>
      <c r="DD120" s="208">
        <v>0</v>
      </c>
      <c r="DE120" s="110" t="e">
        <f t="shared" si="34"/>
        <v>#DIV/0!</v>
      </c>
      <c r="DF120" s="52">
        <f t="shared" si="33"/>
        <v>0</v>
      </c>
      <c r="DG120" s="32" t="str">
        <f>订货1!$Q120</f>
        <v>箱</v>
      </c>
      <c r="DH120" s="209" t="e">
        <f t="shared" si="35"/>
        <v>#DIV/0!</v>
      </c>
    </row>
    <row r="121" spans="1:112" ht="15" customHeight="1">
      <c r="A121" s="48">
        <f>订货1!A121</f>
        <v>101559</v>
      </c>
      <c r="B121" s="44" t="str">
        <f>VLOOKUP($A121,订货1!$A121:$G365,7,0)</f>
        <v>上海煜晟贸易有限公司</v>
      </c>
      <c r="C121" s="44" t="str">
        <f>VLOOKUP($A121,订货1!$A121:$H365,8,0)</f>
        <v>浙江德馨饮料有限公司</v>
      </c>
      <c r="D121" s="44" t="str">
        <f>VLOOKUP($A121,订货1!$A121:$B365,2,0)</f>
        <v>妃群果芳红葡萄果汁饮料浓浆</v>
      </c>
      <c r="E121" s="44" t="str">
        <f>VLOOKUP($A121,订货1!$A121:$E365,5,0)</f>
        <v>5L*4pc</v>
      </c>
      <c r="F121" s="49" t="str">
        <f>VLOOKUP($A121,订货1!$A121:$F365,6,0)</f>
        <v>箱</v>
      </c>
      <c r="G121" s="203"/>
      <c r="H121" s="56">
        <f t="shared" si="36"/>
        <v>0</v>
      </c>
      <c r="I121" s="196"/>
      <c r="J121" s="113"/>
      <c r="K121" s="113"/>
      <c r="L121" s="196"/>
      <c r="M121" s="113"/>
      <c r="N121" s="113"/>
      <c r="O121" s="62">
        <f>订货1!AB121</f>
        <v>0</v>
      </c>
      <c r="P121" s="113"/>
      <c r="Q121" s="113"/>
      <c r="R121" s="62">
        <f>订货1!AC121</f>
        <v>0</v>
      </c>
      <c r="S121" s="113"/>
      <c r="T121" s="113"/>
      <c r="U121" s="62">
        <f>订货1!AD121</f>
        <v>0</v>
      </c>
      <c r="V121" s="113"/>
      <c r="W121" s="113"/>
      <c r="X121" s="62">
        <f>订货1!AE121</f>
        <v>0</v>
      </c>
      <c r="Y121" s="113"/>
      <c r="Z121" s="113"/>
      <c r="AA121" s="62">
        <f>订货1!AF121</f>
        <v>0</v>
      </c>
      <c r="AB121" s="113"/>
      <c r="AC121" s="113"/>
      <c r="AD121" s="62">
        <f>订货1!AG121</f>
        <v>0</v>
      </c>
      <c r="AE121" s="113"/>
      <c r="AF121" s="113"/>
      <c r="AG121" s="62">
        <f>订货1!AH121</f>
        <v>0</v>
      </c>
      <c r="AH121" s="113"/>
      <c r="AI121" s="113"/>
      <c r="AJ121" s="62">
        <f>订货1!AI121</f>
        <v>0</v>
      </c>
      <c r="AK121" s="113"/>
      <c r="AL121" s="113"/>
      <c r="AM121" s="62">
        <f>订货1!AJ121</f>
        <v>0</v>
      </c>
      <c r="AN121" s="113"/>
      <c r="AO121" s="113"/>
      <c r="AP121" s="62">
        <f>订货1!AK121</f>
        <v>0</v>
      </c>
      <c r="AQ121" s="113"/>
      <c r="AR121" s="113"/>
      <c r="AS121" s="62">
        <f>订货1!AL121</f>
        <v>0</v>
      </c>
      <c r="AT121" s="113"/>
      <c r="AU121" s="113"/>
      <c r="AV121" s="62">
        <f>订货1!AM121</f>
        <v>0</v>
      </c>
      <c r="AW121" s="113"/>
      <c r="AX121" s="113"/>
      <c r="AY121" s="62">
        <f>订货1!AN121</f>
        <v>0</v>
      </c>
      <c r="AZ121" s="113"/>
      <c r="BA121" s="113"/>
      <c r="BB121" s="62">
        <f>订货1!AO121</f>
        <v>0</v>
      </c>
      <c r="BC121" s="113"/>
      <c r="BD121" s="113"/>
      <c r="BE121" s="62">
        <f>订货1!AP121</f>
        <v>0</v>
      </c>
      <c r="BF121" s="113"/>
      <c r="BG121" s="113"/>
      <c r="BH121" s="62">
        <f>订货1!AQ121</f>
        <v>0</v>
      </c>
      <c r="BI121" s="113"/>
      <c r="BJ121" s="113"/>
      <c r="BK121" s="62">
        <f>订货1!AR121</f>
        <v>0</v>
      </c>
      <c r="BL121" s="113"/>
      <c r="BM121" s="113"/>
      <c r="BN121" s="62">
        <f>订货1!AS121</f>
        <v>0</v>
      </c>
      <c r="BO121" s="113"/>
      <c r="BP121" s="113"/>
      <c r="BQ121" s="62">
        <f>订货1!AT121</f>
        <v>0</v>
      </c>
      <c r="BR121" s="113"/>
      <c r="BS121" s="113"/>
      <c r="BT121" s="62">
        <f>订货1!AU121</f>
        <v>0</v>
      </c>
      <c r="BU121" s="113"/>
      <c r="BV121" s="113"/>
      <c r="BW121" s="62">
        <f>订货1!AV121</f>
        <v>0</v>
      </c>
      <c r="BX121" s="113"/>
      <c r="BY121" s="113"/>
      <c r="BZ121" s="62">
        <f>订货1!AW121</f>
        <v>0</v>
      </c>
      <c r="CA121" s="113"/>
      <c r="CB121" s="113"/>
      <c r="CC121" s="62">
        <f>订货1!AX121</f>
        <v>0</v>
      </c>
      <c r="CD121" s="113"/>
      <c r="CE121" s="113"/>
      <c r="CF121" s="62">
        <f>订货1!AY121</f>
        <v>0</v>
      </c>
      <c r="CG121" s="113"/>
      <c r="CH121" s="113"/>
      <c r="CI121" s="62">
        <f>订货1!AZ121</f>
        <v>0</v>
      </c>
      <c r="CJ121" s="113"/>
      <c r="CK121" s="113"/>
      <c r="CL121" s="62">
        <f>订货1!BA121</f>
        <v>0</v>
      </c>
      <c r="CM121" s="113"/>
      <c r="CN121" s="113"/>
      <c r="CO121" s="62">
        <f>订货1!BB121</f>
        <v>0</v>
      </c>
      <c r="CP121" s="113"/>
      <c r="CQ121" s="113"/>
      <c r="CR121" s="62">
        <f>订货1!BC121</f>
        <v>0</v>
      </c>
      <c r="CS121" s="113"/>
      <c r="CT121" s="113"/>
      <c r="CU121" s="62">
        <f>订货1!BD121</f>
        <v>0</v>
      </c>
      <c r="CV121" s="113"/>
      <c r="CW121" s="113"/>
      <c r="CX121" s="62">
        <f>订货1!BE121</f>
        <v>0</v>
      </c>
      <c r="CY121" s="113"/>
      <c r="CZ121" s="113"/>
      <c r="DA121" s="62">
        <f>订货1!BF121</f>
        <v>0</v>
      </c>
      <c r="DB121" s="113"/>
      <c r="DC121" s="113"/>
      <c r="DD121" s="208">
        <v>0</v>
      </c>
      <c r="DE121" s="110" t="e">
        <f t="shared" si="34"/>
        <v>#DIV/0!</v>
      </c>
      <c r="DF121" s="52">
        <f t="shared" si="33"/>
        <v>0</v>
      </c>
      <c r="DG121" s="32" t="str">
        <f>订货1!$Q121</f>
        <v>箱</v>
      </c>
      <c r="DH121" s="209" t="e">
        <f t="shared" si="35"/>
        <v>#DIV/0!</v>
      </c>
    </row>
    <row r="122" spans="1:112" ht="15" customHeight="1">
      <c r="A122" s="48">
        <f>订货1!A122</f>
        <v>101560</v>
      </c>
      <c r="B122" s="44" t="str">
        <f>VLOOKUP($A122,订货1!$A122:$G366,7,0)</f>
        <v>上海煜晟贸易有限公司</v>
      </c>
      <c r="C122" s="44" t="str">
        <f>VLOOKUP($A122,订货1!$A122:$H366,8,0)</f>
        <v>浙江德馨饮料有限公司</v>
      </c>
      <c r="D122" s="44" t="str">
        <f>VLOOKUP($A122,订货1!$A122:$B366,2,0)</f>
        <v>妃群果芳蔓越莓果汁饮料浓浆</v>
      </c>
      <c r="E122" s="44" t="str">
        <f>VLOOKUP($A122,订货1!$A122:$E366,5,0)</f>
        <v>5L*4pc</v>
      </c>
      <c r="F122" s="49" t="str">
        <f>VLOOKUP($A122,订货1!$A122:$F366,6,0)</f>
        <v>箱</v>
      </c>
      <c r="G122" s="203"/>
      <c r="H122" s="56">
        <f t="shared" si="36"/>
        <v>0</v>
      </c>
      <c r="I122" s="196"/>
      <c r="J122" s="113"/>
      <c r="K122" s="113"/>
      <c r="L122" s="196"/>
      <c r="M122" s="113"/>
      <c r="N122" s="113"/>
      <c r="O122" s="62">
        <f>订货1!AB122</f>
        <v>0</v>
      </c>
      <c r="P122" s="113"/>
      <c r="Q122" s="113"/>
      <c r="R122" s="62">
        <f>订货1!AC122</f>
        <v>0</v>
      </c>
      <c r="S122" s="113"/>
      <c r="T122" s="113"/>
      <c r="U122" s="62">
        <f>订货1!AD122</f>
        <v>0</v>
      </c>
      <c r="V122" s="113"/>
      <c r="W122" s="113"/>
      <c r="X122" s="62">
        <f>订货1!AE122</f>
        <v>0</v>
      </c>
      <c r="Y122" s="113"/>
      <c r="Z122" s="113"/>
      <c r="AA122" s="62">
        <f>订货1!AF122</f>
        <v>0</v>
      </c>
      <c r="AB122" s="113"/>
      <c r="AC122" s="113"/>
      <c r="AD122" s="62">
        <f>订货1!AG122</f>
        <v>0</v>
      </c>
      <c r="AE122" s="113"/>
      <c r="AF122" s="113"/>
      <c r="AG122" s="62">
        <f>订货1!AH122</f>
        <v>0</v>
      </c>
      <c r="AH122" s="113"/>
      <c r="AI122" s="113"/>
      <c r="AJ122" s="62">
        <f>订货1!AI122</f>
        <v>0</v>
      </c>
      <c r="AK122" s="113"/>
      <c r="AL122" s="113"/>
      <c r="AM122" s="62">
        <f>订货1!AJ122</f>
        <v>0</v>
      </c>
      <c r="AN122" s="113"/>
      <c r="AO122" s="113"/>
      <c r="AP122" s="62">
        <f>订货1!AK122</f>
        <v>0</v>
      </c>
      <c r="AQ122" s="113"/>
      <c r="AR122" s="113"/>
      <c r="AS122" s="62">
        <f>订货1!AL122</f>
        <v>0</v>
      </c>
      <c r="AT122" s="113"/>
      <c r="AU122" s="113"/>
      <c r="AV122" s="62">
        <f>订货1!AM122</f>
        <v>0</v>
      </c>
      <c r="AW122" s="113"/>
      <c r="AX122" s="113"/>
      <c r="AY122" s="62">
        <f>订货1!AN122</f>
        <v>0</v>
      </c>
      <c r="AZ122" s="113"/>
      <c r="BA122" s="113"/>
      <c r="BB122" s="62">
        <f>订货1!AO122</f>
        <v>0</v>
      </c>
      <c r="BC122" s="113"/>
      <c r="BD122" s="113"/>
      <c r="BE122" s="62">
        <f>订货1!AP122</f>
        <v>0</v>
      </c>
      <c r="BF122" s="113"/>
      <c r="BG122" s="113"/>
      <c r="BH122" s="62">
        <f>订货1!AQ122</f>
        <v>0</v>
      </c>
      <c r="BI122" s="113"/>
      <c r="BJ122" s="113"/>
      <c r="BK122" s="62">
        <f>订货1!AR122</f>
        <v>0</v>
      </c>
      <c r="BL122" s="113"/>
      <c r="BM122" s="113"/>
      <c r="BN122" s="62">
        <f>订货1!AS122</f>
        <v>0</v>
      </c>
      <c r="BO122" s="113"/>
      <c r="BP122" s="113"/>
      <c r="BQ122" s="62">
        <f>订货1!AT122</f>
        <v>0</v>
      </c>
      <c r="BR122" s="113"/>
      <c r="BS122" s="113"/>
      <c r="BT122" s="62">
        <f>订货1!AU122</f>
        <v>0</v>
      </c>
      <c r="BU122" s="113"/>
      <c r="BV122" s="113"/>
      <c r="BW122" s="62">
        <f>订货1!AV122</f>
        <v>0</v>
      </c>
      <c r="BX122" s="113"/>
      <c r="BY122" s="113"/>
      <c r="BZ122" s="62">
        <f>订货1!AW122</f>
        <v>0</v>
      </c>
      <c r="CA122" s="113"/>
      <c r="CB122" s="113"/>
      <c r="CC122" s="62">
        <f>订货1!AX122</f>
        <v>0</v>
      </c>
      <c r="CD122" s="113"/>
      <c r="CE122" s="113"/>
      <c r="CF122" s="62">
        <f>订货1!AY122</f>
        <v>0</v>
      </c>
      <c r="CG122" s="113"/>
      <c r="CH122" s="113"/>
      <c r="CI122" s="62">
        <f>订货1!AZ122</f>
        <v>0</v>
      </c>
      <c r="CJ122" s="113"/>
      <c r="CK122" s="113"/>
      <c r="CL122" s="62">
        <f>订货1!BA122</f>
        <v>0</v>
      </c>
      <c r="CM122" s="113"/>
      <c r="CN122" s="113"/>
      <c r="CO122" s="62">
        <f>订货1!BB122</f>
        <v>0</v>
      </c>
      <c r="CP122" s="113"/>
      <c r="CQ122" s="113"/>
      <c r="CR122" s="62">
        <f>订货1!BC122</f>
        <v>0</v>
      </c>
      <c r="CS122" s="113"/>
      <c r="CT122" s="113"/>
      <c r="CU122" s="62">
        <f>订货1!BD122</f>
        <v>0</v>
      </c>
      <c r="CV122" s="113"/>
      <c r="CW122" s="113"/>
      <c r="CX122" s="62">
        <f>订货1!BE122</f>
        <v>0</v>
      </c>
      <c r="CY122" s="113"/>
      <c r="CZ122" s="113"/>
      <c r="DA122" s="62">
        <f>订货1!BF122</f>
        <v>0</v>
      </c>
      <c r="DB122" s="113"/>
      <c r="DC122" s="113"/>
      <c r="DD122" s="208">
        <v>0</v>
      </c>
      <c r="DE122" s="110" t="e">
        <f t="shared" si="34"/>
        <v>#DIV/0!</v>
      </c>
      <c r="DF122" s="52">
        <f t="shared" si="33"/>
        <v>0</v>
      </c>
      <c r="DG122" s="32" t="str">
        <f>订货1!$Q122</f>
        <v>箱</v>
      </c>
      <c r="DH122" s="209" t="e">
        <f t="shared" si="35"/>
        <v>#DIV/0!</v>
      </c>
    </row>
    <row r="123" spans="1:112" ht="15" customHeight="1">
      <c r="A123" s="48">
        <f>订货1!A123</f>
        <v>101561</v>
      </c>
      <c r="B123" s="44" t="str">
        <f>VLOOKUP($A123,订货1!$A123:$G367,7,0)</f>
        <v>上海煜晟贸易有限公司</v>
      </c>
      <c r="C123" s="44" t="str">
        <f>VLOOKUP($A123,订货1!$A123:$H367,8,0)</f>
        <v>浙江德馨饮料有限公司</v>
      </c>
      <c r="D123" s="44" t="str">
        <f>VLOOKUP($A123,订货1!$A123:$B367,2,0)</f>
        <v>妃群果芳芒果果汁饮料浓浆</v>
      </c>
      <c r="E123" s="44" t="str">
        <f>VLOOKUP($A123,订货1!$A123:$E367,5,0)</f>
        <v>5L*4pc</v>
      </c>
      <c r="F123" s="49" t="str">
        <f>VLOOKUP($A123,订货1!$A123:$F367,6,0)</f>
        <v>箱</v>
      </c>
      <c r="G123" s="203"/>
      <c r="H123" s="56">
        <f t="shared" si="36"/>
        <v>0</v>
      </c>
      <c r="I123" s="196"/>
      <c r="J123" s="113"/>
      <c r="K123" s="113"/>
      <c r="L123" s="196"/>
      <c r="M123" s="113"/>
      <c r="N123" s="113"/>
      <c r="O123" s="62">
        <f>订货1!AB123</f>
        <v>0</v>
      </c>
      <c r="P123" s="113"/>
      <c r="Q123" s="113"/>
      <c r="R123" s="62">
        <f>订货1!AC123</f>
        <v>0</v>
      </c>
      <c r="S123" s="113"/>
      <c r="T123" s="113"/>
      <c r="U123" s="62">
        <f>订货1!AD123</f>
        <v>0</v>
      </c>
      <c r="V123" s="113"/>
      <c r="W123" s="113"/>
      <c r="X123" s="62">
        <f>订货1!AE123</f>
        <v>0</v>
      </c>
      <c r="Y123" s="113"/>
      <c r="Z123" s="113"/>
      <c r="AA123" s="62">
        <f>订货1!AF123</f>
        <v>0</v>
      </c>
      <c r="AB123" s="113"/>
      <c r="AC123" s="113"/>
      <c r="AD123" s="62">
        <f>订货1!AG123</f>
        <v>0</v>
      </c>
      <c r="AE123" s="113"/>
      <c r="AF123" s="113"/>
      <c r="AG123" s="62">
        <f>订货1!AH123</f>
        <v>0</v>
      </c>
      <c r="AH123" s="113"/>
      <c r="AI123" s="113"/>
      <c r="AJ123" s="62">
        <f>订货1!AI123</f>
        <v>0</v>
      </c>
      <c r="AK123" s="113"/>
      <c r="AL123" s="113"/>
      <c r="AM123" s="62">
        <f>订货1!AJ123</f>
        <v>0</v>
      </c>
      <c r="AN123" s="113"/>
      <c r="AO123" s="113"/>
      <c r="AP123" s="62">
        <f>订货1!AK123</f>
        <v>0</v>
      </c>
      <c r="AQ123" s="113"/>
      <c r="AR123" s="113"/>
      <c r="AS123" s="62">
        <f>订货1!AL123</f>
        <v>0</v>
      </c>
      <c r="AT123" s="113"/>
      <c r="AU123" s="113"/>
      <c r="AV123" s="62">
        <f>订货1!AM123</f>
        <v>0</v>
      </c>
      <c r="AW123" s="113"/>
      <c r="AX123" s="113"/>
      <c r="AY123" s="62">
        <f>订货1!AN123</f>
        <v>0</v>
      </c>
      <c r="AZ123" s="113"/>
      <c r="BA123" s="113"/>
      <c r="BB123" s="62">
        <f>订货1!AO123</f>
        <v>0</v>
      </c>
      <c r="BC123" s="113"/>
      <c r="BD123" s="113"/>
      <c r="BE123" s="62">
        <f>订货1!AP123</f>
        <v>0</v>
      </c>
      <c r="BF123" s="113"/>
      <c r="BG123" s="113"/>
      <c r="BH123" s="62">
        <f>订货1!AQ123</f>
        <v>0</v>
      </c>
      <c r="BI123" s="113"/>
      <c r="BJ123" s="113"/>
      <c r="BK123" s="62">
        <f>订货1!AR123</f>
        <v>0</v>
      </c>
      <c r="BL123" s="113"/>
      <c r="BM123" s="113"/>
      <c r="BN123" s="62">
        <f>订货1!AS123</f>
        <v>0</v>
      </c>
      <c r="BO123" s="113"/>
      <c r="BP123" s="113"/>
      <c r="BQ123" s="62">
        <f>订货1!AT123</f>
        <v>0</v>
      </c>
      <c r="BR123" s="113"/>
      <c r="BS123" s="113"/>
      <c r="BT123" s="62">
        <f>订货1!AU123</f>
        <v>0</v>
      </c>
      <c r="BU123" s="113"/>
      <c r="BV123" s="113"/>
      <c r="BW123" s="62">
        <f>订货1!AV123</f>
        <v>0</v>
      </c>
      <c r="BX123" s="113"/>
      <c r="BY123" s="113"/>
      <c r="BZ123" s="62">
        <f>订货1!AW123</f>
        <v>0</v>
      </c>
      <c r="CA123" s="113"/>
      <c r="CB123" s="113"/>
      <c r="CC123" s="62">
        <f>订货1!AX123</f>
        <v>0</v>
      </c>
      <c r="CD123" s="113"/>
      <c r="CE123" s="113"/>
      <c r="CF123" s="62">
        <f>订货1!AY123</f>
        <v>0</v>
      </c>
      <c r="CG123" s="113"/>
      <c r="CH123" s="113"/>
      <c r="CI123" s="62">
        <f>订货1!AZ123</f>
        <v>0</v>
      </c>
      <c r="CJ123" s="113"/>
      <c r="CK123" s="113"/>
      <c r="CL123" s="62">
        <f>订货1!BA123</f>
        <v>0</v>
      </c>
      <c r="CM123" s="113"/>
      <c r="CN123" s="113"/>
      <c r="CO123" s="62">
        <f>订货1!BB123</f>
        <v>0</v>
      </c>
      <c r="CP123" s="113"/>
      <c r="CQ123" s="113"/>
      <c r="CR123" s="62">
        <f>订货1!BC123</f>
        <v>0</v>
      </c>
      <c r="CS123" s="113"/>
      <c r="CT123" s="113"/>
      <c r="CU123" s="62">
        <f>订货1!BD123</f>
        <v>0</v>
      </c>
      <c r="CV123" s="113"/>
      <c r="CW123" s="113"/>
      <c r="CX123" s="62">
        <f>订货1!BE123</f>
        <v>0</v>
      </c>
      <c r="CY123" s="113"/>
      <c r="CZ123" s="113"/>
      <c r="DA123" s="62">
        <f>订货1!BF123</f>
        <v>0</v>
      </c>
      <c r="DB123" s="113"/>
      <c r="DC123" s="113"/>
      <c r="DD123" s="208">
        <v>0</v>
      </c>
      <c r="DE123" s="110" t="e">
        <f t="shared" si="34"/>
        <v>#DIV/0!</v>
      </c>
      <c r="DF123" s="52">
        <f t="shared" si="33"/>
        <v>0</v>
      </c>
      <c r="DG123" s="32" t="str">
        <f>订货1!$Q123</f>
        <v>箱</v>
      </c>
      <c r="DH123" s="209" t="e">
        <f t="shared" si="35"/>
        <v>#DIV/0!</v>
      </c>
    </row>
    <row r="124" spans="1:112" ht="15" customHeight="1">
      <c r="A124" s="48">
        <f>订货1!A124</f>
        <v>101562</v>
      </c>
      <c r="B124" s="44" t="str">
        <f>VLOOKUP($A124,订货1!$A124:$G368,7,0)</f>
        <v>上海煜晟贸易有限公司</v>
      </c>
      <c r="C124" s="44" t="str">
        <f>VLOOKUP($A124,订货1!$A124:$H368,8,0)</f>
        <v>浙江德馨饮料有限公司</v>
      </c>
      <c r="D124" s="44" t="str">
        <f>VLOOKUP($A124,订货1!$A124:$B368,2,0)</f>
        <v>妃群果芳柳橙果汁饮料浓浆</v>
      </c>
      <c r="E124" s="44" t="str">
        <f>VLOOKUP($A124,订货1!$A124:$E368,5,0)</f>
        <v>5L*4pc</v>
      </c>
      <c r="F124" s="49" t="str">
        <f>VLOOKUP($A124,订货1!$A124:$F368,6,0)</f>
        <v>箱</v>
      </c>
      <c r="G124" s="203"/>
      <c r="H124" s="56">
        <f t="shared" si="36"/>
        <v>0</v>
      </c>
      <c r="I124" s="196"/>
      <c r="J124" s="113"/>
      <c r="K124" s="113"/>
      <c r="L124" s="196"/>
      <c r="M124" s="113"/>
      <c r="N124" s="113"/>
      <c r="O124" s="62">
        <f>订货1!AB124</f>
        <v>0</v>
      </c>
      <c r="P124" s="113"/>
      <c r="Q124" s="113"/>
      <c r="R124" s="62">
        <f>订货1!AC124</f>
        <v>0</v>
      </c>
      <c r="S124" s="113"/>
      <c r="T124" s="113"/>
      <c r="U124" s="62">
        <f>订货1!AD124</f>
        <v>0</v>
      </c>
      <c r="V124" s="113"/>
      <c r="W124" s="113"/>
      <c r="X124" s="62">
        <f>订货1!AE124</f>
        <v>0</v>
      </c>
      <c r="Y124" s="113"/>
      <c r="Z124" s="113"/>
      <c r="AA124" s="62">
        <f>订货1!AF124</f>
        <v>0</v>
      </c>
      <c r="AB124" s="113"/>
      <c r="AC124" s="113"/>
      <c r="AD124" s="62">
        <f>订货1!AG124</f>
        <v>0</v>
      </c>
      <c r="AE124" s="113"/>
      <c r="AF124" s="113"/>
      <c r="AG124" s="62">
        <f>订货1!AH124</f>
        <v>0</v>
      </c>
      <c r="AH124" s="113"/>
      <c r="AI124" s="113"/>
      <c r="AJ124" s="62">
        <f>订货1!AI124</f>
        <v>0</v>
      </c>
      <c r="AK124" s="113"/>
      <c r="AL124" s="113"/>
      <c r="AM124" s="62">
        <f>订货1!AJ124</f>
        <v>0</v>
      </c>
      <c r="AN124" s="113"/>
      <c r="AO124" s="113"/>
      <c r="AP124" s="62">
        <f>订货1!AK124</f>
        <v>0</v>
      </c>
      <c r="AQ124" s="113"/>
      <c r="AR124" s="113"/>
      <c r="AS124" s="62">
        <f>订货1!AL124</f>
        <v>0</v>
      </c>
      <c r="AT124" s="113"/>
      <c r="AU124" s="113"/>
      <c r="AV124" s="62">
        <f>订货1!AM124</f>
        <v>0</v>
      </c>
      <c r="AW124" s="113"/>
      <c r="AX124" s="113"/>
      <c r="AY124" s="62">
        <f>订货1!AN124</f>
        <v>0</v>
      </c>
      <c r="AZ124" s="113"/>
      <c r="BA124" s="113"/>
      <c r="BB124" s="62">
        <f>订货1!AO124</f>
        <v>0</v>
      </c>
      <c r="BC124" s="113"/>
      <c r="BD124" s="113"/>
      <c r="BE124" s="62">
        <f>订货1!AP124</f>
        <v>0</v>
      </c>
      <c r="BF124" s="113"/>
      <c r="BG124" s="113"/>
      <c r="BH124" s="62">
        <f>订货1!AQ124</f>
        <v>0</v>
      </c>
      <c r="BI124" s="113"/>
      <c r="BJ124" s="113"/>
      <c r="BK124" s="62">
        <f>订货1!AR124</f>
        <v>0</v>
      </c>
      <c r="BL124" s="113"/>
      <c r="BM124" s="113"/>
      <c r="BN124" s="62">
        <f>订货1!AS124</f>
        <v>0</v>
      </c>
      <c r="BO124" s="113"/>
      <c r="BP124" s="113"/>
      <c r="BQ124" s="62">
        <f>订货1!AT124</f>
        <v>0</v>
      </c>
      <c r="BR124" s="113"/>
      <c r="BS124" s="113"/>
      <c r="BT124" s="62">
        <f>订货1!AU124</f>
        <v>0</v>
      </c>
      <c r="BU124" s="113"/>
      <c r="BV124" s="113"/>
      <c r="BW124" s="62">
        <f>订货1!AV124</f>
        <v>0</v>
      </c>
      <c r="BX124" s="113"/>
      <c r="BY124" s="113"/>
      <c r="BZ124" s="62">
        <f>订货1!AW124</f>
        <v>0</v>
      </c>
      <c r="CA124" s="113"/>
      <c r="CB124" s="113"/>
      <c r="CC124" s="62">
        <f>订货1!AX124</f>
        <v>0</v>
      </c>
      <c r="CD124" s="113"/>
      <c r="CE124" s="113"/>
      <c r="CF124" s="62">
        <f>订货1!AY124</f>
        <v>0</v>
      </c>
      <c r="CG124" s="113"/>
      <c r="CH124" s="113"/>
      <c r="CI124" s="62">
        <f>订货1!AZ124</f>
        <v>0</v>
      </c>
      <c r="CJ124" s="113"/>
      <c r="CK124" s="113"/>
      <c r="CL124" s="62">
        <f>订货1!BA124</f>
        <v>0</v>
      </c>
      <c r="CM124" s="113"/>
      <c r="CN124" s="113"/>
      <c r="CO124" s="62">
        <f>订货1!BB124</f>
        <v>0</v>
      </c>
      <c r="CP124" s="113"/>
      <c r="CQ124" s="113"/>
      <c r="CR124" s="62">
        <f>订货1!BC124</f>
        <v>0</v>
      </c>
      <c r="CS124" s="113"/>
      <c r="CT124" s="113"/>
      <c r="CU124" s="62">
        <f>订货1!BD124</f>
        <v>0</v>
      </c>
      <c r="CV124" s="113"/>
      <c r="CW124" s="113"/>
      <c r="CX124" s="62">
        <f>订货1!BE124</f>
        <v>0</v>
      </c>
      <c r="CY124" s="113"/>
      <c r="CZ124" s="113"/>
      <c r="DA124" s="62">
        <f>订货1!BF124</f>
        <v>0</v>
      </c>
      <c r="DB124" s="113"/>
      <c r="DC124" s="113"/>
      <c r="DD124" s="208">
        <v>0</v>
      </c>
      <c r="DE124" s="110" t="e">
        <f t="shared" si="34"/>
        <v>#DIV/0!</v>
      </c>
      <c r="DF124" s="52">
        <f t="shared" si="33"/>
        <v>0</v>
      </c>
      <c r="DG124" s="32" t="str">
        <f>订货1!$Q124</f>
        <v>箱</v>
      </c>
      <c r="DH124" s="209" t="e">
        <f t="shared" si="35"/>
        <v>#DIV/0!</v>
      </c>
    </row>
    <row r="125" spans="1:112" ht="15" customHeight="1">
      <c r="A125" s="48">
        <f>订货1!A125</f>
        <v>101749</v>
      </c>
      <c r="B125" s="44" t="str">
        <f>VLOOKUP($A125,订货1!$A125:$G369,7,0)</f>
        <v>上海煜晟贸易有限公司</v>
      </c>
      <c r="C125" s="44" t="str">
        <f>VLOOKUP($A125,订货1!$A125:$H369,8,0)</f>
        <v>金绿源（中国）生物科技有限公司</v>
      </c>
      <c r="D125" s="44" t="str">
        <f>VLOOKUP($A125,订货1!$A125:$B369,2,0)</f>
        <v>白桃乌龙（茶饮浓缩液）</v>
      </c>
      <c r="E125" s="44" t="str">
        <f>VLOOKUP($A125,订货1!$A125:$E369,5,0)</f>
        <v>3L*4pc</v>
      </c>
      <c r="F125" s="49" t="str">
        <f>VLOOKUP($A125,订货1!$A125:$F369,6,0)</f>
        <v>箱</v>
      </c>
      <c r="G125" s="203"/>
      <c r="H125" s="56">
        <f t="shared" si="36"/>
        <v>0</v>
      </c>
      <c r="I125" s="196"/>
      <c r="J125" s="113"/>
      <c r="K125" s="113"/>
      <c r="L125" s="196"/>
      <c r="M125" s="113"/>
      <c r="N125" s="113"/>
      <c r="O125" s="62">
        <f>订货1!AB125</f>
        <v>0</v>
      </c>
      <c r="P125" s="113"/>
      <c r="Q125" s="113"/>
      <c r="R125" s="62">
        <f>订货1!AC125</f>
        <v>0</v>
      </c>
      <c r="S125" s="113"/>
      <c r="T125" s="113"/>
      <c r="U125" s="62">
        <f>订货1!AD125</f>
        <v>0</v>
      </c>
      <c r="V125" s="113"/>
      <c r="W125" s="113"/>
      <c r="X125" s="62">
        <f>订货1!AE125</f>
        <v>0</v>
      </c>
      <c r="Y125" s="113"/>
      <c r="Z125" s="113"/>
      <c r="AA125" s="62">
        <f>订货1!AF125</f>
        <v>0</v>
      </c>
      <c r="AB125" s="113"/>
      <c r="AC125" s="113"/>
      <c r="AD125" s="62">
        <f>订货1!AG125</f>
        <v>0</v>
      </c>
      <c r="AE125" s="113"/>
      <c r="AF125" s="113"/>
      <c r="AG125" s="62">
        <f>订货1!AH125</f>
        <v>0</v>
      </c>
      <c r="AH125" s="113"/>
      <c r="AI125" s="113"/>
      <c r="AJ125" s="62">
        <f>订货1!AI125</f>
        <v>0</v>
      </c>
      <c r="AK125" s="113"/>
      <c r="AL125" s="113"/>
      <c r="AM125" s="62">
        <f>订货1!AJ125</f>
        <v>0</v>
      </c>
      <c r="AN125" s="113"/>
      <c r="AO125" s="113"/>
      <c r="AP125" s="62">
        <f>订货1!AK125</f>
        <v>0</v>
      </c>
      <c r="AQ125" s="113"/>
      <c r="AR125" s="113"/>
      <c r="AS125" s="62">
        <f>订货1!AL125</f>
        <v>0</v>
      </c>
      <c r="AT125" s="113"/>
      <c r="AU125" s="113"/>
      <c r="AV125" s="62">
        <f>订货1!AM125</f>
        <v>0</v>
      </c>
      <c r="AW125" s="113"/>
      <c r="AX125" s="113"/>
      <c r="AY125" s="62">
        <f>订货1!AN125</f>
        <v>0</v>
      </c>
      <c r="AZ125" s="113"/>
      <c r="BA125" s="113"/>
      <c r="BB125" s="62">
        <f>订货1!AO125</f>
        <v>0</v>
      </c>
      <c r="BC125" s="113"/>
      <c r="BD125" s="113"/>
      <c r="BE125" s="62">
        <f>订货1!AP125</f>
        <v>0</v>
      </c>
      <c r="BF125" s="113"/>
      <c r="BG125" s="113"/>
      <c r="BH125" s="62">
        <f>订货1!AQ125</f>
        <v>0</v>
      </c>
      <c r="BI125" s="113"/>
      <c r="BJ125" s="113"/>
      <c r="BK125" s="62">
        <f>订货1!AR125</f>
        <v>0</v>
      </c>
      <c r="BL125" s="113"/>
      <c r="BM125" s="113"/>
      <c r="BN125" s="62">
        <f>订货1!AS125</f>
        <v>0</v>
      </c>
      <c r="BO125" s="113"/>
      <c r="BP125" s="113"/>
      <c r="BQ125" s="62">
        <f>订货1!AT125</f>
        <v>0</v>
      </c>
      <c r="BR125" s="113"/>
      <c r="BS125" s="113"/>
      <c r="BT125" s="62">
        <f>订货1!AU125</f>
        <v>0</v>
      </c>
      <c r="BU125" s="113"/>
      <c r="BV125" s="113"/>
      <c r="BW125" s="62">
        <f>订货1!AV125</f>
        <v>0</v>
      </c>
      <c r="BX125" s="113"/>
      <c r="BY125" s="113"/>
      <c r="BZ125" s="62">
        <f>订货1!AW125</f>
        <v>0</v>
      </c>
      <c r="CA125" s="113"/>
      <c r="CB125" s="113"/>
      <c r="CC125" s="62">
        <f>订货1!AX125</f>
        <v>0</v>
      </c>
      <c r="CD125" s="113"/>
      <c r="CE125" s="113"/>
      <c r="CF125" s="62">
        <f>订货1!AY125</f>
        <v>0</v>
      </c>
      <c r="CG125" s="113"/>
      <c r="CH125" s="113"/>
      <c r="CI125" s="62">
        <f>订货1!AZ125</f>
        <v>0</v>
      </c>
      <c r="CJ125" s="113"/>
      <c r="CK125" s="113"/>
      <c r="CL125" s="62">
        <f>订货1!BA125</f>
        <v>0</v>
      </c>
      <c r="CM125" s="113"/>
      <c r="CN125" s="113"/>
      <c r="CO125" s="62">
        <f>订货1!BB125</f>
        <v>0</v>
      </c>
      <c r="CP125" s="113"/>
      <c r="CQ125" s="113"/>
      <c r="CR125" s="62">
        <f>订货1!BC125</f>
        <v>0</v>
      </c>
      <c r="CS125" s="113"/>
      <c r="CT125" s="113"/>
      <c r="CU125" s="62">
        <f>订货1!BD125</f>
        <v>0</v>
      </c>
      <c r="CV125" s="113"/>
      <c r="CW125" s="113"/>
      <c r="CX125" s="62">
        <f>订货1!BE125</f>
        <v>0</v>
      </c>
      <c r="CY125" s="113"/>
      <c r="CZ125" s="113"/>
      <c r="DA125" s="62">
        <f>订货1!BF125</f>
        <v>0</v>
      </c>
      <c r="DB125" s="113"/>
      <c r="DC125" s="113"/>
      <c r="DD125" s="208">
        <v>0</v>
      </c>
      <c r="DE125" s="110" t="e">
        <f t="shared" si="34"/>
        <v>#DIV/0!</v>
      </c>
      <c r="DF125" s="52">
        <f t="shared" si="33"/>
        <v>0</v>
      </c>
      <c r="DG125" s="32" t="str">
        <f>订货1!$Q125</f>
        <v>箱</v>
      </c>
      <c r="DH125" s="209" t="e">
        <f t="shared" si="35"/>
        <v>#DIV/0!</v>
      </c>
    </row>
    <row r="126" spans="1:112" ht="15" customHeight="1">
      <c r="A126" s="48">
        <f>订货1!A126</f>
        <v>101592</v>
      </c>
      <c r="B126" s="44" t="str">
        <f>VLOOKUP($A126,订货1!$A126:$G370,7,0)</f>
        <v>辣西西里（北京）国际贸易有限公司</v>
      </c>
      <c r="C126" s="44" t="str">
        <f>VLOOKUP($A126,订货1!$A126:$H370,8,0)</f>
        <v>TENUTA POGGIO ALLA SALA SOCIETA' AGRICOLA SRL</v>
      </c>
      <c r="D126" s="44" t="str">
        <f>VLOOKUP($A126,订货1!$A126:$B370,2,0)</f>
        <v>柯万特酒庄蒂安诺干红葡萄酒</v>
      </c>
      <c r="E126" s="44" t="str">
        <f>VLOOKUP($A126,订货1!$A126:$E370,5,0)</f>
        <v>750ml*6瓶</v>
      </c>
      <c r="F126" s="49" t="str">
        <f>VLOOKUP($A126,订货1!$A126:$F370,6,0)</f>
        <v>箱</v>
      </c>
      <c r="G126" s="203"/>
      <c r="H126" s="56">
        <f t="shared" si="36"/>
        <v>0</v>
      </c>
      <c r="I126" s="196"/>
      <c r="J126" s="113"/>
      <c r="K126" s="113"/>
      <c r="L126" s="196"/>
      <c r="M126" s="113"/>
      <c r="N126" s="113"/>
      <c r="O126" s="62">
        <f>订货1!AB126</f>
        <v>0</v>
      </c>
      <c r="P126" s="113"/>
      <c r="Q126" s="113"/>
      <c r="R126" s="62">
        <f>订货1!AC126</f>
        <v>0</v>
      </c>
      <c r="S126" s="113"/>
      <c r="T126" s="113"/>
      <c r="U126" s="62">
        <f>订货1!AD126</f>
        <v>0</v>
      </c>
      <c r="V126" s="113"/>
      <c r="W126" s="113"/>
      <c r="X126" s="62">
        <f>订货1!AE126</f>
        <v>0</v>
      </c>
      <c r="Y126" s="113"/>
      <c r="Z126" s="113"/>
      <c r="AA126" s="62">
        <f>订货1!AF126</f>
        <v>0</v>
      </c>
      <c r="AB126" s="113"/>
      <c r="AC126" s="113"/>
      <c r="AD126" s="62">
        <f>订货1!AG126</f>
        <v>0</v>
      </c>
      <c r="AE126" s="113"/>
      <c r="AF126" s="113"/>
      <c r="AG126" s="62">
        <f>订货1!AH126</f>
        <v>0</v>
      </c>
      <c r="AH126" s="113"/>
      <c r="AI126" s="113"/>
      <c r="AJ126" s="62">
        <f>订货1!AI126</f>
        <v>0</v>
      </c>
      <c r="AK126" s="113"/>
      <c r="AL126" s="113"/>
      <c r="AM126" s="62">
        <f>订货1!AJ126</f>
        <v>0</v>
      </c>
      <c r="AN126" s="113"/>
      <c r="AO126" s="113"/>
      <c r="AP126" s="62">
        <f>订货1!AK126</f>
        <v>0</v>
      </c>
      <c r="AQ126" s="113"/>
      <c r="AR126" s="113"/>
      <c r="AS126" s="62">
        <f>订货1!AL126</f>
        <v>0</v>
      </c>
      <c r="AT126" s="113"/>
      <c r="AU126" s="113"/>
      <c r="AV126" s="62">
        <f>订货1!AM126</f>
        <v>0</v>
      </c>
      <c r="AW126" s="113"/>
      <c r="AX126" s="113"/>
      <c r="AY126" s="62">
        <f>订货1!AN126</f>
        <v>0</v>
      </c>
      <c r="AZ126" s="113"/>
      <c r="BA126" s="113"/>
      <c r="BB126" s="62">
        <f>订货1!AO126</f>
        <v>0</v>
      </c>
      <c r="BC126" s="113"/>
      <c r="BD126" s="113"/>
      <c r="BE126" s="62">
        <f>订货1!AP126</f>
        <v>0</v>
      </c>
      <c r="BF126" s="113"/>
      <c r="BG126" s="113"/>
      <c r="BH126" s="62">
        <f>订货1!AQ126</f>
        <v>0</v>
      </c>
      <c r="BI126" s="113"/>
      <c r="BJ126" s="113"/>
      <c r="BK126" s="62">
        <f>订货1!AR126</f>
        <v>0</v>
      </c>
      <c r="BL126" s="113"/>
      <c r="BM126" s="113"/>
      <c r="BN126" s="62">
        <f>订货1!AS126</f>
        <v>0</v>
      </c>
      <c r="BO126" s="113"/>
      <c r="BP126" s="113"/>
      <c r="BQ126" s="62">
        <f>订货1!AT126</f>
        <v>0</v>
      </c>
      <c r="BR126" s="113"/>
      <c r="BS126" s="113"/>
      <c r="BT126" s="62">
        <f>订货1!AU126</f>
        <v>0</v>
      </c>
      <c r="BU126" s="113"/>
      <c r="BV126" s="113"/>
      <c r="BW126" s="62">
        <f>订货1!AV126</f>
        <v>0</v>
      </c>
      <c r="BX126" s="113"/>
      <c r="BY126" s="113"/>
      <c r="BZ126" s="62">
        <f>订货1!AW126</f>
        <v>0</v>
      </c>
      <c r="CA126" s="113"/>
      <c r="CB126" s="113"/>
      <c r="CC126" s="62">
        <f>订货1!AX126</f>
        <v>0</v>
      </c>
      <c r="CD126" s="113"/>
      <c r="CE126" s="113"/>
      <c r="CF126" s="62">
        <f>订货1!AY126</f>
        <v>0</v>
      </c>
      <c r="CG126" s="113"/>
      <c r="CH126" s="113"/>
      <c r="CI126" s="62">
        <f>订货1!AZ126</f>
        <v>0</v>
      </c>
      <c r="CJ126" s="113"/>
      <c r="CK126" s="113"/>
      <c r="CL126" s="62">
        <f>订货1!BA126</f>
        <v>0</v>
      </c>
      <c r="CM126" s="113"/>
      <c r="CN126" s="113"/>
      <c r="CO126" s="62">
        <f>订货1!BB126</f>
        <v>0</v>
      </c>
      <c r="CP126" s="113"/>
      <c r="CQ126" s="113"/>
      <c r="CR126" s="62">
        <f>订货1!BC126</f>
        <v>0</v>
      </c>
      <c r="CS126" s="113"/>
      <c r="CT126" s="113"/>
      <c r="CU126" s="62">
        <f>订货1!BD126</f>
        <v>0</v>
      </c>
      <c r="CV126" s="113"/>
      <c r="CW126" s="113"/>
      <c r="CX126" s="62">
        <f>订货1!BE126</f>
        <v>0</v>
      </c>
      <c r="CY126" s="113"/>
      <c r="CZ126" s="113"/>
      <c r="DA126" s="62">
        <f>订货1!BF126</f>
        <v>0</v>
      </c>
      <c r="DB126" s="113"/>
      <c r="DC126" s="113"/>
      <c r="DD126" s="208">
        <v>0</v>
      </c>
      <c r="DE126" s="110" t="e">
        <f t="shared" si="34"/>
        <v>#DIV/0!</v>
      </c>
      <c r="DF126" s="52">
        <f t="shared" si="33"/>
        <v>0</v>
      </c>
      <c r="DG126" s="32" t="str">
        <f>订货1!$Q126</f>
        <v>箱</v>
      </c>
      <c r="DH126" s="209" t="e">
        <f t="shared" si="35"/>
        <v>#DIV/0!</v>
      </c>
    </row>
    <row r="127" spans="1:112" ht="15" customHeight="1">
      <c r="A127" s="48">
        <f>订货1!A127</f>
        <v>101598</v>
      </c>
      <c r="B127" s="44" t="str">
        <f>VLOOKUP($A127,订货1!$A127:$G371,7,0)</f>
        <v>辣西西里（北京）国际贸易有限公司</v>
      </c>
      <c r="C127" s="44" t="str">
        <f>VLOOKUP($A127,订货1!$A127:$H371,8,0)</f>
        <v>Consorzio Casalasco del Pomodoro</v>
      </c>
      <c r="D127" s="44" t="str">
        <f>VLOOKUP($A127,订货1!$A127:$B371,2,0)</f>
        <v>辣西西里-披萨调味酱</v>
      </c>
      <c r="E127" s="44" t="str">
        <f>VLOOKUP($A127,订货1!$A127:$E371,5,0)</f>
        <v>4.1kg*3pc</v>
      </c>
      <c r="F127" s="49" t="str">
        <f>VLOOKUP($A127,订货1!$A127:$F371,6,0)</f>
        <v>箱</v>
      </c>
      <c r="G127" s="203"/>
      <c r="H127" s="56">
        <f t="shared" si="36"/>
        <v>2</v>
      </c>
      <c r="I127" s="196"/>
      <c r="J127" s="113"/>
      <c r="K127" s="113"/>
      <c r="L127" s="196"/>
      <c r="M127" s="113"/>
      <c r="N127" s="113"/>
      <c r="O127" s="62">
        <f>订货1!AB127</f>
        <v>0</v>
      </c>
      <c r="P127" s="113"/>
      <c r="Q127" s="113"/>
      <c r="R127" s="62">
        <f>订货1!AC127</f>
        <v>0</v>
      </c>
      <c r="S127" s="113"/>
      <c r="T127" s="113"/>
      <c r="U127" s="62">
        <f>订货1!AD127</f>
        <v>0</v>
      </c>
      <c r="V127" s="113"/>
      <c r="W127" s="113"/>
      <c r="X127" s="62">
        <f>订货1!AE127</f>
        <v>0</v>
      </c>
      <c r="Y127" s="113"/>
      <c r="Z127" s="113"/>
      <c r="AA127" s="62">
        <f>订货1!AF127</f>
        <v>1</v>
      </c>
      <c r="AB127" s="113"/>
      <c r="AC127" s="113"/>
      <c r="AD127" s="62">
        <f>订货1!AG127</f>
        <v>0</v>
      </c>
      <c r="AE127" s="113"/>
      <c r="AF127" s="113"/>
      <c r="AG127" s="62">
        <f>订货1!AH127</f>
        <v>0</v>
      </c>
      <c r="AH127" s="113"/>
      <c r="AI127" s="113"/>
      <c r="AJ127" s="62">
        <f>订货1!AI127</f>
        <v>0</v>
      </c>
      <c r="AK127" s="113"/>
      <c r="AL127" s="113"/>
      <c r="AM127" s="62">
        <f>订货1!AJ127</f>
        <v>0</v>
      </c>
      <c r="AN127" s="113"/>
      <c r="AO127" s="113"/>
      <c r="AP127" s="62">
        <f>订货1!AK127</f>
        <v>0</v>
      </c>
      <c r="AQ127" s="113"/>
      <c r="AR127" s="113"/>
      <c r="AS127" s="62">
        <f>订货1!AL127</f>
        <v>0</v>
      </c>
      <c r="AT127" s="113"/>
      <c r="AU127" s="113"/>
      <c r="AV127" s="62">
        <f>订货1!AM127</f>
        <v>0</v>
      </c>
      <c r="AW127" s="113"/>
      <c r="AX127" s="113"/>
      <c r="AY127" s="62">
        <f>订货1!AN127</f>
        <v>0</v>
      </c>
      <c r="AZ127" s="113"/>
      <c r="BA127" s="113"/>
      <c r="BB127" s="62">
        <f>订货1!AO127</f>
        <v>1</v>
      </c>
      <c r="BC127" s="113"/>
      <c r="BD127" s="113"/>
      <c r="BE127" s="62">
        <f>订货1!AP127</f>
        <v>0</v>
      </c>
      <c r="BF127" s="113"/>
      <c r="BG127" s="113"/>
      <c r="BH127" s="62">
        <f>订货1!AQ127</f>
        <v>0</v>
      </c>
      <c r="BI127" s="113"/>
      <c r="BJ127" s="113"/>
      <c r="BK127" s="62">
        <f>订货1!AR127</f>
        <v>0</v>
      </c>
      <c r="BL127" s="113"/>
      <c r="BM127" s="113"/>
      <c r="BN127" s="62">
        <f>订货1!AS127</f>
        <v>0</v>
      </c>
      <c r="BO127" s="113"/>
      <c r="BP127" s="113"/>
      <c r="BQ127" s="62">
        <f>订货1!AT127</f>
        <v>0</v>
      </c>
      <c r="BR127" s="113"/>
      <c r="BS127" s="113"/>
      <c r="BT127" s="62">
        <f>订货1!AU127</f>
        <v>0</v>
      </c>
      <c r="BU127" s="113"/>
      <c r="BV127" s="113"/>
      <c r="BW127" s="62">
        <f>订货1!AV127</f>
        <v>0</v>
      </c>
      <c r="BX127" s="113"/>
      <c r="BY127" s="113"/>
      <c r="BZ127" s="62">
        <f>订货1!AW127</f>
        <v>0</v>
      </c>
      <c r="CA127" s="113"/>
      <c r="CB127" s="113"/>
      <c r="CC127" s="62">
        <f>订货1!AX127</f>
        <v>0</v>
      </c>
      <c r="CD127" s="113"/>
      <c r="CE127" s="113"/>
      <c r="CF127" s="62">
        <f>订货1!AY127</f>
        <v>0</v>
      </c>
      <c r="CG127" s="113"/>
      <c r="CH127" s="113"/>
      <c r="CI127" s="62">
        <f>订货1!AZ127</f>
        <v>0</v>
      </c>
      <c r="CJ127" s="113"/>
      <c r="CK127" s="113"/>
      <c r="CL127" s="62">
        <f>订货1!BA127</f>
        <v>0</v>
      </c>
      <c r="CM127" s="113"/>
      <c r="CN127" s="113"/>
      <c r="CO127" s="62">
        <f>订货1!BB127</f>
        <v>0</v>
      </c>
      <c r="CP127" s="113"/>
      <c r="CQ127" s="113"/>
      <c r="CR127" s="62">
        <f>订货1!BC127</f>
        <v>0</v>
      </c>
      <c r="CS127" s="113"/>
      <c r="CT127" s="113"/>
      <c r="CU127" s="62">
        <f>订货1!BD127</f>
        <v>0</v>
      </c>
      <c r="CV127" s="113"/>
      <c r="CW127" s="113"/>
      <c r="CX127" s="62">
        <f>订货1!BE127</f>
        <v>0</v>
      </c>
      <c r="CY127" s="113"/>
      <c r="CZ127" s="113"/>
      <c r="DA127" s="62">
        <f>订货1!BF127</f>
        <v>0</v>
      </c>
      <c r="DB127" s="113"/>
      <c r="DC127" s="113"/>
      <c r="DD127" s="208">
        <v>0</v>
      </c>
      <c r="DE127" s="110" t="e">
        <f t="shared" si="34"/>
        <v>#DIV/0!</v>
      </c>
      <c r="DF127" s="52">
        <f t="shared" ref="DF127:DF191" si="37">IFERROR(DD127+H127-G127,"")</f>
        <v>2</v>
      </c>
      <c r="DG127" s="32" t="str">
        <f>订货1!$Q127</f>
        <v>箱</v>
      </c>
      <c r="DH127" s="209" t="e">
        <f t="shared" si="35"/>
        <v>#DIV/0!</v>
      </c>
    </row>
    <row r="128" spans="1:112" ht="15" customHeight="1">
      <c r="A128" s="48">
        <f>订货1!A128</f>
        <v>101593</v>
      </c>
      <c r="B128" s="44" t="str">
        <f>VLOOKUP($A128,订货1!$A128:$G372,7,0)</f>
        <v>辣西西里（北京）国际贸易有限公司</v>
      </c>
      <c r="C128" s="44" t="str">
        <f>VLOOKUP($A128,订货1!$A128:$H372,8,0)</f>
        <v>Cantine Riondo SpA</v>
      </c>
      <c r="D128" s="44" t="str">
        <f>VLOOKUP($A128,订货1!$A128:$B372,2,0)</f>
        <v>城堡酒庄卡尔卡耐卡干白葡萄酒</v>
      </c>
      <c r="E128" s="44" t="str">
        <f>VLOOKUP($A128,订货1!$A128:$E372,5,0)</f>
        <v>750ml*6</v>
      </c>
      <c r="F128" s="49" t="str">
        <f>VLOOKUP($A128,订货1!$A128:$F372,6,0)</f>
        <v>箱</v>
      </c>
      <c r="G128" s="203"/>
      <c r="H128" s="56">
        <f t="shared" si="36"/>
        <v>1</v>
      </c>
      <c r="I128" s="196"/>
      <c r="J128" s="113"/>
      <c r="K128" s="113"/>
      <c r="L128" s="196"/>
      <c r="M128" s="113"/>
      <c r="N128" s="113"/>
      <c r="O128" s="62">
        <f>订货1!AB128</f>
        <v>0</v>
      </c>
      <c r="P128" s="113"/>
      <c r="Q128" s="113"/>
      <c r="R128" s="62">
        <f>订货1!AC128</f>
        <v>0</v>
      </c>
      <c r="S128" s="113"/>
      <c r="T128" s="113"/>
      <c r="U128" s="62">
        <f>订货1!AD128</f>
        <v>0</v>
      </c>
      <c r="V128" s="113"/>
      <c r="W128" s="113"/>
      <c r="X128" s="62">
        <f>订货1!AE128</f>
        <v>0</v>
      </c>
      <c r="Y128" s="113"/>
      <c r="Z128" s="113"/>
      <c r="AA128" s="62">
        <f>订货1!AF128</f>
        <v>0</v>
      </c>
      <c r="AB128" s="113"/>
      <c r="AC128" s="113"/>
      <c r="AD128" s="62">
        <f>订货1!AG128</f>
        <v>0</v>
      </c>
      <c r="AE128" s="113"/>
      <c r="AF128" s="113"/>
      <c r="AG128" s="62">
        <f>订货1!AH128</f>
        <v>0</v>
      </c>
      <c r="AH128" s="113"/>
      <c r="AI128" s="113"/>
      <c r="AJ128" s="62">
        <f>订货1!AI128</f>
        <v>0</v>
      </c>
      <c r="AK128" s="113"/>
      <c r="AL128" s="113"/>
      <c r="AM128" s="62">
        <f>订货1!AJ128</f>
        <v>0</v>
      </c>
      <c r="AN128" s="113"/>
      <c r="AO128" s="113"/>
      <c r="AP128" s="62">
        <f>订货1!AK128</f>
        <v>0</v>
      </c>
      <c r="AQ128" s="113"/>
      <c r="AR128" s="113"/>
      <c r="AS128" s="62">
        <f>订货1!AL128</f>
        <v>1</v>
      </c>
      <c r="AT128" s="113"/>
      <c r="AU128" s="113"/>
      <c r="AV128" s="62">
        <f>订货1!AM128</f>
        <v>0</v>
      </c>
      <c r="AW128" s="113"/>
      <c r="AX128" s="113"/>
      <c r="AY128" s="62">
        <f>订货1!AN128</f>
        <v>0</v>
      </c>
      <c r="AZ128" s="113"/>
      <c r="BA128" s="113"/>
      <c r="BB128" s="62">
        <f>订货1!AO128</f>
        <v>0</v>
      </c>
      <c r="BC128" s="113"/>
      <c r="BD128" s="113"/>
      <c r="BE128" s="62">
        <f>订货1!AP128</f>
        <v>0</v>
      </c>
      <c r="BF128" s="113"/>
      <c r="BG128" s="113"/>
      <c r="BH128" s="62">
        <f>订货1!AQ128</f>
        <v>0</v>
      </c>
      <c r="BI128" s="113"/>
      <c r="BJ128" s="113"/>
      <c r="BK128" s="62">
        <f>订货1!AR128</f>
        <v>0</v>
      </c>
      <c r="BL128" s="113"/>
      <c r="BM128" s="113"/>
      <c r="BN128" s="62">
        <f>订货1!AS128</f>
        <v>0</v>
      </c>
      <c r="BO128" s="113"/>
      <c r="BP128" s="113"/>
      <c r="BQ128" s="62">
        <f>订货1!AT128</f>
        <v>0</v>
      </c>
      <c r="BR128" s="113"/>
      <c r="BS128" s="113"/>
      <c r="BT128" s="62">
        <f>订货1!AU128</f>
        <v>0</v>
      </c>
      <c r="BU128" s="113"/>
      <c r="BV128" s="113"/>
      <c r="BW128" s="62">
        <f>订货1!AV128</f>
        <v>0</v>
      </c>
      <c r="BX128" s="113"/>
      <c r="BY128" s="113"/>
      <c r="BZ128" s="62">
        <f>订货1!AW128</f>
        <v>0</v>
      </c>
      <c r="CA128" s="113"/>
      <c r="CB128" s="113"/>
      <c r="CC128" s="62">
        <f>订货1!AX128</f>
        <v>0</v>
      </c>
      <c r="CD128" s="113"/>
      <c r="CE128" s="113"/>
      <c r="CF128" s="62">
        <f>订货1!AY128</f>
        <v>0</v>
      </c>
      <c r="CG128" s="113"/>
      <c r="CH128" s="113"/>
      <c r="CI128" s="62">
        <f>订货1!AZ128</f>
        <v>0</v>
      </c>
      <c r="CJ128" s="113"/>
      <c r="CK128" s="113"/>
      <c r="CL128" s="62">
        <f>订货1!BA128</f>
        <v>0</v>
      </c>
      <c r="CM128" s="113"/>
      <c r="CN128" s="113"/>
      <c r="CO128" s="62">
        <f>订货1!BB128</f>
        <v>0</v>
      </c>
      <c r="CP128" s="113"/>
      <c r="CQ128" s="113"/>
      <c r="CR128" s="62">
        <f>订货1!BC128</f>
        <v>0</v>
      </c>
      <c r="CS128" s="113"/>
      <c r="CT128" s="113"/>
      <c r="CU128" s="62">
        <f>订货1!BD128</f>
        <v>0</v>
      </c>
      <c r="CV128" s="113"/>
      <c r="CW128" s="113"/>
      <c r="CX128" s="62">
        <f>订货1!BE128</f>
        <v>0</v>
      </c>
      <c r="CY128" s="113"/>
      <c r="CZ128" s="113"/>
      <c r="DA128" s="62">
        <f>订货1!BF128</f>
        <v>0</v>
      </c>
      <c r="DB128" s="113"/>
      <c r="DC128" s="113"/>
      <c r="DD128" s="208">
        <v>0</v>
      </c>
      <c r="DE128" s="110" t="e">
        <f t="shared" ref="DE128:DE192" si="38">INT(G128/DI128)</f>
        <v>#DIV/0!</v>
      </c>
      <c r="DF128" s="52">
        <f t="shared" si="37"/>
        <v>1</v>
      </c>
      <c r="DG128" s="32" t="str">
        <f>订货1!$Q128</f>
        <v>箱</v>
      </c>
      <c r="DH128" s="209" t="e">
        <f t="shared" si="35"/>
        <v>#DIV/0!</v>
      </c>
    </row>
    <row r="129" spans="1:112" ht="15" customHeight="1">
      <c r="A129" s="48">
        <f>订货1!A129</f>
        <v>700001</v>
      </c>
      <c r="B129" s="44" t="str">
        <f>VLOOKUP($A129,订货1!$A129:$G373,7,0)</f>
        <v>江苏太古可口可乐饮料有限公司</v>
      </c>
      <c r="C129" s="44" t="str">
        <f>VLOOKUP($A129,订货1!$A129:$H373,8,0)</f>
        <v>江苏太古可口可乐饮料有限公司</v>
      </c>
      <c r="D129" s="44" t="str">
        <f>VLOOKUP($A129,订货1!$A129:$B373,2,0)</f>
        <v>可口可乐糖浆</v>
      </c>
      <c r="E129" s="44" t="str">
        <f>VLOOKUP($A129,订货1!$A129:$E373,5,0)</f>
        <v>10L</v>
      </c>
      <c r="F129" s="49" t="str">
        <f>VLOOKUP($A129,订货1!$A129:$F373,6,0)</f>
        <v>箱</v>
      </c>
      <c r="G129" s="203"/>
      <c r="H129" s="56">
        <f t="shared" si="36"/>
        <v>0</v>
      </c>
      <c r="I129" s="196"/>
      <c r="J129" s="113"/>
      <c r="K129" s="113"/>
      <c r="L129" s="196"/>
      <c r="M129" s="113"/>
      <c r="N129" s="113"/>
      <c r="O129" s="62">
        <f>订货1!AB129</f>
        <v>0</v>
      </c>
      <c r="P129" s="113"/>
      <c r="Q129" s="113"/>
      <c r="R129" s="62">
        <f>订货1!AC129</f>
        <v>0</v>
      </c>
      <c r="S129" s="113"/>
      <c r="T129" s="113"/>
      <c r="U129" s="62">
        <f>订货1!AD129</f>
        <v>0</v>
      </c>
      <c r="V129" s="113"/>
      <c r="W129" s="113"/>
      <c r="X129" s="62">
        <f>订货1!AE129</f>
        <v>0</v>
      </c>
      <c r="Y129" s="113"/>
      <c r="Z129" s="113"/>
      <c r="AA129" s="62">
        <f>订货1!AF129</f>
        <v>0</v>
      </c>
      <c r="AB129" s="113"/>
      <c r="AC129" s="113"/>
      <c r="AD129" s="62">
        <f>订货1!AG129</f>
        <v>0</v>
      </c>
      <c r="AE129" s="113"/>
      <c r="AF129" s="113"/>
      <c r="AG129" s="62">
        <f>订货1!AH129</f>
        <v>0</v>
      </c>
      <c r="AH129" s="113"/>
      <c r="AI129" s="113"/>
      <c r="AJ129" s="62">
        <f>订货1!AI129</f>
        <v>0</v>
      </c>
      <c r="AK129" s="113"/>
      <c r="AL129" s="113"/>
      <c r="AM129" s="62">
        <f>订货1!AJ129</f>
        <v>0</v>
      </c>
      <c r="AN129" s="113"/>
      <c r="AO129" s="113"/>
      <c r="AP129" s="62">
        <f>订货1!AK129</f>
        <v>0</v>
      </c>
      <c r="AQ129" s="113"/>
      <c r="AR129" s="113"/>
      <c r="AS129" s="62">
        <f>订货1!AL129</f>
        <v>0</v>
      </c>
      <c r="AT129" s="113"/>
      <c r="AU129" s="113"/>
      <c r="AV129" s="62">
        <f>订货1!AM129</f>
        <v>0</v>
      </c>
      <c r="AW129" s="113"/>
      <c r="AX129" s="113"/>
      <c r="AY129" s="62">
        <f>订货1!AN129</f>
        <v>0</v>
      </c>
      <c r="AZ129" s="113"/>
      <c r="BA129" s="113"/>
      <c r="BB129" s="62">
        <f>订货1!AO129</f>
        <v>0</v>
      </c>
      <c r="BC129" s="113"/>
      <c r="BD129" s="113"/>
      <c r="BE129" s="62">
        <f>订货1!AP129</f>
        <v>0</v>
      </c>
      <c r="BF129" s="113"/>
      <c r="BG129" s="113"/>
      <c r="BH129" s="62">
        <f>订货1!AQ129</f>
        <v>0</v>
      </c>
      <c r="BI129" s="113"/>
      <c r="BJ129" s="113"/>
      <c r="BK129" s="62">
        <f>订货1!AR129</f>
        <v>0</v>
      </c>
      <c r="BL129" s="113"/>
      <c r="BM129" s="113"/>
      <c r="BN129" s="62">
        <f>订货1!AS129</f>
        <v>0</v>
      </c>
      <c r="BO129" s="113"/>
      <c r="BP129" s="113"/>
      <c r="BQ129" s="62">
        <f>订货1!AT129</f>
        <v>0</v>
      </c>
      <c r="BR129" s="113"/>
      <c r="BS129" s="113"/>
      <c r="BT129" s="62">
        <f>订货1!AU129</f>
        <v>0</v>
      </c>
      <c r="BU129" s="113"/>
      <c r="BV129" s="113"/>
      <c r="BW129" s="62">
        <f>订货1!AV129</f>
        <v>0</v>
      </c>
      <c r="BX129" s="113"/>
      <c r="BY129" s="113"/>
      <c r="BZ129" s="62">
        <f>订货1!AW129</f>
        <v>0</v>
      </c>
      <c r="CA129" s="113"/>
      <c r="CB129" s="113"/>
      <c r="CC129" s="62">
        <f>订货1!AX129</f>
        <v>0</v>
      </c>
      <c r="CD129" s="113"/>
      <c r="CE129" s="113"/>
      <c r="CF129" s="62">
        <f>订货1!AY129</f>
        <v>0</v>
      </c>
      <c r="CG129" s="113"/>
      <c r="CH129" s="113"/>
      <c r="CI129" s="62">
        <f>订货1!AZ129</f>
        <v>0</v>
      </c>
      <c r="CJ129" s="113"/>
      <c r="CK129" s="113"/>
      <c r="CL129" s="62">
        <f>订货1!BA129</f>
        <v>0</v>
      </c>
      <c r="CM129" s="113"/>
      <c r="CN129" s="113"/>
      <c r="CO129" s="62">
        <f>订货1!BB129</f>
        <v>0</v>
      </c>
      <c r="CP129" s="113"/>
      <c r="CQ129" s="113"/>
      <c r="CR129" s="62">
        <f>订货1!BC129</f>
        <v>0</v>
      </c>
      <c r="CS129" s="113"/>
      <c r="CT129" s="113"/>
      <c r="CU129" s="62">
        <f>订货1!BD129</f>
        <v>0</v>
      </c>
      <c r="CV129" s="113"/>
      <c r="CW129" s="113"/>
      <c r="CX129" s="62">
        <f>订货1!BE129</f>
        <v>0</v>
      </c>
      <c r="CY129" s="113"/>
      <c r="CZ129" s="113"/>
      <c r="DA129" s="62">
        <f>订货1!BF129</f>
        <v>0</v>
      </c>
      <c r="DB129" s="113"/>
      <c r="DC129" s="113"/>
      <c r="DD129" s="208">
        <v>0</v>
      </c>
      <c r="DE129" s="110" t="e">
        <f t="shared" si="38"/>
        <v>#DIV/0!</v>
      </c>
      <c r="DF129" s="52">
        <f t="shared" si="37"/>
        <v>0</v>
      </c>
      <c r="DG129" s="32" t="str">
        <f>订货1!$Q129</f>
        <v>箱</v>
      </c>
      <c r="DH129" s="209" t="e">
        <f t="shared" ref="DH129:DH193" si="39">DF129/($DH$2/10000)</f>
        <v>#DIV/0!</v>
      </c>
    </row>
    <row r="130" spans="1:112" ht="15" customHeight="1">
      <c r="A130" s="48">
        <f>订货1!A130</f>
        <v>700002</v>
      </c>
      <c r="B130" s="44" t="str">
        <f>VLOOKUP($A130,订货1!$A130:$G374,7,0)</f>
        <v>江苏太古可口可乐饮料有限公司</v>
      </c>
      <c r="C130" s="44" t="str">
        <f>VLOOKUP($A130,订货1!$A130:$H374,8,0)</f>
        <v>江苏太古可口可乐饮料有限公司</v>
      </c>
      <c r="D130" s="44" t="str">
        <f>VLOOKUP($A130,订货1!$A130:$B374,2,0)</f>
        <v>雪碧糖浆</v>
      </c>
      <c r="E130" s="44" t="str">
        <f>VLOOKUP($A130,订货1!$A130:$E374,5,0)</f>
        <v>10L</v>
      </c>
      <c r="F130" s="49" t="str">
        <f>VLOOKUP($A130,订货1!$A130:$F374,6,0)</f>
        <v>箱</v>
      </c>
      <c r="G130" s="203"/>
      <c r="H130" s="56">
        <f t="shared" si="36"/>
        <v>0</v>
      </c>
      <c r="I130" s="196"/>
      <c r="J130" s="113"/>
      <c r="K130" s="113"/>
      <c r="L130" s="196"/>
      <c r="M130" s="113"/>
      <c r="N130" s="113"/>
      <c r="O130" s="62">
        <f>订货1!AB130</f>
        <v>0</v>
      </c>
      <c r="P130" s="113"/>
      <c r="Q130" s="113"/>
      <c r="R130" s="62">
        <f>订货1!AC130</f>
        <v>0</v>
      </c>
      <c r="S130" s="113"/>
      <c r="T130" s="113"/>
      <c r="U130" s="62">
        <f>订货1!AD130</f>
        <v>0</v>
      </c>
      <c r="V130" s="113"/>
      <c r="W130" s="113"/>
      <c r="X130" s="62">
        <f>订货1!AE130</f>
        <v>0</v>
      </c>
      <c r="Y130" s="113"/>
      <c r="Z130" s="113"/>
      <c r="AA130" s="62">
        <f>订货1!AF130</f>
        <v>0</v>
      </c>
      <c r="AB130" s="113"/>
      <c r="AC130" s="113"/>
      <c r="AD130" s="62">
        <f>订货1!AG130</f>
        <v>0</v>
      </c>
      <c r="AE130" s="113"/>
      <c r="AF130" s="113"/>
      <c r="AG130" s="62">
        <f>订货1!AH130</f>
        <v>0</v>
      </c>
      <c r="AH130" s="113"/>
      <c r="AI130" s="113"/>
      <c r="AJ130" s="62">
        <f>订货1!AI130</f>
        <v>0</v>
      </c>
      <c r="AK130" s="113"/>
      <c r="AL130" s="113"/>
      <c r="AM130" s="62">
        <f>订货1!AJ130</f>
        <v>0</v>
      </c>
      <c r="AN130" s="113"/>
      <c r="AO130" s="113"/>
      <c r="AP130" s="62">
        <f>订货1!AK130</f>
        <v>0</v>
      </c>
      <c r="AQ130" s="113"/>
      <c r="AR130" s="113"/>
      <c r="AS130" s="62">
        <f>订货1!AL130</f>
        <v>0</v>
      </c>
      <c r="AT130" s="113"/>
      <c r="AU130" s="113"/>
      <c r="AV130" s="62">
        <f>订货1!AM130</f>
        <v>0</v>
      </c>
      <c r="AW130" s="113"/>
      <c r="AX130" s="113"/>
      <c r="AY130" s="62">
        <f>订货1!AN130</f>
        <v>0</v>
      </c>
      <c r="AZ130" s="113"/>
      <c r="BA130" s="113"/>
      <c r="BB130" s="62">
        <f>订货1!AO130</f>
        <v>0</v>
      </c>
      <c r="BC130" s="113"/>
      <c r="BD130" s="113"/>
      <c r="BE130" s="62">
        <f>订货1!AP130</f>
        <v>0</v>
      </c>
      <c r="BF130" s="113"/>
      <c r="BG130" s="113"/>
      <c r="BH130" s="62">
        <f>订货1!AQ130</f>
        <v>0</v>
      </c>
      <c r="BI130" s="113"/>
      <c r="BJ130" s="113"/>
      <c r="BK130" s="62">
        <f>订货1!AR130</f>
        <v>0</v>
      </c>
      <c r="BL130" s="113"/>
      <c r="BM130" s="113"/>
      <c r="BN130" s="62">
        <f>订货1!AS130</f>
        <v>0</v>
      </c>
      <c r="BO130" s="113"/>
      <c r="BP130" s="113"/>
      <c r="BQ130" s="62">
        <f>订货1!AT130</f>
        <v>0</v>
      </c>
      <c r="BR130" s="113"/>
      <c r="BS130" s="113"/>
      <c r="BT130" s="62">
        <f>订货1!AU130</f>
        <v>0</v>
      </c>
      <c r="BU130" s="113"/>
      <c r="BV130" s="113"/>
      <c r="BW130" s="62">
        <f>订货1!AV130</f>
        <v>0</v>
      </c>
      <c r="BX130" s="113"/>
      <c r="BY130" s="113"/>
      <c r="BZ130" s="62">
        <f>订货1!AW130</f>
        <v>0</v>
      </c>
      <c r="CA130" s="113"/>
      <c r="CB130" s="113"/>
      <c r="CC130" s="62">
        <f>订货1!AX130</f>
        <v>0</v>
      </c>
      <c r="CD130" s="113"/>
      <c r="CE130" s="113"/>
      <c r="CF130" s="62">
        <f>订货1!AY130</f>
        <v>0</v>
      </c>
      <c r="CG130" s="113"/>
      <c r="CH130" s="113"/>
      <c r="CI130" s="62">
        <f>订货1!AZ130</f>
        <v>0</v>
      </c>
      <c r="CJ130" s="113"/>
      <c r="CK130" s="113"/>
      <c r="CL130" s="62">
        <f>订货1!BA130</f>
        <v>0</v>
      </c>
      <c r="CM130" s="113"/>
      <c r="CN130" s="113"/>
      <c r="CO130" s="62">
        <f>订货1!BB130</f>
        <v>0</v>
      </c>
      <c r="CP130" s="113"/>
      <c r="CQ130" s="113"/>
      <c r="CR130" s="62">
        <f>订货1!BC130</f>
        <v>0</v>
      </c>
      <c r="CS130" s="113"/>
      <c r="CT130" s="113"/>
      <c r="CU130" s="62">
        <f>订货1!BD130</f>
        <v>0</v>
      </c>
      <c r="CV130" s="113"/>
      <c r="CW130" s="113"/>
      <c r="CX130" s="62">
        <f>订货1!BE130</f>
        <v>0</v>
      </c>
      <c r="CY130" s="113"/>
      <c r="CZ130" s="113"/>
      <c r="DA130" s="62">
        <f>订货1!BF130</f>
        <v>0</v>
      </c>
      <c r="DB130" s="113"/>
      <c r="DC130" s="113"/>
      <c r="DD130" s="208">
        <v>0</v>
      </c>
      <c r="DE130" s="110" t="e">
        <f>INT(G130/DI130)</f>
        <v>#DIV/0!</v>
      </c>
      <c r="DF130" s="52">
        <f t="shared" si="37"/>
        <v>0</v>
      </c>
      <c r="DG130" s="32" t="str">
        <f>订货1!$Q130</f>
        <v>箱</v>
      </c>
      <c r="DH130" s="209" t="e">
        <f t="shared" si="39"/>
        <v>#DIV/0!</v>
      </c>
    </row>
    <row r="131" spans="1:112" ht="15" customHeight="1">
      <c r="A131" s="48">
        <f>订货1!A131</f>
        <v>700003</v>
      </c>
      <c r="B131" s="44" t="str">
        <f>VLOOKUP($A131,订货1!$A131:$G375,7,0)</f>
        <v>江苏太古可口可乐饮料有限公司</v>
      </c>
      <c r="C131" s="44" t="str">
        <f>VLOOKUP($A131,订货1!$A131:$H375,8,0)</f>
        <v>江苏太古可口可乐饮料有限公司</v>
      </c>
      <c r="D131" s="44" t="str">
        <f>VLOOKUP($A131,订货1!$A131:$B375,2,0)</f>
        <v>芬达橙汁糖浆</v>
      </c>
      <c r="E131" s="44" t="str">
        <f>VLOOKUP($A131,订货1!$A131:$E375,5,0)</f>
        <v>10L</v>
      </c>
      <c r="F131" s="49" t="str">
        <f>VLOOKUP($A131,订货1!$A131:$F375,6,0)</f>
        <v>箱</v>
      </c>
      <c r="G131" s="203"/>
      <c r="H131" s="56">
        <f t="shared" si="36"/>
        <v>0</v>
      </c>
      <c r="I131" s="196"/>
      <c r="J131" s="113"/>
      <c r="K131" s="113"/>
      <c r="L131" s="196"/>
      <c r="M131" s="113"/>
      <c r="N131" s="113"/>
      <c r="O131" s="62">
        <f>订货1!AB131</f>
        <v>0</v>
      </c>
      <c r="P131" s="113"/>
      <c r="Q131" s="113"/>
      <c r="R131" s="62">
        <f>订货1!AC131</f>
        <v>0</v>
      </c>
      <c r="S131" s="113"/>
      <c r="T131" s="113"/>
      <c r="U131" s="62">
        <f>订货1!AD131</f>
        <v>0</v>
      </c>
      <c r="V131" s="113"/>
      <c r="W131" s="113"/>
      <c r="X131" s="62">
        <f>订货1!AE131</f>
        <v>0</v>
      </c>
      <c r="Y131" s="113"/>
      <c r="Z131" s="113"/>
      <c r="AA131" s="62">
        <f>订货1!AF131</f>
        <v>0</v>
      </c>
      <c r="AB131" s="113"/>
      <c r="AC131" s="113"/>
      <c r="AD131" s="62">
        <f>订货1!AG131</f>
        <v>0</v>
      </c>
      <c r="AE131" s="113"/>
      <c r="AF131" s="113"/>
      <c r="AG131" s="62">
        <f>订货1!AH131</f>
        <v>0</v>
      </c>
      <c r="AH131" s="113"/>
      <c r="AI131" s="113"/>
      <c r="AJ131" s="62">
        <f>订货1!AI131</f>
        <v>0</v>
      </c>
      <c r="AK131" s="113"/>
      <c r="AL131" s="113"/>
      <c r="AM131" s="62">
        <f>订货1!AJ131</f>
        <v>0</v>
      </c>
      <c r="AN131" s="113"/>
      <c r="AO131" s="113"/>
      <c r="AP131" s="62">
        <f>订货1!AK131</f>
        <v>0</v>
      </c>
      <c r="AQ131" s="113"/>
      <c r="AR131" s="113"/>
      <c r="AS131" s="62">
        <f>订货1!AL131</f>
        <v>0</v>
      </c>
      <c r="AT131" s="113"/>
      <c r="AU131" s="113"/>
      <c r="AV131" s="62">
        <f>订货1!AM131</f>
        <v>0</v>
      </c>
      <c r="AW131" s="113"/>
      <c r="AX131" s="113"/>
      <c r="AY131" s="62">
        <f>订货1!AN131</f>
        <v>0</v>
      </c>
      <c r="AZ131" s="113"/>
      <c r="BA131" s="113"/>
      <c r="BB131" s="62">
        <f>订货1!AO131</f>
        <v>0</v>
      </c>
      <c r="BC131" s="113"/>
      <c r="BD131" s="113"/>
      <c r="BE131" s="62">
        <f>订货1!AP131</f>
        <v>0</v>
      </c>
      <c r="BF131" s="113"/>
      <c r="BG131" s="113"/>
      <c r="BH131" s="62">
        <f>订货1!AQ131</f>
        <v>0</v>
      </c>
      <c r="BI131" s="113"/>
      <c r="BJ131" s="113"/>
      <c r="BK131" s="62">
        <f>订货1!AR131</f>
        <v>0</v>
      </c>
      <c r="BL131" s="113"/>
      <c r="BM131" s="113"/>
      <c r="BN131" s="62">
        <f>订货1!AS131</f>
        <v>0</v>
      </c>
      <c r="BO131" s="113"/>
      <c r="BP131" s="113"/>
      <c r="BQ131" s="62">
        <f>订货1!AT131</f>
        <v>0</v>
      </c>
      <c r="BR131" s="113"/>
      <c r="BS131" s="113"/>
      <c r="BT131" s="62">
        <f>订货1!AU131</f>
        <v>0</v>
      </c>
      <c r="BU131" s="113"/>
      <c r="BV131" s="113"/>
      <c r="BW131" s="62">
        <f>订货1!AV131</f>
        <v>0</v>
      </c>
      <c r="BX131" s="113"/>
      <c r="BY131" s="113"/>
      <c r="BZ131" s="62">
        <f>订货1!AW131</f>
        <v>0</v>
      </c>
      <c r="CA131" s="113"/>
      <c r="CB131" s="113"/>
      <c r="CC131" s="62">
        <f>订货1!AX131</f>
        <v>0</v>
      </c>
      <c r="CD131" s="113"/>
      <c r="CE131" s="113"/>
      <c r="CF131" s="62">
        <f>订货1!AY131</f>
        <v>0</v>
      </c>
      <c r="CG131" s="113"/>
      <c r="CH131" s="113"/>
      <c r="CI131" s="62">
        <f>订货1!AZ131</f>
        <v>0</v>
      </c>
      <c r="CJ131" s="113"/>
      <c r="CK131" s="113"/>
      <c r="CL131" s="62">
        <f>订货1!BA131</f>
        <v>0</v>
      </c>
      <c r="CM131" s="113"/>
      <c r="CN131" s="113"/>
      <c r="CO131" s="62">
        <f>订货1!BB131</f>
        <v>0</v>
      </c>
      <c r="CP131" s="113"/>
      <c r="CQ131" s="113"/>
      <c r="CR131" s="62">
        <f>订货1!BC131</f>
        <v>0</v>
      </c>
      <c r="CS131" s="113"/>
      <c r="CT131" s="113"/>
      <c r="CU131" s="62">
        <f>订货1!BD131</f>
        <v>0</v>
      </c>
      <c r="CV131" s="113"/>
      <c r="CW131" s="113"/>
      <c r="CX131" s="62">
        <f>订货1!BE131</f>
        <v>0</v>
      </c>
      <c r="CY131" s="113"/>
      <c r="CZ131" s="113"/>
      <c r="DA131" s="62">
        <f>订货1!BF131</f>
        <v>0</v>
      </c>
      <c r="DB131" s="113"/>
      <c r="DC131" s="113"/>
      <c r="DD131" s="208">
        <v>0</v>
      </c>
      <c r="DE131" s="110" t="e">
        <f t="shared" si="38"/>
        <v>#DIV/0!</v>
      </c>
      <c r="DF131" s="52">
        <f t="shared" si="37"/>
        <v>0</v>
      </c>
      <c r="DG131" s="32" t="str">
        <f>订货1!$Q131</f>
        <v>箱</v>
      </c>
      <c r="DH131" s="209" t="e">
        <f t="shared" si="39"/>
        <v>#DIV/0!</v>
      </c>
    </row>
    <row r="132" spans="1:112" ht="15" customHeight="1">
      <c r="A132" s="48">
        <f>订货1!A132</f>
        <v>700004</v>
      </c>
      <c r="B132" s="44" t="str">
        <f>VLOOKUP($A132,订货1!$A132:$G376,7,0)</f>
        <v>江苏太古可口可乐饮料有限公司</v>
      </c>
      <c r="C132" s="44" t="str">
        <f>VLOOKUP($A132,订货1!$A132:$H376,8,0)</f>
        <v>江苏太古可口可乐饮料有限公司</v>
      </c>
      <c r="D132" s="44" t="str">
        <f>VLOOKUP($A132,订货1!$A132:$B376,2,0)</f>
        <v>飞想柠檬红茶</v>
      </c>
      <c r="E132" s="44" t="str">
        <f>VLOOKUP($A132,订货1!$A132:$E376,5,0)</f>
        <v>10L</v>
      </c>
      <c r="F132" s="49" t="str">
        <f>VLOOKUP($A132,订货1!$A132:$F376,6,0)</f>
        <v>箱</v>
      </c>
      <c r="G132" s="203"/>
      <c r="H132" s="56">
        <f t="shared" si="36"/>
        <v>0</v>
      </c>
      <c r="I132" s="196"/>
      <c r="J132" s="113"/>
      <c r="K132" s="113"/>
      <c r="L132" s="196"/>
      <c r="M132" s="113"/>
      <c r="N132" s="113"/>
      <c r="O132" s="62">
        <f>订货1!AB132</f>
        <v>0</v>
      </c>
      <c r="P132" s="113"/>
      <c r="Q132" s="113"/>
      <c r="R132" s="62">
        <f>订货1!AC132</f>
        <v>0</v>
      </c>
      <c r="S132" s="113"/>
      <c r="T132" s="113"/>
      <c r="U132" s="62">
        <f>订货1!AD132</f>
        <v>0</v>
      </c>
      <c r="V132" s="113"/>
      <c r="W132" s="113"/>
      <c r="X132" s="62">
        <f>订货1!AE132</f>
        <v>0</v>
      </c>
      <c r="Y132" s="113"/>
      <c r="Z132" s="113"/>
      <c r="AA132" s="62">
        <f>订货1!AF132</f>
        <v>0</v>
      </c>
      <c r="AB132" s="113"/>
      <c r="AC132" s="113"/>
      <c r="AD132" s="62">
        <f>订货1!AG132</f>
        <v>0</v>
      </c>
      <c r="AE132" s="113"/>
      <c r="AF132" s="113"/>
      <c r="AG132" s="62">
        <f>订货1!AH132</f>
        <v>0</v>
      </c>
      <c r="AH132" s="113"/>
      <c r="AI132" s="113"/>
      <c r="AJ132" s="62">
        <f>订货1!AI132</f>
        <v>0</v>
      </c>
      <c r="AK132" s="113"/>
      <c r="AL132" s="113"/>
      <c r="AM132" s="62">
        <f>订货1!AJ132</f>
        <v>0</v>
      </c>
      <c r="AN132" s="113"/>
      <c r="AO132" s="113"/>
      <c r="AP132" s="62">
        <f>订货1!AK132</f>
        <v>0</v>
      </c>
      <c r="AQ132" s="113"/>
      <c r="AR132" s="113"/>
      <c r="AS132" s="62">
        <f>订货1!AL132</f>
        <v>0</v>
      </c>
      <c r="AT132" s="113"/>
      <c r="AU132" s="113"/>
      <c r="AV132" s="62">
        <f>订货1!AM132</f>
        <v>0</v>
      </c>
      <c r="AW132" s="113"/>
      <c r="AX132" s="113"/>
      <c r="AY132" s="62">
        <f>订货1!AN132</f>
        <v>0</v>
      </c>
      <c r="AZ132" s="113"/>
      <c r="BA132" s="113"/>
      <c r="BB132" s="62">
        <f>订货1!AO132</f>
        <v>0</v>
      </c>
      <c r="BC132" s="113"/>
      <c r="BD132" s="113"/>
      <c r="BE132" s="62">
        <f>订货1!AP132</f>
        <v>0</v>
      </c>
      <c r="BF132" s="113"/>
      <c r="BG132" s="113"/>
      <c r="BH132" s="62">
        <f>订货1!AQ132</f>
        <v>0</v>
      </c>
      <c r="BI132" s="113"/>
      <c r="BJ132" s="113"/>
      <c r="BK132" s="62">
        <f>订货1!AR132</f>
        <v>0</v>
      </c>
      <c r="BL132" s="113"/>
      <c r="BM132" s="113"/>
      <c r="BN132" s="62">
        <f>订货1!AS132</f>
        <v>0</v>
      </c>
      <c r="BO132" s="113"/>
      <c r="BP132" s="113"/>
      <c r="BQ132" s="62">
        <f>订货1!AT132</f>
        <v>0</v>
      </c>
      <c r="BR132" s="113"/>
      <c r="BS132" s="113"/>
      <c r="BT132" s="62">
        <f>订货1!AU132</f>
        <v>0</v>
      </c>
      <c r="BU132" s="113"/>
      <c r="BV132" s="113"/>
      <c r="BW132" s="62">
        <f>订货1!AV132</f>
        <v>0</v>
      </c>
      <c r="BX132" s="113"/>
      <c r="BY132" s="113"/>
      <c r="BZ132" s="62">
        <f>订货1!AW132</f>
        <v>0</v>
      </c>
      <c r="CA132" s="113"/>
      <c r="CB132" s="113"/>
      <c r="CC132" s="62">
        <f>订货1!AX132</f>
        <v>0</v>
      </c>
      <c r="CD132" s="113"/>
      <c r="CE132" s="113"/>
      <c r="CF132" s="62">
        <f>订货1!AY132</f>
        <v>0</v>
      </c>
      <c r="CG132" s="113"/>
      <c r="CH132" s="113"/>
      <c r="CI132" s="62">
        <f>订货1!AZ132</f>
        <v>0</v>
      </c>
      <c r="CJ132" s="113"/>
      <c r="CK132" s="113"/>
      <c r="CL132" s="62">
        <f>订货1!BA132</f>
        <v>0</v>
      </c>
      <c r="CM132" s="113"/>
      <c r="CN132" s="113"/>
      <c r="CO132" s="62">
        <f>订货1!BB132</f>
        <v>0</v>
      </c>
      <c r="CP132" s="113"/>
      <c r="CQ132" s="113"/>
      <c r="CR132" s="62">
        <f>订货1!BC132</f>
        <v>0</v>
      </c>
      <c r="CS132" s="113"/>
      <c r="CT132" s="113"/>
      <c r="CU132" s="62">
        <f>订货1!BD132</f>
        <v>0</v>
      </c>
      <c r="CV132" s="113"/>
      <c r="CW132" s="113"/>
      <c r="CX132" s="62">
        <f>订货1!BE132</f>
        <v>0</v>
      </c>
      <c r="CY132" s="113"/>
      <c r="CZ132" s="113"/>
      <c r="DA132" s="62">
        <f>订货1!BF132</f>
        <v>0</v>
      </c>
      <c r="DB132" s="113"/>
      <c r="DC132" s="113"/>
      <c r="DD132" s="208">
        <v>0</v>
      </c>
      <c r="DE132" s="110" t="e">
        <f t="shared" si="38"/>
        <v>#DIV/0!</v>
      </c>
      <c r="DF132" s="52">
        <f t="shared" si="37"/>
        <v>0</v>
      </c>
      <c r="DG132" s="32" t="str">
        <f>订货1!$Q132</f>
        <v>箱</v>
      </c>
      <c r="DH132" s="209" t="e">
        <f t="shared" si="39"/>
        <v>#DIV/0!</v>
      </c>
    </row>
    <row r="133" spans="1:112" ht="15" customHeight="1">
      <c r="A133" s="48">
        <f>订货1!A133</f>
        <v>700006</v>
      </c>
      <c r="B133" s="44" t="str">
        <f>VLOOKUP($A133,订货1!$A133:$G377,7,0)</f>
        <v>江苏太古可口可乐饮料有限公司</v>
      </c>
      <c r="C133" s="44" t="str">
        <f>VLOOKUP($A133,订货1!$A133:$H377,8,0)</f>
        <v>江苏太古可口可乐饮料有限公司</v>
      </c>
      <c r="D133" s="44" t="str">
        <f>VLOOKUP($A133,订货1!$A133:$B377,2,0)</f>
        <v>零度可乐糖浆</v>
      </c>
      <c r="E133" s="44" t="str">
        <f>VLOOKUP($A133,订货1!$A133:$E377,5,0)</f>
        <v>10L</v>
      </c>
      <c r="F133" s="49" t="str">
        <f>VLOOKUP($A133,订货1!$A133:$F377,6,0)</f>
        <v>箱</v>
      </c>
      <c r="G133" s="203"/>
      <c r="H133" s="56">
        <f t="shared" ref="H133:H196" si="40">O133+R133+X133+AA133+AD133+AG133+AJ133+AM133+AP133+AS133+AV133+AY133+BB133+BE133+BH133+BK133+BN133+BQ133+BT133+BW133+BZ133+CC133+CF133+CI133+CL133+CO133+CR133+U133+I133+L133</f>
        <v>0</v>
      </c>
      <c r="I133" s="196"/>
      <c r="J133" s="113"/>
      <c r="K133" s="113"/>
      <c r="L133" s="196"/>
      <c r="M133" s="113"/>
      <c r="N133" s="113"/>
      <c r="O133" s="62">
        <f>订货1!AB133</f>
        <v>0</v>
      </c>
      <c r="P133" s="113"/>
      <c r="Q133" s="113"/>
      <c r="R133" s="62">
        <f>订货1!AC133</f>
        <v>0</v>
      </c>
      <c r="S133" s="113"/>
      <c r="T133" s="113"/>
      <c r="U133" s="62">
        <f>订货1!AD133</f>
        <v>0</v>
      </c>
      <c r="V133" s="113"/>
      <c r="W133" s="113"/>
      <c r="X133" s="62">
        <f>订货1!AE133</f>
        <v>0</v>
      </c>
      <c r="Y133" s="113"/>
      <c r="Z133" s="113"/>
      <c r="AA133" s="62">
        <f>订货1!AF133</f>
        <v>0</v>
      </c>
      <c r="AB133" s="113"/>
      <c r="AC133" s="113"/>
      <c r="AD133" s="62">
        <f>订货1!AG133</f>
        <v>0</v>
      </c>
      <c r="AE133" s="113"/>
      <c r="AF133" s="113"/>
      <c r="AG133" s="62">
        <f>订货1!AH133</f>
        <v>0</v>
      </c>
      <c r="AH133" s="113"/>
      <c r="AI133" s="113"/>
      <c r="AJ133" s="62">
        <f>订货1!AI133</f>
        <v>0</v>
      </c>
      <c r="AK133" s="113"/>
      <c r="AL133" s="113"/>
      <c r="AM133" s="62">
        <f>订货1!AJ133</f>
        <v>0</v>
      </c>
      <c r="AN133" s="113"/>
      <c r="AO133" s="113"/>
      <c r="AP133" s="62">
        <f>订货1!AK133</f>
        <v>0</v>
      </c>
      <c r="AQ133" s="113"/>
      <c r="AR133" s="113"/>
      <c r="AS133" s="62">
        <f>订货1!AL133</f>
        <v>0</v>
      </c>
      <c r="AT133" s="113"/>
      <c r="AU133" s="113"/>
      <c r="AV133" s="62">
        <f>订货1!AM133</f>
        <v>0</v>
      </c>
      <c r="AW133" s="113"/>
      <c r="AX133" s="113"/>
      <c r="AY133" s="62">
        <f>订货1!AN133</f>
        <v>0</v>
      </c>
      <c r="AZ133" s="113"/>
      <c r="BA133" s="113"/>
      <c r="BB133" s="62">
        <f>订货1!AO133</f>
        <v>0</v>
      </c>
      <c r="BC133" s="113"/>
      <c r="BD133" s="113"/>
      <c r="BE133" s="62">
        <f>订货1!AP133</f>
        <v>0</v>
      </c>
      <c r="BF133" s="113"/>
      <c r="BG133" s="113"/>
      <c r="BH133" s="62">
        <f>订货1!AQ133</f>
        <v>0</v>
      </c>
      <c r="BI133" s="113"/>
      <c r="BJ133" s="113"/>
      <c r="BK133" s="62">
        <f>订货1!AR133</f>
        <v>0</v>
      </c>
      <c r="BL133" s="113"/>
      <c r="BM133" s="113"/>
      <c r="BN133" s="62">
        <f>订货1!AS133</f>
        <v>0</v>
      </c>
      <c r="BO133" s="113"/>
      <c r="BP133" s="113"/>
      <c r="BQ133" s="62">
        <f>订货1!AT133</f>
        <v>0</v>
      </c>
      <c r="BR133" s="113"/>
      <c r="BS133" s="113"/>
      <c r="BT133" s="62">
        <f>订货1!AU133</f>
        <v>0</v>
      </c>
      <c r="BU133" s="113"/>
      <c r="BV133" s="113"/>
      <c r="BW133" s="62">
        <f>订货1!AV133</f>
        <v>0</v>
      </c>
      <c r="BX133" s="113"/>
      <c r="BY133" s="113"/>
      <c r="BZ133" s="62">
        <f>订货1!AW133</f>
        <v>0</v>
      </c>
      <c r="CA133" s="113"/>
      <c r="CB133" s="113"/>
      <c r="CC133" s="62">
        <f>订货1!AX133</f>
        <v>0</v>
      </c>
      <c r="CD133" s="113"/>
      <c r="CE133" s="113"/>
      <c r="CF133" s="62">
        <f>订货1!AY133</f>
        <v>0</v>
      </c>
      <c r="CG133" s="113"/>
      <c r="CH133" s="113"/>
      <c r="CI133" s="62">
        <f>订货1!AZ133</f>
        <v>0</v>
      </c>
      <c r="CJ133" s="113"/>
      <c r="CK133" s="113"/>
      <c r="CL133" s="62">
        <f>订货1!BA133</f>
        <v>0</v>
      </c>
      <c r="CM133" s="113"/>
      <c r="CN133" s="113"/>
      <c r="CO133" s="62">
        <f>订货1!BB133</f>
        <v>0</v>
      </c>
      <c r="CP133" s="113"/>
      <c r="CQ133" s="113"/>
      <c r="CR133" s="62">
        <f>订货1!BC133</f>
        <v>0</v>
      </c>
      <c r="CS133" s="113"/>
      <c r="CT133" s="113"/>
      <c r="CU133" s="62">
        <f>订货1!BD133</f>
        <v>0</v>
      </c>
      <c r="CV133" s="113"/>
      <c r="CW133" s="113"/>
      <c r="CX133" s="62">
        <f>订货1!BE133</f>
        <v>0</v>
      </c>
      <c r="CY133" s="113"/>
      <c r="CZ133" s="113"/>
      <c r="DA133" s="62">
        <f>订货1!BF133</f>
        <v>0</v>
      </c>
      <c r="DB133" s="113"/>
      <c r="DC133" s="113"/>
      <c r="DD133" s="208">
        <v>0</v>
      </c>
      <c r="DE133" s="110" t="e">
        <f t="shared" ref="DE133" si="41">INT(G133/DI133)</f>
        <v>#DIV/0!</v>
      </c>
      <c r="DF133" s="52">
        <f t="shared" ref="DF133" si="42">IFERROR(DD133+H133-G133,"")</f>
        <v>0</v>
      </c>
      <c r="DG133" s="32" t="str">
        <f>订货1!$Q133</f>
        <v>箱</v>
      </c>
      <c r="DH133" s="209" t="e">
        <f t="shared" ref="DH133" si="43">DF133/($DH$2/10000)</f>
        <v>#DIV/0!</v>
      </c>
    </row>
    <row r="134" spans="1:112" ht="15" customHeight="1">
      <c r="A134" s="48">
        <f>订货1!A134</f>
        <v>700005</v>
      </c>
      <c r="B134" s="44" t="str">
        <f>VLOOKUP($A134,订货1!$A134:$G377,7,0)</f>
        <v>江苏太古可口可乐饮料有限公司</v>
      </c>
      <c r="C134" s="44" t="str">
        <f>VLOOKUP($A134,订货1!$A134:$H377,8,0)</f>
        <v>江苏太古可口可乐饮料有限公司</v>
      </c>
      <c r="D134" s="44" t="str">
        <f>VLOOKUP($A134,订货1!$A134:$B377,2,0)</f>
        <v>中萃碳酸（仅限南京店用）</v>
      </c>
      <c r="E134" s="44" t="str">
        <f>VLOOKUP($A134,订货1!$A134:$E377,5,0)</f>
        <v>桶</v>
      </c>
      <c r="F134" s="49" t="str">
        <f>VLOOKUP($A134,订货1!$A134:$F377,6,0)</f>
        <v>桶</v>
      </c>
      <c r="G134" s="203"/>
      <c r="H134" s="56">
        <f t="shared" si="40"/>
        <v>0</v>
      </c>
      <c r="I134" s="196"/>
      <c r="J134" s="113"/>
      <c r="K134" s="113"/>
      <c r="L134" s="196"/>
      <c r="M134" s="113"/>
      <c r="N134" s="113"/>
      <c r="O134" s="62">
        <f>订货1!AB134</f>
        <v>0</v>
      </c>
      <c r="P134" s="113"/>
      <c r="Q134" s="113"/>
      <c r="R134" s="62">
        <f>订货1!AC134</f>
        <v>0</v>
      </c>
      <c r="S134" s="113"/>
      <c r="T134" s="113"/>
      <c r="U134" s="62">
        <f>订货1!AD134</f>
        <v>0</v>
      </c>
      <c r="V134" s="113"/>
      <c r="W134" s="113"/>
      <c r="X134" s="62">
        <f>订货1!AE134</f>
        <v>0</v>
      </c>
      <c r="Y134" s="113"/>
      <c r="Z134" s="113"/>
      <c r="AA134" s="62">
        <f>订货1!AF134</f>
        <v>0</v>
      </c>
      <c r="AB134" s="113"/>
      <c r="AC134" s="113"/>
      <c r="AD134" s="62">
        <f>订货1!AG134</f>
        <v>0</v>
      </c>
      <c r="AE134" s="113"/>
      <c r="AF134" s="113"/>
      <c r="AG134" s="62">
        <f>订货1!AH134</f>
        <v>0</v>
      </c>
      <c r="AH134" s="113"/>
      <c r="AI134" s="113"/>
      <c r="AJ134" s="62">
        <f>订货1!AI134</f>
        <v>0</v>
      </c>
      <c r="AK134" s="113"/>
      <c r="AL134" s="113"/>
      <c r="AM134" s="62">
        <f>订货1!AJ134</f>
        <v>0</v>
      </c>
      <c r="AN134" s="113"/>
      <c r="AO134" s="113"/>
      <c r="AP134" s="62">
        <f>订货1!AK134</f>
        <v>0</v>
      </c>
      <c r="AQ134" s="113"/>
      <c r="AR134" s="113"/>
      <c r="AS134" s="62">
        <f>订货1!AL134</f>
        <v>0</v>
      </c>
      <c r="AT134" s="113"/>
      <c r="AU134" s="113"/>
      <c r="AV134" s="62">
        <f>订货1!AM134</f>
        <v>0</v>
      </c>
      <c r="AW134" s="113"/>
      <c r="AX134" s="113"/>
      <c r="AY134" s="62">
        <f>订货1!AN134</f>
        <v>0</v>
      </c>
      <c r="AZ134" s="113"/>
      <c r="BA134" s="113"/>
      <c r="BB134" s="62">
        <f>订货1!AO134</f>
        <v>0</v>
      </c>
      <c r="BC134" s="113"/>
      <c r="BD134" s="113"/>
      <c r="BE134" s="62">
        <f>订货1!AP134</f>
        <v>0</v>
      </c>
      <c r="BF134" s="113"/>
      <c r="BG134" s="113"/>
      <c r="BH134" s="62">
        <f>订货1!AQ134</f>
        <v>0</v>
      </c>
      <c r="BI134" s="113"/>
      <c r="BJ134" s="113"/>
      <c r="BK134" s="62">
        <f>订货1!AR134</f>
        <v>0</v>
      </c>
      <c r="BL134" s="113"/>
      <c r="BM134" s="113"/>
      <c r="BN134" s="62">
        <f>订货1!AS134</f>
        <v>0</v>
      </c>
      <c r="BO134" s="113"/>
      <c r="BP134" s="113"/>
      <c r="BQ134" s="62">
        <f>订货1!AT134</f>
        <v>0</v>
      </c>
      <c r="BR134" s="113"/>
      <c r="BS134" s="113"/>
      <c r="BT134" s="62">
        <f>订货1!AU134</f>
        <v>0</v>
      </c>
      <c r="BU134" s="113"/>
      <c r="BV134" s="113"/>
      <c r="BW134" s="62">
        <f>订货1!AV134</f>
        <v>0</v>
      </c>
      <c r="BX134" s="113"/>
      <c r="BY134" s="113"/>
      <c r="BZ134" s="62">
        <f>订货1!AW134</f>
        <v>0</v>
      </c>
      <c r="CA134" s="113"/>
      <c r="CB134" s="113"/>
      <c r="CC134" s="62">
        <f>订货1!AX134</f>
        <v>0</v>
      </c>
      <c r="CD134" s="113"/>
      <c r="CE134" s="113"/>
      <c r="CF134" s="62">
        <f>订货1!AY134</f>
        <v>0</v>
      </c>
      <c r="CG134" s="113"/>
      <c r="CH134" s="113"/>
      <c r="CI134" s="62">
        <f>订货1!AZ134</f>
        <v>0</v>
      </c>
      <c r="CJ134" s="113"/>
      <c r="CK134" s="113"/>
      <c r="CL134" s="62">
        <f>订货1!BA134</f>
        <v>0</v>
      </c>
      <c r="CM134" s="113"/>
      <c r="CN134" s="113"/>
      <c r="CO134" s="62">
        <f>订货1!BB134</f>
        <v>0</v>
      </c>
      <c r="CP134" s="113"/>
      <c r="CQ134" s="113"/>
      <c r="CR134" s="62">
        <f>订货1!BC134</f>
        <v>0</v>
      </c>
      <c r="CS134" s="113"/>
      <c r="CT134" s="113"/>
      <c r="CU134" s="62">
        <f>订货1!BD134</f>
        <v>0</v>
      </c>
      <c r="CV134" s="113"/>
      <c r="CW134" s="113"/>
      <c r="CX134" s="62">
        <f>订货1!BE134</f>
        <v>0</v>
      </c>
      <c r="CY134" s="113"/>
      <c r="CZ134" s="113"/>
      <c r="DA134" s="62">
        <f>订货1!BF134</f>
        <v>0</v>
      </c>
      <c r="DB134" s="113"/>
      <c r="DC134" s="113"/>
      <c r="DD134" s="208">
        <v>0</v>
      </c>
      <c r="DE134" s="110" t="e">
        <f t="shared" si="38"/>
        <v>#DIV/0!</v>
      </c>
      <c r="DF134" s="52">
        <f t="shared" si="37"/>
        <v>0</v>
      </c>
      <c r="DG134" s="32" t="str">
        <f>订货1!$Q134</f>
        <v>桶</v>
      </c>
      <c r="DH134" s="209" t="e">
        <f t="shared" si="39"/>
        <v>#DIV/0!</v>
      </c>
    </row>
    <row r="135" spans="1:112" ht="15" customHeight="1">
      <c r="A135" s="48">
        <f>订货1!A135</f>
        <v>101696</v>
      </c>
      <c r="B135" s="44" t="str">
        <f>VLOOKUP($A135,订货1!$A135:$G378,7,0)</f>
        <v>熠沣实业（上海）有限公司</v>
      </c>
      <c r="C135" s="44" t="str">
        <f>VLOOKUP($A135,订货1!$A135:$H378,8,0)</f>
        <v>内蒙古薯都凯达食品有限公司</v>
      </c>
      <c r="D135" s="44" t="str">
        <f>VLOOKUP($A135,订货1!$A135:$B378,2,0)</f>
        <v>凯达冷冻圆形薯饼</v>
      </c>
      <c r="E135" s="44" t="str">
        <f>VLOOKUP($A135,订货1!$A135:$E378,5,0)</f>
        <v>2kg*5</v>
      </c>
      <c r="F135" s="49" t="str">
        <f>VLOOKUP($A135,订货1!$A135:$F378,6,0)</f>
        <v>箱</v>
      </c>
      <c r="G135" s="203"/>
      <c r="H135" s="56">
        <f t="shared" si="40"/>
        <v>0</v>
      </c>
      <c r="I135" s="196"/>
      <c r="J135" s="113"/>
      <c r="K135" s="113"/>
      <c r="L135" s="196"/>
      <c r="M135" s="113"/>
      <c r="N135" s="113"/>
      <c r="O135" s="62">
        <f>订货1!AB135</f>
        <v>0</v>
      </c>
      <c r="P135" s="113"/>
      <c r="Q135" s="113"/>
      <c r="R135" s="62">
        <f>订货1!AC135</f>
        <v>0</v>
      </c>
      <c r="S135" s="113"/>
      <c r="T135" s="113"/>
      <c r="U135" s="62">
        <f>订货1!AD135</f>
        <v>0</v>
      </c>
      <c r="V135" s="113"/>
      <c r="W135" s="113"/>
      <c r="X135" s="62">
        <f>订货1!AE135</f>
        <v>0</v>
      </c>
      <c r="Y135" s="113"/>
      <c r="Z135" s="113"/>
      <c r="AA135" s="62">
        <f>订货1!AF135</f>
        <v>0</v>
      </c>
      <c r="AB135" s="113"/>
      <c r="AC135" s="113"/>
      <c r="AD135" s="62">
        <f>订货1!AG135</f>
        <v>0</v>
      </c>
      <c r="AE135" s="113"/>
      <c r="AF135" s="113"/>
      <c r="AG135" s="62">
        <f>订货1!AH135</f>
        <v>0</v>
      </c>
      <c r="AH135" s="113"/>
      <c r="AI135" s="113"/>
      <c r="AJ135" s="62">
        <f>订货1!AI135</f>
        <v>0</v>
      </c>
      <c r="AK135" s="113"/>
      <c r="AL135" s="113"/>
      <c r="AM135" s="62">
        <f>订货1!AJ135</f>
        <v>0</v>
      </c>
      <c r="AN135" s="113"/>
      <c r="AO135" s="113"/>
      <c r="AP135" s="62">
        <f>订货1!AK135</f>
        <v>0</v>
      </c>
      <c r="AQ135" s="113"/>
      <c r="AR135" s="113"/>
      <c r="AS135" s="62">
        <f>订货1!AL135</f>
        <v>0</v>
      </c>
      <c r="AT135" s="113"/>
      <c r="AU135" s="113"/>
      <c r="AV135" s="62">
        <f>订货1!AM135</f>
        <v>0</v>
      </c>
      <c r="AW135" s="113"/>
      <c r="AX135" s="113"/>
      <c r="AY135" s="62">
        <f>订货1!AN135</f>
        <v>0</v>
      </c>
      <c r="AZ135" s="113"/>
      <c r="BA135" s="113"/>
      <c r="BB135" s="62">
        <f>订货1!AO135</f>
        <v>0</v>
      </c>
      <c r="BC135" s="113"/>
      <c r="BD135" s="113"/>
      <c r="BE135" s="62">
        <f>订货1!AP135</f>
        <v>0</v>
      </c>
      <c r="BF135" s="113"/>
      <c r="BG135" s="113"/>
      <c r="BH135" s="62">
        <f>订货1!AQ135</f>
        <v>0</v>
      </c>
      <c r="BI135" s="113"/>
      <c r="BJ135" s="113"/>
      <c r="BK135" s="62">
        <f>订货1!AR135</f>
        <v>0</v>
      </c>
      <c r="BL135" s="113"/>
      <c r="BM135" s="113"/>
      <c r="BN135" s="62">
        <f>订货1!AS135</f>
        <v>0</v>
      </c>
      <c r="BO135" s="113"/>
      <c r="BP135" s="113"/>
      <c r="BQ135" s="62">
        <f>订货1!AT135</f>
        <v>0</v>
      </c>
      <c r="BR135" s="113"/>
      <c r="BS135" s="113"/>
      <c r="BT135" s="62">
        <f>订货1!AU135</f>
        <v>0</v>
      </c>
      <c r="BU135" s="113"/>
      <c r="BV135" s="113"/>
      <c r="BW135" s="62">
        <f>订货1!AV135</f>
        <v>0</v>
      </c>
      <c r="BX135" s="113"/>
      <c r="BY135" s="113"/>
      <c r="BZ135" s="62">
        <f>订货1!AW135</f>
        <v>0</v>
      </c>
      <c r="CA135" s="113"/>
      <c r="CB135" s="113"/>
      <c r="CC135" s="62">
        <f>订货1!AX135</f>
        <v>0</v>
      </c>
      <c r="CD135" s="113"/>
      <c r="CE135" s="113"/>
      <c r="CF135" s="62">
        <f>订货1!AY135</f>
        <v>0</v>
      </c>
      <c r="CG135" s="113"/>
      <c r="CH135" s="113"/>
      <c r="CI135" s="62">
        <f>订货1!AZ135</f>
        <v>0</v>
      </c>
      <c r="CJ135" s="113"/>
      <c r="CK135" s="113"/>
      <c r="CL135" s="62">
        <f>订货1!BA135</f>
        <v>0</v>
      </c>
      <c r="CM135" s="113"/>
      <c r="CN135" s="113"/>
      <c r="CO135" s="62">
        <f>订货1!BB135</f>
        <v>0</v>
      </c>
      <c r="CP135" s="113"/>
      <c r="CQ135" s="113"/>
      <c r="CR135" s="62">
        <f>订货1!BC135</f>
        <v>0</v>
      </c>
      <c r="CS135" s="113"/>
      <c r="CT135" s="113"/>
      <c r="CU135" s="62">
        <f>订货1!BD135</f>
        <v>0</v>
      </c>
      <c r="CV135" s="113"/>
      <c r="CW135" s="113"/>
      <c r="CX135" s="62">
        <f>订货1!BE135</f>
        <v>0</v>
      </c>
      <c r="CY135" s="113"/>
      <c r="CZ135" s="113"/>
      <c r="DA135" s="62">
        <f>订货1!BF135</f>
        <v>0</v>
      </c>
      <c r="DB135" s="113"/>
      <c r="DC135" s="113"/>
      <c r="DD135" s="208">
        <v>0</v>
      </c>
      <c r="DE135" s="110" t="e">
        <f t="shared" si="38"/>
        <v>#DIV/0!</v>
      </c>
      <c r="DF135" s="52">
        <f t="shared" si="37"/>
        <v>0</v>
      </c>
      <c r="DG135" s="32" t="str">
        <f>订货1!$Q135</f>
        <v>箱</v>
      </c>
      <c r="DH135" s="209" t="e">
        <f t="shared" si="39"/>
        <v>#DIV/0!</v>
      </c>
    </row>
    <row r="136" spans="1:112" ht="15" customHeight="1">
      <c r="A136" s="48">
        <f>订货1!A136</f>
        <v>101697</v>
      </c>
      <c r="B136" s="44" t="str">
        <f>VLOOKUP($A136,订货1!$A136:$G379,7,0)</f>
        <v>浙江大菱海洋食品有限公司</v>
      </c>
      <c r="C136" s="44" t="str">
        <f>VLOOKUP($A136,订货1!$A136:$H379,8,0)</f>
        <v>大洋世家（舟山）优品有限公司</v>
      </c>
      <c r="D136" s="44" t="str">
        <f>VLOOKUP($A136,订货1!$A136:$B379,2,0)</f>
        <v>半壳贻贝</v>
      </c>
      <c r="E136" s="44" t="str">
        <f>VLOOKUP($A136,订货1!$A136:$E379,5,0)</f>
        <v>0.5kg*20pkt</v>
      </c>
      <c r="F136" s="49" t="str">
        <f>VLOOKUP($A136,订货1!$A136:$F379,6,0)</f>
        <v>箱</v>
      </c>
      <c r="G136" s="203"/>
      <c r="H136" s="56">
        <f t="shared" si="40"/>
        <v>3</v>
      </c>
      <c r="I136" s="196"/>
      <c r="J136" s="113"/>
      <c r="K136" s="113"/>
      <c r="L136" s="196"/>
      <c r="M136" s="113"/>
      <c r="N136" s="113"/>
      <c r="O136" s="62">
        <f>订货1!AB136</f>
        <v>0</v>
      </c>
      <c r="P136" s="113"/>
      <c r="Q136" s="113"/>
      <c r="R136" s="62">
        <f>订货1!AC136</f>
        <v>1</v>
      </c>
      <c r="S136" s="113"/>
      <c r="T136" s="113"/>
      <c r="U136" s="62">
        <f>订货1!AD136</f>
        <v>0</v>
      </c>
      <c r="V136" s="113"/>
      <c r="W136" s="113"/>
      <c r="X136" s="62">
        <f>订货1!AE136</f>
        <v>0</v>
      </c>
      <c r="Y136" s="113"/>
      <c r="Z136" s="113"/>
      <c r="AA136" s="62">
        <f>订货1!AF136</f>
        <v>0</v>
      </c>
      <c r="AB136" s="113"/>
      <c r="AC136" s="113"/>
      <c r="AD136" s="62">
        <f>订货1!AG136</f>
        <v>0</v>
      </c>
      <c r="AE136" s="113"/>
      <c r="AF136" s="113"/>
      <c r="AG136" s="62">
        <f>订货1!AH136</f>
        <v>0</v>
      </c>
      <c r="AH136" s="113"/>
      <c r="AI136" s="113"/>
      <c r="AJ136" s="62">
        <f>订货1!AI136</f>
        <v>1</v>
      </c>
      <c r="AK136" s="113"/>
      <c r="AL136" s="113"/>
      <c r="AM136" s="62">
        <f>订货1!AJ136</f>
        <v>0</v>
      </c>
      <c r="AN136" s="113"/>
      <c r="AO136" s="113"/>
      <c r="AP136" s="62">
        <f>订货1!AK136</f>
        <v>0</v>
      </c>
      <c r="AQ136" s="113"/>
      <c r="AR136" s="113"/>
      <c r="AS136" s="62">
        <f>订货1!AL136</f>
        <v>0</v>
      </c>
      <c r="AT136" s="113"/>
      <c r="AU136" s="113"/>
      <c r="AV136" s="62">
        <f>订货1!AM136</f>
        <v>0</v>
      </c>
      <c r="AW136" s="113"/>
      <c r="AX136" s="113"/>
      <c r="AY136" s="62">
        <f>订货1!AN136</f>
        <v>0</v>
      </c>
      <c r="AZ136" s="113"/>
      <c r="BA136" s="113"/>
      <c r="BB136" s="62">
        <f>订货1!AO136</f>
        <v>1</v>
      </c>
      <c r="BC136" s="113"/>
      <c r="BD136" s="113"/>
      <c r="BE136" s="62">
        <f>订货1!AP136</f>
        <v>0</v>
      </c>
      <c r="BF136" s="113"/>
      <c r="BG136" s="113"/>
      <c r="BH136" s="62">
        <f>订货1!AQ136</f>
        <v>0</v>
      </c>
      <c r="BI136" s="113"/>
      <c r="BJ136" s="113"/>
      <c r="BK136" s="62">
        <f>订货1!AR136</f>
        <v>0</v>
      </c>
      <c r="BL136" s="113"/>
      <c r="BM136" s="113"/>
      <c r="BN136" s="62">
        <f>订货1!AS136</f>
        <v>0</v>
      </c>
      <c r="BO136" s="113"/>
      <c r="BP136" s="113"/>
      <c r="BQ136" s="62">
        <f>订货1!AT136</f>
        <v>0</v>
      </c>
      <c r="BR136" s="113"/>
      <c r="BS136" s="113"/>
      <c r="BT136" s="62">
        <f>订货1!AU136</f>
        <v>0</v>
      </c>
      <c r="BU136" s="113"/>
      <c r="BV136" s="113"/>
      <c r="BW136" s="62">
        <f>订货1!AV136</f>
        <v>0</v>
      </c>
      <c r="BX136" s="113"/>
      <c r="BY136" s="113"/>
      <c r="BZ136" s="62">
        <f>订货1!AW136</f>
        <v>0</v>
      </c>
      <c r="CA136" s="113"/>
      <c r="CB136" s="113"/>
      <c r="CC136" s="62">
        <f>订货1!AX136</f>
        <v>0</v>
      </c>
      <c r="CD136" s="113"/>
      <c r="CE136" s="113"/>
      <c r="CF136" s="62">
        <f>订货1!AY136</f>
        <v>0</v>
      </c>
      <c r="CG136" s="113"/>
      <c r="CH136" s="113"/>
      <c r="CI136" s="62">
        <f>订货1!AZ136</f>
        <v>0</v>
      </c>
      <c r="CJ136" s="113"/>
      <c r="CK136" s="113"/>
      <c r="CL136" s="62">
        <f>订货1!BA136</f>
        <v>0</v>
      </c>
      <c r="CM136" s="113"/>
      <c r="CN136" s="113"/>
      <c r="CO136" s="62">
        <f>订货1!BB136</f>
        <v>0</v>
      </c>
      <c r="CP136" s="113"/>
      <c r="CQ136" s="113"/>
      <c r="CR136" s="62">
        <f>订货1!BC136</f>
        <v>0</v>
      </c>
      <c r="CS136" s="113"/>
      <c r="CT136" s="113"/>
      <c r="CU136" s="62">
        <f>订货1!BD136</f>
        <v>0</v>
      </c>
      <c r="CV136" s="113"/>
      <c r="CW136" s="113"/>
      <c r="CX136" s="62">
        <f>订货1!BE136</f>
        <v>0</v>
      </c>
      <c r="CY136" s="113"/>
      <c r="CZ136" s="113"/>
      <c r="DA136" s="62">
        <f>订货1!BF136</f>
        <v>0</v>
      </c>
      <c r="DB136" s="113"/>
      <c r="DC136" s="113"/>
      <c r="DD136" s="208">
        <v>0</v>
      </c>
      <c r="DE136" s="110" t="e">
        <f t="shared" si="38"/>
        <v>#DIV/0!</v>
      </c>
      <c r="DF136" s="52">
        <f t="shared" si="37"/>
        <v>3</v>
      </c>
      <c r="DG136" s="32" t="str">
        <f>订货1!$Q136</f>
        <v>箱</v>
      </c>
      <c r="DH136" s="209" t="e">
        <f t="shared" si="39"/>
        <v>#DIV/0!</v>
      </c>
    </row>
    <row r="137" spans="1:112" ht="15" customHeight="1">
      <c r="A137" s="48">
        <f>订货1!A137</f>
        <v>101149</v>
      </c>
      <c r="B137" s="44" t="str">
        <f>VLOOKUP($A137,订货1!$A137:$G380,7,0)</f>
        <v>浙江大菱海洋食品有限公司</v>
      </c>
      <c r="C137" s="44" t="str">
        <f>VLOOKUP($A137,订货1!$A137:$H380,8,0)</f>
        <v>大洋世家（舟山）优品有限公司</v>
      </c>
      <c r="D137" s="44" t="str">
        <f>VLOOKUP($A137,订货1!$A137:$B380,2,0)</f>
        <v>油浸金枪鱼</v>
      </c>
      <c r="E137" s="44" t="str">
        <f>VLOOKUP($A137,订货1!$A137:$E380,5,0)</f>
        <v>1kg*12</v>
      </c>
      <c r="F137" s="49" t="str">
        <f>VLOOKUP($A137,订货1!$A137:$F380,6,0)</f>
        <v>箱</v>
      </c>
      <c r="G137" s="203"/>
      <c r="H137" s="56">
        <f t="shared" si="40"/>
        <v>1</v>
      </c>
      <c r="I137" s="196"/>
      <c r="J137" s="113"/>
      <c r="K137" s="113"/>
      <c r="L137" s="196"/>
      <c r="M137" s="113"/>
      <c r="N137" s="113"/>
      <c r="O137" s="62">
        <f>订货1!AB137</f>
        <v>0</v>
      </c>
      <c r="P137" s="113"/>
      <c r="Q137" s="113"/>
      <c r="R137" s="62">
        <f>订货1!AC137</f>
        <v>0</v>
      </c>
      <c r="S137" s="113"/>
      <c r="T137" s="113"/>
      <c r="U137" s="62">
        <f>订货1!AD137</f>
        <v>0</v>
      </c>
      <c r="V137" s="113"/>
      <c r="W137" s="113"/>
      <c r="X137" s="62">
        <f>订货1!AE137</f>
        <v>0</v>
      </c>
      <c r="Y137" s="113"/>
      <c r="Z137" s="113"/>
      <c r="AA137" s="62">
        <f>订货1!AF137</f>
        <v>0</v>
      </c>
      <c r="AB137" s="113"/>
      <c r="AC137" s="113"/>
      <c r="AD137" s="62">
        <f>订货1!AG137</f>
        <v>0</v>
      </c>
      <c r="AE137" s="113"/>
      <c r="AF137" s="113"/>
      <c r="AG137" s="62">
        <f>订货1!AH137</f>
        <v>1</v>
      </c>
      <c r="AH137" s="113"/>
      <c r="AI137" s="113"/>
      <c r="AJ137" s="62">
        <f>订货1!AI137</f>
        <v>0</v>
      </c>
      <c r="AK137" s="113"/>
      <c r="AL137" s="113"/>
      <c r="AM137" s="62">
        <f>订货1!AJ137</f>
        <v>0</v>
      </c>
      <c r="AN137" s="113"/>
      <c r="AO137" s="113"/>
      <c r="AP137" s="62">
        <f>订货1!AK137</f>
        <v>0</v>
      </c>
      <c r="AQ137" s="113"/>
      <c r="AR137" s="113"/>
      <c r="AS137" s="62">
        <f>订货1!AL137</f>
        <v>0</v>
      </c>
      <c r="AT137" s="113"/>
      <c r="AU137" s="113"/>
      <c r="AV137" s="62">
        <f>订货1!AM137</f>
        <v>0</v>
      </c>
      <c r="AW137" s="113"/>
      <c r="AX137" s="113"/>
      <c r="AY137" s="62">
        <f>订货1!AN137</f>
        <v>0</v>
      </c>
      <c r="AZ137" s="113"/>
      <c r="BA137" s="113"/>
      <c r="BB137" s="62">
        <f>订货1!AO137</f>
        <v>0</v>
      </c>
      <c r="BC137" s="113"/>
      <c r="BD137" s="113"/>
      <c r="BE137" s="62">
        <f>订货1!AP137</f>
        <v>0</v>
      </c>
      <c r="BF137" s="113"/>
      <c r="BG137" s="113"/>
      <c r="BH137" s="62">
        <f>订货1!AQ137</f>
        <v>0</v>
      </c>
      <c r="BI137" s="113"/>
      <c r="BJ137" s="113"/>
      <c r="BK137" s="62">
        <f>订货1!AR137</f>
        <v>0</v>
      </c>
      <c r="BL137" s="113"/>
      <c r="BM137" s="113"/>
      <c r="BN137" s="62">
        <f>订货1!AS137</f>
        <v>0</v>
      </c>
      <c r="BO137" s="113"/>
      <c r="BP137" s="113"/>
      <c r="BQ137" s="62">
        <f>订货1!AT137</f>
        <v>0</v>
      </c>
      <c r="BR137" s="113"/>
      <c r="BS137" s="113"/>
      <c r="BT137" s="62">
        <f>订货1!AU137</f>
        <v>0</v>
      </c>
      <c r="BU137" s="113"/>
      <c r="BV137" s="113"/>
      <c r="BW137" s="62">
        <f>订货1!AV137</f>
        <v>0</v>
      </c>
      <c r="BX137" s="113"/>
      <c r="BY137" s="113"/>
      <c r="BZ137" s="62">
        <f>订货1!AW137</f>
        <v>0</v>
      </c>
      <c r="CA137" s="113"/>
      <c r="CB137" s="113"/>
      <c r="CC137" s="62">
        <f>订货1!AX137</f>
        <v>0</v>
      </c>
      <c r="CD137" s="113"/>
      <c r="CE137" s="113"/>
      <c r="CF137" s="62">
        <f>订货1!AY137</f>
        <v>0</v>
      </c>
      <c r="CG137" s="113"/>
      <c r="CH137" s="113"/>
      <c r="CI137" s="62">
        <f>订货1!AZ137</f>
        <v>0</v>
      </c>
      <c r="CJ137" s="113"/>
      <c r="CK137" s="113"/>
      <c r="CL137" s="62">
        <f>订货1!BA137</f>
        <v>0</v>
      </c>
      <c r="CM137" s="113"/>
      <c r="CN137" s="113"/>
      <c r="CO137" s="62">
        <f>订货1!BB137</f>
        <v>0</v>
      </c>
      <c r="CP137" s="113"/>
      <c r="CQ137" s="113"/>
      <c r="CR137" s="62">
        <f>订货1!BC137</f>
        <v>0</v>
      </c>
      <c r="CS137" s="113"/>
      <c r="CT137" s="113"/>
      <c r="CU137" s="62">
        <f>订货1!BD137</f>
        <v>0</v>
      </c>
      <c r="CV137" s="113"/>
      <c r="CW137" s="113"/>
      <c r="CX137" s="62">
        <f>订货1!BE137</f>
        <v>0</v>
      </c>
      <c r="CY137" s="113"/>
      <c r="CZ137" s="113"/>
      <c r="DA137" s="62">
        <f>订货1!BF137</f>
        <v>0</v>
      </c>
      <c r="DB137" s="113"/>
      <c r="DC137" s="113"/>
      <c r="DD137" s="208">
        <v>0</v>
      </c>
      <c r="DE137" s="110" t="e">
        <f t="shared" si="38"/>
        <v>#DIV/0!</v>
      </c>
      <c r="DF137" s="52">
        <f t="shared" si="37"/>
        <v>1</v>
      </c>
      <c r="DG137" s="32" t="str">
        <f>订货1!$Q137</f>
        <v>箱</v>
      </c>
      <c r="DH137" s="209" t="e">
        <f t="shared" si="39"/>
        <v>#DIV/0!</v>
      </c>
    </row>
    <row r="138" spans="1:112" ht="15" customHeight="1">
      <c r="A138" s="48">
        <f>订货1!A138</f>
        <v>101182</v>
      </c>
      <c r="B138" s="44" t="str">
        <f>VLOOKUP($A138,订货1!$A138:$G381,7,0)</f>
        <v>上海意文食品科技有限公司</v>
      </c>
      <c r="C138" s="44" t="str">
        <f>VLOOKUP($A138,订货1!$A138:$H381,8,0)</f>
        <v xml:space="preserve"> Hochwald Foods GmbH</v>
      </c>
      <c r="D138" s="44" t="str">
        <f>VLOOKUP($A138,订货1!$A138:$B381,2,0)</f>
        <v>意文全脂牛奶</v>
      </c>
      <c r="E138" s="44" t="str">
        <f>VLOOKUP($A138,订货1!$A138:$E381,5,0)</f>
        <v>1L*12pc</v>
      </c>
      <c r="F138" s="49" t="str">
        <f>VLOOKUP($A138,订货1!$A138:$F381,6,0)</f>
        <v>箱</v>
      </c>
      <c r="G138" s="203"/>
      <c r="H138" s="56">
        <f t="shared" si="40"/>
        <v>0</v>
      </c>
      <c r="I138" s="196"/>
      <c r="J138" s="113"/>
      <c r="K138" s="113"/>
      <c r="L138" s="196"/>
      <c r="M138" s="113"/>
      <c r="N138" s="113"/>
      <c r="O138" s="62">
        <f>订货1!AB138</f>
        <v>0</v>
      </c>
      <c r="P138" s="113"/>
      <c r="Q138" s="113"/>
      <c r="R138" s="62">
        <f>订货1!AC138</f>
        <v>0</v>
      </c>
      <c r="S138" s="113"/>
      <c r="T138" s="113"/>
      <c r="U138" s="62">
        <f>订货1!AD138</f>
        <v>0</v>
      </c>
      <c r="V138" s="113"/>
      <c r="W138" s="113"/>
      <c r="X138" s="62">
        <f>订货1!AE138</f>
        <v>0</v>
      </c>
      <c r="Y138" s="113"/>
      <c r="Z138" s="113"/>
      <c r="AA138" s="62">
        <f>订货1!AF138</f>
        <v>0</v>
      </c>
      <c r="AB138" s="113"/>
      <c r="AC138" s="113"/>
      <c r="AD138" s="62">
        <f>订货1!AG138</f>
        <v>0</v>
      </c>
      <c r="AE138" s="113"/>
      <c r="AF138" s="113"/>
      <c r="AG138" s="62">
        <f>订货1!AH138</f>
        <v>0</v>
      </c>
      <c r="AH138" s="113"/>
      <c r="AI138" s="113"/>
      <c r="AJ138" s="62">
        <f>订货1!AI138</f>
        <v>0</v>
      </c>
      <c r="AK138" s="113"/>
      <c r="AL138" s="113"/>
      <c r="AM138" s="62">
        <f>订货1!AJ138</f>
        <v>0</v>
      </c>
      <c r="AN138" s="113"/>
      <c r="AO138" s="113"/>
      <c r="AP138" s="62">
        <f>订货1!AK138</f>
        <v>0</v>
      </c>
      <c r="AQ138" s="113"/>
      <c r="AR138" s="113"/>
      <c r="AS138" s="62">
        <f>订货1!AL138</f>
        <v>0</v>
      </c>
      <c r="AT138" s="113"/>
      <c r="AU138" s="113"/>
      <c r="AV138" s="62">
        <f>订货1!AM138</f>
        <v>0</v>
      </c>
      <c r="AW138" s="113"/>
      <c r="AX138" s="113"/>
      <c r="AY138" s="62">
        <f>订货1!AN138</f>
        <v>0</v>
      </c>
      <c r="AZ138" s="113"/>
      <c r="BA138" s="113"/>
      <c r="BB138" s="62">
        <f>订货1!AO138</f>
        <v>0</v>
      </c>
      <c r="BC138" s="113"/>
      <c r="BD138" s="113"/>
      <c r="BE138" s="62">
        <f>订货1!AP138</f>
        <v>0</v>
      </c>
      <c r="BF138" s="113"/>
      <c r="BG138" s="113"/>
      <c r="BH138" s="62">
        <f>订货1!AQ138</f>
        <v>0</v>
      </c>
      <c r="BI138" s="113"/>
      <c r="BJ138" s="113"/>
      <c r="BK138" s="62">
        <f>订货1!AR138</f>
        <v>0</v>
      </c>
      <c r="BL138" s="113"/>
      <c r="BM138" s="113"/>
      <c r="BN138" s="62">
        <f>订货1!AS138</f>
        <v>0</v>
      </c>
      <c r="BO138" s="113"/>
      <c r="BP138" s="113"/>
      <c r="BQ138" s="62">
        <f>订货1!AT138</f>
        <v>0</v>
      </c>
      <c r="BR138" s="113"/>
      <c r="BS138" s="113"/>
      <c r="BT138" s="62">
        <f>订货1!AU138</f>
        <v>0</v>
      </c>
      <c r="BU138" s="113"/>
      <c r="BV138" s="113"/>
      <c r="BW138" s="62">
        <f>订货1!AV138</f>
        <v>0</v>
      </c>
      <c r="BX138" s="113"/>
      <c r="BY138" s="113"/>
      <c r="BZ138" s="62">
        <f>订货1!AW138</f>
        <v>0</v>
      </c>
      <c r="CA138" s="113"/>
      <c r="CB138" s="113"/>
      <c r="CC138" s="62">
        <f>订货1!AX138</f>
        <v>0</v>
      </c>
      <c r="CD138" s="113"/>
      <c r="CE138" s="113"/>
      <c r="CF138" s="62">
        <f>订货1!AY138</f>
        <v>0</v>
      </c>
      <c r="CG138" s="113"/>
      <c r="CH138" s="113"/>
      <c r="CI138" s="62">
        <f>订货1!AZ138</f>
        <v>0</v>
      </c>
      <c r="CJ138" s="113"/>
      <c r="CK138" s="113"/>
      <c r="CL138" s="62">
        <f>订货1!BA138</f>
        <v>0</v>
      </c>
      <c r="CM138" s="113"/>
      <c r="CN138" s="113"/>
      <c r="CO138" s="62">
        <f>订货1!BB138</f>
        <v>0</v>
      </c>
      <c r="CP138" s="113"/>
      <c r="CQ138" s="113"/>
      <c r="CR138" s="62">
        <f>订货1!BC138</f>
        <v>0</v>
      </c>
      <c r="CS138" s="113"/>
      <c r="CT138" s="113"/>
      <c r="CU138" s="62">
        <f>订货1!BD138</f>
        <v>0</v>
      </c>
      <c r="CV138" s="113"/>
      <c r="CW138" s="113"/>
      <c r="CX138" s="62">
        <f>订货1!BE138</f>
        <v>0</v>
      </c>
      <c r="CY138" s="113"/>
      <c r="CZ138" s="113"/>
      <c r="DA138" s="62">
        <f>订货1!BF138</f>
        <v>0</v>
      </c>
      <c r="DB138" s="113"/>
      <c r="DC138" s="113"/>
      <c r="DD138" s="208">
        <v>0</v>
      </c>
      <c r="DE138" s="110" t="e">
        <f t="shared" si="38"/>
        <v>#DIV/0!</v>
      </c>
      <c r="DF138" s="52">
        <f t="shared" si="37"/>
        <v>0</v>
      </c>
      <c r="DG138" s="32" t="str">
        <f>订货1!$Q138</f>
        <v>箱</v>
      </c>
      <c r="DH138" s="209" t="e">
        <f t="shared" si="39"/>
        <v>#DIV/0!</v>
      </c>
    </row>
    <row r="139" spans="1:112" ht="15" customHeight="1">
      <c r="A139" s="48">
        <f>订货1!A139</f>
        <v>101603</v>
      </c>
      <c r="B139" s="44" t="str">
        <f>VLOOKUP($A139,订货1!$A139:$G382,7,0)</f>
        <v>川商（大連）貿易有限公司</v>
      </c>
      <c r="C139" s="44" t="str">
        <f>VLOOKUP($A139,订货1!$A139:$H382,8,0)</f>
        <v>栄成嘉源食品有限公司</v>
      </c>
      <c r="D139" s="44" t="str">
        <f>VLOOKUP($A139,订货1!$A139:$B382,2,0)</f>
        <v>格益莎油浸金枪鱼袋包装</v>
      </c>
      <c r="E139" s="44" t="str">
        <f>VLOOKUP($A139,订货1!$A139:$E382,5,0)</f>
        <v>1.1kg*12pkt</v>
      </c>
      <c r="F139" s="49" t="str">
        <f>VLOOKUP($A139,订货1!$A139:$F382,6,0)</f>
        <v>箱</v>
      </c>
      <c r="G139" s="203"/>
      <c r="H139" s="56">
        <f t="shared" si="40"/>
        <v>0</v>
      </c>
      <c r="I139" s="196"/>
      <c r="J139" s="113"/>
      <c r="K139" s="113"/>
      <c r="L139" s="196"/>
      <c r="M139" s="113"/>
      <c r="N139" s="113"/>
      <c r="O139" s="62">
        <f>订货1!AB139</f>
        <v>0</v>
      </c>
      <c r="P139" s="113"/>
      <c r="Q139" s="113"/>
      <c r="R139" s="62">
        <f>订货1!AC139</f>
        <v>0</v>
      </c>
      <c r="S139" s="113"/>
      <c r="T139" s="113"/>
      <c r="U139" s="62">
        <f>订货1!AD139</f>
        <v>0</v>
      </c>
      <c r="V139" s="113"/>
      <c r="W139" s="113"/>
      <c r="X139" s="62">
        <f>订货1!AE139</f>
        <v>0</v>
      </c>
      <c r="Y139" s="113"/>
      <c r="Z139" s="113"/>
      <c r="AA139" s="62">
        <f>订货1!AF139</f>
        <v>0</v>
      </c>
      <c r="AB139" s="113"/>
      <c r="AC139" s="113"/>
      <c r="AD139" s="62">
        <f>订货1!AG139</f>
        <v>0</v>
      </c>
      <c r="AE139" s="113"/>
      <c r="AF139" s="113"/>
      <c r="AG139" s="62">
        <f>订货1!AH139</f>
        <v>0</v>
      </c>
      <c r="AH139" s="113"/>
      <c r="AI139" s="113"/>
      <c r="AJ139" s="62">
        <f>订货1!AI139</f>
        <v>0</v>
      </c>
      <c r="AK139" s="113"/>
      <c r="AL139" s="113"/>
      <c r="AM139" s="62">
        <f>订货1!AJ139</f>
        <v>0</v>
      </c>
      <c r="AN139" s="113"/>
      <c r="AO139" s="113"/>
      <c r="AP139" s="62">
        <f>订货1!AK139</f>
        <v>0</v>
      </c>
      <c r="AQ139" s="113"/>
      <c r="AR139" s="113"/>
      <c r="AS139" s="62">
        <f>订货1!AL139</f>
        <v>0</v>
      </c>
      <c r="AT139" s="113"/>
      <c r="AU139" s="113"/>
      <c r="AV139" s="62">
        <f>订货1!AM139</f>
        <v>0</v>
      </c>
      <c r="AW139" s="113"/>
      <c r="AX139" s="113"/>
      <c r="AY139" s="62">
        <f>订货1!AN139</f>
        <v>0</v>
      </c>
      <c r="AZ139" s="113"/>
      <c r="BA139" s="113"/>
      <c r="BB139" s="62">
        <f>订货1!AO139</f>
        <v>0</v>
      </c>
      <c r="BC139" s="113"/>
      <c r="BD139" s="113"/>
      <c r="BE139" s="62">
        <f>订货1!AP139</f>
        <v>0</v>
      </c>
      <c r="BF139" s="113"/>
      <c r="BG139" s="113"/>
      <c r="BH139" s="62">
        <f>订货1!AQ139</f>
        <v>0</v>
      </c>
      <c r="BI139" s="113"/>
      <c r="BJ139" s="113"/>
      <c r="BK139" s="62">
        <f>订货1!AR139</f>
        <v>0</v>
      </c>
      <c r="BL139" s="113"/>
      <c r="BM139" s="113"/>
      <c r="BN139" s="62">
        <f>订货1!AS139</f>
        <v>0</v>
      </c>
      <c r="BO139" s="113"/>
      <c r="BP139" s="113"/>
      <c r="BQ139" s="62">
        <f>订货1!AT139</f>
        <v>0</v>
      </c>
      <c r="BR139" s="113"/>
      <c r="BS139" s="113"/>
      <c r="BT139" s="62">
        <f>订货1!AU139</f>
        <v>0</v>
      </c>
      <c r="BU139" s="113"/>
      <c r="BV139" s="113"/>
      <c r="BW139" s="62">
        <f>订货1!AV139</f>
        <v>0</v>
      </c>
      <c r="BX139" s="113"/>
      <c r="BY139" s="113"/>
      <c r="BZ139" s="62">
        <f>订货1!AW139</f>
        <v>0</v>
      </c>
      <c r="CA139" s="113"/>
      <c r="CB139" s="113"/>
      <c r="CC139" s="62">
        <f>订货1!AX139</f>
        <v>0</v>
      </c>
      <c r="CD139" s="113"/>
      <c r="CE139" s="113"/>
      <c r="CF139" s="62">
        <f>订货1!AY139</f>
        <v>0</v>
      </c>
      <c r="CG139" s="113"/>
      <c r="CH139" s="113"/>
      <c r="CI139" s="62">
        <f>订货1!AZ139</f>
        <v>0</v>
      </c>
      <c r="CJ139" s="113"/>
      <c r="CK139" s="113"/>
      <c r="CL139" s="62">
        <f>订货1!BA139</f>
        <v>0</v>
      </c>
      <c r="CM139" s="113"/>
      <c r="CN139" s="113"/>
      <c r="CO139" s="62">
        <f>订货1!BB139</f>
        <v>0</v>
      </c>
      <c r="CP139" s="113"/>
      <c r="CQ139" s="113"/>
      <c r="CR139" s="62">
        <f>订货1!BC139</f>
        <v>0</v>
      </c>
      <c r="CS139" s="113"/>
      <c r="CT139" s="113"/>
      <c r="CU139" s="62">
        <f>订货1!BD139</f>
        <v>0</v>
      </c>
      <c r="CV139" s="113"/>
      <c r="CW139" s="113"/>
      <c r="CX139" s="62">
        <f>订货1!BE139</f>
        <v>0</v>
      </c>
      <c r="CY139" s="113"/>
      <c r="CZ139" s="113"/>
      <c r="DA139" s="62">
        <f>订货1!BF139</f>
        <v>0</v>
      </c>
      <c r="DB139" s="113"/>
      <c r="DC139" s="113"/>
      <c r="DD139" s="208">
        <v>0</v>
      </c>
      <c r="DE139" s="110" t="e">
        <f t="shared" si="38"/>
        <v>#DIV/0!</v>
      </c>
      <c r="DF139" s="52">
        <f t="shared" si="37"/>
        <v>0</v>
      </c>
      <c r="DG139" s="32" t="str">
        <f>订货1!$Q139</f>
        <v>箱</v>
      </c>
      <c r="DH139" s="209" t="e">
        <f t="shared" si="39"/>
        <v>#DIV/0!</v>
      </c>
    </row>
    <row r="140" spans="1:112" ht="15" customHeight="1">
      <c r="A140" s="48">
        <f>订货1!A140</f>
        <v>101733</v>
      </c>
      <c r="B140" s="44" t="str">
        <f>VLOOKUP($A140,订货1!$A140:$G383,7,0)</f>
        <v>福建圣农食品有限公司</v>
      </c>
      <c r="C140" s="44" t="str">
        <f>VLOOKUP($A140,订货1!$A140:$H383,8,0)</f>
        <v>福建圣农食品（浦城）有限公司</v>
      </c>
      <c r="D140" s="44" t="str">
        <f>VLOOKUP($A140,订货1!$A140:$B383,2,0)</f>
        <v>香酥鸡柳</v>
      </c>
      <c r="E140" s="44" t="str">
        <f>VLOOKUP($A140,订货1!$A140:$E383,5,0)</f>
        <v>1kg*10pc</v>
      </c>
      <c r="F140" s="49" t="str">
        <f>VLOOKUP($A140,订货1!$A140:$F383,6,0)</f>
        <v>箱</v>
      </c>
      <c r="G140" s="203"/>
      <c r="H140" s="56">
        <f t="shared" si="40"/>
        <v>0</v>
      </c>
      <c r="I140" s="196"/>
      <c r="J140" s="113"/>
      <c r="K140" s="113"/>
      <c r="L140" s="196"/>
      <c r="M140" s="113"/>
      <c r="N140" s="113"/>
      <c r="O140" s="62">
        <f>订货1!AB140</f>
        <v>0</v>
      </c>
      <c r="P140" s="113"/>
      <c r="Q140" s="113"/>
      <c r="R140" s="62">
        <f>订货1!AC140</f>
        <v>0</v>
      </c>
      <c r="S140" s="113"/>
      <c r="T140" s="113"/>
      <c r="U140" s="62">
        <f>订货1!AD140</f>
        <v>0</v>
      </c>
      <c r="V140" s="113"/>
      <c r="W140" s="113"/>
      <c r="X140" s="62">
        <f>订货1!AE140</f>
        <v>0</v>
      </c>
      <c r="Y140" s="113"/>
      <c r="Z140" s="113"/>
      <c r="AA140" s="62">
        <f>订货1!AF140</f>
        <v>0</v>
      </c>
      <c r="AB140" s="113"/>
      <c r="AC140" s="113"/>
      <c r="AD140" s="62">
        <f>订货1!AG140</f>
        <v>0</v>
      </c>
      <c r="AE140" s="113"/>
      <c r="AF140" s="113"/>
      <c r="AG140" s="62">
        <f>订货1!AH140</f>
        <v>0</v>
      </c>
      <c r="AH140" s="113"/>
      <c r="AI140" s="113"/>
      <c r="AJ140" s="62">
        <f>订货1!AI140</f>
        <v>0</v>
      </c>
      <c r="AK140" s="113"/>
      <c r="AL140" s="113"/>
      <c r="AM140" s="62">
        <f>订货1!AJ140</f>
        <v>0</v>
      </c>
      <c r="AN140" s="113"/>
      <c r="AO140" s="113"/>
      <c r="AP140" s="62">
        <f>订货1!AK140</f>
        <v>0</v>
      </c>
      <c r="AQ140" s="113"/>
      <c r="AR140" s="113"/>
      <c r="AS140" s="62">
        <f>订货1!AL140</f>
        <v>0</v>
      </c>
      <c r="AT140" s="113"/>
      <c r="AU140" s="113"/>
      <c r="AV140" s="62">
        <f>订货1!AM140</f>
        <v>0</v>
      </c>
      <c r="AW140" s="113"/>
      <c r="AX140" s="113"/>
      <c r="AY140" s="62">
        <f>订货1!AN140</f>
        <v>0</v>
      </c>
      <c r="AZ140" s="113"/>
      <c r="BA140" s="113"/>
      <c r="BB140" s="62">
        <f>订货1!AO140</f>
        <v>0</v>
      </c>
      <c r="BC140" s="113"/>
      <c r="BD140" s="113"/>
      <c r="BE140" s="62">
        <f>订货1!AP140</f>
        <v>0</v>
      </c>
      <c r="BF140" s="113"/>
      <c r="BG140" s="113"/>
      <c r="BH140" s="62">
        <f>订货1!AQ140</f>
        <v>0</v>
      </c>
      <c r="BI140" s="113"/>
      <c r="BJ140" s="113"/>
      <c r="BK140" s="62">
        <f>订货1!AR140</f>
        <v>0</v>
      </c>
      <c r="BL140" s="113"/>
      <c r="BM140" s="113"/>
      <c r="BN140" s="62">
        <f>订货1!AS140</f>
        <v>0</v>
      </c>
      <c r="BO140" s="113"/>
      <c r="BP140" s="113"/>
      <c r="BQ140" s="62">
        <f>订货1!AT140</f>
        <v>0</v>
      </c>
      <c r="BR140" s="113"/>
      <c r="BS140" s="113"/>
      <c r="BT140" s="62">
        <f>订货1!AU140</f>
        <v>0</v>
      </c>
      <c r="BU140" s="113"/>
      <c r="BV140" s="113"/>
      <c r="BW140" s="62">
        <f>订货1!AV140</f>
        <v>0</v>
      </c>
      <c r="BX140" s="113"/>
      <c r="BY140" s="113"/>
      <c r="BZ140" s="62">
        <f>订货1!AW140</f>
        <v>0</v>
      </c>
      <c r="CA140" s="113"/>
      <c r="CB140" s="113"/>
      <c r="CC140" s="62">
        <f>订货1!AX140</f>
        <v>0</v>
      </c>
      <c r="CD140" s="113"/>
      <c r="CE140" s="113"/>
      <c r="CF140" s="62">
        <f>订货1!AY140</f>
        <v>0</v>
      </c>
      <c r="CG140" s="113"/>
      <c r="CH140" s="113"/>
      <c r="CI140" s="62">
        <f>订货1!AZ140</f>
        <v>0</v>
      </c>
      <c r="CJ140" s="113"/>
      <c r="CK140" s="113"/>
      <c r="CL140" s="62">
        <f>订货1!BA140</f>
        <v>0</v>
      </c>
      <c r="CM140" s="113"/>
      <c r="CN140" s="113"/>
      <c r="CO140" s="62">
        <f>订货1!BB140</f>
        <v>0</v>
      </c>
      <c r="CP140" s="113"/>
      <c r="CQ140" s="113"/>
      <c r="CR140" s="62">
        <f>订货1!BC140</f>
        <v>0</v>
      </c>
      <c r="CS140" s="113"/>
      <c r="CT140" s="113"/>
      <c r="CU140" s="62">
        <f>订货1!BD140</f>
        <v>0</v>
      </c>
      <c r="CV140" s="113"/>
      <c r="CW140" s="113"/>
      <c r="CX140" s="62">
        <f>订货1!BE140</f>
        <v>0</v>
      </c>
      <c r="CY140" s="113"/>
      <c r="CZ140" s="113"/>
      <c r="DA140" s="62">
        <f>订货1!BF140</f>
        <v>0</v>
      </c>
      <c r="DB140" s="113"/>
      <c r="DC140" s="113"/>
      <c r="DD140" s="208">
        <v>0</v>
      </c>
      <c r="DE140" s="110" t="e">
        <f t="shared" si="38"/>
        <v>#DIV/0!</v>
      </c>
      <c r="DF140" s="52">
        <f t="shared" si="37"/>
        <v>0</v>
      </c>
      <c r="DG140" s="32" t="str">
        <f>订货1!$Q140</f>
        <v>箱</v>
      </c>
      <c r="DH140" s="209" t="e">
        <f t="shared" si="39"/>
        <v>#DIV/0!</v>
      </c>
    </row>
    <row r="141" spans="1:112" ht="15" customHeight="1">
      <c r="A141" s="48">
        <f>订货1!A141</f>
        <v>101735</v>
      </c>
      <c r="B141" s="44" t="str">
        <f>VLOOKUP($A141,订货1!$A141:$G384,7,0)</f>
        <v>福建圣农食品有限公司</v>
      </c>
      <c r="C141" s="44" t="str">
        <f>VLOOKUP($A141,订货1!$A141:$H384,8,0)</f>
        <v>福建圣农食品（浦城）有限公司</v>
      </c>
      <c r="D141" s="44" t="str">
        <f>VLOOKUP($A141,订货1!$A141:$B384,2,0)</f>
        <v>香酥翅中</v>
      </c>
      <c r="E141" s="44" t="str">
        <f>VLOOKUP($A141,订货1!$A141:$E384,5,0)</f>
        <v>1kg*12pc</v>
      </c>
      <c r="F141" s="49" t="str">
        <f>VLOOKUP($A141,订货1!$A141:$F384,6,0)</f>
        <v>箱</v>
      </c>
      <c r="G141" s="203"/>
      <c r="H141" s="56">
        <f t="shared" si="40"/>
        <v>0</v>
      </c>
      <c r="I141" s="196"/>
      <c r="J141" s="113"/>
      <c r="K141" s="113"/>
      <c r="L141" s="196"/>
      <c r="M141" s="113"/>
      <c r="N141" s="113"/>
      <c r="O141" s="62">
        <f>订货1!AB141</f>
        <v>0</v>
      </c>
      <c r="P141" s="113"/>
      <c r="Q141" s="113"/>
      <c r="R141" s="62">
        <f>订货1!AC141</f>
        <v>0</v>
      </c>
      <c r="S141" s="113"/>
      <c r="T141" s="113"/>
      <c r="U141" s="62">
        <f>订货1!AD141</f>
        <v>0</v>
      </c>
      <c r="V141" s="113"/>
      <c r="W141" s="113"/>
      <c r="X141" s="62">
        <f>订货1!AE141</f>
        <v>0</v>
      </c>
      <c r="Y141" s="113"/>
      <c r="Z141" s="113"/>
      <c r="AA141" s="62">
        <f>订货1!AF141</f>
        <v>0</v>
      </c>
      <c r="AB141" s="113"/>
      <c r="AC141" s="113"/>
      <c r="AD141" s="62">
        <f>订货1!AG141</f>
        <v>0</v>
      </c>
      <c r="AE141" s="113"/>
      <c r="AF141" s="113"/>
      <c r="AG141" s="62">
        <f>订货1!AH141</f>
        <v>0</v>
      </c>
      <c r="AH141" s="113"/>
      <c r="AI141" s="113"/>
      <c r="AJ141" s="62">
        <f>订货1!AI141</f>
        <v>0</v>
      </c>
      <c r="AK141" s="113"/>
      <c r="AL141" s="113"/>
      <c r="AM141" s="62">
        <f>订货1!AJ141</f>
        <v>0</v>
      </c>
      <c r="AN141" s="113"/>
      <c r="AO141" s="113"/>
      <c r="AP141" s="62">
        <f>订货1!AK141</f>
        <v>0</v>
      </c>
      <c r="AQ141" s="113"/>
      <c r="AR141" s="113"/>
      <c r="AS141" s="62">
        <f>订货1!AL141</f>
        <v>0</v>
      </c>
      <c r="AT141" s="113"/>
      <c r="AU141" s="113"/>
      <c r="AV141" s="62">
        <f>订货1!AM141</f>
        <v>0</v>
      </c>
      <c r="AW141" s="113"/>
      <c r="AX141" s="113"/>
      <c r="AY141" s="62">
        <f>订货1!AN141</f>
        <v>0</v>
      </c>
      <c r="AZ141" s="113"/>
      <c r="BA141" s="113"/>
      <c r="BB141" s="62">
        <f>订货1!AO141</f>
        <v>0</v>
      </c>
      <c r="BC141" s="113"/>
      <c r="BD141" s="113"/>
      <c r="BE141" s="62">
        <f>订货1!AP141</f>
        <v>0</v>
      </c>
      <c r="BF141" s="113"/>
      <c r="BG141" s="113"/>
      <c r="BH141" s="62">
        <f>订货1!AQ141</f>
        <v>0</v>
      </c>
      <c r="BI141" s="113"/>
      <c r="BJ141" s="113"/>
      <c r="BK141" s="62">
        <f>订货1!AR141</f>
        <v>0</v>
      </c>
      <c r="BL141" s="113"/>
      <c r="BM141" s="113"/>
      <c r="BN141" s="62">
        <f>订货1!AS141</f>
        <v>0</v>
      </c>
      <c r="BO141" s="113"/>
      <c r="BP141" s="113"/>
      <c r="BQ141" s="62">
        <f>订货1!AT141</f>
        <v>0</v>
      </c>
      <c r="BR141" s="113"/>
      <c r="BS141" s="113"/>
      <c r="BT141" s="62">
        <f>订货1!AU141</f>
        <v>0</v>
      </c>
      <c r="BU141" s="113"/>
      <c r="BV141" s="113"/>
      <c r="BW141" s="62">
        <f>订货1!AV141</f>
        <v>0</v>
      </c>
      <c r="BX141" s="113"/>
      <c r="BY141" s="113"/>
      <c r="BZ141" s="62">
        <f>订货1!AW141</f>
        <v>0</v>
      </c>
      <c r="CA141" s="113"/>
      <c r="CB141" s="113"/>
      <c r="CC141" s="62">
        <f>订货1!AX141</f>
        <v>0</v>
      </c>
      <c r="CD141" s="113"/>
      <c r="CE141" s="113"/>
      <c r="CF141" s="62">
        <f>订货1!AY141</f>
        <v>0</v>
      </c>
      <c r="CG141" s="113"/>
      <c r="CH141" s="113"/>
      <c r="CI141" s="62">
        <f>订货1!AZ141</f>
        <v>0</v>
      </c>
      <c r="CJ141" s="113"/>
      <c r="CK141" s="113"/>
      <c r="CL141" s="62">
        <f>订货1!BA141</f>
        <v>0</v>
      </c>
      <c r="CM141" s="113"/>
      <c r="CN141" s="113"/>
      <c r="CO141" s="62">
        <f>订货1!BB141</f>
        <v>0</v>
      </c>
      <c r="CP141" s="113"/>
      <c r="CQ141" s="113"/>
      <c r="CR141" s="62">
        <f>订货1!BC141</f>
        <v>0</v>
      </c>
      <c r="CS141" s="113"/>
      <c r="CT141" s="113"/>
      <c r="CU141" s="62">
        <f>订货1!BD141</f>
        <v>0</v>
      </c>
      <c r="CV141" s="113"/>
      <c r="CW141" s="113"/>
      <c r="CX141" s="62">
        <f>订货1!BE141</f>
        <v>0</v>
      </c>
      <c r="CY141" s="113"/>
      <c r="CZ141" s="113"/>
      <c r="DA141" s="62">
        <f>订货1!BF141</f>
        <v>0</v>
      </c>
      <c r="DB141" s="113"/>
      <c r="DC141" s="113"/>
      <c r="DD141" s="208">
        <v>0</v>
      </c>
      <c r="DE141" s="110" t="e">
        <f t="shared" si="38"/>
        <v>#DIV/0!</v>
      </c>
      <c r="DF141" s="52">
        <f t="shared" si="37"/>
        <v>0</v>
      </c>
      <c r="DG141" s="32" t="str">
        <f>订货1!$Q141</f>
        <v>箱</v>
      </c>
      <c r="DH141" s="209" t="e">
        <f t="shared" si="39"/>
        <v>#DIV/0!</v>
      </c>
    </row>
    <row r="142" spans="1:112" ht="15" customHeight="1">
      <c r="A142" s="48">
        <f>订货1!A142</f>
        <v>101706</v>
      </c>
      <c r="B142" s="44" t="str">
        <f>VLOOKUP($A142,订货1!$A142:$G385,7,0)</f>
        <v>马鞍山百瑞食品有限公司</v>
      </c>
      <c r="C142" s="44" t="str">
        <f>VLOOKUP($A142,订货1!$A142:$H385,8,0)</f>
        <v>马鞍山百瑞食品有限公司</v>
      </c>
      <c r="D142" s="44" t="str">
        <f>VLOOKUP($A142,订货1!$A142:$B385,2,0)</f>
        <v>意式风干火腿</v>
      </c>
      <c r="E142" s="44" t="str">
        <f>VLOOKUP($A142,订货1!$A142:$E385,5,0)</f>
        <v>0.04kg</v>
      </c>
      <c r="F142" s="49" t="str">
        <f>VLOOKUP($A142,订货1!$A142:$F385,6,0)</f>
        <v>包</v>
      </c>
      <c r="G142" s="203"/>
      <c r="H142" s="56">
        <f t="shared" si="40"/>
        <v>0</v>
      </c>
      <c r="I142" s="196"/>
      <c r="J142" s="113"/>
      <c r="K142" s="113"/>
      <c r="L142" s="196"/>
      <c r="M142" s="113"/>
      <c r="N142" s="113"/>
      <c r="O142" s="62">
        <f>订货1!AB142</f>
        <v>0</v>
      </c>
      <c r="P142" s="113"/>
      <c r="Q142" s="113"/>
      <c r="R142" s="62">
        <f>订货1!AC142</f>
        <v>0</v>
      </c>
      <c r="S142" s="113"/>
      <c r="T142" s="113"/>
      <c r="U142" s="62">
        <f>订货1!AD142</f>
        <v>0</v>
      </c>
      <c r="V142" s="113"/>
      <c r="W142" s="113"/>
      <c r="X142" s="62">
        <f>订货1!AE142</f>
        <v>0</v>
      </c>
      <c r="Y142" s="113"/>
      <c r="Z142" s="113"/>
      <c r="AA142" s="62">
        <f>订货1!AF142</f>
        <v>0</v>
      </c>
      <c r="AB142" s="113"/>
      <c r="AC142" s="113"/>
      <c r="AD142" s="62">
        <f>订货1!AG142</f>
        <v>0</v>
      </c>
      <c r="AE142" s="113"/>
      <c r="AF142" s="113"/>
      <c r="AG142" s="62">
        <f>订货1!AH142</f>
        <v>0</v>
      </c>
      <c r="AH142" s="113"/>
      <c r="AI142" s="113"/>
      <c r="AJ142" s="62">
        <f>订货1!AI142</f>
        <v>0</v>
      </c>
      <c r="AK142" s="113"/>
      <c r="AL142" s="113"/>
      <c r="AM142" s="62">
        <f>订货1!AJ142</f>
        <v>0</v>
      </c>
      <c r="AN142" s="113"/>
      <c r="AO142" s="113"/>
      <c r="AP142" s="62">
        <f>订货1!AK142</f>
        <v>0</v>
      </c>
      <c r="AQ142" s="113"/>
      <c r="AR142" s="113"/>
      <c r="AS142" s="62">
        <f>订货1!AL142</f>
        <v>0</v>
      </c>
      <c r="AT142" s="113"/>
      <c r="AU142" s="113"/>
      <c r="AV142" s="62">
        <f>订货1!AM142</f>
        <v>0</v>
      </c>
      <c r="AW142" s="113"/>
      <c r="AX142" s="113"/>
      <c r="AY142" s="62">
        <f>订货1!AN142</f>
        <v>0</v>
      </c>
      <c r="AZ142" s="113"/>
      <c r="BA142" s="113"/>
      <c r="BB142" s="62">
        <f>订货1!AO142</f>
        <v>0</v>
      </c>
      <c r="BC142" s="113"/>
      <c r="BD142" s="113"/>
      <c r="BE142" s="62">
        <f>订货1!AP142</f>
        <v>0</v>
      </c>
      <c r="BF142" s="113"/>
      <c r="BG142" s="113"/>
      <c r="BH142" s="62">
        <f>订货1!AQ142</f>
        <v>0</v>
      </c>
      <c r="BI142" s="113"/>
      <c r="BJ142" s="113"/>
      <c r="BK142" s="62">
        <f>订货1!AR142</f>
        <v>0</v>
      </c>
      <c r="BL142" s="113"/>
      <c r="BM142" s="113"/>
      <c r="BN142" s="62">
        <f>订货1!AS142</f>
        <v>0</v>
      </c>
      <c r="BO142" s="113"/>
      <c r="BP142" s="113"/>
      <c r="BQ142" s="62">
        <f>订货1!AT142</f>
        <v>0</v>
      </c>
      <c r="BR142" s="113"/>
      <c r="BS142" s="113"/>
      <c r="BT142" s="62">
        <f>订货1!AU142</f>
        <v>0</v>
      </c>
      <c r="BU142" s="113"/>
      <c r="BV142" s="113"/>
      <c r="BW142" s="62">
        <f>订货1!AV142</f>
        <v>0</v>
      </c>
      <c r="BX142" s="113"/>
      <c r="BY142" s="113"/>
      <c r="BZ142" s="62">
        <f>订货1!AW142</f>
        <v>0</v>
      </c>
      <c r="CA142" s="113"/>
      <c r="CB142" s="113"/>
      <c r="CC142" s="62">
        <f>订货1!AX142</f>
        <v>0</v>
      </c>
      <c r="CD142" s="113"/>
      <c r="CE142" s="113"/>
      <c r="CF142" s="62">
        <f>订货1!AY142</f>
        <v>0</v>
      </c>
      <c r="CG142" s="113"/>
      <c r="CH142" s="113"/>
      <c r="CI142" s="62">
        <f>订货1!AZ142</f>
        <v>0</v>
      </c>
      <c r="CJ142" s="113"/>
      <c r="CK142" s="113"/>
      <c r="CL142" s="62">
        <f>订货1!BA142</f>
        <v>0</v>
      </c>
      <c r="CM142" s="113"/>
      <c r="CN142" s="113"/>
      <c r="CO142" s="62">
        <f>订货1!BB142</f>
        <v>0</v>
      </c>
      <c r="CP142" s="113"/>
      <c r="CQ142" s="113"/>
      <c r="CR142" s="62">
        <f>订货1!BC142</f>
        <v>0</v>
      </c>
      <c r="CS142" s="113"/>
      <c r="CT142" s="113"/>
      <c r="CU142" s="62">
        <f>订货1!BD142</f>
        <v>0</v>
      </c>
      <c r="CV142" s="113"/>
      <c r="CW142" s="113"/>
      <c r="CX142" s="62">
        <f>订货1!BE142</f>
        <v>0</v>
      </c>
      <c r="CY142" s="113"/>
      <c r="CZ142" s="113"/>
      <c r="DA142" s="62">
        <f>订货1!BF142</f>
        <v>0</v>
      </c>
      <c r="DB142" s="113"/>
      <c r="DC142" s="113"/>
      <c r="DD142" s="208">
        <v>0</v>
      </c>
      <c r="DE142" s="110" t="e">
        <f t="shared" si="38"/>
        <v>#DIV/0!</v>
      </c>
      <c r="DF142" s="52">
        <f t="shared" si="37"/>
        <v>0</v>
      </c>
      <c r="DG142" s="32" t="str">
        <f>订货1!$Q142</f>
        <v>包</v>
      </c>
      <c r="DH142" s="209" t="e">
        <f t="shared" si="39"/>
        <v>#DIV/0!</v>
      </c>
    </row>
    <row r="143" spans="1:112" ht="15" customHeight="1">
      <c r="A143" s="210">
        <f>订货1!A143</f>
        <v>101608</v>
      </c>
      <c r="B143" s="183" t="str">
        <f>VLOOKUP($A143,订货1!$A143:$G386,7,0)</f>
        <v>青岛国辉食品有限公司</v>
      </c>
      <c r="C143" s="183" t="str">
        <f>VLOOKUP($A143,订货1!$A143:$H386,8,0)</f>
        <v>青岛国辉食品有限公司</v>
      </c>
      <c r="D143" s="183" t="str">
        <f>VLOOKUP($A143,订货1!$A143:$B386,2,0)</f>
        <v>西冷牛排切片SA（新）</v>
      </c>
      <c r="E143" s="44" t="str">
        <f>VLOOKUP($A143,订货1!$A143:$E386,5,0)</f>
        <v>0.15kg*100pc</v>
      </c>
      <c r="F143" s="49" t="str">
        <f>VLOOKUP($A143,订货1!$A143:$F386,6,0)</f>
        <v>箱</v>
      </c>
      <c r="G143" s="203"/>
      <c r="H143" s="56">
        <f t="shared" si="40"/>
        <v>4</v>
      </c>
      <c r="I143" s="196"/>
      <c r="J143" s="113"/>
      <c r="K143" s="113"/>
      <c r="L143" s="196"/>
      <c r="M143" s="113"/>
      <c r="N143" s="113"/>
      <c r="O143" s="62">
        <f>订货1!AB143</f>
        <v>0</v>
      </c>
      <c r="P143" s="113"/>
      <c r="Q143" s="113"/>
      <c r="R143" s="62">
        <f>订货1!AC143</f>
        <v>0</v>
      </c>
      <c r="S143" s="113"/>
      <c r="T143" s="113"/>
      <c r="U143" s="62">
        <f>订货1!AD143</f>
        <v>0</v>
      </c>
      <c r="V143" s="113"/>
      <c r="W143" s="113"/>
      <c r="X143" s="62">
        <f>订货1!AE143</f>
        <v>1</v>
      </c>
      <c r="Y143" s="113"/>
      <c r="Z143" s="113"/>
      <c r="AA143" s="62">
        <f>订货1!AF143</f>
        <v>0</v>
      </c>
      <c r="AB143" s="113"/>
      <c r="AC143" s="113"/>
      <c r="AD143" s="62">
        <f>订货1!AG143</f>
        <v>0</v>
      </c>
      <c r="AE143" s="113"/>
      <c r="AF143" s="113"/>
      <c r="AG143" s="62">
        <f>订货1!AH143</f>
        <v>0</v>
      </c>
      <c r="AH143" s="113"/>
      <c r="AI143" s="113"/>
      <c r="AJ143" s="62">
        <f>订货1!AI143</f>
        <v>1</v>
      </c>
      <c r="AK143" s="113"/>
      <c r="AL143" s="113"/>
      <c r="AM143" s="62">
        <f>订货1!AJ143</f>
        <v>0</v>
      </c>
      <c r="AN143" s="113"/>
      <c r="AO143" s="113"/>
      <c r="AP143" s="62">
        <f>订货1!AK143</f>
        <v>0</v>
      </c>
      <c r="AQ143" s="113"/>
      <c r="AR143" s="113"/>
      <c r="AS143" s="62">
        <f>订货1!AL143</f>
        <v>0</v>
      </c>
      <c r="AT143" s="113"/>
      <c r="AU143" s="113"/>
      <c r="AV143" s="62">
        <f>订货1!AM143</f>
        <v>1</v>
      </c>
      <c r="AW143" s="113"/>
      <c r="AX143" s="113"/>
      <c r="AY143" s="62">
        <f>订货1!AN143</f>
        <v>1</v>
      </c>
      <c r="AZ143" s="113"/>
      <c r="BA143" s="113"/>
      <c r="BB143" s="62">
        <f>订货1!AO143</f>
        <v>0</v>
      </c>
      <c r="BC143" s="113"/>
      <c r="BD143" s="113"/>
      <c r="BE143" s="62">
        <f>订货1!AP143</f>
        <v>0</v>
      </c>
      <c r="BF143" s="113"/>
      <c r="BG143" s="113"/>
      <c r="BH143" s="62">
        <f>订货1!AQ143</f>
        <v>0</v>
      </c>
      <c r="BI143" s="113"/>
      <c r="BJ143" s="113"/>
      <c r="BK143" s="62">
        <f>订货1!AR143</f>
        <v>0</v>
      </c>
      <c r="BL143" s="113"/>
      <c r="BM143" s="113"/>
      <c r="BN143" s="62">
        <f>订货1!AS143</f>
        <v>0</v>
      </c>
      <c r="BO143" s="113"/>
      <c r="BP143" s="113"/>
      <c r="BQ143" s="62">
        <f>订货1!AT143</f>
        <v>0</v>
      </c>
      <c r="BR143" s="113"/>
      <c r="BS143" s="113"/>
      <c r="BT143" s="62">
        <f>订货1!AU143</f>
        <v>0</v>
      </c>
      <c r="BU143" s="113"/>
      <c r="BV143" s="113"/>
      <c r="BW143" s="62">
        <f>订货1!AV143</f>
        <v>0</v>
      </c>
      <c r="BX143" s="113"/>
      <c r="BY143" s="113"/>
      <c r="BZ143" s="62">
        <f>订货1!AW143</f>
        <v>0</v>
      </c>
      <c r="CA143" s="113"/>
      <c r="CB143" s="113"/>
      <c r="CC143" s="62">
        <f>订货1!AX143</f>
        <v>0</v>
      </c>
      <c r="CD143" s="113"/>
      <c r="CE143" s="113"/>
      <c r="CF143" s="62">
        <f>订货1!AY143</f>
        <v>0</v>
      </c>
      <c r="CG143" s="113"/>
      <c r="CH143" s="113"/>
      <c r="CI143" s="62">
        <f>订货1!AZ143</f>
        <v>0</v>
      </c>
      <c r="CJ143" s="113"/>
      <c r="CK143" s="113"/>
      <c r="CL143" s="62">
        <f>订货1!BA143</f>
        <v>0</v>
      </c>
      <c r="CM143" s="113"/>
      <c r="CN143" s="113"/>
      <c r="CO143" s="62">
        <f>订货1!BB143</f>
        <v>0</v>
      </c>
      <c r="CP143" s="113"/>
      <c r="CQ143" s="113"/>
      <c r="CR143" s="62">
        <f>订货1!BC143</f>
        <v>0</v>
      </c>
      <c r="CS143" s="113"/>
      <c r="CT143" s="113"/>
      <c r="CU143" s="62">
        <f>订货1!BD143</f>
        <v>0</v>
      </c>
      <c r="CV143" s="113"/>
      <c r="CW143" s="113"/>
      <c r="CX143" s="62">
        <f>订货1!BE143</f>
        <v>0</v>
      </c>
      <c r="CY143" s="113"/>
      <c r="CZ143" s="113"/>
      <c r="DA143" s="62">
        <f>订货1!BF143</f>
        <v>0</v>
      </c>
      <c r="DB143" s="113"/>
      <c r="DC143" s="113"/>
      <c r="DD143" s="208">
        <v>0</v>
      </c>
      <c r="DE143" s="110" t="e">
        <f t="shared" si="38"/>
        <v>#DIV/0!</v>
      </c>
      <c r="DF143" s="52">
        <f t="shared" si="37"/>
        <v>4</v>
      </c>
      <c r="DG143" s="32" t="str">
        <f>订货1!$Q143</f>
        <v>箱</v>
      </c>
      <c r="DH143" s="209" t="e">
        <f t="shared" si="39"/>
        <v>#DIV/0!</v>
      </c>
    </row>
    <row r="144" spans="1:112" ht="15" customHeight="1">
      <c r="A144" s="210">
        <f>订货1!A144</f>
        <v>101638</v>
      </c>
      <c r="B144" s="183" t="str">
        <f>VLOOKUP($A144,订货1!$A144:$G387,7,0)</f>
        <v>福建圣农食品有限公司</v>
      </c>
      <c r="C144" s="183" t="str">
        <f>VLOOKUP($A144,订货1!$A144:$H387,8,0)</f>
        <v>福建圣农食品（浦城）有限公司</v>
      </c>
      <c r="D144" s="183" t="str">
        <f>VLOOKUP($A144,订货1!$A144:$B387,2,0)</f>
        <v>新香烤翅中</v>
      </c>
      <c r="E144" s="44" t="str">
        <f>VLOOKUP($A144,订货1!$A144:$E387,5,0)</f>
        <v>1kg*12pc</v>
      </c>
      <c r="F144" s="49" t="str">
        <f>VLOOKUP($A144,订货1!$A144:$F387,6,0)</f>
        <v>箱</v>
      </c>
      <c r="G144" s="203"/>
      <c r="H144" s="56">
        <f t="shared" si="40"/>
        <v>7</v>
      </c>
      <c r="I144" s="196"/>
      <c r="J144" s="113"/>
      <c r="K144" s="113"/>
      <c r="L144" s="196"/>
      <c r="M144" s="113"/>
      <c r="N144" s="113"/>
      <c r="O144" s="62">
        <f>订货1!AB144</f>
        <v>0</v>
      </c>
      <c r="P144" s="113"/>
      <c r="Q144" s="113"/>
      <c r="R144" s="62">
        <f>订货1!AC144</f>
        <v>1</v>
      </c>
      <c r="S144" s="113"/>
      <c r="T144" s="113"/>
      <c r="U144" s="62">
        <f>订货1!AD144</f>
        <v>0</v>
      </c>
      <c r="V144" s="113"/>
      <c r="W144" s="113"/>
      <c r="X144" s="62">
        <f>订货1!AE144</f>
        <v>1</v>
      </c>
      <c r="Y144" s="113"/>
      <c r="Z144" s="113"/>
      <c r="AA144" s="62">
        <f>订货1!AF144</f>
        <v>0</v>
      </c>
      <c r="AB144" s="113"/>
      <c r="AC144" s="113"/>
      <c r="AD144" s="62">
        <f>订货1!AG144</f>
        <v>1</v>
      </c>
      <c r="AE144" s="113"/>
      <c r="AF144" s="113"/>
      <c r="AG144" s="62">
        <f>订货1!AH144</f>
        <v>0</v>
      </c>
      <c r="AH144" s="113"/>
      <c r="AI144" s="113"/>
      <c r="AJ144" s="62">
        <f>订货1!AI144</f>
        <v>1</v>
      </c>
      <c r="AK144" s="113"/>
      <c r="AL144" s="113"/>
      <c r="AM144" s="62">
        <f>订货1!AJ144</f>
        <v>0</v>
      </c>
      <c r="AN144" s="113"/>
      <c r="AO144" s="113"/>
      <c r="AP144" s="62">
        <f>订货1!AK144</f>
        <v>0</v>
      </c>
      <c r="AQ144" s="113"/>
      <c r="AR144" s="113"/>
      <c r="AS144" s="62">
        <f>订货1!AL144</f>
        <v>0</v>
      </c>
      <c r="AT144" s="113"/>
      <c r="AU144" s="113"/>
      <c r="AV144" s="62">
        <f>订货1!AM144</f>
        <v>1</v>
      </c>
      <c r="AW144" s="113"/>
      <c r="AX144" s="113"/>
      <c r="AY144" s="62">
        <f>订货1!AN144</f>
        <v>1</v>
      </c>
      <c r="AZ144" s="113"/>
      <c r="BA144" s="113"/>
      <c r="BB144" s="62">
        <f>订货1!AO144</f>
        <v>1</v>
      </c>
      <c r="BC144" s="113"/>
      <c r="BD144" s="113"/>
      <c r="BE144" s="62">
        <f>订货1!AP144</f>
        <v>0</v>
      </c>
      <c r="BF144" s="113"/>
      <c r="BG144" s="113"/>
      <c r="BH144" s="62">
        <f>订货1!AQ144</f>
        <v>0</v>
      </c>
      <c r="BI144" s="113"/>
      <c r="BJ144" s="113"/>
      <c r="BK144" s="62">
        <f>订货1!AR144</f>
        <v>0</v>
      </c>
      <c r="BL144" s="113"/>
      <c r="BM144" s="113"/>
      <c r="BN144" s="62">
        <f>订货1!AS144</f>
        <v>0</v>
      </c>
      <c r="BO144" s="113"/>
      <c r="BP144" s="113"/>
      <c r="BQ144" s="62">
        <f>订货1!AT144</f>
        <v>0</v>
      </c>
      <c r="BR144" s="113"/>
      <c r="BS144" s="113"/>
      <c r="BT144" s="62">
        <f>订货1!AU144</f>
        <v>0</v>
      </c>
      <c r="BU144" s="113"/>
      <c r="BV144" s="113"/>
      <c r="BW144" s="62">
        <f>订货1!AV144</f>
        <v>0</v>
      </c>
      <c r="BX144" s="113"/>
      <c r="BY144" s="113"/>
      <c r="BZ144" s="62">
        <f>订货1!AW144</f>
        <v>0</v>
      </c>
      <c r="CA144" s="113"/>
      <c r="CB144" s="113"/>
      <c r="CC144" s="62">
        <f>订货1!AX144</f>
        <v>0</v>
      </c>
      <c r="CD144" s="113"/>
      <c r="CE144" s="113"/>
      <c r="CF144" s="62">
        <f>订货1!AY144</f>
        <v>0</v>
      </c>
      <c r="CG144" s="113"/>
      <c r="CH144" s="113"/>
      <c r="CI144" s="62">
        <f>订货1!AZ144</f>
        <v>0</v>
      </c>
      <c r="CJ144" s="113"/>
      <c r="CK144" s="113"/>
      <c r="CL144" s="62">
        <f>订货1!BA144</f>
        <v>0</v>
      </c>
      <c r="CM144" s="113"/>
      <c r="CN144" s="113"/>
      <c r="CO144" s="62">
        <f>订货1!BB144</f>
        <v>0</v>
      </c>
      <c r="CP144" s="113"/>
      <c r="CQ144" s="113"/>
      <c r="CR144" s="62">
        <f>订货1!BC144</f>
        <v>0</v>
      </c>
      <c r="CS144" s="113"/>
      <c r="CT144" s="113"/>
      <c r="CU144" s="62">
        <f>订货1!BD144</f>
        <v>0</v>
      </c>
      <c r="CV144" s="113"/>
      <c r="CW144" s="113"/>
      <c r="CX144" s="62">
        <f>订货1!BE144</f>
        <v>0</v>
      </c>
      <c r="CY144" s="113"/>
      <c r="CZ144" s="113"/>
      <c r="DA144" s="62">
        <f>订货1!BF144</f>
        <v>0</v>
      </c>
      <c r="DB144" s="113"/>
      <c r="DC144" s="113"/>
      <c r="DD144" s="208">
        <v>0</v>
      </c>
      <c r="DE144" s="110" t="e">
        <f t="shared" si="38"/>
        <v>#DIV/0!</v>
      </c>
      <c r="DF144" s="52">
        <f t="shared" si="37"/>
        <v>7</v>
      </c>
      <c r="DG144" s="32" t="str">
        <f>订货1!$Q144</f>
        <v>箱</v>
      </c>
      <c r="DH144" s="209" t="e">
        <f t="shared" si="39"/>
        <v>#DIV/0!</v>
      </c>
    </row>
    <row r="145" spans="1:112" ht="15" customHeight="1">
      <c r="A145" s="210">
        <f>订货1!A145</f>
        <v>101610</v>
      </c>
      <c r="B145" s="183" t="str">
        <f>VLOOKUP($A145,订货1!$A145:$G388,7,0)</f>
        <v>浙江大菱海洋食品有限公司</v>
      </c>
      <c r="C145" s="183" t="str">
        <f>VLOOKUP($A145,订货1!$A145:$H388,8,0)</f>
        <v>大洋世家（舟山）优品有限公司</v>
      </c>
      <c r="D145" s="183" t="str">
        <f>VLOOKUP($A145,订货1!$A145:$B388,2,0)</f>
        <v>熟虾尾（新）</v>
      </c>
      <c r="E145" s="44" t="str">
        <f>VLOOKUP($A145,订货1!$A145:$E388,5,0)</f>
        <v>1kg*10pkt</v>
      </c>
      <c r="F145" s="49" t="str">
        <f>VLOOKUP($A145,订货1!$A145:$F388,6,0)</f>
        <v>箱</v>
      </c>
      <c r="G145" s="203"/>
      <c r="H145" s="56">
        <f t="shared" si="40"/>
        <v>0</v>
      </c>
      <c r="I145" s="196"/>
      <c r="J145" s="113"/>
      <c r="K145" s="113"/>
      <c r="L145" s="196"/>
      <c r="M145" s="113"/>
      <c r="N145" s="113"/>
      <c r="O145" s="62">
        <f>订货1!AB145</f>
        <v>0</v>
      </c>
      <c r="P145" s="113"/>
      <c r="Q145" s="113"/>
      <c r="R145" s="62">
        <f>订货1!AC145</f>
        <v>0</v>
      </c>
      <c r="S145" s="113"/>
      <c r="T145" s="113"/>
      <c r="U145" s="62">
        <f>订货1!AD145</f>
        <v>0</v>
      </c>
      <c r="V145" s="113"/>
      <c r="W145" s="113"/>
      <c r="X145" s="62">
        <f>订货1!AE145</f>
        <v>0</v>
      </c>
      <c r="Y145" s="113"/>
      <c r="Z145" s="113"/>
      <c r="AA145" s="62">
        <f>订货1!AF145</f>
        <v>0</v>
      </c>
      <c r="AB145" s="113"/>
      <c r="AC145" s="113"/>
      <c r="AD145" s="62">
        <f>订货1!AG145</f>
        <v>0</v>
      </c>
      <c r="AE145" s="113"/>
      <c r="AF145" s="113"/>
      <c r="AG145" s="62">
        <f>订货1!AH145</f>
        <v>0</v>
      </c>
      <c r="AH145" s="113"/>
      <c r="AI145" s="113"/>
      <c r="AJ145" s="62">
        <f>订货1!AI145</f>
        <v>0</v>
      </c>
      <c r="AK145" s="113"/>
      <c r="AL145" s="113"/>
      <c r="AM145" s="62">
        <f>订货1!AJ145</f>
        <v>0</v>
      </c>
      <c r="AN145" s="113"/>
      <c r="AO145" s="113"/>
      <c r="AP145" s="62">
        <f>订货1!AK145</f>
        <v>0</v>
      </c>
      <c r="AQ145" s="113"/>
      <c r="AR145" s="113"/>
      <c r="AS145" s="62">
        <f>订货1!AL145</f>
        <v>0</v>
      </c>
      <c r="AT145" s="113"/>
      <c r="AU145" s="113"/>
      <c r="AV145" s="62">
        <f>订货1!AM145</f>
        <v>0</v>
      </c>
      <c r="AW145" s="113"/>
      <c r="AX145" s="113"/>
      <c r="AY145" s="62">
        <f>订货1!AN145</f>
        <v>0</v>
      </c>
      <c r="AZ145" s="113"/>
      <c r="BA145" s="113"/>
      <c r="BB145" s="62">
        <f>订货1!AO145</f>
        <v>0</v>
      </c>
      <c r="BC145" s="113"/>
      <c r="BD145" s="113"/>
      <c r="BE145" s="62">
        <f>订货1!AP145</f>
        <v>0</v>
      </c>
      <c r="BF145" s="113"/>
      <c r="BG145" s="113"/>
      <c r="BH145" s="62">
        <f>订货1!AQ145</f>
        <v>0</v>
      </c>
      <c r="BI145" s="113"/>
      <c r="BJ145" s="113"/>
      <c r="BK145" s="62">
        <f>订货1!AR145</f>
        <v>0</v>
      </c>
      <c r="BL145" s="113"/>
      <c r="BM145" s="113"/>
      <c r="BN145" s="62">
        <f>订货1!AS145</f>
        <v>0</v>
      </c>
      <c r="BO145" s="113"/>
      <c r="BP145" s="113"/>
      <c r="BQ145" s="62">
        <f>订货1!AT145</f>
        <v>0</v>
      </c>
      <c r="BR145" s="113"/>
      <c r="BS145" s="113"/>
      <c r="BT145" s="62">
        <f>订货1!AU145</f>
        <v>0</v>
      </c>
      <c r="BU145" s="113"/>
      <c r="BV145" s="113"/>
      <c r="BW145" s="62">
        <f>订货1!AV145</f>
        <v>0</v>
      </c>
      <c r="BX145" s="113"/>
      <c r="BY145" s="113"/>
      <c r="BZ145" s="62">
        <f>订货1!AW145</f>
        <v>0</v>
      </c>
      <c r="CA145" s="113"/>
      <c r="CB145" s="113"/>
      <c r="CC145" s="62">
        <f>订货1!AX145</f>
        <v>0</v>
      </c>
      <c r="CD145" s="113"/>
      <c r="CE145" s="113"/>
      <c r="CF145" s="62">
        <f>订货1!AY145</f>
        <v>0</v>
      </c>
      <c r="CG145" s="113"/>
      <c r="CH145" s="113"/>
      <c r="CI145" s="62">
        <f>订货1!AZ145</f>
        <v>0</v>
      </c>
      <c r="CJ145" s="113"/>
      <c r="CK145" s="113"/>
      <c r="CL145" s="62">
        <f>订货1!BA145</f>
        <v>0</v>
      </c>
      <c r="CM145" s="113"/>
      <c r="CN145" s="113"/>
      <c r="CO145" s="62">
        <f>订货1!BB145</f>
        <v>0</v>
      </c>
      <c r="CP145" s="113"/>
      <c r="CQ145" s="113"/>
      <c r="CR145" s="62">
        <f>订货1!BC145</f>
        <v>0</v>
      </c>
      <c r="CS145" s="113"/>
      <c r="CT145" s="113"/>
      <c r="CU145" s="62">
        <f>订货1!BD145</f>
        <v>0</v>
      </c>
      <c r="CV145" s="113"/>
      <c r="CW145" s="113"/>
      <c r="CX145" s="62">
        <f>订货1!BE145</f>
        <v>0</v>
      </c>
      <c r="CY145" s="113"/>
      <c r="CZ145" s="113"/>
      <c r="DA145" s="62">
        <f>订货1!BF145</f>
        <v>0</v>
      </c>
      <c r="DB145" s="113"/>
      <c r="DC145" s="113"/>
      <c r="DD145" s="208">
        <v>0</v>
      </c>
      <c r="DE145" s="110" t="e">
        <f t="shared" si="38"/>
        <v>#DIV/0!</v>
      </c>
      <c r="DF145" s="52">
        <f t="shared" si="37"/>
        <v>0</v>
      </c>
      <c r="DG145" s="32" t="str">
        <f>订货1!$Q145</f>
        <v>箱</v>
      </c>
      <c r="DH145" s="209" t="e">
        <f t="shared" si="39"/>
        <v>#DIV/0!</v>
      </c>
    </row>
    <row r="146" spans="1:112" ht="15" customHeight="1">
      <c r="A146" s="48">
        <f>订货1!A146</f>
        <v>101776</v>
      </c>
      <c r="B146" s="44" t="str">
        <f>VLOOKUP($A146,订货1!$A146:$G389,7,0)</f>
        <v>山東三涛食品有限公司</v>
      </c>
      <c r="C146" s="44" t="str">
        <f>VLOOKUP($A146,订货1!$A146:$H389,8,0)</f>
        <v>山東三涛食品有限公司</v>
      </c>
      <c r="D146" s="44" t="str">
        <f>VLOOKUP($A146,订货1!$A146:$B389,2,0)</f>
        <v>速冻玉米粒（实验）</v>
      </c>
      <c r="E146" s="44" t="str">
        <f>VLOOKUP($A146,订货1!$A146:$E389,5,0)</f>
        <v>3KG×4 袋</v>
      </c>
      <c r="F146" s="49" t="str">
        <f>VLOOKUP($A146,订货1!$A146:$F389,6,0)</f>
        <v>箱</v>
      </c>
      <c r="G146" s="203"/>
      <c r="H146" s="56">
        <f t="shared" si="40"/>
        <v>0</v>
      </c>
      <c r="I146" s="196"/>
      <c r="J146" s="113"/>
      <c r="K146" s="113"/>
      <c r="L146" s="196"/>
      <c r="M146" s="113"/>
      <c r="N146" s="113"/>
      <c r="O146" s="62">
        <f>订货1!AB146</f>
        <v>0</v>
      </c>
      <c r="P146" s="113"/>
      <c r="Q146" s="113"/>
      <c r="R146" s="62">
        <f>订货1!AC146</f>
        <v>0</v>
      </c>
      <c r="S146" s="113"/>
      <c r="T146" s="113"/>
      <c r="U146" s="62">
        <f>订货1!AD146</f>
        <v>0</v>
      </c>
      <c r="V146" s="113"/>
      <c r="W146" s="113"/>
      <c r="X146" s="62">
        <f>订货1!AE146</f>
        <v>0</v>
      </c>
      <c r="Y146" s="113"/>
      <c r="Z146" s="113"/>
      <c r="AA146" s="62">
        <f>订货1!AF146</f>
        <v>0</v>
      </c>
      <c r="AB146" s="113"/>
      <c r="AC146" s="113"/>
      <c r="AD146" s="62">
        <f>订货1!AG146</f>
        <v>0</v>
      </c>
      <c r="AE146" s="113"/>
      <c r="AF146" s="113"/>
      <c r="AG146" s="62">
        <f>订货1!AH146</f>
        <v>0</v>
      </c>
      <c r="AH146" s="113"/>
      <c r="AI146" s="113"/>
      <c r="AJ146" s="62">
        <f>订货1!AI146</f>
        <v>0</v>
      </c>
      <c r="AK146" s="113"/>
      <c r="AL146" s="113"/>
      <c r="AM146" s="62">
        <f>订货1!AJ146</f>
        <v>0</v>
      </c>
      <c r="AN146" s="113"/>
      <c r="AO146" s="113"/>
      <c r="AP146" s="62">
        <f>订货1!AK146</f>
        <v>0</v>
      </c>
      <c r="AQ146" s="113"/>
      <c r="AR146" s="113"/>
      <c r="AS146" s="62">
        <f>订货1!AL146</f>
        <v>0</v>
      </c>
      <c r="AT146" s="113"/>
      <c r="AU146" s="113"/>
      <c r="AV146" s="62">
        <f>订货1!AM146</f>
        <v>0</v>
      </c>
      <c r="AW146" s="113"/>
      <c r="AX146" s="113"/>
      <c r="AY146" s="62">
        <f>订货1!AN146</f>
        <v>0</v>
      </c>
      <c r="AZ146" s="113"/>
      <c r="BA146" s="113"/>
      <c r="BB146" s="62">
        <f>订货1!AO146</f>
        <v>0</v>
      </c>
      <c r="BC146" s="113"/>
      <c r="BD146" s="113"/>
      <c r="BE146" s="62">
        <f>订货1!AP146</f>
        <v>0</v>
      </c>
      <c r="BF146" s="113"/>
      <c r="BG146" s="113"/>
      <c r="BH146" s="62">
        <f>订货1!AQ146</f>
        <v>0</v>
      </c>
      <c r="BI146" s="113"/>
      <c r="BJ146" s="113"/>
      <c r="BK146" s="62">
        <f>订货1!AR146</f>
        <v>0</v>
      </c>
      <c r="BL146" s="113"/>
      <c r="BM146" s="113"/>
      <c r="BN146" s="62">
        <f>订货1!AS146</f>
        <v>0</v>
      </c>
      <c r="BO146" s="113"/>
      <c r="BP146" s="113"/>
      <c r="BQ146" s="62">
        <f>订货1!AT146</f>
        <v>0</v>
      </c>
      <c r="BR146" s="113"/>
      <c r="BS146" s="113"/>
      <c r="BT146" s="62">
        <f>订货1!AU146</f>
        <v>0</v>
      </c>
      <c r="BU146" s="113"/>
      <c r="BV146" s="113"/>
      <c r="BW146" s="62">
        <f>订货1!AV146</f>
        <v>0</v>
      </c>
      <c r="BX146" s="113"/>
      <c r="BY146" s="113"/>
      <c r="BZ146" s="62">
        <f>订货1!AW146</f>
        <v>0</v>
      </c>
      <c r="CA146" s="113"/>
      <c r="CB146" s="113"/>
      <c r="CC146" s="62">
        <f>订货1!AX146</f>
        <v>0</v>
      </c>
      <c r="CD146" s="113"/>
      <c r="CE146" s="113"/>
      <c r="CF146" s="62">
        <f>订货1!AY146</f>
        <v>0</v>
      </c>
      <c r="CG146" s="113"/>
      <c r="CH146" s="113"/>
      <c r="CI146" s="62">
        <f>订货1!AZ146</f>
        <v>0</v>
      </c>
      <c r="CJ146" s="113"/>
      <c r="CK146" s="113"/>
      <c r="CL146" s="62">
        <f>订货1!BA146</f>
        <v>0</v>
      </c>
      <c r="CM146" s="113"/>
      <c r="CN146" s="113"/>
      <c r="CO146" s="62">
        <f>订货1!BB146</f>
        <v>0</v>
      </c>
      <c r="CP146" s="113"/>
      <c r="CQ146" s="113"/>
      <c r="CR146" s="62">
        <f>订货1!BC146</f>
        <v>0</v>
      </c>
      <c r="CS146" s="113"/>
      <c r="CT146" s="113"/>
      <c r="CU146" s="62">
        <f>订货1!BD146</f>
        <v>0</v>
      </c>
      <c r="CV146" s="113"/>
      <c r="CW146" s="113"/>
      <c r="CX146" s="62">
        <f>订货1!BE146</f>
        <v>0</v>
      </c>
      <c r="CY146" s="113"/>
      <c r="CZ146" s="113"/>
      <c r="DA146" s="62">
        <f>订货1!BF146</f>
        <v>0</v>
      </c>
      <c r="DB146" s="113"/>
      <c r="DC146" s="113"/>
      <c r="DD146" s="208">
        <v>0</v>
      </c>
      <c r="DE146" s="110" t="e">
        <f t="shared" si="38"/>
        <v>#DIV/0!</v>
      </c>
      <c r="DF146" s="52">
        <f t="shared" si="37"/>
        <v>0</v>
      </c>
      <c r="DG146" s="32" t="str">
        <f>订货1!$Q146</f>
        <v>箱</v>
      </c>
      <c r="DH146" s="209" t="e">
        <f t="shared" si="39"/>
        <v>#DIV/0!</v>
      </c>
    </row>
    <row r="147" spans="1:112" ht="15" customHeight="1">
      <c r="A147" s="48">
        <f>订货1!A147</f>
        <v>101031</v>
      </c>
      <c r="B147" s="44" t="str">
        <f>VLOOKUP($A147,订货1!$A147:$G390,7,0)</f>
        <v>卓典食品科技（江苏）有限公司</v>
      </c>
      <c r="C147" s="44" t="str">
        <f>VLOOKUP($A147,订货1!$A147:$H390,8,0)</f>
        <v>卓典食品科技（江苏）有限公司</v>
      </c>
      <c r="D147" s="44" t="str">
        <f>VLOOKUP($A147,订货1!$A147:$B390,2,0)</f>
        <v>原汤粉（YT）</v>
      </c>
      <c r="E147" s="44" t="str">
        <f>VLOOKUP($A147,订货1!$A147:$E390,5,0)</f>
        <v>203.4g*5小包*20</v>
      </c>
      <c r="F147" s="49" t="str">
        <f>VLOOKUP($A147,订货1!$A147:$F390,6,0)</f>
        <v>箱</v>
      </c>
      <c r="G147" s="203"/>
      <c r="H147" s="56">
        <f t="shared" si="40"/>
        <v>1</v>
      </c>
      <c r="I147" s="196"/>
      <c r="J147" s="113"/>
      <c r="K147" s="113"/>
      <c r="L147" s="196"/>
      <c r="M147" s="113"/>
      <c r="N147" s="113"/>
      <c r="O147" s="62">
        <f>订货1!AB147</f>
        <v>1</v>
      </c>
      <c r="P147" s="113"/>
      <c r="Q147" s="113"/>
      <c r="R147" s="62">
        <f>订货1!AC147</f>
        <v>0</v>
      </c>
      <c r="S147" s="113"/>
      <c r="T147" s="113"/>
      <c r="U147" s="62">
        <f>订货1!AD147</f>
        <v>0</v>
      </c>
      <c r="V147" s="113"/>
      <c r="W147" s="113"/>
      <c r="X147" s="62">
        <f>订货1!AE147</f>
        <v>0</v>
      </c>
      <c r="Y147" s="113"/>
      <c r="Z147" s="113"/>
      <c r="AA147" s="62">
        <f>订货1!AF147</f>
        <v>0</v>
      </c>
      <c r="AB147" s="113"/>
      <c r="AC147" s="113"/>
      <c r="AD147" s="62">
        <f>订货1!AG147</f>
        <v>0</v>
      </c>
      <c r="AE147" s="113"/>
      <c r="AF147" s="113"/>
      <c r="AG147" s="62">
        <f>订货1!AH147</f>
        <v>0</v>
      </c>
      <c r="AH147" s="113"/>
      <c r="AI147" s="113"/>
      <c r="AJ147" s="62">
        <f>订货1!AI147</f>
        <v>0</v>
      </c>
      <c r="AK147" s="113"/>
      <c r="AL147" s="113"/>
      <c r="AM147" s="62">
        <f>订货1!AJ147</f>
        <v>0</v>
      </c>
      <c r="AN147" s="113"/>
      <c r="AO147" s="113"/>
      <c r="AP147" s="62">
        <f>订货1!AK147</f>
        <v>0</v>
      </c>
      <c r="AQ147" s="113"/>
      <c r="AR147" s="113"/>
      <c r="AS147" s="62">
        <f>订货1!AL147</f>
        <v>0</v>
      </c>
      <c r="AT147" s="113"/>
      <c r="AU147" s="113"/>
      <c r="AV147" s="62">
        <f>订货1!AM147</f>
        <v>0</v>
      </c>
      <c r="AW147" s="113"/>
      <c r="AX147" s="113"/>
      <c r="AY147" s="62">
        <f>订货1!AN147</f>
        <v>0</v>
      </c>
      <c r="AZ147" s="113"/>
      <c r="BA147" s="113"/>
      <c r="BB147" s="62">
        <f>订货1!AO147</f>
        <v>0</v>
      </c>
      <c r="BC147" s="113"/>
      <c r="BD147" s="113"/>
      <c r="BE147" s="62">
        <f>订货1!AP147</f>
        <v>0</v>
      </c>
      <c r="BF147" s="113"/>
      <c r="BG147" s="113"/>
      <c r="BH147" s="62">
        <f>订货1!AQ147</f>
        <v>0</v>
      </c>
      <c r="BI147" s="113"/>
      <c r="BJ147" s="113"/>
      <c r="BK147" s="62">
        <f>订货1!AR147</f>
        <v>0</v>
      </c>
      <c r="BL147" s="113"/>
      <c r="BM147" s="113"/>
      <c r="BN147" s="62">
        <f>订货1!AS147</f>
        <v>0</v>
      </c>
      <c r="BO147" s="113"/>
      <c r="BP147" s="113"/>
      <c r="BQ147" s="62">
        <f>订货1!AT147</f>
        <v>0</v>
      </c>
      <c r="BR147" s="113"/>
      <c r="BS147" s="113"/>
      <c r="BT147" s="62">
        <f>订货1!AU147</f>
        <v>0</v>
      </c>
      <c r="BU147" s="113"/>
      <c r="BV147" s="113"/>
      <c r="BW147" s="62">
        <f>订货1!AV147</f>
        <v>0</v>
      </c>
      <c r="BX147" s="113"/>
      <c r="BY147" s="113"/>
      <c r="BZ147" s="62">
        <f>订货1!AW147</f>
        <v>0</v>
      </c>
      <c r="CA147" s="113"/>
      <c r="CB147" s="113"/>
      <c r="CC147" s="62">
        <f>订货1!AX147</f>
        <v>0</v>
      </c>
      <c r="CD147" s="113"/>
      <c r="CE147" s="113"/>
      <c r="CF147" s="62">
        <f>订货1!AY147</f>
        <v>0</v>
      </c>
      <c r="CG147" s="113"/>
      <c r="CH147" s="113"/>
      <c r="CI147" s="62">
        <f>订货1!AZ147</f>
        <v>0</v>
      </c>
      <c r="CJ147" s="113"/>
      <c r="CK147" s="113"/>
      <c r="CL147" s="62">
        <f>订货1!BA147</f>
        <v>0</v>
      </c>
      <c r="CM147" s="113"/>
      <c r="CN147" s="113"/>
      <c r="CO147" s="62">
        <f>订货1!BB147</f>
        <v>0</v>
      </c>
      <c r="CP147" s="113"/>
      <c r="CQ147" s="113"/>
      <c r="CR147" s="62">
        <f>订货1!BC147</f>
        <v>0</v>
      </c>
      <c r="CS147" s="113"/>
      <c r="CT147" s="113"/>
      <c r="CU147" s="62">
        <f>订货1!BD147</f>
        <v>0</v>
      </c>
      <c r="CV147" s="113"/>
      <c r="CW147" s="113"/>
      <c r="CX147" s="62">
        <f>订货1!BE147</f>
        <v>0</v>
      </c>
      <c r="CY147" s="113"/>
      <c r="CZ147" s="113"/>
      <c r="DA147" s="62">
        <f>订货1!BF147</f>
        <v>0</v>
      </c>
      <c r="DB147" s="113"/>
      <c r="DC147" s="113"/>
      <c r="DD147" s="208">
        <v>0</v>
      </c>
      <c r="DE147" s="110" t="e">
        <f t="shared" si="38"/>
        <v>#DIV/0!</v>
      </c>
      <c r="DF147" s="52">
        <f t="shared" si="37"/>
        <v>1</v>
      </c>
      <c r="DG147" s="32" t="str">
        <f>订货1!$Q147</f>
        <v>箱</v>
      </c>
      <c r="DH147" s="209" t="e">
        <f t="shared" si="39"/>
        <v>#DIV/0!</v>
      </c>
    </row>
    <row r="148" spans="1:112" ht="15" customHeight="1">
      <c r="A148" s="48">
        <f>订货1!A148</f>
        <v>101034</v>
      </c>
      <c r="B148" s="44" t="str">
        <f>VLOOKUP($A148,订货1!$A148:$G391,7,0)</f>
        <v>卓典食品科技（江苏）有限公司</v>
      </c>
      <c r="C148" s="44" t="str">
        <f>VLOOKUP($A148,订货1!$A148:$H391,8,0)</f>
        <v>卓典食品科技（江苏）有限公司</v>
      </c>
      <c r="D148" s="44" t="str">
        <f>VLOOKUP($A148,订货1!$A148:$B391,2,0)</f>
        <v>牛排粉NPF</v>
      </c>
      <c r="E148" s="44" t="str">
        <f>VLOOKUP($A148,订货1!$A148:$E391,5,0)</f>
        <v>1kg</v>
      </c>
      <c r="F148" s="49" t="str">
        <f>VLOOKUP($A148,订货1!$A148:$F391,6,0)</f>
        <v>袋</v>
      </c>
      <c r="G148" s="203"/>
      <c r="H148" s="56">
        <f t="shared" si="40"/>
        <v>5</v>
      </c>
      <c r="I148" s="196"/>
      <c r="J148" s="113"/>
      <c r="K148" s="113"/>
      <c r="L148" s="196"/>
      <c r="M148" s="113"/>
      <c r="N148" s="113"/>
      <c r="O148" s="62">
        <f>订货1!AB148</f>
        <v>0</v>
      </c>
      <c r="P148" s="113"/>
      <c r="Q148" s="113"/>
      <c r="R148" s="62">
        <f>订货1!AC148</f>
        <v>1</v>
      </c>
      <c r="S148" s="113"/>
      <c r="T148" s="113"/>
      <c r="U148" s="62">
        <f>订货1!AD148</f>
        <v>0</v>
      </c>
      <c r="V148" s="113"/>
      <c r="W148" s="113"/>
      <c r="X148" s="62">
        <f>订货1!AE148</f>
        <v>0</v>
      </c>
      <c r="Y148" s="113"/>
      <c r="Z148" s="113"/>
      <c r="AA148" s="62">
        <f>订货1!AF148</f>
        <v>1</v>
      </c>
      <c r="AB148" s="113"/>
      <c r="AC148" s="113"/>
      <c r="AD148" s="62">
        <f>订货1!AG148</f>
        <v>0</v>
      </c>
      <c r="AE148" s="113"/>
      <c r="AF148" s="113"/>
      <c r="AG148" s="62">
        <f>订货1!AH148</f>
        <v>1</v>
      </c>
      <c r="AH148" s="113"/>
      <c r="AI148" s="113"/>
      <c r="AJ148" s="62">
        <f>订货1!AI148</f>
        <v>0</v>
      </c>
      <c r="AK148" s="113"/>
      <c r="AL148" s="113"/>
      <c r="AM148" s="62">
        <f>订货1!AJ148</f>
        <v>0</v>
      </c>
      <c r="AN148" s="113"/>
      <c r="AO148" s="113"/>
      <c r="AP148" s="62">
        <f>订货1!AK148</f>
        <v>0</v>
      </c>
      <c r="AQ148" s="113"/>
      <c r="AR148" s="113"/>
      <c r="AS148" s="62">
        <f>订货1!AL148</f>
        <v>0</v>
      </c>
      <c r="AT148" s="113"/>
      <c r="AU148" s="113"/>
      <c r="AV148" s="62">
        <f>订货1!AM148</f>
        <v>1</v>
      </c>
      <c r="AW148" s="113"/>
      <c r="AX148" s="113"/>
      <c r="AY148" s="62">
        <f>订货1!AN148</f>
        <v>0</v>
      </c>
      <c r="AZ148" s="113"/>
      <c r="BA148" s="113"/>
      <c r="BB148" s="62">
        <f>订货1!AO148</f>
        <v>1</v>
      </c>
      <c r="BC148" s="113"/>
      <c r="BD148" s="113"/>
      <c r="BE148" s="62">
        <f>订货1!AP148</f>
        <v>0</v>
      </c>
      <c r="BF148" s="113"/>
      <c r="BG148" s="113"/>
      <c r="BH148" s="62">
        <f>订货1!AQ148</f>
        <v>0</v>
      </c>
      <c r="BI148" s="113"/>
      <c r="BJ148" s="113"/>
      <c r="BK148" s="62">
        <f>订货1!AR148</f>
        <v>0</v>
      </c>
      <c r="BL148" s="113"/>
      <c r="BM148" s="113"/>
      <c r="BN148" s="62">
        <f>订货1!AS148</f>
        <v>0</v>
      </c>
      <c r="BO148" s="113"/>
      <c r="BP148" s="113"/>
      <c r="BQ148" s="62">
        <f>订货1!AT148</f>
        <v>0</v>
      </c>
      <c r="BR148" s="113"/>
      <c r="BS148" s="113"/>
      <c r="BT148" s="62">
        <f>订货1!AU148</f>
        <v>0</v>
      </c>
      <c r="BU148" s="113"/>
      <c r="BV148" s="113"/>
      <c r="BW148" s="62">
        <f>订货1!AV148</f>
        <v>0</v>
      </c>
      <c r="BX148" s="113"/>
      <c r="BY148" s="113"/>
      <c r="BZ148" s="62">
        <f>订货1!AW148</f>
        <v>0</v>
      </c>
      <c r="CA148" s="113"/>
      <c r="CB148" s="113"/>
      <c r="CC148" s="62">
        <f>订货1!AX148</f>
        <v>0</v>
      </c>
      <c r="CD148" s="113"/>
      <c r="CE148" s="113"/>
      <c r="CF148" s="62">
        <f>订货1!AY148</f>
        <v>0</v>
      </c>
      <c r="CG148" s="113"/>
      <c r="CH148" s="113"/>
      <c r="CI148" s="62">
        <f>订货1!AZ148</f>
        <v>0</v>
      </c>
      <c r="CJ148" s="113"/>
      <c r="CK148" s="113"/>
      <c r="CL148" s="62">
        <f>订货1!BA148</f>
        <v>0</v>
      </c>
      <c r="CM148" s="113"/>
      <c r="CN148" s="113"/>
      <c r="CO148" s="62">
        <f>订货1!BB148</f>
        <v>0</v>
      </c>
      <c r="CP148" s="113"/>
      <c r="CQ148" s="113"/>
      <c r="CR148" s="62">
        <f>订货1!BC148</f>
        <v>0</v>
      </c>
      <c r="CS148" s="113"/>
      <c r="CT148" s="113"/>
      <c r="CU148" s="62">
        <f>订货1!BD148</f>
        <v>0</v>
      </c>
      <c r="CV148" s="113"/>
      <c r="CW148" s="113"/>
      <c r="CX148" s="62">
        <f>订货1!BE148</f>
        <v>0</v>
      </c>
      <c r="CY148" s="113"/>
      <c r="CZ148" s="113"/>
      <c r="DA148" s="62">
        <f>订货1!BF148</f>
        <v>0</v>
      </c>
      <c r="DB148" s="113"/>
      <c r="DC148" s="113"/>
      <c r="DD148" s="208">
        <v>0</v>
      </c>
      <c r="DE148" s="110" t="e">
        <f t="shared" si="38"/>
        <v>#DIV/0!</v>
      </c>
      <c r="DF148" s="52">
        <f t="shared" si="37"/>
        <v>5</v>
      </c>
      <c r="DG148" s="32" t="str">
        <f>订货1!$Q148</f>
        <v>袋</v>
      </c>
      <c r="DH148" s="209" t="e">
        <f t="shared" si="39"/>
        <v>#DIV/0!</v>
      </c>
    </row>
    <row r="149" spans="1:112" ht="15" customHeight="1">
      <c r="A149" s="48">
        <f>订货1!A149</f>
        <v>101718</v>
      </c>
      <c r="B149" s="44" t="str">
        <f>VLOOKUP($A149,订货1!$A149:$G392,7,0)</f>
        <v>山東三涛食品有限公司</v>
      </c>
      <c r="C149" s="44" t="str">
        <f>VLOOKUP($A149,订货1!$A149:$H392,8,0)</f>
        <v>山東三涛食品有限公司</v>
      </c>
      <c r="D149" s="44" t="str">
        <f>VLOOKUP($A149,订货1!$A149:$B392,2,0)</f>
        <v>冷冻薯块</v>
      </c>
      <c r="E149" s="44" t="str">
        <f>VLOOKUP($A149,订货1!$A149:$E392,5,0)</f>
        <v>1kg*10pc</v>
      </c>
      <c r="F149" s="49" t="str">
        <f>VLOOKUP($A149,订货1!$A149:$F392,6,0)</f>
        <v>箱</v>
      </c>
      <c r="G149" s="203"/>
      <c r="H149" s="56">
        <f t="shared" si="40"/>
        <v>0</v>
      </c>
      <c r="I149" s="196"/>
      <c r="J149" s="113"/>
      <c r="K149" s="113"/>
      <c r="L149" s="196"/>
      <c r="M149" s="113"/>
      <c r="N149" s="113"/>
      <c r="O149" s="62">
        <f>订货1!AB149</f>
        <v>0</v>
      </c>
      <c r="P149" s="113"/>
      <c r="Q149" s="113"/>
      <c r="R149" s="62">
        <f>订货1!AC149</f>
        <v>0</v>
      </c>
      <c r="S149" s="113"/>
      <c r="T149" s="113"/>
      <c r="U149" s="62">
        <f>订货1!AD149</f>
        <v>0</v>
      </c>
      <c r="V149" s="113"/>
      <c r="W149" s="113"/>
      <c r="X149" s="62">
        <f>订货1!AE149</f>
        <v>0</v>
      </c>
      <c r="Y149" s="113"/>
      <c r="Z149" s="113"/>
      <c r="AA149" s="62">
        <f>订货1!AF149</f>
        <v>0</v>
      </c>
      <c r="AB149" s="113"/>
      <c r="AC149" s="113"/>
      <c r="AD149" s="62">
        <f>订货1!AG149</f>
        <v>0</v>
      </c>
      <c r="AE149" s="113"/>
      <c r="AF149" s="113"/>
      <c r="AG149" s="62">
        <f>订货1!AH149</f>
        <v>0</v>
      </c>
      <c r="AH149" s="113"/>
      <c r="AI149" s="113"/>
      <c r="AJ149" s="62">
        <f>订货1!AI149</f>
        <v>0</v>
      </c>
      <c r="AK149" s="113"/>
      <c r="AL149" s="113"/>
      <c r="AM149" s="62">
        <f>订货1!AJ149</f>
        <v>0</v>
      </c>
      <c r="AN149" s="113"/>
      <c r="AO149" s="113"/>
      <c r="AP149" s="62">
        <f>订货1!AK149</f>
        <v>0</v>
      </c>
      <c r="AQ149" s="113"/>
      <c r="AR149" s="113"/>
      <c r="AS149" s="62">
        <f>订货1!AL149</f>
        <v>0</v>
      </c>
      <c r="AT149" s="113"/>
      <c r="AU149" s="113"/>
      <c r="AV149" s="62">
        <f>订货1!AM149</f>
        <v>0</v>
      </c>
      <c r="AW149" s="113"/>
      <c r="AX149" s="113"/>
      <c r="AY149" s="62">
        <f>订货1!AN149</f>
        <v>0</v>
      </c>
      <c r="AZ149" s="113"/>
      <c r="BA149" s="113"/>
      <c r="BB149" s="62">
        <f>订货1!AO149</f>
        <v>0</v>
      </c>
      <c r="BC149" s="113"/>
      <c r="BD149" s="113"/>
      <c r="BE149" s="62">
        <f>订货1!AP149</f>
        <v>0</v>
      </c>
      <c r="BF149" s="113"/>
      <c r="BG149" s="113"/>
      <c r="BH149" s="62">
        <f>订货1!AQ149</f>
        <v>0</v>
      </c>
      <c r="BI149" s="113"/>
      <c r="BJ149" s="113"/>
      <c r="BK149" s="62">
        <f>订货1!AR149</f>
        <v>0</v>
      </c>
      <c r="BL149" s="113"/>
      <c r="BM149" s="113"/>
      <c r="BN149" s="62">
        <f>订货1!AS149</f>
        <v>0</v>
      </c>
      <c r="BO149" s="113"/>
      <c r="BP149" s="113"/>
      <c r="BQ149" s="62">
        <f>订货1!AT149</f>
        <v>0</v>
      </c>
      <c r="BR149" s="113"/>
      <c r="BS149" s="113"/>
      <c r="BT149" s="62">
        <f>订货1!AU149</f>
        <v>0</v>
      </c>
      <c r="BU149" s="113"/>
      <c r="BV149" s="113"/>
      <c r="BW149" s="62">
        <f>订货1!AV149</f>
        <v>0</v>
      </c>
      <c r="BX149" s="113"/>
      <c r="BY149" s="113"/>
      <c r="BZ149" s="62">
        <f>订货1!AW149</f>
        <v>0</v>
      </c>
      <c r="CA149" s="113"/>
      <c r="CB149" s="113"/>
      <c r="CC149" s="62">
        <f>订货1!AX149</f>
        <v>0</v>
      </c>
      <c r="CD149" s="113"/>
      <c r="CE149" s="113"/>
      <c r="CF149" s="62">
        <f>订货1!AY149</f>
        <v>0</v>
      </c>
      <c r="CG149" s="113"/>
      <c r="CH149" s="113"/>
      <c r="CI149" s="62">
        <f>订货1!AZ149</f>
        <v>0</v>
      </c>
      <c r="CJ149" s="113"/>
      <c r="CK149" s="113"/>
      <c r="CL149" s="62">
        <f>订货1!BA149</f>
        <v>0</v>
      </c>
      <c r="CM149" s="113"/>
      <c r="CN149" s="113"/>
      <c r="CO149" s="62">
        <f>订货1!BB149</f>
        <v>0</v>
      </c>
      <c r="CP149" s="113"/>
      <c r="CQ149" s="113"/>
      <c r="CR149" s="62">
        <f>订货1!BC149</f>
        <v>0</v>
      </c>
      <c r="CS149" s="113"/>
      <c r="CT149" s="113"/>
      <c r="CU149" s="62">
        <f>订货1!BD149</f>
        <v>0</v>
      </c>
      <c r="CV149" s="113"/>
      <c r="CW149" s="113"/>
      <c r="CX149" s="62">
        <f>订货1!BE149</f>
        <v>0</v>
      </c>
      <c r="CY149" s="113"/>
      <c r="CZ149" s="113"/>
      <c r="DA149" s="62">
        <f>订货1!BF149</f>
        <v>0</v>
      </c>
      <c r="DB149" s="113"/>
      <c r="DC149" s="113"/>
      <c r="DD149" s="208">
        <v>0</v>
      </c>
      <c r="DE149" s="110" t="e">
        <f t="shared" si="38"/>
        <v>#DIV/0!</v>
      </c>
      <c r="DF149" s="52">
        <f t="shared" si="37"/>
        <v>0</v>
      </c>
      <c r="DG149" s="32" t="str">
        <f>订货1!$Q149</f>
        <v>箱</v>
      </c>
      <c r="DH149" s="209" t="e">
        <f t="shared" si="39"/>
        <v>#DIV/0!</v>
      </c>
    </row>
    <row r="150" spans="1:112" ht="15" customHeight="1">
      <c r="A150" s="48">
        <f>订货1!A150</f>
        <v>101719</v>
      </c>
      <c r="B150" s="44" t="str">
        <f>VLOOKUP($A150,订货1!$A150:$G393,7,0)</f>
        <v>上海蓬澜食品有限公司</v>
      </c>
      <c r="C150" s="44" t="str">
        <f>VLOOKUP($A150,订货1!$A150:$H393,8,0)</f>
        <v>三旺实业有限公司</v>
      </c>
      <c r="D150" s="44" t="str">
        <f>VLOOKUP($A150,订货1!$A150:$B393,2,0)</f>
        <v>经典辣肠</v>
      </c>
      <c r="E150" s="44" t="str">
        <f>VLOOKUP($A150,订货1!$A150:$E393,5,0)</f>
        <v>1kg*10pkt</v>
      </c>
      <c r="F150" s="49" t="str">
        <f>VLOOKUP($A150,订货1!$A150:$F393,6,0)</f>
        <v>箱</v>
      </c>
      <c r="G150" s="203"/>
      <c r="H150" s="56">
        <f t="shared" si="40"/>
        <v>0</v>
      </c>
      <c r="I150" s="196"/>
      <c r="J150" s="113"/>
      <c r="K150" s="113"/>
      <c r="L150" s="196"/>
      <c r="M150" s="113"/>
      <c r="N150" s="113"/>
      <c r="O150" s="62">
        <f>订货1!AB150</f>
        <v>0</v>
      </c>
      <c r="P150" s="113"/>
      <c r="Q150" s="113"/>
      <c r="R150" s="62">
        <f>订货1!AC150</f>
        <v>0</v>
      </c>
      <c r="S150" s="113"/>
      <c r="T150" s="113"/>
      <c r="U150" s="62">
        <f>订货1!AD150</f>
        <v>0</v>
      </c>
      <c r="V150" s="113"/>
      <c r="W150" s="113"/>
      <c r="X150" s="62">
        <f>订货1!AE150</f>
        <v>0</v>
      </c>
      <c r="Y150" s="113"/>
      <c r="Z150" s="113"/>
      <c r="AA150" s="62">
        <f>订货1!AF150</f>
        <v>0</v>
      </c>
      <c r="AB150" s="113"/>
      <c r="AC150" s="113"/>
      <c r="AD150" s="62">
        <f>订货1!AG150</f>
        <v>0</v>
      </c>
      <c r="AE150" s="113"/>
      <c r="AF150" s="113"/>
      <c r="AG150" s="62">
        <f>订货1!AH150</f>
        <v>0</v>
      </c>
      <c r="AH150" s="113"/>
      <c r="AI150" s="113"/>
      <c r="AJ150" s="62">
        <f>订货1!AI150</f>
        <v>0</v>
      </c>
      <c r="AK150" s="113"/>
      <c r="AL150" s="113"/>
      <c r="AM150" s="62">
        <f>订货1!AJ150</f>
        <v>0</v>
      </c>
      <c r="AN150" s="113"/>
      <c r="AO150" s="113"/>
      <c r="AP150" s="62">
        <f>订货1!AK150</f>
        <v>0</v>
      </c>
      <c r="AQ150" s="113"/>
      <c r="AR150" s="113"/>
      <c r="AS150" s="62">
        <f>订货1!AL150</f>
        <v>0</v>
      </c>
      <c r="AT150" s="113"/>
      <c r="AU150" s="113"/>
      <c r="AV150" s="62">
        <f>订货1!AM150</f>
        <v>0</v>
      </c>
      <c r="AW150" s="113"/>
      <c r="AX150" s="113"/>
      <c r="AY150" s="62">
        <f>订货1!AN150</f>
        <v>0</v>
      </c>
      <c r="AZ150" s="113"/>
      <c r="BA150" s="113"/>
      <c r="BB150" s="62">
        <f>订货1!AO150</f>
        <v>0</v>
      </c>
      <c r="BC150" s="113"/>
      <c r="BD150" s="113"/>
      <c r="BE150" s="62">
        <f>订货1!AP150</f>
        <v>0</v>
      </c>
      <c r="BF150" s="113"/>
      <c r="BG150" s="113"/>
      <c r="BH150" s="62">
        <f>订货1!AQ150</f>
        <v>0</v>
      </c>
      <c r="BI150" s="113"/>
      <c r="BJ150" s="113"/>
      <c r="BK150" s="62">
        <f>订货1!AR150</f>
        <v>0</v>
      </c>
      <c r="BL150" s="113"/>
      <c r="BM150" s="113"/>
      <c r="BN150" s="62">
        <f>订货1!AS150</f>
        <v>0</v>
      </c>
      <c r="BO150" s="113"/>
      <c r="BP150" s="113"/>
      <c r="BQ150" s="62">
        <f>订货1!AT150</f>
        <v>0</v>
      </c>
      <c r="BR150" s="113"/>
      <c r="BS150" s="113"/>
      <c r="BT150" s="62">
        <f>订货1!AU150</f>
        <v>0</v>
      </c>
      <c r="BU150" s="113"/>
      <c r="BV150" s="113"/>
      <c r="BW150" s="62">
        <f>订货1!AV150</f>
        <v>0</v>
      </c>
      <c r="BX150" s="113"/>
      <c r="BY150" s="113"/>
      <c r="BZ150" s="62">
        <f>订货1!AW150</f>
        <v>0</v>
      </c>
      <c r="CA150" s="113"/>
      <c r="CB150" s="113"/>
      <c r="CC150" s="62">
        <f>订货1!AX150</f>
        <v>0</v>
      </c>
      <c r="CD150" s="113"/>
      <c r="CE150" s="113"/>
      <c r="CF150" s="62">
        <f>订货1!AY150</f>
        <v>0</v>
      </c>
      <c r="CG150" s="113"/>
      <c r="CH150" s="113"/>
      <c r="CI150" s="62">
        <f>订货1!AZ150</f>
        <v>0</v>
      </c>
      <c r="CJ150" s="113"/>
      <c r="CK150" s="113"/>
      <c r="CL150" s="62">
        <f>订货1!BA150</f>
        <v>0</v>
      </c>
      <c r="CM150" s="113"/>
      <c r="CN150" s="113"/>
      <c r="CO150" s="62">
        <f>订货1!BB150</f>
        <v>0</v>
      </c>
      <c r="CP150" s="113"/>
      <c r="CQ150" s="113"/>
      <c r="CR150" s="62">
        <f>订货1!BC150</f>
        <v>0</v>
      </c>
      <c r="CS150" s="113"/>
      <c r="CT150" s="113"/>
      <c r="CU150" s="62">
        <f>订货1!BD150</f>
        <v>0</v>
      </c>
      <c r="CV150" s="113"/>
      <c r="CW150" s="113"/>
      <c r="CX150" s="62">
        <f>订货1!BE150</f>
        <v>0</v>
      </c>
      <c r="CY150" s="113"/>
      <c r="CZ150" s="113"/>
      <c r="DA150" s="62">
        <f>订货1!BF150</f>
        <v>0</v>
      </c>
      <c r="DB150" s="113"/>
      <c r="DC150" s="113"/>
      <c r="DD150" s="208">
        <v>0</v>
      </c>
      <c r="DE150" s="110" t="e">
        <f t="shared" si="38"/>
        <v>#DIV/0!</v>
      </c>
      <c r="DF150" s="52">
        <f t="shared" si="37"/>
        <v>0</v>
      </c>
      <c r="DG150" s="32" t="str">
        <f>订货1!$Q150</f>
        <v>箱</v>
      </c>
      <c r="DH150" s="209" t="e">
        <f t="shared" si="39"/>
        <v>#DIV/0!</v>
      </c>
    </row>
    <row r="151" spans="1:112" ht="15" customHeight="1">
      <c r="A151" s="48">
        <f>订货1!A151</f>
        <v>101720</v>
      </c>
      <c r="B151" s="44" t="str">
        <f>VLOOKUP($A151,订货1!$A151:$G394,7,0)</f>
        <v>上海香尚香食品有限公司</v>
      </c>
      <c r="C151" s="44" t="str">
        <f>VLOOKUP($A151,订货1!$A151:$H394,8,0)</f>
        <v>上海香尚香食品有限公司</v>
      </c>
      <c r="D151" s="44" t="str">
        <f>VLOOKUP($A151,订货1!$A151:$B394,2,0)</f>
        <v>黑松露风味酱</v>
      </c>
      <c r="E151" s="44" t="str">
        <f>VLOOKUP($A151,订货1!$A151:$E394,5,0)</f>
        <v>0.2kg*20pc</v>
      </c>
      <c r="F151" s="49" t="str">
        <f>VLOOKUP($A151,订货1!$A151:$F394,6,0)</f>
        <v>箱</v>
      </c>
      <c r="G151" s="203"/>
      <c r="H151" s="56">
        <f t="shared" si="40"/>
        <v>0</v>
      </c>
      <c r="I151" s="196"/>
      <c r="J151" s="113"/>
      <c r="K151" s="113"/>
      <c r="L151" s="196"/>
      <c r="M151" s="113"/>
      <c r="N151" s="113"/>
      <c r="O151" s="62">
        <f>订货1!AB151</f>
        <v>0</v>
      </c>
      <c r="P151" s="113"/>
      <c r="Q151" s="113"/>
      <c r="R151" s="62">
        <f>订货1!AC151</f>
        <v>0</v>
      </c>
      <c r="S151" s="113"/>
      <c r="T151" s="113"/>
      <c r="U151" s="62">
        <f>订货1!AD151</f>
        <v>0</v>
      </c>
      <c r="V151" s="113"/>
      <c r="W151" s="113"/>
      <c r="X151" s="62">
        <f>订货1!AE151</f>
        <v>0</v>
      </c>
      <c r="Y151" s="113"/>
      <c r="Z151" s="113"/>
      <c r="AA151" s="62">
        <f>订货1!AF151</f>
        <v>0</v>
      </c>
      <c r="AB151" s="113"/>
      <c r="AC151" s="113"/>
      <c r="AD151" s="62">
        <f>订货1!AG151</f>
        <v>0</v>
      </c>
      <c r="AE151" s="113"/>
      <c r="AF151" s="113"/>
      <c r="AG151" s="62">
        <f>订货1!AH151</f>
        <v>0</v>
      </c>
      <c r="AH151" s="113"/>
      <c r="AI151" s="113"/>
      <c r="AJ151" s="62">
        <f>订货1!AI151</f>
        <v>0</v>
      </c>
      <c r="AK151" s="113"/>
      <c r="AL151" s="113"/>
      <c r="AM151" s="62">
        <f>订货1!AJ151</f>
        <v>0</v>
      </c>
      <c r="AN151" s="113"/>
      <c r="AO151" s="113"/>
      <c r="AP151" s="62">
        <f>订货1!AK151</f>
        <v>0</v>
      </c>
      <c r="AQ151" s="113"/>
      <c r="AR151" s="113"/>
      <c r="AS151" s="62">
        <f>订货1!AL151</f>
        <v>0</v>
      </c>
      <c r="AT151" s="113"/>
      <c r="AU151" s="113"/>
      <c r="AV151" s="62">
        <f>订货1!AM151</f>
        <v>0</v>
      </c>
      <c r="AW151" s="113"/>
      <c r="AX151" s="113"/>
      <c r="AY151" s="62">
        <f>订货1!AN151</f>
        <v>0</v>
      </c>
      <c r="AZ151" s="113"/>
      <c r="BA151" s="113"/>
      <c r="BB151" s="62">
        <f>订货1!AO151</f>
        <v>0</v>
      </c>
      <c r="BC151" s="113"/>
      <c r="BD151" s="113"/>
      <c r="BE151" s="62">
        <f>订货1!AP151</f>
        <v>0</v>
      </c>
      <c r="BF151" s="113"/>
      <c r="BG151" s="113"/>
      <c r="BH151" s="62">
        <f>订货1!AQ151</f>
        <v>0</v>
      </c>
      <c r="BI151" s="113"/>
      <c r="BJ151" s="113"/>
      <c r="BK151" s="62">
        <f>订货1!AR151</f>
        <v>0</v>
      </c>
      <c r="BL151" s="113"/>
      <c r="BM151" s="113"/>
      <c r="BN151" s="62">
        <f>订货1!AS151</f>
        <v>0</v>
      </c>
      <c r="BO151" s="113"/>
      <c r="BP151" s="113"/>
      <c r="BQ151" s="62">
        <f>订货1!AT151</f>
        <v>0</v>
      </c>
      <c r="BR151" s="113"/>
      <c r="BS151" s="113"/>
      <c r="BT151" s="62">
        <f>订货1!AU151</f>
        <v>0</v>
      </c>
      <c r="BU151" s="113"/>
      <c r="BV151" s="113"/>
      <c r="BW151" s="62">
        <f>订货1!AV151</f>
        <v>0</v>
      </c>
      <c r="BX151" s="113"/>
      <c r="BY151" s="113"/>
      <c r="BZ151" s="62">
        <f>订货1!AW151</f>
        <v>0</v>
      </c>
      <c r="CA151" s="113"/>
      <c r="CB151" s="113"/>
      <c r="CC151" s="62">
        <f>订货1!AX151</f>
        <v>0</v>
      </c>
      <c r="CD151" s="113"/>
      <c r="CE151" s="113"/>
      <c r="CF151" s="62">
        <f>订货1!AY151</f>
        <v>0</v>
      </c>
      <c r="CG151" s="113"/>
      <c r="CH151" s="113"/>
      <c r="CI151" s="62">
        <f>订货1!AZ151</f>
        <v>0</v>
      </c>
      <c r="CJ151" s="113"/>
      <c r="CK151" s="113"/>
      <c r="CL151" s="62">
        <f>订货1!BA151</f>
        <v>0</v>
      </c>
      <c r="CM151" s="113"/>
      <c r="CN151" s="113"/>
      <c r="CO151" s="62">
        <f>订货1!BB151</f>
        <v>0</v>
      </c>
      <c r="CP151" s="113"/>
      <c r="CQ151" s="113"/>
      <c r="CR151" s="62">
        <f>订货1!BC151</f>
        <v>0</v>
      </c>
      <c r="CS151" s="113"/>
      <c r="CT151" s="113"/>
      <c r="CU151" s="62">
        <f>订货1!BD151</f>
        <v>0</v>
      </c>
      <c r="CV151" s="113"/>
      <c r="CW151" s="113"/>
      <c r="CX151" s="62">
        <f>订货1!BE151</f>
        <v>0</v>
      </c>
      <c r="CY151" s="113"/>
      <c r="CZ151" s="113"/>
      <c r="DA151" s="62">
        <f>订货1!BF151</f>
        <v>0</v>
      </c>
      <c r="DB151" s="113"/>
      <c r="DC151" s="113"/>
      <c r="DD151" s="208">
        <v>0</v>
      </c>
      <c r="DE151" s="110" t="e">
        <f t="shared" si="38"/>
        <v>#DIV/0!</v>
      </c>
      <c r="DF151" s="52">
        <f t="shared" si="37"/>
        <v>0</v>
      </c>
      <c r="DG151" s="32" t="str">
        <f>订货1!$Q151</f>
        <v>箱</v>
      </c>
      <c r="DH151" s="209" t="e">
        <f t="shared" si="39"/>
        <v>#DIV/0!</v>
      </c>
    </row>
    <row r="152" spans="1:112" ht="15" customHeight="1">
      <c r="A152" s="48">
        <f>订货1!A152</f>
        <v>101721</v>
      </c>
      <c r="B152" s="44" t="str">
        <f>VLOOKUP($A152,订货1!$A152:$G395,7,0)</f>
        <v>上海宝立食品科技股份有限公司</v>
      </c>
      <c r="C152" s="44" t="str">
        <f>VLOOKUP($A152,订货1!$A152:$H395,8,0)</f>
        <v>浙江宝立食品科技有限公司</v>
      </c>
      <c r="D152" s="44" t="str">
        <f>VLOOKUP($A152,订货1!$A152:$B395,2,0)</f>
        <v>土豆泥</v>
      </c>
      <c r="E152" s="44" t="str">
        <f>VLOOKUP($A152,订货1!$A152:$E395,5,0)</f>
        <v>1kg*12pc</v>
      </c>
      <c r="F152" s="49" t="str">
        <f>VLOOKUP($A152,订货1!$A152:$F395,6,0)</f>
        <v>箱</v>
      </c>
      <c r="G152" s="203"/>
      <c r="H152" s="56">
        <f t="shared" si="40"/>
        <v>5</v>
      </c>
      <c r="I152" s="196"/>
      <c r="J152" s="113"/>
      <c r="K152" s="113"/>
      <c r="L152" s="196"/>
      <c r="M152" s="113"/>
      <c r="N152" s="113"/>
      <c r="O152" s="62">
        <f>订货1!AB152</f>
        <v>1</v>
      </c>
      <c r="P152" s="113"/>
      <c r="Q152" s="113"/>
      <c r="R152" s="62">
        <f>订货1!AC152</f>
        <v>0</v>
      </c>
      <c r="S152" s="113"/>
      <c r="T152" s="113"/>
      <c r="U152" s="62">
        <f>订货1!AD152</f>
        <v>0</v>
      </c>
      <c r="V152" s="113"/>
      <c r="W152" s="113"/>
      <c r="X152" s="62">
        <f>订货1!AE152</f>
        <v>0</v>
      </c>
      <c r="Y152" s="113"/>
      <c r="Z152" s="113"/>
      <c r="AA152" s="62">
        <f>订货1!AF152</f>
        <v>1</v>
      </c>
      <c r="AB152" s="113"/>
      <c r="AC152" s="113"/>
      <c r="AD152" s="62">
        <f>订货1!AG152</f>
        <v>0</v>
      </c>
      <c r="AE152" s="113"/>
      <c r="AF152" s="113"/>
      <c r="AG152" s="62">
        <f>订货1!AH152</f>
        <v>1</v>
      </c>
      <c r="AH152" s="113"/>
      <c r="AI152" s="113"/>
      <c r="AJ152" s="62">
        <f>订货1!AI152</f>
        <v>0</v>
      </c>
      <c r="AK152" s="113"/>
      <c r="AL152" s="113"/>
      <c r="AM152" s="62">
        <f>订货1!AJ152</f>
        <v>0</v>
      </c>
      <c r="AN152" s="113"/>
      <c r="AO152" s="113"/>
      <c r="AP152" s="62">
        <f>订货1!AK152</f>
        <v>0</v>
      </c>
      <c r="AQ152" s="113"/>
      <c r="AR152" s="113"/>
      <c r="AS152" s="62">
        <f>订货1!AL152</f>
        <v>0</v>
      </c>
      <c r="AT152" s="113"/>
      <c r="AU152" s="113"/>
      <c r="AV152" s="62">
        <f>订货1!AM152</f>
        <v>1</v>
      </c>
      <c r="AW152" s="113"/>
      <c r="AX152" s="113"/>
      <c r="AY152" s="62">
        <f>订货1!AN152</f>
        <v>0</v>
      </c>
      <c r="AZ152" s="113"/>
      <c r="BA152" s="113"/>
      <c r="BB152" s="62">
        <f>订货1!AO152</f>
        <v>1</v>
      </c>
      <c r="BC152" s="113"/>
      <c r="BD152" s="113"/>
      <c r="BE152" s="62">
        <f>订货1!AP152</f>
        <v>0</v>
      </c>
      <c r="BF152" s="113"/>
      <c r="BG152" s="113"/>
      <c r="BH152" s="62">
        <f>订货1!AQ152</f>
        <v>0</v>
      </c>
      <c r="BI152" s="113"/>
      <c r="BJ152" s="113"/>
      <c r="BK152" s="62">
        <f>订货1!AR152</f>
        <v>0</v>
      </c>
      <c r="BL152" s="113"/>
      <c r="BM152" s="113"/>
      <c r="BN152" s="62">
        <f>订货1!AS152</f>
        <v>0</v>
      </c>
      <c r="BO152" s="113"/>
      <c r="BP152" s="113"/>
      <c r="BQ152" s="62">
        <f>订货1!AT152</f>
        <v>0</v>
      </c>
      <c r="BR152" s="113"/>
      <c r="BS152" s="113"/>
      <c r="BT152" s="62">
        <f>订货1!AU152</f>
        <v>0</v>
      </c>
      <c r="BU152" s="113"/>
      <c r="BV152" s="113"/>
      <c r="BW152" s="62">
        <f>订货1!AV152</f>
        <v>0</v>
      </c>
      <c r="BX152" s="113"/>
      <c r="BY152" s="113"/>
      <c r="BZ152" s="62">
        <f>订货1!AW152</f>
        <v>0</v>
      </c>
      <c r="CA152" s="113"/>
      <c r="CB152" s="113"/>
      <c r="CC152" s="62">
        <f>订货1!AX152</f>
        <v>0</v>
      </c>
      <c r="CD152" s="113"/>
      <c r="CE152" s="113"/>
      <c r="CF152" s="62">
        <f>订货1!AY152</f>
        <v>0</v>
      </c>
      <c r="CG152" s="113"/>
      <c r="CH152" s="113"/>
      <c r="CI152" s="62">
        <f>订货1!AZ152</f>
        <v>0</v>
      </c>
      <c r="CJ152" s="113"/>
      <c r="CK152" s="113"/>
      <c r="CL152" s="62">
        <f>订货1!BA152</f>
        <v>0</v>
      </c>
      <c r="CM152" s="113"/>
      <c r="CN152" s="113"/>
      <c r="CO152" s="62">
        <f>订货1!BB152</f>
        <v>0</v>
      </c>
      <c r="CP152" s="113"/>
      <c r="CQ152" s="113"/>
      <c r="CR152" s="62">
        <f>订货1!BC152</f>
        <v>0</v>
      </c>
      <c r="CS152" s="113"/>
      <c r="CT152" s="113"/>
      <c r="CU152" s="62">
        <f>订货1!BD152</f>
        <v>0</v>
      </c>
      <c r="CV152" s="113"/>
      <c r="CW152" s="113"/>
      <c r="CX152" s="62">
        <f>订货1!BE152</f>
        <v>0</v>
      </c>
      <c r="CY152" s="113"/>
      <c r="CZ152" s="113"/>
      <c r="DA152" s="62">
        <f>订货1!BF152</f>
        <v>0</v>
      </c>
      <c r="DB152" s="113"/>
      <c r="DC152" s="113"/>
      <c r="DD152" s="208">
        <v>0</v>
      </c>
      <c r="DE152" s="110" t="e">
        <f t="shared" si="38"/>
        <v>#DIV/0!</v>
      </c>
      <c r="DF152" s="52">
        <f t="shared" si="37"/>
        <v>5</v>
      </c>
      <c r="DG152" s="32" t="str">
        <f>订货1!$Q152</f>
        <v>箱</v>
      </c>
      <c r="DH152" s="209" t="e">
        <f t="shared" si="39"/>
        <v>#DIV/0!</v>
      </c>
    </row>
    <row r="153" spans="1:112" ht="15" customHeight="1">
      <c r="A153" s="48">
        <f>订货1!A153</f>
        <v>101143</v>
      </c>
      <c r="B153" s="44" t="str">
        <f>VLOOKUP($A153,订货1!$A153:$G396,7,0)</f>
        <v>上海潜深实业有限公司</v>
      </c>
      <c r="C153" s="44" t="str">
        <f>VLOOKUP($A153,订货1!$A153:$H396,8,0)</f>
        <v>Mcllhenny Company</v>
      </c>
      <c r="D153" s="44" t="str">
        <f>VLOOKUP($A153,订货1!$A153:$B396,2,0)</f>
        <v>美国辣椒仔</v>
      </c>
      <c r="E153" s="44" t="str">
        <f>VLOOKUP($A153,订货1!$A153:$E396,5,0)</f>
        <v>60ml*12瓶</v>
      </c>
      <c r="F153" s="49" t="str">
        <f>VLOOKUP($A153,订货1!$A153:$F396,6,0)</f>
        <v>盒</v>
      </c>
      <c r="G153" s="203"/>
      <c r="H153" s="56">
        <f t="shared" si="40"/>
        <v>2</v>
      </c>
      <c r="I153" s="196"/>
      <c r="J153" s="113"/>
      <c r="K153" s="113"/>
      <c r="L153" s="196"/>
      <c r="M153" s="113"/>
      <c r="N153" s="113"/>
      <c r="O153" s="62">
        <f>订货1!AB153</f>
        <v>0</v>
      </c>
      <c r="P153" s="113"/>
      <c r="Q153" s="113"/>
      <c r="R153" s="62">
        <f>订货1!AC153</f>
        <v>1</v>
      </c>
      <c r="S153" s="113"/>
      <c r="T153" s="113"/>
      <c r="U153" s="62">
        <f>订货1!AD153</f>
        <v>0</v>
      </c>
      <c r="V153" s="113"/>
      <c r="W153" s="113"/>
      <c r="X153" s="62">
        <f>订货1!AE153</f>
        <v>0</v>
      </c>
      <c r="Y153" s="113"/>
      <c r="Z153" s="113"/>
      <c r="AA153" s="62">
        <f>订货1!AF153</f>
        <v>0</v>
      </c>
      <c r="AB153" s="113"/>
      <c r="AC153" s="113"/>
      <c r="AD153" s="62">
        <f>订货1!AG153</f>
        <v>0</v>
      </c>
      <c r="AE153" s="113"/>
      <c r="AF153" s="113"/>
      <c r="AG153" s="62">
        <f>订货1!AH153</f>
        <v>0</v>
      </c>
      <c r="AH153" s="113"/>
      <c r="AI153" s="113"/>
      <c r="AJ153" s="62">
        <f>订货1!AI153</f>
        <v>0</v>
      </c>
      <c r="AK153" s="113"/>
      <c r="AL153" s="113"/>
      <c r="AM153" s="62">
        <f>订货1!AJ153</f>
        <v>0</v>
      </c>
      <c r="AN153" s="113"/>
      <c r="AO153" s="113"/>
      <c r="AP153" s="62">
        <f>订货1!AK153</f>
        <v>0</v>
      </c>
      <c r="AQ153" s="113"/>
      <c r="AR153" s="113"/>
      <c r="AS153" s="62">
        <f>订货1!AL153</f>
        <v>0</v>
      </c>
      <c r="AT153" s="113"/>
      <c r="AU153" s="113"/>
      <c r="AV153" s="62">
        <f>订货1!AM153</f>
        <v>1</v>
      </c>
      <c r="AW153" s="113"/>
      <c r="AX153" s="113"/>
      <c r="AY153" s="62">
        <f>订货1!AN153</f>
        <v>0</v>
      </c>
      <c r="AZ153" s="113"/>
      <c r="BA153" s="113"/>
      <c r="BB153" s="62">
        <f>订货1!AO153</f>
        <v>0</v>
      </c>
      <c r="BC153" s="113"/>
      <c r="BD153" s="113"/>
      <c r="BE153" s="62">
        <f>订货1!AP153</f>
        <v>0</v>
      </c>
      <c r="BF153" s="113"/>
      <c r="BG153" s="113"/>
      <c r="BH153" s="62">
        <f>订货1!AQ153</f>
        <v>0</v>
      </c>
      <c r="BI153" s="113"/>
      <c r="BJ153" s="113"/>
      <c r="BK153" s="62">
        <f>订货1!AR153</f>
        <v>0</v>
      </c>
      <c r="BL153" s="113"/>
      <c r="BM153" s="113"/>
      <c r="BN153" s="62">
        <f>订货1!AS153</f>
        <v>0</v>
      </c>
      <c r="BO153" s="113"/>
      <c r="BP153" s="113"/>
      <c r="BQ153" s="62">
        <f>订货1!AT153</f>
        <v>0</v>
      </c>
      <c r="BR153" s="113"/>
      <c r="BS153" s="113"/>
      <c r="BT153" s="62">
        <f>订货1!AU153</f>
        <v>0</v>
      </c>
      <c r="BU153" s="113"/>
      <c r="BV153" s="113"/>
      <c r="BW153" s="62">
        <f>订货1!AV153</f>
        <v>0</v>
      </c>
      <c r="BX153" s="113"/>
      <c r="BY153" s="113"/>
      <c r="BZ153" s="62">
        <f>订货1!AW153</f>
        <v>0</v>
      </c>
      <c r="CA153" s="113"/>
      <c r="CB153" s="113"/>
      <c r="CC153" s="62">
        <f>订货1!AX153</f>
        <v>0</v>
      </c>
      <c r="CD153" s="113"/>
      <c r="CE153" s="113"/>
      <c r="CF153" s="62">
        <f>订货1!AY153</f>
        <v>0</v>
      </c>
      <c r="CG153" s="113"/>
      <c r="CH153" s="113"/>
      <c r="CI153" s="62">
        <f>订货1!AZ153</f>
        <v>0</v>
      </c>
      <c r="CJ153" s="113"/>
      <c r="CK153" s="113"/>
      <c r="CL153" s="62">
        <f>订货1!BA153</f>
        <v>0</v>
      </c>
      <c r="CM153" s="113"/>
      <c r="CN153" s="113"/>
      <c r="CO153" s="62">
        <f>订货1!BB153</f>
        <v>0</v>
      </c>
      <c r="CP153" s="113"/>
      <c r="CQ153" s="113"/>
      <c r="CR153" s="62">
        <f>订货1!BC153</f>
        <v>0</v>
      </c>
      <c r="CS153" s="113"/>
      <c r="CT153" s="113"/>
      <c r="CU153" s="62">
        <f>订货1!BD153</f>
        <v>0</v>
      </c>
      <c r="CV153" s="113"/>
      <c r="CW153" s="113"/>
      <c r="CX153" s="62">
        <f>订货1!BE153</f>
        <v>0</v>
      </c>
      <c r="CY153" s="113"/>
      <c r="CZ153" s="113"/>
      <c r="DA153" s="62">
        <f>订货1!BF153</f>
        <v>0</v>
      </c>
      <c r="DB153" s="113"/>
      <c r="DC153" s="113"/>
      <c r="DD153" s="208">
        <v>0</v>
      </c>
      <c r="DE153" s="110" t="e">
        <f t="shared" si="38"/>
        <v>#DIV/0!</v>
      </c>
      <c r="DF153" s="52">
        <f t="shared" si="37"/>
        <v>2</v>
      </c>
      <c r="DG153" s="32" t="str">
        <f>订货1!$Q153</f>
        <v>盒</v>
      </c>
      <c r="DH153" s="209" t="e">
        <f t="shared" si="39"/>
        <v>#DIV/0!</v>
      </c>
    </row>
    <row r="154" spans="1:112" ht="15" customHeight="1">
      <c r="A154" s="48">
        <f>订货1!A154</f>
        <v>101778</v>
      </c>
      <c r="B154" s="44" t="str">
        <f>VLOOKUP($A154,订货1!$A154:$G397,7,0)</f>
        <v>青岛国辉食品有限公司</v>
      </c>
      <c r="C154" s="44" t="str">
        <f>VLOOKUP($A154,订货1!$A154:$H397,8,0)</f>
        <v>青岛国辉食品有限公司</v>
      </c>
      <c r="D154" s="44" t="str">
        <f>VLOOKUP($A154,订货1!$A154:$B397,2,0)</f>
        <v>原切谷饲安格斯西冷牛排</v>
      </c>
      <c r="E154" s="44" t="str">
        <f>VLOOKUP($A154,订货1!$A154:$E397,5,0)</f>
        <v>150g*100pc</v>
      </c>
      <c r="F154" s="49" t="str">
        <f>VLOOKUP($A154,订货1!$A154:$F397,6,0)</f>
        <v>箱</v>
      </c>
      <c r="G154" s="203"/>
      <c r="H154" s="56">
        <f t="shared" si="40"/>
        <v>0</v>
      </c>
      <c r="I154" s="196"/>
      <c r="J154" s="113"/>
      <c r="K154" s="113"/>
      <c r="L154" s="196"/>
      <c r="M154" s="113"/>
      <c r="N154" s="113"/>
      <c r="O154" s="62">
        <f>订货1!AB154</f>
        <v>0</v>
      </c>
      <c r="P154" s="113"/>
      <c r="Q154" s="113"/>
      <c r="R154" s="62">
        <f>订货1!AC154</f>
        <v>0</v>
      </c>
      <c r="S154" s="113"/>
      <c r="T154" s="113"/>
      <c r="U154" s="62">
        <f>订货1!AD154</f>
        <v>0</v>
      </c>
      <c r="V154" s="113"/>
      <c r="W154" s="113"/>
      <c r="X154" s="62">
        <f>订货1!AE154</f>
        <v>0</v>
      </c>
      <c r="Y154" s="113"/>
      <c r="Z154" s="113"/>
      <c r="AA154" s="62">
        <f>订货1!AF154</f>
        <v>0</v>
      </c>
      <c r="AB154" s="113"/>
      <c r="AC154" s="113"/>
      <c r="AD154" s="62">
        <f>订货1!AG154</f>
        <v>0</v>
      </c>
      <c r="AE154" s="113"/>
      <c r="AF154" s="113"/>
      <c r="AG154" s="62">
        <f>订货1!AH154</f>
        <v>0</v>
      </c>
      <c r="AH154" s="113"/>
      <c r="AI154" s="113"/>
      <c r="AJ154" s="62">
        <f>订货1!AI154</f>
        <v>0</v>
      </c>
      <c r="AK154" s="113"/>
      <c r="AL154" s="113"/>
      <c r="AM154" s="62">
        <f>订货1!AJ154</f>
        <v>0</v>
      </c>
      <c r="AN154" s="113"/>
      <c r="AO154" s="113"/>
      <c r="AP154" s="62">
        <f>订货1!AK154</f>
        <v>0</v>
      </c>
      <c r="AQ154" s="113"/>
      <c r="AR154" s="113"/>
      <c r="AS154" s="62">
        <f>订货1!AL154</f>
        <v>0</v>
      </c>
      <c r="AT154" s="113"/>
      <c r="AU154" s="113"/>
      <c r="AV154" s="62">
        <f>订货1!AM154</f>
        <v>0</v>
      </c>
      <c r="AW154" s="113"/>
      <c r="AX154" s="113"/>
      <c r="AY154" s="62">
        <f>订货1!AN154</f>
        <v>0</v>
      </c>
      <c r="AZ154" s="113"/>
      <c r="BA154" s="113"/>
      <c r="BB154" s="62">
        <f>订货1!AO154</f>
        <v>0</v>
      </c>
      <c r="BC154" s="113"/>
      <c r="BD154" s="113"/>
      <c r="BE154" s="62">
        <f>订货1!AP154</f>
        <v>0</v>
      </c>
      <c r="BF154" s="113"/>
      <c r="BG154" s="113"/>
      <c r="BH154" s="62">
        <f>订货1!AQ154</f>
        <v>0</v>
      </c>
      <c r="BI154" s="113"/>
      <c r="BJ154" s="113"/>
      <c r="BK154" s="62">
        <f>订货1!AR154</f>
        <v>0</v>
      </c>
      <c r="BL154" s="113"/>
      <c r="BM154" s="113"/>
      <c r="BN154" s="62">
        <f>订货1!AS154</f>
        <v>0</v>
      </c>
      <c r="BO154" s="113"/>
      <c r="BP154" s="113"/>
      <c r="BQ154" s="62">
        <f>订货1!AT154</f>
        <v>0</v>
      </c>
      <c r="BR154" s="113"/>
      <c r="BS154" s="113"/>
      <c r="BT154" s="62">
        <f>订货1!AU154</f>
        <v>0</v>
      </c>
      <c r="BU154" s="113"/>
      <c r="BV154" s="113"/>
      <c r="BW154" s="62">
        <f>订货1!AV154</f>
        <v>0</v>
      </c>
      <c r="BX154" s="113"/>
      <c r="BY154" s="113"/>
      <c r="BZ154" s="62">
        <f>订货1!AW154</f>
        <v>0</v>
      </c>
      <c r="CA154" s="113"/>
      <c r="CB154" s="113"/>
      <c r="CC154" s="62">
        <f>订货1!AX154</f>
        <v>0</v>
      </c>
      <c r="CD154" s="113"/>
      <c r="CE154" s="113"/>
      <c r="CF154" s="62">
        <f>订货1!AY154</f>
        <v>0</v>
      </c>
      <c r="CG154" s="113"/>
      <c r="CH154" s="113"/>
      <c r="CI154" s="62">
        <f>订货1!AZ154</f>
        <v>0</v>
      </c>
      <c r="CJ154" s="113"/>
      <c r="CK154" s="113"/>
      <c r="CL154" s="62">
        <f>订货1!BA154</f>
        <v>0</v>
      </c>
      <c r="CM154" s="113"/>
      <c r="CN154" s="113"/>
      <c r="CO154" s="62">
        <f>订货1!BB154</f>
        <v>0</v>
      </c>
      <c r="CP154" s="113"/>
      <c r="CQ154" s="113"/>
      <c r="CR154" s="62">
        <f>订货1!BC154</f>
        <v>0</v>
      </c>
      <c r="CS154" s="113"/>
      <c r="CT154" s="113"/>
      <c r="CU154" s="62">
        <f>订货1!BD154</f>
        <v>0</v>
      </c>
      <c r="CV154" s="113"/>
      <c r="CW154" s="113"/>
      <c r="CX154" s="62">
        <f>订货1!BE154</f>
        <v>0</v>
      </c>
      <c r="CY154" s="113"/>
      <c r="CZ154" s="113"/>
      <c r="DA154" s="62">
        <f>订货1!BF154</f>
        <v>0</v>
      </c>
      <c r="DB154" s="113"/>
      <c r="DC154" s="113"/>
      <c r="DD154" s="208">
        <v>0</v>
      </c>
      <c r="DE154" s="110" t="e">
        <f t="shared" si="38"/>
        <v>#DIV/0!</v>
      </c>
      <c r="DF154" s="52">
        <f t="shared" si="37"/>
        <v>0</v>
      </c>
      <c r="DG154" s="32" t="str">
        <f>订货1!$Q154</f>
        <v>箱</v>
      </c>
      <c r="DH154" s="209" t="e">
        <f t="shared" si="39"/>
        <v>#DIV/0!</v>
      </c>
    </row>
    <row r="155" spans="1:112" ht="15" customHeight="1">
      <c r="A155" s="48">
        <f>订货1!A155</f>
        <v>101640</v>
      </c>
      <c r="B155" s="44" t="str">
        <f>VLOOKUP($A155,订货1!$A155:$G398,7,0)</f>
        <v>福建圣农食品有限公司</v>
      </c>
      <c r="C155" s="44" t="str">
        <f>VLOOKUP($A155,订货1!$A155:$H398,8,0)</f>
        <v>福建圣农食品（浦城）有限公司</v>
      </c>
      <c r="D155" s="44" t="str">
        <f>VLOOKUP($A155,订货1!$A155:$B398,2,0)</f>
        <v>原味鸡腿排</v>
      </c>
      <c r="E155" s="44" t="str">
        <f>VLOOKUP($A155,订货1!$A155:$E398,5,0)</f>
        <v>0.15kg*8枚*10pc</v>
      </c>
      <c r="F155" s="49" t="str">
        <f>VLOOKUP($A155,订货1!$A155:$F398,6,0)</f>
        <v>箱</v>
      </c>
      <c r="G155" s="203"/>
      <c r="H155" s="56">
        <f t="shared" si="40"/>
        <v>7</v>
      </c>
      <c r="I155" s="196"/>
      <c r="J155" s="113"/>
      <c r="K155" s="113"/>
      <c r="L155" s="196"/>
      <c r="M155" s="113"/>
      <c r="N155" s="113"/>
      <c r="O155" s="62">
        <f>订货1!AB155</f>
        <v>0</v>
      </c>
      <c r="P155" s="113"/>
      <c r="Q155" s="113"/>
      <c r="R155" s="62">
        <f>订货1!AC155</f>
        <v>1</v>
      </c>
      <c r="S155" s="113"/>
      <c r="T155" s="113"/>
      <c r="U155" s="62">
        <f>订货1!AD155</f>
        <v>0</v>
      </c>
      <c r="V155" s="113"/>
      <c r="W155" s="113"/>
      <c r="X155" s="62">
        <f>订货1!AE155</f>
        <v>1</v>
      </c>
      <c r="Y155" s="113"/>
      <c r="Z155" s="113"/>
      <c r="AA155" s="62">
        <f>订货1!AF155</f>
        <v>0</v>
      </c>
      <c r="AB155" s="113"/>
      <c r="AC155" s="113"/>
      <c r="AD155" s="62">
        <f>订货1!AG155</f>
        <v>1</v>
      </c>
      <c r="AE155" s="113"/>
      <c r="AF155" s="113"/>
      <c r="AG155" s="62">
        <f>订货1!AH155</f>
        <v>0</v>
      </c>
      <c r="AH155" s="113"/>
      <c r="AI155" s="113"/>
      <c r="AJ155" s="62">
        <f>订货1!AI155</f>
        <v>0</v>
      </c>
      <c r="AK155" s="113"/>
      <c r="AL155" s="113"/>
      <c r="AM155" s="62">
        <f>订货1!AJ155</f>
        <v>1</v>
      </c>
      <c r="AN155" s="113"/>
      <c r="AO155" s="113"/>
      <c r="AP155" s="62">
        <f>订货1!AK155</f>
        <v>0</v>
      </c>
      <c r="AQ155" s="113"/>
      <c r="AR155" s="113"/>
      <c r="AS155" s="62">
        <f>订货1!AL155</f>
        <v>1</v>
      </c>
      <c r="AT155" s="113"/>
      <c r="AU155" s="113"/>
      <c r="AV155" s="62">
        <f>订货1!AM155</f>
        <v>1</v>
      </c>
      <c r="AW155" s="113"/>
      <c r="AX155" s="113"/>
      <c r="AY155" s="62">
        <f>订货1!AN155</f>
        <v>1</v>
      </c>
      <c r="AZ155" s="113"/>
      <c r="BA155" s="113"/>
      <c r="BB155" s="62">
        <f>订货1!AO155</f>
        <v>0</v>
      </c>
      <c r="BC155" s="113"/>
      <c r="BD155" s="113"/>
      <c r="BE155" s="62">
        <f>订货1!AP155</f>
        <v>0</v>
      </c>
      <c r="BF155" s="113"/>
      <c r="BG155" s="113"/>
      <c r="BH155" s="62">
        <f>订货1!AQ155</f>
        <v>0</v>
      </c>
      <c r="BI155" s="113"/>
      <c r="BJ155" s="113"/>
      <c r="BK155" s="62">
        <f>订货1!AR155</f>
        <v>0</v>
      </c>
      <c r="BL155" s="113"/>
      <c r="BM155" s="113"/>
      <c r="BN155" s="62">
        <f>订货1!AS155</f>
        <v>0</v>
      </c>
      <c r="BO155" s="113"/>
      <c r="BP155" s="113"/>
      <c r="BQ155" s="62">
        <f>订货1!AT155</f>
        <v>0</v>
      </c>
      <c r="BR155" s="113"/>
      <c r="BS155" s="113"/>
      <c r="BT155" s="62">
        <f>订货1!AU155</f>
        <v>0</v>
      </c>
      <c r="BU155" s="113"/>
      <c r="BV155" s="113"/>
      <c r="BW155" s="62">
        <f>订货1!AV155</f>
        <v>0</v>
      </c>
      <c r="BX155" s="113"/>
      <c r="BY155" s="113"/>
      <c r="BZ155" s="62">
        <f>订货1!AW155</f>
        <v>0</v>
      </c>
      <c r="CA155" s="113"/>
      <c r="CB155" s="113"/>
      <c r="CC155" s="62">
        <f>订货1!AX155</f>
        <v>0</v>
      </c>
      <c r="CD155" s="113"/>
      <c r="CE155" s="113"/>
      <c r="CF155" s="62">
        <f>订货1!AY155</f>
        <v>0</v>
      </c>
      <c r="CG155" s="113"/>
      <c r="CH155" s="113"/>
      <c r="CI155" s="62">
        <f>订货1!AZ155</f>
        <v>0</v>
      </c>
      <c r="CJ155" s="113"/>
      <c r="CK155" s="113"/>
      <c r="CL155" s="62">
        <f>订货1!BA155</f>
        <v>0</v>
      </c>
      <c r="CM155" s="113"/>
      <c r="CN155" s="113"/>
      <c r="CO155" s="62">
        <f>订货1!BB155</f>
        <v>0</v>
      </c>
      <c r="CP155" s="113"/>
      <c r="CQ155" s="113"/>
      <c r="CR155" s="62">
        <f>订货1!BC155</f>
        <v>0</v>
      </c>
      <c r="CS155" s="113"/>
      <c r="CT155" s="113"/>
      <c r="CU155" s="62">
        <f>订货1!BD155</f>
        <v>0</v>
      </c>
      <c r="CV155" s="113"/>
      <c r="CW155" s="113"/>
      <c r="CX155" s="62">
        <f>订货1!BE155</f>
        <v>0</v>
      </c>
      <c r="CY155" s="113"/>
      <c r="CZ155" s="113"/>
      <c r="DA155" s="62">
        <f>订货1!BF155</f>
        <v>0</v>
      </c>
      <c r="DB155" s="113"/>
      <c r="DC155" s="113"/>
      <c r="DD155" s="208">
        <v>0</v>
      </c>
      <c r="DE155" s="110" t="e">
        <f t="shared" si="38"/>
        <v>#DIV/0!</v>
      </c>
      <c r="DF155" s="52">
        <f t="shared" si="37"/>
        <v>7</v>
      </c>
      <c r="DG155" s="32" t="str">
        <f>订货1!$Q155</f>
        <v>箱</v>
      </c>
      <c r="DH155" s="209" t="e">
        <f t="shared" si="39"/>
        <v>#DIV/0!</v>
      </c>
    </row>
    <row r="156" spans="1:112" ht="15" customHeight="1">
      <c r="A156" s="48">
        <f>订货1!A156</f>
        <v>101641</v>
      </c>
      <c r="B156" s="44" t="str">
        <f>VLOOKUP($A156,订货1!$A156:$G399,7,0)</f>
        <v>北京爱必思福国际贸易有限公司</v>
      </c>
      <c r="C156" s="44" t="str">
        <f>VLOOKUP($A156,订货1!$A156:$H399,8,0)</f>
        <v>河北亿食特食品有限公司</v>
      </c>
      <c r="D156" s="44" t="str">
        <f>VLOOKUP($A156,订货1!$A156:$B399,2,0)</f>
        <v>萨莉亚鸡排串</v>
      </c>
      <c r="E156" s="44" t="str">
        <f>VLOOKUP($A156,订货1!$A156:$E399,5,0)</f>
        <v>1kg*12</v>
      </c>
      <c r="F156" s="49" t="str">
        <f>VLOOKUP($A156,订货1!$A156:$F399,6,0)</f>
        <v>箱</v>
      </c>
      <c r="G156" s="203"/>
      <c r="H156" s="56">
        <f t="shared" si="40"/>
        <v>0</v>
      </c>
      <c r="I156" s="196"/>
      <c r="J156" s="113"/>
      <c r="K156" s="113"/>
      <c r="L156" s="196"/>
      <c r="M156" s="113"/>
      <c r="N156" s="113"/>
      <c r="O156" s="62">
        <f>订货1!AB156</f>
        <v>0</v>
      </c>
      <c r="P156" s="113"/>
      <c r="Q156" s="113"/>
      <c r="R156" s="62">
        <f>订货1!AC156</f>
        <v>0</v>
      </c>
      <c r="S156" s="113"/>
      <c r="T156" s="113"/>
      <c r="U156" s="62">
        <f>订货1!AD156</f>
        <v>0</v>
      </c>
      <c r="V156" s="113"/>
      <c r="W156" s="113"/>
      <c r="X156" s="62">
        <f>订货1!AE156</f>
        <v>0</v>
      </c>
      <c r="Y156" s="113"/>
      <c r="Z156" s="113"/>
      <c r="AA156" s="62">
        <f>订货1!AF156</f>
        <v>0</v>
      </c>
      <c r="AB156" s="113"/>
      <c r="AC156" s="113"/>
      <c r="AD156" s="62">
        <f>订货1!AG156</f>
        <v>0</v>
      </c>
      <c r="AE156" s="113"/>
      <c r="AF156" s="113"/>
      <c r="AG156" s="62">
        <f>订货1!AH156</f>
        <v>0</v>
      </c>
      <c r="AH156" s="113"/>
      <c r="AI156" s="113"/>
      <c r="AJ156" s="62">
        <f>订货1!AI156</f>
        <v>0</v>
      </c>
      <c r="AK156" s="113"/>
      <c r="AL156" s="113"/>
      <c r="AM156" s="62">
        <f>订货1!AJ156</f>
        <v>0</v>
      </c>
      <c r="AN156" s="113"/>
      <c r="AO156" s="113"/>
      <c r="AP156" s="62">
        <f>订货1!AK156</f>
        <v>0</v>
      </c>
      <c r="AQ156" s="113"/>
      <c r="AR156" s="113"/>
      <c r="AS156" s="62">
        <f>订货1!AL156</f>
        <v>0</v>
      </c>
      <c r="AT156" s="113"/>
      <c r="AU156" s="113"/>
      <c r="AV156" s="62">
        <f>订货1!AM156</f>
        <v>0</v>
      </c>
      <c r="AW156" s="113"/>
      <c r="AX156" s="113"/>
      <c r="AY156" s="62">
        <f>订货1!AN156</f>
        <v>0</v>
      </c>
      <c r="AZ156" s="113"/>
      <c r="BA156" s="113"/>
      <c r="BB156" s="62">
        <f>订货1!AO156</f>
        <v>0</v>
      </c>
      <c r="BC156" s="113"/>
      <c r="BD156" s="113"/>
      <c r="BE156" s="62">
        <f>订货1!AP156</f>
        <v>0</v>
      </c>
      <c r="BF156" s="113"/>
      <c r="BG156" s="113"/>
      <c r="BH156" s="62">
        <f>订货1!AQ156</f>
        <v>0</v>
      </c>
      <c r="BI156" s="113"/>
      <c r="BJ156" s="113"/>
      <c r="BK156" s="62">
        <f>订货1!AR156</f>
        <v>0</v>
      </c>
      <c r="BL156" s="113"/>
      <c r="BM156" s="113"/>
      <c r="BN156" s="62">
        <f>订货1!AS156</f>
        <v>0</v>
      </c>
      <c r="BO156" s="113"/>
      <c r="BP156" s="113"/>
      <c r="BQ156" s="62">
        <f>订货1!AT156</f>
        <v>0</v>
      </c>
      <c r="BR156" s="113"/>
      <c r="BS156" s="113"/>
      <c r="BT156" s="62">
        <f>订货1!AU156</f>
        <v>0</v>
      </c>
      <c r="BU156" s="113"/>
      <c r="BV156" s="113"/>
      <c r="BW156" s="62">
        <f>订货1!AV156</f>
        <v>0</v>
      </c>
      <c r="BX156" s="113"/>
      <c r="BY156" s="113"/>
      <c r="BZ156" s="62">
        <f>订货1!AW156</f>
        <v>0</v>
      </c>
      <c r="CA156" s="113"/>
      <c r="CB156" s="113"/>
      <c r="CC156" s="62">
        <f>订货1!AX156</f>
        <v>0</v>
      </c>
      <c r="CD156" s="113"/>
      <c r="CE156" s="113"/>
      <c r="CF156" s="62">
        <f>订货1!AY156</f>
        <v>0</v>
      </c>
      <c r="CG156" s="113"/>
      <c r="CH156" s="113"/>
      <c r="CI156" s="62">
        <f>订货1!AZ156</f>
        <v>0</v>
      </c>
      <c r="CJ156" s="113"/>
      <c r="CK156" s="113"/>
      <c r="CL156" s="62">
        <f>订货1!BA156</f>
        <v>0</v>
      </c>
      <c r="CM156" s="113"/>
      <c r="CN156" s="113"/>
      <c r="CO156" s="62">
        <f>订货1!BB156</f>
        <v>0</v>
      </c>
      <c r="CP156" s="113"/>
      <c r="CQ156" s="113"/>
      <c r="CR156" s="62">
        <f>订货1!BC156</f>
        <v>0</v>
      </c>
      <c r="CS156" s="113"/>
      <c r="CT156" s="113"/>
      <c r="CU156" s="62">
        <f>订货1!BD156</f>
        <v>0</v>
      </c>
      <c r="CV156" s="113"/>
      <c r="CW156" s="113"/>
      <c r="CX156" s="62">
        <f>订货1!BE156</f>
        <v>0</v>
      </c>
      <c r="CY156" s="113"/>
      <c r="CZ156" s="113"/>
      <c r="DA156" s="62">
        <f>订货1!BF156</f>
        <v>0</v>
      </c>
      <c r="DB156" s="113"/>
      <c r="DC156" s="113"/>
      <c r="DD156" s="208">
        <v>0</v>
      </c>
      <c r="DE156" s="110" t="e">
        <f t="shared" si="38"/>
        <v>#DIV/0!</v>
      </c>
      <c r="DF156" s="52">
        <f t="shared" si="37"/>
        <v>0</v>
      </c>
      <c r="DG156" s="32" t="str">
        <f>订货1!$Q156</f>
        <v>箱</v>
      </c>
      <c r="DH156" s="209" t="e">
        <f t="shared" si="39"/>
        <v>#DIV/0!</v>
      </c>
    </row>
    <row r="157" spans="1:112" ht="15" customHeight="1">
      <c r="A157" s="48">
        <f>订货1!A157</f>
        <v>201284</v>
      </c>
      <c r="B157" s="44" t="str">
        <f>VLOOKUP($A157,订货1!$A157:$G400,7,0)</f>
        <v>上海潜深实业有限公司</v>
      </c>
      <c r="C157" s="44" t="str">
        <f>VLOOKUP($A157,订货1!$A157:$H400,8,0)</f>
        <v>上海福新面粉有限公司</v>
      </c>
      <c r="D157" s="44" t="str">
        <f>VLOOKUP($A157,订货1!$A157:$B400,2,0)</f>
        <v>面粉</v>
      </c>
      <c r="E157" s="44" t="str">
        <f>VLOOKUP($A157,订货1!$A157:$E400,5,0)</f>
        <v>1kg*10pc</v>
      </c>
      <c r="F157" s="49" t="str">
        <f>VLOOKUP($A157,订货1!$A157:$F400,6,0)</f>
        <v>箱</v>
      </c>
      <c r="G157" s="203"/>
      <c r="H157" s="56">
        <f t="shared" si="40"/>
        <v>0</v>
      </c>
      <c r="I157" s="196"/>
      <c r="J157" s="113"/>
      <c r="K157" s="113"/>
      <c r="L157" s="196"/>
      <c r="M157" s="113"/>
      <c r="N157" s="113"/>
      <c r="O157" s="62">
        <f>订货1!AB157</f>
        <v>0</v>
      </c>
      <c r="P157" s="113"/>
      <c r="Q157" s="113"/>
      <c r="R157" s="62">
        <f>订货1!AC157</f>
        <v>0</v>
      </c>
      <c r="S157" s="113"/>
      <c r="T157" s="113"/>
      <c r="U157" s="62">
        <f>订货1!AD157</f>
        <v>0</v>
      </c>
      <c r="V157" s="113"/>
      <c r="W157" s="113"/>
      <c r="X157" s="62">
        <f>订货1!AE157</f>
        <v>0</v>
      </c>
      <c r="Y157" s="113"/>
      <c r="Z157" s="113"/>
      <c r="AA157" s="62">
        <f>订货1!AF157</f>
        <v>0</v>
      </c>
      <c r="AB157" s="113"/>
      <c r="AC157" s="113"/>
      <c r="AD157" s="62">
        <f>订货1!AG157</f>
        <v>0</v>
      </c>
      <c r="AE157" s="113"/>
      <c r="AF157" s="113"/>
      <c r="AG157" s="62">
        <f>订货1!AH157</f>
        <v>0</v>
      </c>
      <c r="AH157" s="113"/>
      <c r="AI157" s="113"/>
      <c r="AJ157" s="62">
        <f>订货1!AI157</f>
        <v>0</v>
      </c>
      <c r="AK157" s="113"/>
      <c r="AL157" s="113"/>
      <c r="AM157" s="62">
        <f>订货1!AJ157</f>
        <v>0</v>
      </c>
      <c r="AN157" s="113"/>
      <c r="AO157" s="113"/>
      <c r="AP157" s="62">
        <f>订货1!AK157</f>
        <v>0</v>
      </c>
      <c r="AQ157" s="113"/>
      <c r="AR157" s="113"/>
      <c r="AS157" s="62">
        <f>订货1!AL157</f>
        <v>0</v>
      </c>
      <c r="AT157" s="113"/>
      <c r="AU157" s="113"/>
      <c r="AV157" s="62">
        <f>订货1!AM157</f>
        <v>0</v>
      </c>
      <c r="AW157" s="113"/>
      <c r="AX157" s="113"/>
      <c r="AY157" s="62">
        <f>订货1!AN157</f>
        <v>0</v>
      </c>
      <c r="AZ157" s="113"/>
      <c r="BA157" s="113"/>
      <c r="BB157" s="62">
        <f>订货1!AO157</f>
        <v>0</v>
      </c>
      <c r="BC157" s="113"/>
      <c r="BD157" s="113"/>
      <c r="BE157" s="62">
        <f>订货1!AP157</f>
        <v>0</v>
      </c>
      <c r="BF157" s="113"/>
      <c r="BG157" s="113"/>
      <c r="BH157" s="62">
        <f>订货1!AQ157</f>
        <v>0</v>
      </c>
      <c r="BI157" s="113"/>
      <c r="BJ157" s="113"/>
      <c r="BK157" s="62">
        <f>订货1!AR157</f>
        <v>0</v>
      </c>
      <c r="BL157" s="113"/>
      <c r="BM157" s="113"/>
      <c r="BN157" s="62">
        <f>订货1!AS157</f>
        <v>0</v>
      </c>
      <c r="BO157" s="113"/>
      <c r="BP157" s="113"/>
      <c r="BQ157" s="62">
        <f>订货1!AT157</f>
        <v>0</v>
      </c>
      <c r="BR157" s="113"/>
      <c r="BS157" s="113"/>
      <c r="BT157" s="62">
        <f>订货1!AU157</f>
        <v>0</v>
      </c>
      <c r="BU157" s="113"/>
      <c r="BV157" s="113"/>
      <c r="BW157" s="62">
        <f>订货1!AV157</f>
        <v>0</v>
      </c>
      <c r="BX157" s="113"/>
      <c r="BY157" s="113"/>
      <c r="BZ157" s="62">
        <f>订货1!AW157</f>
        <v>0</v>
      </c>
      <c r="CA157" s="113"/>
      <c r="CB157" s="113"/>
      <c r="CC157" s="62">
        <f>订货1!AX157</f>
        <v>0</v>
      </c>
      <c r="CD157" s="113"/>
      <c r="CE157" s="113"/>
      <c r="CF157" s="62">
        <f>订货1!AY157</f>
        <v>0</v>
      </c>
      <c r="CG157" s="113"/>
      <c r="CH157" s="113"/>
      <c r="CI157" s="62">
        <f>订货1!AZ157</f>
        <v>0</v>
      </c>
      <c r="CJ157" s="113"/>
      <c r="CK157" s="113"/>
      <c r="CL157" s="62">
        <f>订货1!BA157</f>
        <v>0</v>
      </c>
      <c r="CM157" s="113"/>
      <c r="CN157" s="113"/>
      <c r="CO157" s="62">
        <f>订货1!BB157</f>
        <v>0</v>
      </c>
      <c r="CP157" s="113"/>
      <c r="CQ157" s="113"/>
      <c r="CR157" s="62">
        <f>订货1!BC157</f>
        <v>0</v>
      </c>
      <c r="CS157" s="113"/>
      <c r="CT157" s="113"/>
      <c r="CU157" s="62">
        <f>订货1!BD157</f>
        <v>0</v>
      </c>
      <c r="CV157" s="113"/>
      <c r="CW157" s="113"/>
      <c r="CX157" s="62">
        <f>订货1!BE157</f>
        <v>0</v>
      </c>
      <c r="CY157" s="113"/>
      <c r="CZ157" s="113"/>
      <c r="DA157" s="62">
        <f>订货1!BF157</f>
        <v>0</v>
      </c>
      <c r="DB157" s="113"/>
      <c r="DC157" s="113"/>
      <c r="DD157" s="208">
        <v>0</v>
      </c>
      <c r="DE157" s="110" t="e">
        <f t="shared" si="38"/>
        <v>#DIV/0!</v>
      </c>
      <c r="DF157" s="52">
        <f t="shared" si="37"/>
        <v>0</v>
      </c>
      <c r="DG157" s="32" t="str">
        <f>订货1!$Q157</f>
        <v>箱</v>
      </c>
      <c r="DH157" s="209" t="e">
        <f t="shared" si="39"/>
        <v>#DIV/0!</v>
      </c>
    </row>
    <row r="158" spans="1:112" ht="15" customHeight="1">
      <c r="A158" s="48">
        <f>订货1!A158</f>
        <v>101671</v>
      </c>
      <c r="B158" s="44" t="str">
        <f>VLOOKUP($A158,订货1!$A158:$G401,7,0)</f>
        <v>山東三涛食品有限公司</v>
      </c>
      <c r="C158" s="44" t="str">
        <f>VLOOKUP($A158,订货1!$A158:$H401,8,0)</f>
        <v>山東三涛食品有限公司</v>
      </c>
      <c r="D158" s="44" t="str">
        <f>VLOOKUP($A158,订货1!$A158:$B401,2,0)</f>
        <v>速冻菠菜段</v>
      </c>
      <c r="E158" s="44" t="str">
        <f>VLOOKUP($A158,订货1!$A158:$E401,5,0)</f>
        <v>2kg*6pc</v>
      </c>
      <c r="F158" s="49" t="str">
        <f>VLOOKUP($A158,订货1!$A158:$F401,6,0)</f>
        <v>箱</v>
      </c>
      <c r="G158" s="203"/>
      <c r="H158" s="56">
        <f t="shared" si="40"/>
        <v>15</v>
      </c>
      <c r="I158" s="196"/>
      <c r="J158" s="113"/>
      <c r="K158" s="113"/>
      <c r="L158" s="196"/>
      <c r="M158" s="113"/>
      <c r="N158" s="113"/>
      <c r="O158" s="62">
        <f>订货1!AB158</f>
        <v>1</v>
      </c>
      <c r="P158" s="113"/>
      <c r="Q158" s="113"/>
      <c r="R158" s="62">
        <f>订货1!AC158</f>
        <v>1</v>
      </c>
      <c r="S158" s="113"/>
      <c r="T158" s="113"/>
      <c r="U158" s="62">
        <f>订货1!AD158</f>
        <v>0</v>
      </c>
      <c r="V158" s="113"/>
      <c r="W158" s="113"/>
      <c r="X158" s="62">
        <f>订货1!AE158</f>
        <v>2</v>
      </c>
      <c r="Y158" s="113"/>
      <c r="Z158" s="113"/>
      <c r="AA158" s="62">
        <f>订货1!AF158</f>
        <v>1</v>
      </c>
      <c r="AB158" s="113"/>
      <c r="AC158" s="113"/>
      <c r="AD158" s="62">
        <f>订货1!AG158</f>
        <v>2</v>
      </c>
      <c r="AE158" s="113"/>
      <c r="AF158" s="113"/>
      <c r="AG158" s="62">
        <f>订货1!AH158</f>
        <v>0</v>
      </c>
      <c r="AH158" s="113"/>
      <c r="AI158" s="113"/>
      <c r="AJ158" s="62">
        <f>订货1!AI158</f>
        <v>1</v>
      </c>
      <c r="AK158" s="113"/>
      <c r="AL158" s="113"/>
      <c r="AM158" s="62">
        <f>订货1!AJ158</f>
        <v>1</v>
      </c>
      <c r="AN158" s="113"/>
      <c r="AO158" s="113"/>
      <c r="AP158" s="62">
        <f>订货1!AK158</f>
        <v>0</v>
      </c>
      <c r="AQ158" s="113"/>
      <c r="AR158" s="113"/>
      <c r="AS158" s="62">
        <f>订货1!AL158</f>
        <v>0</v>
      </c>
      <c r="AT158" s="113"/>
      <c r="AU158" s="113"/>
      <c r="AV158" s="62">
        <f>订货1!AM158</f>
        <v>2</v>
      </c>
      <c r="AW158" s="113"/>
      <c r="AX158" s="113"/>
      <c r="AY158" s="62">
        <f>订货1!AN158</f>
        <v>2</v>
      </c>
      <c r="AZ158" s="113"/>
      <c r="BA158" s="113"/>
      <c r="BB158" s="62">
        <f>订货1!AO158</f>
        <v>2</v>
      </c>
      <c r="BC158" s="113"/>
      <c r="BD158" s="113"/>
      <c r="BE158" s="62">
        <f>订货1!AP158</f>
        <v>0</v>
      </c>
      <c r="BF158" s="113"/>
      <c r="BG158" s="113"/>
      <c r="BH158" s="62">
        <f>订货1!AQ158</f>
        <v>0</v>
      </c>
      <c r="BI158" s="113"/>
      <c r="BJ158" s="113"/>
      <c r="BK158" s="62">
        <f>订货1!AR158</f>
        <v>0</v>
      </c>
      <c r="BL158" s="113"/>
      <c r="BM158" s="113"/>
      <c r="BN158" s="62">
        <f>订货1!AS158</f>
        <v>0</v>
      </c>
      <c r="BO158" s="113"/>
      <c r="BP158" s="113"/>
      <c r="BQ158" s="62">
        <f>订货1!AT158</f>
        <v>0</v>
      </c>
      <c r="BR158" s="113"/>
      <c r="BS158" s="113"/>
      <c r="BT158" s="62">
        <f>订货1!AU158</f>
        <v>0</v>
      </c>
      <c r="BU158" s="113"/>
      <c r="BV158" s="113"/>
      <c r="BW158" s="62">
        <f>订货1!AV158</f>
        <v>0</v>
      </c>
      <c r="BX158" s="113"/>
      <c r="BY158" s="113"/>
      <c r="BZ158" s="62">
        <f>订货1!AW158</f>
        <v>0</v>
      </c>
      <c r="CA158" s="113"/>
      <c r="CB158" s="113"/>
      <c r="CC158" s="62">
        <f>订货1!AX158</f>
        <v>0</v>
      </c>
      <c r="CD158" s="113"/>
      <c r="CE158" s="113"/>
      <c r="CF158" s="62">
        <f>订货1!AY158</f>
        <v>0</v>
      </c>
      <c r="CG158" s="113"/>
      <c r="CH158" s="113"/>
      <c r="CI158" s="62">
        <f>订货1!AZ158</f>
        <v>0</v>
      </c>
      <c r="CJ158" s="113"/>
      <c r="CK158" s="113"/>
      <c r="CL158" s="62">
        <f>订货1!BA158</f>
        <v>0</v>
      </c>
      <c r="CM158" s="113"/>
      <c r="CN158" s="113"/>
      <c r="CO158" s="62">
        <f>订货1!BB158</f>
        <v>0</v>
      </c>
      <c r="CP158" s="113"/>
      <c r="CQ158" s="113"/>
      <c r="CR158" s="62">
        <f>订货1!BC158</f>
        <v>0</v>
      </c>
      <c r="CS158" s="113"/>
      <c r="CT158" s="113"/>
      <c r="CU158" s="62">
        <f>订货1!BD158</f>
        <v>0</v>
      </c>
      <c r="CV158" s="113"/>
      <c r="CW158" s="113"/>
      <c r="CX158" s="62">
        <f>订货1!BE158</f>
        <v>0</v>
      </c>
      <c r="CY158" s="113"/>
      <c r="CZ158" s="113"/>
      <c r="DA158" s="62">
        <f>订货1!BF158</f>
        <v>0</v>
      </c>
      <c r="DB158" s="113"/>
      <c r="DC158" s="113"/>
      <c r="DD158" s="208">
        <v>0</v>
      </c>
      <c r="DE158" s="110" t="e">
        <f t="shared" si="38"/>
        <v>#DIV/0!</v>
      </c>
      <c r="DF158" s="52">
        <f t="shared" si="37"/>
        <v>15</v>
      </c>
      <c r="DG158" s="32" t="str">
        <f>订货1!$Q158</f>
        <v>箱</v>
      </c>
      <c r="DH158" s="209" t="e">
        <f t="shared" si="39"/>
        <v>#DIV/0!</v>
      </c>
    </row>
    <row r="159" spans="1:112" ht="15" customHeight="1">
      <c r="A159" s="48">
        <f>订货1!A159</f>
        <v>101672</v>
      </c>
      <c r="B159" s="44" t="str">
        <f>VLOOKUP($A159,订货1!$A159:$G402,7,0)</f>
        <v>山東三涛食品有限公司</v>
      </c>
      <c r="C159" s="44" t="str">
        <f>VLOOKUP($A159,订货1!$A159:$H402,8,0)</f>
        <v>山東三涛食品有限公司</v>
      </c>
      <c r="D159" s="44" t="str">
        <f>VLOOKUP($A159,订货1!$A159:$B402,2,0)</f>
        <v>速冻甜玉米粒</v>
      </c>
      <c r="E159" s="44" t="str">
        <f>VLOOKUP($A159,订货1!$A159:$E402,5,0)</f>
        <v>3kg*4pc</v>
      </c>
      <c r="F159" s="49" t="str">
        <f>VLOOKUP($A159,订货1!$A159:$F402,6,0)</f>
        <v>箱</v>
      </c>
      <c r="G159" s="203"/>
      <c r="H159" s="56">
        <f t="shared" si="40"/>
        <v>11</v>
      </c>
      <c r="I159" s="196"/>
      <c r="J159" s="113"/>
      <c r="K159" s="113"/>
      <c r="L159" s="196"/>
      <c r="M159" s="113"/>
      <c r="N159" s="113"/>
      <c r="O159" s="62">
        <f>订货1!AB159</f>
        <v>0</v>
      </c>
      <c r="P159" s="113"/>
      <c r="Q159" s="113"/>
      <c r="R159" s="62">
        <f>订货1!AC159</f>
        <v>1</v>
      </c>
      <c r="S159" s="113"/>
      <c r="T159" s="113"/>
      <c r="U159" s="62">
        <f>订货1!AD159</f>
        <v>0</v>
      </c>
      <c r="V159" s="113"/>
      <c r="W159" s="113"/>
      <c r="X159" s="62">
        <f>订货1!AE159</f>
        <v>1</v>
      </c>
      <c r="Y159" s="113"/>
      <c r="Z159" s="113"/>
      <c r="AA159" s="62">
        <f>订货1!AF159</f>
        <v>1</v>
      </c>
      <c r="AB159" s="113"/>
      <c r="AC159" s="113"/>
      <c r="AD159" s="62">
        <f>订货1!AG159</f>
        <v>2</v>
      </c>
      <c r="AE159" s="113"/>
      <c r="AF159" s="113"/>
      <c r="AG159" s="62">
        <f>订货1!AH159</f>
        <v>0</v>
      </c>
      <c r="AH159" s="113"/>
      <c r="AI159" s="113"/>
      <c r="AJ159" s="62">
        <f>订货1!AI159</f>
        <v>1</v>
      </c>
      <c r="AK159" s="113"/>
      <c r="AL159" s="113"/>
      <c r="AM159" s="62">
        <f>订货1!AJ159</f>
        <v>1</v>
      </c>
      <c r="AN159" s="113"/>
      <c r="AO159" s="113"/>
      <c r="AP159" s="62">
        <f>订货1!AK159</f>
        <v>0</v>
      </c>
      <c r="AQ159" s="113"/>
      <c r="AR159" s="113"/>
      <c r="AS159" s="62">
        <f>订货1!AL159</f>
        <v>0</v>
      </c>
      <c r="AT159" s="113"/>
      <c r="AU159" s="113"/>
      <c r="AV159" s="62">
        <f>订货1!AM159</f>
        <v>2</v>
      </c>
      <c r="AW159" s="113"/>
      <c r="AX159" s="113"/>
      <c r="AY159" s="62">
        <f>订货1!AN159</f>
        <v>1</v>
      </c>
      <c r="AZ159" s="113"/>
      <c r="BA159" s="113"/>
      <c r="BB159" s="62">
        <f>订货1!AO159</f>
        <v>1</v>
      </c>
      <c r="BC159" s="113"/>
      <c r="BD159" s="113"/>
      <c r="BE159" s="62">
        <f>订货1!AP159</f>
        <v>0</v>
      </c>
      <c r="BF159" s="113"/>
      <c r="BG159" s="113"/>
      <c r="BH159" s="62">
        <f>订货1!AQ159</f>
        <v>0</v>
      </c>
      <c r="BI159" s="113"/>
      <c r="BJ159" s="113"/>
      <c r="BK159" s="62">
        <f>订货1!AR159</f>
        <v>0</v>
      </c>
      <c r="BL159" s="113"/>
      <c r="BM159" s="113"/>
      <c r="BN159" s="62">
        <f>订货1!AS159</f>
        <v>0</v>
      </c>
      <c r="BO159" s="113"/>
      <c r="BP159" s="113"/>
      <c r="BQ159" s="62">
        <f>订货1!AT159</f>
        <v>0</v>
      </c>
      <c r="BR159" s="113"/>
      <c r="BS159" s="113"/>
      <c r="BT159" s="62">
        <f>订货1!AU159</f>
        <v>0</v>
      </c>
      <c r="BU159" s="113"/>
      <c r="BV159" s="113"/>
      <c r="BW159" s="62">
        <f>订货1!AV159</f>
        <v>0</v>
      </c>
      <c r="BX159" s="113"/>
      <c r="BY159" s="113"/>
      <c r="BZ159" s="62">
        <f>订货1!AW159</f>
        <v>0</v>
      </c>
      <c r="CA159" s="113"/>
      <c r="CB159" s="113"/>
      <c r="CC159" s="62">
        <f>订货1!AX159</f>
        <v>0</v>
      </c>
      <c r="CD159" s="113"/>
      <c r="CE159" s="113"/>
      <c r="CF159" s="62">
        <f>订货1!AY159</f>
        <v>0</v>
      </c>
      <c r="CG159" s="113"/>
      <c r="CH159" s="113"/>
      <c r="CI159" s="62">
        <f>订货1!AZ159</f>
        <v>0</v>
      </c>
      <c r="CJ159" s="113"/>
      <c r="CK159" s="113"/>
      <c r="CL159" s="62">
        <f>订货1!BA159</f>
        <v>0</v>
      </c>
      <c r="CM159" s="113"/>
      <c r="CN159" s="113"/>
      <c r="CO159" s="62">
        <f>订货1!BB159</f>
        <v>0</v>
      </c>
      <c r="CP159" s="113"/>
      <c r="CQ159" s="113"/>
      <c r="CR159" s="62">
        <f>订货1!BC159</f>
        <v>0</v>
      </c>
      <c r="CS159" s="113"/>
      <c r="CT159" s="113"/>
      <c r="CU159" s="62">
        <f>订货1!BD159</f>
        <v>0</v>
      </c>
      <c r="CV159" s="113"/>
      <c r="CW159" s="113"/>
      <c r="CX159" s="62">
        <f>订货1!BE159</f>
        <v>0</v>
      </c>
      <c r="CY159" s="113"/>
      <c r="CZ159" s="113"/>
      <c r="DA159" s="62">
        <f>订货1!BF159</f>
        <v>0</v>
      </c>
      <c r="DB159" s="113"/>
      <c r="DC159" s="113"/>
      <c r="DD159" s="208">
        <v>0</v>
      </c>
      <c r="DE159" s="110" t="e">
        <f t="shared" si="38"/>
        <v>#DIV/0!</v>
      </c>
      <c r="DF159" s="52">
        <f t="shared" si="37"/>
        <v>11</v>
      </c>
      <c r="DG159" s="32" t="str">
        <f>订货1!$Q159</f>
        <v>箱</v>
      </c>
      <c r="DH159" s="209" t="e">
        <f t="shared" si="39"/>
        <v>#DIV/0!</v>
      </c>
    </row>
    <row r="160" spans="1:112" ht="15" customHeight="1">
      <c r="A160" s="48">
        <f>订货1!A160</f>
        <v>301374</v>
      </c>
      <c r="B160" s="44" t="str">
        <f>VLOOKUP($A160,订货1!$A160:$G403,7,0)</f>
        <v>上海潜深实业有限公司</v>
      </c>
      <c r="C160" s="44" t="str">
        <f>VLOOKUP($A160,订货1!$A160:$H403,8,0)</f>
        <v>雷州市英利得宝罐头果脯食品厂</v>
      </c>
      <c r="D160" s="44" t="str">
        <f>VLOOKUP($A160,订货1!$A160:$B403,2,0)</f>
        <v>鑫阿拉红椰果罐头</v>
      </c>
      <c r="E160" s="44" t="str">
        <f>VLOOKUP($A160,订货1!$A160:$E403,5,0)</f>
        <v>3kg*6</v>
      </c>
      <c r="F160" s="49" t="str">
        <f>VLOOKUP($A160,订货1!$A160:$F403,6,0)</f>
        <v>箱</v>
      </c>
      <c r="G160" s="203"/>
      <c r="H160" s="56">
        <f t="shared" si="40"/>
        <v>0</v>
      </c>
      <c r="I160" s="196"/>
      <c r="J160" s="113"/>
      <c r="K160" s="113"/>
      <c r="L160" s="196"/>
      <c r="M160" s="113"/>
      <c r="N160" s="113"/>
      <c r="O160" s="62">
        <f>订货1!AB160</f>
        <v>0</v>
      </c>
      <c r="P160" s="113"/>
      <c r="Q160" s="113"/>
      <c r="R160" s="62">
        <f>订货1!AC160</f>
        <v>0</v>
      </c>
      <c r="S160" s="113"/>
      <c r="T160" s="113"/>
      <c r="U160" s="62">
        <f>订货1!AD160</f>
        <v>0</v>
      </c>
      <c r="V160" s="113"/>
      <c r="W160" s="113"/>
      <c r="X160" s="62">
        <f>订货1!AE160</f>
        <v>0</v>
      </c>
      <c r="Y160" s="113"/>
      <c r="Z160" s="113"/>
      <c r="AA160" s="62">
        <f>订货1!AF160</f>
        <v>0</v>
      </c>
      <c r="AB160" s="113"/>
      <c r="AC160" s="113"/>
      <c r="AD160" s="62">
        <f>订货1!AG160</f>
        <v>0</v>
      </c>
      <c r="AE160" s="113"/>
      <c r="AF160" s="113"/>
      <c r="AG160" s="62">
        <f>订货1!AH160</f>
        <v>0</v>
      </c>
      <c r="AH160" s="113"/>
      <c r="AI160" s="113"/>
      <c r="AJ160" s="62">
        <f>订货1!AI160</f>
        <v>0</v>
      </c>
      <c r="AK160" s="113"/>
      <c r="AL160" s="113"/>
      <c r="AM160" s="62">
        <f>订货1!AJ160</f>
        <v>0</v>
      </c>
      <c r="AN160" s="113"/>
      <c r="AO160" s="113"/>
      <c r="AP160" s="62">
        <f>订货1!AK160</f>
        <v>0</v>
      </c>
      <c r="AQ160" s="113"/>
      <c r="AR160" s="113"/>
      <c r="AS160" s="62">
        <f>订货1!AL160</f>
        <v>0</v>
      </c>
      <c r="AT160" s="113"/>
      <c r="AU160" s="113"/>
      <c r="AV160" s="62">
        <f>订货1!AM160</f>
        <v>0</v>
      </c>
      <c r="AW160" s="113"/>
      <c r="AX160" s="113"/>
      <c r="AY160" s="62">
        <f>订货1!AN160</f>
        <v>0</v>
      </c>
      <c r="AZ160" s="113"/>
      <c r="BA160" s="113"/>
      <c r="BB160" s="62">
        <f>订货1!AO160</f>
        <v>0</v>
      </c>
      <c r="BC160" s="113"/>
      <c r="BD160" s="113"/>
      <c r="BE160" s="62">
        <f>订货1!AP160</f>
        <v>0</v>
      </c>
      <c r="BF160" s="113"/>
      <c r="BG160" s="113"/>
      <c r="BH160" s="62">
        <f>订货1!AQ160</f>
        <v>0</v>
      </c>
      <c r="BI160" s="113"/>
      <c r="BJ160" s="113"/>
      <c r="BK160" s="62">
        <f>订货1!AR160</f>
        <v>0</v>
      </c>
      <c r="BL160" s="113"/>
      <c r="BM160" s="113"/>
      <c r="BN160" s="62">
        <f>订货1!AS160</f>
        <v>0</v>
      </c>
      <c r="BO160" s="113"/>
      <c r="BP160" s="113"/>
      <c r="BQ160" s="62">
        <f>订货1!AT160</f>
        <v>0</v>
      </c>
      <c r="BR160" s="113"/>
      <c r="BS160" s="113"/>
      <c r="BT160" s="62">
        <f>订货1!AU160</f>
        <v>0</v>
      </c>
      <c r="BU160" s="113"/>
      <c r="BV160" s="113"/>
      <c r="BW160" s="62">
        <f>订货1!AV160</f>
        <v>0</v>
      </c>
      <c r="BX160" s="113"/>
      <c r="BY160" s="113"/>
      <c r="BZ160" s="62">
        <f>订货1!AW160</f>
        <v>0</v>
      </c>
      <c r="CA160" s="113"/>
      <c r="CB160" s="113"/>
      <c r="CC160" s="62">
        <f>订货1!AX160</f>
        <v>0</v>
      </c>
      <c r="CD160" s="113"/>
      <c r="CE160" s="113"/>
      <c r="CF160" s="62">
        <f>订货1!AY160</f>
        <v>0</v>
      </c>
      <c r="CG160" s="113"/>
      <c r="CH160" s="113"/>
      <c r="CI160" s="62">
        <f>订货1!AZ160</f>
        <v>0</v>
      </c>
      <c r="CJ160" s="113"/>
      <c r="CK160" s="113"/>
      <c r="CL160" s="62">
        <f>订货1!BA160</f>
        <v>0</v>
      </c>
      <c r="CM160" s="113"/>
      <c r="CN160" s="113"/>
      <c r="CO160" s="62">
        <f>订货1!BB160</f>
        <v>0</v>
      </c>
      <c r="CP160" s="113"/>
      <c r="CQ160" s="113"/>
      <c r="CR160" s="62">
        <f>订货1!BC160</f>
        <v>0</v>
      </c>
      <c r="CS160" s="113"/>
      <c r="CT160" s="113"/>
      <c r="CU160" s="62">
        <f>订货1!BD160</f>
        <v>0</v>
      </c>
      <c r="CV160" s="113"/>
      <c r="CW160" s="113"/>
      <c r="CX160" s="62">
        <f>订货1!BE160</f>
        <v>0</v>
      </c>
      <c r="CY160" s="113"/>
      <c r="CZ160" s="113"/>
      <c r="DA160" s="62">
        <f>订货1!BF160</f>
        <v>0</v>
      </c>
      <c r="DB160" s="113"/>
      <c r="DC160" s="113"/>
      <c r="DD160" s="208">
        <v>0</v>
      </c>
      <c r="DE160" s="110" t="e">
        <f t="shared" si="38"/>
        <v>#DIV/0!</v>
      </c>
      <c r="DF160" s="52">
        <f t="shared" si="37"/>
        <v>0</v>
      </c>
      <c r="DG160" s="32" t="str">
        <f>订货1!$Q160</f>
        <v>箱</v>
      </c>
      <c r="DH160" s="209" t="e">
        <f t="shared" si="39"/>
        <v>#DIV/0!</v>
      </c>
    </row>
    <row r="161" spans="1:112" ht="15" customHeight="1">
      <c r="A161" s="210">
        <f>订货1!A161</f>
        <v>101605</v>
      </c>
      <c r="B161" s="183" t="str">
        <f>VLOOKUP($A161,订货1!$A161:$G404,7,0)</f>
        <v>嘉兴铃吉食品有限公司</v>
      </c>
      <c r="C161" s="183" t="str">
        <f>VLOOKUP($A161,订货1!$A161:$H404,8,0)</f>
        <v>嘉兴铃吉食品有限公司</v>
      </c>
      <c r="D161" s="183" t="str">
        <f>VLOOKUP($A161,订货1!$A161:$B404,2,0)</f>
        <v>炸大蒜调味料（新）</v>
      </c>
      <c r="E161" s="44" t="str">
        <f>VLOOKUP($A161,订货1!$A161:$E404,5,0)</f>
        <v>0.5kg*6pkt</v>
      </c>
      <c r="F161" s="49" t="str">
        <f>VLOOKUP($A161,订货1!$A161:$F404,6,0)</f>
        <v>箱</v>
      </c>
      <c r="G161" s="203"/>
      <c r="H161" s="56">
        <f t="shared" si="40"/>
        <v>0</v>
      </c>
      <c r="I161" s="196"/>
      <c r="J161" s="113"/>
      <c r="K161" s="113"/>
      <c r="L161" s="196"/>
      <c r="M161" s="113"/>
      <c r="N161" s="113"/>
      <c r="O161" s="62">
        <f>订货1!AB161</f>
        <v>0</v>
      </c>
      <c r="P161" s="113"/>
      <c r="Q161" s="113"/>
      <c r="R161" s="62">
        <f>订货1!AC161</f>
        <v>0</v>
      </c>
      <c r="S161" s="113"/>
      <c r="T161" s="113"/>
      <c r="U161" s="62">
        <f>订货1!AD161</f>
        <v>0</v>
      </c>
      <c r="V161" s="113"/>
      <c r="W161" s="113"/>
      <c r="X161" s="62">
        <f>订货1!AE161</f>
        <v>0</v>
      </c>
      <c r="Y161" s="113"/>
      <c r="Z161" s="113"/>
      <c r="AA161" s="62">
        <f>订货1!AF161</f>
        <v>0</v>
      </c>
      <c r="AB161" s="113"/>
      <c r="AC161" s="113"/>
      <c r="AD161" s="62">
        <f>订货1!AG161</f>
        <v>0</v>
      </c>
      <c r="AE161" s="113"/>
      <c r="AF161" s="113"/>
      <c r="AG161" s="62">
        <f>订货1!AH161</f>
        <v>0</v>
      </c>
      <c r="AH161" s="113"/>
      <c r="AI161" s="113"/>
      <c r="AJ161" s="62">
        <f>订货1!AI161</f>
        <v>0</v>
      </c>
      <c r="AK161" s="113"/>
      <c r="AL161" s="113"/>
      <c r="AM161" s="62">
        <f>订货1!AJ161</f>
        <v>0</v>
      </c>
      <c r="AN161" s="113"/>
      <c r="AO161" s="113"/>
      <c r="AP161" s="62">
        <f>订货1!AK161</f>
        <v>0</v>
      </c>
      <c r="AQ161" s="113"/>
      <c r="AR161" s="113"/>
      <c r="AS161" s="62">
        <f>订货1!AL161</f>
        <v>0</v>
      </c>
      <c r="AT161" s="113"/>
      <c r="AU161" s="113"/>
      <c r="AV161" s="62">
        <f>订货1!AM161</f>
        <v>0</v>
      </c>
      <c r="AW161" s="113"/>
      <c r="AX161" s="113"/>
      <c r="AY161" s="62">
        <f>订货1!AN161</f>
        <v>0</v>
      </c>
      <c r="AZ161" s="113"/>
      <c r="BA161" s="113"/>
      <c r="BB161" s="62">
        <f>订货1!AO161</f>
        <v>0</v>
      </c>
      <c r="BC161" s="113"/>
      <c r="BD161" s="113"/>
      <c r="BE161" s="62">
        <f>订货1!AP161</f>
        <v>0</v>
      </c>
      <c r="BF161" s="113"/>
      <c r="BG161" s="113"/>
      <c r="BH161" s="62">
        <f>订货1!AQ161</f>
        <v>0</v>
      </c>
      <c r="BI161" s="113"/>
      <c r="BJ161" s="113"/>
      <c r="BK161" s="62">
        <f>订货1!AR161</f>
        <v>0</v>
      </c>
      <c r="BL161" s="113"/>
      <c r="BM161" s="113"/>
      <c r="BN161" s="62">
        <f>订货1!AS161</f>
        <v>0</v>
      </c>
      <c r="BO161" s="113"/>
      <c r="BP161" s="113"/>
      <c r="BQ161" s="62">
        <f>订货1!AT161</f>
        <v>0</v>
      </c>
      <c r="BR161" s="113"/>
      <c r="BS161" s="113"/>
      <c r="BT161" s="62">
        <f>订货1!AU161</f>
        <v>0</v>
      </c>
      <c r="BU161" s="113"/>
      <c r="BV161" s="113"/>
      <c r="BW161" s="62">
        <f>订货1!AV161</f>
        <v>0</v>
      </c>
      <c r="BX161" s="113"/>
      <c r="BY161" s="113"/>
      <c r="BZ161" s="62">
        <f>订货1!AW161</f>
        <v>0</v>
      </c>
      <c r="CA161" s="113"/>
      <c r="CB161" s="113"/>
      <c r="CC161" s="62">
        <f>订货1!AX161</f>
        <v>0</v>
      </c>
      <c r="CD161" s="113"/>
      <c r="CE161" s="113"/>
      <c r="CF161" s="62">
        <f>订货1!AY161</f>
        <v>0</v>
      </c>
      <c r="CG161" s="113"/>
      <c r="CH161" s="113"/>
      <c r="CI161" s="62">
        <f>订货1!AZ161</f>
        <v>0</v>
      </c>
      <c r="CJ161" s="113"/>
      <c r="CK161" s="113"/>
      <c r="CL161" s="62">
        <f>订货1!BA161</f>
        <v>0</v>
      </c>
      <c r="CM161" s="113"/>
      <c r="CN161" s="113"/>
      <c r="CO161" s="62">
        <f>订货1!BB161</f>
        <v>0</v>
      </c>
      <c r="CP161" s="113"/>
      <c r="CQ161" s="113"/>
      <c r="CR161" s="62">
        <f>订货1!BC161</f>
        <v>0</v>
      </c>
      <c r="CS161" s="113"/>
      <c r="CT161" s="113"/>
      <c r="CU161" s="62">
        <f>订货1!BD161</f>
        <v>0</v>
      </c>
      <c r="CV161" s="113"/>
      <c r="CW161" s="113"/>
      <c r="CX161" s="62">
        <f>订货1!BE161</f>
        <v>0</v>
      </c>
      <c r="CY161" s="113"/>
      <c r="CZ161" s="113"/>
      <c r="DA161" s="62">
        <f>订货1!BF161</f>
        <v>0</v>
      </c>
      <c r="DB161" s="113"/>
      <c r="DC161" s="113"/>
      <c r="DD161" s="208">
        <v>0</v>
      </c>
      <c r="DE161" s="110" t="e">
        <f t="shared" si="38"/>
        <v>#DIV/0!</v>
      </c>
      <c r="DF161" s="52">
        <f t="shared" si="37"/>
        <v>0</v>
      </c>
      <c r="DG161" s="32" t="str">
        <f>订货1!$Q161</f>
        <v>箱</v>
      </c>
      <c r="DH161" s="209" t="e">
        <f t="shared" si="39"/>
        <v>#DIV/0!</v>
      </c>
    </row>
    <row r="162" spans="1:112" ht="15" customHeight="1">
      <c r="A162" s="210">
        <f>订货1!A162</f>
        <v>101606</v>
      </c>
      <c r="B162" s="183" t="str">
        <f>VLOOKUP($A162,订货1!$A162:$G405,7,0)</f>
        <v>上海盒成食品有限公司</v>
      </c>
      <c r="C162" s="183" t="str">
        <f>VLOOKUP($A162,订货1!$A162:$H405,8,0)</f>
        <v>上海盒成食品有限公司</v>
      </c>
      <c r="D162" s="183" t="str">
        <f>VLOOKUP($A162,订货1!$A162:$B405,2,0)</f>
        <v>冷冻三文鱼块（新）</v>
      </c>
      <c r="E162" s="44" t="str">
        <f>VLOOKUP($A162,订货1!$A162:$E405,5,0)</f>
        <v>0.12kg*50pc</v>
      </c>
      <c r="F162" s="49" t="str">
        <f>VLOOKUP($A162,订货1!$A162:$F405,6,0)</f>
        <v>箱</v>
      </c>
      <c r="G162" s="203"/>
      <c r="H162" s="56">
        <f t="shared" si="40"/>
        <v>3</v>
      </c>
      <c r="I162" s="196"/>
      <c r="J162" s="113"/>
      <c r="K162" s="113"/>
      <c r="L162" s="196"/>
      <c r="M162" s="113"/>
      <c r="N162" s="113"/>
      <c r="O162" s="62">
        <f>订货1!AB162</f>
        <v>0</v>
      </c>
      <c r="P162" s="113"/>
      <c r="Q162" s="113"/>
      <c r="R162" s="62">
        <f>订货1!AC162</f>
        <v>1</v>
      </c>
      <c r="S162" s="113"/>
      <c r="T162" s="113"/>
      <c r="U162" s="62">
        <f>订货1!AD162</f>
        <v>0</v>
      </c>
      <c r="V162" s="113"/>
      <c r="W162" s="113"/>
      <c r="X162" s="62">
        <f>订货1!AE162</f>
        <v>0</v>
      </c>
      <c r="Y162" s="113"/>
      <c r="Z162" s="113"/>
      <c r="AA162" s="62">
        <f>订货1!AF162</f>
        <v>0</v>
      </c>
      <c r="AB162" s="113"/>
      <c r="AC162" s="113"/>
      <c r="AD162" s="62">
        <f>订货1!AG162</f>
        <v>0</v>
      </c>
      <c r="AE162" s="113"/>
      <c r="AF162" s="113"/>
      <c r="AG162" s="62">
        <f>订货1!AH162</f>
        <v>1</v>
      </c>
      <c r="AH162" s="113"/>
      <c r="AI162" s="113"/>
      <c r="AJ162" s="62">
        <f>订货1!AI162</f>
        <v>0</v>
      </c>
      <c r="AK162" s="113"/>
      <c r="AL162" s="113"/>
      <c r="AM162" s="62">
        <f>订货1!AJ162</f>
        <v>0</v>
      </c>
      <c r="AN162" s="113"/>
      <c r="AO162" s="113"/>
      <c r="AP162" s="62">
        <f>订货1!AK162</f>
        <v>0</v>
      </c>
      <c r="AQ162" s="113"/>
      <c r="AR162" s="113"/>
      <c r="AS162" s="62">
        <f>订货1!AL162</f>
        <v>0</v>
      </c>
      <c r="AT162" s="113"/>
      <c r="AU162" s="113"/>
      <c r="AV162" s="62">
        <f>订货1!AM162</f>
        <v>0</v>
      </c>
      <c r="AW162" s="113"/>
      <c r="AX162" s="113"/>
      <c r="AY162" s="62">
        <f>订货1!AN162</f>
        <v>0</v>
      </c>
      <c r="AZ162" s="113"/>
      <c r="BA162" s="113"/>
      <c r="BB162" s="62">
        <f>订货1!AO162</f>
        <v>1</v>
      </c>
      <c r="BC162" s="113"/>
      <c r="BD162" s="113"/>
      <c r="BE162" s="62">
        <f>订货1!AP162</f>
        <v>0</v>
      </c>
      <c r="BF162" s="113"/>
      <c r="BG162" s="113"/>
      <c r="BH162" s="62">
        <f>订货1!AQ162</f>
        <v>0</v>
      </c>
      <c r="BI162" s="113"/>
      <c r="BJ162" s="113"/>
      <c r="BK162" s="62">
        <f>订货1!AR162</f>
        <v>0</v>
      </c>
      <c r="BL162" s="113"/>
      <c r="BM162" s="113"/>
      <c r="BN162" s="62">
        <f>订货1!AS162</f>
        <v>0</v>
      </c>
      <c r="BO162" s="113"/>
      <c r="BP162" s="113"/>
      <c r="BQ162" s="62">
        <f>订货1!AT162</f>
        <v>0</v>
      </c>
      <c r="BR162" s="113"/>
      <c r="BS162" s="113"/>
      <c r="BT162" s="62">
        <f>订货1!AU162</f>
        <v>0</v>
      </c>
      <c r="BU162" s="113"/>
      <c r="BV162" s="113"/>
      <c r="BW162" s="62">
        <f>订货1!AV162</f>
        <v>0</v>
      </c>
      <c r="BX162" s="113"/>
      <c r="BY162" s="113"/>
      <c r="BZ162" s="62">
        <f>订货1!AW162</f>
        <v>0</v>
      </c>
      <c r="CA162" s="113"/>
      <c r="CB162" s="113"/>
      <c r="CC162" s="62">
        <f>订货1!AX162</f>
        <v>0</v>
      </c>
      <c r="CD162" s="113"/>
      <c r="CE162" s="113"/>
      <c r="CF162" s="62">
        <f>订货1!AY162</f>
        <v>0</v>
      </c>
      <c r="CG162" s="113"/>
      <c r="CH162" s="113"/>
      <c r="CI162" s="62">
        <f>订货1!AZ162</f>
        <v>0</v>
      </c>
      <c r="CJ162" s="113"/>
      <c r="CK162" s="113"/>
      <c r="CL162" s="62">
        <f>订货1!BA162</f>
        <v>0</v>
      </c>
      <c r="CM162" s="113"/>
      <c r="CN162" s="113"/>
      <c r="CO162" s="62">
        <f>订货1!BB162</f>
        <v>0</v>
      </c>
      <c r="CP162" s="113"/>
      <c r="CQ162" s="113"/>
      <c r="CR162" s="62">
        <f>订货1!BC162</f>
        <v>0</v>
      </c>
      <c r="CS162" s="113"/>
      <c r="CT162" s="113"/>
      <c r="CU162" s="62">
        <f>订货1!BD162</f>
        <v>0</v>
      </c>
      <c r="CV162" s="113"/>
      <c r="CW162" s="113"/>
      <c r="CX162" s="62">
        <f>订货1!BE162</f>
        <v>0</v>
      </c>
      <c r="CY162" s="113"/>
      <c r="CZ162" s="113"/>
      <c r="DA162" s="62">
        <f>订货1!BF162</f>
        <v>0</v>
      </c>
      <c r="DB162" s="113"/>
      <c r="DC162" s="113"/>
      <c r="DD162" s="208">
        <v>0</v>
      </c>
      <c r="DE162" s="110" t="e">
        <f t="shared" si="38"/>
        <v>#DIV/0!</v>
      </c>
      <c r="DF162" s="52">
        <f t="shared" si="37"/>
        <v>3</v>
      </c>
      <c r="DG162" s="32" t="str">
        <f>订货1!$Q162</f>
        <v>箱</v>
      </c>
      <c r="DH162" s="209" t="e">
        <f t="shared" si="39"/>
        <v>#DIV/0!</v>
      </c>
    </row>
    <row r="163" spans="1:112" ht="15" customHeight="1">
      <c r="A163" s="48">
        <f>订货1!A163</f>
        <v>101133</v>
      </c>
      <c r="B163" s="44" t="str">
        <f>VLOOKUP($A163,订货1!$A163:$G406,7,0)</f>
        <v>上海煦臻实业有限公司</v>
      </c>
      <c r="C163" s="44" t="str">
        <f>VLOOKUP($A163,订货1!$A163:$H406,8,0)</f>
        <v xml:space="preserve">杭州丘比食品有限公司 </v>
      </c>
      <c r="D163" s="44" t="str">
        <f>VLOOKUP($A163,订货1!$A163:$B406,2,0)</f>
        <v>丘比沙拉酱</v>
      </c>
      <c r="E163" s="44" t="str">
        <f>VLOOKUP($A163,订货1!$A163:$E406,5,0)</f>
        <v>150g*24btl</v>
      </c>
      <c r="F163" s="49" t="str">
        <f>VLOOKUP($A163,订货1!$A163:$F406,6,0)</f>
        <v>箱</v>
      </c>
      <c r="G163" s="203"/>
      <c r="H163" s="56">
        <f t="shared" si="40"/>
        <v>1</v>
      </c>
      <c r="I163" s="196"/>
      <c r="J163" s="113"/>
      <c r="K163" s="113"/>
      <c r="L163" s="196"/>
      <c r="M163" s="113"/>
      <c r="N163" s="113"/>
      <c r="O163" s="62">
        <f>订货1!AB163</f>
        <v>1</v>
      </c>
      <c r="P163" s="113"/>
      <c r="Q163" s="113"/>
      <c r="R163" s="62">
        <f>订货1!AC163</f>
        <v>0</v>
      </c>
      <c r="S163" s="113"/>
      <c r="T163" s="113"/>
      <c r="U163" s="62">
        <f>订货1!AD163</f>
        <v>0</v>
      </c>
      <c r="V163" s="113"/>
      <c r="W163" s="113"/>
      <c r="X163" s="62">
        <f>订货1!AE163</f>
        <v>0</v>
      </c>
      <c r="Y163" s="113"/>
      <c r="Z163" s="113"/>
      <c r="AA163" s="62">
        <f>订货1!AF163</f>
        <v>0</v>
      </c>
      <c r="AB163" s="113"/>
      <c r="AC163" s="113"/>
      <c r="AD163" s="62">
        <f>订货1!AG163</f>
        <v>0</v>
      </c>
      <c r="AE163" s="113"/>
      <c r="AF163" s="113"/>
      <c r="AG163" s="62">
        <f>订货1!AH163</f>
        <v>0</v>
      </c>
      <c r="AH163" s="113"/>
      <c r="AI163" s="113"/>
      <c r="AJ163" s="62">
        <f>订货1!AI163</f>
        <v>0</v>
      </c>
      <c r="AK163" s="113"/>
      <c r="AL163" s="113"/>
      <c r="AM163" s="62">
        <f>订货1!AJ163</f>
        <v>0</v>
      </c>
      <c r="AN163" s="113"/>
      <c r="AO163" s="113"/>
      <c r="AP163" s="62">
        <f>订货1!AK163</f>
        <v>0</v>
      </c>
      <c r="AQ163" s="113"/>
      <c r="AR163" s="113"/>
      <c r="AS163" s="62">
        <f>订货1!AL163</f>
        <v>0</v>
      </c>
      <c r="AT163" s="113"/>
      <c r="AU163" s="113"/>
      <c r="AV163" s="62">
        <f>订货1!AM163</f>
        <v>0</v>
      </c>
      <c r="AW163" s="113"/>
      <c r="AX163" s="113"/>
      <c r="AY163" s="62">
        <f>订货1!AN163</f>
        <v>0</v>
      </c>
      <c r="AZ163" s="113"/>
      <c r="BA163" s="113"/>
      <c r="BB163" s="62">
        <f>订货1!AO163</f>
        <v>0</v>
      </c>
      <c r="BC163" s="113"/>
      <c r="BD163" s="113"/>
      <c r="BE163" s="62">
        <f>订货1!AP163</f>
        <v>0</v>
      </c>
      <c r="BF163" s="113"/>
      <c r="BG163" s="113"/>
      <c r="BH163" s="62">
        <f>订货1!AQ163</f>
        <v>0</v>
      </c>
      <c r="BI163" s="113"/>
      <c r="BJ163" s="113"/>
      <c r="BK163" s="62">
        <f>订货1!AR163</f>
        <v>0</v>
      </c>
      <c r="BL163" s="113"/>
      <c r="BM163" s="113"/>
      <c r="BN163" s="62">
        <f>订货1!AS163</f>
        <v>0</v>
      </c>
      <c r="BO163" s="113"/>
      <c r="BP163" s="113"/>
      <c r="BQ163" s="62">
        <f>订货1!AT163</f>
        <v>0</v>
      </c>
      <c r="BR163" s="113"/>
      <c r="BS163" s="113"/>
      <c r="BT163" s="62">
        <f>订货1!AU163</f>
        <v>0</v>
      </c>
      <c r="BU163" s="113"/>
      <c r="BV163" s="113"/>
      <c r="BW163" s="62">
        <f>订货1!AV163</f>
        <v>0</v>
      </c>
      <c r="BX163" s="113"/>
      <c r="BY163" s="113"/>
      <c r="BZ163" s="62">
        <f>订货1!AW163</f>
        <v>0</v>
      </c>
      <c r="CA163" s="113"/>
      <c r="CB163" s="113"/>
      <c r="CC163" s="62">
        <f>订货1!AX163</f>
        <v>0</v>
      </c>
      <c r="CD163" s="113"/>
      <c r="CE163" s="113"/>
      <c r="CF163" s="62">
        <f>订货1!AY163</f>
        <v>0</v>
      </c>
      <c r="CG163" s="113"/>
      <c r="CH163" s="113"/>
      <c r="CI163" s="62">
        <f>订货1!AZ163</f>
        <v>0</v>
      </c>
      <c r="CJ163" s="113"/>
      <c r="CK163" s="113"/>
      <c r="CL163" s="62">
        <f>订货1!BA163</f>
        <v>0</v>
      </c>
      <c r="CM163" s="113"/>
      <c r="CN163" s="113"/>
      <c r="CO163" s="62">
        <f>订货1!BB163</f>
        <v>0</v>
      </c>
      <c r="CP163" s="113"/>
      <c r="CQ163" s="113"/>
      <c r="CR163" s="62">
        <f>订货1!BC163</f>
        <v>0</v>
      </c>
      <c r="CS163" s="113"/>
      <c r="CT163" s="113"/>
      <c r="CU163" s="62">
        <f>订货1!BD163</f>
        <v>0</v>
      </c>
      <c r="CV163" s="113"/>
      <c r="CW163" s="113"/>
      <c r="CX163" s="62">
        <f>订货1!BE163</f>
        <v>0</v>
      </c>
      <c r="CY163" s="113"/>
      <c r="CZ163" s="113"/>
      <c r="DA163" s="62">
        <f>订货1!BF163</f>
        <v>0</v>
      </c>
      <c r="DB163" s="113"/>
      <c r="DC163" s="113"/>
      <c r="DD163" s="208">
        <v>0</v>
      </c>
      <c r="DE163" s="110" t="e">
        <f t="shared" si="38"/>
        <v>#DIV/0!</v>
      </c>
      <c r="DF163" s="52">
        <f t="shared" si="37"/>
        <v>1</v>
      </c>
      <c r="DG163" s="32" t="str">
        <f>订货1!$Q163</f>
        <v>箱</v>
      </c>
      <c r="DH163" s="209" t="e">
        <f t="shared" si="39"/>
        <v>#DIV/0!</v>
      </c>
    </row>
    <row r="164" spans="1:112" ht="15" customHeight="1">
      <c r="A164" s="48">
        <f>订货1!A164</f>
        <v>101655</v>
      </c>
      <c r="B164" s="44" t="str">
        <f>VLOOKUP($A164,订货1!$A164:$G407,7,0)</f>
        <v>湛江国联水产开发股份有限公司</v>
      </c>
      <c r="C164" s="44" t="str">
        <f>VLOOKUP($A164,订货1!$A164:$H407,8,0)</f>
        <v>湛江国联水产开发股份有限公司</v>
      </c>
      <c r="D164" s="44" t="str">
        <f>VLOOKUP($A164,订货1!$A164:$B407,2,0)</f>
        <v>面包虾</v>
      </c>
      <c r="E164" s="44" t="str">
        <f>VLOOKUP($A164,订货1!$A164:$E407,5,0)</f>
        <v>0.5kg*16pc</v>
      </c>
      <c r="F164" s="49" t="str">
        <f>VLOOKUP($A164,订货1!$A164:$F407,6,0)</f>
        <v>箱</v>
      </c>
      <c r="G164" s="203"/>
      <c r="H164" s="56">
        <f t="shared" si="40"/>
        <v>2</v>
      </c>
      <c r="I164" s="196"/>
      <c r="J164" s="113"/>
      <c r="K164" s="113"/>
      <c r="L164" s="196"/>
      <c r="M164" s="113"/>
      <c r="N164" s="113"/>
      <c r="O164" s="62">
        <f>订货1!AB164</f>
        <v>0</v>
      </c>
      <c r="P164" s="113"/>
      <c r="Q164" s="113"/>
      <c r="R164" s="62">
        <f>订货1!AC164</f>
        <v>0</v>
      </c>
      <c r="S164" s="113"/>
      <c r="T164" s="113"/>
      <c r="U164" s="62">
        <f>订货1!AD164</f>
        <v>0</v>
      </c>
      <c r="V164" s="113"/>
      <c r="W164" s="113"/>
      <c r="X164" s="62">
        <f>订货1!AE164</f>
        <v>1</v>
      </c>
      <c r="Y164" s="113"/>
      <c r="Z164" s="113"/>
      <c r="AA164" s="62">
        <f>订货1!AF164</f>
        <v>0</v>
      </c>
      <c r="AB164" s="113"/>
      <c r="AC164" s="113"/>
      <c r="AD164" s="62">
        <f>订货1!AG164</f>
        <v>0</v>
      </c>
      <c r="AE164" s="113"/>
      <c r="AF164" s="113"/>
      <c r="AG164" s="62">
        <f>订货1!AH164</f>
        <v>0</v>
      </c>
      <c r="AH164" s="113"/>
      <c r="AI164" s="113"/>
      <c r="AJ164" s="62">
        <f>订货1!AI164</f>
        <v>0</v>
      </c>
      <c r="AK164" s="113"/>
      <c r="AL164" s="113"/>
      <c r="AM164" s="62">
        <f>订货1!AJ164</f>
        <v>0</v>
      </c>
      <c r="AN164" s="113"/>
      <c r="AO164" s="113"/>
      <c r="AP164" s="62">
        <f>订货1!AK164</f>
        <v>0</v>
      </c>
      <c r="AQ164" s="113"/>
      <c r="AR164" s="113"/>
      <c r="AS164" s="62">
        <f>订货1!AL164</f>
        <v>0</v>
      </c>
      <c r="AT164" s="113"/>
      <c r="AU164" s="113"/>
      <c r="AV164" s="62">
        <f>订货1!AM164</f>
        <v>1</v>
      </c>
      <c r="AW164" s="113"/>
      <c r="AX164" s="113"/>
      <c r="AY164" s="62">
        <f>订货1!AN164</f>
        <v>0</v>
      </c>
      <c r="AZ164" s="113"/>
      <c r="BA164" s="113"/>
      <c r="BB164" s="62">
        <f>订货1!AO164</f>
        <v>0</v>
      </c>
      <c r="BC164" s="113"/>
      <c r="BD164" s="113"/>
      <c r="BE164" s="62">
        <f>订货1!AP164</f>
        <v>0</v>
      </c>
      <c r="BF164" s="113"/>
      <c r="BG164" s="113"/>
      <c r="BH164" s="62">
        <f>订货1!AQ164</f>
        <v>0</v>
      </c>
      <c r="BI164" s="113"/>
      <c r="BJ164" s="113"/>
      <c r="BK164" s="62">
        <f>订货1!AR164</f>
        <v>0</v>
      </c>
      <c r="BL164" s="113"/>
      <c r="BM164" s="113"/>
      <c r="BN164" s="62">
        <f>订货1!AS164</f>
        <v>0</v>
      </c>
      <c r="BO164" s="113"/>
      <c r="BP164" s="113"/>
      <c r="BQ164" s="62">
        <f>订货1!AT164</f>
        <v>0</v>
      </c>
      <c r="BR164" s="113"/>
      <c r="BS164" s="113"/>
      <c r="BT164" s="62">
        <f>订货1!AU164</f>
        <v>0</v>
      </c>
      <c r="BU164" s="113"/>
      <c r="BV164" s="113"/>
      <c r="BW164" s="62">
        <f>订货1!AV164</f>
        <v>0</v>
      </c>
      <c r="BX164" s="113"/>
      <c r="BY164" s="113"/>
      <c r="BZ164" s="62">
        <f>订货1!AW164</f>
        <v>0</v>
      </c>
      <c r="CA164" s="113"/>
      <c r="CB164" s="113"/>
      <c r="CC164" s="62">
        <f>订货1!AX164</f>
        <v>0</v>
      </c>
      <c r="CD164" s="113"/>
      <c r="CE164" s="113"/>
      <c r="CF164" s="62">
        <f>订货1!AY164</f>
        <v>0</v>
      </c>
      <c r="CG164" s="113"/>
      <c r="CH164" s="113"/>
      <c r="CI164" s="62">
        <f>订货1!AZ164</f>
        <v>0</v>
      </c>
      <c r="CJ164" s="113"/>
      <c r="CK164" s="113"/>
      <c r="CL164" s="62">
        <f>订货1!BA164</f>
        <v>0</v>
      </c>
      <c r="CM164" s="113"/>
      <c r="CN164" s="113"/>
      <c r="CO164" s="62">
        <f>订货1!BB164</f>
        <v>0</v>
      </c>
      <c r="CP164" s="113"/>
      <c r="CQ164" s="113"/>
      <c r="CR164" s="62">
        <f>订货1!BC164</f>
        <v>0</v>
      </c>
      <c r="CS164" s="113"/>
      <c r="CT164" s="113"/>
      <c r="CU164" s="62">
        <f>订货1!BD164</f>
        <v>0</v>
      </c>
      <c r="CV164" s="113"/>
      <c r="CW164" s="113"/>
      <c r="CX164" s="62">
        <f>订货1!BE164</f>
        <v>0</v>
      </c>
      <c r="CY164" s="113"/>
      <c r="CZ164" s="113"/>
      <c r="DA164" s="62">
        <f>订货1!BF164</f>
        <v>0</v>
      </c>
      <c r="DB164" s="113"/>
      <c r="DC164" s="113"/>
      <c r="DD164" s="208">
        <v>0</v>
      </c>
      <c r="DE164" s="110" t="e">
        <f t="shared" si="38"/>
        <v>#DIV/0!</v>
      </c>
      <c r="DF164" s="52">
        <f t="shared" si="37"/>
        <v>2</v>
      </c>
      <c r="DG164" s="32" t="str">
        <f>订货1!$Q164</f>
        <v>箱</v>
      </c>
      <c r="DH164" s="209" t="e">
        <f t="shared" si="39"/>
        <v>#DIV/0!</v>
      </c>
    </row>
    <row r="165" spans="1:112" ht="15" customHeight="1">
      <c r="A165" s="48">
        <f>订货1!A165</f>
        <v>101145</v>
      </c>
      <c r="B165" s="44" t="str">
        <f>VLOOKUP($A165,订货1!$A165:$G408,7,0)</f>
        <v>上海煦臻实业有限公司</v>
      </c>
      <c r="C165" s="44" t="str">
        <f>VLOOKUP($A165,订货1!$A165:$H408,8,0)</f>
        <v>中盐金坛盐化有限责任公司</v>
      </c>
      <c r="D165" s="44" t="str">
        <f>VLOOKUP($A165,订货1!$A165:$B408,2,0)</f>
        <v>精制盐</v>
      </c>
      <c r="E165" s="44" t="str">
        <f>VLOOKUP($A165,订货1!$A165:$E408,5,0)</f>
        <v>0.5kg*40pc</v>
      </c>
      <c r="F165" s="49" t="str">
        <f>VLOOKUP($A165,订货1!$A165:$F408,6,0)</f>
        <v>箱</v>
      </c>
      <c r="G165" s="203"/>
      <c r="H165" s="56">
        <f t="shared" si="40"/>
        <v>1</v>
      </c>
      <c r="I165" s="196"/>
      <c r="J165" s="113"/>
      <c r="K165" s="113"/>
      <c r="L165" s="196"/>
      <c r="M165" s="113"/>
      <c r="N165" s="113"/>
      <c r="O165" s="62">
        <f>订货1!AB165</f>
        <v>0</v>
      </c>
      <c r="P165" s="113"/>
      <c r="Q165" s="113"/>
      <c r="R165" s="62">
        <f>订货1!AC165</f>
        <v>0</v>
      </c>
      <c r="S165" s="113"/>
      <c r="T165" s="113"/>
      <c r="U165" s="62">
        <f>订货1!AD165</f>
        <v>0</v>
      </c>
      <c r="V165" s="113"/>
      <c r="W165" s="113"/>
      <c r="X165" s="62">
        <f>订货1!AE165</f>
        <v>0</v>
      </c>
      <c r="Y165" s="113"/>
      <c r="Z165" s="113"/>
      <c r="AA165" s="62">
        <f>订货1!AF165</f>
        <v>0</v>
      </c>
      <c r="AB165" s="113"/>
      <c r="AC165" s="113"/>
      <c r="AD165" s="62">
        <f>订货1!AG165</f>
        <v>0</v>
      </c>
      <c r="AE165" s="113"/>
      <c r="AF165" s="113"/>
      <c r="AG165" s="62">
        <f>订货1!AH165</f>
        <v>0</v>
      </c>
      <c r="AH165" s="113"/>
      <c r="AI165" s="113"/>
      <c r="AJ165" s="62">
        <f>订货1!AI165</f>
        <v>0</v>
      </c>
      <c r="AK165" s="113"/>
      <c r="AL165" s="113"/>
      <c r="AM165" s="62">
        <f>订货1!AJ165</f>
        <v>0</v>
      </c>
      <c r="AN165" s="113"/>
      <c r="AO165" s="113"/>
      <c r="AP165" s="62">
        <f>订货1!AK165</f>
        <v>0</v>
      </c>
      <c r="AQ165" s="113"/>
      <c r="AR165" s="113"/>
      <c r="AS165" s="62">
        <f>订货1!AL165</f>
        <v>0</v>
      </c>
      <c r="AT165" s="113"/>
      <c r="AU165" s="113"/>
      <c r="AV165" s="62">
        <f>订货1!AM165</f>
        <v>1</v>
      </c>
      <c r="AW165" s="113"/>
      <c r="AX165" s="113"/>
      <c r="AY165" s="62">
        <f>订货1!AN165</f>
        <v>0</v>
      </c>
      <c r="AZ165" s="113"/>
      <c r="BA165" s="113"/>
      <c r="BB165" s="62">
        <f>订货1!AO165</f>
        <v>0</v>
      </c>
      <c r="BC165" s="113"/>
      <c r="BD165" s="113"/>
      <c r="BE165" s="62">
        <f>订货1!AP165</f>
        <v>0</v>
      </c>
      <c r="BF165" s="113"/>
      <c r="BG165" s="113"/>
      <c r="BH165" s="62">
        <f>订货1!AQ165</f>
        <v>0</v>
      </c>
      <c r="BI165" s="113"/>
      <c r="BJ165" s="113"/>
      <c r="BK165" s="62">
        <f>订货1!AR165</f>
        <v>0</v>
      </c>
      <c r="BL165" s="113"/>
      <c r="BM165" s="113"/>
      <c r="BN165" s="62">
        <f>订货1!AS165</f>
        <v>0</v>
      </c>
      <c r="BO165" s="113"/>
      <c r="BP165" s="113"/>
      <c r="BQ165" s="62">
        <f>订货1!AT165</f>
        <v>0</v>
      </c>
      <c r="BR165" s="113"/>
      <c r="BS165" s="113"/>
      <c r="BT165" s="62">
        <f>订货1!AU165</f>
        <v>0</v>
      </c>
      <c r="BU165" s="113"/>
      <c r="BV165" s="113"/>
      <c r="BW165" s="62">
        <f>订货1!AV165</f>
        <v>0</v>
      </c>
      <c r="BX165" s="113"/>
      <c r="BY165" s="113"/>
      <c r="BZ165" s="62">
        <f>订货1!AW165</f>
        <v>0</v>
      </c>
      <c r="CA165" s="113"/>
      <c r="CB165" s="113"/>
      <c r="CC165" s="62">
        <f>订货1!AX165</f>
        <v>0</v>
      </c>
      <c r="CD165" s="113"/>
      <c r="CE165" s="113"/>
      <c r="CF165" s="62">
        <f>订货1!AY165</f>
        <v>0</v>
      </c>
      <c r="CG165" s="113"/>
      <c r="CH165" s="113"/>
      <c r="CI165" s="62">
        <f>订货1!AZ165</f>
        <v>0</v>
      </c>
      <c r="CJ165" s="113"/>
      <c r="CK165" s="113"/>
      <c r="CL165" s="62">
        <f>订货1!BA165</f>
        <v>0</v>
      </c>
      <c r="CM165" s="113"/>
      <c r="CN165" s="113"/>
      <c r="CO165" s="62">
        <f>订货1!BB165</f>
        <v>0</v>
      </c>
      <c r="CP165" s="113"/>
      <c r="CQ165" s="113"/>
      <c r="CR165" s="62">
        <f>订货1!BC165</f>
        <v>0</v>
      </c>
      <c r="CS165" s="113"/>
      <c r="CT165" s="113"/>
      <c r="CU165" s="62">
        <f>订货1!BD165</f>
        <v>0</v>
      </c>
      <c r="CV165" s="113"/>
      <c r="CW165" s="113"/>
      <c r="CX165" s="62">
        <f>订货1!BE165</f>
        <v>0</v>
      </c>
      <c r="CY165" s="113"/>
      <c r="CZ165" s="113"/>
      <c r="DA165" s="62">
        <f>订货1!BF165</f>
        <v>0</v>
      </c>
      <c r="DB165" s="113"/>
      <c r="DC165" s="113"/>
      <c r="DD165" s="208">
        <v>0</v>
      </c>
      <c r="DE165" s="110" t="e">
        <f t="shared" si="38"/>
        <v>#DIV/0!</v>
      </c>
      <c r="DF165" s="52">
        <f t="shared" si="37"/>
        <v>1</v>
      </c>
      <c r="DG165" s="32" t="str">
        <f>订货1!$Q165</f>
        <v>箱</v>
      </c>
      <c r="DH165" s="209" t="e">
        <f t="shared" si="39"/>
        <v>#DIV/0!</v>
      </c>
    </row>
    <row r="166" spans="1:112" ht="15" customHeight="1">
      <c r="A166" s="48">
        <f>订货1!A166</f>
        <v>101731</v>
      </c>
      <c r="B166" s="44" t="str">
        <f>VLOOKUP($A166,订货1!$A166:$G409,7,0)</f>
        <v>湛江国联水产开发股份有限公司</v>
      </c>
      <c r="C166" s="44" t="str">
        <f>VLOOKUP($A166,订货1!$A166:$H409,8,0)</f>
        <v>广东国美水产食品有限公司</v>
      </c>
      <c r="D166" s="44" t="str">
        <f>VLOOKUP($A166,订货1!$A166:$B409,2,0)</f>
        <v>免浆罗非鱼片</v>
      </c>
      <c r="E166" s="44" t="str">
        <f>VLOOKUP($A166,订货1!$A166:$E409,5,0)</f>
        <v>50*100g</v>
      </c>
      <c r="F166" s="49" t="str">
        <f>VLOOKUP($A166,订货1!$A166:$F409,6,0)</f>
        <v>箱</v>
      </c>
      <c r="G166" s="203"/>
      <c r="H166" s="56">
        <f t="shared" si="40"/>
        <v>3</v>
      </c>
      <c r="I166" s="196"/>
      <c r="J166" s="113"/>
      <c r="K166" s="113"/>
      <c r="L166" s="196"/>
      <c r="M166" s="113"/>
      <c r="N166" s="113"/>
      <c r="O166" s="62">
        <f>订货1!AB166</f>
        <v>0</v>
      </c>
      <c r="P166" s="113"/>
      <c r="Q166" s="113"/>
      <c r="R166" s="62">
        <f>订货1!AC166</f>
        <v>1</v>
      </c>
      <c r="S166" s="113"/>
      <c r="T166" s="113"/>
      <c r="U166" s="62">
        <f>订货1!AD166</f>
        <v>0</v>
      </c>
      <c r="V166" s="113"/>
      <c r="W166" s="113"/>
      <c r="X166" s="62">
        <f>订货1!AE166</f>
        <v>0</v>
      </c>
      <c r="Y166" s="113"/>
      <c r="Z166" s="113"/>
      <c r="AA166" s="62">
        <f>订货1!AF166</f>
        <v>0</v>
      </c>
      <c r="AB166" s="113"/>
      <c r="AC166" s="113"/>
      <c r="AD166" s="62">
        <f>订货1!AG166</f>
        <v>0</v>
      </c>
      <c r="AE166" s="113"/>
      <c r="AF166" s="113"/>
      <c r="AG166" s="62">
        <f>订货1!AH166</f>
        <v>1</v>
      </c>
      <c r="AH166" s="113"/>
      <c r="AI166" s="113"/>
      <c r="AJ166" s="62">
        <f>订货1!AI166</f>
        <v>0</v>
      </c>
      <c r="AK166" s="113"/>
      <c r="AL166" s="113"/>
      <c r="AM166" s="62">
        <f>订货1!AJ166</f>
        <v>0</v>
      </c>
      <c r="AN166" s="113"/>
      <c r="AO166" s="113"/>
      <c r="AP166" s="62">
        <f>订货1!AK166</f>
        <v>0</v>
      </c>
      <c r="AQ166" s="113"/>
      <c r="AR166" s="113"/>
      <c r="AS166" s="62">
        <f>订货1!AL166</f>
        <v>0</v>
      </c>
      <c r="AT166" s="113"/>
      <c r="AU166" s="113"/>
      <c r="AV166" s="62">
        <f>订货1!AM166</f>
        <v>1</v>
      </c>
      <c r="AW166" s="113"/>
      <c r="AX166" s="113"/>
      <c r="AY166" s="62">
        <f>订货1!AN166</f>
        <v>0</v>
      </c>
      <c r="AZ166" s="113"/>
      <c r="BA166" s="113"/>
      <c r="BB166" s="62">
        <f>订货1!AO166</f>
        <v>0</v>
      </c>
      <c r="BC166" s="113"/>
      <c r="BD166" s="113"/>
      <c r="BE166" s="62">
        <f>订货1!AP166</f>
        <v>0</v>
      </c>
      <c r="BF166" s="113"/>
      <c r="BG166" s="113"/>
      <c r="BH166" s="62">
        <f>订货1!AQ166</f>
        <v>0</v>
      </c>
      <c r="BI166" s="113"/>
      <c r="BJ166" s="113"/>
      <c r="BK166" s="62">
        <f>订货1!AR166</f>
        <v>0</v>
      </c>
      <c r="BL166" s="113"/>
      <c r="BM166" s="113"/>
      <c r="BN166" s="62">
        <f>订货1!AS166</f>
        <v>0</v>
      </c>
      <c r="BO166" s="113"/>
      <c r="BP166" s="113"/>
      <c r="BQ166" s="62">
        <f>订货1!AT166</f>
        <v>0</v>
      </c>
      <c r="BR166" s="113"/>
      <c r="BS166" s="113"/>
      <c r="BT166" s="62">
        <f>订货1!AU166</f>
        <v>0</v>
      </c>
      <c r="BU166" s="113"/>
      <c r="BV166" s="113"/>
      <c r="BW166" s="62">
        <f>订货1!AV166</f>
        <v>0</v>
      </c>
      <c r="BX166" s="113"/>
      <c r="BY166" s="113"/>
      <c r="BZ166" s="62">
        <f>订货1!AW166</f>
        <v>0</v>
      </c>
      <c r="CA166" s="113"/>
      <c r="CB166" s="113"/>
      <c r="CC166" s="62">
        <f>订货1!AX166</f>
        <v>0</v>
      </c>
      <c r="CD166" s="113"/>
      <c r="CE166" s="113"/>
      <c r="CF166" s="62">
        <f>订货1!AY166</f>
        <v>0</v>
      </c>
      <c r="CG166" s="113"/>
      <c r="CH166" s="113"/>
      <c r="CI166" s="62">
        <f>订货1!AZ166</f>
        <v>0</v>
      </c>
      <c r="CJ166" s="113"/>
      <c r="CK166" s="113"/>
      <c r="CL166" s="62">
        <f>订货1!BA166</f>
        <v>0</v>
      </c>
      <c r="CM166" s="113"/>
      <c r="CN166" s="113"/>
      <c r="CO166" s="62">
        <f>订货1!BB166</f>
        <v>0</v>
      </c>
      <c r="CP166" s="113"/>
      <c r="CQ166" s="113"/>
      <c r="CR166" s="62">
        <f>订货1!BC166</f>
        <v>0</v>
      </c>
      <c r="CS166" s="113"/>
      <c r="CT166" s="113"/>
      <c r="CU166" s="62">
        <f>订货1!BD166</f>
        <v>0</v>
      </c>
      <c r="CV166" s="113"/>
      <c r="CW166" s="113"/>
      <c r="CX166" s="62">
        <f>订货1!BE166</f>
        <v>0</v>
      </c>
      <c r="CY166" s="113"/>
      <c r="CZ166" s="113"/>
      <c r="DA166" s="62">
        <f>订货1!BF166</f>
        <v>0</v>
      </c>
      <c r="DB166" s="113"/>
      <c r="DC166" s="113"/>
      <c r="DD166" s="208">
        <v>0</v>
      </c>
      <c r="DE166" s="110" t="e">
        <f t="shared" si="38"/>
        <v>#DIV/0!</v>
      </c>
      <c r="DF166" s="52">
        <f t="shared" si="37"/>
        <v>3</v>
      </c>
      <c r="DG166" s="32" t="str">
        <f>订货1!$Q166</f>
        <v>箱</v>
      </c>
      <c r="DH166" s="209" t="e">
        <f t="shared" si="39"/>
        <v>#DIV/0!</v>
      </c>
    </row>
    <row r="167" spans="1:112" ht="15" customHeight="1">
      <c r="A167" s="48">
        <f>订货1!A167</f>
        <v>101782</v>
      </c>
      <c r="B167" s="44" t="str">
        <f>VLOOKUP($A167,订货1!$A167:$G410,7,0)</f>
        <v>中粮屯河番茄有限公司</v>
      </c>
      <c r="C167" s="44" t="str">
        <f>VLOOKUP($A167,订货1!$A167:$H410,8,0)</f>
        <v>中粮屯河（杭锦后旗）番茄制品有限公司</v>
      </c>
      <c r="D167" s="44" t="str">
        <f>VLOOKUP($A167,订货1!$A167:$B410,2,0)</f>
        <v>屯河番茄丁</v>
      </c>
      <c r="E167" s="44" t="str">
        <f>VLOOKUP($A167,订货1!$A167:$E410,5,0)</f>
        <v>2.85kg*6can</v>
      </c>
      <c r="F167" s="49" t="str">
        <f>VLOOKUP($A167,订货1!$A167:$F410,6,0)</f>
        <v>箱</v>
      </c>
      <c r="G167" s="203"/>
      <c r="H167" s="56">
        <f t="shared" si="40"/>
        <v>2</v>
      </c>
      <c r="I167" s="196"/>
      <c r="J167" s="113"/>
      <c r="K167" s="113"/>
      <c r="L167" s="196"/>
      <c r="M167" s="113"/>
      <c r="N167" s="113"/>
      <c r="O167" s="62">
        <f>订货1!AB167</f>
        <v>0</v>
      </c>
      <c r="P167" s="113"/>
      <c r="Q167" s="113"/>
      <c r="R167" s="62">
        <f>订货1!AC167</f>
        <v>0</v>
      </c>
      <c r="S167" s="113"/>
      <c r="T167" s="113"/>
      <c r="U167" s="62">
        <f>订货1!AD167</f>
        <v>0</v>
      </c>
      <c r="V167" s="113"/>
      <c r="W167" s="113"/>
      <c r="X167" s="62">
        <f>订货1!AE167</f>
        <v>0</v>
      </c>
      <c r="Y167" s="113"/>
      <c r="Z167" s="113"/>
      <c r="AA167" s="62">
        <f>订货1!AF167</f>
        <v>0</v>
      </c>
      <c r="AB167" s="113"/>
      <c r="AC167" s="113"/>
      <c r="AD167" s="62">
        <f>订货1!AG167</f>
        <v>0</v>
      </c>
      <c r="AE167" s="113"/>
      <c r="AF167" s="113"/>
      <c r="AG167" s="62">
        <f>订货1!AH167</f>
        <v>0</v>
      </c>
      <c r="AH167" s="113"/>
      <c r="AI167" s="113"/>
      <c r="AJ167" s="62">
        <f>订货1!AI167</f>
        <v>0</v>
      </c>
      <c r="AK167" s="113"/>
      <c r="AL167" s="113"/>
      <c r="AM167" s="62">
        <f>订货1!AJ167</f>
        <v>0</v>
      </c>
      <c r="AN167" s="113"/>
      <c r="AO167" s="113"/>
      <c r="AP167" s="62">
        <f>订货1!AK167</f>
        <v>0</v>
      </c>
      <c r="AQ167" s="113"/>
      <c r="AR167" s="113"/>
      <c r="AS167" s="62">
        <f>订货1!AL167</f>
        <v>0</v>
      </c>
      <c r="AT167" s="113"/>
      <c r="AU167" s="113"/>
      <c r="AV167" s="62">
        <f>订货1!AM167</f>
        <v>1</v>
      </c>
      <c r="AW167" s="113"/>
      <c r="AX167" s="113"/>
      <c r="AY167" s="62">
        <f>订货1!AN167</f>
        <v>0</v>
      </c>
      <c r="AZ167" s="113"/>
      <c r="BA167" s="113"/>
      <c r="BB167" s="62">
        <f>订货1!AO167</f>
        <v>1</v>
      </c>
      <c r="BC167" s="113"/>
      <c r="BD167" s="113"/>
      <c r="BE167" s="62">
        <f>订货1!AP167</f>
        <v>0</v>
      </c>
      <c r="BF167" s="113"/>
      <c r="BG167" s="113"/>
      <c r="BH167" s="62">
        <f>订货1!AQ167</f>
        <v>0</v>
      </c>
      <c r="BI167" s="113"/>
      <c r="BJ167" s="113"/>
      <c r="BK167" s="62">
        <f>订货1!AR167</f>
        <v>0</v>
      </c>
      <c r="BL167" s="113"/>
      <c r="BM167" s="113"/>
      <c r="BN167" s="62">
        <f>订货1!AS167</f>
        <v>0</v>
      </c>
      <c r="BO167" s="113"/>
      <c r="BP167" s="113"/>
      <c r="BQ167" s="62">
        <f>订货1!AT167</f>
        <v>0</v>
      </c>
      <c r="BR167" s="113"/>
      <c r="BS167" s="113"/>
      <c r="BT167" s="62">
        <f>订货1!AU167</f>
        <v>0</v>
      </c>
      <c r="BU167" s="113"/>
      <c r="BV167" s="113"/>
      <c r="BW167" s="62">
        <f>订货1!AV167</f>
        <v>0</v>
      </c>
      <c r="BX167" s="113"/>
      <c r="BY167" s="113"/>
      <c r="BZ167" s="62">
        <f>订货1!AW167</f>
        <v>0</v>
      </c>
      <c r="CA167" s="113"/>
      <c r="CB167" s="113"/>
      <c r="CC167" s="62">
        <f>订货1!AX167</f>
        <v>0</v>
      </c>
      <c r="CD167" s="113"/>
      <c r="CE167" s="113"/>
      <c r="CF167" s="62">
        <f>订货1!AY167</f>
        <v>0</v>
      </c>
      <c r="CG167" s="113"/>
      <c r="CH167" s="113"/>
      <c r="CI167" s="62">
        <f>订货1!AZ167</f>
        <v>0</v>
      </c>
      <c r="CJ167" s="113"/>
      <c r="CK167" s="113"/>
      <c r="CL167" s="62">
        <f>订货1!BA167</f>
        <v>0</v>
      </c>
      <c r="CM167" s="113"/>
      <c r="CN167" s="113"/>
      <c r="CO167" s="62">
        <f>订货1!BB167</f>
        <v>0</v>
      </c>
      <c r="CP167" s="113"/>
      <c r="CQ167" s="113"/>
      <c r="CR167" s="62">
        <f>订货1!BC167</f>
        <v>0</v>
      </c>
      <c r="CS167" s="113"/>
      <c r="CT167" s="113"/>
      <c r="CU167" s="62">
        <f>订货1!BD167</f>
        <v>0</v>
      </c>
      <c r="CV167" s="113"/>
      <c r="CW167" s="113"/>
      <c r="CX167" s="62">
        <f>订货1!BE167</f>
        <v>0</v>
      </c>
      <c r="CY167" s="113"/>
      <c r="CZ167" s="113"/>
      <c r="DA167" s="62">
        <f>订货1!BF167</f>
        <v>0</v>
      </c>
      <c r="DB167" s="113"/>
      <c r="DC167" s="113"/>
      <c r="DD167" s="208">
        <v>0</v>
      </c>
      <c r="DE167" s="110" t="e">
        <f t="shared" si="38"/>
        <v>#DIV/0!</v>
      </c>
      <c r="DF167" s="52">
        <f t="shared" si="37"/>
        <v>2</v>
      </c>
      <c r="DG167" s="32" t="str">
        <f>订货1!$Q167</f>
        <v>箱</v>
      </c>
      <c r="DH167" s="209" t="e">
        <f t="shared" si="39"/>
        <v>#DIV/0!</v>
      </c>
    </row>
    <row r="168" spans="1:112" ht="15" customHeight="1">
      <c r="A168" s="48">
        <f>订货1!A168</f>
        <v>101258</v>
      </c>
      <c r="B168" s="44" t="str">
        <f>VLOOKUP($A168,订货1!$A168:$G411,7,0)</f>
        <v>上海煦臻实业有限公司</v>
      </c>
      <c r="C168" s="44" t="str">
        <f>VLOOKUP($A168,订货1!$A168:$H411,8,0)</f>
        <v>福克斯食品有限公司</v>
      </c>
      <c r="D168" s="44" t="str">
        <f>VLOOKUP($A168,订货1!$A168:$B411,2,0)</f>
        <v>脱水欧芹片</v>
      </c>
      <c r="E168" s="44" t="str">
        <f>VLOOKUP($A168,订货1!$A168:$E411,5,0)</f>
        <v>150g</v>
      </c>
      <c r="F168" s="49" t="str">
        <f>VLOOKUP($A168,订货1!$A168:$F411,6,0)</f>
        <v>袋</v>
      </c>
      <c r="G168" s="203"/>
      <c r="H168" s="56">
        <f t="shared" si="40"/>
        <v>0</v>
      </c>
      <c r="I168" s="196"/>
      <c r="J168" s="113"/>
      <c r="K168" s="113"/>
      <c r="L168" s="196"/>
      <c r="M168" s="113"/>
      <c r="N168" s="113"/>
      <c r="O168" s="62">
        <f>订货1!AB168</f>
        <v>0</v>
      </c>
      <c r="P168" s="113"/>
      <c r="Q168" s="113"/>
      <c r="R168" s="62">
        <f>订货1!AC168</f>
        <v>0</v>
      </c>
      <c r="S168" s="113"/>
      <c r="T168" s="113"/>
      <c r="U168" s="62">
        <f>订货1!AD168</f>
        <v>0</v>
      </c>
      <c r="V168" s="113"/>
      <c r="W168" s="113"/>
      <c r="X168" s="62">
        <f>订货1!AE168</f>
        <v>0</v>
      </c>
      <c r="Y168" s="113"/>
      <c r="Z168" s="113"/>
      <c r="AA168" s="62">
        <f>订货1!AF168</f>
        <v>0</v>
      </c>
      <c r="AB168" s="113"/>
      <c r="AC168" s="113"/>
      <c r="AD168" s="62">
        <f>订货1!AG168</f>
        <v>0</v>
      </c>
      <c r="AE168" s="113"/>
      <c r="AF168" s="113"/>
      <c r="AG168" s="62">
        <f>订货1!AH168</f>
        <v>0</v>
      </c>
      <c r="AH168" s="113"/>
      <c r="AI168" s="113"/>
      <c r="AJ168" s="62">
        <f>订货1!AI168</f>
        <v>0</v>
      </c>
      <c r="AK168" s="113"/>
      <c r="AL168" s="113"/>
      <c r="AM168" s="62">
        <f>订货1!AJ168</f>
        <v>0</v>
      </c>
      <c r="AN168" s="113"/>
      <c r="AO168" s="113"/>
      <c r="AP168" s="62">
        <f>订货1!AK168</f>
        <v>0</v>
      </c>
      <c r="AQ168" s="113"/>
      <c r="AR168" s="113"/>
      <c r="AS168" s="62">
        <f>订货1!AL168</f>
        <v>0</v>
      </c>
      <c r="AT168" s="113"/>
      <c r="AU168" s="113"/>
      <c r="AV168" s="62">
        <f>订货1!AM168</f>
        <v>0</v>
      </c>
      <c r="AW168" s="113"/>
      <c r="AX168" s="113"/>
      <c r="AY168" s="62">
        <f>订货1!AN168</f>
        <v>0</v>
      </c>
      <c r="AZ168" s="113"/>
      <c r="BA168" s="113"/>
      <c r="BB168" s="62">
        <f>订货1!AO168</f>
        <v>0</v>
      </c>
      <c r="BC168" s="113"/>
      <c r="BD168" s="113"/>
      <c r="BE168" s="62">
        <f>订货1!AP168</f>
        <v>0</v>
      </c>
      <c r="BF168" s="113"/>
      <c r="BG168" s="113"/>
      <c r="BH168" s="62">
        <f>订货1!AQ168</f>
        <v>0</v>
      </c>
      <c r="BI168" s="113"/>
      <c r="BJ168" s="113"/>
      <c r="BK168" s="62">
        <f>订货1!AR168</f>
        <v>0</v>
      </c>
      <c r="BL168" s="113"/>
      <c r="BM168" s="113"/>
      <c r="BN168" s="62">
        <f>订货1!AS168</f>
        <v>0</v>
      </c>
      <c r="BO168" s="113"/>
      <c r="BP168" s="113"/>
      <c r="BQ168" s="62">
        <f>订货1!AT168</f>
        <v>0</v>
      </c>
      <c r="BR168" s="113"/>
      <c r="BS168" s="113"/>
      <c r="BT168" s="62">
        <f>订货1!AU168</f>
        <v>0</v>
      </c>
      <c r="BU168" s="113"/>
      <c r="BV168" s="113"/>
      <c r="BW168" s="62">
        <f>订货1!AV168</f>
        <v>0</v>
      </c>
      <c r="BX168" s="113"/>
      <c r="BY168" s="113"/>
      <c r="BZ168" s="62">
        <f>订货1!AW168</f>
        <v>0</v>
      </c>
      <c r="CA168" s="113"/>
      <c r="CB168" s="113"/>
      <c r="CC168" s="62">
        <f>订货1!AX168</f>
        <v>0</v>
      </c>
      <c r="CD168" s="113"/>
      <c r="CE168" s="113"/>
      <c r="CF168" s="62">
        <f>订货1!AY168</f>
        <v>0</v>
      </c>
      <c r="CG168" s="113"/>
      <c r="CH168" s="113"/>
      <c r="CI168" s="62">
        <f>订货1!AZ168</f>
        <v>0</v>
      </c>
      <c r="CJ168" s="113"/>
      <c r="CK168" s="113"/>
      <c r="CL168" s="62">
        <f>订货1!BA168</f>
        <v>0</v>
      </c>
      <c r="CM168" s="113"/>
      <c r="CN168" s="113"/>
      <c r="CO168" s="62">
        <f>订货1!BB168</f>
        <v>0</v>
      </c>
      <c r="CP168" s="113"/>
      <c r="CQ168" s="113"/>
      <c r="CR168" s="62">
        <f>订货1!BC168</f>
        <v>0</v>
      </c>
      <c r="CS168" s="113"/>
      <c r="CT168" s="113"/>
      <c r="CU168" s="62">
        <f>订货1!BD168</f>
        <v>0</v>
      </c>
      <c r="CV168" s="113"/>
      <c r="CW168" s="113"/>
      <c r="CX168" s="62">
        <f>订货1!BE168</f>
        <v>0</v>
      </c>
      <c r="CY168" s="113"/>
      <c r="CZ168" s="113"/>
      <c r="DA168" s="62">
        <f>订货1!BF168</f>
        <v>0</v>
      </c>
      <c r="DB168" s="113"/>
      <c r="DC168" s="113"/>
      <c r="DD168" s="208">
        <v>0</v>
      </c>
      <c r="DE168" s="110" t="e">
        <f t="shared" si="38"/>
        <v>#DIV/0!</v>
      </c>
      <c r="DF168" s="52">
        <f t="shared" si="37"/>
        <v>0</v>
      </c>
      <c r="DG168" s="32" t="str">
        <f>订货1!$Q168</f>
        <v>袋</v>
      </c>
      <c r="DH168" s="209" t="e">
        <f t="shared" si="39"/>
        <v>#DIV/0!</v>
      </c>
    </row>
    <row r="169" spans="1:112" ht="15" customHeight="1">
      <c r="A169" s="48">
        <f>订货1!A169</f>
        <v>401018</v>
      </c>
      <c r="B169" s="44" t="str">
        <f>VLOOKUP($A169,订货1!$A169:$G412,7,0)</f>
        <v>上海蓬澜食品有限公司</v>
      </c>
      <c r="C169" s="44" t="str">
        <f>VLOOKUP($A169,订货1!$A169:$H412,8,0)</f>
        <v>三旺实业有限公司</v>
      </c>
      <c r="D169" s="44" t="str">
        <f>VLOOKUP($A169,订货1!$A169:$B412,2,0)</f>
        <v>五目肠</v>
      </c>
      <c r="E169" s="44" t="str">
        <f>VLOOKUP($A169,订货1!$A169:$E412,5,0)</f>
        <v>1kg*10pc</v>
      </c>
      <c r="F169" s="49" t="str">
        <f>VLOOKUP($A169,订货1!$A169:$F412,6,0)</f>
        <v>箱</v>
      </c>
      <c r="G169" s="203"/>
      <c r="H169" s="56">
        <f t="shared" si="40"/>
        <v>0</v>
      </c>
      <c r="I169" s="196"/>
      <c r="J169" s="113"/>
      <c r="K169" s="113"/>
      <c r="L169" s="196"/>
      <c r="M169" s="113"/>
      <c r="N169" s="113"/>
      <c r="O169" s="62">
        <f>订货1!AB169</f>
        <v>0</v>
      </c>
      <c r="P169" s="113"/>
      <c r="Q169" s="113"/>
      <c r="R169" s="62">
        <f>订货1!AC169</f>
        <v>0</v>
      </c>
      <c r="S169" s="113"/>
      <c r="T169" s="113"/>
      <c r="U169" s="62">
        <f>订货1!AD169</f>
        <v>0</v>
      </c>
      <c r="V169" s="113"/>
      <c r="W169" s="113"/>
      <c r="X169" s="62">
        <f>订货1!AE169</f>
        <v>0</v>
      </c>
      <c r="Y169" s="113"/>
      <c r="Z169" s="113"/>
      <c r="AA169" s="62">
        <f>订货1!AF169</f>
        <v>0</v>
      </c>
      <c r="AB169" s="113"/>
      <c r="AC169" s="113"/>
      <c r="AD169" s="62">
        <f>订货1!AG169</f>
        <v>0</v>
      </c>
      <c r="AE169" s="113"/>
      <c r="AF169" s="113"/>
      <c r="AG169" s="62">
        <f>订货1!AH169</f>
        <v>0</v>
      </c>
      <c r="AH169" s="113"/>
      <c r="AI169" s="113"/>
      <c r="AJ169" s="62">
        <f>订货1!AI169</f>
        <v>0</v>
      </c>
      <c r="AK169" s="113"/>
      <c r="AL169" s="113"/>
      <c r="AM169" s="62">
        <f>订货1!AJ169</f>
        <v>0</v>
      </c>
      <c r="AN169" s="113"/>
      <c r="AO169" s="113"/>
      <c r="AP169" s="62">
        <f>订货1!AK169</f>
        <v>0</v>
      </c>
      <c r="AQ169" s="113"/>
      <c r="AR169" s="113"/>
      <c r="AS169" s="62">
        <f>订货1!AL169</f>
        <v>0</v>
      </c>
      <c r="AT169" s="113"/>
      <c r="AU169" s="113"/>
      <c r="AV169" s="62">
        <f>订货1!AM169</f>
        <v>0</v>
      </c>
      <c r="AW169" s="113"/>
      <c r="AX169" s="113"/>
      <c r="AY169" s="62">
        <f>订货1!AN169</f>
        <v>0</v>
      </c>
      <c r="AZ169" s="113"/>
      <c r="BA169" s="113"/>
      <c r="BB169" s="62">
        <f>订货1!AO169</f>
        <v>0</v>
      </c>
      <c r="BC169" s="113"/>
      <c r="BD169" s="113"/>
      <c r="BE169" s="62">
        <f>订货1!AP169</f>
        <v>0</v>
      </c>
      <c r="BF169" s="113"/>
      <c r="BG169" s="113"/>
      <c r="BH169" s="62">
        <f>订货1!AQ169</f>
        <v>0</v>
      </c>
      <c r="BI169" s="113"/>
      <c r="BJ169" s="113"/>
      <c r="BK169" s="62">
        <f>订货1!AR169</f>
        <v>0</v>
      </c>
      <c r="BL169" s="113"/>
      <c r="BM169" s="113"/>
      <c r="BN169" s="62">
        <f>订货1!AS169</f>
        <v>0</v>
      </c>
      <c r="BO169" s="113"/>
      <c r="BP169" s="113"/>
      <c r="BQ169" s="62">
        <f>订货1!AT169</f>
        <v>0</v>
      </c>
      <c r="BR169" s="113"/>
      <c r="BS169" s="113"/>
      <c r="BT169" s="62">
        <f>订货1!AU169</f>
        <v>0</v>
      </c>
      <c r="BU169" s="113"/>
      <c r="BV169" s="113"/>
      <c r="BW169" s="62">
        <f>订货1!AV169</f>
        <v>0</v>
      </c>
      <c r="BX169" s="113"/>
      <c r="BY169" s="113"/>
      <c r="BZ169" s="62">
        <f>订货1!AW169</f>
        <v>0</v>
      </c>
      <c r="CA169" s="113"/>
      <c r="CB169" s="113"/>
      <c r="CC169" s="62">
        <f>订货1!AX169</f>
        <v>0</v>
      </c>
      <c r="CD169" s="113"/>
      <c r="CE169" s="113"/>
      <c r="CF169" s="62">
        <f>订货1!AY169</f>
        <v>0</v>
      </c>
      <c r="CG169" s="113"/>
      <c r="CH169" s="113"/>
      <c r="CI169" s="62">
        <f>订货1!AZ169</f>
        <v>0</v>
      </c>
      <c r="CJ169" s="113"/>
      <c r="CK169" s="113"/>
      <c r="CL169" s="62">
        <f>订货1!BA169</f>
        <v>0</v>
      </c>
      <c r="CM169" s="113"/>
      <c r="CN169" s="113"/>
      <c r="CO169" s="62">
        <f>订货1!BB169</f>
        <v>0</v>
      </c>
      <c r="CP169" s="113"/>
      <c r="CQ169" s="113"/>
      <c r="CR169" s="62">
        <f>订货1!BC169</f>
        <v>0</v>
      </c>
      <c r="CS169" s="113"/>
      <c r="CT169" s="113"/>
      <c r="CU169" s="62">
        <f>订货1!BD169</f>
        <v>0</v>
      </c>
      <c r="CV169" s="113"/>
      <c r="CW169" s="113"/>
      <c r="CX169" s="62">
        <f>订货1!BE169</f>
        <v>0</v>
      </c>
      <c r="CY169" s="113"/>
      <c r="CZ169" s="113"/>
      <c r="DA169" s="62">
        <f>订货1!BF169</f>
        <v>0</v>
      </c>
      <c r="DB169" s="113"/>
      <c r="DC169" s="113"/>
      <c r="DD169" s="208">
        <v>0</v>
      </c>
      <c r="DE169" s="110" t="e">
        <f t="shared" si="38"/>
        <v>#DIV/0!</v>
      </c>
      <c r="DF169" s="52">
        <f t="shared" si="37"/>
        <v>0</v>
      </c>
      <c r="DG169" s="32" t="str">
        <f>订货1!$Q169</f>
        <v>箱</v>
      </c>
      <c r="DH169" s="209" t="e">
        <f t="shared" si="39"/>
        <v>#DIV/0!</v>
      </c>
    </row>
    <row r="170" spans="1:112" ht="15" customHeight="1">
      <c r="A170" s="48">
        <f>订货1!A170</f>
        <v>101632</v>
      </c>
      <c r="B170" s="44" t="str">
        <f>VLOOKUP($A170,订货1!$A170:$G413,7,0)</f>
        <v>上海蓬澜食品有限公司</v>
      </c>
      <c r="C170" s="44" t="str">
        <f>VLOOKUP($A170,订货1!$A170:$H413,8,0)</f>
        <v>三旺实业有限公司</v>
      </c>
      <c r="D170" s="44" t="str">
        <f>VLOOKUP($A170,订货1!$A170:$B413,2,0)</f>
        <v>烟熏烤肠</v>
      </c>
      <c r="E170" s="44" t="str">
        <f>VLOOKUP($A170,订货1!$A170:$E413,5,0)</f>
        <v>1kg*10pkt</v>
      </c>
      <c r="F170" s="49" t="str">
        <f>VLOOKUP($A170,订货1!$A170:$F413,6,0)</f>
        <v>箱</v>
      </c>
      <c r="G170" s="203"/>
      <c r="H170" s="56">
        <f t="shared" si="40"/>
        <v>0</v>
      </c>
      <c r="I170" s="196"/>
      <c r="J170" s="113"/>
      <c r="K170" s="113"/>
      <c r="L170" s="196"/>
      <c r="M170" s="113"/>
      <c r="N170" s="113"/>
      <c r="O170" s="62">
        <f>订货1!AB170</f>
        <v>0</v>
      </c>
      <c r="P170" s="113"/>
      <c r="Q170" s="113"/>
      <c r="R170" s="62">
        <f>订货1!AC170</f>
        <v>0</v>
      </c>
      <c r="S170" s="113"/>
      <c r="T170" s="113"/>
      <c r="U170" s="62">
        <f>订货1!AD170</f>
        <v>0</v>
      </c>
      <c r="V170" s="113"/>
      <c r="W170" s="113"/>
      <c r="X170" s="62">
        <f>订货1!AE170</f>
        <v>0</v>
      </c>
      <c r="Y170" s="113"/>
      <c r="Z170" s="113"/>
      <c r="AA170" s="62">
        <f>订货1!AF170</f>
        <v>0</v>
      </c>
      <c r="AB170" s="113"/>
      <c r="AC170" s="113"/>
      <c r="AD170" s="62">
        <f>订货1!AG170</f>
        <v>0</v>
      </c>
      <c r="AE170" s="113"/>
      <c r="AF170" s="113"/>
      <c r="AG170" s="62">
        <f>订货1!AH170</f>
        <v>0</v>
      </c>
      <c r="AH170" s="113"/>
      <c r="AI170" s="113"/>
      <c r="AJ170" s="62">
        <f>订货1!AI170</f>
        <v>0</v>
      </c>
      <c r="AK170" s="113"/>
      <c r="AL170" s="113"/>
      <c r="AM170" s="62">
        <f>订货1!AJ170</f>
        <v>0</v>
      </c>
      <c r="AN170" s="113"/>
      <c r="AO170" s="113"/>
      <c r="AP170" s="62">
        <f>订货1!AK170</f>
        <v>0</v>
      </c>
      <c r="AQ170" s="113"/>
      <c r="AR170" s="113"/>
      <c r="AS170" s="62">
        <f>订货1!AL170</f>
        <v>0</v>
      </c>
      <c r="AT170" s="113"/>
      <c r="AU170" s="113"/>
      <c r="AV170" s="62">
        <f>订货1!AM170</f>
        <v>0</v>
      </c>
      <c r="AW170" s="113"/>
      <c r="AX170" s="113"/>
      <c r="AY170" s="62">
        <f>订货1!AN170</f>
        <v>0</v>
      </c>
      <c r="AZ170" s="113"/>
      <c r="BA170" s="113"/>
      <c r="BB170" s="62">
        <f>订货1!AO170</f>
        <v>0</v>
      </c>
      <c r="BC170" s="113"/>
      <c r="BD170" s="113"/>
      <c r="BE170" s="62">
        <f>订货1!AP170</f>
        <v>0</v>
      </c>
      <c r="BF170" s="113"/>
      <c r="BG170" s="113"/>
      <c r="BH170" s="62">
        <f>订货1!AQ170</f>
        <v>0</v>
      </c>
      <c r="BI170" s="113"/>
      <c r="BJ170" s="113"/>
      <c r="BK170" s="62">
        <f>订货1!AR170</f>
        <v>0</v>
      </c>
      <c r="BL170" s="113"/>
      <c r="BM170" s="113"/>
      <c r="BN170" s="62">
        <f>订货1!AS170</f>
        <v>0</v>
      </c>
      <c r="BO170" s="113"/>
      <c r="BP170" s="113"/>
      <c r="BQ170" s="62">
        <f>订货1!AT170</f>
        <v>0</v>
      </c>
      <c r="BR170" s="113"/>
      <c r="BS170" s="113"/>
      <c r="BT170" s="62">
        <f>订货1!AU170</f>
        <v>0</v>
      </c>
      <c r="BU170" s="113"/>
      <c r="BV170" s="113"/>
      <c r="BW170" s="62">
        <f>订货1!AV170</f>
        <v>0</v>
      </c>
      <c r="BX170" s="113"/>
      <c r="BY170" s="113"/>
      <c r="BZ170" s="62">
        <f>订货1!AW170</f>
        <v>0</v>
      </c>
      <c r="CA170" s="113"/>
      <c r="CB170" s="113"/>
      <c r="CC170" s="62">
        <f>订货1!AX170</f>
        <v>0</v>
      </c>
      <c r="CD170" s="113"/>
      <c r="CE170" s="113"/>
      <c r="CF170" s="62">
        <f>订货1!AY170</f>
        <v>0</v>
      </c>
      <c r="CG170" s="113"/>
      <c r="CH170" s="113"/>
      <c r="CI170" s="62">
        <f>订货1!AZ170</f>
        <v>0</v>
      </c>
      <c r="CJ170" s="113"/>
      <c r="CK170" s="113"/>
      <c r="CL170" s="62">
        <f>订货1!BA170</f>
        <v>0</v>
      </c>
      <c r="CM170" s="113"/>
      <c r="CN170" s="113"/>
      <c r="CO170" s="62">
        <f>订货1!BB170</f>
        <v>0</v>
      </c>
      <c r="CP170" s="113"/>
      <c r="CQ170" s="113"/>
      <c r="CR170" s="62">
        <f>订货1!BC170</f>
        <v>0</v>
      </c>
      <c r="CS170" s="113"/>
      <c r="CT170" s="113"/>
      <c r="CU170" s="62">
        <f>订货1!BD170</f>
        <v>0</v>
      </c>
      <c r="CV170" s="113"/>
      <c r="CW170" s="113"/>
      <c r="CX170" s="62">
        <f>订货1!BE170</f>
        <v>0</v>
      </c>
      <c r="CY170" s="113"/>
      <c r="CZ170" s="113"/>
      <c r="DA170" s="62">
        <f>订货1!BF170</f>
        <v>0</v>
      </c>
      <c r="DB170" s="113"/>
      <c r="DC170" s="113"/>
      <c r="DD170" s="208">
        <v>0</v>
      </c>
      <c r="DE170" s="110" t="e">
        <f t="shared" si="38"/>
        <v>#DIV/0!</v>
      </c>
      <c r="DF170" s="52">
        <f t="shared" si="37"/>
        <v>0</v>
      </c>
      <c r="DG170" s="32" t="str">
        <f>订货1!$Q170</f>
        <v>箱</v>
      </c>
      <c r="DH170" s="209" t="e">
        <f t="shared" si="39"/>
        <v>#DIV/0!</v>
      </c>
    </row>
    <row r="171" spans="1:112" ht="15" customHeight="1">
      <c r="A171" s="48">
        <f>订货1!A171</f>
        <v>101633</v>
      </c>
      <c r="B171" s="44" t="str">
        <f>VLOOKUP($A171,订货1!$A171:$G414,7,0)</f>
        <v>日邦食品（上海）有限公司</v>
      </c>
      <c r="C171" s="44" t="str">
        <f>VLOOKUP($A171,订货1!$A171:$H414,8,0)</f>
        <v>烟台龙荣食品有限公司</v>
      </c>
      <c r="D171" s="44" t="str">
        <f>VLOOKUP($A171,订货1!$A171:$B414,2,0)</f>
        <v>SLY烟熏香肠</v>
      </c>
      <c r="E171" s="44" t="str">
        <f>VLOOKUP($A171,订货1!$A171:$E414,5,0)</f>
        <v>1kg*12pkt</v>
      </c>
      <c r="F171" s="49" t="str">
        <f>VLOOKUP($A171,订货1!$A171:$F414,6,0)</f>
        <v>箱</v>
      </c>
      <c r="G171" s="203"/>
      <c r="H171" s="56">
        <f t="shared" si="40"/>
        <v>0</v>
      </c>
      <c r="I171" s="196"/>
      <c r="J171" s="113"/>
      <c r="K171" s="113"/>
      <c r="L171" s="196"/>
      <c r="M171" s="113"/>
      <c r="N171" s="113"/>
      <c r="O171" s="62">
        <f>订货1!AB171</f>
        <v>0</v>
      </c>
      <c r="P171" s="113"/>
      <c r="Q171" s="113"/>
      <c r="R171" s="62">
        <f>订货1!AC171</f>
        <v>0</v>
      </c>
      <c r="S171" s="113"/>
      <c r="T171" s="113"/>
      <c r="U171" s="62">
        <f>订货1!AD171</f>
        <v>0</v>
      </c>
      <c r="V171" s="113"/>
      <c r="W171" s="113"/>
      <c r="X171" s="62">
        <f>订货1!AE171</f>
        <v>0</v>
      </c>
      <c r="Y171" s="113"/>
      <c r="Z171" s="113"/>
      <c r="AA171" s="62">
        <f>订货1!AF171</f>
        <v>0</v>
      </c>
      <c r="AB171" s="113"/>
      <c r="AC171" s="113"/>
      <c r="AD171" s="62">
        <f>订货1!AG171</f>
        <v>0</v>
      </c>
      <c r="AE171" s="113"/>
      <c r="AF171" s="113"/>
      <c r="AG171" s="62">
        <f>订货1!AH171</f>
        <v>0</v>
      </c>
      <c r="AH171" s="113"/>
      <c r="AI171" s="113"/>
      <c r="AJ171" s="62">
        <f>订货1!AI171</f>
        <v>0</v>
      </c>
      <c r="AK171" s="113"/>
      <c r="AL171" s="113"/>
      <c r="AM171" s="62">
        <f>订货1!AJ171</f>
        <v>0</v>
      </c>
      <c r="AN171" s="113"/>
      <c r="AO171" s="113"/>
      <c r="AP171" s="62">
        <f>订货1!AK171</f>
        <v>0</v>
      </c>
      <c r="AQ171" s="113"/>
      <c r="AR171" s="113"/>
      <c r="AS171" s="62">
        <f>订货1!AL171</f>
        <v>0</v>
      </c>
      <c r="AT171" s="113"/>
      <c r="AU171" s="113"/>
      <c r="AV171" s="62">
        <f>订货1!AM171</f>
        <v>0</v>
      </c>
      <c r="AW171" s="113"/>
      <c r="AX171" s="113"/>
      <c r="AY171" s="62">
        <f>订货1!AN171</f>
        <v>0</v>
      </c>
      <c r="AZ171" s="113"/>
      <c r="BA171" s="113"/>
      <c r="BB171" s="62">
        <f>订货1!AO171</f>
        <v>0</v>
      </c>
      <c r="BC171" s="113"/>
      <c r="BD171" s="113"/>
      <c r="BE171" s="62">
        <f>订货1!AP171</f>
        <v>0</v>
      </c>
      <c r="BF171" s="113"/>
      <c r="BG171" s="113"/>
      <c r="BH171" s="62">
        <f>订货1!AQ171</f>
        <v>0</v>
      </c>
      <c r="BI171" s="113"/>
      <c r="BJ171" s="113"/>
      <c r="BK171" s="62">
        <f>订货1!AR171</f>
        <v>0</v>
      </c>
      <c r="BL171" s="113"/>
      <c r="BM171" s="113"/>
      <c r="BN171" s="62">
        <f>订货1!AS171</f>
        <v>0</v>
      </c>
      <c r="BO171" s="113"/>
      <c r="BP171" s="113"/>
      <c r="BQ171" s="62">
        <f>订货1!AT171</f>
        <v>0</v>
      </c>
      <c r="BR171" s="113"/>
      <c r="BS171" s="113"/>
      <c r="BT171" s="62">
        <f>订货1!AU171</f>
        <v>0</v>
      </c>
      <c r="BU171" s="113"/>
      <c r="BV171" s="113"/>
      <c r="BW171" s="62">
        <f>订货1!AV171</f>
        <v>0</v>
      </c>
      <c r="BX171" s="113"/>
      <c r="BY171" s="113"/>
      <c r="BZ171" s="62">
        <f>订货1!AW171</f>
        <v>0</v>
      </c>
      <c r="CA171" s="113"/>
      <c r="CB171" s="113"/>
      <c r="CC171" s="62">
        <f>订货1!AX171</f>
        <v>0</v>
      </c>
      <c r="CD171" s="113"/>
      <c r="CE171" s="113"/>
      <c r="CF171" s="62">
        <f>订货1!AY171</f>
        <v>0</v>
      </c>
      <c r="CG171" s="113"/>
      <c r="CH171" s="113"/>
      <c r="CI171" s="62">
        <f>订货1!AZ171</f>
        <v>0</v>
      </c>
      <c r="CJ171" s="113"/>
      <c r="CK171" s="113"/>
      <c r="CL171" s="62">
        <f>订货1!BA171</f>
        <v>0</v>
      </c>
      <c r="CM171" s="113"/>
      <c r="CN171" s="113"/>
      <c r="CO171" s="62">
        <f>订货1!BB171</f>
        <v>0</v>
      </c>
      <c r="CP171" s="113"/>
      <c r="CQ171" s="113"/>
      <c r="CR171" s="62">
        <f>订货1!BC171</f>
        <v>0</v>
      </c>
      <c r="CS171" s="113"/>
      <c r="CT171" s="113"/>
      <c r="CU171" s="62">
        <f>订货1!BD171</f>
        <v>0</v>
      </c>
      <c r="CV171" s="113"/>
      <c r="CW171" s="113"/>
      <c r="CX171" s="62">
        <f>订货1!BE171</f>
        <v>0</v>
      </c>
      <c r="CY171" s="113"/>
      <c r="CZ171" s="113"/>
      <c r="DA171" s="62">
        <f>订货1!BF171</f>
        <v>0</v>
      </c>
      <c r="DB171" s="113"/>
      <c r="DC171" s="113"/>
      <c r="DD171" s="208">
        <v>0</v>
      </c>
      <c r="DE171" s="110" t="e">
        <f t="shared" si="38"/>
        <v>#DIV/0!</v>
      </c>
      <c r="DF171" s="52">
        <f t="shared" si="37"/>
        <v>0</v>
      </c>
      <c r="DG171" s="32" t="str">
        <f>订货1!$Q171</f>
        <v>箱</v>
      </c>
      <c r="DH171" s="209" t="e">
        <f t="shared" si="39"/>
        <v>#DIV/0!</v>
      </c>
    </row>
    <row r="172" spans="1:112" ht="15" customHeight="1">
      <c r="A172" s="48">
        <f>订货1!A172</f>
        <v>101586</v>
      </c>
      <c r="B172" s="44" t="str">
        <f>VLOOKUP($A172,订货1!$A172:$G415,7,0)</f>
        <v>上海熠泽食品有限公司</v>
      </c>
      <c r="C172" s="44" t="str">
        <f>VLOOKUP($A172,订货1!$A172:$H415,8,0)</f>
        <v>乌拉特中旗青青草原羊业有限公司</v>
      </c>
      <c r="D172" s="44" t="str">
        <f>VLOOKUP($A172,订货1!$A172:$B415,2,0)</f>
        <v>法式羊排</v>
      </c>
      <c r="E172" s="44" t="str">
        <f>VLOOKUP($A172,订货1!$A172:$E415,5,0)</f>
        <v>1.14kg*12pc</v>
      </c>
      <c r="F172" s="49" t="str">
        <f>VLOOKUP($A172,订货1!$A172:$F415,6,0)</f>
        <v>箱</v>
      </c>
      <c r="G172" s="203"/>
      <c r="H172" s="56">
        <f t="shared" si="40"/>
        <v>0</v>
      </c>
      <c r="I172" s="196"/>
      <c r="J172" s="113"/>
      <c r="K172" s="113"/>
      <c r="L172" s="196"/>
      <c r="M172" s="113"/>
      <c r="N172" s="113"/>
      <c r="O172" s="62">
        <f>订货1!AB172</f>
        <v>0</v>
      </c>
      <c r="P172" s="113"/>
      <c r="Q172" s="113"/>
      <c r="R172" s="62">
        <f>订货1!AC172</f>
        <v>0</v>
      </c>
      <c r="S172" s="113"/>
      <c r="T172" s="113"/>
      <c r="U172" s="62">
        <f>订货1!AD172</f>
        <v>0</v>
      </c>
      <c r="V172" s="113"/>
      <c r="W172" s="113"/>
      <c r="X172" s="62">
        <f>订货1!AE172</f>
        <v>0</v>
      </c>
      <c r="Y172" s="113"/>
      <c r="Z172" s="113"/>
      <c r="AA172" s="62">
        <f>订货1!AF172</f>
        <v>0</v>
      </c>
      <c r="AB172" s="113"/>
      <c r="AC172" s="113"/>
      <c r="AD172" s="62">
        <f>订货1!AG172</f>
        <v>0</v>
      </c>
      <c r="AE172" s="113"/>
      <c r="AF172" s="113"/>
      <c r="AG172" s="62">
        <f>订货1!AH172</f>
        <v>0</v>
      </c>
      <c r="AH172" s="113"/>
      <c r="AI172" s="113"/>
      <c r="AJ172" s="62">
        <f>订货1!AI172</f>
        <v>0</v>
      </c>
      <c r="AK172" s="113"/>
      <c r="AL172" s="113"/>
      <c r="AM172" s="62">
        <f>订货1!AJ172</f>
        <v>0</v>
      </c>
      <c r="AN172" s="113"/>
      <c r="AO172" s="113"/>
      <c r="AP172" s="62">
        <f>订货1!AK172</f>
        <v>0</v>
      </c>
      <c r="AQ172" s="113"/>
      <c r="AR172" s="113"/>
      <c r="AS172" s="62">
        <f>订货1!AL172</f>
        <v>0</v>
      </c>
      <c r="AT172" s="113"/>
      <c r="AU172" s="113"/>
      <c r="AV172" s="62">
        <f>订货1!AM172</f>
        <v>0</v>
      </c>
      <c r="AW172" s="113"/>
      <c r="AX172" s="113"/>
      <c r="AY172" s="62">
        <f>订货1!AN172</f>
        <v>0</v>
      </c>
      <c r="AZ172" s="113"/>
      <c r="BA172" s="113"/>
      <c r="BB172" s="62">
        <f>订货1!AO172</f>
        <v>0</v>
      </c>
      <c r="BC172" s="113"/>
      <c r="BD172" s="113"/>
      <c r="BE172" s="62">
        <f>订货1!AP172</f>
        <v>0</v>
      </c>
      <c r="BF172" s="113"/>
      <c r="BG172" s="113"/>
      <c r="BH172" s="62">
        <f>订货1!AQ172</f>
        <v>0</v>
      </c>
      <c r="BI172" s="113"/>
      <c r="BJ172" s="113"/>
      <c r="BK172" s="62">
        <f>订货1!AR172</f>
        <v>0</v>
      </c>
      <c r="BL172" s="113"/>
      <c r="BM172" s="113"/>
      <c r="BN172" s="62">
        <f>订货1!AS172</f>
        <v>0</v>
      </c>
      <c r="BO172" s="113"/>
      <c r="BP172" s="113"/>
      <c r="BQ172" s="62">
        <f>订货1!AT172</f>
        <v>0</v>
      </c>
      <c r="BR172" s="113"/>
      <c r="BS172" s="113"/>
      <c r="BT172" s="62">
        <f>订货1!AU172</f>
        <v>0</v>
      </c>
      <c r="BU172" s="113"/>
      <c r="BV172" s="113"/>
      <c r="BW172" s="62">
        <f>订货1!AV172</f>
        <v>0</v>
      </c>
      <c r="BX172" s="113"/>
      <c r="BY172" s="113"/>
      <c r="BZ172" s="62">
        <f>订货1!AW172</f>
        <v>0</v>
      </c>
      <c r="CA172" s="113"/>
      <c r="CB172" s="113"/>
      <c r="CC172" s="62">
        <f>订货1!AX172</f>
        <v>0</v>
      </c>
      <c r="CD172" s="113"/>
      <c r="CE172" s="113"/>
      <c r="CF172" s="62">
        <f>订货1!AY172</f>
        <v>0</v>
      </c>
      <c r="CG172" s="113"/>
      <c r="CH172" s="113"/>
      <c r="CI172" s="62">
        <f>订货1!AZ172</f>
        <v>0</v>
      </c>
      <c r="CJ172" s="113"/>
      <c r="CK172" s="113"/>
      <c r="CL172" s="62">
        <f>订货1!BA172</f>
        <v>0</v>
      </c>
      <c r="CM172" s="113"/>
      <c r="CN172" s="113"/>
      <c r="CO172" s="62">
        <f>订货1!BB172</f>
        <v>0</v>
      </c>
      <c r="CP172" s="113"/>
      <c r="CQ172" s="113"/>
      <c r="CR172" s="62">
        <f>订货1!BC172</f>
        <v>0</v>
      </c>
      <c r="CS172" s="113"/>
      <c r="CT172" s="113"/>
      <c r="CU172" s="62">
        <f>订货1!BD172</f>
        <v>0</v>
      </c>
      <c r="CV172" s="113"/>
      <c r="CW172" s="113"/>
      <c r="CX172" s="62">
        <f>订货1!BE172</f>
        <v>0</v>
      </c>
      <c r="CY172" s="113"/>
      <c r="CZ172" s="113"/>
      <c r="DA172" s="62">
        <f>订货1!BF172</f>
        <v>0</v>
      </c>
      <c r="DB172" s="113"/>
      <c r="DC172" s="113"/>
      <c r="DD172" s="208">
        <v>0</v>
      </c>
      <c r="DE172" s="110" t="e">
        <f t="shared" si="38"/>
        <v>#DIV/0!</v>
      </c>
      <c r="DF172" s="52">
        <f t="shared" si="37"/>
        <v>0</v>
      </c>
      <c r="DG172" s="32" t="str">
        <f>订货1!$Q172</f>
        <v>箱</v>
      </c>
      <c r="DH172" s="209" t="e">
        <f t="shared" si="39"/>
        <v>#DIV/0!</v>
      </c>
    </row>
    <row r="173" spans="1:112" ht="15" customHeight="1">
      <c r="A173" s="48">
        <f>订货1!A173</f>
        <v>101602</v>
      </c>
      <c r="B173" s="44" t="str">
        <f>VLOOKUP($A173,订货1!$A173:$G416,7,0)</f>
        <v>上海熠泽食品有限公司</v>
      </c>
      <c r="C173" s="44" t="str">
        <f>VLOOKUP($A173,订货1!$A173:$H416,8,0)</f>
        <v>NV Eurofreez</v>
      </c>
      <c r="D173" s="44" t="str">
        <f>VLOOKUP($A173,订货1!$A173:$B416,2,0)</f>
        <v>爱味客原味土豆泥</v>
      </c>
      <c r="E173" s="44" t="str">
        <f>VLOOKUP($A173,订货1!$A173:$E416,5,0)</f>
        <v>2.5kg*4pc</v>
      </c>
      <c r="F173" s="49" t="str">
        <f>VLOOKUP($A173,订货1!$A173:$F416,6,0)</f>
        <v>箱</v>
      </c>
      <c r="G173" s="203"/>
      <c r="H173" s="56">
        <f t="shared" si="40"/>
        <v>0</v>
      </c>
      <c r="I173" s="196"/>
      <c r="J173" s="113"/>
      <c r="K173" s="113"/>
      <c r="L173" s="196"/>
      <c r="M173" s="113"/>
      <c r="N173" s="113"/>
      <c r="O173" s="62">
        <f>订货1!AB173</f>
        <v>0</v>
      </c>
      <c r="P173" s="113"/>
      <c r="Q173" s="113"/>
      <c r="R173" s="62">
        <f>订货1!AC173</f>
        <v>0</v>
      </c>
      <c r="S173" s="113"/>
      <c r="T173" s="113"/>
      <c r="U173" s="62">
        <f>订货1!AD173</f>
        <v>0</v>
      </c>
      <c r="V173" s="113"/>
      <c r="W173" s="113"/>
      <c r="X173" s="62">
        <f>订货1!AE173</f>
        <v>0</v>
      </c>
      <c r="Y173" s="113"/>
      <c r="Z173" s="113"/>
      <c r="AA173" s="62">
        <f>订货1!AF173</f>
        <v>0</v>
      </c>
      <c r="AB173" s="113"/>
      <c r="AC173" s="113"/>
      <c r="AD173" s="62">
        <f>订货1!AG173</f>
        <v>0</v>
      </c>
      <c r="AE173" s="113"/>
      <c r="AF173" s="113"/>
      <c r="AG173" s="62">
        <f>订货1!AH173</f>
        <v>0</v>
      </c>
      <c r="AH173" s="113"/>
      <c r="AI173" s="113"/>
      <c r="AJ173" s="62">
        <f>订货1!AI173</f>
        <v>0</v>
      </c>
      <c r="AK173" s="113"/>
      <c r="AL173" s="113"/>
      <c r="AM173" s="62">
        <f>订货1!AJ173</f>
        <v>0</v>
      </c>
      <c r="AN173" s="113"/>
      <c r="AO173" s="113"/>
      <c r="AP173" s="62">
        <f>订货1!AK173</f>
        <v>0</v>
      </c>
      <c r="AQ173" s="113"/>
      <c r="AR173" s="113"/>
      <c r="AS173" s="62">
        <f>订货1!AL173</f>
        <v>0</v>
      </c>
      <c r="AT173" s="113"/>
      <c r="AU173" s="113"/>
      <c r="AV173" s="62">
        <f>订货1!AM173</f>
        <v>0</v>
      </c>
      <c r="AW173" s="113"/>
      <c r="AX173" s="113"/>
      <c r="AY173" s="62">
        <f>订货1!AN173</f>
        <v>0</v>
      </c>
      <c r="AZ173" s="113"/>
      <c r="BA173" s="113"/>
      <c r="BB173" s="62">
        <f>订货1!AO173</f>
        <v>0</v>
      </c>
      <c r="BC173" s="113"/>
      <c r="BD173" s="113"/>
      <c r="BE173" s="62">
        <f>订货1!AP173</f>
        <v>0</v>
      </c>
      <c r="BF173" s="113"/>
      <c r="BG173" s="113"/>
      <c r="BH173" s="62">
        <f>订货1!AQ173</f>
        <v>0</v>
      </c>
      <c r="BI173" s="113"/>
      <c r="BJ173" s="113"/>
      <c r="BK173" s="62">
        <f>订货1!AR173</f>
        <v>0</v>
      </c>
      <c r="BL173" s="113"/>
      <c r="BM173" s="113"/>
      <c r="BN173" s="62">
        <f>订货1!AS173</f>
        <v>0</v>
      </c>
      <c r="BO173" s="113"/>
      <c r="BP173" s="113"/>
      <c r="BQ173" s="62">
        <f>订货1!AT173</f>
        <v>0</v>
      </c>
      <c r="BR173" s="113"/>
      <c r="BS173" s="113"/>
      <c r="BT173" s="62">
        <f>订货1!AU173</f>
        <v>0</v>
      </c>
      <c r="BU173" s="113"/>
      <c r="BV173" s="113"/>
      <c r="BW173" s="62">
        <f>订货1!AV173</f>
        <v>0</v>
      </c>
      <c r="BX173" s="113"/>
      <c r="BY173" s="113"/>
      <c r="BZ173" s="62">
        <f>订货1!AW173</f>
        <v>0</v>
      </c>
      <c r="CA173" s="113"/>
      <c r="CB173" s="113"/>
      <c r="CC173" s="62">
        <f>订货1!AX173</f>
        <v>0</v>
      </c>
      <c r="CD173" s="113"/>
      <c r="CE173" s="113"/>
      <c r="CF173" s="62">
        <f>订货1!AY173</f>
        <v>0</v>
      </c>
      <c r="CG173" s="113"/>
      <c r="CH173" s="113"/>
      <c r="CI173" s="62">
        <f>订货1!AZ173</f>
        <v>0</v>
      </c>
      <c r="CJ173" s="113"/>
      <c r="CK173" s="113"/>
      <c r="CL173" s="62">
        <f>订货1!BA173</f>
        <v>0</v>
      </c>
      <c r="CM173" s="113"/>
      <c r="CN173" s="113"/>
      <c r="CO173" s="62">
        <f>订货1!BB173</f>
        <v>0</v>
      </c>
      <c r="CP173" s="113"/>
      <c r="CQ173" s="113"/>
      <c r="CR173" s="62">
        <f>订货1!BC173</f>
        <v>0</v>
      </c>
      <c r="CS173" s="113"/>
      <c r="CT173" s="113"/>
      <c r="CU173" s="62">
        <f>订货1!BD173</f>
        <v>0</v>
      </c>
      <c r="CV173" s="113"/>
      <c r="CW173" s="113"/>
      <c r="CX173" s="62">
        <f>订货1!BE173</f>
        <v>0</v>
      </c>
      <c r="CY173" s="113"/>
      <c r="CZ173" s="113"/>
      <c r="DA173" s="62">
        <f>订货1!BF173</f>
        <v>0</v>
      </c>
      <c r="DB173" s="113"/>
      <c r="DC173" s="113"/>
      <c r="DD173" s="208">
        <v>0</v>
      </c>
      <c r="DE173" s="110" t="e">
        <f t="shared" si="38"/>
        <v>#DIV/0!</v>
      </c>
      <c r="DF173" s="52">
        <f t="shared" si="37"/>
        <v>0</v>
      </c>
      <c r="DG173" s="32" t="str">
        <f>订货1!$Q173</f>
        <v>箱</v>
      </c>
      <c r="DH173" s="209" t="e">
        <f t="shared" si="39"/>
        <v>#DIV/0!</v>
      </c>
    </row>
    <row r="174" spans="1:112" ht="15" customHeight="1">
      <c r="A174" s="48">
        <f>订货1!A174</f>
        <v>401286</v>
      </c>
      <c r="B174" s="44" t="str">
        <f>VLOOKUP($A174,订货1!$A174:$G417,7,0)</f>
        <v>上海煦臻实业有限公司</v>
      </c>
      <c r="C174" s="44" t="str">
        <f>VLOOKUP($A174,订货1!$A174:$H417,8,0)</f>
        <v xml:space="preserve">杭州丘比食品有限公司 </v>
      </c>
      <c r="D174" s="44" t="str">
        <f>VLOOKUP($A174,订货1!$A174:$B417,2,0)</f>
        <v>萨莉亚沙拉酱</v>
      </c>
      <c r="E174" s="44" t="str">
        <f>VLOOKUP($A174,订货1!$A174:$E417,5,0)</f>
        <v>1kg*10pc</v>
      </c>
      <c r="F174" s="49" t="str">
        <f>VLOOKUP($A174,订货1!$A174:$F417,6,0)</f>
        <v>箱</v>
      </c>
      <c r="G174" s="203"/>
      <c r="H174" s="56">
        <f t="shared" si="40"/>
        <v>3</v>
      </c>
      <c r="I174" s="196"/>
      <c r="J174" s="113"/>
      <c r="K174" s="113"/>
      <c r="L174" s="196"/>
      <c r="M174" s="113"/>
      <c r="N174" s="113"/>
      <c r="O174" s="62">
        <f>订货1!AB174</f>
        <v>0</v>
      </c>
      <c r="P174" s="113"/>
      <c r="Q174" s="113"/>
      <c r="R174" s="62">
        <f>订货1!AC174</f>
        <v>0</v>
      </c>
      <c r="S174" s="113"/>
      <c r="T174" s="113"/>
      <c r="U174" s="62">
        <f>订货1!AD174</f>
        <v>0</v>
      </c>
      <c r="V174" s="113"/>
      <c r="W174" s="113"/>
      <c r="X174" s="62">
        <f>订货1!AE174</f>
        <v>1</v>
      </c>
      <c r="Y174" s="113"/>
      <c r="Z174" s="113"/>
      <c r="AA174" s="62">
        <f>订货1!AF174</f>
        <v>0</v>
      </c>
      <c r="AB174" s="113"/>
      <c r="AC174" s="113"/>
      <c r="AD174" s="62">
        <f>订货1!AG174</f>
        <v>0</v>
      </c>
      <c r="AE174" s="113"/>
      <c r="AF174" s="113"/>
      <c r="AG174" s="62">
        <f>订货1!AH174</f>
        <v>0</v>
      </c>
      <c r="AH174" s="113"/>
      <c r="AI174" s="113"/>
      <c r="AJ174" s="62">
        <f>订货1!AI174</f>
        <v>1</v>
      </c>
      <c r="AK174" s="113"/>
      <c r="AL174" s="113"/>
      <c r="AM174" s="62">
        <f>订货1!AJ174</f>
        <v>0</v>
      </c>
      <c r="AN174" s="113"/>
      <c r="AO174" s="113"/>
      <c r="AP174" s="62">
        <f>订货1!AK174</f>
        <v>0</v>
      </c>
      <c r="AQ174" s="113"/>
      <c r="AR174" s="113"/>
      <c r="AS174" s="62">
        <f>订货1!AL174</f>
        <v>0</v>
      </c>
      <c r="AT174" s="113"/>
      <c r="AU174" s="113"/>
      <c r="AV174" s="62">
        <f>订货1!AM174</f>
        <v>1</v>
      </c>
      <c r="AW174" s="113"/>
      <c r="AX174" s="113"/>
      <c r="AY174" s="62">
        <f>订货1!AN174</f>
        <v>0</v>
      </c>
      <c r="AZ174" s="113"/>
      <c r="BA174" s="113"/>
      <c r="BB174" s="62">
        <f>订货1!AO174</f>
        <v>0</v>
      </c>
      <c r="BC174" s="113"/>
      <c r="BD174" s="113"/>
      <c r="BE174" s="62">
        <f>订货1!AP174</f>
        <v>0</v>
      </c>
      <c r="BF174" s="113"/>
      <c r="BG174" s="113"/>
      <c r="BH174" s="62">
        <f>订货1!AQ174</f>
        <v>0</v>
      </c>
      <c r="BI174" s="113"/>
      <c r="BJ174" s="113"/>
      <c r="BK174" s="62">
        <f>订货1!AR174</f>
        <v>0</v>
      </c>
      <c r="BL174" s="113"/>
      <c r="BM174" s="113"/>
      <c r="BN174" s="62">
        <f>订货1!AS174</f>
        <v>0</v>
      </c>
      <c r="BO174" s="113"/>
      <c r="BP174" s="113"/>
      <c r="BQ174" s="62">
        <f>订货1!AT174</f>
        <v>0</v>
      </c>
      <c r="BR174" s="113"/>
      <c r="BS174" s="113"/>
      <c r="BT174" s="62">
        <f>订货1!AU174</f>
        <v>0</v>
      </c>
      <c r="BU174" s="113"/>
      <c r="BV174" s="113"/>
      <c r="BW174" s="62">
        <f>订货1!AV174</f>
        <v>0</v>
      </c>
      <c r="BX174" s="113"/>
      <c r="BY174" s="113"/>
      <c r="BZ174" s="62">
        <f>订货1!AW174</f>
        <v>0</v>
      </c>
      <c r="CA174" s="113"/>
      <c r="CB174" s="113"/>
      <c r="CC174" s="62">
        <f>订货1!AX174</f>
        <v>0</v>
      </c>
      <c r="CD174" s="113"/>
      <c r="CE174" s="113"/>
      <c r="CF174" s="62">
        <f>订货1!AY174</f>
        <v>0</v>
      </c>
      <c r="CG174" s="113"/>
      <c r="CH174" s="113"/>
      <c r="CI174" s="62">
        <f>订货1!AZ174</f>
        <v>0</v>
      </c>
      <c r="CJ174" s="113"/>
      <c r="CK174" s="113"/>
      <c r="CL174" s="62">
        <f>订货1!BA174</f>
        <v>0</v>
      </c>
      <c r="CM174" s="113"/>
      <c r="CN174" s="113"/>
      <c r="CO174" s="62">
        <f>订货1!BB174</f>
        <v>0</v>
      </c>
      <c r="CP174" s="113"/>
      <c r="CQ174" s="113"/>
      <c r="CR174" s="62">
        <f>订货1!BC174</f>
        <v>0</v>
      </c>
      <c r="CS174" s="113"/>
      <c r="CT174" s="113"/>
      <c r="CU174" s="62">
        <f>订货1!BD174</f>
        <v>0</v>
      </c>
      <c r="CV174" s="113"/>
      <c r="CW174" s="113"/>
      <c r="CX174" s="62">
        <f>订货1!BE174</f>
        <v>0</v>
      </c>
      <c r="CY174" s="113"/>
      <c r="CZ174" s="113"/>
      <c r="DA174" s="62">
        <f>订货1!BF174</f>
        <v>0</v>
      </c>
      <c r="DB174" s="113"/>
      <c r="DC174" s="113"/>
      <c r="DD174" s="208">
        <v>0</v>
      </c>
      <c r="DE174" s="110" t="e">
        <f t="shared" si="38"/>
        <v>#DIV/0!</v>
      </c>
      <c r="DF174" s="52">
        <f t="shared" si="37"/>
        <v>3</v>
      </c>
      <c r="DG174" s="32" t="str">
        <f>订货1!$Q174</f>
        <v>箱</v>
      </c>
      <c r="DH174" s="209" t="e">
        <f t="shared" si="39"/>
        <v>#DIV/0!</v>
      </c>
    </row>
    <row r="175" spans="1:112" ht="15" customHeight="1">
      <c r="A175" s="48">
        <f>订货1!A175</f>
        <v>101624</v>
      </c>
      <c r="B175" s="44" t="str">
        <f>VLOOKUP($A175,订货1!$A175:$G418,7,0)</f>
        <v>融滋合味（上海）科技有限公司</v>
      </c>
      <c r="C175" s="44" t="str">
        <f>VLOOKUP($A175,订货1!$A175:$H418,8,0)</f>
        <v>fallini formaggi s.r.l</v>
      </c>
      <c r="D175" s="44" t="str">
        <f>VLOOKUP($A175,订货1!$A175:$B418,2,0)</f>
        <v>芝士粉</v>
      </c>
      <c r="E175" s="44" t="str">
        <f>VLOOKUP($A175,订货1!$A175:$E418,5,0)</f>
        <v>20pc*450g</v>
      </c>
      <c r="F175" s="49" t="str">
        <f>VLOOKUP($A175,订货1!$A175:$F418,6,0)</f>
        <v>箱</v>
      </c>
      <c r="G175" s="203"/>
      <c r="H175" s="56">
        <f t="shared" si="40"/>
        <v>0</v>
      </c>
      <c r="I175" s="196"/>
      <c r="J175" s="113"/>
      <c r="K175" s="113"/>
      <c r="L175" s="196"/>
      <c r="M175" s="113"/>
      <c r="N175" s="113"/>
      <c r="O175" s="62">
        <f>订货1!AB175</f>
        <v>0</v>
      </c>
      <c r="P175" s="113"/>
      <c r="Q175" s="113"/>
      <c r="R175" s="62">
        <f>订货1!AC175</f>
        <v>0</v>
      </c>
      <c r="S175" s="113"/>
      <c r="T175" s="113"/>
      <c r="U175" s="62">
        <f>订货1!AD175</f>
        <v>0</v>
      </c>
      <c r="V175" s="113"/>
      <c r="W175" s="113"/>
      <c r="X175" s="62">
        <f>订货1!AE175</f>
        <v>0</v>
      </c>
      <c r="Y175" s="113"/>
      <c r="Z175" s="113"/>
      <c r="AA175" s="62">
        <f>订货1!AF175</f>
        <v>0</v>
      </c>
      <c r="AB175" s="113"/>
      <c r="AC175" s="113"/>
      <c r="AD175" s="62">
        <f>订货1!AG175</f>
        <v>0</v>
      </c>
      <c r="AE175" s="113"/>
      <c r="AF175" s="113"/>
      <c r="AG175" s="62">
        <f>订货1!AH175</f>
        <v>0</v>
      </c>
      <c r="AH175" s="113"/>
      <c r="AI175" s="113"/>
      <c r="AJ175" s="62">
        <f>订货1!AI175</f>
        <v>0</v>
      </c>
      <c r="AK175" s="113"/>
      <c r="AL175" s="113"/>
      <c r="AM175" s="62">
        <f>订货1!AJ175</f>
        <v>0</v>
      </c>
      <c r="AN175" s="113"/>
      <c r="AO175" s="113"/>
      <c r="AP175" s="62">
        <f>订货1!AK175</f>
        <v>0</v>
      </c>
      <c r="AQ175" s="113"/>
      <c r="AR175" s="113"/>
      <c r="AS175" s="62">
        <f>订货1!AL175</f>
        <v>0</v>
      </c>
      <c r="AT175" s="113"/>
      <c r="AU175" s="113"/>
      <c r="AV175" s="62">
        <f>订货1!AM175</f>
        <v>0</v>
      </c>
      <c r="AW175" s="113"/>
      <c r="AX175" s="113"/>
      <c r="AY175" s="62">
        <f>订货1!AN175</f>
        <v>0</v>
      </c>
      <c r="AZ175" s="113"/>
      <c r="BA175" s="113"/>
      <c r="BB175" s="62">
        <f>订货1!AO175</f>
        <v>0</v>
      </c>
      <c r="BC175" s="113"/>
      <c r="BD175" s="113"/>
      <c r="BE175" s="62">
        <f>订货1!AP175</f>
        <v>0</v>
      </c>
      <c r="BF175" s="113"/>
      <c r="BG175" s="113"/>
      <c r="BH175" s="62">
        <f>订货1!AQ175</f>
        <v>0</v>
      </c>
      <c r="BI175" s="113"/>
      <c r="BJ175" s="113"/>
      <c r="BK175" s="62">
        <f>订货1!AR175</f>
        <v>0</v>
      </c>
      <c r="BL175" s="113"/>
      <c r="BM175" s="113"/>
      <c r="BN175" s="62">
        <f>订货1!AS175</f>
        <v>0</v>
      </c>
      <c r="BO175" s="113"/>
      <c r="BP175" s="113"/>
      <c r="BQ175" s="62">
        <f>订货1!AT175</f>
        <v>0</v>
      </c>
      <c r="BR175" s="113"/>
      <c r="BS175" s="113"/>
      <c r="BT175" s="62">
        <f>订货1!AU175</f>
        <v>0</v>
      </c>
      <c r="BU175" s="113"/>
      <c r="BV175" s="113"/>
      <c r="BW175" s="62">
        <f>订货1!AV175</f>
        <v>0</v>
      </c>
      <c r="BX175" s="113"/>
      <c r="BY175" s="113"/>
      <c r="BZ175" s="62">
        <f>订货1!AW175</f>
        <v>0</v>
      </c>
      <c r="CA175" s="113"/>
      <c r="CB175" s="113"/>
      <c r="CC175" s="62">
        <f>订货1!AX175</f>
        <v>0</v>
      </c>
      <c r="CD175" s="113"/>
      <c r="CE175" s="113"/>
      <c r="CF175" s="62">
        <f>订货1!AY175</f>
        <v>0</v>
      </c>
      <c r="CG175" s="113"/>
      <c r="CH175" s="113"/>
      <c r="CI175" s="62">
        <f>订货1!AZ175</f>
        <v>0</v>
      </c>
      <c r="CJ175" s="113"/>
      <c r="CK175" s="113"/>
      <c r="CL175" s="62">
        <f>订货1!BA175</f>
        <v>0</v>
      </c>
      <c r="CM175" s="113"/>
      <c r="CN175" s="113"/>
      <c r="CO175" s="62">
        <f>订货1!BB175</f>
        <v>0</v>
      </c>
      <c r="CP175" s="113"/>
      <c r="CQ175" s="113"/>
      <c r="CR175" s="62">
        <f>订货1!BC175</f>
        <v>0</v>
      </c>
      <c r="CS175" s="113"/>
      <c r="CT175" s="113"/>
      <c r="CU175" s="62">
        <f>订货1!BD175</f>
        <v>0</v>
      </c>
      <c r="CV175" s="113"/>
      <c r="CW175" s="113"/>
      <c r="CX175" s="62">
        <f>订货1!BE175</f>
        <v>0</v>
      </c>
      <c r="CY175" s="113"/>
      <c r="CZ175" s="113"/>
      <c r="DA175" s="62">
        <f>订货1!BF175</f>
        <v>0</v>
      </c>
      <c r="DB175" s="113"/>
      <c r="DC175" s="113"/>
      <c r="DD175" s="208">
        <v>0</v>
      </c>
      <c r="DE175" s="110" t="e">
        <f t="shared" si="38"/>
        <v>#DIV/0!</v>
      </c>
      <c r="DF175" s="52">
        <f t="shared" si="37"/>
        <v>0</v>
      </c>
      <c r="DG175" s="32" t="str">
        <f>订货1!$Q175</f>
        <v>箱</v>
      </c>
      <c r="DH175" s="209" t="e">
        <f t="shared" si="39"/>
        <v>#DIV/0!</v>
      </c>
    </row>
    <row r="176" spans="1:112" ht="15" customHeight="1">
      <c r="A176" s="48">
        <f>订货1!A176</f>
        <v>101189</v>
      </c>
      <c r="B176" s="44" t="str">
        <f>VLOOKUP($A176,订货1!$A176:$G419,7,0)</f>
        <v>广州京业食品有限公司</v>
      </c>
      <c r="C176" s="44" t="str">
        <f>VLOOKUP($A176,订货1!$A176:$H419,8,0)</f>
        <v>内蒙古草原鑫河食品有限公司</v>
      </c>
      <c r="D176" s="44" t="str">
        <f>VLOOKUP($A176,订货1!$A176:$B419,2,0)</f>
        <v>法排小切</v>
      </c>
      <c r="E176" s="44" t="str">
        <f>VLOOKUP($A176,订货1!$A176:$E419,5,0)</f>
        <v>0.9kg*14pc</v>
      </c>
      <c r="F176" s="49" t="str">
        <f>VLOOKUP($A176,订货1!$A176:$F419,6,0)</f>
        <v>箱</v>
      </c>
      <c r="G176" s="203"/>
      <c r="H176" s="56">
        <f t="shared" si="40"/>
        <v>2</v>
      </c>
      <c r="I176" s="196"/>
      <c r="J176" s="113"/>
      <c r="K176" s="113"/>
      <c r="L176" s="196"/>
      <c r="M176" s="113"/>
      <c r="N176" s="113"/>
      <c r="O176" s="62">
        <f>订货1!AB176</f>
        <v>0</v>
      </c>
      <c r="P176" s="113"/>
      <c r="Q176" s="113"/>
      <c r="R176" s="62">
        <f>订货1!AC176</f>
        <v>0</v>
      </c>
      <c r="S176" s="113"/>
      <c r="T176" s="113"/>
      <c r="U176" s="62">
        <f>订货1!AD176</f>
        <v>0</v>
      </c>
      <c r="V176" s="113"/>
      <c r="W176" s="113"/>
      <c r="X176" s="62">
        <f>订货1!AE176</f>
        <v>1</v>
      </c>
      <c r="Y176" s="113"/>
      <c r="Z176" s="113"/>
      <c r="AA176" s="62">
        <f>订货1!AF176</f>
        <v>0</v>
      </c>
      <c r="AB176" s="113"/>
      <c r="AC176" s="113"/>
      <c r="AD176" s="62">
        <f>订货1!AG176</f>
        <v>0</v>
      </c>
      <c r="AE176" s="113"/>
      <c r="AF176" s="113"/>
      <c r="AG176" s="62">
        <f>订货1!AH176</f>
        <v>0</v>
      </c>
      <c r="AH176" s="113"/>
      <c r="AI176" s="113"/>
      <c r="AJ176" s="62">
        <f>订货1!AI176</f>
        <v>0</v>
      </c>
      <c r="AK176" s="113"/>
      <c r="AL176" s="113"/>
      <c r="AM176" s="62">
        <f>订货1!AJ176</f>
        <v>0</v>
      </c>
      <c r="AN176" s="113"/>
      <c r="AO176" s="113"/>
      <c r="AP176" s="62">
        <f>订货1!AK176</f>
        <v>0</v>
      </c>
      <c r="AQ176" s="113"/>
      <c r="AR176" s="113"/>
      <c r="AS176" s="62">
        <f>订货1!AL176</f>
        <v>1</v>
      </c>
      <c r="AT176" s="113"/>
      <c r="AU176" s="113"/>
      <c r="AV176" s="62">
        <f>订货1!AM176</f>
        <v>0</v>
      </c>
      <c r="AW176" s="113"/>
      <c r="AX176" s="113"/>
      <c r="AY176" s="62">
        <f>订货1!AN176</f>
        <v>0</v>
      </c>
      <c r="AZ176" s="113"/>
      <c r="BA176" s="113"/>
      <c r="BB176" s="62">
        <f>订货1!AO176</f>
        <v>0</v>
      </c>
      <c r="BC176" s="113"/>
      <c r="BD176" s="113"/>
      <c r="BE176" s="62">
        <f>订货1!AP176</f>
        <v>0</v>
      </c>
      <c r="BF176" s="113"/>
      <c r="BG176" s="113"/>
      <c r="BH176" s="62">
        <f>订货1!AQ176</f>
        <v>0</v>
      </c>
      <c r="BI176" s="113"/>
      <c r="BJ176" s="113"/>
      <c r="BK176" s="62">
        <f>订货1!AR176</f>
        <v>0</v>
      </c>
      <c r="BL176" s="113"/>
      <c r="BM176" s="113"/>
      <c r="BN176" s="62">
        <f>订货1!AS176</f>
        <v>0</v>
      </c>
      <c r="BO176" s="113"/>
      <c r="BP176" s="113"/>
      <c r="BQ176" s="62">
        <f>订货1!AT176</f>
        <v>0</v>
      </c>
      <c r="BR176" s="113"/>
      <c r="BS176" s="113"/>
      <c r="BT176" s="62">
        <f>订货1!AU176</f>
        <v>0</v>
      </c>
      <c r="BU176" s="113"/>
      <c r="BV176" s="113"/>
      <c r="BW176" s="62">
        <f>订货1!AV176</f>
        <v>0</v>
      </c>
      <c r="BX176" s="113"/>
      <c r="BY176" s="113"/>
      <c r="BZ176" s="62">
        <f>订货1!AW176</f>
        <v>0</v>
      </c>
      <c r="CA176" s="113"/>
      <c r="CB176" s="113"/>
      <c r="CC176" s="62">
        <f>订货1!AX176</f>
        <v>0</v>
      </c>
      <c r="CD176" s="113"/>
      <c r="CE176" s="113"/>
      <c r="CF176" s="62">
        <f>订货1!AY176</f>
        <v>0</v>
      </c>
      <c r="CG176" s="113"/>
      <c r="CH176" s="113"/>
      <c r="CI176" s="62">
        <f>订货1!AZ176</f>
        <v>0</v>
      </c>
      <c r="CJ176" s="113"/>
      <c r="CK176" s="113"/>
      <c r="CL176" s="62">
        <f>订货1!BA176</f>
        <v>0</v>
      </c>
      <c r="CM176" s="113"/>
      <c r="CN176" s="113"/>
      <c r="CO176" s="62">
        <f>订货1!BB176</f>
        <v>0</v>
      </c>
      <c r="CP176" s="113"/>
      <c r="CQ176" s="113"/>
      <c r="CR176" s="62">
        <f>订货1!BC176</f>
        <v>0</v>
      </c>
      <c r="CS176" s="113"/>
      <c r="CT176" s="113"/>
      <c r="CU176" s="62">
        <f>订货1!BD176</f>
        <v>0</v>
      </c>
      <c r="CV176" s="113"/>
      <c r="CW176" s="113"/>
      <c r="CX176" s="62">
        <f>订货1!BE176</f>
        <v>0</v>
      </c>
      <c r="CY176" s="113"/>
      <c r="CZ176" s="113"/>
      <c r="DA176" s="62">
        <f>订货1!BF176</f>
        <v>0</v>
      </c>
      <c r="DB176" s="113"/>
      <c r="DC176" s="113"/>
      <c r="DD176" s="208">
        <v>0</v>
      </c>
      <c r="DE176" s="110" t="e">
        <f t="shared" si="38"/>
        <v>#DIV/0!</v>
      </c>
      <c r="DF176" s="52">
        <f t="shared" si="37"/>
        <v>2</v>
      </c>
      <c r="DG176" s="32" t="str">
        <f>订货1!$Q176</f>
        <v>箱</v>
      </c>
      <c r="DH176" s="209" t="e">
        <f t="shared" si="39"/>
        <v>#DIV/0!</v>
      </c>
    </row>
    <row r="177" spans="1:112" ht="15" customHeight="1">
      <c r="A177" s="48">
        <f>订货1!A177</f>
        <v>101490</v>
      </c>
      <c r="B177" s="44" t="str">
        <f>VLOOKUP($A177,订货1!$A177:$G420,7,0)</f>
        <v>上海宝浓食品股份有限公司</v>
      </c>
      <c r="C177" s="44" t="str">
        <f>VLOOKUP($A177,订货1!$A177:$H420,8,0)</f>
        <v>泰州宝堰食品有限公司</v>
      </c>
      <c r="D177" s="44" t="str">
        <f>VLOOKUP($A177,订货1!$A177:$B420,2,0)</f>
        <v>超大熔岩蛋糕</v>
      </c>
      <c r="E177" s="44" t="str">
        <f>VLOOKUP($A177,订货1!$A177:$E420,5,0)</f>
        <v>90g*18块/盒</v>
      </c>
      <c r="F177" s="49" t="str">
        <f>VLOOKUP($A177,订货1!$A177:$F420,6,0)</f>
        <v>盒</v>
      </c>
      <c r="G177" s="203"/>
      <c r="H177" s="56">
        <f t="shared" si="40"/>
        <v>2</v>
      </c>
      <c r="I177" s="196"/>
      <c r="J177" s="113"/>
      <c r="K177" s="113"/>
      <c r="L177" s="196"/>
      <c r="M177" s="113"/>
      <c r="N177" s="113"/>
      <c r="O177" s="62">
        <f>订货1!AB177</f>
        <v>0</v>
      </c>
      <c r="P177" s="113"/>
      <c r="Q177" s="113"/>
      <c r="R177" s="62">
        <f>订货1!AC177</f>
        <v>0</v>
      </c>
      <c r="S177" s="113"/>
      <c r="T177" s="113"/>
      <c r="U177" s="62">
        <f>订货1!AD177</f>
        <v>0</v>
      </c>
      <c r="V177" s="113"/>
      <c r="W177" s="113"/>
      <c r="X177" s="62">
        <f>订货1!AE177</f>
        <v>1</v>
      </c>
      <c r="Y177" s="113"/>
      <c r="Z177" s="113"/>
      <c r="AA177" s="62">
        <f>订货1!AF177</f>
        <v>0</v>
      </c>
      <c r="AB177" s="113"/>
      <c r="AC177" s="113"/>
      <c r="AD177" s="62">
        <f>订货1!AG177</f>
        <v>0</v>
      </c>
      <c r="AE177" s="113"/>
      <c r="AF177" s="113"/>
      <c r="AG177" s="62">
        <f>订货1!AH177</f>
        <v>0</v>
      </c>
      <c r="AH177" s="113"/>
      <c r="AI177" s="113"/>
      <c r="AJ177" s="62">
        <f>订货1!AI177</f>
        <v>1</v>
      </c>
      <c r="AK177" s="113"/>
      <c r="AL177" s="113"/>
      <c r="AM177" s="62">
        <f>订货1!AJ177</f>
        <v>0</v>
      </c>
      <c r="AN177" s="113"/>
      <c r="AO177" s="113"/>
      <c r="AP177" s="62">
        <f>订货1!AK177</f>
        <v>0</v>
      </c>
      <c r="AQ177" s="113"/>
      <c r="AR177" s="113"/>
      <c r="AS177" s="62">
        <f>订货1!AL177</f>
        <v>0</v>
      </c>
      <c r="AT177" s="113"/>
      <c r="AU177" s="113"/>
      <c r="AV177" s="62">
        <f>订货1!AM177</f>
        <v>0</v>
      </c>
      <c r="AW177" s="113"/>
      <c r="AX177" s="113"/>
      <c r="AY177" s="62">
        <f>订货1!AN177</f>
        <v>0</v>
      </c>
      <c r="AZ177" s="113"/>
      <c r="BA177" s="113"/>
      <c r="BB177" s="62">
        <f>订货1!AO177</f>
        <v>0</v>
      </c>
      <c r="BC177" s="113"/>
      <c r="BD177" s="113"/>
      <c r="BE177" s="62">
        <f>订货1!AP177</f>
        <v>0</v>
      </c>
      <c r="BF177" s="113"/>
      <c r="BG177" s="113"/>
      <c r="BH177" s="62">
        <f>订货1!AQ177</f>
        <v>0</v>
      </c>
      <c r="BI177" s="113"/>
      <c r="BJ177" s="113"/>
      <c r="BK177" s="62">
        <f>订货1!AR177</f>
        <v>0</v>
      </c>
      <c r="BL177" s="113"/>
      <c r="BM177" s="113"/>
      <c r="BN177" s="62">
        <f>订货1!AS177</f>
        <v>0</v>
      </c>
      <c r="BO177" s="113"/>
      <c r="BP177" s="113"/>
      <c r="BQ177" s="62">
        <f>订货1!AT177</f>
        <v>0</v>
      </c>
      <c r="BR177" s="113"/>
      <c r="BS177" s="113"/>
      <c r="BT177" s="62">
        <f>订货1!AU177</f>
        <v>0</v>
      </c>
      <c r="BU177" s="113"/>
      <c r="BV177" s="113"/>
      <c r="BW177" s="62">
        <f>订货1!AV177</f>
        <v>0</v>
      </c>
      <c r="BX177" s="113"/>
      <c r="BY177" s="113"/>
      <c r="BZ177" s="62">
        <f>订货1!AW177</f>
        <v>0</v>
      </c>
      <c r="CA177" s="113"/>
      <c r="CB177" s="113"/>
      <c r="CC177" s="62">
        <f>订货1!AX177</f>
        <v>0</v>
      </c>
      <c r="CD177" s="113"/>
      <c r="CE177" s="113"/>
      <c r="CF177" s="62">
        <f>订货1!AY177</f>
        <v>0</v>
      </c>
      <c r="CG177" s="113"/>
      <c r="CH177" s="113"/>
      <c r="CI177" s="62">
        <f>订货1!AZ177</f>
        <v>0</v>
      </c>
      <c r="CJ177" s="113"/>
      <c r="CK177" s="113"/>
      <c r="CL177" s="62">
        <f>订货1!BA177</f>
        <v>0</v>
      </c>
      <c r="CM177" s="113"/>
      <c r="CN177" s="113"/>
      <c r="CO177" s="62">
        <f>订货1!BB177</f>
        <v>0</v>
      </c>
      <c r="CP177" s="113"/>
      <c r="CQ177" s="113"/>
      <c r="CR177" s="62">
        <f>订货1!BC177</f>
        <v>0</v>
      </c>
      <c r="CS177" s="113"/>
      <c r="CT177" s="113"/>
      <c r="CU177" s="62">
        <f>订货1!BD177</f>
        <v>0</v>
      </c>
      <c r="CV177" s="113"/>
      <c r="CW177" s="113"/>
      <c r="CX177" s="62">
        <f>订货1!BE177</f>
        <v>0</v>
      </c>
      <c r="CY177" s="113"/>
      <c r="CZ177" s="113"/>
      <c r="DA177" s="62">
        <f>订货1!BF177</f>
        <v>0</v>
      </c>
      <c r="DB177" s="113"/>
      <c r="DC177" s="113"/>
      <c r="DD177" s="208">
        <v>0</v>
      </c>
      <c r="DE177" s="110" t="e">
        <f t="shared" si="38"/>
        <v>#DIV/0!</v>
      </c>
      <c r="DF177" s="52">
        <f t="shared" si="37"/>
        <v>2</v>
      </c>
      <c r="DG177" s="32" t="str">
        <f>订货1!$Q177</f>
        <v>盒</v>
      </c>
      <c r="DH177" s="209" t="e">
        <f t="shared" si="39"/>
        <v>#DIV/0!</v>
      </c>
    </row>
    <row r="178" spans="1:112" ht="15" customHeight="1">
      <c r="A178" s="48">
        <f>订货1!A178</f>
        <v>101723</v>
      </c>
      <c r="B178" s="44" t="str">
        <f>VLOOKUP($A178,订货1!$A178:$G421,7,0)</f>
        <v>青岛国辉食品有限公司</v>
      </c>
      <c r="C178" s="44" t="str">
        <f>VLOOKUP($A178,订货1!$A178:$H421,8,0)</f>
        <v>青岛国辉食品有限公司</v>
      </c>
      <c r="D178" s="44" t="str">
        <f>VLOOKUP($A178,订货1!$A178:$B421,2,0)</f>
        <v>调理雪花牛肉粒</v>
      </c>
      <c r="E178" s="44" t="str">
        <f>VLOOKUP($A178,订货1!$A178:$E421,5,0)</f>
        <v>0.15kg*80pc</v>
      </c>
      <c r="F178" s="49" t="str">
        <f>VLOOKUP($A178,订货1!$A178:$F421,6,0)</f>
        <v>箱</v>
      </c>
      <c r="G178" s="203"/>
      <c r="H178" s="56">
        <f t="shared" si="40"/>
        <v>2</v>
      </c>
      <c r="I178" s="196"/>
      <c r="J178" s="113"/>
      <c r="K178" s="113"/>
      <c r="L178" s="196"/>
      <c r="M178" s="113"/>
      <c r="N178" s="113"/>
      <c r="O178" s="62">
        <f>订货1!AB178</f>
        <v>0</v>
      </c>
      <c r="P178" s="113"/>
      <c r="Q178" s="113"/>
      <c r="R178" s="62">
        <f>订货1!AC178</f>
        <v>0</v>
      </c>
      <c r="S178" s="113"/>
      <c r="T178" s="113"/>
      <c r="U178" s="62">
        <f>订货1!AD178</f>
        <v>0</v>
      </c>
      <c r="V178" s="113"/>
      <c r="W178" s="113"/>
      <c r="X178" s="62">
        <f>订货1!AE178</f>
        <v>0</v>
      </c>
      <c r="Y178" s="113"/>
      <c r="Z178" s="113"/>
      <c r="AA178" s="62">
        <f>订货1!AF178</f>
        <v>0</v>
      </c>
      <c r="AB178" s="113"/>
      <c r="AC178" s="113"/>
      <c r="AD178" s="62">
        <f>订货1!AG178</f>
        <v>1</v>
      </c>
      <c r="AE178" s="113"/>
      <c r="AF178" s="113"/>
      <c r="AG178" s="62">
        <f>订货1!AH178</f>
        <v>0</v>
      </c>
      <c r="AH178" s="113"/>
      <c r="AI178" s="113"/>
      <c r="AJ178" s="62">
        <f>订货1!AI178</f>
        <v>0</v>
      </c>
      <c r="AK178" s="113"/>
      <c r="AL178" s="113"/>
      <c r="AM178" s="62">
        <f>订货1!AJ178</f>
        <v>0</v>
      </c>
      <c r="AN178" s="113"/>
      <c r="AO178" s="113"/>
      <c r="AP178" s="62">
        <f>订货1!AK178</f>
        <v>0</v>
      </c>
      <c r="AQ178" s="113"/>
      <c r="AR178" s="113"/>
      <c r="AS178" s="62">
        <f>订货1!AL178</f>
        <v>0</v>
      </c>
      <c r="AT178" s="113"/>
      <c r="AU178" s="113"/>
      <c r="AV178" s="62">
        <f>订货1!AM178</f>
        <v>0</v>
      </c>
      <c r="AW178" s="113"/>
      <c r="AX178" s="113"/>
      <c r="AY178" s="62">
        <f>订货1!AN178</f>
        <v>1</v>
      </c>
      <c r="AZ178" s="113"/>
      <c r="BA178" s="113"/>
      <c r="BB178" s="62">
        <f>订货1!AO178</f>
        <v>0</v>
      </c>
      <c r="BC178" s="113"/>
      <c r="BD178" s="113"/>
      <c r="BE178" s="62">
        <f>订货1!AP178</f>
        <v>0</v>
      </c>
      <c r="BF178" s="113"/>
      <c r="BG178" s="113"/>
      <c r="BH178" s="62">
        <f>订货1!AQ178</f>
        <v>0</v>
      </c>
      <c r="BI178" s="113"/>
      <c r="BJ178" s="113"/>
      <c r="BK178" s="62">
        <f>订货1!AR178</f>
        <v>0</v>
      </c>
      <c r="BL178" s="113"/>
      <c r="BM178" s="113"/>
      <c r="BN178" s="62">
        <f>订货1!AS178</f>
        <v>0</v>
      </c>
      <c r="BO178" s="113"/>
      <c r="BP178" s="113"/>
      <c r="BQ178" s="62">
        <f>订货1!AT178</f>
        <v>0</v>
      </c>
      <c r="BR178" s="113"/>
      <c r="BS178" s="113"/>
      <c r="BT178" s="62">
        <f>订货1!AU178</f>
        <v>0</v>
      </c>
      <c r="BU178" s="113"/>
      <c r="BV178" s="113"/>
      <c r="BW178" s="62">
        <f>订货1!AV178</f>
        <v>0</v>
      </c>
      <c r="BX178" s="113"/>
      <c r="BY178" s="113"/>
      <c r="BZ178" s="62">
        <f>订货1!AW178</f>
        <v>0</v>
      </c>
      <c r="CA178" s="113"/>
      <c r="CB178" s="113"/>
      <c r="CC178" s="62">
        <f>订货1!AX178</f>
        <v>0</v>
      </c>
      <c r="CD178" s="113"/>
      <c r="CE178" s="113"/>
      <c r="CF178" s="62">
        <f>订货1!AY178</f>
        <v>0</v>
      </c>
      <c r="CG178" s="113"/>
      <c r="CH178" s="113"/>
      <c r="CI178" s="62">
        <f>订货1!AZ178</f>
        <v>0</v>
      </c>
      <c r="CJ178" s="113"/>
      <c r="CK178" s="113"/>
      <c r="CL178" s="62">
        <f>订货1!BA178</f>
        <v>0</v>
      </c>
      <c r="CM178" s="113"/>
      <c r="CN178" s="113"/>
      <c r="CO178" s="62">
        <f>订货1!BB178</f>
        <v>0</v>
      </c>
      <c r="CP178" s="113"/>
      <c r="CQ178" s="113"/>
      <c r="CR178" s="62">
        <f>订货1!BC178</f>
        <v>0</v>
      </c>
      <c r="CS178" s="113"/>
      <c r="CT178" s="113"/>
      <c r="CU178" s="62">
        <f>订货1!BD178</f>
        <v>0</v>
      </c>
      <c r="CV178" s="113"/>
      <c r="CW178" s="113"/>
      <c r="CX178" s="62">
        <f>订货1!BE178</f>
        <v>0</v>
      </c>
      <c r="CY178" s="113"/>
      <c r="CZ178" s="113"/>
      <c r="DA178" s="62">
        <f>订货1!BF178</f>
        <v>0</v>
      </c>
      <c r="DB178" s="113"/>
      <c r="DC178" s="113"/>
      <c r="DD178" s="208">
        <v>0</v>
      </c>
      <c r="DE178" s="110" t="e">
        <f t="shared" si="38"/>
        <v>#DIV/0!</v>
      </c>
      <c r="DF178" s="52">
        <f t="shared" si="37"/>
        <v>2</v>
      </c>
      <c r="DG178" s="32" t="str">
        <f>订货1!$Q178</f>
        <v>箱</v>
      </c>
      <c r="DH178" s="209" t="e">
        <f t="shared" si="39"/>
        <v>#DIV/0!</v>
      </c>
    </row>
    <row r="179" spans="1:112" ht="15" customHeight="1">
      <c r="A179" s="48">
        <f>订货1!A179</f>
        <v>101758</v>
      </c>
      <c r="B179" s="44" t="str">
        <f>VLOOKUP($A179,订货1!$A179:$G422,7,0)</f>
        <v>沈阳华美食品有限公司</v>
      </c>
      <c r="C179" s="44" t="str">
        <f>VLOOKUP($A179,订货1!$A179:$H422,8,0)</f>
        <v>沈阳华美食品有限公司</v>
      </c>
      <c r="D179" s="44" t="str">
        <f>VLOOKUP($A179,订货1!$A179:$B422,2,0)</f>
        <v>萨莉亚原味鸡腿</v>
      </c>
      <c r="E179" s="44" t="str">
        <f>VLOOKUP($A179,订货1!$A179:$E422,5,0)</f>
        <v>220g/枚*12枚/包*4包/箱</v>
      </c>
      <c r="F179" s="49" t="str">
        <f>VLOOKUP($A179,订货1!$A179:$F422,6,0)</f>
        <v>箱</v>
      </c>
      <c r="G179" s="203"/>
      <c r="H179" s="56">
        <f t="shared" si="40"/>
        <v>0</v>
      </c>
      <c r="I179" s="196"/>
      <c r="J179" s="113"/>
      <c r="K179" s="113"/>
      <c r="L179" s="196"/>
      <c r="M179" s="113"/>
      <c r="N179" s="113"/>
      <c r="O179" s="62">
        <f>订货1!AB179</f>
        <v>0</v>
      </c>
      <c r="P179" s="113"/>
      <c r="Q179" s="113"/>
      <c r="R179" s="62">
        <f>订货1!AC179</f>
        <v>0</v>
      </c>
      <c r="S179" s="113"/>
      <c r="T179" s="113"/>
      <c r="U179" s="62">
        <f>订货1!AD179</f>
        <v>0</v>
      </c>
      <c r="V179" s="113"/>
      <c r="W179" s="113"/>
      <c r="X179" s="62">
        <f>订货1!AE179</f>
        <v>0</v>
      </c>
      <c r="Y179" s="113"/>
      <c r="Z179" s="113"/>
      <c r="AA179" s="62">
        <f>订货1!AF179</f>
        <v>0</v>
      </c>
      <c r="AB179" s="113"/>
      <c r="AC179" s="113"/>
      <c r="AD179" s="62">
        <f>订货1!AG179</f>
        <v>0</v>
      </c>
      <c r="AE179" s="113"/>
      <c r="AF179" s="113"/>
      <c r="AG179" s="62">
        <f>订货1!AH179</f>
        <v>0</v>
      </c>
      <c r="AH179" s="113"/>
      <c r="AI179" s="113"/>
      <c r="AJ179" s="62">
        <f>订货1!AI179</f>
        <v>0</v>
      </c>
      <c r="AK179" s="113"/>
      <c r="AL179" s="113"/>
      <c r="AM179" s="62">
        <f>订货1!AJ179</f>
        <v>0</v>
      </c>
      <c r="AN179" s="113"/>
      <c r="AO179" s="113"/>
      <c r="AP179" s="62">
        <f>订货1!AK179</f>
        <v>0</v>
      </c>
      <c r="AQ179" s="113"/>
      <c r="AR179" s="113"/>
      <c r="AS179" s="62">
        <f>订货1!AL179</f>
        <v>0</v>
      </c>
      <c r="AT179" s="113"/>
      <c r="AU179" s="113"/>
      <c r="AV179" s="62">
        <f>订货1!AM179</f>
        <v>0</v>
      </c>
      <c r="AW179" s="113"/>
      <c r="AX179" s="113"/>
      <c r="AY179" s="62">
        <f>订货1!AN179</f>
        <v>0</v>
      </c>
      <c r="AZ179" s="113"/>
      <c r="BA179" s="113"/>
      <c r="BB179" s="62">
        <f>订货1!AO179</f>
        <v>0</v>
      </c>
      <c r="BC179" s="113"/>
      <c r="BD179" s="113"/>
      <c r="BE179" s="62">
        <f>订货1!AP179</f>
        <v>0</v>
      </c>
      <c r="BF179" s="113"/>
      <c r="BG179" s="113"/>
      <c r="BH179" s="62">
        <f>订货1!AQ179</f>
        <v>0</v>
      </c>
      <c r="BI179" s="113"/>
      <c r="BJ179" s="113"/>
      <c r="BK179" s="62">
        <f>订货1!AR179</f>
        <v>0</v>
      </c>
      <c r="BL179" s="113"/>
      <c r="BM179" s="113"/>
      <c r="BN179" s="62">
        <f>订货1!AS179</f>
        <v>0</v>
      </c>
      <c r="BO179" s="113"/>
      <c r="BP179" s="113"/>
      <c r="BQ179" s="62">
        <f>订货1!AT179</f>
        <v>0</v>
      </c>
      <c r="BR179" s="113"/>
      <c r="BS179" s="113"/>
      <c r="BT179" s="62">
        <f>订货1!AU179</f>
        <v>0</v>
      </c>
      <c r="BU179" s="113"/>
      <c r="BV179" s="113"/>
      <c r="BW179" s="62">
        <f>订货1!AV179</f>
        <v>0</v>
      </c>
      <c r="BX179" s="113"/>
      <c r="BY179" s="113"/>
      <c r="BZ179" s="62">
        <f>订货1!AW179</f>
        <v>0</v>
      </c>
      <c r="CA179" s="113"/>
      <c r="CB179" s="113"/>
      <c r="CC179" s="62">
        <f>订货1!AX179</f>
        <v>0</v>
      </c>
      <c r="CD179" s="113"/>
      <c r="CE179" s="113"/>
      <c r="CF179" s="62">
        <f>订货1!AY179</f>
        <v>0</v>
      </c>
      <c r="CG179" s="113"/>
      <c r="CH179" s="113"/>
      <c r="CI179" s="62">
        <f>订货1!AZ179</f>
        <v>0</v>
      </c>
      <c r="CJ179" s="113"/>
      <c r="CK179" s="113"/>
      <c r="CL179" s="62">
        <f>订货1!BA179</f>
        <v>0</v>
      </c>
      <c r="CM179" s="113"/>
      <c r="CN179" s="113"/>
      <c r="CO179" s="62">
        <f>订货1!BB179</f>
        <v>0</v>
      </c>
      <c r="CP179" s="113"/>
      <c r="CQ179" s="113"/>
      <c r="CR179" s="62">
        <f>订货1!BC179</f>
        <v>0</v>
      </c>
      <c r="CS179" s="113"/>
      <c r="CT179" s="113"/>
      <c r="CU179" s="62">
        <f>订货1!BD179</f>
        <v>0</v>
      </c>
      <c r="CV179" s="113"/>
      <c r="CW179" s="113"/>
      <c r="CX179" s="62">
        <f>订货1!BE179</f>
        <v>0</v>
      </c>
      <c r="CY179" s="113"/>
      <c r="CZ179" s="113"/>
      <c r="DA179" s="62">
        <f>订货1!BF179</f>
        <v>0</v>
      </c>
      <c r="DB179" s="113"/>
      <c r="DC179" s="113"/>
      <c r="DD179" s="208">
        <v>0</v>
      </c>
      <c r="DE179" s="110" t="e">
        <f t="shared" si="38"/>
        <v>#DIV/0!</v>
      </c>
      <c r="DF179" s="52">
        <f t="shared" si="37"/>
        <v>0</v>
      </c>
      <c r="DG179" s="32" t="str">
        <f>订货1!$Q179</f>
        <v>箱</v>
      </c>
      <c r="DH179" s="209" t="e">
        <f t="shared" si="39"/>
        <v>#DIV/0!</v>
      </c>
    </row>
    <row r="180" spans="1:112" ht="15" customHeight="1">
      <c r="A180" s="48">
        <f>订货1!A180</f>
        <v>101759</v>
      </c>
      <c r="B180" s="44" t="str">
        <f>VLOOKUP($A180,订货1!$A180:$G423,7,0)</f>
        <v>沈阳华美食品有限公司</v>
      </c>
      <c r="C180" s="44" t="str">
        <f>VLOOKUP($A180,订货1!$A180:$H423,8,0)</f>
        <v>沈阳华美食品有限公司</v>
      </c>
      <c r="D180" s="44" t="str">
        <f>VLOOKUP($A180,订货1!$A180:$B423,2,0)</f>
        <v>原味鸡胗串20g</v>
      </c>
      <c r="E180" s="44" t="str">
        <f>VLOOKUP($A180,订货1!$A180:$E423,5,0)</f>
        <v>20g/串*20串/袋*24袋/箱</v>
      </c>
      <c r="F180" s="49" t="str">
        <f>VLOOKUP($A180,订货1!$A180:$F423,6,0)</f>
        <v>箱</v>
      </c>
      <c r="G180" s="203"/>
      <c r="H180" s="56">
        <f t="shared" si="40"/>
        <v>1</v>
      </c>
      <c r="I180" s="196"/>
      <c r="J180" s="113"/>
      <c r="K180" s="113"/>
      <c r="L180" s="196"/>
      <c r="M180" s="113"/>
      <c r="N180" s="113"/>
      <c r="O180" s="62">
        <f>订货1!AB180</f>
        <v>0</v>
      </c>
      <c r="P180" s="113"/>
      <c r="Q180" s="113"/>
      <c r="R180" s="62">
        <f>订货1!AC180</f>
        <v>0</v>
      </c>
      <c r="S180" s="113"/>
      <c r="T180" s="113"/>
      <c r="U180" s="62">
        <f>订货1!AD180</f>
        <v>0</v>
      </c>
      <c r="V180" s="113"/>
      <c r="W180" s="113"/>
      <c r="X180" s="62">
        <f>订货1!AE180</f>
        <v>0</v>
      </c>
      <c r="Y180" s="113"/>
      <c r="Z180" s="113"/>
      <c r="AA180" s="62">
        <f>订货1!AF180</f>
        <v>0</v>
      </c>
      <c r="AB180" s="113"/>
      <c r="AC180" s="113"/>
      <c r="AD180" s="62">
        <f>订货1!AG180</f>
        <v>0</v>
      </c>
      <c r="AE180" s="113"/>
      <c r="AF180" s="113"/>
      <c r="AG180" s="62">
        <f>订货1!AH180</f>
        <v>0</v>
      </c>
      <c r="AH180" s="113"/>
      <c r="AI180" s="113"/>
      <c r="AJ180" s="62">
        <f>订货1!AI180</f>
        <v>0</v>
      </c>
      <c r="AK180" s="113"/>
      <c r="AL180" s="113"/>
      <c r="AM180" s="62">
        <f>订货1!AJ180</f>
        <v>1</v>
      </c>
      <c r="AN180" s="113"/>
      <c r="AO180" s="113"/>
      <c r="AP180" s="62">
        <f>订货1!AK180</f>
        <v>0</v>
      </c>
      <c r="AQ180" s="113"/>
      <c r="AR180" s="113"/>
      <c r="AS180" s="62">
        <f>订货1!AL180</f>
        <v>0</v>
      </c>
      <c r="AT180" s="113"/>
      <c r="AU180" s="113"/>
      <c r="AV180" s="62">
        <f>订货1!AM180</f>
        <v>0</v>
      </c>
      <c r="AW180" s="113"/>
      <c r="AX180" s="113"/>
      <c r="AY180" s="62">
        <f>订货1!AN180</f>
        <v>0</v>
      </c>
      <c r="AZ180" s="113"/>
      <c r="BA180" s="113"/>
      <c r="BB180" s="62">
        <f>订货1!AO180</f>
        <v>0</v>
      </c>
      <c r="BC180" s="113"/>
      <c r="BD180" s="113"/>
      <c r="BE180" s="62">
        <f>订货1!AP180</f>
        <v>0</v>
      </c>
      <c r="BF180" s="113"/>
      <c r="BG180" s="113"/>
      <c r="BH180" s="62">
        <f>订货1!AQ180</f>
        <v>0</v>
      </c>
      <c r="BI180" s="113"/>
      <c r="BJ180" s="113"/>
      <c r="BK180" s="62">
        <f>订货1!AR180</f>
        <v>0</v>
      </c>
      <c r="BL180" s="113"/>
      <c r="BM180" s="113"/>
      <c r="BN180" s="62">
        <f>订货1!AS180</f>
        <v>0</v>
      </c>
      <c r="BO180" s="113"/>
      <c r="BP180" s="113"/>
      <c r="BQ180" s="62">
        <f>订货1!AT180</f>
        <v>0</v>
      </c>
      <c r="BR180" s="113"/>
      <c r="BS180" s="113"/>
      <c r="BT180" s="62">
        <f>订货1!AU180</f>
        <v>0</v>
      </c>
      <c r="BU180" s="113"/>
      <c r="BV180" s="113"/>
      <c r="BW180" s="62">
        <f>订货1!AV180</f>
        <v>0</v>
      </c>
      <c r="BX180" s="113"/>
      <c r="BY180" s="113"/>
      <c r="BZ180" s="62">
        <f>订货1!AW180</f>
        <v>0</v>
      </c>
      <c r="CA180" s="113"/>
      <c r="CB180" s="113"/>
      <c r="CC180" s="62">
        <f>订货1!AX180</f>
        <v>0</v>
      </c>
      <c r="CD180" s="113"/>
      <c r="CE180" s="113"/>
      <c r="CF180" s="62">
        <f>订货1!AY180</f>
        <v>0</v>
      </c>
      <c r="CG180" s="113"/>
      <c r="CH180" s="113"/>
      <c r="CI180" s="62">
        <f>订货1!AZ180</f>
        <v>0</v>
      </c>
      <c r="CJ180" s="113"/>
      <c r="CK180" s="113"/>
      <c r="CL180" s="62">
        <f>订货1!BA180</f>
        <v>0</v>
      </c>
      <c r="CM180" s="113"/>
      <c r="CN180" s="113"/>
      <c r="CO180" s="62">
        <f>订货1!BB180</f>
        <v>0</v>
      </c>
      <c r="CP180" s="113"/>
      <c r="CQ180" s="113"/>
      <c r="CR180" s="62">
        <f>订货1!BC180</f>
        <v>0</v>
      </c>
      <c r="CS180" s="113"/>
      <c r="CT180" s="113"/>
      <c r="CU180" s="62">
        <f>订货1!BD180</f>
        <v>0</v>
      </c>
      <c r="CV180" s="113"/>
      <c r="CW180" s="113"/>
      <c r="CX180" s="62">
        <f>订货1!BE180</f>
        <v>0</v>
      </c>
      <c r="CY180" s="113"/>
      <c r="CZ180" s="113"/>
      <c r="DA180" s="62">
        <f>订货1!BF180</f>
        <v>0</v>
      </c>
      <c r="DB180" s="113"/>
      <c r="DC180" s="113"/>
      <c r="DD180" s="208">
        <v>0</v>
      </c>
      <c r="DE180" s="110" t="e">
        <f t="shared" si="38"/>
        <v>#DIV/0!</v>
      </c>
      <c r="DF180" s="52">
        <f t="shared" si="37"/>
        <v>1</v>
      </c>
      <c r="DG180" s="32" t="str">
        <f>订货1!$Q180</f>
        <v>箱</v>
      </c>
      <c r="DH180" s="209" t="e">
        <f t="shared" si="39"/>
        <v>#DIV/0!</v>
      </c>
    </row>
    <row r="181" spans="1:112" ht="15" customHeight="1">
      <c r="A181" s="48">
        <f>订货1!A181</f>
        <v>101760</v>
      </c>
      <c r="B181" s="44" t="str">
        <f>VLOOKUP($A181,订货1!$A181:$G424,7,0)</f>
        <v>沈阳华美食品有限公司</v>
      </c>
      <c r="C181" s="44" t="str">
        <f>VLOOKUP($A181,订货1!$A181:$H424,8,0)</f>
        <v>沈阳华美食品有限公司</v>
      </c>
      <c r="D181" s="44" t="str">
        <f>VLOOKUP($A181,订货1!$A181:$B424,2,0)</f>
        <v>藤椒鸡胗串20g</v>
      </c>
      <c r="E181" s="44" t="str">
        <f>VLOOKUP($A181,订货1!$A181:$E424,5,0)</f>
        <v>20g/串*20串/袋*24袋/箱</v>
      </c>
      <c r="F181" s="49" t="str">
        <f>VLOOKUP($A181,订货1!$A181:$F424,6,0)</f>
        <v>箱</v>
      </c>
      <c r="G181" s="203"/>
      <c r="H181" s="56">
        <f t="shared" si="40"/>
        <v>0</v>
      </c>
      <c r="I181" s="196"/>
      <c r="J181" s="113"/>
      <c r="K181" s="113"/>
      <c r="L181" s="196"/>
      <c r="M181" s="113"/>
      <c r="N181" s="113"/>
      <c r="O181" s="62">
        <f>订货1!AB181</f>
        <v>0</v>
      </c>
      <c r="P181" s="113"/>
      <c r="Q181" s="113"/>
      <c r="R181" s="62">
        <f>订货1!AC181</f>
        <v>0</v>
      </c>
      <c r="S181" s="113"/>
      <c r="T181" s="113"/>
      <c r="U181" s="62">
        <f>订货1!AD181</f>
        <v>0</v>
      </c>
      <c r="V181" s="113"/>
      <c r="W181" s="113"/>
      <c r="X181" s="62">
        <f>订货1!AE181</f>
        <v>0</v>
      </c>
      <c r="Y181" s="113"/>
      <c r="Z181" s="113"/>
      <c r="AA181" s="62">
        <f>订货1!AF181</f>
        <v>0</v>
      </c>
      <c r="AB181" s="113"/>
      <c r="AC181" s="113"/>
      <c r="AD181" s="62">
        <f>订货1!AG181</f>
        <v>0</v>
      </c>
      <c r="AE181" s="113"/>
      <c r="AF181" s="113"/>
      <c r="AG181" s="62">
        <f>订货1!AH181</f>
        <v>0</v>
      </c>
      <c r="AH181" s="113"/>
      <c r="AI181" s="113"/>
      <c r="AJ181" s="62">
        <f>订货1!AI181</f>
        <v>0</v>
      </c>
      <c r="AK181" s="113"/>
      <c r="AL181" s="113"/>
      <c r="AM181" s="62">
        <f>订货1!AJ181</f>
        <v>0</v>
      </c>
      <c r="AN181" s="113"/>
      <c r="AO181" s="113"/>
      <c r="AP181" s="62">
        <f>订货1!AK181</f>
        <v>0</v>
      </c>
      <c r="AQ181" s="113"/>
      <c r="AR181" s="113"/>
      <c r="AS181" s="62">
        <f>订货1!AL181</f>
        <v>0</v>
      </c>
      <c r="AT181" s="113"/>
      <c r="AU181" s="113"/>
      <c r="AV181" s="62">
        <f>订货1!AM181</f>
        <v>0</v>
      </c>
      <c r="AW181" s="113"/>
      <c r="AX181" s="113"/>
      <c r="AY181" s="62">
        <f>订货1!AN181</f>
        <v>0</v>
      </c>
      <c r="AZ181" s="113"/>
      <c r="BA181" s="113"/>
      <c r="BB181" s="62">
        <f>订货1!AO181</f>
        <v>0</v>
      </c>
      <c r="BC181" s="113"/>
      <c r="BD181" s="113"/>
      <c r="BE181" s="62">
        <f>订货1!AP181</f>
        <v>0</v>
      </c>
      <c r="BF181" s="113"/>
      <c r="BG181" s="113"/>
      <c r="BH181" s="62">
        <f>订货1!AQ181</f>
        <v>0</v>
      </c>
      <c r="BI181" s="113"/>
      <c r="BJ181" s="113"/>
      <c r="BK181" s="62">
        <f>订货1!AR181</f>
        <v>0</v>
      </c>
      <c r="BL181" s="113"/>
      <c r="BM181" s="113"/>
      <c r="BN181" s="62">
        <f>订货1!AS181</f>
        <v>0</v>
      </c>
      <c r="BO181" s="113"/>
      <c r="BP181" s="113"/>
      <c r="BQ181" s="62">
        <f>订货1!AT181</f>
        <v>0</v>
      </c>
      <c r="BR181" s="113"/>
      <c r="BS181" s="113"/>
      <c r="BT181" s="62">
        <f>订货1!AU181</f>
        <v>0</v>
      </c>
      <c r="BU181" s="113"/>
      <c r="BV181" s="113"/>
      <c r="BW181" s="62">
        <f>订货1!AV181</f>
        <v>0</v>
      </c>
      <c r="BX181" s="113"/>
      <c r="BY181" s="113"/>
      <c r="BZ181" s="62">
        <f>订货1!AW181</f>
        <v>0</v>
      </c>
      <c r="CA181" s="113"/>
      <c r="CB181" s="113"/>
      <c r="CC181" s="62">
        <f>订货1!AX181</f>
        <v>0</v>
      </c>
      <c r="CD181" s="113"/>
      <c r="CE181" s="113"/>
      <c r="CF181" s="62">
        <f>订货1!AY181</f>
        <v>0</v>
      </c>
      <c r="CG181" s="113"/>
      <c r="CH181" s="113"/>
      <c r="CI181" s="62">
        <f>订货1!AZ181</f>
        <v>0</v>
      </c>
      <c r="CJ181" s="113"/>
      <c r="CK181" s="113"/>
      <c r="CL181" s="62">
        <f>订货1!BA181</f>
        <v>0</v>
      </c>
      <c r="CM181" s="113"/>
      <c r="CN181" s="113"/>
      <c r="CO181" s="62">
        <f>订货1!BB181</f>
        <v>0</v>
      </c>
      <c r="CP181" s="113"/>
      <c r="CQ181" s="113"/>
      <c r="CR181" s="62">
        <f>订货1!BC181</f>
        <v>0</v>
      </c>
      <c r="CS181" s="113"/>
      <c r="CT181" s="113"/>
      <c r="CU181" s="62">
        <f>订货1!BD181</f>
        <v>0</v>
      </c>
      <c r="CV181" s="113"/>
      <c r="CW181" s="113"/>
      <c r="CX181" s="62">
        <f>订货1!BE181</f>
        <v>0</v>
      </c>
      <c r="CY181" s="113"/>
      <c r="CZ181" s="113"/>
      <c r="DA181" s="62">
        <f>订货1!BF181</f>
        <v>0</v>
      </c>
      <c r="DB181" s="113"/>
      <c r="DC181" s="113"/>
      <c r="DD181" s="208">
        <v>0</v>
      </c>
      <c r="DE181" s="110" t="e">
        <f t="shared" si="38"/>
        <v>#DIV/0!</v>
      </c>
      <c r="DF181" s="52">
        <f t="shared" si="37"/>
        <v>0</v>
      </c>
      <c r="DG181" s="32" t="str">
        <f>订货1!$Q181</f>
        <v>箱</v>
      </c>
      <c r="DH181" s="209" t="e">
        <f t="shared" si="39"/>
        <v>#DIV/0!</v>
      </c>
    </row>
    <row r="182" spans="1:112" ht="15" customHeight="1">
      <c r="A182" s="48">
        <f>订货1!A182</f>
        <v>101674</v>
      </c>
      <c r="B182" s="44" t="str">
        <f>VLOOKUP($A182,订货1!$A182:$G425,7,0)</f>
        <v>上海萨莉亚餐饮有限公司</v>
      </c>
      <c r="C182" s="44" t="str">
        <f>VLOOKUP($A182,订货1!$A182:$H425,8,0)</f>
        <v>La Molisana S.P.A</v>
      </c>
      <c r="D182" s="44" t="str">
        <f>VLOOKUP($A182,订货1!$A182:$B425,2,0)</f>
        <v xml:space="preserve">意大利面 </v>
      </c>
      <c r="E182" s="44" t="str">
        <f>VLOOKUP($A182,订货1!$A182:$E425,5,0)</f>
        <v>3kg*4pc</v>
      </c>
      <c r="F182" s="49" t="str">
        <f>VLOOKUP($A182,订货1!$A182:$F425,6,0)</f>
        <v>箱</v>
      </c>
      <c r="G182" s="203"/>
      <c r="H182" s="56">
        <f t="shared" si="40"/>
        <v>0</v>
      </c>
      <c r="I182" s="196"/>
      <c r="J182" s="113"/>
      <c r="K182" s="113"/>
      <c r="L182" s="196"/>
      <c r="M182" s="113"/>
      <c r="N182" s="113"/>
      <c r="O182" s="62">
        <f>订货1!AB182</f>
        <v>0</v>
      </c>
      <c r="P182" s="113"/>
      <c r="Q182" s="113"/>
      <c r="R182" s="62">
        <f>订货1!AC182</f>
        <v>0</v>
      </c>
      <c r="S182" s="113"/>
      <c r="T182" s="113"/>
      <c r="U182" s="62">
        <f>订货1!AD182</f>
        <v>0</v>
      </c>
      <c r="V182" s="113"/>
      <c r="W182" s="113"/>
      <c r="X182" s="62">
        <f>订货1!AE182</f>
        <v>0</v>
      </c>
      <c r="Y182" s="113"/>
      <c r="Z182" s="113"/>
      <c r="AA182" s="62">
        <f>订货1!AF182</f>
        <v>0</v>
      </c>
      <c r="AB182" s="113"/>
      <c r="AC182" s="113"/>
      <c r="AD182" s="62">
        <f>订货1!AG182</f>
        <v>0</v>
      </c>
      <c r="AE182" s="113"/>
      <c r="AF182" s="113"/>
      <c r="AG182" s="62">
        <f>订货1!AH182</f>
        <v>0</v>
      </c>
      <c r="AH182" s="113"/>
      <c r="AI182" s="113"/>
      <c r="AJ182" s="62">
        <f>订货1!AI182</f>
        <v>0</v>
      </c>
      <c r="AK182" s="113"/>
      <c r="AL182" s="113"/>
      <c r="AM182" s="62">
        <f>订货1!AJ182</f>
        <v>0</v>
      </c>
      <c r="AN182" s="113"/>
      <c r="AO182" s="113"/>
      <c r="AP182" s="62">
        <f>订货1!AK182</f>
        <v>0</v>
      </c>
      <c r="AQ182" s="113"/>
      <c r="AR182" s="113"/>
      <c r="AS182" s="62">
        <f>订货1!AL182</f>
        <v>0</v>
      </c>
      <c r="AT182" s="113"/>
      <c r="AU182" s="113"/>
      <c r="AV182" s="62">
        <f>订货1!AM182</f>
        <v>0</v>
      </c>
      <c r="AW182" s="113"/>
      <c r="AX182" s="113"/>
      <c r="AY182" s="62">
        <f>订货1!AN182</f>
        <v>0</v>
      </c>
      <c r="AZ182" s="113"/>
      <c r="BA182" s="113"/>
      <c r="BB182" s="62">
        <f>订货1!AO182</f>
        <v>0</v>
      </c>
      <c r="BC182" s="113"/>
      <c r="BD182" s="113"/>
      <c r="BE182" s="62">
        <f>订货1!AP182</f>
        <v>0</v>
      </c>
      <c r="BF182" s="113"/>
      <c r="BG182" s="113"/>
      <c r="BH182" s="62">
        <f>订货1!AQ182</f>
        <v>0</v>
      </c>
      <c r="BI182" s="113"/>
      <c r="BJ182" s="113"/>
      <c r="BK182" s="62">
        <f>订货1!AR182</f>
        <v>0</v>
      </c>
      <c r="BL182" s="113"/>
      <c r="BM182" s="113"/>
      <c r="BN182" s="62">
        <f>订货1!AS182</f>
        <v>0</v>
      </c>
      <c r="BO182" s="113"/>
      <c r="BP182" s="113"/>
      <c r="BQ182" s="62">
        <f>订货1!AT182</f>
        <v>0</v>
      </c>
      <c r="BR182" s="113"/>
      <c r="BS182" s="113"/>
      <c r="BT182" s="62">
        <f>订货1!AU182</f>
        <v>0</v>
      </c>
      <c r="BU182" s="113"/>
      <c r="BV182" s="113"/>
      <c r="BW182" s="62">
        <f>订货1!AV182</f>
        <v>0</v>
      </c>
      <c r="BX182" s="113"/>
      <c r="BY182" s="113"/>
      <c r="BZ182" s="62">
        <f>订货1!AW182</f>
        <v>0</v>
      </c>
      <c r="CA182" s="113"/>
      <c r="CB182" s="113"/>
      <c r="CC182" s="62">
        <f>订货1!AX182</f>
        <v>0</v>
      </c>
      <c r="CD182" s="113"/>
      <c r="CE182" s="113"/>
      <c r="CF182" s="62">
        <f>订货1!AY182</f>
        <v>0</v>
      </c>
      <c r="CG182" s="113"/>
      <c r="CH182" s="113"/>
      <c r="CI182" s="62">
        <f>订货1!AZ182</f>
        <v>0</v>
      </c>
      <c r="CJ182" s="113"/>
      <c r="CK182" s="113"/>
      <c r="CL182" s="62">
        <f>订货1!BA182</f>
        <v>0</v>
      </c>
      <c r="CM182" s="113"/>
      <c r="CN182" s="113"/>
      <c r="CO182" s="62">
        <f>订货1!BB182</f>
        <v>0</v>
      </c>
      <c r="CP182" s="113"/>
      <c r="CQ182" s="113"/>
      <c r="CR182" s="62">
        <f>订货1!BC182</f>
        <v>0</v>
      </c>
      <c r="CS182" s="113"/>
      <c r="CT182" s="113"/>
      <c r="CU182" s="62">
        <f>订货1!BD182</f>
        <v>0</v>
      </c>
      <c r="CV182" s="113"/>
      <c r="CW182" s="113"/>
      <c r="CX182" s="62">
        <f>订货1!BE182</f>
        <v>0</v>
      </c>
      <c r="CY182" s="113"/>
      <c r="CZ182" s="113"/>
      <c r="DA182" s="62">
        <f>订货1!BF182</f>
        <v>0</v>
      </c>
      <c r="DB182" s="113"/>
      <c r="DC182" s="113"/>
      <c r="DD182" s="208">
        <v>0</v>
      </c>
      <c r="DE182" s="110" t="e">
        <f t="shared" si="38"/>
        <v>#DIV/0!</v>
      </c>
      <c r="DF182" s="52">
        <f t="shared" si="37"/>
        <v>0</v>
      </c>
      <c r="DG182" s="32" t="str">
        <f>订货1!$Q182</f>
        <v>箱</v>
      </c>
      <c r="DH182" s="209" t="e">
        <f t="shared" si="39"/>
        <v>#DIV/0!</v>
      </c>
    </row>
    <row r="183" spans="1:112" ht="15" customHeight="1">
      <c r="A183" s="48">
        <f>订货1!A183</f>
        <v>101022</v>
      </c>
      <c r="B183" s="44" t="str">
        <f>VLOOKUP($A183,订货1!$A183:$G426,7,0)</f>
        <v>沈阳华美食品有限公司</v>
      </c>
      <c r="C183" s="44" t="str">
        <f>VLOOKUP($A183,订货1!$A183:$H426,8,0)</f>
        <v>沈阳华美食品有限公司</v>
      </c>
      <c r="D183" s="44" t="str">
        <f>VLOOKUP($A183,订货1!$A183:$B426,2,0)</f>
        <v>萨莉亚鸡排</v>
      </c>
      <c r="E183" s="44" t="str">
        <f>VLOOKUP($A183,订货1!$A183:$E426,5,0)</f>
        <v>0.15kg*8枚*10pc</v>
      </c>
      <c r="F183" s="49" t="str">
        <f>VLOOKUP($A183,订货1!$A183:$F426,6,0)</f>
        <v>箱</v>
      </c>
      <c r="G183" s="203"/>
      <c r="H183" s="56">
        <f t="shared" si="40"/>
        <v>0</v>
      </c>
      <c r="I183" s="196"/>
      <c r="J183" s="113"/>
      <c r="K183" s="113"/>
      <c r="L183" s="196"/>
      <c r="M183" s="113"/>
      <c r="N183" s="113"/>
      <c r="O183" s="62">
        <f>订货1!AB183</f>
        <v>0</v>
      </c>
      <c r="P183" s="113"/>
      <c r="Q183" s="113"/>
      <c r="R183" s="62">
        <f>订货1!AC183</f>
        <v>0</v>
      </c>
      <c r="S183" s="113"/>
      <c r="T183" s="113"/>
      <c r="U183" s="62">
        <f>订货1!AD183</f>
        <v>0</v>
      </c>
      <c r="V183" s="113"/>
      <c r="W183" s="113"/>
      <c r="X183" s="62">
        <f>订货1!AE183</f>
        <v>0</v>
      </c>
      <c r="Y183" s="113"/>
      <c r="Z183" s="113"/>
      <c r="AA183" s="62">
        <f>订货1!AF183</f>
        <v>0</v>
      </c>
      <c r="AB183" s="113"/>
      <c r="AC183" s="113"/>
      <c r="AD183" s="62">
        <f>订货1!AG183</f>
        <v>0</v>
      </c>
      <c r="AE183" s="113"/>
      <c r="AF183" s="113"/>
      <c r="AG183" s="62">
        <f>订货1!AH183</f>
        <v>0</v>
      </c>
      <c r="AH183" s="113"/>
      <c r="AI183" s="113"/>
      <c r="AJ183" s="62">
        <f>订货1!AI183</f>
        <v>0</v>
      </c>
      <c r="AK183" s="113"/>
      <c r="AL183" s="113"/>
      <c r="AM183" s="62">
        <f>订货1!AJ183</f>
        <v>0</v>
      </c>
      <c r="AN183" s="113"/>
      <c r="AO183" s="113"/>
      <c r="AP183" s="62">
        <f>订货1!AK183</f>
        <v>0</v>
      </c>
      <c r="AQ183" s="113"/>
      <c r="AR183" s="113"/>
      <c r="AS183" s="62">
        <f>订货1!AL183</f>
        <v>0</v>
      </c>
      <c r="AT183" s="113"/>
      <c r="AU183" s="113"/>
      <c r="AV183" s="62">
        <f>订货1!AM183</f>
        <v>0</v>
      </c>
      <c r="AW183" s="113"/>
      <c r="AX183" s="113"/>
      <c r="AY183" s="62">
        <f>订货1!AN183</f>
        <v>0</v>
      </c>
      <c r="AZ183" s="113"/>
      <c r="BA183" s="113"/>
      <c r="BB183" s="62">
        <f>订货1!AO183</f>
        <v>0</v>
      </c>
      <c r="BC183" s="113"/>
      <c r="BD183" s="113"/>
      <c r="BE183" s="62">
        <f>订货1!AP183</f>
        <v>0</v>
      </c>
      <c r="BF183" s="113"/>
      <c r="BG183" s="113"/>
      <c r="BH183" s="62">
        <f>订货1!AQ183</f>
        <v>0</v>
      </c>
      <c r="BI183" s="113"/>
      <c r="BJ183" s="113"/>
      <c r="BK183" s="62">
        <f>订货1!AR183</f>
        <v>0</v>
      </c>
      <c r="BL183" s="113"/>
      <c r="BM183" s="113"/>
      <c r="BN183" s="62">
        <f>订货1!AS183</f>
        <v>0</v>
      </c>
      <c r="BO183" s="113"/>
      <c r="BP183" s="113"/>
      <c r="BQ183" s="62">
        <f>订货1!AT183</f>
        <v>0</v>
      </c>
      <c r="BR183" s="113"/>
      <c r="BS183" s="113"/>
      <c r="BT183" s="62">
        <f>订货1!AU183</f>
        <v>0</v>
      </c>
      <c r="BU183" s="113"/>
      <c r="BV183" s="113"/>
      <c r="BW183" s="62">
        <f>订货1!AV183</f>
        <v>0</v>
      </c>
      <c r="BX183" s="113"/>
      <c r="BY183" s="113"/>
      <c r="BZ183" s="62">
        <f>订货1!AW183</f>
        <v>0</v>
      </c>
      <c r="CA183" s="113"/>
      <c r="CB183" s="113"/>
      <c r="CC183" s="62">
        <f>订货1!AX183</f>
        <v>0</v>
      </c>
      <c r="CD183" s="113"/>
      <c r="CE183" s="113"/>
      <c r="CF183" s="62">
        <f>订货1!AY183</f>
        <v>0</v>
      </c>
      <c r="CG183" s="113"/>
      <c r="CH183" s="113"/>
      <c r="CI183" s="62">
        <f>订货1!AZ183</f>
        <v>0</v>
      </c>
      <c r="CJ183" s="113"/>
      <c r="CK183" s="113"/>
      <c r="CL183" s="62">
        <f>订货1!BA183</f>
        <v>0</v>
      </c>
      <c r="CM183" s="113"/>
      <c r="CN183" s="113"/>
      <c r="CO183" s="62">
        <f>订货1!BB183</f>
        <v>0</v>
      </c>
      <c r="CP183" s="113"/>
      <c r="CQ183" s="113"/>
      <c r="CR183" s="62">
        <f>订货1!BC183</f>
        <v>0</v>
      </c>
      <c r="CS183" s="113"/>
      <c r="CT183" s="113"/>
      <c r="CU183" s="62">
        <f>订货1!BD183</f>
        <v>0</v>
      </c>
      <c r="CV183" s="113"/>
      <c r="CW183" s="113"/>
      <c r="CX183" s="62">
        <f>订货1!BE183</f>
        <v>0</v>
      </c>
      <c r="CY183" s="113"/>
      <c r="CZ183" s="113"/>
      <c r="DA183" s="62">
        <f>订货1!BF183</f>
        <v>0</v>
      </c>
      <c r="DB183" s="113"/>
      <c r="DC183" s="113"/>
      <c r="DD183" s="208">
        <v>0</v>
      </c>
      <c r="DE183" s="110" t="e">
        <f t="shared" si="38"/>
        <v>#DIV/0!</v>
      </c>
      <c r="DF183" s="52">
        <f t="shared" si="37"/>
        <v>0</v>
      </c>
      <c r="DG183" s="32" t="str">
        <f>订货1!$Q183</f>
        <v>箱</v>
      </c>
      <c r="DH183" s="209" t="e">
        <f t="shared" si="39"/>
        <v>#DIV/0!</v>
      </c>
    </row>
    <row r="184" spans="1:112" ht="15" customHeight="1">
      <c r="A184" s="48">
        <f>订货1!A184</f>
        <v>101024</v>
      </c>
      <c r="B184" s="44" t="str">
        <f>VLOOKUP($A184,订货1!$A184:$G427,7,0)</f>
        <v>沈阳华美食品有限公司</v>
      </c>
      <c r="C184" s="44" t="str">
        <f>VLOOKUP($A184,订货1!$A184:$H427,8,0)</f>
        <v>沈阳华美食品有限公司</v>
      </c>
      <c r="D184" s="44" t="str">
        <f>VLOOKUP($A184,订货1!$A184:$B427,2,0)</f>
        <v>萨莉亚翅中</v>
      </c>
      <c r="E184" s="44" t="str">
        <f>VLOOKUP($A184,订货1!$A184:$E427,5,0)</f>
        <v>1kg*12pc</v>
      </c>
      <c r="F184" s="49" t="str">
        <f>VLOOKUP($A184,订货1!$A184:$F427,6,0)</f>
        <v>箱</v>
      </c>
      <c r="G184" s="203"/>
      <c r="H184" s="56">
        <f t="shared" si="40"/>
        <v>0</v>
      </c>
      <c r="I184" s="196"/>
      <c r="J184" s="113"/>
      <c r="K184" s="113"/>
      <c r="L184" s="196"/>
      <c r="M184" s="113"/>
      <c r="N184" s="113"/>
      <c r="O184" s="62">
        <f>订货1!AB184</f>
        <v>0</v>
      </c>
      <c r="P184" s="113"/>
      <c r="Q184" s="113"/>
      <c r="R184" s="62">
        <f>订货1!AC184</f>
        <v>0</v>
      </c>
      <c r="S184" s="113"/>
      <c r="T184" s="113"/>
      <c r="U184" s="62">
        <f>订货1!AD184</f>
        <v>0</v>
      </c>
      <c r="V184" s="113"/>
      <c r="W184" s="113"/>
      <c r="X184" s="62">
        <f>订货1!AE184</f>
        <v>0</v>
      </c>
      <c r="Y184" s="113"/>
      <c r="Z184" s="113"/>
      <c r="AA184" s="62">
        <f>订货1!AF184</f>
        <v>0</v>
      </c>
      <c r="AB184" s="113"/>
      <c r="AC184" s="113"/>
      <c r="AD184" s="62">
        <f>订货1!AG184</f>
        <v>0</v>
      </c>
      <c r="AE184" s="113"/>
      <c r="AF184" s="113"/>
      <c r="AG184" s="62">
        <f>订货1!AH184</f>
        <v>0</v>
      </c>
      <c r="AH184" s="113"/>
      <c r="AI184" s="113"/>
      <c r="AJ184" s="62">
        <f>订货1!AI184</f>
        <v>0</v>
      </c>
      <c r="AK184" s="113"/>
      <c r="AL184" s="113"/>
      <c r="AM184" s="62">
        <f>订货1!AJ184</f>
        <v>0</v>
      </c>
      <c r="AN184" s="113"/>
      <c r="AO184" s="113"/>
      <c r="AP184" s="62">
        <f>订货1!AK184</f>
        <v>0</v>
      </c>
      <c r="AQ184" s="113"/>
      <c r="AR184" s="113"/>
      <c r="AS184" s="62">
        <f>订货1!AL184</f>
        <v>0</v>
      </c>
      <c r="AT184" s="113"/>
      <c r="AU184" s="113"/>
      <c r="AV184" s="62">
        <f>订货1!AM184</f>
        <v>0</v>
      </c>
      <c r="AW184" s="113"/>
      <c r="AX184" s="113"/>
      <c r="AY184" s="62">
        <f>订货1!AN184</f>
        <v>0</v>
      </c>
      <c r="AZ184" s="113"/>
      <c r="BA184" s="113"/>
      <c r="BB184" s="62">
        <f>订货1!AO184</f>
        <v>0</v>
      </c>
      <c r="BC184" s="113"/>
      <c r="BD184" s="113"/>
      <c r="BE184" s="62">
        <f>订货1!AP184</f>
        <v>0</v>
      </c>
      <c r="BF184" s="113"/>
      <c r="BG184" s="113"/>
      <c r="BH184" s="62">
        <f>订货1!AQ184</f>
        <v>0</v>
      </c>
      <c r="BI184" s="113"/>
      <c r="BJ184" s="113"/>
      <c r="BK184" s="62">
        <f>订货1!AR184</f>
        <v>0</v>
      </c>
      <c r="BL184" s="113"/>
      <c r="BM184" s="113"/>
      <c r="BN184" s="62">
        <f>订货1!AS184</f>
        <v>0</v>
      </c>
      <c r="BO184" s="113"/>
      <c r="BP184" s="113"/>
      <c r="BQ184" s="62">
        <f>订货1!AT184</f>
        <v>0</v>
      </c>
      <c r="BR184" s="113"/>
      <c r="BS184" s="113"/>
      <c r="BT184" s="62">
        <f>订货1!AU184</f>
        <v>0</v>
      </c>
      <c r="BU184" s="113"/>
      <c r="BV184" s="113"/>
      <c r="BW184" s="62">
        <f>订货1!AV184</f>
        <v>0</v>
      </c>
      <c r="BX184" s="113"/>
      <c r="BY184" s="113"/>
      <c r="BZ184" s="62">
        <f>订货1!AW184</f>
        <v>0</v>
      </c>
      <c r="CA184" s="113"/>
      <c r="CB184" s="113"/>
      <c r="CC184" s="62">
        <f>订货1!AX184</f>
        <v>0</v>
      </c>
      <c r="CD184" s="113"/>
      <c r="CE184" s="113"/>
      <c r="CF184" s="62">
        <f>订货1!AY184</f>
        <v>0</v>
      </c>
      <c r="CG184" s="113"/>
      <c r="CH184" s="113"/>
      <c r="CI184" s="62">
        <f>订货1!AZ184</f>
        <v>0</v>
      </c>
      <c r="CJ184" s="113"/>
      <c r="CK184" s="113"/>
      <c r="CL184" s="62">
        <f>订货1!BA184</f>
        <v>0</v>
      </c>
      <c r="CM184" s="113"/>
      <c r="CN184" s="113"/>
      <c r="CO184" s="62">
        <f>订货1!BB184</f>
        <v>0</v>
      </c>
      <c r="CP184" s="113"/>
      <c r="CQ184" s="113"/>
      <c r="CR184" s="62">
        <f>订货1!BC184</f>
        <v>0</v>
      </c>
      <c r="CS184" s="113"/>
      <c r="CT184" s="113"/>
      <c r="CU184" s="62">
        <f>订货1!BD184</f>
        <v>0</v>
      </c>
      <c r="CV184" s="113"/>
      <c r="CW184" s="113"/>
      <c r="CX184" s="62">
        <f>订货1!BE184</f>
        <v>0</v>
      </c>
      <c r="CY184" s="113"/>
      <c r="CZ184" s="113"/>
      <c r="DA184" s="62">
        <f>订货1!BF184</f>
        <v>0</v>
      </c>
      <c r="DB184" s="113"/>
      <c r="DC184" s="113"/>
      <c r="DD184" s="208">
        <v>0</v>
      </c>
      <c r="DE184" s="110" t="e">
        <f t="shared" si="38"/>
        <v>#DIV/0!</v>
      </c>
      <c r="DF184" s="52">
        <f t="shared" si="37"/>
        <v>0</v>
      </c>
      <c r="DG184" s="32" t="str">
        <f>订货1!$Q184</f>
        <v>箱</v>
      </c>
      <c r="DH184" s="209" t="e">
        <f t="shared" si="39"/>
        <v>#DIV/0!</v>
      </c>
    </row>
    <row r="185" spans="1:112" ht="15" customHeight="1">
      <c r="A185" s="48">
        <f>订货1!A185</f>
        <v>101058</v>
      </c>
      <c r="B185" s="44" t="str">
        <f>VLOOKUP($A185,订货1!$A185:$G428,7,0)</f>
        <v>沈阳华美食品有限公司</v>
      </c>
      <c r="C185" s="44" t="str">
        <f>VLOOKUP($A185,订货1!$A185:$H428,8,0)</f>
        <v>沈阳华美食品有限公司</v>
      </c>
      <c r="D185" s="44" t="str">
        <f>VLOOKUP($A185,订货1!$A185:$B428,2,0)</f>
        <v>萨莉亚黑椒鸡腿</v>
      </c>
      <c r="E185" s="44" t="str">
        <f>VLOOKUP($A185,订货1!$A185:$E428,5,0)</f>
        <v>220g/枚*12枚/包*4包/箱</v>
      </c>
      <c r="F185" s="49" t="str">
        <f>VLOOKUP($A185,订货1!$A185:$F428,6,0)</f>
        <v>箱</v>
      </c>
      <c r="G185" s="203"/>
      <c r="H185" s="56">
        <f t="shared" si="40"/>
        <v>9</v>
      </c>
      <c r="I185" s="196"/>
      <c r="J185" s="113"/>
      <c r="K185" s="113"/>
      <c r="L185" s="196"/>
      <c r="M185" s="113"/>
      <c r="N185" s="113"/>
      <c r="O185" s="62">
        <f>订货1!AB185</f>
        <v>0</v>
      </c>
      <c r="P185" s="113"/>
      <c r="Q185" s="113"/>
      <c r="R185" s="62">
        <f>订货1!AC185</f>
        <v>1</v>
      </c>
      <c r="S185" s="113"/>
      <c r="T185" s="113"/>
      <c r="U185" s="62">
        <f>订货1!AD185</f>
        <v>0</v>
      </c>
      <c r="V185" s="113"/>
      <c r="W185" s="113"/>
      <c r="X185" s="62">
        <f>订货1!AE185</f>
        <v>1</v>
      </c>
      <c r="Y185" s="113"/>
      <c r="Z185" s="113"/>
      <c r="AA185" s="62">
        <f>订货1!AF185</f>
        <v>1</v>
      </c>
      <c r="AB185" s="113"/>
      <c r="AC185" s="113"/>
      <c r="AD185" s="62">
        <f>订货1!AG185</f>
        <v>1</v>
      </c>
      <c r="AE185" s="113"/>
      <c r="AF185" s="113"/>
      <c r="AG185" s="62">
        <f>订货1!AH185</f>
        <v>0</v>
      </c>
      <c r="AH185" s="113"/>
      <c r="AI185" s="113"/>
      <c r="AJ185" s="62">
        <f>订货1!AI185</f>
        <v>1</v>
      </c>
      <c r="AK185" s="113"/>
      <c r="AL185" s="113"/>
      <c r="AM185" s="62">
        <f>订货1!AJ185</f>
        <v>0</v>
      </c>
      <c r="AN185" s="113"/>
      <c r="AO185" s="113"/>
      <c r="AP185" s="62">
        <f>订货1!AK185</f>
        <v>0</v>
      </c>
      <c r="AQ185" s="113"/>
      <c r="AR185" s="113"/>
      <c r="AS185" s="62">
        <f>订货1!AL185</f>
        <v>0</v>
      </c>
      <c r="AT185" s="113"/>
      <c r="AU185" s="113"/>
      <c r="AV185" s="62">
        <f>订货1!AM185</f>
        <v>2</v>
      </c>
      <c r="AW185" s="113"/>
      <c r="AX185" s="113"/>
      <c r="AY185" s="62">
        <f>订货1!AN185</f>
        <v>1</v>
      </c>
      <c r="AZ185" s="113"/>
      <c r="BA185" s="113"/>
      <c r="BB185" s="62">
        <f>订货1!AO185</f>
        <v>1</v>
      </c>
      <c r="BC185" s="113"/>
      <c r="BD185" s="113"/>
      <c r="BE185" s="62">
        <f>订货1!AP185</f>
        <v>0</v>
      </c>
      <c r="BF185" s="113"/>
      <c r="BG185" s="113"/>
      <c r="BH185" s="62">
        <f>订货1!AQ185</f>
        <v>0</v>
      </c>
      <c r="BI185" s="113"/>
      <c r="BJ185" s="113"/>
      <c r="BK185" s="62">
        <f>订货1!AR185</f>
        <v>0</v>
      </c>
      <c r="BL185" s="113"/>
      <c r="BM185" s="113"/>
      <c r="BN185" s="62">
        <f>订货1!AS185</f>
        <v>0</v>
      </c>
      <c r="BO185" s="113"/>
      <c r="BP185" s="113"/>
      <c r="BQ185" s="62">
        <f>订货1!AT185</f>
        <v>0</v>
      </c>
      <c r="BR185" s="113"/>
      <c r="BS185" s="113"/>
      <c r="BT185" s="62">
        <f>订货1!AU185</f>
        <v>0</v>
      </c>
      <c r="BU185" s="113"/>
      <c r="BV185" s="113"/>
      <c r="BW185" s="62">
        <f>订货1!AV185</f>
        <v>0</v>
      </c>
      <c r="BX185" s="113"/>
      <c r="BY185" s="113"/>
      <c r="BZ185" s="62">
        <f>订货1!AW185</f>
        <v>0</v>
      </c>
      <c r="CA185" s="113"/>
      <c r="CB185" s="113"/>
      <c r="CC185" s="62">
        <f>订货1!AX185</f>
        <v>0</v>
      </c>
      <c r="CD185" s="113"/>
      <c r="CE185" s="113"/>
      <c r="CF185" s="62">
        <f>订货1!AY185</f>
        <v>0</v>
      </c>
      <c r="CG185" s="113"/>
      <c r="CH185" s="113"/>
      <c r="CI185" s="62">
        <f>订货1!AZ185</f>
        <v>0</v>
      </c>
      <c r="CJ185" s="113"/>
      <c r="CK185" s="113"/>
      <c r="CL185" s="62">
        <f>订货1!BA185</f>
        <v>0</v>
      </c>
      <c r="CM185" s="113"/>
      <c r="CN185" s="113"/>
      <c r="CO185" s="62">
        <f>订货1!BB185</f>
        <v>0</v>
      </c>
      <c r="CP185" s="113"/>
      <c r="CQ185" s="113"/>
      <c r="CR185" s="62">
        <f>订货1!BC185</f>
        <v>0</v>
      </c>
      <c r="CS185" s="113"/>
      <c r="CT185" s="113"/>
      <c r="CU185" s="62">
        <f>订货1!BD185</f>
        <v>0</v>
      </c>
      <c r="CV185" s="113"/>
      <c r="CW185" s="113"/>
      <c r="CX185" s="62">
        <f>订货1!BE185</f>
        <v>0</v>
      </c>
      <c r="CY185" s="113"/>
      <c r="CZ185" s="113"/>
      <c r="DA185" s="62">
        <f>订货1!BF185</f>
        <v>0</v>
      </c>
      <c r="DB185" s="113"/>
      <c r="DC185" s="113"/>
      <c r="DD185" s="208">
        <v>0</v>
      </c>
      <c r="DE185" s="110" t="e">
        <f t="shared" si="38"/>
        <v>#DIV/0!</v>
      </c>
      <c r="DF185" s="52">
        <f t="shared" si="37"/>
        <v>9</v>
      </c>
      <c r="DG185" s="32" t="str">
        <f>订货1!$Q185</f>
        <v>箱</v>
      </c>
      <c r="DH185" s="209" t="e">
        <f t="shared" si="39"/>
        <v>#DIV/0!</v>
      </c>
    </row>
    <row r="186" spans="1:112" ht="15" customHeight="1">
      <c r="A186" s="48">
        <f>订货1!A186</f>
        <v>101269</v>
      </c>
      <c r="B186" s="44" t="str">
        <f>VLOOKUP($A186,订货1!$A186:$G429,7,0)</f>
        <v>沈阳华美食品有限公司</v>
      </c>
      <c r="C186" s="44" t="str">
        <f>VLOOKUP($A186,订货1!$A186:$H429,8,0)</f>
        <v>沈阳华美食品有限公司</v>
      </c>
      <c r="D186" s="44" t="str">
        <f>VLOOKUP($A186,订货1!$A186:$B429,2,0)</f>
        <v>香草鸡排串</v>
      </c>
      <c r="E186" s="44" t="str">
        <f>VLOOKUP($A186,订货1!$A186:$E429,5,0)</f>
        <v>1kg*12</v>
      </c>
      <c r="F186" s="49" t="str">
        <f>VLOOKUP($A186,订货1!$A186:$F429,6,0)</f>
        <v>箱</v>
      </c>
      <c r="G186" s="203"/>
      <c r="H186" s="56">
        <f t="shared" si="40"/>
        <v>4</v>
      </c>
      <c r="I186" s="196"/>
      <c r="J186" s="113"/>
      <c r="K186" s="113"/>
      <c r="L186" s="196"/>
      <c r="M186" s="113"/>
      <c r="N186" s="113"/>
      <c r="O186" s="62">
        <f>订货1!AB186</f>
        <v>0</v>
      </c>
      <c r="P186" s="113"/>
      <c r="Q186" s="113"/>
      <c r="R186" s="62">
        <f>订货1!AC186</f>
        <v>0</v>
      </c>
      <c r="S186" s="113"/>
      <c r="T186" s="113"/>
      <c r="U186" s="62">
        <f>订货1!AD186</f>
        <v>0</v>
      </c>
      <c r="V186" s="113"/>
      <c r="W186" s="113"/>
      <c r="X186" s="62">
        <f>订货1!AE186</f>
        <v>1</v>
      </c>
      <c r="Y186" s="113"/>
      <c r="Z186" s="113"/>
      <c r="AA186" s="62">
        <f>订货1!AF186</f>
        <v>0</v>
      </c>
      <c r="AB186" s="113"/>
      <c r="AC186" s="113"/>
      <c r="AD186" s="62">
        <f>订货1!AG186</f>
        <v>1</v>
      </c>
      <c r="AE186" s="113"/>
      <c r="AF186" s="113"/>
      <c r="AG186" s="62">
        <f>订货1!AH186</f>
        <v>0</v>
      </c>
      <c r="AH186" s="113"/>
      <c r="AI186" s="113"/>
      <c r="AJ186" s="62">
        <f>订货1!AI186</f>
        <v>0</v>
      </c>
      <c r="AK186" s="113"/>
      <c r="AL186" s="113"/>
      <c r="AM186" s="62">
        <f>订货1!AJ186</f>
        <v>0</v>
      </c>
      <c r="AN186" s="113"/>
      <c r="AO186" s="113"/>
      <c r="AP186" s="62">
        <f>订货1!AK186</f>
        <v>0</v>
      </c>
      <c r="AQ186" s="113"/>
      <c r="AR186" s="113"/>
      <c r="AS186" s="62">
        <f>订货1!AL186</f>
        <v>1</v>
      </c>
      <c r="AT186" s="113"/>
      <c r="AU186" s="113"/>
      <c r="AV186" s="62">
        <f>订货1!AM186</f>
        <v>0</v>
      </c>
      <c r="AW186" s="113"/>
      <c r="AX186" s="113"/>
      <c r="AY186" s="62">
        <f>订货1!AN186</f>
        <v>1</v>
      </c>
      <c r="AZ186" s="113"/>
      <c r="BA186" s="113"/>
      <c r="BB186" s="62">
        <f>订货1!AO186</f>
        <v>0</v>
      </c>
      <c r="BC186" s="113"/>
      <c r="BD186" s="113"/>
      <c r="BE186" s="62">
        <f>订货1!AP186</f>
        <v>0</v>
      </c>
      <c r="BF186" s="113"/>
      <c r="BG186" s="113"/>
      <c r="BH186" s="62">
        <f>订货1!AQ186</f>
        <v>0</v>
      </c>
      <c r="BI186" s="113"/>
      <c r="BJ186" s="113"/>
      <c r="BK186" s="62">
        <f>订货1!AR186</f>
        <v>0</v>
      </c>
      <c r="BL186" s="113"/>
      <c r="BM186" s="113"/>
      <c r="BN186" s="62">
        <f>订货1!AS186</f>
        <v>0</v>
      </c>
      <c r="BO186" s="113"/>
      <c r="BP186" s="113"/>
      <c r="BQ186" s="62">
        <f>订货1!AT186</f>
        <v>0</v>
      </c>
      <c r="BR186" s="113"/>
      <c r="BS186" s="113"/>
      <c r="BT186" s="62">
        <f>订货1!AU186</f>
        <v>0</v>
      </c>
      <c r="BU186" s="113"/>
      <c r="BV186" s="113"/>
      <c r="BW186" s="62">
        <f>订货1!AV186</f>
        <v>0</v>
      </c>
      <c r="BX186" s="113"/>
      <c r="BY186" s="113"/>
      <c r="BZ186" s="62">
        <f>订货1!AW186</f>
        <v>0</v>
      </c>
      <c r="CA186" s="113"/>
      <c r="CB186" s="113"/>
      <c r="CC186" s="62">
        <f>订货1!AX186</f>
        <v>0</v>
      </c>
      <c r="CD186" s="113"/>
      <c r="CE186" s="113"/>
      <c r="CF186" s="62">
        <f>订货1!AY186</f>
        <v>0</v>
      </c>
      <c r="CG186" s="113"/>
      <c r="CH186" s="113"/>
      <c r="CI186" s="62">
        <f>订货1!AZ186</f>
        <v>0</v>
      </c>
      <c r="CJ186" s="113"/>
      <c r="CK186" s="113"/>
      <c r="CL186" s="62">
        <f>订货1!BA186</f>
        <v>0</v>
      </c>
      <c r="CM186" s="113"/>
      <c r="CN186" s="113"/>
      <c r="CO186" s="62">
        <f>订货1!BB186</f>
        <v>0</v>
      </c>
      <c r="CP186" s="113"/>
      <c r="CQ186" s="113"/>
      <c r="CR186" s="62">
        <f>订货1!BC186</f>
        <v>0</v>
      </c>
      <c r="CS186" s="113"/>
      <c r="CT186" s="113"/>
      <c r="CU186" s="62">
        <f>订货1!BD186</f>
        <v>0</v>
      </c>
      <c r="CV186" s="113"/>
      <c r="CW186" s="113"/>
      <c r="CX186" s="62">
        <f>订货1!BE186</f>
        <v>0</v>
      </c>
      <c r="CY186" s="113"/>
      <c r="CZ186" s="113"/>
      <c r="DA186" s="62">
        <f>订货1!BF186</f>
        <v>0</v>
      </c>
      <c r="DB186" s="113"/>
      <c r="DC186" s="113"/>
      <c r="DD186" s="208">
        <v>0</v>
      </c>
      <c r="DE186" s="110" t="e">
        <f t="shared" si="38"/>
        <v>#DIV/0!</v>
      </c>
      <c r="DF186" s="52">
        <f t="shared" si="37"/>
        <v>4</v>
      </c>
      <c r="DG186" s="32" t="str">
        <f>订货1!$Q186</f>
        <v>箱</v>
      </c>
      <c r="DH186" s="209" t="e">
        <f t="shared" si="39"/>
        <v>#DIV/0!</v>
      </c>
    </row>
    <row r="187" spans="1:112" ht="15" customHeight="1">
      <c r="A187" s="48">
        <f>订货1!A187</f>
        <v>101699</v>
      </c>
      <c r="B187" s="44" t="str">
        <f>VLOOKUP($A187,订货1!$A187:$G430,7,0)</f>
        <v>熠沣实业（上海）有限公司</v>
      </c>
      <c r="C187" s="44" t="str">
        <f>VLOOKUP($A187,订货1!$A187:$H430,8,0)</f>
        <v>中粮屯河（杭锦后旗）番茄制品有限公司</v>
      </c>
      <c r="D187" s="44" t="str">
        <f>VLOOKUP($A187,订货1!$A187:$B430,2,0)</f>
        <v>屯河番茄丁</v>
      </c>
      <c r="E187" s="44" t="str">
        <f>VLOOKUP($A187,订货1!$A187:$E430,5,0)</f>
        <v>2.85kg*6can</v>
      </c>
      <c r="F187" s="49" t="str">
        <f>VLOOKUP($A187,订货1!$A187:$F430,6,0)</f>
        <v>箱</v>
      </c>
      <c r="G187" s="203"/>
      <c r="H187" s="56">
        <f t="shared" si="40"/>
        <v>2</v>
      </c>
      <c r="I187" s="196"/>
      <c r="J187" s="113"/>
      <c r="K187" s="113"/>
      <c r="L187" s="196"/>
      <c r="M187" s="113"/>
      <c r="N187" s="113"/>
      <c r="O187" s="62">
        <f>订货1!AB187</f>
        <v>0</v>
      </c>
      <c r="P187" s="113"/>
      <c r="Q187" s="113"/>
      <c r="R187" s="62">
        <f>订货1!AC187</f>
        <v>0</v>
      </c>
      <c r="S187" s="113"/>
      <c r="T187" s="113"/>
      <c r="U187" s="62">
        <f>订货1!AD187</f>
        <v>0</v>
      </c>
      <c r="V187" s="113"/>
      <c r="W187" s="113"/>
      <c r="X187" s="62">
        <f>订货1!AE187</f>
        <v>0</v>
      </c>
      <c r="Y187" s="113"/>
      <c r="Z187" s="113"/>
      <c r="AA187" s="62">
        <f>订货1!AF187</f>
        <v>0</v>
      </c>
      <c r="AB187" s="113"/>
      <c r="AC187" s="113"/>
      <c r="AD187" s="62">
        <f>订货1!AG187</f>
        <v>1</v>
      </c>
      <c r="AE187" s="113"/>
      <c r="AF187" s="113"/>
      <c r="AG187" s="62">
        <f>订货1!AH187</f>
        <v>0</v>
      </c>
      <c r="AH187" s="113"/>
      <c r="AI187" s="113"/>
      <c r="AJ187" s="62">
        <f>订货1!AI187</f>
        <v>1</v>
      </c>
      <c r="AK187" s="113"/>
      <c r="AL187" s="113"/>
      <c r="AM187" s="62">
        <f>订货1!AJ187</f>
        <v>0</v>
      </c>
      <c r="AN187" s="113"/>
      <c r="AO187" s="113"/>
      <c r="AP187" s="62">
        <f>订货1!AK187</f>
        <v>0</v>
      </c>
      <c r="AQ187" s="113"/>
      <c r="AR187" s="113"/>
      <c r="AS187" s="62">
        <f>订货1!AL187</f>
        <v>0</v>
      </c>
      <c r="AT187" s="113"/>
      <c r="AU187" s="113"/>
      <c r="AV187" s="62">
        <f>订货1!AM187</f>
        <v>0</v>
      </c>
      <c r="AW187" s="113"/>
      <c r="AX187" s="113"/>
      <c r="AY187" s="62">
        <f>订货1!AN187</f>
        <v>0</v>
      </c>
      <c r="AZ187" s="113"/>
      <c r="BA187" s="113"/>
      <c r="BB187" s="62">
        <f>订货1!AO187</f>
        <v>0</v>
      </c>
      <c r="BC187" s="113"/>
      <c r="BD187" s="113"/>
      <c r="BE187" s="62">
        <f>订货1!AP187</f>
        <v>0</v>
      </c>
      <c r="BF187" s="113"/>
      <c r="BG187" s="113"/>
      <c r="BH187" s="62">
        <f>订货1!AQ187</f>
        <v>0</v>
      </c>
      <c r="BI187" s="113"/>
      <c r="BJ187" s="113"/>
      <c r="BK187" s="62">
        <f>订货1!AR187</f>
        <v>0</v>
      </c>
      <c r="BL187" s="113"/>
      <c r="BM187" s="113"/>
      <c r="BN187" s="62">
        <f>订货1!AS187</f>
        <v>0</v>
      </c>
      <c r="BO187" s="113"/>
      <c r="BP187" s="113"/>
      <c r="BQ187" s="62">
        <f>订货1!AT187</f>
        <v>0</v>
      </c>
      <c r="BR187" s="113"/>
      <c r="BS187" s="113"/>
      <c r="BT187" s="62">
        <f>订货1!AU187</f>
        <v>0</v>
      </c>
      <c r="BU187" s="113"/>
      <c r="BV187" s="113"/>
      <c r="BW187" s="62">
        <f>订货1!AV187</f>
        <v>0</v>
      </c>
      <c r="BX187" s="113"/>
      <c r="BY187" s="113"/>
      <c r="BZ187" s="62">
        <f>订货1!AW187</f>
        <v>0</v>
      </c>
      <c r="CA187" s="113"/>
      <c r="CB187" s="113"/>
      <c r="CC187" s="62">
        <f>订货1!AX187</f>
        <v>0</v>
      </c>
      <c r="CD187" s="113"/>
      <c r="CE187" s="113"/>
      <c r="CF187" s="62">
        <f>订货1!AY187</f>
        <v>0</v>
      </c>
      <c r="CG187" s="113"/>
      <c r="CH187" s="113"/>
      <c r="CI187" s="62">
        <f>订货1!AZ187</f>
        <v>0</v>
      </c>
      <c r="CJ187" s="113"/>
      <c r="CK187" s="113"/>
      <c r="CL187" s="62">
        <f>订货1!BA187</f>
        <v>0</v>
      </c>
      <c r="CM187" s="113"/>
      <c r="CN187" s="113"/>
      <c r="CO187" s="62">
        <f>订货1!BB187</f>
        <v>0</v>
      </c>
      <c r="CP187" s="113"/>
      <c r="CQ187" s="113"/>
      <c r="CR187" s="62">
        <f>订货1!BC187</f>
        <v>0</v>
      </c>
      <c r="CS187" s="113"/>
      <c r="CT187" s="113"/>
      <c r="CU187" s="62">
        <f>订货1!BD187</f>
        <v>0</v>
      </c>
      <c r="CV187" s="113"/>
      <c r="CW187" s="113"/>
      <c r="CX187" s="62">
        <f>订货1!BE187</f>
        <v>0</v>
      </c>
      <c r="CY187" s="113"/>
      <c r="CZ187" s="113"/>
      <c r="DA187" s="62">
        <f>订货1!BF187</f>
        <v>0</v>
      </c>
      <c r="DB187" s="113"/>
      <c r="DC187" s="113"/>
      <c r="DD187" s="208">
        <v>0</v>
      </c>
      <c r="DE187" s="110" t="e">
        <f t="shared" si="38"/>
        <v>#DIV/0!</v>
      </c>
      <c r="DF187" s="52">
        <f t="shared" si="37"/>
        <v>2</v>
      </c>
      <c r="DG187" s="32" t="str">
        <f>订货1!$Q187</f>
        <v>箱</v>
      </c>
      <c r="DH187" s="209" t="e">
        <f t="shared" si="39"/>
        <v>#DIV/0!</v>
      </c>
    </row>
    <row r="188" spans="1:112" ht="15" customHeight="1">
      <c r="A188" s="48">
        <f>订货1!A188</f>
        <v>101576</v>
      </c>
      <c r="B188" s="44" t="str">
        <f>VLOOKUP($A188,订货1!$A188:$G431,7,0)</f>
        <v>上海萨莉亚餐饮有限公司</v>
      </c>
      <c r="C188" s="44" t="str">
        <f>VLOOKUP($A188,订货1!$A188:$H431,8,0)</f>
        <v>SAIZERIYA AUSTRALIA PTY LTD</v>
      </c>
      <c r="D188" s="44" t="str">
        <f>VLOOKUP($A188,订货1!$A188:$B431,2,0)</f>
        <v>白沙司</v>
      </c>
      <c r="E188" s="44" t="str">
        <f>VLOOKUP($A188,订货1!$A188:$E431,5,0)</f>
        <v>1kg*12</v>
      </c>
      <c r="F188" s="49" t="str">
        <f>VLOOKUP($A188,订货1!$A188:$F431,6,0)</f>
        <v>箱</v>
      </c>
      <c r="G188" s="203"/>
      <c r="H188" s="56">
        <f t="shared" si="40"/>
        <v>8</v>
      </c>
      <c r="I188" s="196"/>
      <c r="J188" s="113"/>
      <c r="K188" s="113"/>
      <c r="L188" s="196"/>
      <c r="M188" s="113"/>
      <c r="N188" s="113"/>
      <c r="O188" s="62">
        <f>订货1!AB188</f>
        <v>0</v>
      </c>
      <c r="P188" s="113"/>
      <c r="Q188" s="113"/>
      <c r="R188" s="62">
        <f>订货1!AC188</f>
        <v>0</v>
      </c>
      <c r="S188" s="113"/>
      <c r="T188" s="113"/>
      <c r="U188" s="62">
        <f>订货1!AD188</f>
        <v>0</v>
      </c>
      <c r="V188" s="113"/>
      <c r="W188" s="113"/>
      <c r="X188" s="62">
        <f>订货1!AE188</f>
        <v>1</v>
      </c>
      <c r="Y188" s="113"/>
      <c r="Z188" s="113"/>
      <c r="AA188" s="62">
        <f>订货1!AF188</f>
        <v>0</v>
      </c>
      <c r="AB188" s="113"/>
      <c r="AC188" s="113"/>
      <c r="AD188" s="62">
        <f>订货1!AG188</f>
        <v>2</v>
      </c>
      <c r="AE188" s="113"/>
      <c r="AF188" s="113"/>
      <c r="AG188" s="62">
        <f>订货1!AH188</f>
        <v>0</v>
      </c>
      <c r="AH188" s="113"/>
      <c r="AI188" s="113"/>
      <c r="AJ188" s="62">
        <f>订货1!AI188</f>
        <v>0</v>
      </c>
      <c r="AK188" s="113"/>
      <c r="AL188" s="113"/>
      <c r="AM188" s="62">
        <f>订货1!AJ188</f>
        <v>1</v>
      </c>
      <c r="AN188" s="113"/>
      <c r="AO188" s="113"/>
      <c r="AP188" s="62">
        <f>订货1!AK188</f>
        <v>0</v>
      </c>
      <c r="AQ188" s="113"/>
      <c r="AR188" s="113"/>
      <c r="AS188" s="62">
        <f>订货1!AL188</f>
        <v>0</v>
      </c>
      <c r="AT188" s="113"/>
      <c r="AU188" s="113"/>
      <c r="AV188" s="62">
        <f>订货1!AM188</f>
        <v>2</v>
      </c>
      <c r="AW188" s="113"/>
      <c r="AX188" s="113"/>
      <c r="AY188" s="62">
        <f>订货1!AN188</f>
        <v>1</v>
      </c>
      <c r="AZ188" s="113"/>
      <c r="BA188" s="113"/>
      <c r="BB188" s="62">
        <f>订货1!AO188</f>
        <v>1</v>
      </c>
      <c r="BC188" s="113"/>
      <c r="BD188" s="113"/>
      <c r="BE188" s="62">
        <f>订货1!AP188</f>
        <v>0</v>
      </c>
      <c r="BF188" s="113"/>
      <c r="BG188" s="113"/>
      <c r="BH188" s="62">
        <f>订货1!AQ188</f>
        <v>0</v>
      </c>
      <c r="BI188" s="113"/>
      <c r="BJ188" s="113"/>
      <c r="BK188" s="62">
        <f>订货1!AR188</f>
        <v>0</v>
      </c>
      <c r="BL188" s="113"/>
      <c r="BM188" s="113"/>
      <c r="BN188" s="62">
        <f>订货1!AS188</f>
        <v>0</v>
      </c>
      <c r="BO188" s="113"/>
      <c r="BP188" s="113"/>
      <c r="BQ188" s="62">
        <f>订货1!AT188</f>
        <v>0</v>
      </c>
      <c r="BR188" s="113"/>
      <c r="BS188" s="113"/>
      <c r="BT188" s="62">
        <f>订货1!AU188</f>
        <v>0</v>
      </c>
      <c r="BU188" s="113"/>
      <c r="BV188" s="113"/>
      <c r="BW188" s="62">
        <f>订货1!AV188</f>
        <v>0</v>
      </c>
      <c r="BX188" s="113"/>
      <c r="BY188" s="113"/>
      <c r="BZ188" s="62">
        <f>订货1!AW188</f>
        <v>0</v>
      </c>
      <c r="CA188" s="113"/>
      <c r="CB188" s="113"/>
      <c r="CC188" s="62">
        <f>订货1!AX188</f>
        <v>0</v>
      </c>
      <c r="CD188" s="113"/>
      <c r="CE188" s="113"/>
      <c r="CF188" s="62">
        <f>订货1!AY188</f>
        <v>0</v>
      </c>
      <c r="CG188" s="113"/>
      <c r="CH188" s="113"/>
      <c r="CI188" s="62">
        <f>订货1!AZ188</f>
        <v>0</v>
      </c>
      <c r="CJ188" s="113"/>
      <c r="CK188" s="113"/>
      <c r="CL188" s="62">
        <f>订货1!BA188</f>
        <v>0</v>
      </c>
      <c r="CM188" s="113"/>
      <c r="CN188" s="113"/>
      <c r="CO188" s="62">
        <f>订货1!BB188</f>
        <v>0</v>
      </c>
      <c r="CP188" s="113"/>
      <c r="CQ188" s="113"/>
      <c r="CR188" s="62">
        <f>订货1!BC188</f>
        <v>0</v>
      </c>
      <c r="CS188" s="113"/>
      <c r="CT188" s="113"/>
      <c r="CU188" s="62">
        <f>订货1!BD188</f>
        <v>0</v>
      </c>
      <c r="CV188" s="113"/>
      <c r="CW188" s="113"/>
      <c r="CX188" s="62">
        <f>订货1!BE188</f>
        <v>0</v>
      </c>
      <c r="CY188" s="113"/>
      <c r="CZ188" s="113"/>
      <c r="DA188" s="62">
        <f>订货1!BF188</f>
        <v>0</v>
      </c>
      <c r="DB188" s="113"/>
      <c r="DC188" s="113"/>
      <c r="DD188" s="208">
        <v>0</v>
      </c>
      <c r="DE188" s="110" t="e">
        <f t="shared" si="38"/>
        <v>#DIV/0!</v>
      </c>
      <c r="DF188" s="52">
        <f t="shared" si="37"/>
        <v>8</v>
      </c>
      <c r="DG188" s="32" t="str">
        <f>订货1!$Q188</f>
        <v>箱</v>
      </c>
      <c r="DH188" s="209" t="e">
        <f t="shared" si="39"/>
        <v>#DIV/0!</v>
      </c>
    </row>
    <row r="189" spans="1:112" ht="15" customHeight="1">
      <c r="A189" s="48">
        <f>订货1!A189</f>
        <v>101063</v>
      </c>
      <c r="B189" s="44" t="str">
        <f>VLOOKUP($A189,订货1!$A189:$G432,7,0)</f>
        <v>上海妙可蓝多食品科技股份有限公司</v>
      </c>
      <c r="C189" s="44" t="str">
        <f>VLOOKUP($A189,订货1!$A189:$H432,8,0)</f>
        <v>妙可蓝多（天津）食品科技有限公司</v>
      </c>
      <c r="D189" s="44" t="str">
        <f>VLOOKUP($A189,订货1!$A189:$B432,2,0)</f>
        <v>妙可蓝多马苏里拉奶酪</v>
      </c>
      <c r="E189" s="44" t="str">
        <f>VLOOKUP($A189,订货1!$A189:$E432,5,0)</f>
        <v>3kg*4pc</v>
      </c>
      <c r="F189" s="49" t="str">
        <f>VLOOKUP($A189,订货1!$A189:$F432,6,0)</f>
        <v>箱</v>
      </c>
      <c r="G189" s="203"/>
      <c r="H189" s="56">
        <f t="shared" si="40"/>
        <v>9</v>
      </c>
      <c r="I189" s="196"/>
      <c r="J189" s="113"/>
      <c r="K189" s="113"/>
      <c r="L189" s="196"/>
      <c r="M189" s="113"/>
      <c r="N189" s="113"/>
      <c r="O189" s="62">
        <f>订货1!AB189</f>
        <v>0</v>
      </c>
      <c r="P189" s="113"/>
      <c r="Q189" s="113"/>
      <c r="R189" s="62">
        <f>订货1!AC189</f>
        <v>1</v>
      </c>
      <c r="S189" s="113"/>
      <c r="T189" s="113"/>
      <c r="U189" s="62">
        <f>订货1!AD189</f>
        <v>0</v>
      </c>
      <c r="V189" s="113"/>
      <c r="W189" s="113"/>
      <c r="X189" s="62">
        <f>订货1!AE189</f>
        <v>1</v>
      </c>
      <c r="Y189" s="113"/>
      <c r="Z189" s="113"/>
      <c r="AA189" s="62">
        <f>订货1!AF189</f>
        <v>1</v>
      </c>
      <c r="AB189" s="113"/>
      <c r="AC189" s="113"/>
      <c r="AD189" s="62">
        <f>订货1!AG189</f>
        <v>1</v>
      </c>
      <c r="AE189" s="113"/>
      <c r="AF189" s="113"/>
      <c r="AG189" s="62">
        <f>订货1!AH189</f>
        <v>0</v>
      </c>
      <c r="AH189" s="113"/>
      <c r="AI189" s="113"/>
      <c r="AJ189" s="62">
        <f>订货1!AI189</f>
        <v>1</v>
      </c>
      <c r="AK189" s="113"/>
      <c r="AL189" s="113"/>
      <c r="AM189" s="62">
        <f>订货1!AJ189</f>
        <v>0</v>
      </c>
      <c r="AN189" s="113"/>
      <c r="AO189" s="113"/>
      <c r="AP189" s="62">
        <f>订货1!AK189</f>
        <v>0</v>
      </c>
      <c r="AQ189" s="113"/>
      <c r="AR189" s="113"/>
      <c r="AS189" s="62">
        <f>订货1!AL189</f>
        <v>0</v>
      </c>
      <c r="AT189" s="113"/>
      <c r="AU189" s="113"/>
      <c r="AV189" s="62">
        <f>订货1!AM189</f>
        <v>2</v>
      </c>
      <c r="AW189" s="113"/>
      <c r="AX189" s="113"/>
      <c r="AY189" s="62">
        <f>订货1!AN189</f>
        <v>2</v>
      </c>
      <c r="AZ189" s="113"/>
      <c r="BA189" s="113"/>
      <c r="BB189" s="62">
        <f>订货1!AO189</f>
        <v>0</v>
      </c>
      <c r="BC189" s="113"/>
      <c r="BD189" s="113"/>
      <c r="BE189" s="62">
        <f>订货1!AP189</f>
        <v>0</v>
      </c>
      <c r="BF189" s="113"/>
      <c r="BG189" s="113"/>
      <c r="BH189" s="62">
        <f>订货1!AQ189</f>
        <v>0</v>
      </c>
      <c r="BI189" s="113"/>
      <c r="BJ189" s="113"/>
      <c r="BK189" s="62">
        <f>订货1!AR189</f>
        <v>0</v>
      </c>
      <c r="BL189" s="113"/>
      <c r="BM189" s="113"/>
      <c r="BN189" s="62">
        <f>订货1!AS189</f>
        <v>0</v>
      </c>
      <c r="BO189" s="113"/>
      <c r="BP189" s="113"/>
      <c r="BQ189" s="62">
        <f>订货1!AT189</f>
        <v>0</v>
      </c>
      <c r="BR189" s="113"/>
      <c r="BS189" s="113"/>
      <c r="BT189" s="62">
        <f>订货1!AU189</f>
        <v>0</v>
      </c>
      <c r="BU189" s="113"/>
      <c r="BV189" s="113"/>
      <c r="BW189" s="62">
        <f>订货1!AV189</f>
        <v>0</v>
      </c>
      <c r="BX189" s="113"/>
      <c r="BY189" s="113"/>
      <c r="BZ189" s="62">
        <f>订货1!AW189</f>
        <v>0</v>
      </c>
      <c r="CA189" s="113"/>
      <c r="CB189" s="113"/>
      <c r="CC189" s="62">
        <f>订货1!AX189</f>
        <v>0</v>
      </c>
      <c r="CD189" s="113"/>
      <c r="CE189" s="113"/>
      <c r="CF189" s="62">
        <f>订货1!AY189</f>
        <v>0</v>
      </c>
      <c r="CG189" s="113"/>
      <c r="CH189" s="113"/>
      <c r="CI189" s="62">
        <f>订货1!AZ189</f>
        <v>0</v>
      </c>
      <c r="CJ189" s="113"/>
      <c r="CK189" s="113"/>
      <c r="CL189" s="62">
        <f>订货1!BA189</f>
        <v>0</v>
      </c>
      <c r="CM189" s="113"/>
      <c r="CN189" s="113"/>
      <c r="CO189" s="62">
        <f>订货1!BB189</f>
        <v>0</v>
      </c>
      <c r="CP189" s="113"/>
      <c r="CQ189" s="113"/>
      <c r="CR189" s="62">
        <f>订货1!BC189</f>
        <v>0</v>
      </c>
      <c r="CS189" s="113"/>
      <c r="CT189" s="113"/>
      <c r="CU189" s="62">
        <f>订货1!BD189</f>
        <v>0</v>
      </c>
      <c r="CV189" s="113"/>
      <c r="CW189" s="113"/>
      <c r="CX189" s="62">
        <f>订货1!BE189</f>
        <v>0</v>
      </c>
      <c r="CY189" s="113"/>
      <c r="CZ189" s="113"/>
      <c r="DA189" s="62">
        <f>订货1!BF189</f>
        <v>0</v>
      </c>
      <c r="DB189" s="113"/>
      <c r="DC189" s="113"/>
      <c r="DD189" s="208">
        <v>0</v>
      </c>
      <c r="DE189" s="110" t="e">
        <f t="shared" si="38"/>
        <v>#DIV/0!</v>
      </c>
      <c r="DF189" s="52">
        <f t="shared" si="37"/>
        <v>9</v>
      </c>
      <c r="DG189" s="32" t="str">
        <f>订货1!$Q189</f>
        <v>箱</v>
      </c>
      <c r="DH189" s="209" t="e">
        <f t="shared" si="39"/>
        <v>#DIV/0!</v>
      </c>
    </row>
    <row r="190" spans="1:112" ht="15" customHeight="1">
      <c r="A190" s="48">
        <f>订货1!A190</f>
        <v>101637</v>
      </c>
      <c r="B190" s="44" t="str">
        <f>VLOOKUP($A190,订货1!$A190:$G433,7,0)</f>
        <v>朝一蛋品（上海）有限公司</v>
      </c>
      <c r="C190" s="44" t="str">
        <f>VLOOKUP($A190,订货1!$A190:$H433,8,0)</f>
        <v>一世一代（上海）食品有限公司</v>
      </c>
      <c r="D190" s="44" t="str">
        <f>VLOOKUP($A190,订货1!$A190:$B433,2,0)</f>
        <v xml:space="preserve">朝一温泉蛋 </v>
      </c>
      <c r="E190" s="44" t="str">
        <f>VLOOKUP($A190,订货1!$A190:$E433,5,0)</f>
        <v>60个/箱</v>
      </c>
      <c r="F190" s="49" t="str">
        <f>VLOOKUP($A190,订货1!$A190:$F433,6,0)</f>
        <v>箱</v>
      </c>
      <c r="G190" s="203"/>
      <c r="H190" s="56">
        <f t="shared" si="40"/>
        <v>11</v>
      </c>
      <c r="I190" s="196"/>
      <c r="J190" s="113"/>
      <c r="K190" s="113"/>
      <c r="L190" s="196"/>
      <c r="M190" s="113"/>
      <c r="N190" s="113"/>
      <c r="O190" s="62">
        <f>订货1!AB190</f>
        <v>0</v>
      </c>
      <c r="P190" s="113"/>
      <c r="Q190" s="113"/>
      <c r="R190" s="62">
        <f>订货1!AC190</f>
        <v>2</v>
      </c>
      <c r="S190" s="113"/>
      <c r="T190" s="113"/>
      <c r="U190" s="62">
        <f>订货1!AD190</f>
        <v>0</v>
      </c>
      <c r="V190" s="113"/>
      <c r="W190" s="113"/>
      <c r="X190" s="62">
        <f>订货1!AE190</f>
        <v>1</v>
      </c>
      <c r="Y190" s="113"/>
      <c r="Z190" s="113"/>
      <c r="AA190" s="62">
        <f>订货1!AF190</f>
        <v>0</v>
      </c>
      <c r="AB190" s="113"/>
      <c r="AC190" s="113"/>
      <c r="AD190" s="62">
        <f>订货1!AG190</f>
        <v>1</v>
      </c>
      <c r="AE190" s="113"/>
      <c r="AF190" s="113"/>
      <c r="AG190" s="62">
        <f>订货1!AH190</f>
        <v>1</v>
      </c>
      <c r="AH190" s="113"/>
      <c r="AI190" s="113"/>
      <c r="AJ190" s="62">
        <f>订货1!AI190</f>
        <v>0</v>
      </c>
      <c r="AK190" s="113"/>
      <c r="AL190" s="113"/>
      <c r="AM190" s="62">
        <f>订货1!AJ190</f>
        <v>1</v>
      </c>
      <c r="AN190" s="113"/>
      <c r="AO190" s="113"/>
      <c r="AP190" s="62">
        <f>订货1!AK190</f>
        <v>0</v>
      </c>
      <c r="AQ190" s="113"/>
      <c r="AR190" s="113"/>
      <c r="AS190" s="62">
        <f>订货1!AL190</f>
        <v>1</v>
      </c>
      <c r="AT190" s="113"/>
      <c r="AU190" s="113"/>
      <c r="AV190" s="62">
        <f>订货1!AM190</f>
        <v>2</v>
      </c>
      <c r="AW190" s="113"/>
      <c r="AX190" s="113"/>
      <c r="AY190" s="62">
        <f>订货1!AN190</f>
        <v>1</v>
      </c>
      <c r="AZ190" s="113"/>
      <c r="BA190" s="113"/>
      <c r="BB190" s="62">
        <f>订货1!AO190</f>
        <v>1</v>
      </c>
      <c r="BC190" s="113"/>
      <c r="BD190" s="113"/>
      <c r="BE190" s="62">
        <f>订货1!AP190</f>
        <v>0</v>
      </c>
      <c r="BF190" s="113"/>
      <c r="BG190" s="113"/>
      <c r="BH190" s="62">
        <f>订货1!AQ190</f>
        <v>0</v>
      </c>
      <c r="BI190" s="113"/>
      <c r="BJ190" s="113"/>
      <c r="BK190" s="62">
        <f>订货1!AR190</f>
        <v>0</v>
      </c>
      <c r="BL190" s="113"/>
      <c r="BM190" s="113"/>
      <c r="BN190" s="62">
        <f>订货1!AS190</f>
        <v>0</v>
      </c>
      <c r="BO190" s="113"/>
      <c r="BP190" s="113"/>
      <c r="BQ190" s="62">
        <f>订货1!AT190</f>
        <v>0</v>
      </c>
      <c r="BR190" s="113"/>
      <c r="BS190" s="113"/>
      <c r="BT190" s="62">
        <f>订货1!AU190</f>
        <v>0</v>
      </c>
      <c r="BU190" s="113"/>
      <c r="BV190" s="113"/>
      <c r="BW190" s="62">
        <f>订货1!AV190</f>
        <v>0</v>
      </c>
      <c r="BX190" s="113"/>
      <c r="BY190" s="113"/>
      <c r="BZ190" s="62">
        <f>订货1!AW190</f>
        <v>0</v>
      </c>
      <c r="CA190" s="113"/>
      <c r="CB190" s="113"/>
      <c r="CC190" s="62">
        <f>订货1!AX190</f>
        <v>0</v>
      </c>
      <c r="CD190" s="113"/>
      <c r="CE190" s="113"/>
      <c r="CF190" s="62">
        <f>订货1!AY190</f>
        <v>0</v>
      </c>
      <c r="CG190" s="113"/>
      <c r="CH190" s="113"/>
      <c r="CI190" s="62">
        <f>订货1!AZ190</f>
        <v>0</v>
      </c>
      <c r="CJ190" s="113"/>
      <c r="CK190" s="113"/>
      <c r="CL190" s="62">
        <f>订货1!BA190</f>
        <v>0</v>
      </c>
      <c r="CM190" s="113"/>
      <c r="CN190" s="113"/>
      <c r="CO190" s="62">
        <f>订货1!BB190</f>
        <v>0</v>
      </c>
      <c r="CP190" s="113"/>
      <c r="CQ190" s="113"/>
      <c r="CR190" s="62">
        <f>订货1!BC190</f>
        <v>0</v>
      </c>
      <c r="CS190" s="113"/>
      <c r="CT190" s="113"/>
      <c r="CU190" s="62">
        <f>订货1!BD190</f>
        <v>0</v>
      </c>
      <c r="CV190" s="113"/>
      <c r="CW190" s="113"/>
      <c r="CX190" s="62">
        <f>订货1!BE190</f>
        <v>0</v>
      </c>
      <c r="CY190" s="113"/>
      <c r="CZ190" s="113"/>
      <c r="DA190" s="62">
        <f>订货1!BF190</f>
        <v>0</v>
      </c>
      <c r="DB190" s="113"/>
      <c r="DC190" s="113"/>
      <c r="DD190" s="208">
        <v>0</v>
      </c>
      <c r="DE190" s="110" t="e">
        <f t="shared" si="38"/>
        <v>#DIV/0!</v>
      </c>
      <c r="DF190" s="52">
        <f t="shared" si="37"/>
        <v>11</v>
      </c>
      <c r="DG190" s="32" t="str">
        <f>订货1!$Q190</f>
        <v>箱</v>
      </c>
      <c r="DH190" s="209" t="e">
        <f t="shared" si="39"/>
        <v>#DIV/0!</v>
      </c>
    </row>
    <row r="191" spans="1:112" ht="15" customHeight="1">
      <c r="A191" s="48">
        <f>订货1!A191</f>
        <v>101761</v>
      </c>
      <c r="B191" s="44" t="str">
        <f>VLOOKUP($A191,订货1!$A191:$G434,7,0)</f>
        <v>日邦食品（上海）有限公司</v>
      </c>
      <c r="C191" s="44" t="str">
        <f>VLOOKUP($A191,订货1!$A191:$H434,8,0)</f>
        <v>山东日龙食品有限公司</v>
      </c>
      <c r="D191" s="44" t="str">
        <f>VLOOKUP($A191,订货1!$A191:$B434,2,0)</f>
        <v>原味香肠A</v>
      </c>
      <c r="E191" s="44" t="str">
        <f>VLOOKUP($A191,订货1!$A191:$E434,5,0)</f>
        <v>500g*18pc</v>
      </c>
      <c r="F191" s="49" t="str">
        <f>VLOOKUP($A191,订货1!$A191:$F434,6,0)</f>
        <v>箱</v>
      </c>
      <c r="G191" s="203"/>
      <c r="H191" s="56">
        <f t="shared" si="40"/>
        <v>0</v>
      </c>
      <c r="I191" s="196"/>
      <c r="J191" s="113"/>
      <c r="K191" s="113"/>
      <c r="L191" s="196"/>
      <c r="M191" s="113"/>
      <c r="N191" s="113"/>
      <c r="O191" s="62">
        <f>订货1!AB191</f>
        <v>0</v>
      </c>
      <c r="P191" s="113"/>
      <c r="Q191" s="113"/>
      <c r="R191" s="62">
        <f>订货1!AC191</f>
        <v>0</v>
      </c>
      <c r="S191" s="113"/>
      <c r="T191" s="113"/>
      <c r="U191" s="62">
        <f>订货1!AD191</f>
        <v>0</v>
      </c>
      <c r="V191" s="113"/>
      <c r="W191" s="113"/>
      <c r="X191" s="62">
        <f>订货1!AE191</f>
        <v>0</v>
      </c>
      <c r="Y191" s="113"/>
      <c r="Z191" s="113"/>
      <c r="AA191" s="62">
        <f>订货1!AF191</f>
        <v>0</v>
      </c>
      <c r="AB191" s="113"/>
      <c r="AC191" s="113"/>
      <c r="AD191" s="62">
        <f>订货1!AG191</f>
        <v>0</v>
      </c>
      <c r="AE191" s="113"/>
      <c r="AF191" s="113"/>
      <c r="AG191" s="62">
        <f>订货1!AH191</f>
        <v>0</v>
      </c>
      <c r="AH191" s="113"/>
      <c r="AI191" s="113"/>
      <c r="AJ191" s="62">
        <f>订货1!AI191</f>
        <v>0</v>
      </c>
      <c r="AK191" s="113"/>
      <c r="AL191" s="113"/>
      <c r="AM191" s="62">
        <f>订货1!AJ191</f>
        <v>0</v>
      </c>
      <c r="AN191" s="113"/>
      <c r="AO191" s="113"/>
      <c r="AP191" s="62">
        <f>订货1!AK191</f>
        <v>0</v>
      </c>
      <c r="AQ191" s="113"/>
      <c r="AR191" s="113"/>
      <c r="AS191" s="62">
        <f>订货1!AL191</f>
        <v>0</v>
      </c>
      <c r="AT191" s="113"/>
      <c r="AU191" s="113"/>
      <c r="AV191" s="62">
        <f>订货1!AM191</f>
        <v>0</v>
      </c>
      <c r="AW191" s="113"/>
      <c r="AX191" s="113"/>
      <c r="AY191" s="62">
        <f>订货1!AN191</f>
        <v>0</v>
      </c>
      <c r="AZ191" s="113"/>
      <c r="BA191" s="113"/>
      <c r="BB191" s="62">
        <f>订货1!AO191</f>
        <v>0</v>
      </c>
      <c r="BC191" s="113"/>
      <c r="BD191" s="113"/>
      <c r="BE191" s="62">
        <f>订货1!AP191</f>
        <v>0</v>
      </c>
      <c r="BF191" s="113"/>
      <c r="BG191" s="113"/>
      <c r="BH191" s="62">
        <f>订货1!AQ191</f>
        <v>0</v>
      </c>
      <c r="BI191" s="113"/>
      <c r="BJ191" s="113"/>
      <c r="BK191" s="62">
        <f>订货1!AR191</f>
        <v>0</v>
      </c>
      <c r="BL191" s="113"/>
      <c r="BM191" s="113"/>
      <c r="BN191" s="62">
        <f>订货1!AS191</f>
        <v>0</v>
      </c>
      <c r="BO191" s="113"/>
      <c r="BP191" s="113"/>
      <c r="BQ191" s="62">
        <f>订货1!AT191</f>
        <v>0</v>
      </c>
      <c r="BR191" s="113"/>
      <c r="BS191" s="113"/>
      <c r="BT191" s="62">
        <f>订货1!AU191</f>
        <v>0</v>
      </c>
      <c r="BU191" s="113"/>
      <c r="BV191" s="113"/>
      <c r="BW191" s="62">
        <f>订货1!AV191</f>
        <v>0</v>
      </c>
      <c r="BX191" s="113"/>
      <c r="BY191" s="113"/>
      <c r="BZ191" s="62">
        <f>订货1!AW191</f>
        <v>0</v>
      </c>
      <c r="CA191" s="113"/>
      <c r="CB191" s="113"/>
      <c r="CC191" s="62">
        <f>订货1!AX191</f>
        <v>0</v>
      </c>
      <c r="CD191" s="113"/>
      <c r="CE191" s="113"/>
      <c r="CF191" s="62">
        <f>订货1!AY191</f>
        <v>0</v>
      </c>
      <c r="CG191" s="113"/>
      <c r="CH191" s="113"/>
      <c r="CI191" s="62">
        <f>订货1!AZ191</f>
        <v>0</v>
      </c>
      <c r="CJ191" s="113"/>
      <c r="CK191" s="113"/>
      <c r="CL191" s="62">
        <f>订货1!BA191</f>
        <v>0</v>
      </c>
      <c r="CM191" s="113"/>
      <c r="CN191" s="113"/>
      <c r="CO191" s="62">
        <f>订货1!BB191</f>
        <v>0</v>
      </c>
      <c r="CP191" s="113"/>
      <c r="CQ191" s="113"/>
      <c r="CR191" s="62">
        <f>订货1!BC191</f>
        <v>0</v>
      </c>
      <c r="CS191" s="113"/>
      <c r="CT191" s="113"/>
      <c r="CU191" s="62">
        <f>订货1!BD191</f>
        <v>0</v>
      </c>
      <c r="CV191" s="113"/>
      <c r="CW191" s="113"/>
      <c r="CX191" s="62">
        <f>订货1!BE191</f>
        <v>0</v>
      </c>
      <c r="CY191" s="113"/>
      <c r="CZ191" s="113"/>
      <c r="DA191" s="62">
        <f>订货1!BF191</f>
        <v>0</v>
      </c>
      <c r="DB191" s="113"/>
      <c r="DC191" s="113"/>
      <c r="DD191" s="208">
        <v>0</v>
      </c>
      <c r="DE191" s="110" t="e">
        <f t="shared" si="38"/>
        <v>#DIV/0!</v>
      </c>
      <c r="DF191" s="52">
        <f t="shared" si="37"/>
        <v>0</v>
      </c>
      <c r="DG191" s="32" t="str">
        <f>订货1!$Q191</f>
        <v>箱</v>
      </c>
      <c r="DH191" s="209" t="e">
        <f t="shared" si="39"/>
        <v>#DIV/0!</v>
      </c>
    </row>
    <row r="192" spans="1:112" ht="15" customHeight="1">
      <c r="A192" s="48">
        <f>订货1!A192</f>
        <v>101581</v>
      </c>
      <c r="B192" s="44" t="str">
        <f>VLOOKUP($A192,订货1!$A192:$G435,7,0)</f>
        <v>上海香尚香食品有限公司</v>
      </c>
      <c r="C192" s="44" t="str">
        <f>VLOOKUP($A192,订货1!$A192:$H435,8,0)</f>
        <v>上海香尚香食品有限公司</v>
      </c>
      <c r="D192" s="44" t="str">
        <f>VLOOKUP($A192,订货1!$A192:$B435,2,0)</f>
        <v>意式肉酱</v>
      </c>
      <c r="E192" s="44" t="str">
        <f>VLOOKUP($A192,订货1!$A192:$E435,5,0)</f>
        <v>1kg*10pkt/箱</v>
      </c>
      <c r="F192" s="49" t="str">
        <f>VLOOKUP($A192,订货1!$A192:$F435,6,0)</f>
        <v>箱</v>
      </c>
      <c r="G192" s="203"/>
      <c r="H192" s="56">
        <f t="shared" si="40"/>
        <v>21</v>
      </c>
      <c r="I192" s="196"/>
      <c r="J192" s="113"/>
      <c r="K192" s="113"/>
      <c r="L192" s="196"/>
      <c r="M192" s="113"/>
      <c r="N192" s="113"/>
      <c r="O192" s="62">
        <f>订货1!AB192</f>
        <v>0</v>
      </c>
      <c r="P192" s="113"/>
      <c r="Q192" s="113"/>
      <c r="R192" s="62">
        <f>订货1!AC192</f>
        <v>2</v>
      </c>
      <c r="S192" s="113"/>
      <c r="T192" s="113"/>
      <c r="U192" s="62">
        <f>订货1!AD192</f>
        <v>0</v>
      </c>
      <c r="V192" s="113"/>
      <c r="W192" s="113"/>
      <c r="X192" s="62">
        <f>订货1!AE192</f>
        <v>3</v>
      </c>
      <c r="Y192" s="113"/>
      <c r="Z192" s="113"/>
      <c r="AA192" s="62">
        <f>订货1!AF192</f>
        <v>2</v>
      </c>
      <c r="AB192" s="113"/>
      <c r="AC192" s="113"/>
      <c r="AD192" s="62">
        <f>订货1!AG192</f>
        <v>3</v>
      </c>
      <c r="AE192" s="113"/>
      <c r="AF192" s="113"/>
      <c r="AG192" s="62">
        <f>订货1!AH192</f>
        <v>0</v>
      </c>
      <c r="AH192" s="113"/>
      <c r="AI192" s="113"/>
      <c r="AJ192" s="62">
        <f>订货1!AI192</f>
        <v>2</v>
      </c>
      <c r="AK192" s="113"/>
      <c r="AL192" s="113"/>
      <c r="AM192" s="62">
        <f>订货1!AJ192</f>
        <v>1</v>
      </c>
      <c r="AN192" s="113"/>
      <c r="AO192" s="113"/>
      <c r="AP192" s="62">
        <f>订货1!AK192</f>
        <v>0</v>
      </c>
      <c r="AQ192" s="113"/>
      <c r="AR192" s="113"/>
      <c r="AS192" s="62">
        <f>订货1!AL192</f>
        <v>0</v>
      </c>
      <c r="AT192" s="113"/>
      <c r="AU192" s="113"/>
      <c r="AV192" s="62">
        <f>订货1!AM192</f>
        <v>4</v>
      </c>
      <c r="AW192" s="113"/>
      <c r="AX192" s="113"/>
      <c r="AY192" s="62">
        <f>订货1!AN192</f>
        <v>2</v>
      </c>
      <c r="AZ192" s="113"/>
      <c r="BA192" s="113"/>
      <c r="BB192" s="62">
        <f>订货1!AO192</f>
        <v>2</v>
      </c>
      <c r="BC192" s="113"/>
      <c r="BD192" s="113"/>
      <c r="BE192" s="62">
        <f>订货1!AP192</f>
        <v>0</v>
      </c>
      <c r="BF192" s="113"/>
      <c r="BG192" s="113"/>
      <c r="BH192" s="62">
        <f>订货1!AQ192</f>
        <v>0</v>
      </c>
      <c r="BI192" s="113"/>
      <c r="BJ192" s="113"/>
      <c r="BK192" s="62">
        <f>订货1!AR192</f>
        <v>0</v>
      </c>
      <c r="BL192" s="113"/>
      <c r="BM192" s="113"/>
      <c r="BN192" s="62">
        <f>订货1!AS192</f>
        <v>0</v>
      </c>
      <c r="BO192" s="113"/>
      <c r="BP192" s="113"/>
      <c r="BQ192" s="62">
        <f>订货1!AT192</f>
        <v>0</v>
      </c>
      <c r="BR192" s="113"/>
      <c r="BS192" s="113"/>
      <c r="BT192" s="62">
        <f>订货1!AU192</f>
        <v>0</v>
      </c>
      <c r="BU192" s="113"/>
      <c r="BV192" s="113"/>
      <c r="BW192" s="62">
        <f>订货1!AV192</f>
        <v>0</v>
      </c>
      <c r="BX192" s="113"/>
      <c r="BY192" s="113"/>
      <c r="BZ192" s="62">
        <f>订货1!AW192</f>
        <v>0</v>
      </c>
      <c r="CA192" s="113"/>
      <c r="CB192" s="113"/>
      <c r="CC192" s="62">
        <f>订货1!AX192</f>
        <v>0</v>
      </c>
      <c r="CD192" s="113"/>
      <c r="CE192" s="113"/>
      <c r="CF192" s="62">
        <f>订货1!AY192</f>
        <v>0</v>
      </c>
      <c r="CG192" s="113"/>
      <c r="CH192" s="113"/>
      <c r="CI192" s="62">
        <f>订货1!AZ192</f>
        <v>0</v>
      </c>
      <c r="CJ192" s="113"/>
      <c r="CK192" s="113"/>
      <c r="CL192" s="62">
        <f>订货1!BA192</f>
        <v>0</v>
      </c>
      <c r="CM192" s="113"/>
      <c r="CN192" s="113"/>
      <c r="CO192" s="62">
        <f>订货1!BB192</f>
        <v>0</v>
      </c>
      <c r="CP192" s="113"/>
      <c r="CQ192" s="113"/>
      <c r="CR192" s="62">
        <f>订货1!BC192</f>
        <v>0</v>
      </c>
      <c r="CS192" s="113"/>
      <c r="CT192" s="113"/>
      <c r="CU192" s="62">
        <f>订货1!BD192</f>
        <v>0</v>
      </c>
      <c r="CV192" s="113"/>
      <c r="CW192" s="113"/>
      <c r="CX192" s="62">
        <f>订货1!BE192</f>
        <v>0</v>
      </c>
      <c r="CY192" s="113"/>
      <c r="CZ192" s="113"/>
      <c r="DA192" s="62">
        <f>订货1!BF192</f>
        <v>0</v>
      </c>
      <c r="DB192" s="113"/>
      <c r="DC192" s="113"/>
      <c r="DD192" s="208">
        <v>0</v>
      </c>
      <c r="DE192" s="110" t="e">
        <f t="shared" si="38"/>
        <v>#DIV/0!</v>
      </c>
      <c r="DF192" s="52">
        <f t="shared" ref="DF192:DF255" si="44">IFERROR(DD192+H192-G192,"")</f>
        <v>21</v>
      </c>
      <c r="DG192" s="32" t="str">
        <f>订货1!$Q192</f>
        <v>箱</v>
      </c>
      <c r="DH192" s="209" t="e">
        <f t="shared" si="39"/>
        <v>#DIV/0!</v>
      </c>
    </row>
    <row r="193" spans="1:112" ht="15" customHeight="1">
      <c r="A193" s="48">
        <f>订货1!A193</f>
        <v>101737</v>
      </c>
      <c r="B193" s="44" t="str">
        <f>VLOOKUP($A193,订货1!$A193:$G436,7,0)</f>
        <v>广州萨莉亚食品有限公司</v>
      </c>
      <c r="C193" s="44" t="str">
        <f>VLOOKUP($A193,订货1!$A193:$H436,8,0)</f>
        <v>广州萨莉亚食品有限公司</v>
      </c>
      <c r="D193" s="44" t="str">
        <f>VLOOKUP($A193,订货1!$A193:$B436,2,0)</f>
        <v>披萨酱</v>
      </c>
      <c r="E193" s="44" t="str">
        <f>VLOOKUP($A193,订货1!$A193:$E436,5,0)</f>
        <v>500g*20袋</v>
      </c>
      <c r="F193" s="49" t="str">
        <f>VLOOKUP($A193,订货1!$A193:$F436,6,0)</f>
        <v>箱</v>
      </c>
      <c r="G193" s="203"/>
      <c r="H193" s="56">
        <f t="shared" si="40"/>
        <v>0</v>
      </c>
      <c r="I193" s="196"/>
      <c r="J193" s="113"/>
      <c r="K193" s="113"/>
      <c r="L193" s="196"/>
      <c r="M193" s="113"/>
      <c r="N193" s="113"/>
      <c r="O193" s="62">
        <f>订货1!AB193</f>
        <v>0</v>
      </c>
      <c r="P193" s="113"/>
      <c r="Q193" s="113"/>
      <c r="R193" s="62">
        <f>订货1!AC193</f>
        <v>0</v>
      </c>
      <c r="S193" s="113"/>
      <c r="T193" s="113"/>
      <c r="U193" s="62">
        <f>订货1!AD193</f>
        <v>0</v>
      </c>
      <c r="V193" s="113"/>
      <c r="W193" s="113"/>
      <c r="X193" s="62">
        <f>订货1!AE193</f>
        <v>0</v>
      </c>
      <c r="Y193" s="113"/>
      <c r="Z193" s="113"/>
      <c r="AA193" s="62">
        <f>订货1!AF193</f>
        <v>0</v>
      </c>
      <c r="AB193" s="113"/>
      <c r="AC193" s="113"/>
      <c r="AD193" s="62">
        <f>订货1!AG193</f>
        <v>0</v>
      </c>
      <c r="AE193" s="113"/>
      <c r="AF193" s="113"/>
      <c r="AG193" s="62">
        <f>订货1!AH193</f>
        <v>0</v>
      </c>
      <c r="AH193" s="113"/>
      <c r="AI193" s="113"/>
      <c r="AJ193" s="62">
        <f>订货1!AI193</f>
        <v>0</v>
      </c>
      <c r="AK193" s="113"/>
      <c r="AL193" s="113"/>
      <c r="AM193" s="62">
        <f>订货1!AJ193</f>
        <v>0</v>
      </c>
      <c r="AN193" s="113"/>
      <c r="AO193" s="113"/>
      <c r="AP193" s="62">
        <f>订货1!AK193</f>
        <v>0</v>
      </c>
      <c r="AQ193" s="113"/>
      <c r="AR193" s="113"/>
      <c r="AS193" s="62">
        <f>订货1!AL193</f>
        <v>0</v>
      </c>
      <c r="AT193" s="113"/>
      <c r="AU193" s="113"/>
      <c r="AV193" s="62">
        <f>订货1!AM193</f>
        <v>0</v>
      </c>
      <c r="AW193" s="113"/>
      <c r="AX193" s="113"/>
      <c r="AY193" s="62">
        <f>订货1!AN193</f>
        <v>0</v>
      </c>
      <c r="AZ193" s="113"/>
      <c r="BA193" s="113"/>
      <c r="BB193" s="62">
        <f>订货1!AO193</f>
        <v>0</v>
      </c>
      <c r="BC193" s="113"/>
      <c r="BD193" s="113"/>
      <c r="BE193" s="62">
        <f>订货1!AP193</f>
        <v>0</v>
      </c>
      <c r="BF193" s="113"/>
      <c r="BG193" s="113"/>
      <c r="BH193" s="62">
        <f>订货1!AQ193</f>
        <v>0</v>
      </c>
      <c r="BI193" s="113"/>
      <c r="BJ193" s="113"/>
      <c r="BK193" s="62">
        <f>订货1!AR193</f>
        <v>0</v>
      </c>
      <c r="BL193" s="113"/>
      <c r="BM193" s="113"/>
      <c r="BN193" s="62">
        <f>订货1!AS193</f>
        <v>0</v>
      </c>
      <c r="BO193" s="113"/>
      <c r="BP193" s="113"/>
      <c r="BQ193" s="62">
        <f>订货1!AT193</f>
        <v>0</v>
      </c>
      <c r="BR193" s="113"/>
      <c r="BS193" s="113"/>
      <c r="BT193" s="62">
        <f>订货1!AU193</f>
        <v>0</v>
      </c>
      <c r="BU193" s="113"/>
      <c r="BV193" s="113"/>
      <c r="BW193" s="62">
        <f>订货1!AV193</f>
        <v>0</v>
      </c>
      <c r="BX193" s="113"/>
      <c r="BY193" s="113"/>
      <c r="BZ193" s="62">
        <f>订货1!AW193</f>
        <v>0</v>
      </c>
      <c r="CA193" s="113"/>
      <c r="CB193" s="113"/>
      <c r="CC193" s="62">
        <f>订货1!AX193</f>
        <v>0</v>
      </c>
      <c r="CD193" s="113"/>
      <c r="CE193" s="113"/>
      <c r="CF193" s="62">
        <f>订货1!AY193</f>
        <v>0</v>
      </c>
      <c r="CG193" s="113"/>
      <c r="CH193" s="113"/>
      <c r="CI193" s="62">
        <f>订货1!AZ193</f>
        <v>0</v>
      </c>
      <c r="CJ193" s="113"/>
      <c r="CK193" s="113"/>
      <c r="CL193" s="62">
        <f>订货1!BA193</f>
        <v>0</v>
      </c>
      <c r="CM193" s="113"/>
      <c r="CN193" s="113"/>
      <c r="CO193" s="62">
        <f>订货1!BB193</f>
        <v>0</v>
      </c>
      <c r="CP193" s="113"/>
      <c r="CQ193" s="113"/>
      <c r="CR193" s="62">
        <f>订货1!BC193</f>
        <v>0</v>
      </c>
      <c r="CS193" s="113"/>
      <c r="CT193" s="113"/>
      <c r="CU193" s="62">
        <f>订货1!BD193</f>
        <v>0</v>
      </c>
      <c r="CV193" s="113"/>
      <c r="CW193" s="113"/>
      <c r="CX193" s="62">
        <f>订货1!BE193</f>
        <v>0</v>
      </c>
      <c r="CY193" s="113"/>
      <c r="CZ193" s="113"/>
      <c r="DA193" s="62">
        <f>订货1!BF193</f>
        <v>0</v>
      </c>
      <c r="DB193" s="113"/>
      <c r="DC193" s="113"/>
      <c r="DD193" s="208">
        <v>0</v>
      </c>
      <c r="DE193" s="110" t="e">
        <f t="shared" ref="DE193:DE256" si="45">INT(G193/DI193)</f>
        <v>#DIV/0!</v>
      </c>
      <c r="DF193" s="52">
        <f t="shared" si="44"/>
        <v>0</v>
      </c>
      <c r="DG193" s="32" t="str">
        <f>订货1!$Q193</f>
        <v>箱</v>
      </c>
      <c r="DH193" s="209" t="e">
        <f t="shared" si="39"/>
        <v>#DIV/0!</v>
      </c>
    </row>
    <row r="194" spans="1:112" ht="15" customHeight="1">
      <c r="A194" s="48">
        <f>订货1!A194</f>
        <v>101075</v>
      </c>
      <c r="B194" s="44" t="str">
        <f>VLOOKUP($A194,订货1!$A194:$G437,7,0)</f>
        <v>融滋合味（上海）科技有限公司</v>
      </c>
      <c r="C194" s="44" t="str">
        <f>VLOOKUP($A194,订货1!$A194:$H437,8,0)</f>
        <v>雷州市绿河食品实业有限公司</v>
      </c>
      <c r="D194" s="44" t="str">
        <f>VLOOKUP($A194,订货1!$A194:$B437,2,0)</f>
        <v>菠萝小扇块</v>
      </c>
      <c r="E194" s="44" t="str">
        <f>VLOOKUP($A194,订货1!$A194:$E437,5,0)</f>
        <v>3kg*6缶</v>
      </c>
      <c r="F194" s="49" t="str">
        <f>VLOOKUP($A194,订货1!$A194:$F437,6,0)</f>
        <v>箱</v>
      </c>
      <c r="G194" s="203"/>
      <c r="H194" s="56">
        <f t="shared" si="40"/>
        <v>0</v>
      </c>
      <c r="I194" s="196"/>
      <c r="J194" s="113"/>
      <c r="K194" s="113"/>
      <c r="L194" s="196"/>
      <c r="M194" s="113"/>
      <c r="N194" s="113"/>
      <c r="O194" s="62">
        <f>订货1!AB194</f>
        <v>0</v>
      </c>
      <c r="P194" s="113"/>
      <c r="Q194" s="113"/>
      <c r="R194" s="62">
        <f>订货1!AC194</f>
        <v>0</v>
      </c>
      <c r="S194" s="113"/>
      <c r="T194" s="113"/>
      <c r="U194" s="62">
        <f>订货1!AD194</f>
        <v>0</v>
      </c>
      <c r="V194" s="113"/>
      <c r="W194" s="113"/>
      <c r="X194" s="62">
        <f>订货1!AE194</f>
        <v>0</v>
      </c>
      <c r="Y194" s="113"/>
      <c r="Z194" s="113"/>
      <c r="AA194" s="62">
        <f>订货1!AF194</f>
        <v>0</v>
      </c>
      <c r="AB194" s="113"/>
      <c r="AC194" s="113"/>
      <c r="AD194" s="62">
        <f>订货1!AG194</f>
        <v>0</v>
      </c>
      <c r="AE194" s="113"/>
      <c r="AF194" s="113"/>
      <c r="AG194" s="62">
        <f>订货1!AH194</f>
        <v>0</v>
      </c>
      <c r="AH194" s="113"/>
      <c r="AI194" s="113"/>
      <c r="AJ194" s="62">
        <f>订货1!AI194</f>
        <v>0</v>
      </c>
      <c r="AK194" s="113"/>
      <c r="AL194" s="113"/>
      <c r="AM194" s="62">
        <f>订货1!AJ194</f>
        <v>0</v>
      </c>
      <c r="AN194" s="113"/>
      <c r="AO194" s="113"/>
      <c r="AP194" s="62">
        <f>订货1!AK194</f>
        <v>0</v>
      </c>
      <c r="AQ194" s="113"/>
      <c r="AR194" s="113"/>
      <c r="AS194" s="62">
        <f>订货1!AL194</f>
        <v>0</v>
      </c>
      <c r="AT194" s="113"/>
      <c r="AU194" s="113"/>
      <c r="AV194" s="62">
        <f>订货1!AM194</f>
        <v>0</v>
      </c>
      <c r="AW194" s="113"/>
      <c r="AX194" s="113"/>
      <c r="AY194" s="62">
        <f>订货1!AN194</f>
        <v>0</v>
      </c>
      <c r="AZ194" s="113"/>
      <c r="BA194" s="113"/>
      <c r="BB194" s="62">
        <f>订货1!AO194</f>
        <v>0</v>
      </c>
      <c r="BC194" s="113"/>
      <c r="BD194" s="113"/>
      <c r="BE194" s="62">
        <f>订货1!AP194</f>
        <v>0</v>
      </c>
      <c r="BF194" s="113"/>
      <c r="BG194" s="113"/>
      <c r="BH194" s="62">
        <f>订货1!AQ194</f>
        <v>0</v>
      </c>
      <c r="BI194" s="113"/>
      <c r="BJ194" s="113"/>
      <c r="BK194" s="62">
        <f>订货1!AR194</f>
        <v>0</v>
      </c>
      <c r="BL194" s="113"/>
      <c r="BM194" s="113"/>
      <c r="BN194" s="62">
        <f>订货1!AS194</f>
        <v>0</v>
      </c>
      <c r="BO194" s="113"/>
      <c r="BP194" s="113"/>
      <c r="BQ194" s="62">
        <f>订货1!AT194</f>
        <v>0</v>
      </c>
      <c r="BR194" s="113"/>
      <c r="BS194" s="113"/>
      <c r="BT194" s="62">
        <f>订货1!AU194</f>
        <v>0</v>
      </c>
      <c r="BU194" s="113"/>
      <c r="BV194" s="113"/>
      <c r="BW194" s="62">
        <f>订货1!AV194</f>
        <v>0</v>
      </c>
      <c r="BX194" s="113"/>
      <c r="BY194" s="113"/>
      <c r="BZ194" s="62">
        <f>订货1!AW194</f>
        <v>0</v>
      </c>
      <c r="CA194" s="113"/>
      <c r="CB194" s="113"/>
      <c r="CC194" s="62">
        <f>订货1!AX194</f>
        <v>0</v>
      </c>
      <c r="CD194" s="113"/>
      <c r="CE194" s="113"/>
      <c r="CF194" s="62">
        <f>订货1!AY194</f>
        <v>0</v>
      </c>
      <c r="CG194" s="113"/>
      <c r="CH194" s="113"/>
      <c r="CI194" s="62">
        <f>订货1!AZ194</f>
        <v>0</v>
      </c>
      <c r="CJ194" s="113"/>
      <c r="CK194" s="113"/>
      <c r="CL194" s="62">
        <f>订货1!BA194</f>
        <v>0</v>
      </c>
      <c r="CM194" s="113"/>
      <c r="CN194" s="113"/>
      <c r="CO194" s="62">
        <f>订货1!BB194</f>
        <v>0</v>
      </c>
      <c r="CP194" s="113"/>
      <c r="CQ194" s="113"/>
      <c r="CR194" s="62">
        <f>订货1!BC194</f>
        <v>0</v>
      </c>
      <c r="CS194" s="113"/>
      <c r="CT194" s="113"/>
      <c r="CU194" s="62">
        <f>订货1!BD194</f>
        <v>0</v>
      </c>
      <c r="CV194" s="113"/>
      <c r="CW194" s="113"/>
      <c r="CX194" s="62">
        <f>订货1!BE194</f>
        <v>0</v>
      </c>
      <c r="CY194" s="113"/>
      <c r="CZ194" s="113"/>
      <c r="DA194" s="62">
        <f>订货1!BF194</f>
        <v>0</v>
      </c>
      <c r="DB194" s="113"/>
      <c r="DC194" s="113"/>
      <c r="DD194" s="208">
        <v>0</v>
      </c>
      <c r="DE194" s="110" t="e">
        <f t="shared" si="45"/>
        <v>#DIV/0!</v>
      </c>
      <c r="DF194" s="52">
        <f t="shared" si="44"/>
        <v>0</v>
      </c>
      <c r="DG194" s="32" t="str">
        <f>订货1!$Q194</f>
        <v>箱</v>
      </c>
      <c r="DH194" s="209" t="e">
        <f t="shared" ref="DH194:DH257" si="46">DF194/($DH$2/10000)</f>
        <v>#DIV/0!</v>
      </c>
    </row>
    <row r="195" spans="1:112" ht="15" customHeight="1">
      <c r="A195" s="48">
        <f>订货1!A195</f>
        <v>101753</v>
      </c>
      <c r="B195" s="44" t="str">
        <f>VLOOKUP($A195,订货1!$A195:$G438,7,0)</f>
        <v>山东匠造烘焙食品有限公司</v>
      </c>
      <c r="C195" s="44" t="str">
        <f>VLOOKUP($A195,订货1!$A195:$H438,8,0)</f>
        <v>山东匠造烘焙食品有限公司</v>
      </c>
      <c r="D195" s="44" t="str">
        <f>VLOOKUP($A195,订货1!$A195:$B438,2,0)</f>
        <v>冷冻意式披萨</v>
      </c>
      <c r="E195" s="44" t="str">
        <f>VLOOKUP($A195,订货1!$A195:$E438,5,0)</f>
        <v>110g*60pc</v>
      </c>
      <c r="F195" s="49" t="str">
        <f>VLOOKUP($A195,订货1!$A195:$F438,6,0)</f>
        <v>箱</v>
      </c>
      <c r="G195" s="203"/>
      <c r="H195" s="56">
        <f t="shared" si="40"/>
        <v>13</v>
      </c>
      <c r="I195" s="196"/>
      <c r="J195" s="113"/>
      <c r="K195" s="113"/>
      <c r="L195" s="196"/>
      <c r="M195" s="113"/>
      <c r="N195" s="113"/>
      <c r="O195" s="62">
        <f>订货1!AB195</f>
        <v>0</v>
      </c>
      <c r="P195" s="113"/>
      <c r="Q195" s="113"/>
      <c r="R195" s="62">
        <f>订货1!AC195</f>
        <v>1</v>
      </c>
      <c r="S195" s="113"/>
      <c r="T195" s="113"/>
      <c r="U195" s="62">
        <f>订货1!AD195</f>
        <v>0</v>
      </c>
      <c r="V195" s="113"/>
      <c r="W195" s="113"/>
      <c r="X195" s="62">
        <f>订货1!AE195</f>
        <v>0</v>
      </c>
      <c r="Y195" s="113"/>
      <c r="Z195" s="113"/>
      <c r="AA195" s="62">
        <f>订货1!AF195</f>
        <v>2</v>
      </c>
      <c r="AB195" s="113"/>
      <c r="AC195" s="113"/>
      <c r="AD195" s="62">
        <f>订货1!AG195</f>
        <v>2</v>
      </c>
      <c r="AE195" s="113"/>
      <c r="AF195" s="113"/>
      <c r="AG195" s="62">
        <f>订货1!AH195</f>
        <v>1</v>
      </c>
      <c r="AH195" s="113"/>
      <c r="AI195" s="113"/>
      <c r="AJ195" s="62">
        <f>订货1!AI195</f>
        <v>1</v>
      </c>
      <c r="AK195" s="113"/>
      <c r="AL195" s="113"/>
      <c r="AM195" s="62">
        <f>订货1!AJ195</f>
        <v>1</v>
      </c>
      <c r="AN195" s="113"/>
      <c r="AO195" s="113"/>
      <c r="AP195" s="62">
        <f>订货1!AK195</f>
        <v>0</v>
      </c>
      <c r="AQ195" s="113"/>
      <c r="AR195" s="113"/>
      <c r="AS195" s="62">
        <f>订货1!AL195</f>
        <v>0</v>
      </c>
      <c r="AT195" s="113"/>
      <c r="AU195" s="113"/>
      <c r="AV195" s="62">
        <f>订货1!AM195</f>
        <v>2</v>
      </c>
      <c r="AW195" s="113"/>
      <c r="AX195" s="113"/>
      <c r="AY195" s="62">
        <f>订货1!AN195</f>
        <v>3</v>
      </c>
      <c r="AZ195" s="113"/>
      <c r="BA195" s="113"/>
      <c r="BB195" s="62">
        <f>订货1!AO195</f>
        <v>0</v>
      </c>
      <c r="BC195" s="113"/>
      <c r="BD195" s="113"/>
      <c r="BE195" s="62">
        <f>订货1!AP195</f>
        <v>0</v>
      </c>
      <c r="BF195" s="113"/>
      <c r="BG195" s="113"/>
      <c r="BH195" s="62">
        <f>订货1!AQ195</f>
        <v>0</v>
      </c>
      <c r="BI195" s="113"/>
      <c r="BJ195" s="113"/>
      <c r="BK195" s="62">
        <f>订货1!AR195</f>
        <v>0</v>
      </c>
      <c r="BL195" s="113"/>
      <c r="BM195" s="113"/>
      <c r="BN195" s="62">
        <f>订货1!AS195</f>
        <v>0</v>
      </c>
      <c r="BO195" s="113"/>
      <c r="BP195" s="113"/>
      <c r="BQ195" s="62">
        <f>订货1!AT195</f>
        <v>0</v>
      </c>
      <c r="BR195" s="113"/>
      <c r="BS195" s="113"/>
      <c r="BT195" s="62">
        <f>订货1!AU195</f>
        <v>0</v>
      </c>
      <c r="BU195" s="113"/>
      <c r="BV195" s="113"/>
      <c r="BW195" s="62">
        <f>订货1!AV195</f>
        <v>0</v>
      </c>
      <c r="BX195" s="113"/>
      <c r="BY195" s="113"/>
      <c r="BZ195" s="62">
        <f>订货1!AW195</f>
        <v>0</v>
      </c>
      <c r="CA195" s="113"/>
      <c r="CB195" s="113"/>
      <c r="CC195" s="62">
        <f>订货1!AX195</f>
        <v>0</v>
      </c>
      <c r="CD195" s="113"/>
      <c r="CE195" s="113"/>
      <c r="CF195" s="62">
        <f>订货1!AY195</f>
        <v>0</v>
      </c>
      <c r="CG195" s="113"/>
      <c r="CH195" s="113"/>
      <c r="CI195" s="62">
        <f>订货1!AZ195</f>
        <v>0</v>
      </c>
      <c r="CJ195" s="113"/>
      <c r="CK195" s="113"/>
      <c r="CL195" s="62">
        <f>订货1!BA195</f>
        <v>0</v>
      </c>
      <c r="CM195" s="113"/>
      <c r="CN195" s="113"/>
      <c r="CO195" s="62">
        <f>订货1!BB195</f>
        <v>0</v>
      </c>
      <c r="CP195" s="113"/>
      <c r="CQ195" s="113"/>
      <c r="CR195" s="62">
        <f>订货1!BC195</f>
        <v>0</v>
      </c>
      <c r="CS195" s="113"/>
      <c r="CT195" s="113"/>
      <c r="CU195" s="62">
        <f>订货1!BD195</f>
        <v>0</v>
      </c>
      <c r="CV195" s="113"/>
      <c r="CW195" s="113"/>
      <c r="CX195" s="62">
        <f>订货1!BE195</f>
        <v>0</v>
      </c>
      <c r="CY195" s="113"/>
      <c r="CZ195" s="113"/>
      <c r="DA195" s="62">
        <f>订货1!BF195</f>
        <v>0</v>
      </c>
      <c r="DB195" s="113"/>
      <c r="DC195" s="113"/>
      <c r="DD195" s="208">
        <v>0</v>
      </c>
      <c r="DE195" s="110" t="e">
        <f t="shared" si="45"/>
        <v>#DIV/0!</v>
      </c>
      <c r="DF195" s="52">
        <f t="shared" si="44"/>
        <v>13</v>
      </c>
      <c r="DG195" s="32" t="str">
        <f>订货1!$Q195</f>
        <v>箱</v>
      </c>
      <c r="DH195" s="209" t="e">
        <f t="shared" si="46"/>
        <v>#DIV/0!</v>
      </c>
    </row>
    <row r="196" spans="1:112" ht="15" customHeight="1">
      <c r="A196" s="48">
        <f>订货1!A196</f>
        <v>101698</v>
      </c>
      <c r="B196" s="44" t="str">
        <f>VLOOKUP($A196,订货1!$A196:$G439,7,0)</f>
        <v>上海香尚香食品有限公司</v>
      </c>
      <c r="C196" s="44" t="str">
        <f>VLOOKUP($A196,订货1!$A196:$H439,8,0)</f>
        <v>上海香尚香食品有限公司</v>
      </c>
      <c r="D196" s="44" t="str">
        <f>VLOOKUP($A196,订货1!$A196:$B439,2,0)</f>
        <v>蒜香黄油酱</v>
      </c>
      <c r="E196" s="44" t="str">
        <f>VLOOKUP($A196,订货1!$A196:$E439,5,0)</f>
        <v>1kg*10pkt</v>
      </c>
      <c r="F196" s="49" t="str">
        <f>VLOOKUP($A196,订货1!$A196:$F439,6,0)</f>
        <v>箱</v>
      </c>
      <c r="G196" s="203"/>
      <c r="H196" s="56">
        <f t="shared" si="40"/>
        <v>5</v>
      </c>
      <c r="I196" s="196"/>
      <c r="J196" s="113"/>
      <c r="K196" s="113"/>
      <c r="L196" s="196"/>
      <c r="M196" s="113"/>
      <c r="N196" s="113"/>
      <c r="O196" s="62">
        <f>订货1!AB196</f>
        <v>1</v>
      </c>
      <c r="P196" s="113"/>
      <c r="Q196" s="113"/>
      <c r="R196" s="62">
        <f>订货1!AC196</f>
        <v>0</v>
      </c>
      <c r="S196" s="113"/>
      <c r="T196" s="113"/>
      <c r="U196" s="62">
        <f>订货1!AD196</f>
        <v>0</v>
      </c>
      <c r="V196" s="113"/>
      <c r="W196" s="113"/>
      <c r="X196" s="62">
        <f>订货1!AE196</f>
        <v>0</v>
      </c>
      <c r="Y196" s="113"/>
      <c r="Z196" s="113"/>
      <c r="AA196" s="62">
        <f>订货1!AF196</f>
        <v>0</v>
      </c>
      <c r="AB196" s="113"/>
      <c r="AC196" s="113"/>
      <c r="AD196" s="62">
        <f>订货1!AG196</f>
        <v>1</v>
      </c>
      <c r="AE196" s="113"/>
      <c r="AF196" s="113"/>
      <c r="AG196" s="62">
        <f>订货1!AH196</f>
        <v>0</v>
      </c>
      <c r="AH196" s="113"/>
      <c r="AI196" s="113"/>
      <c r="AJ196" s="62">
        <f>订货1!AI196</f>
        <v>1</v>
      </c>
      <c r="AK196" s="113"/>
      <c r="AL196" s="113"/>
      <c r="AM196" s="62">
        <f>订货1!AJ196</f>
        <v>0</v>
      </c>
      <c r="AN196" s="113"/>
      <c r="AO196" s="113"/>
      <c r="AP196" s="62">
        <f>订货1!AK196</f>
        <v>0</v>
      </c>
      <c r="AQ196" s="113"/>
      <c r="AR196" s="113"/>
      <c r="AS196" s="62">
        <f>订货1!AL196</f>
        <v>0</v>
      </c>
      <c r="AT196" s="113"/>
      <c r="AU196" s="113"/>
      <c r="AV196" s="62">
        <f>订货1!AM196</f>
        <v>1</v>
      </c>
      <c r="AW196" s="113"/>
      <c r="AX196" s="113"/>
      <c r="AY196" s="62">
        <f>订货1!AN196</f>
        <v>0</v>
      </c>
      <c r="AZ196" s="113"/>
      <c r="BA196" s="113"/>
      <c r="BB196" s="62">
        <f>订货1!AO196</f>
        <v>1</v>
      </c>
      <c r="BC196" s="113"/>
      <c r="BD196" s="113"/>
      <c r="BE196" s="62">
        <f>订货1!AP196</f>
        <v>0</v>
      </c>
      <c r="BF196" s="113"/>
      <c r="BG196" s="113"/>
      <c r="BH196" s="62">
        <f>订货1!AQ196</f>
        <v>0</v>
      </c>
      <c r="BI196" s="113"/>
      <c r="BJ196" s="113"/>
      <c r="BK196" s="62">
        <f>订货1!AR196</f>
        <v>0</v>
      </c>
      <c r="BL196" s="113"/>
      <c r="BM196" s="113"/>
      <c r="BN196" s="62">
        <f>订货1!AS196</f>
        <v>0</v>
      </c>
      <c r="BO196" s="113"/>
      <c r="BP196" s="113"/>
      <c r="BQ196" s="62">
        <f>订货1!AT196</f>
        <v>0</v>
      </c>
      <c r="BR196" s="113"/>
      <c r="BS196" s="113"/>
      <c r="BT196" s="62">
        <f>订货1!AU196</f>
        <v>0</v>
      </c>
      <c r="BU196" s="113"/>
      <c r="BV196" s="113"/>
      <c r="BW196" s="62">
        <f>订货1!AV196</f>
        <v>0</v>
      </c>
      <c r="BX196" s="113"/>
      <c r="BY196" s="113"/>
      <c r="BZ196" s="62">
        <f>订货1!AW196</f>
        <v>0</v>
      </c>
      <c r="CA196" s="113"/>
      <c r="CB196" s="113"/>
      <c r="CC196" s="62">
        <f>订货1!AX196</f>
        <v>0</v>
      </c>
      <c r="CD196" s="113"/>
      <c r="CE196" s="113"/>
      <c r="CF196" s="62">
        <f>订货1!AY196</f>
        <v>0</v>
      </c>
      <c r="CG196" s="113"/>
      <c r="CH196" s="113"/>
      <c r="CI196" s="62">
        <f>订货1!AZ196</f>
        <v>0</v>
      </c>
      <c r="CJ196" s="113"/>
      <c r="CK196" s="113"/>
      <c r="CL196" s="62">
        <f>订货1!BA196</f>
        <v>0</v>
      </c>
      <c r="CM196" s="113"/>
      <c r="CN196" s="113"/>
      <c r="CO196" s="62">
        <f>订货1!BB196</f>
        <v>0</v>
      </c>
      <c r="CP196" s="113"/>
      <c r="CQ196" s="113"/>
      <c r="CR196" s="62">
        <f>订货1!BC196</f>
        <v>0</v>
      </c>
      <c r="CS196" s="113"/>
      <c r="CT196" s="113"/>
      <c r="CU196" s="62">
        <f>订货1!BD196</f>
        <v>0</v>
      </c>
      <c r="CV196" s="113"/>
      <c r="CW196" s="113"/>
      <c r="CX196" s="62">
        <f>订货1!BE196</f>
        <v>0</v>
      </c>
      <c r="CY196" s="113"/>
      <c r="CZ196" s="113"/>
      <c r="DA196" s="62">
        <f>订货1!BF196</f>
        <v>0</v>
      </c>
      <c r="DB196" s="113"/>
      <c r="DC196" s="113"/>
      <c r="DD196" s="208">
        <v>0</v>
      </c>
      <c r="DE196" s="110" t="e">
        <f t="shared" si="45"/>
        <v>#DIV/0!</v>
      </c>
      <c r="DF196" s="52">
        <f t="shared" si="44"/>
        <v>5</v>
      </c>
      <c r="DG196" s="32" t="str">
        <f>订货1!$Q196</f>
        <v>箱</v>
      </c>
      <c r="DH196" s="209" t="e">
        <f t="shared" si="46"/>
        <v>#DIV/0!</v>
      </c>
    </row>
    <row r="197" spans="1:112" ht="15" customHeight="1">
      <c r="A197" s="48">
        <f>订货1!A197</f>
        <v>101329</v>
      </c>
      <c r="B197" s="44" t="str">
        <f>VLOOKUP($A197,订货1!$A197:$G440,7,0)</f>
        <v>融滋合味（上海）科技有限公司</v>
      </c>
      <c r="C197" s="44" t="str">
        <f>VLOOKUP($A197,订货1!$A197:$H440,8,0)</f>
        <v>合肥伊利乳业有限责任公司</v>
      </c>
      <c r="D197" s="44" t="str">
        <f>VLOOKUP($A197,订货1!$A197:$B440,2,0)</f>
        <v>伊利冰淇淋（香草口味）</v>
      </c>
      <c r="E197" s="44" t="str">
        <f>VLOOKUP($A197,订货1!$A197:$E440,5,0)</f>
        <v>3.5kg</v>
      </c>
      <c r="F197" s="49" t="str">
        <f>VLOOKUP($A197,订货1!$A197:$F440,6,0)</f>
        <v>桶</v>
      </c>
      <c r="G197" s="203"/>
      <c r="H197" s="56">
        <f t="shared" ref="H197:H260" si="47">O197+R197+X197+AA197+AD197+AG197+AJ197+AM197+AP197+AS197+AV197+AY197+BB197+BE197+BH197+BK197+BN197+BQ197+BT197+BW197+BZ197+CC197+CF197+CI197+CL197+CO197+CR197+U197+I197+L197</f>
        <v>9</v>
      </c>
      <c r="I197" s="196"/>
      <c r="J197" s="113"/>
      <c r="K197" s="113"/>
      <c r="L197" s="196"/>
      <c r="M197" s="113"/>
      <c r="N197" s="113"/>
      <c r="O197" s="62">
        <f>订货1!AB197</f>
        <v>1</v>
      </c>
      <c r="P197" s="113"/>
      <c r="Q197" s="113"/>
      <c r="R197" s="62">
        <f>订货1!AC197</f>
        <v>0</v>
      </c>
      <c r="S197" s="113"/>
      <c r="T197" s="113"/>
      <c r="U197" s="62">
        <f>订货1!AD197</f>
        <v>0</v>
      </c>
      <c r="V197" s="113"/>
      <c r="W197" s="113"/>
      <c r="X197" s="62">
        <f>订货1!AE197</f>
        <v>0</v>
      </c>
      <c r="Y197" s="113"/>
      <c r="Z197" s="113"/>
      <c r="AA197" s="62">
        <f>订货1!AF197</f>
        <v>2</v>
      </c>
      <c r="AB197" s="113"/>
      <c r="AC197" s="113"/>
      <c r="AD197" s="62">
        <f>订货1!AG197</f>
        <v>1</v>
      </c>
      <c r="AE197" s="113"/>
      <c r="AF197" s="113"/>
      <c r="AG197" s="62">
        <f>订货1!AH197</f>
        <v>0</v>
      </c>
      <c r="AH197" s="113"/>
      <c r="AI197" s="113"/>
      <c r="AJ197" s="62">
        <f>订货1!AI197</f>
        <v>1</v>
      </c>
      <c r="AK197" s="113"/>
      <c r="AL197" s="113"/>
      <c r="AM197" s="62">
        <f>订货1!AJ197</f>
        <v>0</v>
      </c>
      <c r="AN197" s="113"/>
      <c r="AO197" s="113"/>
      <c r="AP197" s="62">
        <f>订货1!AK197</f>
        <v>0</v>
      </c>
      <c r="AQ197" s="113"/>
      <c r="AR197" s="113"/>
      <c r="AS197" s="62">
        <f>订货1!AL197</f>
        <v>0</v>
      </c>
      <c r="AT197" s="113"/>
      <c r="AU197" s="113"/>
      <c r="AV197" s="62">
        <f>订货1!AM197</f>
        <v>2</v>
      </c>
      <c r="AW197" s="113"/>
      <c r="AX197" s="113"/>
      <c r="AY197" s="62">
        <f>订货1!AN197</f>
        <v>1</v>
      </c>
      <c r="AZ197" s="113"/>
      <c r="BA197" s="113"/>
      <c r="BB197" s="62">
        <f>订货1!AO197</f>
        <v>1</v>
      </c>
      <c r="BC197" s="113"/>
      <c r="BD197" s="113"/>
      <c r="BE197" s="62">
        <f>订货1!AP197</f>
        <v>0</v>
      </c>
      <c r="BF197" s="113"/>
      <c r="BG197" s="113"/>
      <c r="BH197" s="62">
        <f>订货1!AQ197</f>
        <v>0</v>
      </c>
      <c r="BI197" s="113"/>
      <c r="BJ197" s="113"/>
      <c r="BK197" s="62">
        <f>订货1!AR197</f>
        <v>0</v>
      </c>
      <c r="BL197" s="113"/>
      <c r="BM197" s="113"/>
      <c r="BN197" s="62">
        <f>订货1!AS197</f>
        <v>0</v>
      </c>
      <c r="BO197" s="113"/>
      <c r="BP197" s="113"/>
      <c r="BQ197" s="62">
        <f>订货1!AT197</f>
        <v>0</v>
      </c>
      <c r="BR197" s="113"/>
      <c r="BS197" s="113"/>
      <c r="BT197" s="62">
        <f>订货1!AU197</f>
        <v>0</v>
      </c>
      <c r="BU197" s="113"/>
      <c r="BV197" s="113"/>
      <c r="BW197" s="62">
        <f>订货1!AV197</f>
        <v>0</v>
      </c>
      <c r="BX197" s="113"/>
      <c r="BY197" s="113"/>
      <c r="BZ197" s="62">
        <f>订货1!AW197</f>
        <v>0</v>
      </c>
      <c r="CA197" s="113"/>
      <c r="CB197" s="113"/>
      <c r="CC197" s="62">
        <f>订货1!AX197</f>
        <v>0</v>
      </c>
      <c r="CD197" s="113"/>
      <c r="CE197" s="113"/>
      <c r="CF197" s="62">
        <f>订货1!AY197</f>
        <v>0</v>
      </c>
      <c r="CG197" s="113"/>
      <c r="CH197" s="113"/>
      <c r="CI197" s="62">
        <f>订货1!AZ197</f>
        <v>0</v>
      </c>
      <c r="CJ197" s="113"/>
      <c r="CK197" s="113"/>
      <c r="CL197" s="62">
        <f>订货1!BA197</f>
        <v>0</v>
      </c>
      <c r="CM197" s="113"/>
      <c r="CN197" s="113"/>
      <c r="CO197" s="62">
        <f>订货1!BB197</f>
        <v>0</v>
      </c>
      <c r="CP197" s="113"/>
      <c r="CQ197" s="113"/>
      <c r="CR197" s="62">
        <f>订货1!BC197</f>
        <v>0</v>
      </c>
      <c r="CS197" s="113"/>
      <c r="CT197" s="113"/>
      <c r="CU197" s="62">
        <f>订货1!BD197</f>
        <v>0</v>
      </c>
      <c r="CV197" s="113"/>
      <c r="CW197" s="113"/>
      <c r="CX197" s="62">
        <f>订货1!BE197</f>
        <v>0</v>
      </c>
      <c r="CY197" s="113"/>
      <c r="CZ197" s="113"/>
      <c r="DA197" s="62">
        <f>订货1!BF197</f>
        <v>0</v>
      </c>
      <c r="DB197" s="113"/>
      <c r="DC197" s="113"/>
      <c r="DD197" s="208">
        <v>0</v>
      </c>
      <c r="DE197" s="110" t="e">
        <f t="shared" si="45"/>
        <v>#DIV/0!</v>
      </c>
      <c r="DF197" s="52">
        <f t="shared" si="44"/>
        <v>9</v>
      </c>
      <c r="DG197" s="32" t="str">
        <f>订货1!$Q197</f>
        <v>桶</v>
      </c>
      <c r="DH197" s="209" t="e">
        <f t="shared" si="46"/>
        <v>#DIV/0!</v>
      </c>
    </row>
    <row r="198" spans="1:112" ht="15" customHeight="1">
      <c r="A198" s="48">
        <f>订货1!A198</f>
        <v>101762</v>
      </c>
      <c r="B198" s="44" t="str">
        <f>VLOOKUP($A198,订货1!$A198:$G441,7,0)</f>
        <v>上海蓬澜食品有限公司</v>
      </c>
      <c r="C198" s="44" t="str">
        <f>VLOOKUP($A198,订货1!$A198:$H441,8,0)</f>
        <v>三旺实业有限公司</v>
      </c>
      <c r="D198" s="44" t="str">
        <f>VLOOKUP($A198,订货1!$A198:$B441,2,0)</f>
        <v>原味香肠</v>
      </c>
      <c r="E198" s="44" t="str">
        <f>VLOOKUP($A198,订货1!$A198:$E441,5,0)</f>
        <v>1kg*12pkt</v>
      </c>
      <c r="F198" s="49" t="str">
        <f>VLOOKUP($A198,订货1!$A198:$F441,6,0)</f>
        <v>箱</v>
      </c>
      <c r="G198" s="203"/>
      <c r="H198" s="56">
        <f t="shared" si="47"/>
        <v>6</v>
      </c>
      <c r="I198" s="196"/>
      <c r="J198" s="113"/>
      <c r="K198" s="113"/>
      <c r="L198" s="196"/>
      <c r="M198" s="113"/>
      <c r="N198" s="113"/>
      <c r="O198" s="62">
        <f>订货1!AB198</f>
        <v>0</v>
      </c>
      <c r="P198" s="113"/>
      <c r="Q198" s="113"/>
      <c r="R198" s="62">
        <f>订货1!AC198</f>
        <v>1</v>
      </c>
      <c r="S198" s="113"/>
      <c r="T198" s="113"/>
      <c r="U198" s="62">
        <f>订货1!AD198</f>
        <v>0</v>
      </c>
      <c r="V198" s="113"/>
      <c r="W198" s="113"/>
      <c r="X198" s="62">
        <f>订货1!AE198</f>
        <v>0</v>
      </c>
      <c r="Y198" s="113"/>
      <c r="Z198" s="113"/>
      <c r="AA198" s="62">
        <f>订货1!AF198</f>
        <v>1</v>
      </c>
      <c r="AB198" s="113"/>
      <c r="AC198" s="113"/>
      <c r="AD198" s="62">
        <f>订货1!AG198</f>
        <v>0</v>
      </c>
      <c r="AE198" s="113"/>
      <c r="AF198" s="113"/>
      <c r="AG198" s="62">
        <f>订货1!AH198</f>
        <v>0</v>
      </c>
      <c r="AH198" s="113"/>
      <c r="AI198" s="113"/>
      <c r="AJ198" s="62">
        <f>订货1!AI198</f>
        <v>1</v>
      </c>
      <c r="AK198" s="113"/>
      <c r="AL198" s="113"/>
      <c r="AM198" s="62">
        <f>订货1!AJ198</f>
        <v>0</v>
      </c>
      <c r="AN198" s="113"/>
      <c r="AO198" s="113"/>
      <c r="AP198" s="62">
        <f>订货1!AK198</f>
        <v>0</v>
      </c>
      <c r="AQ198" s="113"/>
      <c r="AR198" s="113"/>
      <c r="AS198" s="62">
        <f>订货1!AL198</f>
        <v>0</v>
      </c>
      <c r="AT198" s="113"/>
      <c r="AU198" s="113"/>
      <c r="AV198" s="62">
        <f>订货1!AM198</f>
        <v>1</v>
      </c>
      <c r="AW198" s="113"/>
      <c r="AX198" s="113"/>
      <c r="AY198" s="62">
        <f>订货1!AN198</f>
        <v>1</v>
      </c>
      <c r="AZ198" s="113"/>
      <c r="BA198" s="113"/>
      <c r="BB198" s="62">
        <f>订货1!AO198</f>
        <v>1</v>
      </c>
      <c r="BC198" s="113"/>
      <c r="BD198" s="113"/>
      <c r="BE198" s="62">
        <f>订货1!AP198</f>
        <v>0</v>
      </c>
      <c r="BF198" s="113"/>
      <c r="BG198" s="113"/>
      <c r="BH198" s="62">
        <f>订货1!AQ198</f>
        <v>0</v>
      </c>
      <c r="BI198" s="113"/>
      <c r="BJ198" s="113"/>
      <c r="BK198" s="62">
        <f>订货1!AR198</f>
        <v>0</v>
      </c>
      <c r="BL198" s="113"/>
      <c r="BM198" s="113"/>
      <c r="BN198" s="62">
        <f>订货1!AS198</f>
        <v>0</v>
      </c>
      <c r="BO198" s="113"/>
      <c r="BP198" s="113"/>
      <c r="BQ198" s="62">
        <f>订货1!AT198</f>
        <v>0</v>
      </c>
      <c r="BR198" s="113"/>
      <c r="BS198" s="113"/>
      <c r="BT198" s="62">
        <f>订货1!AU198</f>
        <v>0</v>
      </c>
      <c r="BU198" s="113"/>
      <c r="BV198" s="113"/>
      <c r="BW198" s="62">
        <f>订货1!AV198</f>
        <v>0</v>
      </c>
      <c r="BX198" s="113"/>
      <c r="BY198" s="113"/>
      <c r="BZ198" s="62">
        <f>订货1!AW198</f>
        <v>0</v>
      </c>
      <c r="CA198" s="113"/>
      <c r="CB198" s="113"/>
      <c r="CC198" s="62">
        <f>订货1!AX198</f>
        <v>0</v>
      </c>
      <c r="CD198" s="113"/>
      <c r="CE198" s="113"/>
      <c r="CF198" s="62">
        <f>订货1!AY198</f>
        <v>0</v>
      </c>
      <c r="CG198" s="113"/>
      <c r="CH198" s="113"/>
      <c r="CI198" s="62">
        <f>订货1!AZ198</f>
        <v>0</v>
      </c>
      <c r="CJ198" s="113"/>
      <c r="CK198" s="113"/>
      <c r="CL198" s="62">
        <f>订货1!BA198</f>
        <v>0</v>
      </c>
      <c r="CM198" s="113"/>
      <c r="CN198" s="113"/>
      <c r="CO198" s="62">
        <f>订货1!BB198</f>
        <v>0</v>
      </c>
      <c r="CP198" s="113"/>
      <c r="CQ198" s="113"/>
      <c r="CR198" s="62">
        <f>订货1!BC198</f>
        <v>0</v>
      </c>
      <c r="CS198" s="113"/>
      <c r="CT198" s="113"/>
      <c r="CU198" s="62">
        <f>订货1!BD198</f>
        <v>0</v>
      </c>
      <c r="CV198" s="113"/>
      <c r="CW198" s="113"/>
      <c r="CX198" s="62">
        <f>订货1!BE198</f>
        <v>0</v>
      </c>
      <c r="CY198" s="113"/>
      <c r="CZ198" s="113"/>
      <c r="DA198" s="62">
        <f>订货1!BF198</f>
        <v>0</v>
      </c>
      <c r="DB198" s="113"/>
      <c r="DC198" s="113"/>
      <c r="DD198" s="208">
        <v>0</v>
      </c>
      <c r="DE198" s="110" t="e">
        <f t="shared" si="45"/>
        <v>#DIV/0!</v>
      </c>
      <c r="DF198" s="52">
        <f t="shared" si="44"/>
        <v>6</v>
      </c>
      <c r="DG198" s="32" t="str">
        <f>订货1!$Q198</f>
        <v>箱</v>
      </c>
      <c r="DH198" s="209" t="e">
        <f t="shared" si="46"/>
        <v>#DIV/0!</v>
      </c>
    </row>
    <row r="199" spans="1:112" ht="15" customHeight="1">
      <c r="A199" s="48">
        <f>订货1!A199</f>
        <v>101722</v>
      </c>
      <c r="B199" s="44" t="str">
        <f>VLOOKUP($A199,订货1!$A199:$G442,7,0)</f>
        <v>曼可顿（上海）实业有限公司</v>
      </c>
      <c r="C199" s="44" t="str">
        <f>VLOOKUP($A199,订货1!$A199:$H442,8,0)</f>
        <v>曼可顿食品（上海）有限公司</v>
      </c>
      <c r="D199" s="44" t="str">
        <f>VLOOKUP($A199,订货1!$A199:$B442,2,0)</f>
        <v>曼可顿面包干</v>
      </c>
      <c r="E199" s="44" t="str">
        <f>VLOOKUP($A199,订货1!$A199:$E442,5,0)</f>
        <v>0.65kg*4pkt</v>
      </c>
      <c r="F199" s="49" t="str">
        <f>VLOOKUP($A199,订货1!$A199:$F442,6,0)</f>
        <v>箱</v>
      </c>
      <c r="G199" s="203"/>
      <c r="H199" s="56">
        <f t="shared" si="47"/>
        <v>1</v>
      </c>
      <c r="I199" s="196"/>
      <c r="J199" s="113"/>
      <c r="K199" s="113"/>
      <c r="L199" s="196"/>
      <c r="M199" s="113"/>
      <c r="N199" s="113"/>
      <c r="O199" s="62">
        <f>订货1!AB199</f>
        <v>0</v>
      </c>
      <c r="P199" s="113"/>
      <c r="Q199" s="113"/>
      <c r="R199" s="62">
        <f>订货1!AC199</f>
        <v>0</v>
      </c>
      <c r="S199" s="113"/>
      <c r="T199" s="113"/>
      <c r="U199" s="62">
        <f>订货1!AD199</f>
        <v>0</v>
      </c>
      <c r="V199" s="113"/>
      <c r="W199" s="113"/>
      <c r="X199" s="62">
        <f>订货1!AE199</f>
        <v>0</v>
      </c>
      <c r="Y199" s="113"/>
      <c r="Z199" s="113"/>
      <c r="AA199" s="62">
        <f>订货1!AF199</f>
        <v>0</v>
      </c>
      <c r="AB199" s="113"/>
      <c r="AC199" s="113"/>
      <c r="AD199" s="62">
        <f>订货1!AG199</f>
        <v>0</v>
      </c>
      <c r="AE199" s="113"/>
      <c r="AF199" s="113"/>
      <c r="AG199" s="62">
        <f>订货1!AH199</f>
        <v>0</v>
      </c>
      <c r="AH199" s="113"/>
      <c r="AI199" s="113"/>
      <c r="AJ199" s="62">
        <f>订货1!AI199</f>
        <v>1</v>
      </c>
      <c r="AK199" s="113"/>
      <c r="AL199" s="113"/>
      <c r="AM199" s="62">
        <f>订货1!AJ199</f>
        <v>0</v>
      </c>
      <c r="AN199" s="113"/>
      <c r="AO199" s="113"/>
      <c r="AP199" s="62">
        <f>订货1!AK199</f>
        <v>0</v>
      </c>
      <c r="AQ199" s="113"/>
      <c r="AR199" s="113"/>
      <c r="AS199" s="62">
        <f>订货1!AL199</f>
        <v>0</v>
      </c>
      <c r="AT199" s="113"/>
      <c r="AU199" s="113"/>
      <c r="AV199" s="62">
        <f>订货1!AM199</f>
        <v>0</v>
      </c>
      <c r="AW199" s="113"/>
      <c r="AX199" s="113"/>
      <c r="AY199" s="62">
        <f>订货1!AN199</f>
        <v>0</v>
      </c>
      <c r="AZ199" s="113"/>
      <c r="BA199" s="113"/>
      <c r="BB199" s="62">
        <f>订货1!AO199</f>
        <v>0</v>
      </c>
      <c r="BC199" s="113"/>
      <c r="BD199" s="113"/>
      <c r="BE199" s="62">
        <f>订货1!AP199</f>
        <v>0</v>
      </c>
      <c r="BF199" s="113"/>
      <c r="BG199" s="113"/>
      <c r="BH199" s="62">
        <f>订货1!AQ199</f>
        <v>0</v>
      </c>
      <c r="BI199" s="113"/>
      <c r="BJ199" s="113"/>
      <c r="BK199" s="62">
        <f>订货1!AR199</f>
        <v>0</v>
      </c>
      <c r="BL199" s="113"/>
      <c r="BM199" s="113"/>
      <c r="BN199" s="62">
        <f>订货1!AS199</f>
        <v>0</v>
      </c>
      <c r="BO199" s="113"/>
      <c r="BP199" s="113"/>
      <c r="BQ199" s="62">
        <f>订货1!AT199</f>
        <v>0</v>
      </c>
      <c r="BR199" s="113"/>
      <c r="BS199" s="113"/>
      <c r="BT199" s="62">
        <f>订货1!AU199</f>
        <v>0</v>
      </c>
      <c r="BU199" s="113"/>
      <c r="BV199" s="113"/>
      <c r="BW199" s="62">
        <f>订货1!AV199</f>
        <v>0</v>
      </c>
      <c r="BX199" s="113"/>
      <c r="BY199" s="113"/>
      <c r="BZ199" s="62">
        <f>订货1!AW199</f>
        <v>0</v>
      </c>
      <c r="CA199" s="113"/>
      <c r="CB199" s="113"/>
      <c r="CC199" s="62">
        <f>订货1!AX199</f>
        <v>0</v>
      </c>
      <c r="CD199" s="113"/>
      <c r="CE199" s="113"/>
      <c r="CF199" s="62">
        <f>订货1!AY199</f>
        <v>0</v>
      </c>
      <c r="CG199" s="113"/>
      <c r="CH199" s="113"/>
      <c r="CI199" s="62">
        <f>订货1!AZ199</f>
        <v>0</v>
      </c>
      <c r="CJ199" s="113"/>
      <c r="CK199" s="113"/>
      <c r="CL199" s="62">
        <f>订货1!BA199</f>
        <v>0</v>
      </c>
      <c r="CM199" s="113"/>
      <c r="CN199" s="113"/>
      <c r="CO199" s="62">
        <f>订货1!BB199</f>
        <v>0</v>
      </c>
      <c r="CP199" s="113"/>
      <c r="CQ199" s="113"/>
      <c r="CR199" s="62">
        <f>订货1!BC199</f>
        <v>0</v>
      </c>
      <c r="CS199" s="113"/>
      <c r="CT199" s="113"/>
      <c r="CU199" s="62">
        <f>订货1!BD199</f>
        <v>0</v>
      </c>
      <c r="CV199" s="113"/>
      <c r="CW199" s="113"/>
      <c r="CX199" s="62">
        <f>订货1!BE199</f>
        <v>0</v>
      </c>
      <c r="CY199" s="113"/>
      <c r="CZ199" s="113"/>
      <c r="DA199" s="62">
        <f>订货1!BF199</f>
        <v>0</v>
      </c>
      <c r="DB199" s="113"/>
      <c r="DC199" s="113"/>
      <c r="DD199" s="208">
        <v>0</v>
      </c>
      <c r="DE199" s="110" t="e">
        <f t="shared" si="45"/>
        <v>#DIV/0!</v>
      </c>
      <c r="DF199" s="52">
        <f t="shared" si="44"/>
        <v>1</v>
      </c>
      <c r="DG199" s="32" t="str">
        <f>订货1!$Q199</f>
        <v>箱</v>
      </c>
      <c r="DH199" s="209" t="e">
        <f t="shared" si="46"/>
        <v>#DIV/0!</v>
      </c>
    </row>
    <row r="200" spans="1:112" ht="15" customHeight="1">
      <c r="A200" s="48">
        <f>订货1!A200</f>
        <v>101725</v>
      </c>
      <c r="B200" s="44" t="str">
        <f>VLOOKUP($A200,订货1!$A200:$G443,7,0)</f>
        <v>杭州洲际食品有限公司</v>
      </c>
      <c r="C200" s="44" t="str">
        <f>VLOOKUP($A200,订货1!$A200:$H443,8,0)</f>
        <v>杭州洲际食品有限公司</v>
      </c>
      <c r="D200" s="44" t="str">
        <f>VLOOKUP($A200,订货1!$A200:$B443,2,0)</f>
        <v>90g冷冻披萨面团</v>
      </c>
      <c r="E200" s="44" t="str">
        <f>VLOOKUP($A200,订货1!$A200:$E443,5,0)</f>
        <v>0.09kg*100pc</v>
      </c>
      <c r="F200" s="49" t="str">
        <f>VLOOKUP($A200,订货1!$A200:$F443,6,0)</f>
        <v>箱</v>
      </c>
      <c r="G200" s="203"/>
      <c r="H200" s="56">
        <f t="shared" si="47"/>
        <v>3</v>
      </c>
      <c r="I200" s="196"/>
      <c r="J200" s="113"/>
      <c r="K200" s="113"/>
      <c r="L200" s="196"/>
      <c r="M200" s="113"/>
      <c r="N200" s="113"/>
      <c r="O200" s="62">
        <f>订货1!AB200</f>
        <v>0</v>
      </c>
      <c r="P200" s="113"/>
      <c r="Q200" s="113"/>
      <c r="R200" s="62">
        <f>订货1!AC200</f>
        <v>0</v>
      </c>
      <c r="S200" s="113"/>
      <c r="T200" s="113"/>
      <c r="U200" s="62">
        <f>订货1!AD200</f>
        <v>0</v>
      </c>
      <c r="V200" s="113"/>
      <c r="W200" s="113"/>
      <c r="X200" s="62">
        <f>订货1!AE200</f>
        <v>1</v>
      </c>
      <c r="Y200" s="113"/>
      <c r="Z200" s="113"/>
      <c r="AA200" s="62">
        <f>订货1!AF200</f>
        <v>0</v>
      </c>
      <c r="AB200" s="113"/>
      <c r="AC200" s="113"/>
      <c r="AD200" s="62">
        <f>订货1!AG200</f>
        <v>0</v>
      </c>
      <c r="AE200" s="113"/>
      <c r="AF200" s="113"/>
      <c r="AG200" s="62">
        <f>订货1!AH200</f>
        <v>1</v>
      </c>
      <c r="AH200" s="113"/>
      <c r="AI200" s="113"/>
      <c r="AJ200" s="62">
        <f>订货1!AI200</f>
        <v>0</v>
      </c>
      <c r="AK200" s="113"/>
      <c r="AL200" s="113"/>
      <c r="AM200" s="62">
        <f>订货1!AJ200</f>
        <v>0</v>
      </c>
      <c r="AN200" s="113"/>
      <c r="AO200" s="113"/>
      <c r="AP200" s="62">
        <f>订货1!AK200</f>
        <v>0</v>
      </c>
      <c r="AQ200" s="113"/>
      <c r="AR200" s="113"/>
      <c r="AS200" s="62">
        <f>订货1!AL200</f>
        <v>0</v>
      </c>
      <c r="AT200" s="113"/>
      <c r="AU200" s="113"/>
      <c r="AV200" s="62">
        <f>订货1!AM200</f>
        <v>1</v>
      </c>
      <c r="AW200" s="113"/>
      <c r="AX200" s="113"/>
      <c r="AY200" s="62">
        <f>订货1!AN200</f>
        <v>0</v>
      </c>
      <c r="AZ200" s="113"/>
      <c r="BA200" s="113"/>
      <c r="BB200" s="62">
        <f>订货1!AO200</f>
        <v>0</v>
      </c>
      <c r="BC200" s="113"/>
      <c r="BD200" s="113"/>
      <c r="BE200" s="62">
        <f>订货1!AP200</f>
        <v>0</v>
      </c>
      <c r="BF200" s="113"/>
      <c r="BG200" s="113"/>
      <c r="BH200" s="62">
        <f>订货1!AQ200</f>
        <v>0</v>
      </c>
      <c r="BI200" s="113"/>
      <c r="BJ200" s="113"/>
      <c r="BK200" s="62">
        <f>订货1!AR200</f>
        <v>0</v>
      </c>
      <c r="BL200" s="113"/>
      <c r="BM200" s="113"/>
      <c r="BN200" s="62">
        <f>订货1!AS200</f>
        <v>0</v>
      </c>
      <c r="BO200" s="113"/>
      <c r="BP200" s="113"/>
      <c r="BQ200" s="62">
        <f>订货1!AT200</f>
        <v>0</v>
      </c>
      <c r="BR200" s="113"/>
      <c r="BS200" s="113"/>
      <c r="BT200" s="62">
        <f>订货1!AU200</f>
        <v>0</v>
      </c>
      <c r="BU200" s="113"/>
      <c r="BV200" s="113"/>
      <c r="BW200" s="62">
        <f>订货1!AV200</f>
        <v>0</v>
      </c>
      <c r="BX200" s="113"/>
      <c r="BY200" s="113"/>
      <c r="BZ200" s="62">
        <f>订货1!AW200</f>
        <v>0</v>
      </c>
      <c r="CA200" s="113"/>
      <c r="CB200" s="113"/>
      <c r="CC200" s="62">
        <f>订货1!AX200</f>
        <v>0</v>
      </c>
      <c r="CD200" s="113"/>
      <c r="CE200" s="113"/>
      <c r="CF200" s="62">
        <f>订货1!AY200</f>
        <v>0</v>
      </c>
      <c r="CG200" s="113"/>
      <c r="CH200" s="113"/>
      <c r="CI200" s="62">
        <f>订货1!AZ200</f>
        <v>0</v>
      </c>
      <c r="CJ200" s="113"/>
      <c r="CK200" s="113"/>
      <c r="CL200" s="62">
        <f>订货1!BA200</f>
        <v>0</v>
      </c>
      <c r="CM200" s="113"/>
      <c r="CN200" s="113"/>
      <c r="CO200" s="62">
        <f>订货1!BB200</f>
        <v>0</v>
      </c>
      <c r="CP200" s="113"/>
      <c r="CQ200" s="113"/>
      <c r="CR200" s="62">
        <f>订货1!BC200</f>
        <v>0</v>
      </c>
      <c r="CS200" s="113"/>
      <c r="CT200" s="113"/>
      <c r="CU200" s="62">
        <f>订货1!BD200</f>
        <v>0</v>
      </c>
      <c r="CV200" s="113"/>
      <c r="CW200" s="113"/>
      <c r="CX200" s="62">
        <f>订货1!BE200</f>
        <v>0</v>
      </c>
      <c r="CY200" s="113"/>
      <c r="CZ200" s="113"/>
      <c r="DA200" s="62">
        <f>订货1!BF200</f>
        <v>0</v>
      </c>
      <c r="DB200" s="113"/>
      <c r="DC200" s="113"/>
      <c r="DD200" s="208">
        <v>0</v>
      </c>
      <c r="DE200" s="110" t="e">
        <f t="shared" si="45"/>
        <v>#DIV/0!</v>
      </c>
      <c r="DF200" s="52">
        <f t="shared" si="44"/>
        <v>3</v>
      </c>
      <c r="DG200" s="32" t="str">
        <f>订货1!$Q200</f>
        <v>箱</v>
      </c>
      <c r="DH200" s="209" t="e">
        <f t="shared" si="46"/>
        <v>#DIV/0!</v>
      </c>
    </row>
    <row r="201" spans="1:112" ht="15" customHeight="1">
      <c r="A201" s="48">
        <f>订货1!A201</f>
        <v>101493</v>
      </c>
      <c r="B201" s="44" t="str">
        <f>VLOOKUP($A201,订货1!$A201:$G444,7,0)</f>
        <v>融滋合味（上海）科技有限公司</v>
      </c>
      <c r="C201" s="44" t="str">
        <f>VLOOKUP($A201,订货1!$A201:$H444,8,0)</f>
        <v>HERSHEY MALAYSIASDNBHD</v>
      </c>
      <c r="D201" s="44" t="str">
        <f>VLOOKUP($A201,订货1!$A201:$B444,2,0)</f>
        <v>好时巧克力浆</v>
      </c>
      <c r="E201" s="44" t="str">
        <f>VLOOKUP($A201,订货1!$A201:$E444,5,0)</f>
        <v>680g</v>
      </c>
      <c r="F201" s="49" t="str">
        <f>VLOOKUP($A201,订货1!$A201:$F444,6,0)</f>
        <v>瓶</v>
      </c>
      <c r="G201" s="203"/>
      <c r="H201" s="56">
        <f t="shared" si="47"/>
        <v>3</v>
      </c>
      <c r="I201" s="196"/>
      <c r="J201" s="113"/>
      <c r="K201" s="113"/>
      <c r="L201" s="196"/>
      <c r="M201" s="113"/>
      <c r="N201" s="113"/>
      <c r="O201" s="62">
        <f>订货1!AB201</f>
        <v>0</v>
      </c>
      <c r="P201" s="113"/>
      <c r="Q201" s="113"/>
      <c r="R201" s="62">
        <f>订货1!AC201</f>
        <v>0</v>
      </c>
      <c r="S201" s="113"/>
      <c r="T201" s="113"/>
      <c r="U201" s="62">
        <f>订货1!AD201</f>
        <v>0</v>
      </c>
      <c r="V201" s="113"/>
      <c r="W201" s="113"/>
      <c r="X201" s="62">
        <f>订货1!AE201</f>
        <v>1</v>
      </c>
      <c r="Y201" s="113"/>
      <c r="Z201" s="113"/>
      <c r="AA201" s="62">
        <f>订货1!AF201</f>
        <v>0</v>
      </c>
      <c r="AB201" s="113"/>
      <c r="AC201" s="113"/>
      <c r="AD201" s="62">
        <f>订货1!AG201</f>
        <v>1</v>
      </c>
      <c r="AE201" s="113"/>
      <c r="AF201" s="113"/>
      <c r="AG201" s="62">
        <f>订货1!AH201</f>
        <v>0</v>
      </c>
      <c r="AH201" s="113"/>
      <c r="AI201" s="113"/>
      <c r="AJ201" s="62">
        <f>订货1!AI201</f>
        <v>0</v>
      </c>
      <c r="AK201" s="113"/>
      <c r="AL201" s="113"/>
      <c r="AM201" s="62">
        <f>订货1!AJ201</f>
        <v>0</v>
      </c>
      <c r="AN201" s="113"/>
      <c r="AO201" s="113"/>
      <c r="AP201" s="62">
        <f>订货1!AK201</f>
        <v>0</v>
      </c>
      <c r="AQ201" s="113"/>
      <c r="AR201" s="113"/>
      <c r="AS201" s="62">
        <f>订货1!AL201</f>
        <v>0</v>
      </c>
      <c r="AT201" s="113"/>
      <c r="AU201" s="113"/>
      <c r="AV201" s="62">
        <f>订货1!AM201</f>
        <v>0</v>
      </c>
      <c r="AW201" s="113"/>
      <c r="AX201" s="113"/>
      <c r="AY201" s="62">
        <f>订货1!AN201</f>
        <v>1</v>
      </c>
      <c r="AZ201" s="113"/>
      <c r="BA201" s="113"/>
      <c r="BB201" s="62">
        <f>订货1!AO201</f>
        <v>0</v>
      </c>
      <c r="BC201" s="113"/>
      <c r="BD201" s="113"/>
      <c r="BE201" s="62">
        <f>订货1!AP201</f>
        <v>0</v>
      </c>
      <c r="BF201" s="113"/>
      <c r="BG201" s="113"/>
      <c r="BH201" s="62">
        <f>订货1!AQ201</f>
        <v>0</v>
      </c>
      <c r="BI201" s="113"/>
      <c r="BJ201" s="113"/>
      <c r="BK201" s="62">
        <f>订货1!AR201</f>
        <v>0</v>
      </c>
      <c r="BL201" s="113"/>
      <c r="BM201" s="113"/>
      <c r="BN201" s="62">
        <f>订货1!AS201</f>
        <v>0</v>
      </c>
      <c r="BO201" s="113"/>
      <c r="BP201" s="113"/>
      <c r="BQ201" s="62">
        <f>订货1!AT201</f>
        <v>0</v>
      </c>
      <c r="BR201" s="113"/>
      <c r="BS201" s="113"/>
      <c r="BT201" s="62">
        <f>订货1!AU201</f>
        <v>0</v>
      </c>
      <c r="BU201" s="113"/>
      <c r="BV201" s="113"/>
      <c r="BW201" s="62">
        <f>订货1!AV201</f>
        <v>0</v>
      </c>
      <c r="BX201" s="113"/>
      <c r="BY201" s="113"/>
      <c r="BZ201" s="62">
        <f>订货1!AW201</f>
        <v>0</v>
      </c>
      <c r="CA201" s="113"/>
      <c r="CB201" s="113"/>
      <c r="CC201" s="62">
        <f>订货1!AX201</f>
        <v>0</v>
      </c>
      <c r="CD201" s="113"/>
      <c r="CE201" s="113"/>
      <c r="CF201" s="62">
        <f>订货1!AY201</f>
        <v>0</v>
      </c>
      <c r="CG201" s="113"/>
      <c r="CH201" s="113"/>
      <c r="CI201" s="62">
        <f>订货1!AZ201</f>
        <v>0</v>
      </c>
      <c r="CJ201" s="113"/>
      <c r="CK201" s="113"/>
      <c r="CL201" s="62">
        <f>订货1!BA201</f>
        <v>0</v>
      </c>
      <c r="CM201" s="113"/>
      <c r="CN201" s="113"/>
      <c r="CO201" s="62">
        <f>订货1!BB201</f>
        <v>0</v>
      </c>
      <c r="CP201" s="113"/>
      <c r="CQ201" s="113"/>
      <c r="CR201" s="62">
        <f>订货1!BC201</f>
        <v>0</v>
      </c>
      <c r="CS201" s="113"/>
      <c r="CT201" s="113"/>
      <c r="CU201" s="62">
        <f>订货1!BD201</f>
        <v>0</v>
      </c>
      <c r="CV201" s="113"/>
      <c r="CW201" s="113"/>
      <c r="CX201" s="62">
        <f>订货1!BE201</f>
        <v>0</v>
      </c>
      <c r="CY201" s="113"/>
      <c r="CZ201" s="113"/>
      <c r="DA201" s="62">
        <f>订货1!BF201</f>
        <v>0</v>
      </c>
      <c r="DB201" s="113"/>
      <c r="DC201" s="113"/>
      <c r="DD201" s="208">
        <v>0</v>
      </c>
      <c r="DE201" s="110" t="e">
        <f t="shared" si="45"/>
        <v>#DIV/0!</v>
      </c>
      <c r="DF201" s="52">
        <f t="shared" si="44"/>
        <v>3</v>
      </c>
      <c r="DG201" s="32" t="str">
        <f>订货1!$Q201</f>
        <v>瓶</v>
      </c>
      <c r="DH201" s="209" t="e">
        <f t="shared" si="46"/>
        <v>#DIV/0!</v>
      </c>
    </row>
    <row r="202" spans="1:112" ht="15" customHeight="1">
      <c r="A202" s="48">
        <f>订货1!A202</f>
        <v>101763</v>
      </c>
      <c r="B202" s="44" t="str">
        <f>VLOOKUP($A202,订货1!$A202:$G445,7,0)</f>
        <v>卓典食品科技（江苏）有限公司</v>
      </c>
      <c r="C202" s="44" t="str">
        <f>VLOOKUP($A202,订货1!$A202:$H445,8,0)</f>
        <v>卓典食品科技（江苏）有限公司</v>
      </c>
      <c r="D202" s="44" t="str">
        <f>VLOOKUP($A202,订货1!$A202:$B445,2,0)</f>
        <v>酸汤鱼金汤料</v>
      </c>
      <c r="E202" s="44" t="str">
        <f>VLOOKUP($A202,订货1!$A202:$E445,5,0)</f>
        <v>100g*20*6pc</v>
      </c>
      <c r="F202" s="49" t="str">
        <f>VLOOKUP($A202,订货1!$A202:$F445,6,0)</f>
        <v>箱</v>
      </c>
      <c r="G202" s="203"/>
      <c r="H202" s="56">
        <f t="shared" si="47"/>
        <v>0</v>
      </c>
      <c r="I202" s="196"/>
      <c r="J202" s="113"/>
      <c r="K202" s="113"/>
      <c r="L202" s="196"/>
      <c r="M202" s="113"/>
      <c r="N202" s="113"/>
      <c r="O202" s="62">
        <f>订货1!AB202</f>
        <v>0</v>
      </c>
      <c r="P202" s="113"/>
      <c r="Q202" s="113"/>
      <c r="R202" s="62">
        <f>订货1!AC202</f>
        <v>0</v>
      </c>
      <c r="S202" s="113"/>
      <c r="T202" s="113"/>
      <c r="U202" s="62">
        <f>订货1!AD202</f>
        <v>0</v>
      </c>
      <c r="V202" s="113"/>
      <c r="W202" s="113"/>
      <c r="X202" s="62">
        <f>订货1!AE202</f>
        <v>0</v>
      </c>
      <c r="Y202" s="113"/>
      <c r="Z202" s="113"/>
      <c r="AA202" s="62">
        <f>订货1!AF202</f>
        <v>0</v>
      </c>
      <c r="AB202" s="113"/>
      <c r="AC202" s="113"/>
      <c r="AD202" s="62">
        <f>订货1!AG202</f>
        <v>0</v>
      </c>
      <c r="AE202" s="113"/>
      <c r="AF202" s="113"/>
      <c r="AG202" s="62">
        <f>订货1!AH202</f>
        <v>0</v>
      </c>
      <c r="AH202" s="113"/>
      <c r="AI202" s="113"/>
      <c r="AJ202" s="62">
        <f>订货1!AI202</f>
        <v>0</v>
      </c>
      <c r="AK202" s="113"/>
      <c r="AL202" s="113"/>
      <c r="AM202" s="62">
        <f>订货1!AJ202</f>
        <v>0</v>
      </c>
      <c r="AN202" s="113"/>
      <c r="AO202" s="113"/>
      <c r="AP202" s="62">
        <f>订货1!AK202</f>
        <v>0</v>
      </c>
      <c r="AQ202" s="113"/>
      <c r="AR202" s="113"/>
      <c r="AS202" s="62">
        <f>订货1!AL202</f>
        <v>0</v>
      </c>
      <c r="AT202" s="113"/>
      <c r="AU202" s="113"/>
      <c r="AV202" s="62">
        <f>订货1!AM202</f>
        <v>0</v>
      </c>
      <c r="AW202" s="113"/>
      <c r="AX202" s="113"/>
      <c r="AY202" s="62">
        <f>订货1!AN202</f>
        <v>0</v>
      </c>
      <c r="AZ202" s="113"/>
      <c r="BA202" s="113"/>
      <c r="BB202" s="62">
        <f>订货1!AO202</f>
        <v>0</v>
      </c>
      <c r="BC202" s="113"/>
      <c r="BD202" s="113"/>
      <c r="BE202" s="62">
        <f>订货1!AP202</f>
        <v>0</v>
      </c>
      <c r="BF202" s="113"/>
      <c r="BG202" s="113"/>
      <c r="BH202" s="62">
        <f>订货1!AQ202</f>
        <v>0</v>
      </c>
      <c r="BI202" s="113"/>
      <c r="BJ202" s="113"/>
      <c r="BK202" s="62">
        <f>订货1!AR202</f>
        <v>0</v>
      </c>
      <c r="BL202" s="113"/>
      <c r="BM202" s="113"/>
      <c r="BN202" s="62">
        <f>订货1!AS202</f>
        <v>0</v>
      </c>
      <c r="BO202" s="113"/>
      <c r="BP202" s="113"/>
      <c r="BQ202" s="62">
        <f>订货1!AT202</f>
        <v>0</v>
      </c>
      <c r="BR202" s="113"/>
      <c r="BS202" s="113"/>
      <c r="BT202" s="62">
        <f>订货1!AU202</f>
        <v>0</v>
      </c>
      <c r="BU202" s="113"/>
      <c r="BV202" s="113"/>
      <c r="BW202" s="62">
        <f>订货1!AV202</f>
        <v>0</v>
      </c>
      <c r="BX202" s="113"/>
      <c r="BY202" s="113"/>
      <c r="BZ202" s="62">
        <f>订货1!AW202</f>
        <v>0</v>
      </c>
      <c r="CA202" s="113"/>
      <c r="CB202" s="113"/>
      <c r="CC202" s="62">
        <f>订货1!AX202</f>
        <v>0</v>
      </c>
      <c r="CD202" s="113"/>
      <c r="CE202" s="113"/>
      <c r="CF202" s="62">
        <f>订货1!AY202</f>
        <v>0</v>
      </c>
      <c r="CG202" s="113"/>
      <c r="CH202" s="113"/>
      <c r="CI202" s="62">
        <f>订货1!AZ202</f>
        <v>0</v>
      </c>
      <c r="CJ202" s="113"/>
      <c r="CK202" s="113"/>
      <c r="CL202" s="62">
        <f>订货1!BA202</f>
        <v>0</v>
      </c>
      <c r="CM202" s="113"/>
      <c r="CN202" s="113"/>
      <c r="CO202" s="62">
        <f>订货1!BB202</f>
        <v>0</v>
      </c>
      <c r="CP202" s="113"/>
      <c r="CQ202" s="113"/>
      <c r="CR202" s="62">
        <f>订货1!BC202</f>
        <v>0</v>
      </c>
      <c r="CS202" s="113"/>
      <c r="CT202" s="113"/>
      <c r="CU202" s="62">
        <f>订货1!BD202</f>
        <v>0</v>
      </c>
      <c r="CV202" s="113"/>
      <c r="CW202" s="113"/>
      <c r="CX202" s="62">
        <f>订货1!BE202</f>
        <v>0</v>
      </c>
      <c r="CY202" s="113"/>
      <c r="CZ202" s="113"/>
      <c r="DA202" s="62">
        <f>订货1!BF202</f>
        <v>0</v>
      </c>
      <c r="DB202" s="113"/>
      <c r="DC202" s="113"/>
      <c r="DD202" s="208">
        <v>0</v>
      </c>
      <c r="DE202" s="110" t="e">
        <f t="shared" si="45"/>
        <v>#DIV/0!</v>
      </c>
      <c r="DF202" s="52">
        <f t="shared" si="44"/>
        <v>0</v>
      </c>
      <c r="DG202" s="32" t="str">
        <f>订货1!$Q202</f>
        <v>箱</v>
      </c>
      <c r="DH202" s="209" t="e">
        <f t="shared" si="46"/>
        <v>#DIV/0!</v>
      </c>
    </row>
    <row r="203" spans="1:112" ht="15" customHeight="1">
      <c r="A203" s="48">
        <f>订货1!A203</f>
        <v>101647</v>
      </c>
      <c r="B203" s="44" t="str">
        <f>VLOOKUP($A203,订货1!$A203:$G446,7,0)</f>
        <v>成都荣町食品有限公司上海分公司</v>
      </c>
      <c r="C203" s="44" t="str">
        <f>VLOOKUP($A203,订货1!$A203:$H446,8,0)</f>
        <v>荣町（东港）农业科技有限公司</v>
      </c>
      <c r="D203" s="44" t="str">
        <f>VLOOKUP($A203,订货1!$A203:$B446,2,0)</f>
        <v>神明大米</v>
      </c>
      <c r="E203" s="44" t="str">
        <f>VLOOKUP($A203,订货1!$A203:$E446,5,0)</f>
        <v>1.1kg*20</v>
      </c>
      <c r="F203" s="49" t="str">
        <f>VLOOKUP($A203,订货1!$A203:$F446,6,0)</f>
        <v>袋</v>
      </c>
      <c r="G203" s="203"/>
      <c r="H203" s="56">
        <f t="shared" si="47"/>
        <v>3</v>
      </c>
      <c r="I203" s="196"/>
      <c r="J203" s="113"/>
      <c r="K203" s="113"/>
      <c r="L203" s="196"/>
      <c r="M203" s="113"/>
      <c r="N203" s="113"/>
      <c r="O203" s="62">
        <f>订货1!AB203</f>
        <v>0</v>
      </c>
      <c r="P203" s="113"/>
      <c r="Q203" s="113"/>
      <c r="R203" s="62">
        <f>订货1!AC203</f>
        <v>0</v>
      </c>
      <c r="S203" s="113"/>
      <c r="T203" s="113"/>
      <c r="U203" s="62">
        <f>订货1!AD203</f>
        <v>0</v>
      </c>
      <c r="V203" s="113"/>
      <c r="W203" s="113"/>
      <c r="X203" s="62">
        <f>订货1!AE203</f>
        <v>0</v>
      </c>
      <c r="Y203" s="113"/>
      <c r="Z203" s="113"/>
      <c r="AA203" s="62">
        <f>订货1!AF203</f>
        <v>0</v>
      </c>
      <c r="AB203" s="113"/>
      <c r="AC203" s="113"/>
      <c r="AD203" s="62">
        <f>订货1!AG203</f>
        <v>1</v>
      </c>
      <c r="AE203" s="113"/>
      <c r="AF203" s="113"/>
      <c r="AG203" s="62">
        <f>订货1!AH203</f>
        <v>0</v>
      </c>
      <c r="AH203" s="113"/>
      <c r="AI203" s="113"/>
      <c r="AJ203" s="62">
        <f>订货1!AI203</f>
        <v>0</v>
      </c>
      <c r="AK203" s="113"/>
      <c r="AL203" s="113"/>
      <c r="AM203" s="62">
        <f>订货1!AJ203</f>
        <v>1</v>
      </c>
      <c r="AN203" s="113"/>
      <c r="AO203" s="113"/>
      <c r="AP203" s="62">
        <f>订货1!AK203</f>
        <v>0</v>
      </c>
      <c r="AQ203" s="113"/>
      <c r="AR203" s="113"/>
      <c r="AS203" s="62">
        <f>订货1!AL203</f>
        <v>0</v>
      </c>
      <c r="AT203" s="113"/>
      <c r="AU203" s="113"/>
      <c r="AV203" s="62">
        <f>订货1!AM203</f>
        <v>0</v>
      </c>
      <c r="AW203" s="113"/>
      <c r="AX203" s="113"/>
      <c r="AY203" s="62">
        <f>订货1!AN203</f>
        <v>1</v>
      </c>
      <c r="AZ203" s="113"/>
      <c r="BA203" s="113"/>
      <c r="BB203" s="62">
        <f>订货1!AO203</f>
        <v>0</v>
      </c>
      <c r="BC203" s="113"/>
      <c r="BD203" s="113"/>
      <c r="BE203" s="62">
        <f>订货1!AP203</f>
        <v>0</v>
      </c>
      <c r="BF203" s="113"/>
      <c r="BG203" s="113"/>
      <c r="BH203" s="62">
        <f>订货1!AQ203</f>
        <v>0</v>
      </c>
      <c r="BI203" s="113"/>
      <c r="BJ203" s="113"/>
      <c r="BK203" s="62">
        <f>订货1!AR203</f>
        <v>0</v>
      </c>
      <c r="BL203" s="113"/>
      <c r="BM203" s="113"/>
      <c r="BN203" s="62">
        <f>订货1!AS203</f>
        <v>0</v>
      </c>
      <c r="BO203" s="113"/>
      <c r="BP203" s="113"/>
      <c r="BQ203" s="62">
        <f>订货1!AT203</f>
        <v>0</v>
      </c>
      <c r="BR203" s="113"/>
      <c r="BS203" s="113"/>
      <c r="BT203" s="62">
        <f>订货1!AU203</f>
        <v>0</v>
      </c>
      <c r="BU203" s="113"/>
      <c r="BV203" s="113"/>
      <c r="BW203" s="62">
        <f>订货1!AV203</f>
        <v>0</v>
      </c>
      <c r="BX203" s="113"/>
      <c r="BY203" s="113"/>
      <c r="BZ203" s="62">
        <f>订货1!AW203</f>
        <v>0</v>
      </c>
      <c r="CA203" s="113"/>
      <c r="CB203" s="113"/>
      <c r="CC203" s="62">
        <f>订货1!AX203</f>
        <v>0</v>
      </c>
      <c r="CD203" s="113"/>
      <c r="CE203" s="113"/>
      <c r="CF203" s="62">
        <f>订货1!AY203</f>
        <v>0</v>
      </c>
      <c r="CG203" s="113"/>
      <c r="CH203" s="113"/>
      <c r="CI203" s="62">
        <f>订货1!AZ203</f>
        <v>0</v>
      </c>
      <c r="CJ203" s="113"/>
      <c r="CK203" s="113"/>
      <c r="CL203" s="62">
        <f>订货1!BA203</f>
        <v>0</v>
      </c>
      <c r="CM203" s="113"/>
      <c r="CN203" s="113"/>
      <c r="CO203" s="62">
        <f>订货1!BB203</f>
        <v>0</v>
      </c>
      <c r="CP203" s="113"/>
      <c r="CQ203" s="113"/>
      <c r="CR203" s="62">
        <f>订货1!BC203</f>
        <v>0</v>
      </c>
      <c r="CS203" s="113"/>
      <c r="CT203" s="113"/>
      <c r="CU203" s="62">
        <f>订货1!BD203</f>
        <v>0</v>
      </c>
      <c r="CV203" s="113"/>
      <c r="CW203" s="113"/>
      <c r="CX203" s="62">
        <f>订货1!BE203</f>
        <v>0</v>
      </c>
      <c r="CY203" s="113"/>
      <c r="CZ203" s="113"/>
      <c r="DA203" s="62">
        <f>订货1!BF203</f>
        <v>0</v>
      </c>
      <c r="DB203" s="113"/>
      <c r="DC203" s="113"/>
      <c r="DD203" s="208">
        <v>0</v>
      </c>
      <c r="DE203" s="110" t="e">
        <f t="shared" si="45"/>
        <v>#DIV/0!</v>
      </c>
      <c r="DF203" s="52">
        <f t="shared" si="44"/>
        <v>3</v>
      </c>
      <c r="DG203" s="32" t="str">
        <f>订货1!$Q203</f>
        <v>袋</v>
      </c>
      <c r="DH203" s="209" t="e">
        <f t="shared" si="46"/>
        <v>#DIV/0!</v>
      </c>
    </row>
    <row r="204" spans="1:112" ht="15" customHeight="1">
      <c r="A204" s="48">
        <f>订货1!A204</f>
        <v>101557</v>
      </c>
      <c r="B204" s="44" t="str">
        <f>VLOOKUP($A204,订货1!$A204:$G447,7,0)</f>
        <v>上海铭欣咖啡有限公司</v>
      </c>
      <c r="C204" s="44" t="str">
        <f>VLOOKUP($A204,订货1!$A204:$H447,8,0)</f>
        <v>上海威铭食品有限公司第一分公司</v>
      </c>
      <c r="D204" s="44" t="str">
        <f>VLOOKUP($A204,订货1!$A204:$B447,2,0)</f>
        <v>烘炒咖啡豆</v>
      </c>
      <c r="E204" s="44" t="str">
        <f>VLOOKUP($A204,订货1!$A204:$E447,5,0)</f>
        <v>1kg*10</v>
      </c>
      <c r="F204" s="49" t="str">
        <f>VLOOKUP($A204,订货1!$A204:$F447,6,0)</f>
        <v>箱</v>
      </c>
      <c r="G204" s="203"/>
      <c r="H204" s="56">
        <f t="shared" si="47"/>
        <v>1</v>
      </c>
      <c r="I204" s="196"/>
      <c r="J204" s="113"/>
      <c r="K204" s="113"/>
      <c r="L204" s="196"/>
      <c r="M204" s="113"/>
      <c r="N204" s="113"/>
      <c r="O204" s="62">
        <f>订货1!AB204</f>
        <v>0</v>
      </c>
      <c r="P204" s="113"/>
      <c r="Q204" s="113"/>
      <c r="R204" s="62">
        <f>订货1!AC204</f>
        <v>0</v>
      </c>
      <c r="S204" s="113"/>
      <c r="T204" s="113"/>
      <c r="U204" s="62">
        <f>订货1!AD204</f>
        <v>0</v>
      </c>
      <c r="V204" s="113"/>
      <c r="W204" s="113"/>
      <c r="X204" s="62">
        <f>订货1!AE204</f>
        <v>0</v>
      </c>
      <c r="Y204" s="113"/>
      <c r="Z204" s="113"/>
      <c r="AA204" s="62">
        <f>订货1!AF204</f>
        <v>0</v>
      </c>
      <c r="AB204" s="113"/>
      <c r="AC204" s="113"/>
      <c r="AD204" s="62">
        <f>订货1!AG204</f>
        <v>0</v>
      </c>
      <c r="AE204" s="113"/>
      <c r="AF204" s="113"/>
      <c r="AG204" s="62">
        <f>订货1!AH204</f>
        <v>0</v>
      </c>
      <c r="AH204" s="113"/>
      <c r="AI204" s="113"/>
      <c r="AJ204" s="62">
        <f>订货1!AI204</f>
        <v>0</v>
      </c>
      <c r="AK204" s="113"/>
      <c r="AL204" s="113"/>
      <c r="AM204" s="62">
        <f>订货1!AJ204</f>
        <v>0</v>
      </c>
      <c r="AN204" s="113"/>
      <c r="AO204" s="113"/>
      <c r="AP204" s="62">
        <f>订货1!AK204</f>
        <v>0</v>
      </c>
      <c r="AQ204" s="113"/>
      <c r="AR204" s="113"/>
      <c r="AS204" s="62">
        <f>订货1!AL204</f>
        <v>1</v>
      </c>
      <c r="AT204" s="113"/>
      <c r="AU204" s="113"/>
      <c r="AV204" s="62">
        <f>订货1!AM204</f>
        <v>0</v>
      </c>
      <c r="AW204" s="113"/>
      <c r="AX204" s="113"/>
      <c r="AY204" s="62">
        <f>订货1!AN204</f>
        <v>0</v>
      </c>
      <c r="AZ204" s="113"/>
      <c r="BA204" s="113"/>
      <c r="BB204" s="62">
        <f>订货1!AO204</f>
        <v>0</v>
      </c>
      <c r="BC204" s="113"/>
      <c r="BD204" s="113"/>
      <c r="BE204" s="62">
        <f>订货1!AP204</f>
        <v>0</v>
      </c>
      <c r="BF204" s="113"/>
      <c r="BG204" s="113"/>
      <c r="BH204" s="62">
        <f>订货1!AQ204</f>
        <v>0</v>
      </c>
      <c r="BI204" s="113"/>
      <c r="BJ204" s="113"/>
      <c r="BK204" s="62">
        <f>订货1!AR204</f>
        <v>0</v>
      </c>
      <c r="BL204" s="113"/>
      <c r="BM204" s="113"/>
      <c r="BN204" s="62">
        <f>订货1!AS204</f>
        <v>0</v>
      </c>
      <c r="BO204" s="113"/>
      <c r="BP204" s="113"/>
      <c r="BQ204" s="62">
        <f>订货1!AT204</f>
        <v>0</v>
      </c>
      <c r="BR204" s="113"/>
      <c r="BS204" s="113"/>
      <c r="BT204" s="62">
        <f>订货1!AU204</f>
        <v>0</v>
      </c>
      <c r="BU204" s="113"/>
      <c r="BV204" s="113"/>
      <c r="BW204" s="62">
        <f>订货1!AV204</f>
        <v>0</v>
      </c>
      <c r="BX204" s="113"/>
      <c r="BY204" s="113"/>
      <c r="BZ204" s="62">
        <f>订货1!AW204</f>
        <v>0</v>
      </c>
      <c r="CA204" s="113"/>
      <c r="CB204" s="113"/>
      <c r="CC204" s="62">
        <f>订货1!AX204</f>
        <v>0</v>
      </c>
      <c r="CD204" s="113"/>
      <c r="CE204" s="113"/>
      <c r="CF204" s="62">
        <f>订货1!AY204</f>
        <v>0</v>
      </c>
      <c r="CG204" s="113"/>
      <c r="CH204" s="113"/>
      <c r="CI204" s="62">
        <f>订货1!AZ204</f>
        <v>0</v>
      </c>
      <c r="CJ204" s="113"/>
      <c r="CK204" s="113"/>
      <c r="CL204" s="62">
        <f>订货1!BA204</f>
        <v>0</v>
      </c>
      <c r="CM204" s="113"/>
      <c r="CN204" s="113"/>
      <c r="CO204" s="62">
        <f>订货1!BB204</f>
        <v>0</v>
      </c>
      <c r="CP204" s="113"/>
      <c r="CQ204" s="113"/>
      <c r="CR204" s="62">
        <f>订货1!BC204</f>
        <v>0</v>
      </c>
      <c r="CS204" s="113"/>
      <c r="CT204" s="113"/>
      <c r="CU204" s="62">
        <f>订货1!BD204</f>
        <v>0</v>
      </c>
      <c r="CV204" s="113"/>
      <c r="CW204" s="113"/>
      <c r="CX204" s="62">
        <f>订货1!BE204</f>
        <v>0</v>
      </c>
      <c r="CY204" s="113"/>
      <c r="CZ204" s="113"/>
      <c r="DA204" s="62">
        <f>订货1!BF204</f>
        <v>0</v>
      </c>
      <c r="DB204" s="113"/>
      <c r="DC204" s="113"/>
      <c r="DD204" s="208">
        <v>0</v>
      </c>
      <c r="DE204" s="110" t="e">
        <f t="shared" si="45"/>
        <v>#DIV/0!</v>
      </c>
      <c r="DF204" s="52">
        <f t="shared" si="44"/>
        <v>1</v>
      </c>
      <c r="DG204" s="32" t="str">
        <f>订货1!$Q204</f>
        <v>箱</v>
      </c>
      <c r="DH204" s="209" t="e">
        <f t="shared" si="46"/>
        <v>#DIV/0!</v>
      </c>
    </row>
    <row r="205" spans="1:112" ht="15" customHeight="1">
      <c r="A205" s="48">
        <f>订货1!A205</f>
        <v>301115</v>
      </c>
      <c r="B205" s="44" t="str">
        <f>VLOOKUP($A205,订货1!$A205:$G448,7,0)</f>
        <v>上海粮满仓粮油发展有限公司</v>
      </c>
      <c r="C205" s="44" t="str">
        <f>VLOOKUP($A205,订货1!$A205:$H448,8,0)</f>
        <v>上海良龙粮油发展有限公司</v>
      </c>
      <c r="D205" s="44" t="str">
        <f>VLOOKUP($A205,订货1!$A205:$B448,2,0)</f>
        <v>万家宴一级大豆油</v>
      </c>
      <c r="E205" s="44" t="str">
        <f>VLOOKUP($A205,订货1!$A205:$E448,5,0)</f>
        <v>10L*2瓶</v>
      </c>
      <c r="F205" s="49" t="str">
        <f>VLOOKUP($A205,订货1!$A205:$F448,6,0)</f>
        <v>箱</v>
      </c>
      <c r="G205" s="203"/>
      <c r="H205" s="56">
        <f t="shared" si="47"/>
        <v>3</v>
      </c>
      <c r="I205" s="196"/>
      <c r="J205" s="113"/>
      <c r="K205" s="113"/>
      <c r="L205" s="196"/>
      <c r="M205" s="113"/>
      <c r="N205" s="113"/>
      <c r="O205" s="62">
        <f>订货1!AB205</f>
        <v>0</v>
      </c>
      <c r="P205" s="113"/>
      <c r="Q205" s="113"/>
      <c r="R205" s="62">
        <f>订货1!AC205</f>
        <v>0</v>
      </c>
      <c r="S205" s="113"/>
      <c r="T205" s="113"/>
      <c r="U205" s="62">
        <f>订货1!AD205</f>
        <v>0</v>
      </c>
      <c r="V205" s="113"/>
      <c r="W205" s="113"/>
      <c r="X205" s="62">
        <f>订货1!AE205</f>
        <v>0</v>
      </c>
      <c r="Y205" s="113"/>
      <c r="Z205" s="113"/>
      <c r="AA205" s="62">
        <f>订货1!AF205</f>
        <v>1</v>
      </c>
      <c r="AB205" s="113"/>
      <c r="AC205" s="113"/>
      <c r="AD205" s="62">
        <f>订货1!AG205</f>
        <v>0</v>
      </c>
      <c r="AE205" s="113"/>
      <c r="AF205" s="113"/>
      <c r="AG205" s="62">
        <f>订货1!AH205</f>
        <v>0</v>
      </c>
      <c r="AH205" s="113"/>
      <c r="AI205" s="113"/>
      <c r="AJ205" s="62">
        <f>订货1!AI205</f>
        <v>0</v>
      </c>
      <c r="AK205" s="113"/>
      <c r="AL205" s="113"/>
      <c r="AM205" s="62">
        <f>订货1!AJ205</f>
        <v>0</v>
      </c>
      <c r="AN205" s="113"/>
      <c r="AO205" s="113"/>
      <c r="AP205" s="62">
        <f>订货1!AK205</f>
        <v>0</v>
      </c>
      <c r="AQ205" s="113"/>
      <c r="AR205" s="113"/>
      <c r="AS205" s="62">
        <f>订货1!AL205</f>
        <v>1</v>
      </c>
      <c r="AT205" s="113"/>
      <c r="AU205" s="113"/>
      <c r="AV205" s="62">
        <f>订货1!AM205</f>
        <v>0</v>
      </c>
      <c r="AW205" s="113"/>
      <c r="AX205" s="113"/>
      <c r="AY205" s="62">
        <f>订货1!AN205</f>
        <v>0</v>
      </c>
      <c r="AZ205" s="113"/>
      <c r="BA205" s="113"/>
      <c r="BB205" s="62">
        <f>订货1!AO205</f>
        <v>1</v>
      </c>
      <c r="BC205" s="113"/>
      <c r="BD205" s="113"/>
      <c r="BE205" s="62">
        <f>订货1!AP205</f>
        <v>0</v>
      </c>
      <c r="BF205" s="113"/>
      <c r="BG205" s="113"/>
      <c r="BH205" s="62">
        <f>订货1!AQ205</f>
        <v>0</v>
      </c>
      <c r="BI205" s="113"/>
      <c r="BJ205" s="113"/>
      <c r="BK205" s="62">
        <f>订货1!AR205</f>
        <v>0</v>
      </c>
      <c r="BL205" s="113"/>
      <c r="BM205" s="113"/>
      <c r="BN205" s="62">
        <f>订货1!AS205</f>
        <v>0</v>
      </c>
      <c r="BO205" s="113"/>
      <c r="BP205" s="113"/>
      <c r="BQ205" s="62">
        <f>订货1!AT205</f>
        <v>0</v>
      </c>
      <c r="BR205" s="113"/>
      <c r="BS205" s="113"/>
      <c r="BT205" s="62">
        <f>订货1!AU205</f>
        <v>0</v>
      </c>
      <c r="BU205" s="113"/>
      <c r="BV205" s="113"/>
      <c r="BW205" s="62">
        <f>订货1!AV205</f>
        <v>0</v>
      </c>
      <c r="BX205" s="113"/>
      <c r="BY205" s="113"/>
      <c r="BZ205" s="62">
        <f>订货1!AW205</f>
        <v>0</v>
      </c>
      <c r="CA205" s="113"/>
      <c r="CB205" s="113"/>
      <c r="CC205" s="62">
        <f>订货1!AX205</f>
        <v>0</v>
      </c>
      <c r="CD205" s="113"/>
      <c r="CE205" s="113"/>
      <c r="CF205" s="62">
        <f>订货1!AY205</f>
        <v>0</v>
      </c>
      <c r="CG205" s="113"/>
      <c r="CH205" s="113"/>
      <c r="CI205" s="62">
        <f>订货1!AZ205</f>
        <v>0</v>
      </c>
      <c r="CJ205" s="113"/>
      <c r="CK205" s="113"/>
      <c r="CL205" s="62">
        <f>订货1!BA205</f>
        <v>0</v>
      </c>
      <c r="CM205" s="113"/>
      <c r="CN205" s="113"/>
      <c r="CO205" s="62">
        <f>订货1!BB205</f>
        <v>0</v>
      </c>
      <c r="CP205" s="113"/>
      <c r="CQ205" s="113"/>
      <c r="CR205" s="62">
        <f>订货1!BC205</f>
        <v>0</v>
      </c>
      <c r="CS205" s="113"/>
      <c r="CT205" s="113"/>
      <c r="CU205" s="62">
        <f>订货1!BD205</f>
        <v>0</v>
      </c>
      <c r="CV205" s="113"/>
      <c r="CW205" s="113"/>
      <c r="CX205" s="62">
        <f>订货1!BE205</f>
        <v>0</v>
      </c>
      <c r="CY205" s="113"/>
      <c r="CZ205" s="113"/>
      <c r="DA205" s="62">
        <f>订货1!BF205</f>
        <v>0</v>
      </c>
      <c r="DB205" s="113"/>
      <c r="DC205" s="113"/>
      <c r="DD205" s="208">
        <v>0</v>
      </c>
      <c r="DE205" s="110" t="e">
        <f t="shared" si="45"/>
        <v>#DIV/0!</v>
      </c>
      <c r="DF205" s="52">
        <f t="shared" si="44"/>
        <v>3</v>
      </c>
      <c r="DG205" s="32" t="str">
        <f>订货1!$Q205</f>
        <v>箱</v>
      </c>
      <c r="DH205" s="209" t="e">
        <f t="shared" si="46"/>
        <v>#DIV/0!</v>
      </c>
    </row>
    <row r="206" spans="1:112" ht="15" customHeight="1">
      <c r="A206" s="48">
        <f>订货1!A206</f>
        <v>101656</v>
      </c>
      <c r="B206" s="44" t="str">
        <f>VLOOKUP($A206,订货1!$A206:$G449,7,0)</f>
        <v>湛江怡然庄食品有限公司</v>
      </c>
      <c r="C206" s="44" t="str">
        <f>VLOOKUP($A206,订货1!$A206:$H449,8,0)</f>
        <v>湛江怡然庄食品有限公司</v>
      </c>
      <c r="D206" s="44" t="str">
        <f>VLOOKUP($A206,订货1!$A206:$B449,2,0)</f>
        <v>怡然洋菠萝扇块罐头</v>
      </c>
      <c r="E206" s="44" t="str">
        <f>VLOOKUP($A206,订货1!$A206:$E449,5,0)</f>
        <v>3kg*6can</v>
      </c>
      <c r="F206" s="49" t="str">
        <f>VLOOKUP($A206,订货1!$A206:$F449,6,0)</f>
        <v>箱</v>
      </c>
      <c r="G206" s="203"/>
      <c r="H206" s="56">
        <f t="shared" si="47"/>
        <v>5</v>
      </c>
      <c r="I206" s="196"/>
      <c r="J206" s="113"/>
      <c r="K206" s="113"/>
      <c r="L206" s="196"/>
      <c r="M206" s="113"/>
      <c r="N206" s="113"/>
      <c r="O206" s="62">
        <f>订货1!AB206</f>
        <v>0</v>
      </c>
      <c r="P206" s="113"/>
      <c r="Q206" s="113"/>
      <c r="R206" s="62">
        <f>订货1!AC206</f>
        <v>0</v>
      </c>
      <c r="S206" s="113"/>
      <c r="T206" s="113"/>
      <c r="U206" s="62">
        <f>订货1!AD206</f>
        <v>0</v>
      </c>
      <c r="V206" s="113"/>
      <c r="W206" s="113"/>
      <c r="X206" s="62">
        <f>订货1!AE206</f>
        <v>1</v>
      </c>
      <c r="Y206" s="113"/>
      <c r="Z206" s="113"/>
      <c r="AA206" s="62">
        <f>订货1!AF206</f>
        <v>0</v>
      </c>
      <c r="AB206" s="113"/>
      <c r="AC206" s="113"/>
      <c r="AD206" s="62">
        <f>订货1!AG206</f>
        <v>0</v>
      </c>
      <c r="AE206" s="113"/>
      <c r="AF206" s="113"/>
      <c r="AG206" s="62">
        <f>订货1!AH206</f>
        <v>1</v>
      </c>
      <c r="AH206" s="113"/>
      <c r="AI206" s="113"/>
      <c r="AJ206" s="62">
        <f>订货1!AI206</f>
        <v>0</v>
      </c>
      <c r="AK206" s="113"/>
      <c r="AL206" s="113"/>
      <c r="AM206" s="62">
        <f>订货1!AJ206</f>
        <v>1</v>
      </c>
      <c r="AN206" s="113"/>
      <c r="AO206" s="113"/>
      <c r="AP206" s="62">
        <f>订货1!AK206</f>
        <v>0</v>
      </c>
      <c r="AQ206" s="113"/>
      <c r="AR206" s="113"/>
      <c r="AS206" s="62">
        <f>订货1!AL206</f>
        <v>1</v>
      </c>
      <c r="AT206" s="113"/>
      <c r="AU206" s="113"/>
      <c r="AV206" s="62">
        <f>订货1!AM206</f>
        <v>0</v>
      </c>
      <c r="AW206" s="113"/>
      <c r="AX206" s="113"/>
      <c r="AY206" s="62">
        <f>订货1!AN206</f>
        <v>0</v>
      </c>
      <c r="AZ206" s="113"/>
      <c r="BA206" s="113"/>
      <c r="BB206" s="62">
        <f>订货1!AO206</f>
        <v>1</v>
      </c>
      <c r="BC206" s="113"/>
      <c r="BD206" s="113"/>
      <c r="BE206" s="62">
        <f>订货1!AP206</f>
        <v>0</v>
      </c>
      <c r="BF206" s="113"/>
      <c r="BG206" s="113"/>
      <c r="BH206" s="62">
        <f>订货1!AQ206</f>
        <v>0</v>
      </c>
      <c r="BI206" s="113"/>
      <c r="BJ206" s="113"/>
      <c r="BK206" s="62">
        <f>订货1!AR206</f>
        <v>0</v>
      </c>
      <c r="BL206" s="113"/>
      <c r="BM206" s="113"/>
      <c r="BN206" s="62">
        <f>订货1!AS206</f>
        <v>0</v>
      </c>
      <c r="BO206" s="113"/>
      <c r="BP206" s="113"/>
      <c r="BQ206" s="62">
        <f>订货1!AT206</f>
        <v>0</v>
      </c>
      <c r="BR206" s="113"/>
      <c r="BS206" s="113"/>
      <c r="BT206" s="62">
        <f>订货1!AU206</f>
        <v>0</v>
      </c>
      <c r="BU206" s="113"/>
      <c r="BV206" s="113"/>
      <c r="BW206" s="62">
        <f>订货1!AV206</f>
        <v>0</v>
      </c>
      <c r="BX206" s="113"/>
      <c r="BY206" s="113"/>
      <c r="BZ206" s="62">
        <f>订货1!AW206</f>
        <v>0</v>
      </c>
      <c r="CA206" s="113"/>
      <c r="CB206" s="113"/>
      <c r="CC206" s="62">
        <f>订货1!AX206</f>
        <v>0</v>
      </c>
      <c r="CD206" s="113"/>
      <c r="CE206" s="113"/>
      <c r="CF206" s="62">
        <f>订货1!AY206</f>
        <v>0</v>
      </c>
      <c r="CG206" s="113"/>
      <c r="CH206" s="113"/>
      <c r="CI206" s="62">
        <f>订货1!AZ206</f>
        <v>0</v>
      </c>
      <c r="CJ206" s="113"/>
      <c r="CK206" s="113"/>
      <c r="CL206" s="62">
        <f>订货1!BA206</f>
        <v>0</v>
      </c>
      <c r="CM206" s="113"/>
      <c r="CN206" s="113"/>
      <c r="CO206" s="62">
        <f>订货1!BB206</f>
        <v>0</v>
      </c>
      <c r="CP206" s="113"/>
      <c r="CQ206" s="113"/>
      <c r="CR206" s="62">
        <f>订货1!BC206</f>
        <v>0</v>
      </c>
      <c r="CS206" s="113"/>
      <c r="CT206" s="113"/>
      <c r="CU206" s="62">
        <f>订货1!BD206</f>
        <v>0</v>
      </c>
      <c r="CV206" s="113"/>
      <c r="CW206" s="113"/>
      <c r="CX206" s="62">
        <f>订货1!BE206</f>
        <v>0</v>
      </c>
      <c r="CY206" s="113"/>
      <c r="CZ206" s="113"/>
      <c r="DA206" s="62">
        <f>订货1!BF206</f>
        <v>0</v>
      </c>
      <c r="DB206" s="113"/>
      <c r="DC206" s="113"/>
      <c r="DD206" s="208">
        <v>0</v>
      </c>
      <c r="DE206" s="110" t="e">
        <f t="shared" si="45"/>
        <v>#DIV/0!</v>
      </c>
      <c r="DF206" s="52">
        <f t="shared" si="44"/>
        <v>5</v>
      </c>
      <c r="DG206" s="32" t="str">
        <f>订货1!$Q206</f>
        <v>箱</v>
      </c>
      <c r="DH206" s="209" t="e">
        <f t="shared" si="46"/>
        <v>#DIV/0!</v>
      </c>
    </row>
    <row r="207" spans="1:112" ht="15" customHeight="1">
      <c r="A207" s="48">
        <f>订货1!A207</f>
        <v>101631</v>
      </c>
      <c r="B207" s="44" t="str">
        <f>VLOOKUP($A207,订货1!$A207:$G450,7,0)</f>
        <v>上海富升食品有限公司</v>
      </c>
      <c r="C207" s="44" t="str">
        <f>VLOOKUP($A207,订货1!$A207:$H450,8,0)</f>
        <v>雪花啤酒（嘉善）有限公司</v>
      </c>
      <c r="D207" s="44" t="str">
        <f>VLOOKUP($A207,订货1!$A207:$B450,2,0)</f>
        <v>喜力啤酒</v>
      </c>
      <c r="E207" s="44" t="str">
        <f>VLOOKUP($A207,订货1!$A207:$E450,5,0)</f>
        <v>330ml*24btl</v>
      </c>
      <c r="F207" s="49" t="str">
        <f>VLOOKUP($A207,订货1!$A207:$F450,6,0)</f>
        <v>箱</v>
      </c>
      <c r="G207" s="203"/>
      <c r="H207" s="56">
        <f t="shared" si="47"/>
        <v>1</v>
      </c>
      <c r="I207" s="196"/>
      <c r="J207" s="113"/>
      <c r="K207" s="113"/>
      <c r="L207" s="196"/>
      <c r="M207" s="113"/>
      <c r="N207" s="113"/>
      <c r="O207" s="62">
        <f>订货1!AB207</f>
        <v>0</v>
      </c>
      <c r="P207" s="113"/>
      <c r="Q207" s="113"/>
      <c r="R207" s="62">
        <f>订货1!AC207</f>
        <v>0</v>
      </c>
      <c r="S207" s="113"/>
      <c r="T207" s="113"/>
      <c r="U207" s="62">
        <f>订货1!AD207</f>
        <v>0</v>
      </c>
      <c r="V207" s="113"/>
      <c r="W207" s="113"/>
      <c r="X207" s="62">
        <f>订货1!AE207</f>
        <v>0</v>
      </c>
      <c r="Y207" s="113"/>
      <c r="Z207" s="113"/>
      <c r="AA207" s="62">
        <f>订货1!AF207</f>
        <v>0</v>
      </c>
      <c r="AB207" s="113"/>
      <c r="AC207" s="113"/>
      <c r="AD207" s="62">
        <f>订货1!AG207</f>
        <v>0</v>
      </c>
      <c r="AE207" s="113"/>
      <c r="AF207" s="113"/>
      <c r="AG207" s="62">
        <f>订货1!AH207</f>
        <v>0</v>
      </c>
      <c r="AH207" s="113"/>
      <c r="AI207" s="113"/>
      <c r="AJ207" s="62">
        <f>订货1!AI207</f>
        <v>0</v>
      </c>
      <c r="AK207" s="113"/>
      <c r="AL207" s="113"/>
      <c r="AM207" s="62">
        <f>订货1!AJ207</f>
        <v>1</v>
      </c>
      <c r="AN207" s="113"/>
      <c r="AO207" s="113"/>
      <c r="AP207" s="62">
        <f>订货1!AK207</f>
        <v>0</v>
      </c>
      <c r="AQ207" s="113"/>
      <c r="AR207" s="113"/>
      <c r="AS207" s="62">
        <f>订货1!AL207</f>
        <v>0</v>
      </c>
      <c r="AT207" s="113"/>
      <c r="AU207" s="113"/>
      <c r="AV207" s="62">
        <f>订货1!AM207</f>
        <v>0</v>
      </c>
      <c r="AW207" s="113"/>
      <c r="AX207" s="113"/>
      <c r="AY207" s="62">
        <f>订货1!AN207</f>
        <v>0</v>
      </c>
      <c r="AZ207" s="113"/>
      <c r="BA207" s="113"/>
      <c r="BB207" s="62">
        <f>订货1!AO207</f>
        <v>0</v>
      </c>
      <c r="BC207" s="113"/>
      <c r="BD207" s="113"/>
      <c r="BE207" s="62">
        <f>订货1!AP207</f>
        <v>0</v>
      </c>
      <c r="BF207" s="113"/>
      <c r="BG207" s="113"/>
      <c r="BH207" s="62">
        <f>订货1!AQ207</f>
        <v>0</v>
      </c>
      <c r="BI207" s="113"/>
      <c r="BJ207" s="113"/>
      <c r="BK207" s="62">
        <f>订货1!AR207</f>
        <v>0</v>
      </c>
      <c r="BL207" s="113"/>
      <c r="BM207" s="113"/>
      <c r="BN207" s="62">
        <f>订货1!AS207</f>
        <v>0</v>
      </c>
      <c r="BO207" s="113"/>
      <c r="BP207" s="113"/>
      <c r="BQ207" s="62">
        <f>订货1!AT207</f>
        <v>0</v>
      </c>
      <c r="BR207" s="113"/>
      <c r="BS207" s="113"/>
      <c r="BT207" s="62">
        <f>订货1!AU207</f>
        <v>0</v>
      </c>
      <c r="BU207" s="113"/>
      <c r="BV207" s="113"/>
      <c r="BW207" s="62">
        <f>订货1!AV207</f>
        <v>0</v>
      </c>
      <c r="BX207" s="113"/>
      <c r="BY207" s="113"/>
      <c r="BZ207" s="62">
        <f>订货1!AW207</f>
        <v>0</v>
      </c>
      <c r="CA207" s="113"/>
      <c r="CB207" s="113"/>
      <c r="CC207" s="62">
        <f>订货1!AX207</f>
        <v>0</v>
      </c>
      <c r="CD207" s="113"/>
      <c r="CE207" s="113"/>
      <c r="CF207" s="62">
        <f>订货1!AY207</f>
        <v>0</v>
      </c>
      <c r="CG207" s="113"/>
      <c r="CH207" s="113"/>
      <c r="CI207" s="62">
        <f>订货1!AZ207</f>
        <v>0</v>
      </c>
      <c r="CJ207" s="113"/>
      <c r="CK207" s="113"/>
      <c r="CL207" s="62">
        <f>订货1!BA207</f>
        <v>0</v>
      </c>
      <c r="CM207" s="113"/>
      <c r="CN207" s="113"/>
      <c r="CO207" s="62">
        <f>订货1!BB207</f>
        <v>0</v>
      </c>
      <c r="CP207" s="113"/>
      <c r="CQ207" s="113"/>
      <c r="CR207" s="62">
        <f>订货1!BC207</f>
        <v>0</v>
      </c>
      <c r="CS207" s="113"/>
      <c r="CT207" s="113"/>
      <c r="CU207" s="62">
        <f>订货1!BD207</f>
        <v>0</v>
      </c>
      <c r="CV207" s="113"/>
      <c r="CW207" s="113"/>
      <c r="CX207" s="62">
        <f>订货1!BE207</f>
        <v>0</v>
      </c>
      <c r="CY207" s="113"/>
      <c r="CZ207" s="113"/>
      <c r="DA207" s="62">
        <f>订货1!BF207</f>
        <v>0</v>
      </c>
      <c r="DB207" s="113"/>
      <c r="DC207" s="113"/>
      <c r="DD207" s="208">
        <v>0</v>
      </c>
      <c r="DE207" s="110" t="e">
        <f t="shared" si="45"/>
        <v>#DIV/0!</v>
      </c>
      <c r="DF207" s="52">
        <f t="shared" si="44"/>
        <v>1</v>
      </c>
      <c r="DG207" s="32" t="str">
        <f>订货1!$Q207</f>
        <v>箱</v>
      </c>
      <c r="DH207" s="209" t="e">
        <f t="shared" si="46"/>
        <v>#DIV/0!</v>
      </c>
    </row>
    <row r="208" spans="1:112" ht="15" customHeight="1">
      <c r="A208" s="48">
        <f>订货1!A208</f>
        <v>101764</v>
      </c>
      <c r="B208" s="44" t="str">
        <f>VLOOKUP($A208,订货1!$A208:$G451,7,0)</f>
        <v>上海蓬澜食品有限公司</v>
      </c>
      <c r="C208" s="44" t="str">
        <f>VLOOKUP($A208,订货1!$A208:$H451,8,0)</f>
        <v>三旺实业有限公司</v>
      </c>
      <c r="D208" s="44" t="str">
        <f>VLOOKUP($A208,订货1!$A208:$B451,2,0)</f>
        <v>实验经典辣肠</v>
      </c>
      <c r="E208" s="44" t="str">
        <f>VLOOKUP($A208,订货1!$A208:$E451,5,0)</f>
        <v>25g*40*10pc</v>
      </c>
      <c r="F208" s="49" t="str">
        <f>VLOOKUP($A208,订货1!$A208:$F451,6,0)</f>
        <v>箱</v>
      </c>
      <c r="G208" s="203"/>
      <c r="H208" s="56">
        <f t="shared" si="47"/>
        <v>0</v>
      </c>
      <c r="I208" s="196"/>
      <c r="J208" s="113"/>
      <c r="K208" s="113"/>
      <c r="L208" s="196"/>
      <c r="M208" s="113"/>
      <c r="N208" s="113"/>
      <c r="O208" s="62">
        <f>订货1!AB208</f>
        <v>0</v>
      </c>
      <c r="P208" s="113"/>
      <c r="Q208" s="113"/>
      <c r="R208" s="62">
        <f>订货1!AC208</f>
        <v>0</v>
      </c>
      <c r="S208" s="113"/>
      <c r="T208" s="113"/>
      <c r="U208" s="62">
        <f>订货1!AD208</f>
        <v>0</v>
      </c>
      <c r="V208" s="113"/>
      <c r="W208" s="113"/>
      <c r="X208" s="62">
        <f>订货1!AE208</f>
        <v>0</v>
      </c>
      <c r="Y208" s="113"/>
      <c r="Z208" s="113"/>
      <c r="AA208" s="62">
        <f>订货1!AF208</f>
        <v>0</v>
      </c>
      <c r="AB208" s="113"/>
      <c r="AC208" s="113"/>
      <c r="AD208" s="62">
        <f>订货1!AG208</f>
        <v>0</v>
      </c>
      <c r="AE208" s="113"/>
      <c r="AF208" s="113"/>
      <c r="AG208" s="62">
        <f>订货1!AH208</f>
        <v>0</v>
      </c>
      <c r="AH208" s="113"/>
      <c r="AI208" s="113"/>
      <c r="AJ208" s="62">
        <f>订货1!AI208</f>
        <v>0</v>
      </c>
      <c r="AK208" s="113"/>
      <c r="AL208" s="113"/>
      <c r="AM208" s="62">
        <f>订货1!AJ208</f>
        <v>0</v>
      </c>
      <c r="AN208" s="113"/>
      <c r="AO208" s="113"/>
      <c r="AP208" s="62">
        <f>订货1!AK208</f>
        <v>0</v>
      </c>
      <c r="AQ208" s="113"/>
      <c r="AR208" s="113"/>
      <c r="AS208" s="62">
        <f>订货1!AL208</f>
        <v>0</v>
      </c>
      <c r="AT208" s="113"/>
      <c r="AU208" s="113"/>
      <c r="AV208" s="62">
        <f>订货1!AM208</f>
        <v>0</v>
      </c>
      <c r="AW208" s="113"/>
      <c r="AX208" s="113"/>
      <c r="AY208" s="62">
        <f>订货1!AN208</f>
        <v>0</v>
      </c>
      <c r="AZ208" s="113"/>
      <c r="BA208" s="113"/>
      <c r="BB208" s="62">
        <f>订货1!AO208</f>
        <v>0</v>
      </c>
      <c r="BC208" s="113"/>
      <c r="BD208" s="113"/>
      <c r="BE208" s="62">
        <f>订货1!AP208</f>
        <v>0</v>
      </c>
      <c r="BF208" s="113"/>
      <c r="BG208" s="113"/>
      <c r="BH208" s="62">
        <f>订货1!AQ208</f>
        <v>0</v>
      </c>
      <c r="BI208" s="113"/>
      <c r="BJ208" s="113"/>
      <c r="BK208" s="62">
        <f>订货1!AR208</f>
        <v>0</v>
      </c>
      <c r="BL208" s="113"/>
      <c r="BM208" s="113"/>
      <c r="BN208" s="62">
        <f>订货1!AS208</f>
        <v>0</v>
      </c>
      <c r="BO208" s="113"/>
      <c r="BP208" s="113"/>
      <c r="BQ208" s="62">
        <f>订货1!AT208</f>
        <v>0</v>
      </c>
      <c r="BR208" s="113"/>
      <c r="BS208" s="113"/>
      <c r="BT208" s="62">
        <f>订货1!AU208</f>
        <v>0</v>
      </c>
      <c r="BU208" s="113"/>
      <c r="BV208" s="113"/>
      <c r="BW208" s="62">
        <f>订货1!AV208</f>
        <v>0</v>
      </c>
      <c r="BX208" s="113"/>
      <c r="BY208" s="113"/>
      <c r="BZ208" s="62">
        <f>订货1!AW208</f>
        <v>0</v>
      </c>
      <c r="CA208" s="113"/>
      <c r="CB208" s="113"/>
      <c r="CC208" s="62">
        <f>订货1!AX208</f>
        <v>0</v>
      </c>
      <c r="CD208" s="113"/>
      <c r="CE208" s="113"/>
      <c r="CF208" s="62">
        <f>订货1!AY208</f>
        <v>0</v>
      </c>
      <c r="CG208" s="113"/>
      <c r="CH208" s="113"/>
      <c r="CI208" s="62">
        <f>订货1!AZ208</f>
        <v>0</v>
      </c>
      <c r="CJ208" s="113"/>
      <c r="CK208" s="113"/>
      <c r="CL208" s="62">
        <f>订货1!BA208</f>
        <v>0</v>
      </c>
      <c r="CM208" s="113"/>
      <c r="CN208" s="113"/>
      <c r="CO208" s="62">
        <f>订货1!BB208</f>
        <v>0</v>
      </c>
      <c r="CP208" s="113"/>
      <c r="CQ208" s="113"/>
      <c r="CR208" s="62">
        <f>订货1!BC208</f>
        <v>0</v>
      </c>
      <c r="CS208" s="113"/>
      <c r="CT208" s="113"/>
      <c r="CU208" s="62">
        <f>订货1!BD208</f>
        <v>0</v>
      </c>
      <c r="CV208" s="113"/>
      <c r="CW208" s="113"/>
      <c r="CX208" s="62">
        <f>订货1!BE208</f>
        <v>0</v>
      </c>
      <c r="CY208" s="113"/>
      <c r="CZ208" s="113"/>
      <c r="DA208" s="62">
        <f>订货1!BF208</f>
        <v>0</v>
      </c>
      <c r="DB208" s="113"/>
      <c r="DC208" s="113"/>
      <c r="DD208" s="208">
        <v>0</v>
      </c>
      <c r="DE208" s="110" t="e">
        <f t="shared" si="45"/>
        <v>#DIV/0!</v>
      </c>
      <c r="DF208" s="52">
        <f t="shared" si="44"/>
        <v>0</v>
      </c>
      <c r="DG208" s="32" t="str">
        <f>订货1!$Q208</f>
        <v>箱</v>
      </c>
      <c r="DH208" s="209" t="e">
        <f t="shared" si="46"/>
        <v>#DIV/0!</v>
      </c>
    </row>
    <row r="209" spans="1:112" ht="15" customHeight="1">
      <c r="A209" s="48">
        <f>订货1!A209</f>
        <v>101765</v>
      </c>
      <c r="B209" s="44" t="str">
        <f>VLOOKUP($A209,订货1!$A209:$G452,7,0)</f>
        <v>沈阳华美食品有限公司</v>
      </c>
      <c r="C209" s="44" t="str">
        <f>VLOOKUP($A209,订货1!$A209:$H452,8,0)</f>
        <v>沈阳华美食品有限公司</v>
      </c>
      <c r="D209" s="44" t="str">
        <f>VLOOKUP($A209,订货1!$A209:$B452,2,0)</f>
        <v>萨莉亚鸡米花</v>
      </c>
      <c r="E209" s="44" t="str">
        <f>VLOOKUP($A209,订货1!$A209:$E452,5,0)</f>
        <v>1kg*12pc</v>
      </c>
      <c r="F209" s="49" t="str">
        <f>VLOOKUP($A209,订货1!$A209:$F452,6,0)</f>
        <v>箱</v>
      </c>
      <c r="G209" s="203"/>
      <c r="H209" s="56">
        <f t="shared" si="47"/>
        <v>7</v>
      </c>
      <c r="I209" s="196"/>
      <c r="J209" s="113"/>
      <c r="K209" s="113"/>
      <c r="L209" s="196"/>
      <c r="M209" s="113"/>
      <c r="N209" s="113"/>
      <c r="O209" s="62">
        <f>订货1!AB209</f>
        <v>1</v>
      </c>
      <c r="P209" s="113"/>
      <c r="Q209" s="113"/>
      <c r="R209" s="62">
        <f>订货1!AC209</f>
        <v>0</v>
      </c>
      <c r="S209" s="113"/>
      <c r="T209" s="113"/>
      <c r="U209" s="62">
        <f>订货1!AD209</f>
        <v>0</v>
      </c>
      <c r="V209" s="113"/>
      <c r="W209" s="113"/>
      <c r="X209" s="62">
        <f>订货1!AE209</f>
        <v>0</v>
      </c>
      <c r="Y209" s="113"/>
      <c r="Z209" s="113"/>
      <c r="AA209" s="62">
        <f>订货1!AF209</f>
        <v>2</v>
      </c>
      <c r="AB209" s="113"/>
      <c r="AC209" s="113"/>
      <c r="AD209" s="62">
        <f>订货1!AG209</f>
        <v>0</v>
      </c>
      <c r="AE209" s="113"/>
      <c r="AF209" s="113"/>
      <c r="AG209" s="62">
        <f>订货1!AH209</f>
        <v>0</v>
      </c>
      <c r="AH209" s="113"/>
      <c r="AI209" s="113"/>
      <c r="AJ209" s="62">
        <f>订货1!AI209</f>
        <v>1</v>
      </c>
      <c r="AK209" s="113"/>
      <c r="AL209" s="113"/>
      <c r="AM209" s="62">
        <f>订货1!AJ209</f>
        <v>1</v>
      </c>
      <c r="AN209" s="113"/>
      <c r="AO209" s="113"/>
      <c r="AP209" s="62">
        <f>订货1!AK209</f>
        <v>0</v>
      </c>
      <c r="AQ209" s="113"/>
      <c r="AR209" s="113"/>
      <c r="AS209" s="62">
        <f>订货1!AL209</f>
        <v>0</v>
      </c>
      <c r="AT209" s="113"/>
      <c r="AU209" s="113"/>
      <c r="AV209" s="62">
        <f>订货1!AM209</f>
        <v>0</v>
      </c>
      <c r="AW209" s="113"/>
      <c r="AX209" s="113"/>
      <c r="AY209" s="62">
        <f>订货1!AN209</f>
        <v>1</v>
      </c>
      <c r="AZ209" s="113"/>
      <c r="BA209" s="113"/>
      <c r="BB209" s="62">
        <f>订货1!AO209</f>
        <v>1</v>
      </c>
      <c r="BC209" s="113"/>
      <c r="BD209" s="113"/>
      <c r="BE209" s="62">
        <f>订货1!AP209</f>
        <v>0</v>
      </c>
      <c r="BF209" s="113"/>
      <c r="BG209" s="113"/>
      <c r="BH209" s="62">
        <f>订货1!AQ209</f>
        <v>0</v>
      </c>
      <c r="BI209" s="113"/>
      <c r="BJ209" s="113"/>
      <c r="BK209" s="62">
        <f>订货1!AR209</f>
        <v>0</v>
      </c>
      <c r="BL209" s="113"/>
      <c r="BM209" s="113"/>
      <c r="BN209" s="62">
        <f>订货1!AS209</f>
        <v>0</v>
      </c>
      <c r="BO209" s="113"/>
      <c r="BP209" s="113"/>
      <c r="BQ209" s="62">
        <f>订货1!AT209</f>
        <v>0</v>
      </c>
      <c r="BR209" s="113"/>
      <c r="BS209" s="113"/>
      <c r="BT209" s="62">
        <f>订货1!AU209</f>
        <v>0</v>
      </c>
      <c r="BU209" s="113"/>
      <c r="BV209" s="113"/>
      <c r="BW209" s="62">
        <f>订货1!AV209</f>
        <v>0</v>
      </c>
      <c r="BX209" s="113"/>
      <c r="BY209" s="113"/>
      <c r="BZ209" s="62">
        <f>订货1!AW209</f>
        <v>0</v>
      </c>
      <c r="CA209" s="113"/>
      <c r="CB209" s="113"/>
      <c r="CC209" s="62">
        <f>订货1!AX209</f>
        <v>0</v>
      </c>
      <c r="CD209" s="113"/>
      <c r="CE209" s="113"/>
      <c r="CF209" s="62">
        <f>订货1!AY209</f>
        <v>0</v>
      </c>
      <c r="CG209" s="113"/>
      <c r="CH209" s="113"/>
      <c r="CI209" s="62">
        <f>订货1!AZ209</f>
        <v>0</v>
      </c>
      <c r="CJ209" s="113"/>
      <c r="CK209" s="113"/>
      <c r="CL209" s="62">
        <f>订货1!BA209</f>
        <v>0</v>
      </c>
      <c r="CM209" s="113"/>
      <c r="CN209" s="113"/>
      <c r="CO209" s="62">
        <f>订货1!BB209</f>
        <v>0</v>
      </c>
      <c r="CP209" s="113"/>
      <c r="CQ209" s="113"/>
      <c r="CR209" s="62">
        <f>订货1!BC209</f>
        <v>0</v>
      </c>
      <c r="CS209" s="113"/>
      <c r="CT209" s="113"/>
      <c r="CU209" s="62">
        <f>订货1!BD209</f>
        <v>0</v>
      </c>
      <c r="CV209" s="113"/>
      <c r="CW209" s="113"/>
      <c r="CX209" s="62">
        <f>订货1!BE209</f>
        <v>0</v>
      </c>
      <c r="CY209" s="113"/>
      <c r="CZ209" s="113"/>
      <c r="DA209" s="62">
        <f>订货1!BF209</f>
        <v>0</v>
      </c>
      <c r="DB209" s="113"/>
      <c r="DC209" s="113"/>
      <c r="DD209" s="208">
        <v>0</v>
      </c>
      <c r="DE209" s="110" t="e">
        <f t="shared" si="45"/>
        <v>#DIV/0!</v>
      </c>
      <c r="DF209" s="52">
        <f t="shared" si="44"/>
        <v>7</v>
      </c>
      <c r="DG209" s="32" t="str">
        <f>订货1!$Q209</f>
        <v>箱</v>
      </c>
      <c r="DH209" s="209" t="e">
        <f t="shared" si="46"/>
        <v>#DIV/0!</v>
      </c>
    </row>
    <row r="210" spans="1:112" ht="15" customHeight="1">
      <c r="A210" s="48">
        <f>订货1!A210</f>
        <v>101766</v>
      </c>
      <c r="B210" s="44" t="str">
        <f>VLOOKUP($A210,订货1!$A210:$G453,7,0)</f>
        <v>上海香尚香食品有限公司</v>
      </c>
      <c r="C210" s="44" t="str">
        <f>VLOOKUP($A210,订货1!$A210:$H453,8,0)</f>
        <v>上海香尚香食品有限公司</v>
      </c>
      <c r="D210" s="44" t="str">
        <f>VLOOKUP($A210,订货1!$A210:$B453,2,0)</f>
        <v>博洛尼亚风味白肉酱</v>
      </c>
      <c r="E210" s="44" t="str">
        <f>VLOOKUP($A210,订货1!$A210:$E453,5,0)</f>
        <v>500g*20pc</v>
      </c>
      <c r="F210" s="49" t="str">
        <f>VLOOKUP($A210,订货1!$A210:$F453,6,0)</f>
        <v>箱</v>
      </c>
      <c r="G210" s="203"/>
      <c r="H210" s="56">
        <f t="shared" si="47"/>
        <v>0</v>
      </c>
      <c r="I210" s="196"/>
      <c r="J210" s="113"/>
      <c r="K210" s="113"/>
      <c r="L210" s="196"/>
      <c r="M210" s="113"/>
      <c r="N210" s="113"/>
      <c r="O210" s="62">
        <f>订货1!AB210</f>
        <v>0</v>
      </c>
      <c r="P210" s="113"/>
      <c r="Q210" s="113"/>
      <c r="R210" s="62">
        <f>订货1!AC210</f>
        <v>0</v>
      </c>
      <c r="S210" s="113"/>
      <c r="T210" s="113"/>
      <c r="U210" s="62">
        <f>订货1!AD210</f>
        <v>0</v>
      </c>
      <c r="V210" s="113"/>
      <c r="W210" s="113"/>
      <c r="X210" s="62">
        <f>订货1!AE210</f>
        <v>0</v>
      </c>
      <c r="Y210" s="113"/>
      <c r="Z210" s="113"/>
      <c r="AA210" s="62">
        <f>订货1!AF210</f>
        <v>0</v>
      </c>
      <c r="AB210" s="113"/>
      <c r="AC210" s="113"/>
      <c r="AD210" s="62">
        <f>订货1!AG210</f>
        <v>0</v>
      </c>
      <c r="AE210" s="113"/>
      <c r="AF210" s="113"/>
      <c r="AG210" s="62">
        <f>订货1!AH210</f>
        <v>0</v>
      </c>
      <c r="AH210" s="113"/>
      <c r="AI210" s="113"/>
      <c r="AJ210" s="62">
        <f>订货1!AI210</f>
        <v>0</v>
      </c>
      <c r="AK210" s="113"/>
      <c r="AL210" s="113"/>
      <c r="AM210" s="62">
        <f>订货1!AJ210</f>
        <v>0</v>
      </c>
      <c r="AN210" s="113"/>
      <c r="AO210" s="113"/>
      <c r="AP210" s="62">
        <f>订货1!AK210</f>
        <v>0</v>
      </c>
      <c r="AQ210" s="113"/>
      <c r="AR210" s="113"/>
      <c r="AS210" s="62">
        <f>订货1!AL210</f>
        <v>0</v>
      </c>
      <c r="AT210" s="113"/>
      <c r="AU210" s="113"/>
      <c r="AV210" s="62">
        <f>订货1!AM210</f>
        <v>0</v>
      </c>
      <c r="AW210" s="113"/>
      <c r="AX210" s="113"/>
      <c r="AY210" s="62">
        <f>订货1!AN210</f>
        <v>0</v>
      </c>
      <c r="AZ210" s="113"/>
      <c r="BA210" s="113"/>
      <c r="BB210" s="62">
        <f>订货1!AO210</f>
        <v>0</v>
      </c>
      <c r="BC210" s="113"/>
      <c r="BD210" s="113"/>
      <c r="BE210" s="62">
        <f>订货1!AP210</f>
        <v>0</v>
      </c>
      <c r="BF210" s="113"/>
      <c r="BG210" s="113"/>
      <c r="BH210" s="62">
        <f>订货1!AQ210</f>
        <v>0</v>
      </c>
      <c r="BI210" s="113"/>
      <c r="BJ210" s="113"/>
      <c r="BK210" s="62">
        <f>订货1!AR210</f>
        <v>0</v>
      </c>
      <c r="BL210" s="113"/>
      <c r="BM210" s="113"/>
      <c r="BN210" s="62">
        <f>订货1!AS210</f>
        <v>0</v>
      </c>
      <c r="BO210" s="113"/>
      <c r="BP210" s="113"/>
      <c r="BQ210" s="62">
        <f>订货1!AT210</f>
        <v>0</v>
      </c>
      <c r="BR210" s="113"/>
      <c r="BS210" s="113"/>
      <c r="BT210" s="62">
        <f>订货1!AU210</f>
        <v>0</v>
      </c>
      <c r="BU210" s="113"/>
      <c r="BV210" s="113"/>
      <c r="BW210" s="62">
        <f>订货1!AV210</f>
        <v>0</v>
      </c>
      <c r="BX210" s="113"/>
      <c r="BY210" s="113"/>
      <c r="BZ210" s="62">
        <f>订货1!AW210</f>
        <v>0</v>
      </c>
      <c r="CA210" s="113"/>
      <c r="CB210" s="113"/>
      <c r="CC210" s="62">
        <f>订货1!AX210</f>
        <v>0</v>
      </c>
      <c r="CD210" s="113"/>
      <c r="CE210" s="113"/>
      <c r="CF210" s="62">
        <f>订货1!AY210</f>
        <v>0</v>
      </c>
      <c r="CG210" s="113"/>
      <c r="CH210" s="113"/>
      <c r="CI210" s="62">
        <f>订货1!AZ210</f>
        <v>0</v>
      </c>
      <c r="CJ210" s="113"/>
      <c r="CK210" s="113"/>
      <c r="CL210" s="62">
        <f>订货1!BA210</f>
        <v>0</v>
      </c>
      <c r="CM210" s="113"/>
      <c r="CN210" s="113"/>
      <c r="CO210" s="62">
        <f>订货1!BB210</f>
        <v>0</v>
      </c>
      <c r="CP210" s="113"/>
      <c r="CQ210" s="113"/>
      <c r="CR210" s="62">
        <f>订货1!BC210</f>
        <v>0</v>
      </c>
      <c r="CS210" s="113"/>
      <c r="CT210" s="113"/>
      <c r="CU210" s="62">
        <f>订货1!BD210</f>
        <v>0</v>
      </c>
      <c r="CV210" s="113"/>
      <c r="CW210" s="113"/>
      <c r="CX210" s="62">
        <f>订货1!BE210</f>
        <v>0</v>
      </c>
      <c r="CY210" s="113"/>
      <c r="CZ210" s="113"/>
      <c r="DA210" s="62">
        <f>订货1!BF210</f>
        <v>0</v>
      </c>
      <c r="DB210" s="113"/>
      <c r="DC210" s="113"/>
      <c r="DD210" s="208">
        <v>0</v>
      </c>
      <c r="DE210" s="110" t="e">
        <f t="shared" si="45"/>
        <v>#DIV/0!</v>
      </c>
      <c r="DF210" s="52">
        <f t="shared" si="44"/>
        <v>0</v>
      </c>
      <c r="DG210" s="32" t="str">
        <f>订货1!$Q210</f>
        <v>箱</v>
      </c>
      <c r="DH210" s="209" t="e">
        <f t="shared" si="46"/>
        <v>#DIV/0!</v>
      </c>
    </row>
    <row r="211" spans="1:112" ht="15" customHeight="1">
      <c r="A211" s="48">
        <f>订货1!A211</f>
        <v>991004</v>
      </c>
      <c r="B211" s="44" t="str">
        <f>VLOOKUP($A211,订货1!$A211:$G454,7,0)</f>
        <v>上海特硕包装制品有限公司</v>
      </c>
      <c r="C211" s="44" t="str">
        <f>VLOOKUP($A211,订货1!$A211:$H454,8,0)</f>
        <v>苏州康宝塑胶有限公司</v>
      </c>
      <c r="D211" s="44" t="str">
        <f>VLOOKUP($A211,订货1!$A211:$B454,2,0)</f>
        <v>环保打包盒（酱汁盒）1000套</v>
      </c>
      <c r="E211" s="44" t="str">
        <f>VLOOKUP($A211,订货1!$A211:$E454,5,0)</f>
        <v>1000个/箱</v>
      </c>
      <c r="F211" s="49" t="str">
        <f>VLOOKUP($A211,订货1!$A211:$F454,6,0)</f>
        <v>箱</v>
      </c>
      <c r="G211" s="203"/>
      <c r="H211" s="56">
        <f t="shared" si="47"/>
        <v>0</v>
      </c>
      <c r="I211" s="196"/>
      <c r="J211" s="113"/>
      <c r="K211" s="113"/>
      <c r="L211" s="196"/>
      <c r="M211" s="113"/>
      <c r="N211" s="113"/>
      <c r="O211" s="62">
        <f>订货1!AB211</f>
        <v>0</v>
      </c>
      <c r="P211" s="113"/>
      <c r="Q211" s="113"/>
      <c r="R211" s="62">
        <f>订货1!AC211</f>
        <v>0</v>
      </c>
      <c r="S211" s="113"/>
      <c r="T211" s="113"/>
      <c r="U211" s="62">
        <f>订货1!AD211</f>
        <v>0</v>
      </c>
      <c r="V211" s="113"/>
      <c r="W211" s="113"/>
      <c r="X211" s="62">
        <f>订货1!AE211</f>
        <v>0</v>
      </c>
      <c r="Y211" s="113"/>
      <c r="Z211" s="113"/>
      <c r="AA211" s="62">
        <f>订货1!AF211</f>
        <v>0</v>
      </c>
      <c r="AB211" s="113"/>
      <c r="AC211" s="113"/>
      <c r="AD211" s="62">
        <f>订货1!AG211</f>
        <v>0</v>
      </c>
      <c r="AE211" s="113"/>
      <c r="AF211" s="113"/>
      <c r="AG211" s="62">
        <f>订货1!AH211</f>
        <v>0</v>
      </c>
      <c r="AH211" s="113"/>
      <c r="AI211" s="113"/>
      <c r="AJ211" s="62">
        <f>订货1!AI211</f>
        <v>0</v>
      </c>
      <c r="AK211" s="113"/>
      <c r="AL211" s="113"/>
      <c r="AM211" s="62">
        <f>订货1!AJ211</f>
        <v>0</v>
      </c>
      <c r="AN211" s="113"/>
      <c r="AO211" s="113"/>
      <c r="AP211" s="62">
        <f>订货1!AK211</f>
        <v>0</v>
      </c>
      <c r="AQ211" s="113"/>
      <c r="AR211" s="113"/>
      <c r="AS211" s="62">
        <f>订货1!AL211</f>
        <v>0</v>
      </c>
      <c r="AT211" s="113"/>
      <c r="AU211" s="113"/>
      <c r="AV211" s="62">
        <f>订货1!AM211</f>
        <v>0</v>
      </c>
      <c r="AW211" s="113"/>
      <c r="AX211" s="113"/>
      <c r="AY211" s="62">
        <f>订货1!AN211</f>
        <v>0</v>
      </c>
      <c r="AZ211" s="113"/>
      <c r="BA211" s="113"/>
      <c r="BB211" s="62">
        <f>订货1!AO211</f>
        <v>0</v>
      </c>
      <c r="BC211" s="113"/>
      <c r="BD211" s="113"/>
      <c r="BE211" s="62">
        <f>订货1!AP211</f>
        <v>0</v>
      </c>
      <c r="BF211" s="113"/>
      <c r="BG211" s="113"/>
      <c r="BH211" s="62">
        <f>订货1!AQ211</f>
        <v>0</v>
      </c>
      <c r="BI211" s="113"/>
      <c r="BJ211" s="113"/>
      <c r="BK211" s="62">
        <f>订货1!AR211</f>
        <v>0</v>
      </c>
      <c r="BL211" s="113"/>
      <c r="BM211" s="113"/>
      <c r="BN211" s="62">
        <f>订货1!AS211</f>
        <v>0</v>
      </c>
      <c r="BO211" s="113"/>
      <c r="BP211" s="113"/>
      <c r="BQ211" s="62">
        <f>订货1!AT211</f>
        <v>0</v>
      </c>
      <c r="BR211" s="113"/>
      <c r="BS211" s="113"/>
      <c r="BT211" s="62">
        <f>订货1!AU211</f>
        <v>0</v>
      </c>
      <c r="BU211" s="113"/>
      <c r="BV211" s="113"/>
      <c r="BW211" s="62">
        <f>订货1!AV211</f>
        <v>0</v>
      </c>
      <c r="BX211" s="113"/>
      <c r="BY211" s="113"/>
      <c r="BZ211" s="62">
        <f>订货1!AW211</f>
        <v>0</v>
      </c>
      <c r="CA211" s="113"/>
      <c r="CB211" s="113"/>
      <c r="CC211" s="62">
        <f>订货1!AX211</f>
        <v>0</v>
      </c>
      <c r="CD211" s="113"/>
      <c r="CE211" s="113"/>
      <c r="CF211" s="62">
        <f>订货1!AY211</f>
        <v>0</v>
      </c>
      <c r="CG211" s="113"/>
      <c r="CH211" s="113"/>
      <c r="CI211" s="62">
        <f>订货1!AZ211</f>
        <v>0</v>
      </c>
      <c r="CJ211" s="113"/>
      <c r="CK211" s="113"/>
      <c r="CL211" s="62">
        <f>订货1!BA211</f>
        <v>0</v>
      </c>
      <c r="CM211" s="113"/>
      <c r="CN211" s="113"/>
      <c r="CO211" s="62">
        <f>订货1!BB211</f>
        <v>0</v>
      </c>
      <c r="CP211" s="113"/>
      <c r="CQ211" s="113"/>
      <c r="CR211" s="62">
        <f>订货1!BC211</f>
        <v>0</v>
      </c>
      <c r="CS211" s="113"/>
      <c r="CT211" s="113"/>
      <c r="CU211" s="62">
        <f>订货1!BD211</f>
        <v>0</v>
      </c>
      <c r="CV211" s="113"/>
      <c r="CW211" s="113"/>
      <c r="CX211" s="62">
        <f>订货1!BE211</f>
        <v>0</v>
      </c>
      <c r="CY211" s="113"/>
      <c r="CZ211" s="113"/>
      <c r="DA211" s="62">
        <f>订货1!BF211</f>
        <v>0</v>
      </c>
      <c r="DB211" s="113"/>
      <c r="DC211" s="113"/>
      <c r="DD211" s="208">
        <v>0</v>
      </c>
      <c r="DE211" s="110" t="e">
        <f t="shared" si="45"/>
        <v>#DIV/0!</v>
      </c>
      <c r="DF211" s="52">
        <f t="shared" si="44"/>
        <v>0</v>
      </c>
      <c r="DG211" s="32" t="str">
        <f>订货1!$Q211</f>
        <v>箱</v>
      </c>
      <c r="DH211" s="209" t="e">
        <f t="shared" si="46"/>
        <v>#DIV/0!</v>
      </c>
    </row>
    <row r="212" spans="1:112" ht="15" customHeight="1">
      <c r="A212" s="48">
        <f>订货1!A212</f>
        <v>101677</v>
      </c>
      <c r="B212" s="44" t="str">
        <f>VLOOKUP($A212,订货1!$A212:$G455,7,0)</f>
        <v>上海迎田食品有限公司</v>
      </c>
      <c r="C212" s="44" t="str">
        <f>VLOOKUP($A212,订货1!$A212:$H455,8,0)</f>
        <v>上海迎田食品有限公司</v>
      </c>
      <c r="D212" s="44" t="str">
        <f>VLOOKUP($A212,订货1!$A212:$B455,2,0)</f>
        <v>焦糖布丁</v>
      </c>
      <c r="E212" s="44" t="str">
        <f>VLOOKUP($A212,订货1!$A212:$E455,5,0)</f>
        <v>0.1kg*6pc</v>
      </c>
      <c r="F212" s="49" t="str">
        <f>VLOOKUP($A212,订货1!$A212:$F455,6,0)</f>
        <v>盒</v>
      </c>
      <c r="G212" s="203"/>
      <c r="H212" s="56">
        <f t="shared" si="47"/>
        <v>0</v>
      </c>
      <c r="I212" s="196"/>
      <c r="J212" s="113"/>
      <c r="K212" s="113"/>
      <c r="L212" s="196"/>
      <c r="M212" s="113"/>
      <c r="N212" s="113"/>
      <c r="O212" s="62">
        <f>订货1!AB212</f>
        <v>0</v>
      </c>
      <c r="P212" s="113"/>
      <c r="Q212" s="113"/>
      <c r="R212" s="62">
        <f>订货1!AC212</f>
        <v>0</v>
      </c>
      <c r="S212" s="113"/>
      <c r="T212" s="113"/>
      <c r="U212" s="62">
        <f>订货1!AD212</f>
        <v>0</v>
      </c>
      <c r="V212" s="113"/>
      <c r="W212" s="113"/>
      <c r="X212" s="62">
        <f>订货1!AE212</f>
        <v>0</v>
      </c>
      <c r="Y212" s="113"/>
      <c r="Z212" s="113"/>
      <c r="AA212" s="62">
        <f>订货1!AF212</f>
        <v>0</v>
      </c>
      <c r="AB212" s="113"/>
      <c r="AC212" s="113"/>
      <c r="AD212" s="62">
        <f>订货1!AG212</f>
        <v>0</v>
      </c>
      <c r="AE212" s="113"/>
      <c r="AF212" s="113"/>
      <c r="AG212" s="62">
        <f>订货1!AH212</f>
        <v>0</v>
      </c>
      <c r="AH212" s="113"/>
      <c r="AI212" s="113"/>
      <c r="AJ212" s="62">
        <f>订货1!AI212</f>
        <v>0</v>
      </c>
      <c r="AK212" s="113"/>
      <c r="AL212" s="113"/>
      <c r="AM212" s="62">
        <f>订货1!AJ212</f>
        <v>0</v>
      </c>
      <c r="AN212" s="113"/>
      <c r="AO212" s="113"/>
      <c r="AP212" s="62">
        <f>订货1!AK212</f>
        <v>0</v>
      </c>
      <c r="AQ212" s="113"/>
      <c r="AR212" s="113"/>
      <c r="AS212" s="62">
        <f>订货1!AL212</f>
        <v>0</v>
      </c>
      <c r="AT212" s="113"/>
      <c r="AU212" s="113"/>
      <c r="AV212" s="62">
        <f>订货1!AM212</f>
        <v>0</v>
      </c>
      <c r="AW212" s="113"/>
      <c r="AX212" s="113"/>
      <c r="AY212" s="62">
        <f>订货1!AN212</f>
        <v>0</v>
      </c>
      <c r="AZ212" s="113"/>
      <c r="BA212" s="113"/>
      <c r="BB212" s="62">
        <f>订货1!AO212</f>
        <v>0</v>
      </c>
      <c r="BC212" s="113"/>
      <c r="BD212" s="113"/>
      <c r="BE212" s="62">
        <f>订货1!AP212</f>
        <v>0</v>
      </c>
      <c r="BF212" s="113"/>
      <c r="BG212" s="113"/>
      <c r="BH212" s="62">
        <f>订货1!AQ212</f>
        <v>0</v>
      </c>
      <c r="BI212" s="113"/>
      <c r="BJ212" s="113"/>
      <c r="BK212" s="62">
        <f>订货1!AR212</f>
        <v>0</v>
      </c>
      <c r="BL212" s="113"/>
      <c r="BM212" s="113"/>
      <c r="BN212" s="62">
        <f>订货1!AS212</f>
        <v>0</v>
      </c>
      <c r="BO212" s="113"/>
      <c r="BP212" s="113"/>
      <c r="BQ212" s="62">
        <f>订货1!AT212</f>
        <v>0</v>
      </c>
      <c r="BR212" s="113"/>
      <c r="BS212" s="113"/>
      <c r="BT212" s="62">
        <f>订货1!AU212</f>
        <v>0</v>
      </c>
      <c r="BU212" s="113"/>
      <c r="BV212" s="113"/>
      <c r="BW212" s="62">
        <f>订货1!AV212</f>
        <v>0</v>
      </c>
      <c r="BX212" s="113"/>
      <c r="BY212" s="113"/>
      <c r="BZ212" s="62">
        <f>订货1!AW212</f>
        <v>0</v>
      </c>
      <c r="CA212" s="113"/>
      <c r="CB212" s="113"/>
      <c r="CC212" s="62">
        <f>订货1!AX212</f>
        <v>0</v>
      </c>
      <c r="CD212" s="113"/>
      <c r="CE212" s="113"/>
      <c r="CF212" s="62">
        <f>订货1!AY212</f>
        <v>0</v>
      </c>
      <c r="CG212" s="113"/>
      <c r="CH212" s="113"/>
      <c r="CI212" s="62">
        <f>订货1!AZ212</f>
        <v>0</v>
      </c>
      <c r="CJ212" s="113"/>
      <c r="CK212" s="113"/>
      <c r="CL212" s="62">
        <f>订货1!BA212</f>
        <v>0</v>
      </c>
      <c r="CM212" s="113"/>
      <c r="CN212" s="113"/>
      <c r="CO212" s="62">
        <f>订货1!BB212</f>
        <v>0</v>
      </c>
      <c r="CP212" s="113"/>
      <c r="CQ212" s="113"/>
      <c r="CR212" s="62">
        <f>订货1!BC212</f>
        <v>0</v>
      </c>
      <c r="CS212" s="113"/>
      <c r="CT212" s="113"/>
      <c r="CU212" s="62">
        <f>订货1!BD212</f>
        <v>0</v>
      </c>
      <c r="CV212" s="113"/>
      <c r="CW212" s="113"/>
      <c r="CX212" s="62">
        <f>订货1!BE212</f>
        <v>0</v>
      </c>
      <c r="CY212" s="113"/>
      <c r="CZ212" s="113"/>
      <c r="DA212" s="62">
        <f>订货1!BF212</f>
        <v>0</v>
      </c>
      <c r="DB212" s="113"/>
      <c r="DC212" s="113"/>
      <c r="DD212" s="208">
        <v>0</v>
      </c>
      <c r="DE212" s="110" t="e">
        <f t="shared" si="45"/>
        <v>#DIV/0!</v>
      </c>
      <c r="DF212" s="52">
        <f t="shared" si="44"/>
        <v>0</v>
      </c>
      <c r="DG212" s="32" t="str">
        <f>订货1!$Q212</f>
        <v>盒</v>
      </c>
      <c r="DH212" s="209" t="e">
        <f t="shared" si="46"/>
        <v>#DIV/0!</v>
      </c>
    </row>
    <row r="213" spans="1:112" ht="15" customHeight="1">
      <c r="A213" s="48">
        <f>订货1!A213</f>
        <v>101678</v>
      </c>
      <c r="B213" s="44" t="str">
        <f>VLOOKUP($A213,订货1!$A213:$G456,7,0)</f>
        <v>上海香尚香食品有限公司</v>
      </c>
      <c r="C213" s="44" t="str">
        <f>VLOOKUP($A213,订货1!$A213:$H456,8,0)</f>
        <v>上海香尚香食品有限公司</v>
      </c>
      <c r="D213" s="44" t="str">
        <f>VLOOKUP($A213,订货1!$A213:$B456,2,0)</f>
        <v>菌菇调理包</v>
      </c>
      <c r="E213" s="44" t="str">
        <f>VLOOKUP($A213,订货1!$A213:$E456,5,0)</f>
        <v>1kg*10pc</v>
      </c>
      <c r="F213" s="49" t="str">
        <f>VLOOKUP($A213,订货1!$A213:$F456,6,0)</f>
        <v>箱</v>
      </c>
      <c r="G213" s="203"/>
      <c r="H213" s="56">
        <f t="shared" si="47"/>
        <v>0</v>
      </c>
      <c r="I213" s="196"/>
      <c r="J213" s="113"/>
      <c r="K213" s="113"/>
      <c r="L213" s="196"/>
      <c r="M213" s="113"/>
      <c r="N213" s="113"/>
      <c r="O213" s="62">
        <f>订货1!AB213</f>
        <v>0</v>
      </c>
      <c r="P213" s="113"/>
      <c r="Q213" s="113"/>
      <c r="R213" s="62">
        <f>订货1!AC213</f>
        <v>0</v>
      </c>
      <c r="S213" s="113"/>
      <c r="T213" s="113"/>
      <c r="U213" s="62">
        <f>订货1!AD213</f>
        <v>0</v>
      </c>
      <c r="V213" s="113"/>
      <c r="W213" s="113"/>
      <c r="X213" s="62">
        <f>订货1!AE213</f>
        <v>0</v>
      </c>
      <c r="Y213" s="113"/>
      <c r="Z213" s="113"/>
      <c r="AA213" s="62">
        <f>订货1!AF213</f>
        <v>0</v>
      </c>
      <c r="AB213" s="113"/>
      <c r="AC213" s="113"/>
      <c r="AD213" s="62">
        <f>订货1!AG213</f>
        <v>0</v>
      </c>
      <c r="AE213" s="113"/>
      <c r="AF213" s="113"/>
      <c r="AG213" s="62">
        <f>订货1!AH213</f>
        <v>0</v>
      </c>
      <c r="AH213" s="113"/>
      <c r="AI213" s="113"/>
      <c r="AJ213" s="62">
        <f>订货1!AI213</f>
        <v>0</v>
      </c>
      <c r="AK213" s="113"/>
      <c r="AL213" s="113"/>
      <c r="AM213" s="62">
        <f>订货1!AJ213</f>
        <v>0</v>
      </c>
      <c r="AN213" s="113"/>
      <c r="AO213" s="113"/>
      <c r="AP213" s="62">
        <f>订货1!AK213</f>
        <v>0</v>
      </c>
      <c r="AQ213" s="113"/>
      <c r="AR213" s="113"/>
      <c r="AS213" s="62">
        <f>订货1!AL213</f>
        <v>0</v>
      </c>
      <c r="AT213" s="113"/>
      <c r="AU213" s="113"/>
      <c r="AV213" s="62">
        <f>订货1!AM213</f>
        <v>0</v>
      </c>
      <c r="AW213" s="113"/>
      <c r="AX213" s="113"/>
      <c r="AY213" s="62">
        <f>订货1!AN213</f>
        <v>0</v>
      </c>
      <c r="AZ213" s="113"/>
      <c r="BA213" s="113"/>
      <c r="BB213" s="62">
        <f>订货1!AO213</f>
        <v>0</v>
      </c>
      <c r="BC213" s="113"/>
      <c r="BD213" s="113"/>
      <c r="BE213" s="62">
        <f>订货1!AP213</f>
        <v>0</v>
      </c>
      <c r="BF213" s="113"/>
      <c r="BG213" s="113"/>
      <c r="BH213" s="62">
        <f>订货1!AQ213</f>
        <v>0</v>
      </c>
      <c r="BI213" s="113"/>
      <c r="BJ213" s="113"/>
      <c r="BK213" s="62">
        <f>订货1!AR213</f>
        <v>0</v>
      </c>
      <c r="BL213" s="113"/>
      <c r="BM213" s="113"/>
      <c r="BN213" s="62">
        <f>订货1!AS213</f>
        <v>0</v>
      </c>
      <c r="BO213" s="113"/>
      <c r="BP213" s="113"/>
      <c r="BQ213" s="62">
        <f>订货1!AT213</f>
        <v>0</v>
      </c>
      <c r="BR213" s="113"/>
      <c r="BS213" s="113"/>
      <c r="BT213" s="62">
        <f>订货1!AU213</f>
        <v>0</v>
      </c>
      <c r="BU213" s="113"/>
      <c r="BV213" s="113"/>
      <c r="BW213" s="62">
        <f>订货1!AV213</f>
        <v>0</v>
      </c>
      <c r="BX213" s="113"/>
      <c r="BY213" s="113"/>
      <c r="BZ213" s="62">
        <f>订货1!AW213</f>
        <v>0</v>
      </c>
      <c r="CA213" s="113"/>
      <c r="CB213" s="113"/>
      <c r="CC213" s="62">
        <f>订货1!AX213</f>
        <v>0</v>
      </c>
      <c r="CD213" s="113"/>
      <c r="CE213" s="113"/>
      <c r="CF213" s="62">
        <f>订货1!AY213</f>
        <v>0</v>
      </c>
      <c r="CG213" s="113"/>
      <c r="CH213" s="113"/>
      <c r="CI213" s="62">
        <f>订货1!AZ213</f>
        <v>0</v>
      </c>
      <c r="CJ213" s="113"/>
      <c r="CK213" s="113"/>
      <c r="CL213" s="62">
        <f>订货1!BA213</f>
        <v>0</v>
      </c>
      <c r="CM213" s="113"/>
      <c r="CN213" s="113"/>
      <c r="CO213" s="62">
        <f>订货1!BB213</f>
        <v>0</v>
      </c>
      <c r="CP213" s="113"/>
      <c r="CQ213" s="113"/>
      <c r="CR213" s="62">
        <f>订货1!BC213</f>
        <v>0</v>
      </c>
      <c r="CS213" s="113"/>
      <c r="CT213" s="113"/>
      <c r="CU213" s="62">
        <f>订货1!BD213</f>
        <v>0</v>
      </c>
      <c r="CV213" s="113"/>
      <c r="CW213" s="113"/>
      <c r="CX213" s="62">
        <f>订货1!BE213</f>
        <v>0</v>
      </c>
      <c r="CY213" s="113"/>
      <c r="CZ213" s="113"/>
      <c r="DA213" s="62">
        <f>订货1!BF213</f>
        <v>0</v>
      </c>
      <c r="DB213" s="113"/>
      <c r="DC213" s="113"/>
      <c r="DD213" s="208">
        <v>0</v>
      </c>
      <c r="DE213" s="110" t="e">
        <f t="shared" si="45"/>
        <v>#DIV/0!</v>
      </c>
      <c r="DF213" s="52">
        <f t="shared" si="44"/>
        <v>0</v>
      </c>
      <c r="DG213" s="32" t="str">
        <f>订货1!$Q213</f>
        <v>箱</v>
      </c>
      <c r="DH213" s="209" t="e">
        <f t="shared" si="46"/>
        <v>#DIV/0!</v>
      </c>
    </row>
    <row r="214" spans="1:112" ht="15" customHeight="1">
      <c r="A214" s="48">
        <f>订货1!A214</f>
        <v>101701</v>
      </c>
      <c r="B214" s="44" t="str">
        <f>VLOOKUP($A214,订货1!$A214:$G457,7,0)</f>
        <v>上海铭欣咖啡有限公司</v>
      </c>
      <c r="C214" s="44" t="str">
        <f>VLOOKUP($A214,订货1!$A214:$H457,8,0)</f>
        <v>承德倍斯特乳品有限公司</v>
      </c>
      <c r="D214" s="44" t="str">
        <f>VLOOKUP($A214,订货1!$A214:$B457,2,0)</f>
        <v>露恬纯牛奶</v>
      </c>
      <c r="E214" s="44" t="str">
        <f>VLOOKUP($A214,订货1!$A214:$E457,5,0)</f>
        <v>1L*12pc</v>
      </c>
      <c r="F214" s="49" t="str">
        <f>VLOOKUP($A214,订货1!$A214:$F457,6,0)</f>
        <v>箱</v>
      </c>
      <c r="G214" s="203"/>
      <c r="H214" s="56">
        <f t="shared" si="47"/>
        <v>4</v>
      </c>
      <c r="I214" s="196"/>
      <c r="J214" s="113"/>
      <c r="K214" s="113"/>
      <c r="L214" s="196"/>
      <c r="M214" s="113"/>
      <c r="N214" s="113"/>
      <c r="O214" s="62">
        <f>订货1!AB214</f>
        <v>0</v>
      </c>
      <c r="P214" s="113"/>
      <c r="Q214" s="113"/>
      <c r="R214" s="62">
        <f>订货1!AC214</f>
        <v>0</v>
      </c>
      <c r="S214" s="113"/>
      <c r="T214" s="113"/>
      <c r="U214" s="62">
        <f>订货1!AD214</f>
        <v>0</v>
      </c>
      <c r="V214" s="113"/>
      <c r="W214" s="113"/>
      <c r="X214" s="62">
        <f>订货1!AE214</f>
        <v>1</v>
      </c>
      <c r="Y214" s="113"/>
      <c r="Z214" s="113"/>
      <c r="AA214" s="62">
        <f>订货1!AF214</f>
        <v>0</v>
      </c>
      <c r="AB214" s="113"/>
      <c r="AC214" s="113"/>
      <c r="AD214" s="62">
        <f>订货1!AG214</f>
        <v>1</v>
      </c>
      <c r="AE214" s="113"/>
      <c r="AF214" s="113"/>
      <c r="AG214" s="62">
        <f>订货1!AH214</f>
        <v>0</v>
      </c>
      <c r="AH214" s="113"/>
      <c r="AI214" s="113"/>
      <c r="AJ214" s="62">
        <f>订货1!AI214</f>
        <v>0</v>
      </c>
      <c r="AK214" s="113"/>
      <c r="AL214" s="113"/>
      <c r="AM214" s="62">
        <f>订货1!AJ214</f>
        <v>0</v>
      </c>
      <c r="AN214" s="113"/>
      <c r="AO214" s="113"/>
      <c r="AP214" s="62">
        <f>订货1!AK214</f>
        <v>0</v>
      </c>
      <c r="AQ214" s="113"/>
      <c r="AR214" s="113"/>
      <c r="AS214" s="62">
        <f>订货1!AL214</f>
        <v>0</v>
      </c>
      <c r="AT214" s="113"/>
      <c r="AU214" s="113"/>
      <c r="AV214" s="62">
        <f>订货1!AM214</f>
        <v>1</v>
      </c>
      <c r="AW214" s="113"/>
      <c r="AX214" s="113"/>
      <c r="AY214" s="62">
        <f>订货1!AN214</f>
        <v>0</v>
      </c>
      <c r="AZ214" s="113"/>
      <c r="BA214" s="113"/>
      <c r="BB214" s="62">
        <f>订货1!AO214</f>
        <v>1</v>
      </c>
      <c r="BC214" s="113"/>
      <c r="BD214" s="113"/>
      <c r="BE214" s="62">
        <f>订货1!AP214</f>
        <v>0</v>
      </c>
      <c r="BF214" s="113"/>
      <c r="BG214" s="113"/>
      <c r="BH214" s="62">
        <f>订货1!AQ214</f>
        <v>0</v>
      </c>
      <c r="BI214" s="113"/>
      <c r="BJ214" s="113"/>
      <c r="BK214" s="62">
        <f>订货1!AR214</f>
        <v>0</v>
      </c>
      <c r="BL214" s="113"/>
      <c r="BM214" s="113"/>
      <c r="BN214" s="62">
        <f>订货1!AS214</f>
        <v>0</v>
      </c>
      <c r="BO214" s="113"/>
      <c r="BP214" s="113"/>
      <c r="BQ214" s="62">
        <f>订货1!AT214</f>
        <v>0</v>
      </c>
      <c r="BR214" s="113"/>
      <c r="BS214" s="113"/>
      <c r="BT214" s="62">
        <f>订货1!AU214</f>
        <v>0</v>
      </c>
      <c r="BU214" s="113"/>
      <c r="BV214" s="113"/>
      <c r="BW214" s="62">
        <f>订货1!AV214</f>
        <v>0</v>
      </c>
      <c r="BX214" s="113"/>
      <c r="BY214" s="113"/>
      <c r="BZ214" s="62">
        <f>订货1!AW214</f>
        <v>0</v>
      </c>
      <c r="CA214" s="113"/>
      <c r="CB214" s="113"/>
      <c r="CC214" s="62">
        <f>订货1!AX214</f>
        <v>0</v>
      </c>
      <c r="CD214" s="113"/>
      <c r="CE214" s="113"/>
      <c r="CF214" s="62">
        <f>订货1!AY214</f>
        <v>0</v>
      </c>
      <c r="CG214" s="113"/>
      <c r="CH214" s="113"/>
      <c r="CI214" s="62">
        <f>订货1!AZ214</f>
        <v>0</v>
      </c>
      <c r="CJ214" s="113"/>
      <c r="CK214" s="113"/>
      <c r="CL214" s="62">
        <f>订货1!BA214</f>
        <v>0</v>
      </c>
      <c r="CM214" s="113"/>
      <c r="CN214" s="113"/>
      <c r="CO214" s="62">
        <f>订货1!BB214</f>
        <v>0</v>
      </c>
      <c r="CP214" s="113"/>
      <c r="CQ214" s="113"/>
      <c r="CR214" s="62">
        <f>订货1!BC214</f>
        <v>0</v>
      </c>
      <c r="CS214" s="113"/>
      <c r="CT214" s="113"/>
      <c r="CU214" s="62">
        <f>订货1!BD214</f>
        <v>0</v>
      </c>
      <c r="CV214" s="113"/>
      <c r="CW214" s="113"/>
      <c r="CX214" s="62">
        <f>订货1!BE214</f>
        <v>0</v>
      </c>
      <c r="CY214" s="113"/>
      <c r="CZ214" s="113"/>
      <c r="DA214" s="62">
        <f>订货1!BF214</f>
        <v>0</v>
      </c>
      <c r="DB214" s="113"/>
      <c r="DC214" s="113"/>
      <c r="DD214" s="208">
        <v>0</v>
      </c>
      <c r="DE214" s="110" t="e">
        <f t="shared" si="45"/>
        <v>#DIV/0!</v>
      </c>
      <c r="DF214" s="52">
        <f t="shared" si="44"/>
        <v>4</v>
      </c>
      <c r="DG214" s="32" t="str">
        <f>订货1!$Q214</f>
        <v>箱</v>
      </c>
      <c r="DH214" s="209" t="e">
        <f t="shared" si="46"/>
        <v>#DIV/0!</v>
      </c>
    </row>
    <row r="215" spans="1:112" ht="15" customHeight="1">
      <c r="A215" s="48">
        <f>订货1!A215</f>
        <v>101663</v>
      </c>
      <c r="B215" s="44" t="str">
        <f>VLOOKUP($A215,订货1!$A215:$G458,7,0)</f>
        <v>安丘福华食品有限公司</v>
      </c>
      <c r="C215" s="44" t="str">
        <f>VLOOKUP($A215,订货1!$A215:$H458,8,0)</f>
        <v>安丘福华食品有限公司</v>
      </c>
      <c r="D215" s="44" t="str">
        <f>VLOOKUP($A215,订货1!$A215:$B458,2,0)</f>
        <v>肉桂风味调味粉</v>
      </c>
      <c r="E215" s="44" t="str">
        <f>VLOOKUP($A215,订货1!$A215:$E458,5,0)</f>
        <v>0.25kg</v>
      </c>
      <c r="F215" s="49" t="str">
        <f>VLOOKUP($A215,订货1!$A215:$F458,6,0)</f>
        <v>包</v>
      </c>
      <c r="G215" s="203"/>
      <c r="H215" s="56">
        <f t="shared" si="47"/>
        <v>0</v>
      </c>
      <c r="I215" s="196"/>
      <c r="J215" s="113"/>
      <c r="K215" s="113"/>
      <c r="L215" s="196"/>
      <c r="M215" s="113"/>
      <c r="N215" s="113"/>
      <c r="O215" s="62">
        <f>订货1!AB215</f>
        <v>0</v>
      </c>
      <c r="P215" s="113"/>
      <c r="Q215" s="113"/>
      <c r="R215" s="62">
        <f>订货1!AC215</f>
        <v>0</v>
      </c>
      <c r="S215" s="113"/>
      <c r="T215" s="113"/>
      <c r="U215" s="62">
        <f>订货1!AD215</f>
        <v>0</v>
      </c>
      <c r="V215" s="113"/>
      <c r="W215" s="113"/>
      <c r="X215" s="62">
        <f>订货1!AE215</f>
        <v>0</v>
      </c>
      <c r="Y215" s="113"/>
      <c r="Z215" s="113"/>
      <c r="AA215" s="62">
        <f>订货1!AF215</f>
        <v>0</v>
      </c>
      <c r="AB215" s="113"/>
      <c r="AC215" s="113"/>
      <c r="AD215" s="62">
        <f>订货1!AG215</f>
        <v>0</v>
      </c>
      <c r="AE215" s="113"/>
      <c r="AF215" s="113"/>
      <c r="AG215" s="62">
        <f>订货1!AH215</f>
        <v>0</v>
      </c>
      <c r="AH215" s="113"/>
      <c r="AI215" s="113"/>
      <c r="AJ215" s="62">
        <f>订货1!AI215</f>
        <v>0</v>
      </c>
      <c r="AK215" s="113"/>
      <c r="AL215" s="113"/>
      <c r="AM215" s="62">
        <f>订货1!AJ215</f>
        <v>0</v>
      </c>
      <c r="AN215" s="113"/>
      <c r="AO215" s="113"/>
      <c r="AP215" s="62">
        <f>订货1!AK215</f>
        <v>0</v>
      </c>
      <c r="AQ215" s="113"/>
      <c r="AR215" s="113"/>
      <c r="AS215" s="62">
        <f>订货1!AL215</f>
        <v>0</v>
      </c>
      <c r="AT215" s="113"/>
      <c r="AU215" s="113"/>
      <c r="AV215" s="62">
        <f>订货1!AM215</f>
        <v>0</v>
      </c>
      <c r="AW215" s="113"/>
      <c r="AX215" s="113"/>
      <c r="AY215" s="62">
        <f>订货1!AN215</f>
        <v>0</v>
      </c>
      <c r="AZ215" s="113"/>
      <c r="BA215" s="113"/>
      <c r="BB215" s="62">
        <f>订货1!AO215</f>
        <v>0</v>
      </c>
      <c r="BC215" s="113"/>
      <c r="BD215" s="113"/>
      <c r="BE215" s="62">
        <f>订货1!AP215</f>
        <v>0</v>
      </c>
      <c r="BF215" s="113"/>
      <c r="BG215" s="113"/>
      <c r="BH215" s="62">
        <f>订货1!AQ215</f>
        <v>0</v>
      </c>
      <c r="BI215" s="113"/>
      <c r="BJ215" s="113"/>
      <c r="BK215" s="62">
        <f>订货1!AR215</f>
        <v>0</v>
      </c>
      <c r="BL215" s="113"/>
      <c r="BM215" s="113"/>
      <c r="BN215" s="62">
        <f>订货1!AS215</f>
        <v>0</v>
      </c>
      <c r="BO215" s="113"/>
      <c r="BP215" s="113"/>
      <c r="BQ215" s="62">
        <f>订货1!AT215</f>
        <v>0</v>
      </c>
      <c r="BR215" s="113"/>
      <c r="BS215" s="113"/>
      <c r="BT215" s="62">
        <f>订货1!AU215</f>
        <v>0</v>
      </c>
      <c r="BU215" s="113"/>
      <c r="BV215" s="113"/>
      <c r="BW215" s="62">
        <f>订货1!AV215</f>
        <v>0</v>
      </c>
      <c r="BX215" s="113"/>
      <c r="BY215" s="113"/>
      <c r="BZ215" s="62">
        <f>订货1!AW215</f>
        <v>0</v>
      </c>
      <c r="CA215" s="113"/>
      <c r="CB215" s="113"/>
      <c r="CC215" s="62">
        <f>订货1!AX215</f>
        <v>0</v>
      </c>
      <c r="CD215" s="113"/>
      <c r="CE215" s="113"/>
      <c r="CF215" s="62">
        <f>订货1!AY215</f>
        <v>0</v>
      </c>
      <c r="CG215" s="113"/>
      <c r="CH215" s="113"/>
      <c r="CI215" s="62">
        <f>订货1!AZ215</f>
        <v>0</v>
      </c>
      <c r="CJ215" s="113"/>
      <c r="CK215" s="113"/>
      <c r="CL215" s="62">
        <f>订货1!BA215</f>
        <v>0</v>
      </c>
      <c r="CM215" s="113"/>
      <c r="CN215" s="113"/>
      <c r="CO215" s="62">
        <f>订货1!BB215</f>
        <v>0</v>
      </c>
      <c r="CP215" s="113"/>
      <c r="CQ215" s="113"/>
      <c r="CR215" s="62">
        <f>订货1!BC215</f>
        <v>0</v>
      </c>
      <c r="CS215" s="113"/>
      <c r="CT215" s="113"/>
      <c r="CU215" s="62">
        <f>订货1!BD215</f>
        <v>0</v>
      </c>
      <c r="CV215" s="113"/>
      <c r="CW215" s="113"/>
      <c r="CX215" s="62">
        <f>订货1!BE215</f>
        <v>0</v>
      </c>
      <c r="CY215" s="113"/>
      <c r="CZ215" s="113"/>
      <c r="DA215" s="62">
        <f>订货1!BF215</f>
        <v>0</v>
      </c>
      <c r="DB215" s="113"/>
      <c r="DC215" s="113"/>
      <c r="DD215" s="208">
        <v>0</v>
      </c>
      <c r="DE215" s="110" t="e">
        <f t="shared" si="45"/>
        <v>#DIV/0!</v>
      </c>
      <c r="DF215" s="52">
        <f t="shared" si="44"/>
        <v>0</v>
      </c>
      <c r="DG215" s="32" t="str">
        <f>订货1!$Q215</f>
        <v>包</v>
      </c>
      <c r="DH215" s="209" t="e">
        <f t="shared" si="46"/>
        <v>#DIV/0!</v>
      </c>
    </row>
    <row r="216" spans="1:112" ht="15" customHeight="1">
      <c r="A216" s="48">
        <f>订货1!A216</f>
        <v>101664</v>
      </c>
      <c r="B216" s="44" t="str">
        <f>VLOOKUP($A216,订货1!$A216:$G459,7,0)</f>
        <v>上海长濑贸易有限公司</v>
      </c>
      <c r="C216" s="44" t="str">
        <f>VLOOKUP($A216,订货1!$A216:$H459,8,0)</f>
        <v>内蒙古鑫蒙腾肉业有限公司</v>
      </c>
      <c r="D216" s="44" t="str">
        <f>VLOOKUP($A216,订货1!$A216:$B459,2,0)</f>
        <v>法式羊排</v>
      </c>
      <c r="E216" s="44" t="str">
        <f>VLOOKUP($A216,订货1!$A216:$E459,5,0)</f>
        <v>1.08kg*12pkt</v>
      </c>
      <c r="F216" s="49" t="str">
        <f>VLOOKUP($A216,订货1!$A216:$F459,6,0)</f>
        <v>箱</v>
      </c>
      <c r="G216" s="203"/>
      <c r="H216" s="56">
        <f>O216+R216+X216+AA216+AD216+AG216+AJ216+AM216+AP216+AS216+AV216+AY216+BB216+BE216+BH216+BK216+BN216+BQ216+BT216+BW216+BZ216+CC216+CF216+CI216+CL216+CO216+CR216+U216+I216+L216</f>
        <v>0</v>
      </c>
      <c r="I216" s="196"/>
      <c r="J216" s="113"/>
      <c r="K216" s="113"/>
      <c r="L216" s="196"/>
      <c r="M216" s="113"/>
      <c r="N216" s="113"/>
      <c r="O216" s="62">
        <f>订货1!AB216</f>
        <v>0</v>
      </c>
      <c r="P216" s="113"/>
      <c r="Q216" s="113"/>
      <c r="R216" s="62">
        <f>订货1!AC216</f>
        <v>0</v>
      </c>
      <c r="S216" s="113"/>
      <c r="T216" s="113"/>
      <c r="U216" s="62">
        <f>订货1!AD216</f>
        <v>0</v>
      </c>
      <c r="V216" s="113"/>
      <c r="W216" s="113"/>
      <c r="X216" s="62">
        <f>订货1!AE216</f>
        <v>0</v>
      </c>
      <c r="Y216" s="113"/>
      <c r="Z216" s="113"/>
      <c r="AA216" s="62">
        <f>订货1!AF216</f>
        <v>0</v>
      </c>
      <c r="AB216" s="113"/>
      <c r="AC216" s="113"/>
      <c r="AD216" s="62">
        <f>订货1!AG216</f>
        <v>0</v>
      </c>
      <c r="AE216" s="113"/>
      <c r="AF216" s="113"/>
      <c r="AG216" s="62">
        <f>订货1!AH216</f>
        <v>0</v>
      </c>
      <c r="AH216" s="113"/>
      <c r="AI216" s="113"/>
      <c r="AJ216" s="62">
        <f>订货1!AI216</f>
        <v>0</v>
      </c>
      <c r="AK216" s="113"/>
      <c r="AL216" s="113"/>
      <c r="AM216" s="62">
        <f>订货1!AJ216</f>
        <v>0</v>
      </c>
      <c r="AN216" s="113"/>
      <c r="AO216" s="113"/>
      <c r="AP216" s="62">
        <f>订货1!AK216</f>
        <v>0</v>
      </c>
      <c r="AQ216" s="113"/>
      <c r="AR216" s="113"/>
      <c r="AS216" s="62">
        <f>订货1!AL216</f>
        <v>0</v>
      </c>
      <c r="AT216" s="113"/>
      <c r="AU216" s="113"/>
      <c r="AV216" s="62">
        <f>订货1!AM216</f>
        <v>0</v>
      </c>
      <c r="AW216" s="113"/>
      <c r="AX216" s="113"/>
      <c r="AY216" s="62">
        <f>订货1!AN216</f>
        <v>0</v>
      </c>
      <c r="AZ216" s="113"/>
      <c r="BA216" s="113"/>
      <c r="BB216" s="62">
        <f>订货1!AO216</f>
        <v>0</v>
      </c>
      <c r="BC216" s="113"/>
      <c r="BD216" s="113"/>
      <c r="BE216" s="62">
        <f>订货1!AP216</f>
        <v>0</v>
      </c>
      <c r="BF216" s="113"/>
      <c r="BG216" s="113"/>
      <c r="BH216" s="62">
        <f>订货1!AQ216</f>
        <v>0</v>
      </c>
      <c r="BI216" s="113"/>
      <c r="BJ216" s="113"/>
      <c r="BK216" s="62">
        <f>订货1!AR216</f>
        <v>0</v>
      </c>
      <c r="BL216" s="113"/>
      <c r="BM216" s="113"/>
      <c r="BN216" s="62">
        <f>订货1!AS216</f>
        <v>0</v>
      </c>
      <c r="BO216" s="113"/>
      <c r="BP216" s="113"/>
      <c r="BQ216" s="62">
        <f>订货1!AT216</f>
        <v>0</v>
      </c>
      <c r="BR216" s="113"/>
      <c r="BS216" s="113"/>
      <c r="BT216" s="62">
        <f>订货1!AU216</f>
        <v>0</v>
      </c>
      <c r="BU216" s="113"/>
      <c r="BV216" s="113"/>
      <c r="BW216" s="62">
        <f>订货1!AV216</f>
        <v>0</v>
      </c>
      <c r="BX216" s="113"/>
      <c r="BY216" s="113"/>
      <c r="BZ216" s="62">
        <f>订货1!AW216</f>
        <v>0</v>
      </c>
      <c r="CA216" s="113"/>
      <c r="CB216" s="113"/>
      <c r="CC216" s="62">
        <f>订货1!AX216</f>
        <v>0</v>
      </c>
      <c r="CD216" s="113"/>
      <c r="CE216" s="113"/>
      <c r="CF216" s="62">
        <f>订货1!AY216</f>
        <v>0</v>
      </c>
      <c r="CG216" s="113"/>
      <c r="CH216" s="113"/>
      <c r="CI216" s="62">
        <f>订货1!AZ216</f>
        <v>0</v>
      </c>
      <c r="CJ216" s="113"/>
      <c r="CK216" s="113"/>
      <c r="CL216" s="62">
        <f>订货1!BA216</f>
        <v>0</v>
      </c>
      <c r="CM216" s="113"/>
      <c r="CN216" s="113"/>
      <c r="CO216" s="62">
        <f>订货1!BB216</f>
        <v>0</v>
      </c>
      <c r="CP216" s="113"/>
      <c r="CQ216" s="113"/>
      <c r="CR216" s="62">
        <f>订货1!BC216</f>
        <v>0</v>
      </c>
      <c r="CS216" s="113"/>
      <c r="CT216" s="113"/>
      <c r="CU216" s="62">
        <f>订货1!BD216</f>
        <v>0</v>
      </c>
      <c r="CV216" s="113"/>
      <c r="CW216" s="113"/>
      <c r="CX216" s="62">
        <f>订货1!BE216</f>
        <v>0</v>
      </c>
      <c r="CY216" s="113"/>
      <c r="CZ216" s="113"/>
      <c r="DA216" s="62">
        <f>订货1!BF216</f>
        <v>0</v>
      </c>
      <c r="DB216" s="113"/>
      <c r="DC216" s="113"/>
      <c r="DD216" s="208">
        <v>0</v>
      </c>
      <c r="DE216" s="110" t="e">
        <f t="shared" si="45"/>
        <v>#DIV/0!</v>
      </c>
      <c r="DF216" s="52">
        <f t="shared" si="44"/>
        <v>0</v>
      </c>
      <c r="DG216" s="32" t="str">
        <f>订货1!$Q216</f>
        <v>箱</v>
      </c>
      <c r="DH216" s="209" t="e">
        <f t="shared" si="46"/>
        <v>#DIV/0!</v>
      </c>
    </row>
    <row r="217" spans="1:112" ht="15" customHeight="1">
      <c r="A217" s="48">
        <f>订货1!A217</f>
        <v>992027</v>
      </c>
      <c r="B217" s="44" t="str">
        <f>VLOOKUP($A217,订货1!$A217:$G460,7,0)</f>
        <v>上海加颂纸业有限公司</v>
      </c>
      <c r="C217" s="44" t="str">
        <f>VLOOKUP($A217,订货1!$A217:$H460,8,0)</f>
        <v>合肥华资纸业有限公司</v>
      </c>
      <c r="D217" s="44" t="str">
        <f>VLOOKUP($A217,订货1!$A217:$B460,2,0)</f>
        <v>萨莉亚餐巾纸</v>
      </c>
      <c r="E217" s="44" t="str">
        <f>VLOOKUP($A217,订货1!$A217:$E460,5,0)</f>
        <v>100张*60包/箱</v>
      </c>
      <c r="F217" s="49" t="str">
        <f>VLOOKUP($A217,订货1!$A217:$F460,6,0)</f>
        <v>箱</v>
      </c>
      <c r="G217" s="203"/>
      <c r="H217" s="56">
        <f t="shared" si="47"/>
        <v>0</v>
      </c>
      <c r="I217" s="196"/>
      <c r="J217" s="113"/>
      <c r="K217" s="113"/>
      <c r="L217" s="196"/>
      <c r="M217" s="113"/>
      <c r="N217" s="113"/>
      <c r="O217" s="62">
        <f>订货1!AB217</f>
        <v>0</v>
      </c>
      <c r="P217" s="113"/>
      <c r="Q217" s="113"/>
      <c r="R217" s="62">
        <f>订货1!AC217</f>
        <v>0</v>
      </c>
      <c r="S217" s="113"/>
      <c r="T217" s="113"/>
      <c r="U217" s="62">
        <f>订货1!AD217</f>
        <v>0</v>
      </c>
      <c r="V217" s="113"/>
      <c r="W217" s="113"/>
      <c r="X217" s="62">
        <f>订货1!AE217</f>
        <v>0</v>
      </c>
      <c r="Y217" s="113"/>
      <c r="Z217" s="113"/>
      <c r="AA217" s="62">
        <f>订货1!AF217</f>
        <v>0</v>
      </c>
      <c r="AB217" s="113"/>
      <c r="AC217" s="113"/>
      <c r="AD217" s="62">
        <f>订货1!AG217</f>
        <v>0</v>
      </c>
      <c r="AE217" s="113"/>
      <c r="AF217" s="113"/>
      <c r="AG217" s="62">
        <f>订货1!AH217</f>
        <v>0</v>
      </c>
      <c r="AH217" s="113"/>
      <c r="AI217" s="113"/>
      <c r="AJ217" s="62">
        <f>订货1!AI217</f>
        <v>0</v>
      </c>
      <c r="AK217" s="113"/>
      <c r="AL217" s="113"/>
      <c r="AM217" s="62">
        <f>订货1!AJ217</f>
        <v>0</v>
      </c>
      <c r="AN217" s="113"/>
      <c r="AO217" s="113"/>
      <c r="AP217" s="62">
        <f>订货1!AK217</f>
        <v>0</v>
      </c>
      <c r="AQ217" s="113"/>
      <c r="AR217" s="113"/>
      <c r="AS217" s="62">
        <f>订货1!AL217</f>
        <v>0</v>
      </c>
      <c r="AT217" s="113"/>
      <c r="AU217" s="113"/>
      <c r="AV217" s="62">
        <f>订货1!AM217</f>
        <v>0</v>
      </c>
      <c r="AW217" s="113"/>
      <c r="AX217" s="113"/>
      <c r="AY217" s="62">
        <f>订货1!AN217</f>
        <v>0</v>
      </c>
      <c r="AZ217" s="113"/>
      <c r="BA217" s="113"/>
      <c r="BB217" s="62">
        <f>订货1!AO217</f>
        <v>0</v>
      </c>
      <c r="BC217" s="113"/>
      <c r="BD217" s="113"/>
      <c r="BE217" s="62">
        <f>订货1!AP217</f>
        <v>0</v>
      </c>
      <c r="BF217" s="113"/>
      <c r="BG217" s="113"/>
      <c r="BH217" s="62">
        <f>订货1!AQ217</f>
        <v>0</v>
      </c>
      <c r="BI217" s="113"/>
      <c r="BJ217" s="113"/>
      <c r="BK217" s="62">
        <f>订货1!AR217</f>
        <v>0</v>
      </c>
      <c r="BL217" s="113"/>
      <c r="BM217" s="113"/>
      <c r="BN217" s="62">
        <f>订货1!AS217</f>
        <v>0</v>
      </c>
      <c r="BO217" s="113"/>
      <c r="BP217" s="113"/>
      <c r="BQ217" s="62">
        <f>订货1!AT217</f>
        <v>0</v>
      </c>
      <c r="BR217" s="113"/>
      <c r="BS217" s="113"/>
      <c r="BT217" s="62">
        <f>订货1!AU217</f>
        <v>0</v>
      </c>
      <c r="BU217" s="113"/>
      <c r="BV217" s="113"/>
      <c r="BW217" s="62">
        <f>订货1!AV217</f>
        <v>0</v>
      </c>
      <c r="BX217" s="113"/>
      <c r="BY217" s="113"/>
      <c r="BZ217" s="62">
        <f>订货1!AW217</f>
        <v>0</v>
      </c>
      <c r="CA217" s="113"/>
      <c r="CB217" s="113"/>
      <c r="CC217" s="62">
        <f>订货1!AX217</f>
        <v>0</v>
      </c>
      <c r="CD217" s="113"/>
      <c r="CE217" s="113"/>
      <c r="CF217" s="62">
        <f>订货1!AY217</f>
        <v>0</v>
      </c>
      <c r="CG217" s="113"/>
      <c r="CH217" s="113"/>
      <c r="CI217" s="62">
        <f>订货1!AZ217</f>
        <v>0</v>
      </c>
      <c r="CJ217" s="113"/>
      <c r="CK217" s="113"/>
      <c r="CL217" s="62">
        <f>订货1!BA217</f>
        <v>0</v>
      </c>
      <c r="CM217" s="113"/>
      <c r="CN217" s="113"/>
      <c r="CO217" s="62">
        <f>订货1!BB217</f>
        <v>0</v>
      </c>
      <c r="CP217" s="113"/>
      <c r="CQ217" s="113"/>
      <c r="CR217" s="62">
        <f>订货1!BC217</f>
        <v>0</v>
      </c>
      <c r="CS217" s="113"/>
      <c r="CT217" s="113"/>
      <c r="CU217" s="62">
        <f>订货1!BD217</f>
        <v>0</v>
      </c>
      <c r="CV217" s="113"/>
      <c r="CW217" s="113"/>
      <c r="CX217" s="62">
        <f>订货1!BE217</f>
        <v>0</v>
      </c>
      <c r="CY217" s="113"/>
      <c r="CZ217" s="113"/>
      <c r="DA217" s="62">
        <f>订货1!BF217</f>
        <v>0</v>
      </c>
      <c r="DB217" s="113"/>
      <c r="DC217" s="113"/>
      <c r="DD217" s="208">
        <v>0</v>
      </c>
      <c r="DE217" s="110" t="e">
        <f t="shared" si="45"/>
        <v>#DIV/0!</v>
      </c>
      <c r="DF217" s="52">
        <f t="shared" si="44"/>
        <v>0</v>
      </c>
      <c r="DG217" s="32" t="str">
        <f>订货1!$Q217</f>
        <v>箱</v>
      </c>
      <c r="DH217" s="209" t="e">
        <f t="shared" si="46"/>
        <v>#DIV/0!</v>
      </c>
    </row>
    <row r="218" spans="1:112" ht="15" customHeight="1">
      <c r="A218" s="48">
        <f>订货1!A218</f>
        <v>101679</v>
      </c>
      <c r="B218" s="44" t="str">
        <f>VLOOKUP($A218,订货1!$A218:$G461,7,0)</f>
        <v>融滋合味（上海）科技有限公司</v>
      </c>
      <c r="C218" s="44" t="str">
        <f>VLOOKUP($A218,订货1!$A218:$H461,8,0)</f>
        <v>内蒙古联瑞农产品有限公司</v>
      </c>
      <c r="D218" s="44" t="str">
        <f>VLOOKUP($A218,订货1!$A218:$B461,2,0)</f>
        <v>泛泰番茄丁</v>
      </c>
      <c r="E218" s="44" t="str">
        <f>VLOOKUP($A218,订货1!$A218:$E461,5,0)</f>
        <v>2.85kg*6can</v>
      </c>
      <c r="F218" s="49" t="str">
        <f>VLOOKUP($A218,订货1!$A218:$F461,6,0)</f>
        <v>箱</v>
      </c>
      <c r="G218" s="203"/>
      <c r="H218" s="56">
        <f t="shared" si="47"/>
        <v>0</v>
      </c>
      <c r="I218" s="196"/>
      <c r="J218" s="113"/>
      <c r="K218" s="113"/>
      <c r="L218" s="196"/>
      <c r="M218" s="113"/>
      <c r="N218" s="113"/>
      <c r="O218" s="62">
        <f>订货1!AB218</f>
        <v>0</v>
      </c>
      <c r="P218" s="113"/>
      <c r="Q218" s="113"/>
      <c r="R218" s="62">
        <f>订货1!AC218</f>
        <v>0</v>
      </c>
      <c r="S218" s="113"/>
      <c r="T218" s="113"/>
      <c r="U218" s="62">
        <f>订货1!AD218</f>
        <v>0</v>
      </c>
      <c r="V218" s="113"/>
      <c r="W218" s="113"/>
      <c r="X218" s="62">
        <f>订货1!AE218</f>
        <v>0</v>
      </c>
      <c r="Y218" s="113"/>
      <c r="Z218" s="113"/>
      <c r="AA218" s="62">
        <f>订货1!AF218</f>
        <v>0</v>
      </c>
      <c r="AB218" s="113"/>
      <c r="AC218" s="113"/>
      <c r="AD218" s="62">
        <f>订货1!AG218</f>
        <v>0</v>
      </c>
      <c r="AE218" s="113"/>
      <c r="AF218" s="113"/>
      <c r="AG218" s="62">
        <f>订货1!AH218</f>
        <v>0</v>
      </c>
      <c r="AH218" s="113"/>
      <c r="AI218" s="113"/>
      <c r="AJ218" s="62">
        <f>订货1!AI218</f>
        <v>0</v>
      </c>
      <c r="AK218" s="113"/>
      <c r="AL218" s="113"/>
      <c r="AM218" s="62">
        <f>订货1!AJ218</f>
        <v>0</v>
      </c>
      <c r="AN218" s="113"/>
      <c r="AO218" s="113"/>
      <c r="AP218" s="62">
        <f>订货1!AK218</f>
        <v>0</v>
      </c>
      <c r="AQ218" s="113"/>
      <c r="AR218" s="113"/>
      <c r="AS218" s="62">
        <f>订货1!AL218</f>
        <v>0</v>
      </c>
      <c r="AT218" s="113"/>
      <c r="AU218" s="113"/>
      <c r="AV218" s="62">
        <f>订货1!AM218</f>
        <v>0</v>
      </c>
      <c r="AW218" s="113"/>
      <c r="AX218" s="113"/>
      <c r="AY218" s="62">
        <f>订货1!AN218</f>
        <v>0</v>
      </c>
      <c r="AZ218" s="113"/>
      <c r="BA218" s="113"/>
      <c r="BB218" s="62">
        <f>订货1!AO218</f>
        <v>0</v>
      </c>
      <c r="BC218" s="113"/>
      <c r="BD218" s="113"/>
      <c r="BE218" s="62">
        <f>订货1!AP218</f>
        <v>0</v>
      </c>
      <c r="BF218" s="113"/>
      <c r="BG218" s="113"/>
      <c r="BH218" s="62">
        <f>订货1!AQ218</f>
        <v>0</v>
      </c>
      <c r="BI218" s="113"/>
      <c r="BJ218" s="113"/>
      <c r="BK218" s="62">
        <f>订货1!AR218</f>
        <v>0</v>
      </c>
      <c r="BL218" s="113"/>
      <c r="BM218" s="113"/>
      <c r="BN218" s="62">
        <f>订货1!AS218</f>
        <v>0</v>
      </c>
      <c r="BO218" s="113"/>
      <c r="BP218" s="113"/>
      <c r="BQ218" s="62">
        <f>订货1!AT218</f>
        <v>0</v>
      </c>
      <c r="BR218" s="113"/>
      <c r="BS218" s="113"/>
      <c r="BT218" s="62">
        <f>订货1!AU218</f>
        <v>0</v>
      </c>
      <c r="BU218" s="113"/>
      <c r="BV218" s="113"/>
      <c r="BW218" s="62">
        <f>订货1!AV218</f>
        <v>0</v>
      </c>
      <c r="BX218" s="113"/>
      <c r="BY218" s="113"/>
      <c r="BZ218" s="62">
        <f>订货1!AW218</f>
        <v>0</v>
      </c>
      <c r="CA218" s="113"/>
      <c r="CB218" s="113"/>
      <c r="CC218" s="62">
        <f>订货1!AX218</f>
        <v>0</v>
      </c>
      <c r="CD218" s="113"/>
      <c r="CE218" s="113"/>
      <c r="CF218" s="62">
        <f>订货1!AY218</f>
        <v>0</v>
      </c>
      <c r="CG218" s="113"/>
      <c r="CH218" s="113"/>
      <c r="CI218" s="62">
        <f>订货1!AZ218</f>
        <v>0</v>
      </c>
      <c r="CJ218" s="113"/>
      <c r="CK218" s="113"/>
      <c r="CL218" s="62">
        <f>订货1!BA218</f>
        <v>0</v>
      </c>
      <c r="CM218" s="113"/>
      <c r="CN218" s="113"/>
      <c r="CO218" s="62">
        <f>订货1!BB218</f>
        <v>0</v>
      </c>
      <c r="CP218" s="113"/>
      <c r="CQ218" s="113"/>
      <c r="CR218" s="62">
        <f>订货1!BC218</f>
        <v>0</v>
      </c>
      <c r="CS218" s="113"/>
      <c r="CT218" s="113"/>
      <c r="CU218" s="62">
        <f>订货1!BD218</f>
        <v>0</v>
      </c>
      <c r="CV218" s="113"/>
      <c r="CW218" s="113"/>
      <c r="CX218" s="62">
        <f>订货1!BE218</f>
        <v>0</v>
      </c>
      <c r="CY218" s="113"/>
      <c r="CZ218" s="113"/>
      <c r="DA218" s="62">
        <f>订货1!BF218</f>
        <v>0</v>
      </c>
      <c r="DB218" s="113"/>
      <c r="DC218" s="113"/>
      <c r="DD218" s="208">
        <v>0</v>
      </c>
      <c r="DE218" s="110" t="e">
        <f t="shared" si="45"/>
        <v>#DIV/0!</v>
      </c>
      <c r="DF218" s="52">
        <f t="shared" si="44"/>
        <v>0</v>
      </c>
      <c r="DG218" s="32" t="str">
        <f>订货1!$Q218</f>
        <v>箱</v>
      </c>
      <c r="DH218" s="209" t="e">
        <f t="shared" si="46"/>
        <v>#DIV/0!</v>
      </c>
    </row>
    <row r="219" spans="1:112" ht="15" customHeight="1">
      <c r="A219" s="48">
        <f>订货1!A219</f>
        <v>101680</v>
      </c>
      <c r="B219" s="44" t="str">
        <f>VLOOKUP($A219,订货1!$A219:$G462,7,0)</f>
        <v>上海宝立食品科技股份有限公司</v>
      </c>
      <c r="C219" s="44" t="str">
        <f>VLOOKUP($A219,订货1!$A219:$H462,8,0)</f>
        <v>浙江宝立食品科技有限公司</v>
      </c>
      <c r="D219" s="44" t="str">
        <f>VLOOKUP($A219,订货1!$A219:$B462,2,0)</f>
        <v xml:space="preserve">玉米浓汤 </v>
      </c>
      <c r="E219" s="44" t="str">
        <f>VLOOKUP($A219,订货1!$A219:$E462,5,0)</f>
        <v>0.16kg*50pc</v>
      </c>
      <c r="F219" s="49" t="str">
        <f>VLOOKUP($A219,订货1!$A219:$F462,6,0)</f>
        <v>箱</v>
      </c>
      <c r="G219" s="203"/>
      <c r="H219" s="56">
        <f t="shared" si="47"/>
        <v>3</v>
      </c>
      <c r="I219" s="196"/>
      <c r="J219" s="113"/>
      <c r="K219" s="113"/>
      <c r="L219" s="196"/>
      <c r="M219" s="113"/>
      <c r="N219" s="113"/>
      <c r="O219" s="62">
        <f>订货1!AB219</f>
        <v>0</v>
      </c>
      <c r="P219" s="113"/>
      <c r="Q219" s="113"/>
      <c r="R219" s="62">
        <f>订货1!AC219</f>
        <v>1</v>
      </c>
      <c r="S219" s="113"/>
      <c r="T219" s="113"/>
      <c r="U219" s="62">
        <f>订货1!AD219</f>
        <v>0</v>
      </c>
      <c r="V219" s="113"/>
      <c r="W219" s="113"/>
      <c r="X219" s="62">
        <f>订货1!AE219</f>
        <v>0</v>
      </c>
      <c r="Y219" s="113"/>
      <c r="Z219" s="113"/>
      <c r="AA219" s="62">
        <f>订货1!AF219</f>
        <v>0</v>
      </c>
      <c r="AB219" s="113"/>
      <c r="AC219" s="113"/>
      <c r="AD219" s="62">
        <f>订货1!AG219</f>
        <v>1</v>
      </c>
      <c r="AE219" s="113"/>
      <c r="AF219" s="113"/>
      <c r="AG219" s="62">
        <f>订货1!AH219</f>
        <v>0</v>
      </c>
      <c r="AH219" s="113"/>
      <c r="AI219" s="113"/>
      <c r="AJ219" s="62">
        <f>订货1!AI219</f>
        <v>0</v>
      </c>
      <c r="AK219" s="113"/>
      <c r="AL219" s="113"/>
      <c r="AM219" s="62">
        <f>订货1!AJ219</f>
        <v>0</v>
      </c>
      <c r="AN219" s="113"/>
      <c r="AO219" s="113"/>
      <c r="AP219" s="62">
        <f>订货1!AK219</f>
        <v>0</v>
      </c>
      <c r="AQ219" s="113"/>
      <c r="AR219" s="113"/>
      <c r="AS219" s="62">
        <f>订货1!AL219</f>
        <v>0</v>
      </c>
      <c r="AT219" s="113"/>
      <c r="AU219" s="113"/>
      <c r="AV219" s="62">
        <f>订货1!AM219</f>
        <v>1</v>
      </c>
      <c r="AW219" s="113"/>
      <c r="AX219" s="113"/>
      <c r="AY219" s="62">
        <f>订货1!AN219</f>
        <v>0</v>
      </c>
      <c r="AZ219" s="113"/>
      <c r="BA219" s="113"/>
      <c r="BB219" s="62">
        <f>订货1!AO219</f>
        <v>0</v>
      </c>
      <c r="BC219" s="113"/>
      <c r="BD219" s="113"/>
      <c r="BE219" s="62">
        <f>订货1!AP219</f>
        <v>0</v>
      </c>
      <c r="BF219" s="113"/>
      <c r="BG219" s="113"/>
      <c r="BH219" s="62">
        <f>订货1!AQ219</f>
        <v>0</v>
      </c>
      <c r="BI219" s="113"/>
      <c r="BJ219" s="113"/>
      <c r="BK219" s="62">
        <f>订货1!AR219</f>
        <v>0</v>
      </c>
      <c r="BL219" s="113"/>
      <c r="BM219" s="113"/>
      <c r="BN219" s="62">
        <f>订货1!AS219</f>
        <v>0</v>
      </c>
      <c r="BO219" s="113"/>
      <c r="BP219" s="113"/>
      <c r="BQ219" s="62">
        <f>订货1!AT219</f>
        <v>0</v>
      </c>
      <c r="BR219" s="113"/>
      <c r="BS219" s="113"/>
      <c r="BT219" s="62">
        <f>订货1!AU219</f>
        <v>0</v>
      </c>
      <c r="BU219" s="113"/>
      <c r="BV219" s="113"/>
      <c r="BW219" s="62">
        <f>订货1!AV219</f>
        <v>0</v>
      </c>
      <c r="BX219" s="113"/>
      <c r="BY219" s="113"/>
      <c r="BZ219" s="62">
        <f>订货1!AW219</f>
        <v>0</v>
      </c>
      <c r="CA219" s="113"/>
      <c r="CB219" s="113"/>
      <c r="CC219" s="62">
        <f>订货1!AX219</f>
        <v>0</v>
      </c>
      <c r="CD219" s="113"/>
      <c r="CE219" s="113"/>
      <c r="CF219" s="62">
        <f>订货1!AY219</f>
        <v>0</v>
      </c>
      <c r="CG219" s="113"/>
      <c r="CH219" s="113"/>
      <c r="CI219" s="62">
        <f>订货1!AZ219</f>
        <v>0</v>
      </c>
      <c r="CJ219" s="113"/>
      <c r="CK219" s="113"/>
      <c r="CL219" s="62">
        <f>订货1!BA219</f>
        <v>0</v>
      </c>
      <c r="CM219" s="113"/>
      <c r="CN219" s="113"/>
      <c r="CO219" s="62">
        <f>订货1!BB219</f>
        <v>0</v>
      </c>
      <c r="CP219" s="113"/>
      <c r="CQ219" s="113"/>
      <c r="CR219" s="62">
        <f>订货1!BC219</f>
        <v>0</v>
      </c>
      <c r="CS219" s="113"/>
      <c r="CT219" s="113"/>
      <c r="CU219" s="62">
        <f>订货1!BD219</f>
        <v>0</v>
      </c>
      <c r="CV219" s="113"/>
      <c r="CW219" s="113"/>
      <c r="CX219" s="62">
        <f>订货1!BE219</f>
        <v>0</v>
      </c>
      <c r="CY219" s="113"/>
      <c r="CZ219" s="113"/>
      <c r="DA219" s="62">
        <f>订货1!BF219</f>
        <v>0</v>
      </c>
      <c r="DB219" s="113"/>
      <c r="DC219" s="113"/>
      <c r="DD219" s="208">
        <v>0</v>
      </c>
      <c r="DE219" s="110" t="e">
        <f t="shared" si="45"/>
        <v>#DIV/0!</v>
      </c>
      <c r="DF219" s="52">
        <f t="shared" si="44"/>
        <v>3</v>
      </c>
      <c r="DG219" s="32" t="str">
        <f>订货1!$Q219</f>
        <v>箱</v>
      </c>
      <c r="DH219" s="209" t="e">
        <f t="shared" si="46"/>
        <v>#DIV/0!</v>
      </c>
    </row>
    <row r="220" spans="1:112" ht="15" customHeight="1">
      <c r="A220" s="48">
        <f>订货1!A220</f>
        <v>992025</v>
      </c>
      <c r="B220" s="44" t="str">
        <f>VLOOKUP($A220,订货1!$A220:$G463,7,0)</f>
        <v>上海联球印刷有限公司</v>
      </c>
      <c r="C220" s="44" t="str">
        <f>VLOOKUP($A220,订货1!$A220:$H463,8,0)</f>
        <v>上海联球印刷有限公司</v>
      </c>
      <c r="D220" s="44" t="str">
        <f>VLOOKUP($A220,订货1!$A220:$B463,2,0)</f>
        <v>萨莉亚LOGO牛皮纸拎袋（小）</v>
      </c>
      <c r="E220" s="44" t="str">
        <f>VLOOKUP($A220,订货1!$A220:$E463,5,0)</f>
        <v>200个/箱</v>
      </c>
      <c r="F220" s="49" t="str">
        <f>VLOOKUP($A220,订货1!$A220:$F463,6,0)</f>
        <v>箱</v>
      </c>
      <c r="G220" s="203"/>
      <c r="H220" s="56">
        <f t="shared" si="47"/>
        <v>2</v>
      </c>
      <c r="I220" s="196"/>
      <c r="J220" s="113"/>
      <c r="K220" s="113"/>
      <c r="L220" s="196"/>
      <c r="M220" s="113"/>
      <c r="N220" s="113"/>
      <c r="O220" s="62">
        <f>订货1!AB220</f>
        <v>1</v>
      </c>
      <c r="P220" s="113"/>
      <c r="Q220" s="113"/>
      <c r="R220" s="62">
        <f>订货1!AC220</f>
        <v>0</v>
      </c>
      <c r="S220" s="113"/>
      <c r="T220" s="113"/>
      <c r="U220" s="62">
        <f>订货1!AD220</f>
        <v>0</v>
      </c>
      <c r="V220" s="113"/>
      <c r="W220" s="113"/>
      <c r="X220" s="62">
        <f>订货1!AE220</f>
        <v>0</v>
      </c>
      <c r="Y220" s="113"/>
      <c r="Z220" s="113"/>
      <c r="AA220" s="62">
        <f>订货1!AF220</f>
        <v>0</v>
      </c>
      <c r="AB220" s="113"/>
      <c r="AC220" s="113"/>
      <c r="AD220" s="62">
        <f>订货1!AG220</f>
        <v>0</v>
      </c>
      <c r="AE220" s="113"/>
      <c r="AF220" s="113"/>
      <c r="AG220" s="62">
        <f>订货1!AH220</f>
        <v>0</v>
      </c>
      <c r="AH220" s="113"/>
      <c r="AI220" s="113"/>
      <c r="AJ220" s="62">
        <f>订货1!AI220</f>
        <v>0</v>
      </c>
      <c r="AK220" s="113"/>
      <c r="AL220" s="113"/>
      <c r="AM220" s="62">
        <f>订货1!AJ220</f>
        <v>0</v>
      </c>
      <c r="AN220" s="113"/>
      <c r="AO220" s="113"/>
      <c r="AP220" s="62">
        <f>订货1!AK220</f>
        <v>0</v>
      </c>
      <c r="AQ220" s="113"/>
      <c r="AR220" s="113"/>
      <c r="AS220" s="62">
        <f>订货1!AL220</f>
        <v>1</v>
      </c>
      <c r="AT220" s="113"/>
      <c r="AU220" s="113"/>
      <c r="AV220" s="62">
        <f>订货1!AM220</f>
        <v>0</v>
      </c>
      <c r="AW220" s="113"/>
      <c r="AX220" s="113"/>
      <c r="AY220" s="62">
        <f>订货1!AN220</f>
        <v>0</v>
      </c>
      <c r="AZ220" s="113"/>
      <c r="BA220" s="113"/>
      <c r="BB220" s="62">
        <f>订货1!AO220</f>
        <v>0</v>
      </c>
      <c r="BC220" s="113"/>
      <c r="BD220" s="113"/>
      <c r="BE220" s="62">
        <f>订货1!AP220</f>
        <v>0</v>
      </c>
      <c r="BF220" s="113"/>
      <c r="BG220" s="113"/>
      <c r="BH220" s="62">
        <f>订货1!AQ220</f>
        <v>0</v>
      </c>
      <c r="BI220" s="113"/>
      <c r="BJ220" s="113"/>
      <c r="BK220" s="62">
        <f>订货1!AR220</f>
        <v>0</v>
      </c>
      <c r="BL220" s="113"/>
      <c r="BM220" s="113"/>
      <c r="BN220" s="62">
        <f>订货1!AS220</f>
        <v>0</v>
      </c>
      <c r="BO220" s="113"/>
      <c r="BP220" s="113"/>
      <c r="BQ220" s="62">
        <f>订货1!AT220</f>
        <v>0</v>
      </c>
      <c r="BR220" s="113"/>
      <c r="BS220" s="113"/>
      <c r="BT220" s="62">
        <f>订货1!AU220</f>
        <v>0</v>
      </c>
      <c r="BU220" s="113"/>
      <c r="BV220" s="113"/>
      <c r="BW220" s="62">
        <f>订货1!AV220</f>
        <v>0</v>
      </c>
      <c r="BX220" s="113"/>
      <c r="BY220" s="113"/>
      <c r="BZ220" s="62">
        <f>订货1!AW220</f>
        <v>0</v>
      </c>
      <c r="CA220" s="113"/>
      <c r="CB220" s="113"/>
      <c r="CC220" s="62">
        <f>订货1!AX220</f>
        <v>0</v>
      </c>
      <c r="CD220" s="113"/>
      <c r="CE220" s="113"/>
      <c r="CF220" s="62">
        <f>订货1!AY220</f>
        <v>0</v>
      </c>
      <c r="CG220" s="113"/>
      <c r="CH220" s="113"/>
      <c r="CI220" s="62">
        <f>订货1!AZ220</f>
        <v>0</v>
      </c>
      <c r="CJ220" s="113"/>
      <c r="CK220" s="113"/>
      <c r="CL220" s="62">
        <f>订货1!BA220</f>
        <v>0</v>
      </c>
      <c r="CM220" s="113"/>
      <c r="CN220" s="113"/>
      <c r="CO220" s="62">
        <f>订货1!BB220</f>
        <v>0</v>
      </c>
      <c r="CP220" s="113"/>
      <c r="CQ220" s="113"/>
      <c r="CR220" s="62">
        <f>订货1!BC220</f>
        <v>0</v>
      </c>
      <c r="CS220" s="113"/>
      <c r="CT220" s="113"/>
      <c r="CU220" s="62">
        <f>订货1!BD220</f>
        <v>0</v>
      </c>
      <c r="CV220" s="113"/>
      <c r="CW220" s="113"/>
      <c r="CX220" s="62">
        <f>订货1!BE220</f>
        <v>0</v>
      </c>
      <c r="CY220" s="113"/>
      <c r="CZ220" s="113"/>
      <c r="DA220" s="62">
        <f>订货1!BF220</f>
        <v>0</v>
      </c>
      <c r="DB220" s="113"/>
      <c r="DC220" s="113"/>
      <c r="DD220" s="208">
        <v>0</v>
      </c>
      <c r="DE220" s="110" t="e">
        <f t="shared" si="45"/>
        <v>#DIV/0!</v>
      </c>
      <c r="DF220" s="52">
        <f t="shared" si="44"/>
        <v>2</v>
      </c>
      <c r="DG220" s="32" t="str">
        <f>订货1!$Q220</f>
        <v>箱</v>
      </c>
      <c r="DH220" s="209" t="e">
        <f t="shared" si="46"/>
        <v>#DIV/0!</v>
      </c>
    </row>
    <row r="221" spans="1:112" ht="15" customHeight="1">
      <c r="A221" s="48">
        <f>订货1!A221</f>
        <v>101773</v>
      </c>
      <c r="B221" s="44" t="str">
        <f>VLOOKUP($A221,订货1!$A221:$G464,7,0)</f>
        <v>沈阳华美食品有限公司</v>
      </c>
      <c r="C221" s="44" t="str">
        <f>VLOOKUP($A221,订货1!$A221:$H464,8,0)</f>
        <v>沈阳华美食品有限公司</v>
      </c>
      <c r="D221" s="44" t="str">
        <f>VLOOKUP($A221,订货1!$A221:$B464,2,0)</f>
        <v>意式红烩鸡肉块</v>
      </c>
      <c r="E221" s="44" t="str">
        <f>VLOOKUP($A221,订货1!$A221:$E464,5,0)</f>
        <v>250g*48pc</v>
      </c>
      <c r="F221" s="49" t="str">
        <f>VLOOKUP($A221,订货1!$A221:$F464,6,0)</f>
        <v>箱</v>
      </c>
      <c r="G221" s="203"/>
      <c r="H221" s="56">
        <f t="shared" si="47"/>
        <v>1</v>
      </c>
      <c r="I221" s="196"/>
      <c r="J221" s="113"/>
      <c r="K221" s="113"/>
      <c r="L221" s="196"/>
      <c r="M221" s="113"/>
      <c r="N221" s="113"/>
      <c r="O221" s="62">
        <f>订货1!AB221</f>
        <v>0</v>
      </c>
      <c r="P221" s="113"/>
      <c r="Q221" s="113"/>
      <c r="R221" s="62">
        <f>订货1!AC221</f>
        <v>0</v>
      </c>
      <c r="S221" s="113"/>
      <c r="T221" s="113"/>
      <c r="U221" s="62">
        <f>订货1!AD221</f>
        <v>0</v>
      </c>
      <c r="V221" s="113"/>
      <c r="W221" s="113"/>
      <c r="X221" s="62">
        <f>订货1!AE221</f>
        <v>0</v>
      </c>
      <c r="Y221" s="113"/>
      <c r="Z221" s="113"/>
      <c r="AA221" s="62">
        <f>订货1!AF221</f>
        <v>0</v>
      </c>
      <c r="AB221" s="113"/>
      <c r="AC221" s="113"/>
      <c r="AD221" s="62">
        <f>订货1!AG221</f>
        <v>0</v>
      </c>
      <c r="AE221" s="113"/>
      <c r="AF221" s="113"/>
      <c r="AG221" s="62">
        <f>订货1!AH221</f>
        <v>0</v>
      </c>
      <c r="AH221" s="113"/>
      <c r="AI221" s="113"/>
      <c r="AJ221" s="62">
        <f>订货1!AI221</f>
        <v>0</v>
      </c>
      <c r="AK221" s="113"/>
      <c r="AL221" s="113"/>
      <c r="AM221" s="62">
        <f>订货1!AJ221</f>
        <v>0</v>
      </c>
      <c r="AN221" s="113"/>
      <c r="AO221" s="113"/>
      <c r="AP221" s="62">
        <f>订货1!AK221</f>
        <v>0</v>
      </c>
      <c r="AQ221" s="113"/>
      <c r="AR221" s="113"/>
      <c r="AS221" s="62">
        <f>订货1!AL221</f>
        <v>0</v>
      </c>
      <c r="AT221" s="113"/>
      <c r="AU221" s="113"/>
      <c r="AV221" s="62">
        <f>订货1!AM221</f>
        <v>1</v>
      </c>
      <c r="AW221" s="113"/>
      <c r="AX221" s="113"/>
      <c r="AY221" s="62">
        <f>订货1!AN221</f>
        <v>0</v>
      </c>
      <c r="AZ221" s="113"/>
      <c r="BA221" s="113"/>
      <c r="BB221" s="62">
        <f>订货1!AO221</f>
        <v>0</v>
      </c>
      <c r="BC221" s="113"/>
      <c r="BD221" s="113"/>
      <c r="BE221" s="62">
        <f>订货1!AP221</f>
        <v>0</v>
      </c>
      <c r="BF221" s="113"/>
      <c r="BG221" s="113"/>
      <c r="BH221" s="62">
        <f>订货1!AQ221</f>
        <v>0</v>
      </c>
      <c r="BI221" s="113"/>
      <c r="BJ221" s="113"/>
      <c r="BK221" s="62">
        <f>订货1!AR221</f>
        <v>0</v>
      </c>
      <c r="BL221" s="113"/>
      <c r="BM221" s="113"/>
      <c r="BN221" s="62">
        <f>订货1!AS221</f>
        <v>0</v>
      </c>
      <c r="BO221" s="113"/>
      <c r="BP221" s="113"/>
      <c r="BQ221" s="62">
        <f>订货1!AT221</f>
        <v>0</v>
      </c>
      <c r="BR221" s="113"/>
      <c r="BS221" s="113"/>
      <c r="BT221" s="62">
        <f>订货1!AU221</f>
        <v>0</v>
      </c>
      <c r="BU221" s="113"/>
      <c r="BV221" s="113"/>
      <c r="BW221" s="62">
        <f>订货1!AV221</f>
        <v>0</v>
      </c>
      <c r="BX221" s="113"/>
      <c r="BY221" s="113"/>
      <c r="BZ221" s="62">
        <f>订货1!AW221</f>
        <v>0</v>
      </c>
      <c r="CA221" s="113"/>
      <c r="CB221" s="113"/>
      <c r="CC221" s="62">
        <f>订货1!AX221</f>
        <v>0</v>
      </c>
      <c r="CD221" s="113"/>
      <c r="CE221" s="113"/>
      <c r="CF221" s="62">
        <f>订货1!AY221</f>
        <v>0</v>
      </c>
      <c r="CG221" s="113"/>
      <c r="CH221" s="113"/>
      <c r="CI221" s="62">
        <f>订货1!AZ221</f>
        <v>0</v>
      </c>
      <c r="CJ221" s="113"/>
      <c r="CK221" s="113"/>
      <c r="CL221" s="62">
        <f>订货1!BA221</f>
        <v>0</v>
      </c>
      <c r="CM221" s="113"/>
      <c r="CN221" s="113"/>
      <c r="CO221" s="62">
        <f>订货1!BB221</f>
        <v>0</v>
      </c>
      <c r="CP221" s="113"/>
      <c r="CQ221" s="113"/>
      <c r="CR221" s="62">
        <f>订货1!BC221</f>
        <v>0</v>
      </c>
      <c r="CS221" s="113"/>
      <c r="CT221" s="113"/>
      <c r="CU221" s="62">
        <f>订货1!BD221</f>
        <v>0</v>
      </c>
      <c r="CV221" s="113"/>
      <c r="CW221" s="113"/>
      <c r="CX221" s="62">
        <f>订货1!BE221</f>
        <v>0</v>
      </c>
      <c r="CY221" s="113"/>
      <c r="CZ221" s="113"/>
      <c r="DA221" s="62">
        <f>订货1!BF221</f>
        <v>0</v>
      </c>
      <c r="DB221" s="113"/>
      <c r="DC221" s="113"/>
      <c r="DD221" s="208">
        <v>0</v>
      </c>
      <c r="DE221" s="110" t="e">
        <f t="shared" si="45"/>
        <v>#DIV/0!</v>
      </c>
      <c r="DF221" s="52">
        <f t="shared" si="44"/>
        <v>1</v>
      </c>
      <c r="DG221" s="32" t="str">
        <f>订货1!$Q221</f>
        <v>箱</v>
      </c>
      <c r="DH221" s="209" t="e">
        <f t="shared" si="46"/>
        <v>#DIV/0!</v>
      </c>
    </row>
    <row r="222" spans="1:112" ht="15" customHeight="1">
      <c r="A222" s="48">
        <f>订货1!A222</f>
        <v>101774</v>
      </c>
      <c r="B222" s="44" t="str">
        <f>VLOOKUP($A222,订货1!$A222:$G465,7,0)</f>
        <v>上海宝浓食品股份有限公司</v>
      </c>
      <c r="C222" s="44" t="str">
        <f>VLOOKUP($A222,订货1!$A222:$H465,8,0)</f>
        <v>Condimenteria SRL.</v>
      </c>
      <c r="D222" s="44" t="str">
        <f>VLOOKUP($A222,订货1!$A222:$B465,2,0)</f>
        <v>赛罗牌黑甜醋调味酱</v>
      </c>
      <c r="E222" s="44" t="str">
        <f>VLOOKUP($A222,订货1!$A222:$E465,5,0)</f>
        <v>1瓶</v>
      </c>
      <c r="F222" s="49" t="str">
        <f>VLOOKUP($A222,订货1!$A222:$F465,6,0)</f>
        <v>箱</v>
      </c>
      <c r="G222" s="203"/>
      <c r="H222" s="56">
        <f t="shared" si="47"/>
        <v>0</v>
      </c>
      <c r="I222" s="196"/>
      <c r="J222" s="113"/>
      <c r="K222" s="113"/>
      <c r="L222" s="196"/>
      <c r="M222" s="113"/>
      <c r="N222" s="113"/>
      <c r="O222" s="62">
        <f>订货1!AB222</f>
        <v>0</v>
      </c>
      <c r="P222" s="113"/>
      <c r="Q222" s="113"/>
      <c r="R222" s="62">
        <f>订货1!AC222</f>
        <v>0</v>
      </c>
      <c r="S222" s="113"/>
      <c r="T222" s="113"/>
      <c r="U222" s="62">
        <f>订货1!AD222</f>
        <v>0</v>
      </c>
      <c r="V222" s="113"/>
      <c r="W222" s="113"/>
      <c r="X222" s="62">
        <f>订货1!AE222</f>
        <v>0</v>
      </c>
      <c r="Y222" s="113"/>
      <c r="Z222" s="113"/>
      <c r="AA222" s="62">
        <f>订货1!AF222</f>
        <v>0</v>
      </c>
      <c r="AB222" s="113"/>
      <c r="AC222" s="113"/>
      <c r="AD222" s="62">
        <f>订货1!AG222</f>
        <v>0</v>
      </c>
      <c r="AE222" s="113"/>
      <c r="AF222" s="113"/>
      <c r="AG222" s="62">
        <f>订货1!AH222</f>
        <v>0</v>
      </c>
      <c r="AH222" s="113"/>
      <c r="AI222" s="113"/>
      <c r="AJ222" s="62">
        <f>订货1!AI222</f>
        <v>0</v>
      </c>
      <c r="AK222" s="113"/>
      <c r="AL222" s="113"/>
      <c r="AM222" s="62">
        <f>订货1!AJ222</f>
        <v>0</v>
      </c>
      <c r="AN222" s="113"/>
      <c r="AO222" s="113"/>
      <c r="AP222" s="62">
        <f>订货1!AK222</f>
        <v>0</v>
      </c>
      <c r="AQ222" s="113"/>
      <c r="AR222" s="113"/>
      <c r="AS222" s="62">
        <f>订货1!AL222</f>
        <v>0</v>
      </c>
      <c r="AT222" s="113"/>
      <c r="AU222" s="113"/>
      <c r="AV222" s="62">
        <f>订货1!AM222</f>
        <v>0</v>
      </c>
      <c r="AW222" s="113"/>
      <c r="AX222" s="113"/>
      <c r="AY222" s="62">
        <f>订货1!AN222</f>
        <v>0</v>
      </c>
      <c r="AZ222" s="113"/>
      <c r="BA222" s="113"/>
      <c r="BB222" s="62">
        <f>订货1!AO222</f>
        <v>0</v>
      </c>
      <c r="BC222" s="113"/>
      <c r="BD222" s="113"/>
      <c r="BE222" s="62">
        <f>订货1!AP222</f>
        <v>0</v>
      </c>
      <c r="BF222" s="113"/>
      <c r="BG222" s="113"/>
      <c r="BH222" s="62">
        <f>订货1!AQ222</f>
        <v>0</v>
      </c>
      <c r="BI222" s="113"/>
      <c r="BJ222" s="113"/>
      <c r="BK222" s="62">
        <f>订货1!AR222</f>
        <v>0</v>
      </c>
      <c r="BL222" s="113"/>
      <c r="BM222" s="113"/>
      <c r="BN222" s="62">
        <f>订货1!AS222</f>
        <v>0</v>
      </c>
      <c r="BO222" s="113"/>
      <c r="BP222" s="113"/>
      <c r="BQ222" s="62">
        <f>订货1!AT222</f>
        <v>0</v>
      </c>
      <c r="BR222" s="113"/>
      <c r="BS222" s="113"/>
      <c r="BT222" s="62">
        <f>订货1!AU222</f>
        <v>0</v>
      </c>
      <c r="BU222" s="113"/>
      <c r="BV222" s="113"/>
      <c r="BW222" s="62">
        <f>订货1!AV222</f>
        <v>0</v>
      </c>
      <c r="BX222" s="113"/>
      <c r="BY222" s="113"/>
      <c r="BZ222" s="62">
        <f>订货1!AW222</f>
        <v>0</v>
      </c>
      <c r="CA222" s="113"/>
      <c r="CB222" s="113"/>
      <c r="CC222" s="62">
        <f>订货1!AX222</f>
        <v>0</v>
      </c>
      <c r="CD222" s="113"/>
      <c r="CE222" s="113"/>
      <c r="CF222" s="62">
        <f>订货1!AY222</f>
        <v>0</v>
      </c>
      <c r="CG222" s="113"/>
      <c r="CH222" s="113"/>
      <c r="CI222" s="62">
        <f>订货1!AZ222</f>
        <v>0</v>
      </c>
      <c r="CJ222" s="113"/>
      <c r="CK222" s="113"/>
      <c r="CL222" s="62">
        <f>订货1!BA222</f>
        <v>0</v>
      </c>
      <c r="CM222" s="113"/>
      <c r="CN222" s="113"/>
      <c r="CO222" s="62">
        <f>订货1!BB222</f>
        <v>0</v>
      </c>
      <c r="CP222" s="113"/>
      <c r="CQ222" s="113"/>
      <c r="CR222" s="62">
        <f>订货1!BC222</f>
        <v>0</v>
      </c>
      <c r="CS222" s="113"/>
      <c r="CT222" s="113"/>
      <c r="CU222" s="62">
        <f>订货1!BD222</f>
        <v>0</v>
      </c>
      <c r="CV222" s="113"/>
      <c r="CW222" s="113"/>
      <c r="CX222" s="62">
        <f>订货1!BE222</f>
        <v>0</v>
      </c>
      <c r="CY222" s="113"/>
      <c r="CZ222" s="113"/>
      <c r="DA222" s="62">
        <f>订货1!BF222</f>
        <v>0</v>
      </c>
      <c r="DB222" s="113"/>
      <c r="DC222" s="113"/>
      <c r="DD222" s="208">
        <v>0</v>
      </c>
      <c r="DE222" s="110" t="e">
        <f t="shared" si="45"/>
        <v>#DIV/0!</v>
      </c>
      <c r="DF222" s="52">
        <f t="shared" si="44"/>
        <v>0</v>
      </c>
      <c r="DG222" s="32" t="str">
        <f>订货1!$Q222</f>
        <v>箱</v>
      </c>
      <c r="DH222" s="209" t="e">
        <f t="shared" si="46"/>
        <v>#DIV/0!</v>
      </c>
    </row>
    <row r="223" spans="1:112" ht="15" customHeight="1">
      <c r="A223" s="48">
        <f>订货1!A223</f>
        <v>101772</v>
      </c>
      <c r="B223" s="44" t="str">
        <f>VLOOKUP($A223,订货1!$A223:$G466,7,0)</f>
        <v>内蒙古薯都凯达食品有限公司报价单</v>
      </c>
      <c r="C223" s="44" t="str">
        <f>VLOOKUP($A223,订货1!$A223:$H466,8,0)</f>
        <v>内蒙古薯都凯达食品有限公司报价单</v>
      </c>
      <c r="D223" s="44" t="str">
        <f>VLOOKUP($A223,订货1!$A223:$B466,2,0)</f>
        <v>凯达薯业冷冻小方形薯饼</v>
      </c>
      <c r="E223" s="44" t="str">
        <f>VLOOKUP($A223,订货1!$A223:$E466,5,0)</f>
        <v>2KG*5包</v>
      </c>
      <c r="F223" s="49" t="str">
        <f>VLOOKUP($A223,订货1!$A223:$F466,6,0)</f>
        <v>箱</v>
      </c>
      <c r="G223" s="203"/>
      <c r="H223" s="56">
        <f t="shared" si="47"/>
        <v>10</v>
      </c>
      <c r="I223" s="196"/>
      <c r="J223" s="113"/>
      <c r="K223" s="113"/>
      <c r="L223" s="196"/>
      <c r="M223" s="113"/>
      <c r="N223" s="113"/>
      <c r="O223" s="62">
        <f>订货1!AB223</f>
        <v>0</v>
      </c>
      <c r="P223" s="113"/>
      <c r="Q223" s="113"/>
      <c r="R223" s="62">
        <f>订货1!AC223</f>
        <v>1</v>
      </c>
      <c r="S223" s="113"/>
      <c r="T223" s="113"/>
      <c r="U223" s="62">
        <f>订货1!AD223</f>
        <v>0</v>
      </c>
      <c r="V223" s="113"/>
      <c r="W223" s="113"/>
      <c r="X223" s="62">
        <f>订货1!AE223</f>
        <v>0</v>
      </c>
      <c r="Y223" s="113"/>
      <c r="Z223" s="113"/>
      <c r="AA223" s="62">
        <f>订货1!AF223</f>
        <v>2</v>
      </c>
      <c r="AB223" s="113"/>
      <c r="AC223" s="113"/>
      <c r="AD223" s="62">
        <f>订货1!AG223</f>
        <v>1</v>
      </c>
      <c r="AE223" s="113"/>
      <c r="AF223" s="113"/>
      <c r="AG223" s="62">
        <f>订货1!AH223</f>
        <v>1</v>
      </c>
      <c r="AH223" s="113"/>
      <c r="AI223" s="113"/>
      <c r="AJ223" s="62">
        <f>订货1!AI223</f>
        <v>0</v>
      </c>
      <c r="AK223" s="113"/>
      <c r="AL223" s="113"/>
      <c r="AM223" s="62">
        <f>订货1!AJ223</f>
        <v>1</v>
      </c>
      <c r="AN223" s="113"/>
      <c r="AO223" s="113"/>
      <c r="AP223" s="62">
        <f>订货1!AK223</f>
        <v>0</v>
      </c>
      <c r="AQ223" s="113"/>
      <c r="AR223" s="113"/>
      <c r="AS223" s="62">
        <f>订货1!AL223</f>
        <v>1</v>
      </c>
      <c r="AT223" s="113"/>
      <c r="AU223" s="113"/>
      <c r="AV223" s="62">
        <f>订货1!AM223</f>
        <v>0</v>
      </c>
      <c r="AW223" s="113"/>
      <c r="AX223" s="113"/>
      <c r="AY223" s="62">
        <f>订货1!AN223</f>
        <v>2</v>
      </c>
      <c r="AZ223" s="113"/>
      <c r="BA223" s="113"/>
      <c r="BB223" s="62">
        <f>订货1!AO223</f>
        <v>1</v>
      </c>
      <c r="BC223" s="113"/>
      <c r="BD223" s="113"/>
      <c r="BE223" s="62">
        <f>订货1!AP223</f>
        <v>0</v>
      </c>
      <c r="BF223" s="113"/>
      <c r="BG223" s="113"/>
      <c r="BH223" s="62">
        <f>订货1!AQ223</f>
        <v>0</v>
      </c>
      <c r="BI223" s="113"/>
      <c r="BJ223" s="113"/>
      <c r="BK223" s="62">
        <f>订货1!AR223</f>
        <v>0</v>
      </c>
      <c r="BL223" s="113"/>
      <c r="BM223" s="113"/>
      <c r="BN223" s="62">
        <f>订货1!AS223</f>
        <v>0</v>
      </c>
      <c r="BO223" s="113"/>
      <c r="BP223" s="113"/>
      <c r="BQ223" s="62">
        <f>订货1!AT223</f>
        <v>0</v>
      </c>
      <c r="BR223" s="113"/>
      <c r="BS223" s="113"/>
      <c r="BT223" s="62">
        <f>订货1!AU223</f>
        <v>0</v>
      </c>
      <c r="BU223" s="113"/>
      <c r="BV223" s="113"/>
      <c r="BW223" s="62">
        <f>订货1!AV223</f>
        <v>0</v>
      </c>
      <c r="BX223" s="113"/>
      <c r="BY223" s="113"/>
      <c r="BZ223" s="62">
        <f>订货1!AW223</f>
        <v>0</v>
      </c>
      <c r="CA223" s="113"/>
      <c r="CB223" s="113"/>
      <c r="CC223" s="62">
        <f>订货1!AX223</f>
        <v>0</v>
      </c>
      <c r="CD223" s="113"/>
      <c r="CE223" s="113"/>
      <c r="CF223" s="62">
        <f>订货1!AY223</f>
        <v>0</v>
      </c>
      <c r="CG223" s="113"/>
      <c r="CH223" s="113"/>
      <c r="CI223" s="62">
        <f>订货1!AZ223</f>
        <v>0</v>
      </c>
      <c r="CJ223" s="113"/>
      <c r="CK223" s="113"/>
      <c r="CL223" s="62">
        <f>订货1!BA223</f>
        <v>0</v>
      </c>
      <c r="CM223" s="113"/>
      <c r="CN223" s="113"/>
      <c r="CO223" s="62">
        <f>订货1!BB223</f>
        <v>0</v>
      </c>
      <c r="CP223" s="113"/>
      <c r="CQ223" s="113"/>
      <c r="CR223" s="62">
        <f>订货1!BC223</f>
        <v>0</v>
      </c>
      <c r="CS223" s="113"/>
      <c r="CT223" s="113"/>
      <c r="CU223" s="62">
        <f>订货1!BD223</f>
        <v>0</v>
      </c>
      <c r="CV223" s="113"/>
      <c r="CW223" s="113"/>
      <c r="CX223" s="62">
        <f>订货1!BE223</f>
        <v>0</v>
      </c>
      <c r="CY223" s="113"/>
      <c r="CZ223" s="113"/>
      <c r="DA223" s="62">
        <f>订货1!BF223</f>
        <v>0</v>
      </c>
      <c r="DB223" s="113"/>
      <c r="DC223" s="113"/>
      <c r="DD223" s="208">
        <v>0</v>
      </c>
      <c r="DE223" s="110" t="e">
        <f t="shared" si="45"/>
        <v>#DIV/0!</v>
      </c>
      <c r="DF223" s="52">
        <f t="shared" si="44"/>
        <v>10</v>
      </c>
      <c r="DG223" s="32" t="str">
        <f>订货1!$Q223</f>
        <v>箱</v>
      </c>
      <c r="DH223" s="209" t="e">
        <f t="shared" si="46"/>
        <v>#DIV/0!</v>
      </c>
    </row>
    <row r="224" spans="1:112" ht="15" customHeight="1">
      <c r="A224" s="48">
        <f>订货1!A224</f>
        <v>101777</v>
      </c>
      <c r="B224" s="44" t="str">
        <f>VLOOKUP($A224,订货1!$A224:$G467,7,0)</f>
        <v>辣西西里（北京）国际贸易有限公司</v>
      </c>
      <c r="C224" s="44" t="str">
        <f>VLOOKUP($A224,订货1!$A224:$H467,8,0)</f>
        <v>Dolceria Alba S.p.A.</v>
      </c>
      <c r="D224" s="44" t="str">
        <f>VLOOKUP($A224,订货1!$A224:$B467,2,0)</f>
        <v>多趣乐-巧克力碎牛奶冰激凌</v>
      </c>
      <c r="E224" s="44" t="str">
        <f>VLOOKUP($A224,订货1!$A224:$E467,5,0)</f>
        <v>65g*12个</v>
      </c>
      <c r="F224" s="49" t="str">
        <f>VLOOKUP($A224,订货1!$A224:$F467,6,0)</f>
        <v>箱</v>
      </c>
      <c r="G224" s="203"/>
      <c r="H224" s="56">
        <f t="shared" si="47"/>
        <v>0</v>
      </c>
      <c r="I224" s="196"/>
      <c r="J224" s="113"/>
      <c r="K224" s="113"/>
      <c r="L224" s="196"/>
      <c r="M224" s="113"/>
      <c r="N224" s="113"/>
      <c r="O224" s="62">
        <f>订货1!AB224</f>
        <v>0</v>
      </c>
      <c r="P224" s="113"/>
      <c r="Q224" s="113"/>
      <c r="R224" s="62">
        <f>订货1!AC224</f>
        <v>0</v>
      </c>
      <c r="S224" s="113"/>
      <c r="T224" s="113"/>
      <c r="U224" s="62">
        <f>订货1!AD224</f>
        <v>0</v>
      </c>
      <c r="V224" s="113"/>
      <c r="W224" s="113"/>
      <c r="X224" s="62">
        <f>订货1!AE224</f>
        <v>0</v>
      </c>
      <c r="Y224" s="113"/>
      <c r="Z224" s="113"/>
      <c r="AA224" s="62">
        <f>订货1!AF224</f>
        <v>0</v>
      </c>
      <c r="AB224" s="113"/>
      <c r="AC224" s="113"/>
      <c r="AD224" s="62">
        <f>订货1!AG224</f>
        <v>0</v>
      </c>
      <c r="AE224" s="113"/>
      <c r="AF224" s="113"/>
      <c r="AG224" s="62">
        <f>订货1!AH224</f>
        <v>0</v>
      </c>
      <c r="AH224" s="113"/>
      <c r="AI224" s="113"/>
      <c r="AJ224" s="62">
        <f>订货1!AI224</f>
        <v>0</v>
      </c>
      <c r="AK224" s="113"/>
      <c r="AL224" s="113"/>
      <c r="AM224" s="62">
        <f>订货1!AJ224</f>
        <v>0</v>
      </c>
      <c r="AN224" s="113"/>
      <c r="AO224" s="113"/>
      <c r="AP224" s="62">
        <f>订货1!AK224</f>
        <v>0</v>
      </c>
      <c r="AQ224" s="113"/>
      <c r="AR224" s="113"/>
      <c r="AS224" s="62">
        <f>订货1!AL224</f>
        <v>0</v>
      </c>
      <c r="AT224" s="113"/>
      <c r="AU224" s="113"/>
      <c r="AV224" s="62">
        <f>订货1!AM224</f>
        <v>0</v>
      </c>
      <c r="AW224" s="113"/>
      <c r="AX224" s="113"/>
      <c r="AY224" s="62">
        <f>订货1!AN224</f>
        <v>0</v>
      </c>
      <c r="AZ224" s="113"/>
      <c r="BA224" s="113"/>
      <c r="BB224" s="62">
        <f>订货1!AO224</f>
        <v>0</v>
      </c>
      <c r="BC224" s="113"/>
      <c r="BD224" s="113"/>
      <c r="BE224" s="62">
        <f>订货1!AP224</f>
        <v>0</v>
      </c>
      <c r="BF224" s="113"/>
      <c r="BG224" s="113"/>
      <c r="BH224" s="62">
        <f>订货1!AQ224</f>
        <v>0</v>
      </c>
      <c r="BI224" s="113"/>
      <c r="BJ224" s="113"/>
      <c r="BK224" s="62">
        <f>订货1!AR224</f>
        <v>0</v>
      </c>
      <c r="BL224" s="113"/>
      <c r="BM224" s="113"/>
      <c r="BN224" s="62">
        <f>订货1!AS224</f>
        <v>0</v>
      </c>
      <c r="BO224" s="113"/>
      <c r="BP224" s="113"/>
      <c r="BQ224" s="62">
        <f>订货1!AT224</f>
        <v>0</v>
      </c>
      <c r="BR224" s="113"/>
      <c r="BS224" s="113"/>
      <c r="BT224" s="62">
        <f>订货1!AU224</f>
        <v>0</v>
      </c>
      <c r="BU224" s="113"/>
      <c r="BV224" s="113"/>
      <c r="BW224" s="62">
        <f>订货1!AV224</f>
        <v>0</v>
      </c>
      <c r="BX224" s="113"/>
      <c r="BY224" s="113"/>
      <c r="BZ224" s="62">
        <f>订货1!AW224</f>
        <v>0</v>
      </c>
      <c r="CA224" s="113"/>
      <c r="CB224" s="113"/>
      <c r="CC224" s="62">
        <f>订货1!AX224</f>
        <v>0</v>
      </c>
      <c r="CD224" s="113"/>
      <c r="CE224" s="113"/>
      <c r="CF224" s="62">
        <f>订货1!AY224</f>
        <v>0</v>
      </c>
      <c r="CG224" s="113"/>
      <c r="CH224" s="113"/>
      <c r="CI224" s="62">
        <f>订货1!AZ224</f>
        <v>0</v>
      </c>
      <c r="CJ224" s="113"/>
      <c r="CK224" s="113"/>
      <c r="CL224" s="62">
        <f>订货1!BA224</f>
        <v>0</v>
      </c>
      <c r="CM224" s="113"/>
      <c r="CN224" s="113"/>
      <c r="CO224" s="62">
        <f>订货1!BB224</f>
        <v>0</v>
      </c>
      <c r="CP224" s="113"/>
      <c r="CQ224" s="113"/>
      <c r="CR224" s="62">
        <f>订货1!BC224</f>
        <v>0</v>
      </c>
      <c r="CS224" s="113"/>
      <c r="CT224" s="113"/>
      <c r="CU224" s="62">
        <f>订货1!BD224</f>
        <v>0</v>
      </c>
      <c r="CV224" s="113"/>
      <c r="CW224" s="113"/>
      <c r="CX224" s="62">
        <f>订货1!BE224</f>
        <v>0</v>
      </c>
      <c r="CY224" s="113"/>
      <c r="CZ224" s="113"/>
      <c r="DA224" s="62">
        <f>订货1!BF224</f>
        <v>0</v>
      </c>
      <c r="DB224" s="113"/>
      <c r="DC224" s="113"/>
      <c r="DD224" s="208">
        <v>0</v>
      </c>
      <c r="DE224" s="110" t="e">
        <f t="shared" si="45"/>
        <v>#DIV/0!</v>
      </c>
      <c r="DF224" s="52">
        <f t="shared" si="44"/>
        <v>0</v>
      </c>
      <c r="DG224" s="32" t="str">
        <f>订货1!$Q224</f>
        <v>箱</v>
      </c>
      <c r="DH224" s="209" t="e">
        <f t="shared" si="46"/>
        <v>#DIV/0!</v>
      </c>
    </row>
    <row r="225" spans="1:112" ht="15" customHeight="1">
      <c r="A225" s="48">
        <f>订货1!A225</f>
        <v>992003</v>
      </c>
      <c r="B225" s="44" t="str">
        <f>VLOOKUP($A225,订货1!$A225:$G468,7,0)</f>
        <v>深圳城建竹木塑胶制品有限公司</v>
      </c>
      <c r="C225" s="44" t="str">
        <f>VLOOKUP($A225,订货1!$A225:$H468,8,0)</f>
        <v>深圳城建竹木塑胶制品有限公司</v>
      </c>
      <c r="D225" s="44" t="str">
        <f>VLOOKUP($A225,订货1!$A225:$B468,2,0)</f>
        <v>匹萨托盘（烤盘盖）</v>
      </c>
      <c r="E225" s="44" t="str">
        <f>VLOOKUP($A225,订货1!$A225:$E468,5,0)</f>
        <v>100个/箱</v>
      </c>
      <c r="F225" s="49" t="str">
        <f>VLOOKUP($A225,订货1!$A225:$F468,6,0)</f>
        <v>箱</v>
      </c>
      <c r="G225" s="203"/>
      <c r="H225" s="56">
        <f t="shared" si="47"/>
        <v>0</v>
      </c>
      <c r="I225" s="196"/>
      <c r="J225" s="113"/>
      <c r="K225" s="113"/>
      <c r="L225" s="196"/>
      <c r="M225" s="113"/>
      <c r="N225" s="113"/>
      <c r="O225" s="62">
        <f>订货1!AB225</f>
        <v>0</v>
      </c>
      <c r="P225" s="113"/>
      <c r="Q225" s="113"/>
      <c r="R225" s="62">
        <f>订货1!AC225</f>
        <v>0</v>
      </c>
      <c r="S225" s="113"/>
      <c r="T225" s="113"/>
      <c r="U225" s="62">
        <f>订货1!AD225</f>
        <v>0</v>
      </c>
      <c r="V225" s="113"/>
      <c r="W225" s="113"/>
      <c r="X225" s="62">
        <f>订货1!AE225</f>
        <v>0</v>
      </c>
      <c r="Y225" s="113"/>
      <c r="Z225" s="113"/>
      <c r="AA225" s="62">
        <f>订货1!AF225</f>
        <v>0</v>
      </c>
      <c r="AB225" s="113"/>
      <c r="AC225" s="113"/>
      <c r="AD225" s="62">
        <f>订货1!AG225</f>
        <v>0</v>
      </c>
      <c r="AE225" s="113"/>
      <c r="AF225" s="113"/>
      <c r="AG225" s="62">
        <f>订货1!AH225</f>
        <v>0</v>
      </c>
      <c r="AH225" s="113"/>
      <c r="AI225" s="113"/>
      <c r="AJ225" s="62">
        <f>订货1!AI225</f>
        <v>0</v>
      </c>
      <c r="AK225" s="113"/>
      <c r="AL225" s="113"/>
      <c r="AM225" s="62">
        <f>订货1!AJ225</f>
        <v>0</v>
      </c>
      <c r="AN225" s="113"/>
      <c r="AO225" s="113"/>
      <c r="AP225" s="62">
        <f>订货1!AK225</f>
        <v>0</v>
      </c>
      <c r="AQ225" s="113"/>
      <c r="AR225" s="113"/>
      <c r="AS225" s="62">
        <f>订货1!AL225</f>
        <v>0</v>
      </c>
      <c r="AT225" s="113"/>
      <c r="AU225" s="113"/>
      <c r="AV225" s="62">
        <f>订货1!AM225</f>
        <v>0</v>
      </c>
      <c r="AW225" s="113"/>
      <c r="AX225" s="113"/>
      <c r="AY225" s="62">
        <f>订货1!AN225</f>
        <v>0</v>
      </c>
      <c r="AZ225" s="113"/>
      <c r="BA225" s="113"/>
      <c r="BB225" s="62">
        <f>订货1!AO225</f>
        <v>0</v>
      </c>
      <c r="BC225" s="113"/>
      <c r="BD225" s="113"/>
      <c r="BE225" s="62">
        <f>订货1!AP225</f>
        <v>0</v>
      </c>
      <c r="BF225" s="113"/>
      <c r="BG225" s="113"/>
      <c r="BH225" s="62">
        <f>订货1!AQ225</f>
        <v>0</v>
      </c>
      <c r="BI225" s="113"/>
      <c r="BJ225" s="113"/>
      <c r="BK225" s="62">
        <f>订货1!AR225</f>
        <v>0</v>
      </c>
      <c r="BL225" s="113"/>
      <c r="BM225" s="113"/>
      <c r="BN225" s="62">
        <f>订货1!AS225</f>
        <v>0</v>
      </c>
      <c r="BO225" s="113"/>
      <c r="BP225" s="113"/>
      <c r="BQ225" s="62">
        <f>订货1!AT225</f>
        <v>0</v>
      </c>
      <c r="BR225" s="113"/>
      <c r="BS225" s="113"/>
      <c r="BT225" s="62">
        <f>订货1!AU225</f>
        <v>0</v>
      </c>
      <c r="BU225" s="113"/>
      <c r="BV225" s="113"/>
      <c r="BW225" s="62">
        <f>订货1!AV225</f>
        <v>0</v>
      </c>
      <c r="BX225" s="113"/>
      <c r="BY225" s="113"/>
      <c r="BZ225" s="62">
        <f>订货1!AW225</f>
        <v>0</v>
      </c>
      <c r="CA225" s="113"/>
      <c r="CB225" s="113"/>
      <c r="CC225" s="62">
        <f>订货1!AX225</f>
        <v>0</v>
      </c>
      <c r="CD225" s="113"/>
      <c r="CE225" s="113"/>
      <c r="CF225" s="62">
        <f>订货1!AY225</f>
        <v>0</v>
      </c>
      <c r="CG225" s="113"/>
      <c r="CH225" s="113"/>
      <c r="CI225" s="62">
        <f>订货1!AZ225</f>
        <v>0</v>
      </c>
      <c r="CJ225" s="113"/>
      <c r="CK225" s="113"/>
      <c r="CL225" s="62">
        <f>订货1!BA225</f>
        <v>0</v>
      </c>
      <c r="CM225" s="113"/>
      <c r="CN225" s="113"/>
      <c r="CO225" s="62">
        <f>订货1!BB225</f>
        <v>0</v>
      </c>
      <c r="CP225" s="113"/>
      <c r="CQ225" s="113"/>
      <c r="CR225" s="62">
        <f>订货1!BC225</f>
        <v>0</v>
      </c>
      <c r="CS225" s="113"/>
      <c r="CT225" s="113"/>
      <c r="CU225" s="62">
        <f>订货1!BD225</f>
        <v>0</v>
      </c>
      <c r="CV225" s="113"/>
      <c r="CW225" s="113"/>
      <c r="CX225" s="62">
        <f>订货1!BE225</f>
        <v>0</v>
      </c>
      <c r="CY225" s="113"/>
      <c r="CZ225" s="113"/>
      <c r="DA225" s="62">
        <f>订货1!BF225</f>
        <v>0</v>
      </c>
      <c r="DB225" s="113"/>
      <c r="DC225" s="113"/>
      <c r="DD225" s="208">
        <v>0</v>
      </c>
      <c r="DE225" s="110" t="e">
        <f t="shared" si="45"/>
        <v>#DIV/0!</v>
      </c>
      <c r="DF225" s="52">
        <f t="shared" si="44"/>
        <v>0</v>
      </c>
      <c r="DG225" s="32" t="str">
        <f>订货1!$Q225</f>
        <v>箱</v>
      </c>
      <c r="DH225" s="209" t="e">
        <f t="shared" si="46"/>
        <v>#DIV/0!</v>
      </c>
    </row>
    <row r="226" spans="1:112" ht="15" customHeight="1">
      <c r="A226" s="48">
        <f>订货1!A226</f>
        <v>992004</v>
      </c>
      <c r="B226" s="44" t="str">
        <f>VLOOKUP($A226,订货1!$A226:$G469,7,0)</f>
        <v>深圳城建竹木塑胶制品有限公司</v>
      </c>
      <c r="C226" s="44" t="str">
        <f>VLOOKUP($A226,订货1!$A226:$H469,8,0)</f>
        <v>深圳城建竹木塑胶制品有限公司</v>
      </c>
      <c r="D226" s="44" t="str">
        <f>VLOOKUP($A226,订货1!$A226:$B469,2,0)</f>
        <v>石纹水杯</v>
      </c>
      <c r="E226" s="44" t="str">
        <f>VLOOKUP($A226,订货1!$A226:$E469,5,0)</f>
        <v>36个/箱</v>
      </c>
      <c r="F226" s="49" t="str">
        <f>VLOOKUP($A226,订货1!$A226:$F469,6,0)</f>
        <v>箱</v>
      </c>
      <c r="G226" s="203"/>
      <c r="H226" s="56">
        <f t="shared" si="47"/>
        <v>0</v>
      </c>
      <c r="I226" s="196"/>
      <c r="J226" s="113"/>
      <c r="K226" s="113"/>
      <c r="L226" s="196"/>
      <c r="M226" s="113"/>
      <c r="N226" s="113"/>
      <c r="O226" s="62">
        <f>订货1!AB226</f>
        <v>0</v>
      </c>
      <c r="P226" s="113"/>
      <c r="Q226" s="113"/>
      <c r="R226" s="62">
        <f>订货1!AC226</f>
        <v>0</v>
      </c>
      <c r="S226" s="113"/>
      <c r="T226" s="113"/>
      <c r="U226" s="62">
        <f>订货1!AD226</f>
        <v>0</v>
      </c>
      <c r="V226" s="113"/>
      <c r="W226" s="113"/>
      <c r="X226" s="62">
        <f>订货1!AE226</f>
        <v>0</v>
      </c>
      <c r="Y226" s="113"/>
      <c r="Z226" s="113"/>
      <c r="AA226" s="62">
        <f>订货1!AF226</f>
        <v>0</v>
      </c>
      <c r="AB226" s="113"/>
      <c r="AC226" s="113"/>
      <c r="AD226" s="62">
        <f>订货1!AG226</f>
        <v>0</v>
      </c>
      <c r="AE226" s="113"/>
      <c r="AF226" s="113"/>
      <c r="AG226" s="62">
        <f>订货1!AH226</f>
        <v>0</v>
      </c>
      <c r="AH226" s="113"/>
      <c r="AI226" s="113"/>
      <c r="AJ226" s="62">
        <f>订货1!AI226</f>
        <v>0</v>
      </c>
      <c r="AK226" s="113"/>
      <c r="AL226" s="113"/>
      <c r="AM226" s="62">
        <f>订货1!AJ226</f>
        <v>0</v>
      </c>
      <c r="AN226" s="113"/>
      <c r="AO226" s="113"/>
      <c r="AP226" s="62">
        <f>订货1!AK226</f>
        <v>0</v>
      </c>
      <c r="AQ226" s="113"/>
      <c r="AR226" s="113"/>
      <c r="AS226" s="62">
        <f>订货1!AL226</f>
        <v>0</v>
      </c>
      <c r="AT226" s="113"/>
      <c r="AU226" s="113"/>
      <c r="AV226" s="62">
        <f>订货1!AM226</f>
        <v>0</v>
      </c>
      <c r="AW226" s="113"/>
      <c r="AX226" s="113"/>
      <c r="AY226" s="62">
        <f>订货1!AN226</f>
        <v>0</v>
      </c>
      <c r="AZ226" s="113"/>
      <c r="BA226" s="113"/>
      <c r="BB226" s="62">
        <f>订货1!AO226</f>
        <v>0</v>
      </c>
      <c r="BC226" s="113"/>
      <c r="BD226" s="113"/>
      <c r="BE226" s="62">
        <f>订货1!AP226</f>
        <v>0</v>
      </c>
      <c r="BF226" s="113"/>
      <c r="BG226" s="113"/>
      <c r="BH226" s="62">
        <f>订货1!AQ226</f>
        <v>0</v>
      </c>
      <c r="BI226" s="113"/>
      <c r="BJ226" s="113"/>
      <c r="BK226" s="62">
        <f>订货1!AR226</f>
        <v>0</v>
      </c>
      <c r="BL226" s="113"/>
      <c r="BM226" s="113"/>
      <c r="BN226" s="62">
        <f>订货1!AS226</f>
        <v>0</v>
      </c>
      <c r="BO226" s="113"/>
      <c r="BP226" s="113"/>
      <c r="BQ226" s="62">
        <f>订货1!AT226</f>
        <v>0</v>
      </c>
      <c r="BR226" s="113"/>
      <c r="BS226" s="113"/>
      <c r="BT226" s="62">
        <f>订货1!AU226</f>
        <v>0</v>
      </c>
      <c r="BU226" s="113"/>
      <c r="BV226" s="113"/>
      <c r="BW226" s="62">
        <f>订货1!AV226</f>
        <v>0</v>
      </c>
      <c r="BX226" s="113"/>
      <c r="BY226" s="113"/>
      <c r="BZ226" s="62">
        <f>订货1!AW226</f>
        <v>0</v>
      </c>
      <c r="CA226" s="113"/>
      <c r="CB226" s="113"/>
      <c r="CC226" s="62">
        <f>订货1!AX226</f>
        <v>0</v>
      </c>
      <c r="CD226" s="113"/>
      <c r="CE226" s="113"/>
      <c r="CF226" s="62">
        <f>订货1!AY226</f>
        <v>0</v>
      </c>
      <c r="CG226" s="113"/>
      <c r="CH226" s="113"/>
      <c r="CI226" s="62">
        <f>订货1!AZ226</f>
        <v>0</v>
      </c>
      <c r="CJ226" s="113"/>
      <c r="CK226" s="113"/>
      <c r="CL226" s="62">
        <f>订货1!BA226</f>
        <v>0</v>
      </c>
      <c r="CM226" s="113"/>
      <c r="CN226" s="113"/>
      <c r="CO226" s="62">
        <f>订货1!BB226</f>
        <v>0</v>
      </c>
      <c r="CP226" s="113"/>
      <c r="CQ226" s="113"/>
      <c r="CR226" s="62">
        <f>订货1!BC226</f>
        <v>0</v>
      </c>
      <c r="CS226" s="113"/>
      <c r="CT226" s="113"/>
      <c r="CU226" s="62">
        <f>订货1!BD226</f>
        <v>0</v>
      </c>
      <c r="CV226" s="113"/>
      <c r="CW226" s="113"/>
      <c r="CX226" s="62">
        <f>订货1!BE226</f>
        <v>0</v>
      </c>
      <c r="CY226" s="113"/>
      <c r="CZ226" s="113"/>
      <c r="DA226" s="62">
        <f>订货1!BF226</f>
        <v>0</v>
      </c>
      <c r="DB226" s="113"/>
      <c r="DC226" s="113"/>
      <c r="DD226" s="208">
        <v>0</v>
      </c>
      <c r="DE226" s="110" t="e">
        <f t="shared" si="45"/>
        <v>#DIV/0!</v>
      </c>
      <c r="DF226" s="52">
        <f t="shared" si="44"/>
        <v>0</v>
      </c>
      <c r="DG226" s="32" t="str">
        <f>订货1!$Q226</f>
        <v>箱</v>
      </c>
      <c r="DH226" s="209" t="e">
        <f t="shared" si="46"/>
        <v>#DIV/0!</v>
      </c>
    </row>
    <row r="227" spans="1:112" ht="15" customHeight="1">
      <c r="A227" s="48">
        <f>订货1!A227</f>
        <v>992005</v>
      </c>
      <c r="B227" s="44" t="str">
        <f>VLOOKUP($A227,订货1!$A227:$G470,7,0)</f>
        <v>深圳城建竹木塑胶制品有限公司</v>
      </c>
      <c r="C227" s="44" t="str">
        <f>VLOOKUP($A227,订货1!$A227:$H470,8,0)</f>
        <v>深圳城建竹木塑胶制品有限公司</v>
      </c>
      <c r="D227" s="44" t="str">
        <f>VLOOKUP($A227,订货1!$A227:$B470,2,0)</f>
        <v>圆碟（咖啡色边）</v>
      </c>
      <c r="E227" s="44" t="str">
        <f>VLOOKUP($A227,订货1!$A227:$E470,5,0)</f>
        <v>100个/箱</v>
      </c>
      <c r="F227" s="49" t="str">
        <f>VLOOKUP($A227,订货1!$A227:$F470,6,0)</f>
        <v>箱</v>
      </c>
      <c r="G227" s="203"/>
      <c r="H227" s="56">
        <f t="shared" si="47"/>
        <v>0</v>
      </c>
      <c r="I227" s="196"/>
      <c r="J227" s="113"/>
      <c r="K227" s="113"/>
      <c r="L227" s="196"/>
      <c r="M227" s="113"/>
      <c r="N227" s="113"/>
      <c r="O227" s="62">
        <f>订货1!AB227</f>
        <v>0</v>
      </c>
      <c r="P227" s="113"/>
      <c r="Q227" s="113"/>
      <c r="R227" s="62">
        <f>订货1!AC227</f>
        <v>0</v>
      </c>
      <c r="S227" s="113"/>
      <c r="T227" s="113"/>
      <c r="U227" s="62">
        <f>订货1!AD227</f>
        <v>0</v>
      </c>
      <c r="V227" s="113"/>
      <c r="W227" s="113"/>
      <c r="X227" s="62">
        <f>订货1!AE227</f>
        <v>0</v>
      </c>
      <c r="Y227" s="113"/>
      <c r="Z227" s="113"/>
      <c r="AA227" s="62">
        <f>订货1!AF227</f>
        <v>0</v>
      </c>
      <c r="AB227" s="113"/>
      <c r="AC227" s="113"/>
      <c r="AD227" s="62">
        <f>订货1!AG227</f>
        <v>0</v>
      </c>
      <c r="AE227" s="113"/>
      <c r="AF227" s="113"/>
      <c r="AG227" s="62">
        <f>订货1!AH227</f>
        <v>0</v>
      </c>
      <c r="AH227" s="113"/>
      <c r="AI227" s="113"/>
      <c r="AJ227" s="62">
        <f>订货1!AI227</f>
        <v>0</v>
      </c>
      <c r="AK227" s="113"/>
      <c r="AL227" s="113"/>
      <c r="AM227" s="62">
        <f>订货1!AJ227</f>
        <v>0</v>
      </c>
      <c r="AN227" s="113"/>
      <c r="AO227" s="113"/>
      <c r="AP227" s="62">
        <f>订货1!AK227</f>
        <v>0</v>
      </c>
      <c r="AQ227" s="113"/>
      <c r="AR227" s="113"/>
      <c r="AS227" s="62">
        <f>订货1!AL227</f>
        <v>0</v>
      </c>
      <c r="AT227" s="113"/>
      <c r="AU227" s="113"/>
      <c r="AV227" s="62">
        <f>订货1!AM227</f>
        <v>0</v>
      </c>
      <c r="AW227" s="113"/>
      <c r="AX227" s="113"/>
      <c r="AY227" s="62">
        <f>订货1!AN227</f>
        <v>0</v>
      </c>
      <c r="AZ227" s="113"/>
      <c r="BA227" s="113"/>
      <c r="BB227" s="62">
        <f>订货1!AO227</f>
        <v>0</v>
      </c>
      <c r="BC227" s="113"/>
      <c r="BD227" s="113"/>
      <c r="BE227" s="62">
        <f>订货1!AP227</f>
        <v>0</v>
      </c>
      <c r="BF227" s="113"/>
      <c r="BG227" s="113"/>
      <c r="BH227" s="62">
        <f>订货1!AQ227</f>
        <v>0</v>
      </c>
      <c r="BI227" s="113"/>
      <c r="BJ227" s="113"/>
      <c r="BK227" s="62">
        <f>订货1!AR227</f>
        <v>0</v>
      </c>
      <c r="BL227" s="113"/>
      <c r="BM227" s="113"/>
      <c r="BN227" s="62">
        <f>订货1!AS227</f>
        <v>0</v>
      </c>
      <c r="BO227" s="113"/>
      <c r="BP227" s="113"/>
      <c r="BQ227" s="62">
        <f>订货1!AT227</f>
        <v>0</v>
      </c>
      <c r="BR227" s="113"/>
      <c r="BS227" s="113"/>
      <c r="BT227" s="62">
        <f>订货1!AU227</f>
        <v>0</v>
      </c>
      <c r="BU227" s="113"/>
      <c r="BV227" s="113"/>
      <c r="BW227" s="62">
        <f>订货1!AV227</f>
        <v>0</v>
      </c>
      <c r="BX227" s="113"/>
      <c r="BY227" s="113"/>
      <c r="BZ227" s="62">
        <f>订货1!AW227</f>
        <v>0</v>
      </c>
      <c r="CA227" s="113"/>
      <c r="CB227" s="113"/>
      <c r="CC227" s="62">
        <f>订货1!AX227</f>
        <v>0</v>
      </c>
      <c r="CD227" s="113"/>
      <c r="CE227" s="113"/>
      <c r="CF227" s="62">
        <f>订货1!AY227</f>
        <v>0</v>
      </c>
      <c r="CG227" s="113"/>
      <c r="CH227" s="113"/>
      <c r="CI227" s="62">
        <f>订货1!AZ227</f>
        <v>0</v>
      </c>
      <c r="CJ227" s="113"/>
      <c r="CK227" s="113"/>
      <c r="CL227" s="62">
        <f>订货1!BA227</f>
        <v>0</v>
      </c>
      <c r="CM227" s="113"/>
      <c r="CN227" s="113"/>
      <c r="CO227" s="62">
        <f>订货1!BB227</f>
        <v>0</v>
      </c>
      <c r="CP227" s="113"/>
      <c r="CQ227" s="113"/>
      <c r="CR227" s="62">
        <f>订货1!BC227</f>
        <v>0</v>
      </c>
      <c r="CS227" s="113"/>
      <c r="CT227" s="113"/>
      <c r="CU227" s="62">
        <f>订货1!BD227</f>
        <v>0</v>
      </c>
      <c r="CV227" s="113"/>
      <c r="CW227" s="113"/>
      <c r="CX227" s="62">
        <f>订货1!BE227</f>
        <v>0</v>
      </c>
      <c r="CY227" s="113"/>
      <c r="CZ227" s="113"/>
      <c r="DA227" s="62">
        <f>订货1!BF227</f>
        <v>0</v>
      </c>
      <c r="DB227" s="113"/>
      <c r="DC227" s="113"/>
      <c r="DD227" s="208">
        <v>0</v>
      </c>
      <c r="DE227" s="110" t="e">
        <f t="shared" si="45"/>
        <v>#DIV/0!</v>
      </c>
      <c r="DF227" s="52">
        <f t="shared" si="44"/>
        <v>0</v>
      </c>
      <c r="DG227" s="32" t="str">
        <f>订货1!$Q227</f>
        <v>箱</v>
      </c>
      <c r="DH227" s="209" t="e">
        <f t="shared" si="46"/>
        <v>#DIV/0!</v>
      </c>
    </row>
    <row r="228" spans="1:112" ht="15" customHeight="1">
      <c r="A228" s="48">
        <f>订货1!A228</f>
        <v>992006</v>
      </c>
      <c r="B228" s="44" t="str">
        <f>VLOOKUP($A228,订货1!$A228:$G471,7,0)</f>
        <v>深圳城建竹木塑胶制品有限公司</v>
      </c>
      <c r="C228" s="44" t="str">
        <f>VLOOKUP($A228,订货1!$A228:$H471,8,0)</f>
        <v>深圳城建竹木塑胶制品有限公司</v>
      </c>
      <c r="D228" s="44" t="str">
        <f>VLOOKUP($A228,订货1!$A228:$B471,2,0)</f>
        <v>刀叉盒60只/箱（绿色）</v>
      </c>
      <c r="E228" s="44" t="str">
        <f>VLOOKUP($A228,订货1!$A228:$E471,5,0)</f>
        <v>161个/箱</v>
      </c>
      <c r="F228" s="49" t="str">
        <f>VLOOKUP($A228,订货1!$A228:$F471,6,0)</f>
        <v>箱</v>
      </c>
      <c r="G228" s="203"/>
      <c r="H228" s="56">
        <f t="shared" si="47"/>
        <v>0</v>
      </c>
      <c r="I228" s="196"/>
      <c r="J228" s="113"/>
      <c r="K228" s="113"/>
      <c r="L228" s="196"/>
      <c r="M228" s="113"/>
      <c r="N228" s="113"/>
      <c r="O228" s="62">
        <f>订货1!AB228</f>
        <v>0</v>
      </c>
      <c r="P228" s="113"/>
      <c r="Q228" s="113"/>
      <c r="R228" s="62">
        <f>订货1!AC228</f>
        <v>0</v>
      </c>
      <c r="S228" s="113"/>
      <c r="T228" s="113"/>
      <c r="U228" s="62">
        <f>订货1!AD228</f>
        <v>0</v>
      </c>
      <c r="V228" s="113"/>
      <c r="W228" s="113"/>
      <c r="X228" s="62">
        <f>订货1!AE228</f>
        <v>0</v>
      </c>
      <c r="Y228" s="113"/>
      <c r="Z228" s="113"/>
      <c r="AA228" s="62">
        <f>订货1!AF228</f>
        <v>0</v>
      </c>
      <c r="AB228" s="113"/>
      <c r="AC228" s="113"/>
      <c r="AD228" s="62">
        <f>订货1!AG228</f>
        <v>0</v>
      </c>
      <c r="AE228" s="113"/>
      <c r="AF228" s="113"/>
      <c r="AG228" s="62">
        <f>订货1!AH228</f>
        <v>0</v>
      </c>
      <c r="AH228" s="113"/>
      <c r="AI228" s="113"/>
      <c r="AJ228" s="62">
        <f>订货1!AI228</f>
        <v>0</v>
      </c>
      <c r="AK228" s="113"/>
      <c r="AL228" s="113"/>
      <c r="AM228" s="62">
        <f>订货1!AJ228</f>
        <v>0</v>
      </c>
      <c r="AN228" s="113"/>
      <c r="AO228" s="113"/>
      <c r="AP228" s="62">
        <f>订货1!AK228</f>
        <v>0</v>
      </c>
      <c r="AQ228" s="113"/>
      <c r="AR228" s="113"/>
      <c r="AS228" s="62">
        <f>订货1!AL228</f>
        <v>0</v>
      </c>
      <c r="AT228" s="113"/>
      <c r="AU228" s="113"/>
      <c r="AV228" s="62">
        <f>订货1!AM228</f>
        <v>0</v>
      </c>
      <c r="AW228" s="113"/>
      <c r="AX228" s="113"/>
      <c r="AY228" s="62">
        <f>订货1!AN228</f>
        <v>0</v>
      </c>
      <c r="AZ228" s="113"/>
      <c r="BA228" s="113"/>
      <c r="BB228" s="62">
        <f>订货1!AO228</f>
        <v>0</v>
      </c>
      <c r="BC228" s="113"/>
      <c r="BD228" s="113"/>
      <c r="BE228" s="62">
        <f>订货1!AP228</f>
        <v>0</v>
      </c>
      <c r="BF228" s="113"/>
      <c r="BG228" s="113"/>
      <c r="BH228" s="62">
        <f>订货1!AQ228</f>
        <v>0</v>
      </c>
      <c r="BI228" s="113"/>
      <c r="BJ228" s="113"/>
      <c r="BK228" s="62">
        <f>订货1!AR228</f>
        <v>0</v>
      </c>
      <c r="BL228" s="113"/>
      <c r="BM228" s="113"/>
      <c r="BN228" s="62">
        <f>订货1!AS228</f>
        <v>0</v>
      </c>
      <c r="BO228" s="113"/>
      <c r="BP228" s="113"/>
      <c r="BQ228" s="62">
        <f>订货1!AT228</f>
        <v>0</v>
      </c>
      <c r="BR228" s="113"/>
      <c r="BS228" s="113"/>
      <c r="BT228" s="62">
        <f>订货1!AU228</f>
        <v>0</v>
      </c>
      <c r="BU228" s="113"/>
      <c r="BV228" s="113"/>
      <c r="BW228" s="62">
        <f>订货1!AV228</f>
        <v>0</v>
      </c>
      <c r="BX228" s="113"/>
      <c r="BY228" s="113"/>
      <c r="BZ228" s="62">
        <f>订货1!AW228</f>
        <v>0</v>
      </c>
      <c r="CA228" s="113"/>
      <c r="CB228" s="113"/>
      <c r="CC228" s="62">
        <f>订货1!AX228</f>
        <v>0</v>
      </c>
      <c r="CD228" s="113"/>
      <c r="CE228" s="113"/>
      <c r="CF228" s="62">
        <f>订货1!AY228</f>
        <v>0</v>
      </c>
      <c r="CG228" s="113"/>
      <c r="CH228" s="113"/>
      <c r="CI228" s="62">
        <f>订货1!AZ228</f>
        <v>0</v>
      </c>
      <c r="CJ228" s="113"/>
      <c r="CK228" s="113"/>
      <c r="CL228" s="62">
        <f>订货1!BA228</f>
        <v>0</v>
      </c>
      <c r="CM228" s="113"/>
      <c r="CN228" s="113"/>
      <c r="CO228" s="62">
        <f>订货1!BB228</f>
        <v>0</v>
      </c>
      <c r="CP228" s="113"/>
      <c r="CQ228" s="113"/>
      <c r="CR228" s="62">
        <f>订货1!BC228</f>
        <v>0</v>
      </c>
      <c r="CS228" s="113"/>
      <c r="CT228" s="113"/>
      <c r="CU228" s="62">
        <f>订货1!BD228</f>
        <v>0</v>
      </c>
      <c r="CV228" s="113"/>
      <c r="CW228" s="113"/>
      <c r="CX228" s="62">
        <f>订货1!BE228</f>
        <v>0</v>
      </c>
      <c r="CY228" s="113"/>
      <c r="CZ228" s="113"/>
      <c r="DA228" s="62">
        <f>订货1!BF228</f>
        <v>0</v>
      </c>
      <c r="DB228" s="113"/>
      <c r="DC228" s="113"/>
      <c r="DD228" s="208">
        <v>0</v>
      </c>
      <c r="DE228" s="110" t="e">
        <f t="shared" si="45"/>
        <v>#DIV/0!</v>
      </c>
      <c r="DF228" s="52">
        <f t="shared" si="44"/>
        <v>0</v>
      </c>
      <c r="DG228" s="32" t="str">
        <f>订货1!$Q228</f>
        <v>箱</v>
      </c>
      <c r="DH228" s="209" t="e">
        <f t="shared" si="46"/>
        <v>#DIV/0!</v>
      </c>
    </row>
    <row r="229" spans="1:112" ht="15" customHeight="1">
      <c r="A229" s="48">
        <f>订货1!A229</f>
        <v>992007</v>
      </c>
      <c r="B229" s="44" t="str">
        <f>VLOOKUP($A229,订货1!$A229:$G472,7,0)</f>
        <v>深圳城建竹木塑胶制品有限公司</v>
      </c>
      <c r="C229" s="44" t="str">
        <f>VLOOKUP($A229,订货1!$A229:$H472,8,0)</f>
        <v>深圳城建竹木塑胶制品有限公司</v>
      </c>
      <c r="D229" s="44" t="str">
        <f>VLOOKUP($A229,订货1!$A229:$B472,2,0)</f>
        <v>刀叉盒（咖啡色）</v>
      </c>
      <c r="E229" s="44" t="str">
        <f>VLOOKUP($A229,订货1!$A229:$E472,5,0)</f>
        <v>162个/箱</v>
      </c>
      <c r="F229" s="49" t="str">
        <f>VLOOKUP($A229,订货1!$A229:$F472,6,0)</f>
        <v>箱</v>
      </c>
      <c r="G229" s="203"/>
      <c r="H229" s="56">
        <f t="shared" si="47"/>
        <v>0</v>
      </c>
      <c r="I229" s="196"/>
      <c r="J229" s="113"/>
      <c r="K229" s="113"/>
      <c r="L229" s="196"/>
      <c r="M229" s="113"/>
      <c r="N229" s="113"/>
      <c r="O229" s="62">
        <f>订货1!AB229</f>
        <v>0</v>
      </c>
      <c r="P229" s="113"/>
      <c r="Q229" s="113"/>
      <c r="R229" s="62">
        <f>订货1!AC229</f>
        <v>0</v>
      </c>
      <c r="S229" s="113"/>
      <c r="T229" s="113"/>
      <c r="U229" s="62">
        <f>订货1!AD229</f>
        <v>0</v>
      </c>
      <c r="V229" s="113"/>
      <c r="W229" s="113"/>
      <c r="X229" s="62">
        <f>订货1!AE229</f>
        <v>0</v>
      </c>
      <c r="Y229" s="113"/>
      <c r="Z229" s="113"/>
      <c r="AA229" s="62">
        <f>订货1!AF229</f>
        <v>0</v>
      </c>
      <c r="AB229" s="113"/>
      <c r="AC229" s="113"/>
      <c r="AD229" s="62">
        <f>订货1!AG229</f>
        <v>0</v>
      </c>
      <c r="AE229" s="113"/>
      <c r="AF229" s="113"/>
      <c r="AG229" s="62">
        <f>订货1!AH229</f>
        <v>0</v>
      </c>
      <c r="AH229" s="113"/>
      <c r="AI229" s="113"/>
      <c r="AJ229" s="62">
        <f>订货1!AI229</f>
        <v>0</v>
      </c>
      <c r="AK229" s="113"/>
      <c r="AL229" s="113"/>
      <c r="AM229" s="62">
        <f>订货1!AJ229</f>
        <v>0</v>
      </c>
      <c r="AN229" s="113"/>
      <c r="AO229" s="113"/>
      <c r="AP229" s="62">
        <f>订货1!AK229</f>
        <v>0</v>
      </c>
      <c r="AQ229" s="113"/>
      <c r="AR229" s="113"/>
      <c r="AS229" s="62">
        <f>订货1!AL229</f>
        <v>0</v>
      </c>
      <c r="AT229" s="113"/>
      <c r="AU229" s="113"/>
      <c r="AV229" s="62">
        <f>订货1!AM229</f>
        <v>0</v>
      </c>
      <c r="AW229" s="113"/>
      <c r="AX229" s="113"/>
      <c r="AY229" s="62">
        <f>订货1!AN229</f>
        <v>0</v>
      </c>
      <c r="AZ229" s="113"/>
      <c r="BA229" s="113"/>
      <c r="BB229" s="62">
        <f>订货1!AO229</f>
        <v>0</v>
      </c>
      <c r="BC229" s="113"/>
      <c r="BD229" s="113"/>
      <c r="BE229" s="62">
        <f>订货1!AP229</f>
        <v>0</v>
      </c>
      <c r="BF229" s="113"/>
      <c r="BG229" s="113"/>
      <c r="BH229" s="62">
        <f>订货1!AQ229</f>
        <v>0</v>
      </c>
      <c r="BI229" s="113"/>
      <c r="BJ229" s="113"/>
      <c r="BK229" s="62">
        <f>订货1!AR229</f>
        <v>0</v>
      </c>
      <c r="BL229" s="113"/>
      <c r="BM229" s="113"/>
      <c r="BN229" s="62">
        <f>订货1!AS229</f>
        <v>0</v>
      </c>
      <c r="BO229" s="113"/>
      <c r="BP229" s="113"/>
      <c r="BQ229" s="62">
        <f>订货1!AT229</f>
        <v>0</v>
      </c>
      <c r="BR229" s="113"/>
      <c r="BS229" s="113"/>
      <c r="BT229" s="62">
        <f>订货1!AU229</f>
        <v>0</v>
      </c>
      <c r="BU229" s="113"/>
      <c r="BV229" s="113"/>
      <c r="BW229" s="62">
        <f>订货1!AV229</f>
        <v>0</v>
      </c>
      <c r="BX229" s="113"/>
      <c r="BY229" s="113"/>
      <c r="BZ229" s="62">
        <f>订货1!AW229</f>
        <v>0</v>
      </c>
      <c r="CA229" s="113"/>
      <c r="CB229" s="113"/>
      <c r="CC229" s="62">
        <f>订货1!AX229</f>
        <v>0</v>
      </c>
      <c r="CD229" s="113"/>
      <c r="CE229" s="113"/>
      <c r="CF229" s="62">
        <f>订货1!AY229</f>
        <v>0</v>
      </c>
      <c r="CG229" s="113"/>
      <c r="CH229" s="113"/>
      <c r="CI229" s="62">
        <f>订货1!AZ229</f>
        <v>0</v>
      </c>
      <c r="CJ229" s="113"/>
      <c r="CK229" s="113"/>
      <c r="CL229" s="62">
        <f>订货1!BA229</f>
        <v>0</v>
      </c>
      <c r="CM229" s="113"/>
      <c r="CN229" s="113"/>
      <c r="CO229" s="62">
        <f>订货1!BB229</f>
        <v>0</v>
      </c>
      <c r="CP229" s="113"/>
      <c r="CQ229" s="113"/>
      <c r="CR229" s="62">
        <f>订货1!BC229</f>
        <v>0</v>
      </c>
      <c r="CS229" s="113"/>
      <c r="CT229" s="113"/>
      <c r="CU229" s="62">
        <f>订货1!BD229</f>
        <v>0</v>
      </c>
      <c r="CV229" s="113"/>
      <c r="CW229" s="113"/>
      <c r="CX229" s="62">
        <f>订货1!BE229</f>
        <v>0</v>
      </c>
      <c r="CY229" s="113"/>
      <c r="CZ229" s="113"/>
      <c r="DA229" s="62">
        <f>订货1!BF229</f>
        <v>0</v>
      </c>
      <c r="DB229" s="113"/>
      <c r="DC229" s="113"/>
      <c r="DD229" s="208">
        <v>0</v>
      </c>
      <c r="DE229" s="110" t="e">
        <f t="shared" si="45"/>
        <v>#DIV/0!</v>
      </c>
      <c r="DF229" s="52">
        <f t="shared" si="44"/>
        <v>0</v>
      </c>
      <c r="DG229" s="32" t="str">
        <f>订货1!$Q229</f>
        <v>箱</v>
      </c>
      <c r="DH229" s="209" t="e">
        <f t="shared" si="46"/>
        <v>#DIV/0!</v>
      </c>
    </row>
    <row r="230" spans="1:112" ht="15" customHeight="1">
      <c r="A230" s="48">
        <f>订货1!A230</f>
        <v>992008</v>
      </c>
      <c r="B230" s="44" t="str">
        <f>VLOOKUP($A230,订货1!$A230:$G473,7,0)</f>
        <v>深圳城建竹木塑胶制品有限公司</v>
      </c>
      <c r="C230" s="44" t="str">
        <f>VLOOKUP($A230,订货1!$A230:$H473,8,0)</f>
        <v>深圳城建竹木塑胶制品有限公司</v>
      </c>
      <c r="D230" s="44" t="str">
        <f>VLOOKUP($A230,订货1!$A230:$B473,2,0)</f>
        <v>密胺骨盘（白边）</v>
      </c>
      <c r="E230" s="44" t="str">
        <f>VLOOKUP($A230,订货1!$A230:$E473,5,0)</f>
        <v>100个/箱</v>
      </c>
      <c r="F230" s="49" t="str">
        <f>VLOOKUP($A230,订货1!$A230:$F473,6,0)</f>
        <v>箱</v>
      </c>
      <c r="G230" s="203"/>
      <c r="H230" s="56">
        <f t="shared" si="47"/>
        <v>0</v>
      </c>
      <c r="I230" s="196"/>
      <c r="J230" s="113"/>
      <c r="K230" s="113"/>
      <c r="L230" s="196"/>
      <c r="M230" s="113"/>
      <c r="N230" s="113"/>
      <c r="O230" s="62">
        <f>订货1!AB230</f>
        <v>0</v>
      </c>
      <c r="P230" s="113"/>
      <c r="Q230" s="113"/>
      <c r="R230" s="62">
        <f>订货1!AC230</f>
        <v>0</v>
      </c>
      <c r="S230" s="113"/>
      <c r="T230" s="113"/>
      <c r="U230" s="62">
        <f>订货1!AD230</f>
        <v>0</v>
      </c>
      <c r="V230" s="113"/>
      <c r="W230" s="113"/>
      <c r="X230" s="62">
        <f>订货1!AE230</f>
        <v>0</v>
      </c>
      <c r="Y230" s="113"/>
      <c r="Z230" s="113"/>
      <c r="AA230" s="62">
        <f>订货1!AF230</f>
        <v>0</v>
      </c>
      <c r="AB230" s="113"/>
      <c r="AC230" s="113"/>
      <c r="AD230" s="62">
        <f>订货1!AG230</f>
        <v>0</v>
      </c>
      <c r="AE230" s="113"/>
      <c r="AF230" s="113"/>
      <c r="AG230" s="62">
        <f>订货1!AH230</f>
        <v>0</v>
      </c>
      <c r="AH230" s="113"/>
      <c r="AI230" s="113"/>
      <c r="AJ230" s="62">
        <f>订货1!AI230</f>
        <v>0</v>
      </c>
      <c r="AK230" s="113"/>
      <c r="AL230" s="113"/>
      <c r="AM230" s="62">
        <f>订货1!AJ230</f>
        <v>0</v>
      </c>
      <c r="AN230" s="113"/>
      <c r="AO230" s="113"/>
      <c r="AP230" s="62">
        <f>订货1!AK230</f>
        <v>0</v>
      </c>
      <c r="AQ230" s="113"/>
      <c r="AR230" s="113"/>
      <c r="AS230" s="62">
        <f>订货1!AL230</f>
        <v>0</v>
      </c>
      <c r="AT230" s="113"/>
      <c r="AU230" s="113"/>
      <c r="AV230" s="62">
        <f>订货1!AM230</f>
        <v>0</v>
      </c>
      <c r="AW230" s="113"/>
      <c r="AX230" s="113"/>
      <c r="AY230" s="62">
        <f>订货1!AN230</f>
        <v>0</v>
      </c>
      <c r="AZ230" s="113"/>
      <c r="BA230" s="113"/>
      <c r="BB230" s="62">
        <f>订货1!AO230</f>
        <v>0</v>
      </c>
      <c r="BC230" s="113"/>
      <c r="BD230" s="113"/>
      <c r="BE230" s="62">
        <f>订货1!AP230</f>
        <v>0</v>
      </c>
      <c r="BF230" s="113"/>
      <c r="BG230" s="113"/>
      <c r="BH230" s="62">
        <f>订货1!AQ230</f>
        <v>0</v>
      </c>
      <c r="BI230" s="113"/>
      <c r="BJ230" s="113"/>
      <c r="BK230" s="62">
        <f>订货1!AR230</f>
        <v>0</v>
      </c>
      <c r="BL230" s="113"/>
      <c r="BM230" s="113"/>
      <c r="BN230" s="62">
        <f>订货1!AS230</f>
        <v>0</v>
      </c>
      <c r="BO230" s="113"/>
      <c r="BP230" s="113"/>
      <c r="BQ230" s="62">
        <f>订货1!AT230</f>
        <v>0</v>
      </c>
      <c r="BR230" s="113"/>
      <c r="BS230" s="113"/>
      <c r="BT230" s="62">
        <f>订货1!AU230</f>
        <v>0</v>
      </c>
      <c r="BU230" s="113"/>
      <c r="BV230" s="113"/>
      <c r="BW230" s="62">
        <f>订货1!AV230</f>
        <v>0</v>
      </c>
      <c r="BX230" s="113"/>
      <c r="BY230" s="113"/>
      <c r="BZ230" s="62">
        <f>订货1!AW230</f>
        <v>0</v>
      </c>
      <c r="CA230" s="113"/>
      <c r="CB230" s="113"/>
      <c r="CC230" s="62">
        <f>订货1!AX230</f>
        <v>0</v>
      </c>
      <c r="CD230" s="113"/>
      <c r="CE230" s="113"/>
      <c r="CF230" s="62">
        <f>订货1!AY230</f>
        <v>0</v>
      </c>
      <c r="CG230" s="113"/>
      <c r="CH230" s="113"/>
      <c r="CI230" s="62">
        <f>订货1!AZ230</f>
        <v>0</v>
      </c>
      <c r="CJ230" s="113"/>
      <c r="CK230" s="113"/>
      <c r="CL230" s="62">
        <f>订货1!BA230</f>
        <v>0</v>
      </c>
      <c r="CM230" s="113"/>
      <c r="CN230" s="113"/>
      <c r="CO230" s="62">
        <f>订货1!BB230</f>
        <v>0</v>
      </c>
      <c r="CP230" s="113"/>
      <c r="CQ230" s="113"/>
      <c r="CR230" s="62">
        <f>订货1!BC230</f>
        <v>0</v>
      </c>
      <c r="CS230" s="113"/>
      <c r="CT230" s="113"/>
      <c r="CU230" s="62">
        <f>订货1!BD230</f>
        <v>0</v>
      </c>
      <c r="CV230" s="113"/>
      <c r="CW230" s="113"/>
      <c r="CX230" s="62">
        <f>订货1!BE230</f>
        <v>0</v>
      </c>
      <c r="CY230" s="113"/>
      <c r="CZ230" s="113"/>
      <c r="DA230" s="62">
        <f>订货1!BF230</f>
        <v>0</v>
      </c>
      <c r="DB230" s="113"/>
      <c r="DC230" s="113"/>
      <c r="DD230" s="208">
        <v>0</v>
      </c>
      <c r="DE230" s="110" t="e">
        <f t="shared" si="45"/>
        <v>#DIV/0!</v>
      </c>
      <c r="DF230" s="52">
        <f t="shared" si="44"/>
        <v>0</v>
      </c>
      <c r="DG230" s="32" t="str">
        <f>订货1!$Q230</f>
        <v>箱</v>
      </c>
      <c r="DH230" s="209" t="e">
        <f t="shared" si="46"/>
        <v>#DIV/0!</v>
      </c>
    </row>
    <row r="231" spans="1:112" ht="15" customHeight="1">
      <c r="A231" s="48">
        <f>订货1!A231</f>
        <v>992009</v>
      </c>
      <c r="B231" s="44" t="str">
        <f>VLOOKUP($A231,订货1!$A231:$G474,7,0)</f>
        <v>深圳城建竹木塑胶制品有限公司</v>
      </c>
      <c r="C231" s="44" t="str">
        <f>VLOOKUP($A231,订货1!$A231:$H474,8,0)</f>
        <v>深圳城建竹木塑胶制品有限公司</v>
      </c>
      <c r="D231" s="44" t="str">
        <f>VLOOKUP($A231,订货1!$A231:$B474,2,0)</f>
        <v>色拉架（单价低）</v>
      </c>
      <c r="E231" s="44" t="str">
        <f>VLOOKUP($A231,订货1!$A231:$E474,5,0)</f>
        <v>58个</v>
      </c>
      <c r="F231" s="49" t="str">
        <f>VLOOKUP($A231,订货1!$A231:$F474,6,0)</f>
        <v>箱</v>
      </c>
      <c r="G231" s="203"/>
      <c r="H231" s="56">
        <f t="shared" si="47"/>
        <v>0</v>
      </c>
      <c r="I231" s="196"/>
      <c r="J231" s="113"/>
      <c r="K231" s="113"/>
      <c r="L231" s="196"/>
      <c r="M231" s="113"/>
      <c r="N231" s="113"/>
      <c r="O231" s="62">
        <f>订货1!AB231</f>
        <v>0</v>
      </c>
      <c r="P231" s="113"/>
      <c r="Q231" s="113"/>
      <c r="R231" s="62">
        <f>订货1!AC231</f>
        <v>0</v>
      </c>
      <c r="S231" s="113"/>
      <c r="T231" s="113"/>
      <c r="U231" s="62">
        <f>订货1!AD231</f>
        <v>0</v>
      </c>
      <c r="V231" s="113"/>
      <c r="W231" s="113"/>
      <c r="X231" s="62">
        <f>订货1!AE231</f>
        <v>0</v>
      </c>
      <c r="Y231" s="113"/>
      <c r="Z231" s="113"/>
      <c r="AA231" s="62">
        <f>订货1!AF231</f>
        <v>0</v>
      </c>
      <c r="AB231" s="113"/>
      <c r="AC231" s="113"/>
      <c r="AD231" s="62">
        <f>订货1!AG231</f>
        <v>0</v>
      </c>
      <c r="AE231" s="113"/>
      <c r="AF231" s="113"/>
      <c r="AG231" s="62">
        <f>订货1!AH231</f>
        <v>0</v>
      </c>
      <c r="AH231" s="113"/>
      <c r="AI231" s="113"/>
      <c r="AJ231" s="62">
        <f>订货1!AI231</f>
        <v>0</v>
      </c>
      <c r="AK231" s="113"/>
      <c r="AL231" s="113"/>
      <c r="AM231" s="62">
        <f>订货1!AJ231</f>
        <v>0</v>
      </c>
      <c r="AN231" s="113"/>
      <c r="AO231" s="113"/>
      <c r="AP231" s="62">
        <f>订货1!AK231</f>
        <v>0</v>
      </c>
      <c r="AQ231" s="113"/>
      <c r="AR231" s="113"/>
      <c r="AS231" s="62">
        <f>订货1!AL231</f>
        <v>0</v>
      </c>
      <c r="AT231" s="113"/>
      <c r="AU231" s="113"/>
      <c r="AV231" s="62">
        <f>订货1!AM231</f>
        <v>0</v>
      </c>
      <c r="AW231" s="113"/>
      <c r="AX231" s="113"/>
      <c r="AY231" s="62">
        <f>订货1!AN231</f>
        <v>0</v>
      </c>
      <c r="AZ231" s="113"/>
      <c r="BA231" s="113"/>
      <c r="BB231" s="62">
        <f>订货1!AO231</f>
        <v>0</v>
      </c>
      <c r="BC231" s="113"/>
      <c r="BD231" s="113"/>
      <c r="BE231" s="62">
        <f>订货1!AP231</f>
        <v>0</v>
      </c>
      <c r="BF231" s="113"/>
      <c r="BG231" s="113"/>
      <c r="BH231" s="62">
        <f>订货1!AQ231</f>
        <v>0</v>
      </c>
      <c r="BI231" s="113"/>
      <c r="BJ231" s="113"/>
      <c r="BK231" s="62">
        <f>订货1!AR231</f>
        <v>0</v>
      </c>
      <c r="BL231" s="113"/>
      <c r="BM231" s="113"/>
      <c r="BN231" s="62">
        <f>订货1!AS231</f>
        <v>0</v>
      </c>
      <c r="BO231" s="113"/>
      <c r="BP231" s="113"/>
      <c r="BQ231" s="62">
        <f>订货1!AT231</f>
        <v>0</v>
      </c>
      <c r="BR231" s="113"/>
      <c r="BS231" s="113"/>
      <c r="BT231" s="62">
        <f>订货1!AU231</f>
        <v>0</v>
      </c>
      <c r="BU231" s="113"/>
      <c r="BV231" s="113"/>
      <c r="BW231" s="62">
        <f>订货1!AV231</f>
        <v>0</v>
      </c>
      <c r="BX231" s="113"/>
      <c r="BY231" s="113"/>
      <c r="BZ231" s="62">
        <f>订货1!AW231</f>
        <v>0</v>
      </c>
      <c r="CA231" s="113"/>
      <c r="CB231" s="113"/>
      <c r="CC231" s="62">
        <f>订货1!AX231</f>
        <v>0</v>
      </c>
      <c r="CD231" s="113"/>
      <c r="CE231" s="113"/>
      <c r="CF231" s="62">
        <f>订货1!AY231</f>
        <v>0</v>
      </c>
      <c r="CG231" s="113"/>
      <c r="CH231" s="113"/>
      <c r="CI231" s="62">
        <f>订货1!AZ231</f>
        <v>0</v>
      </c>
      <c r="CJ231" s="113"/>
      <c r="CK231" s="113"/>
      <c r="CL231" s="62">
        <f>订货1!BA231</f>
        <v>0</v>
      </c>
      <c r="CM231" s="113"/>
      <c r="CN231" s="113"/>
      <c r="CO231" s="62">
        <f>订货1!BB231</f>
        <v>0</v>
      </c>
      <c r="CP231" s="113"/>
      <c r="CQ231" s="113"/>
      <c r="CR231" s="62">
        <f>订货1!BC231</f>
        <v>0</v>
      </c>
      <c r="CS231" s="113"/>
      <c r="CT231" s="113"/>
      <c r="CU231" s="62">
        <f>订货1!BD231</f>
        <v>0</v>
      </c>
      <c r="CV231" s="113"/>
      <c r="CW231" s="113"/>
      <c r="CX231" s="62">
        <f>订货1!BE231</f>
        <v>0</v>
      </c>
      <c r="CY231" s="113"/>
      <c r="CZ231" s="113"/>
      <c r="DA231" s="62">
        <f>订货1!BF231</f>
        <v>0</v>
      </c>
      <c r="DB231" s="113"/>
      <c r="DC231" s="113"/>
      <c r="DD231" s="208">
        <v>0</v>
      </c>
      <c r="DE231" s="110" t="e">
        <f t="shared" si="45"/>
        <v>#DIV/0!</v>
      </c>
      <c r="DF231" s="52">
        <f t="shared" si="44"/>
        <v>0</v>
      </c>
      <c r="DG231" s="32" t="str">
        <f>订货1!$Q231</f>
        <v>箱</v>
      </c>
      <c r="DH231" s="209" t="e">
        <f t="shared" si="46"/>
        <v>#DIV/0!</v>
      </c>
    </row>
    <row r="232" spans="1:112" ht="15" customHeight="1">
      <c r="A232" s="48">
        <f>订货1!A232</f>
        <v>992010</v>
      </c>
      <c r="B232" s="44" t="str">
        <f>VLOOKUP($A232,订货1!$A232:$G475,7,0)</f>
        <v>深圳城建竹木塑胶制品有限公司</v>
      </c>
      <c r="C232" s="44" t="str">
        <f>VLOOKUP($A232,订货1!$A232:$H475,8,0)</f>
        <v>深圳城建竹木塑胶制品有限公司</v>
      </c>
      <c r="D232" s="44" t="str">
        <f>VLOOKUP($A232,订货1!$A232:$B475,2,0)</f>
        <v>色拉架（单价高）</v>
      </c>
      <c r="E232" s="44" t="str">
        <f>VLOOKUP($A232,订货1!$A232:$E475,5,0)</f>
        <v>58个</v>
      </c>
      <c r="F232" s="49" t="str">
        <f>VLOOKUP($A232,订货1!$A232:$F475,6,0)</f>
        <v>箱</v>
      </c>
      <c r="G232" s="203"/>
      <c r="H232" s="56">
        <f t="shared" si="47"/>
        <v>0</v>
      </c>
      <c r="I232" s="196"/>
      <c r="J232" s="113"/>
      <c r="K232" s="113"/>
      <c r="L232" s="196"/>
      <c r="M232" s="113"/>
      <c r="N232" s="113"/>
      <c r="O232" s="62">
        <f>订货1!AB232</f>
        <v>0</v>
      </c>
      <c r="P232" s="113"/>
      <c r="Q232" s="113"/>
      <c r="R232" s="62">
        <f>订货1!AC232</f>
        <v>0</v>
      </c>
      <c r="S232" s="113"/>
      <c r="T232" s="113"/>
      <c r="U232" s="62">
        <f>订货1!AD232</f>
        <v>0</v>
      </c>
      <c r="V232" s="113"/>
      <c r="W232" s="113"/>
      <c r="X232" s="62">
        <f>订货1!AE232</f>
        <v>0</v>
      </c>
      <c r="Y232" s="113"/>
      <c r="Z232" s="113"/>
      <c r="AA232" s="62">
        <f>订货1!AF232</f>
        <v>0</v>
      </c>
      <c r="AB232" s="113"/>
      <c r="AC232" s="113"/>
      <c r="AD232" s="62">
        <f>订货1!AG232</f>
        <v>0</v>
      </c>
      <c r="AE232" s="113"/>
      <c r="AF232" s="113"/>
      <c r="AG232" s="62">
        <f>订货1!AH232</f>
        <v>0</v>
      </c>
      <c r="AH232" s="113"/>
      <c r="AI232" s="113"/>
      <c r="AJ232" s="62">
        <f>订货1!AI232</f>
        <v>0</v>
      </c>
      <c r="AK232" s="113"/>
      <c r="AL232" s="113"/>
      <c r="AM232" s="62">
        <f>订货1!AJ232</f>
        <v>0</v>
      </c>
      <c r="AN232" s="113"/>
      <c r="AO232" s="113"/>
      <c r="AP232" s="62">
        <f>订货1!AK232</f>
        <v>0</v>
      </c>
      <c r="AQ232" s="113"/>
      <c r="AR232" s="113"/>
      <c r="AS232" s="62">
        <f>订货1!AL232</f>
        <v>0</v>
      </c>
      <c r="AT232" s="113"/>
      <c r="AU232" s="113"/>
      <c r="AV232" s="62">
        <f>订货1!AM232</f>
        <v>0</v>
      </c>
      <c r="AW232" s="113"/>
      <c r="AX232" s="113"/>
      <c r="AY232" s="62">
        <f>订货1!AN232</f>
        <v>0</v>
      </c>
      <c r="AZ232" s="113"/>
      <c r="BA232" s="113"/>
      <c r="BB232" s="62">
        <f>订货1!AO232</f>
        <v>0</v>
      </c>
      <c r="BC232" s="113"/>
      <c r="BD232" s="113"/>
      <c r="BE232" s="62">
        <f>订货1!AP232</f>
        <v>0</v>
      </c>
      <c r="BF232" s="113"/>
      <c r="BG232" s="113"/>
      <c r="BH232" s="62">
        <f>订货1!AQ232</f>
        <v>0</v>
      </c>
      <c r="BI232" s="113"/>
      <c r="BJ232" s="113"/>
      <c r="BK232" s="62">
        <f>订货1!AR232</f>
        <v>0</v>
      </c>
      <c r="BL232" s="113"/>
      <c r="BM232" s="113"/>
      <c r="BN232" s="62">
        <f>订货1!AS232</f>
        <v>0</v>
      </c>
      <c r="BO232" s="113"/>
      <c r="BP232" s="113"/>
      <c r="BQ232" s="62">
        <f>订货1!AT232</f>
        <v>0</v>
      </c>
      <c r="BR232" s="113"/>
      <c r="BS232" s="113"/>
      <c r="BT232" s="62">
        <f>订货1!AU232</f>
        <v>0</v>
      </c>
      <c r="BU232" s="113"/>
      <c r="BV232" s="113"/>
      <c r="BW232" s="62">
        <f>订货1!AV232</f>
        <v>0</v>
      </c>
      <c r="BX232" s="113"/>
      <c r="BY232" s="113"/>
      <c r="BZ232" s="62">
        <f>订货1!AW232</f>
        <v>0</v>
      </c>
      <c r="CA232" s="113"/>
      <c r="CB232" s="113"/>
      <c r="CC232" s="62">
        <f>订货1!AX232</f>
        <v>0</v>
      </c>
      <c r="CD232" s="113"/>
      <c r="CE232" s="113"/>
      <c r="CF232" s="62">
        <f>订货1!AY232</f>
        <v>0</v>
      </c>
      <c r="CG232" s="113"/>
      <c r="CH232" s="113"/>
      <c r="CI232" s="62">
        <f>订货1!AZ232</f>
        <v>0</v>
      </c>
      <c r="CJ232" s="113"/>
      <c r="CK232" s="113"/>
      <c r="CL232" s="62">
        <f>订货1!BA232</f>
        <v>0</v>
      </c>
      <c r="CM232" s="113"/>
      <c r="CN232" s="113"/>
      <c r="CO232" s="62">
        <f>订货1!BB232</f>
        <v>0</v>
      </c>
      <c r="CP232" s="113"/>
      <c r="CQ232" s="113"/>
      <c r="CR232" s="62">
        <f>订货1!BC232</f>
        <v>0</v>
      </c>
      <c r="CS232" s="113"/>
      <c r="CT232" s="113"/>
      <c r="CU232" s="62">
        <f>订货1!BD232</f>
        <v>0</v>
      </c>
      <c r="CV232" s="113"/>
      <c r="CW232" s="113"/>
      <c r="CX232" s="62">
        <f>订货1!BE232</f>
        <v>0</v>
      </c>
      <c r="CY232" s="113"/>
      <c r="CZ232" s="113"/>
      <c r="DA232" s="62">
        <f>订货1!BF232</f>
        <v>0</v>
      </c>
      <c r="DB232" s="113"/>
      <c r="DC232" s="113"/>
      <c r="DD232" s="208">
        <v>0</v>
      </c>
      <c r="DE232" s="110" t="e">
        <f t="shared" si="45"/>
        <v>#DIV/0!</v>
      </c>
      <c r="DF232" s="52">
        <f t="shared" si="44"/>
        <v>0</v>
      </c>
      <c r="DG232" s="32" t="str">
        <f>订货1!$Q232</f>
        <v>箱</v>
      </c>
      <c r="DH232" s="209" t="e">
        <f t="shared" si="46"/>
        <v>#DIV/0!</v>
      </c>
    </row>
    <row r="233" spans="1:112" ht="15" customHeight="1">
      <c r="A233" s="48">
        <f>订货1!A233</f>
        <v>992015</v>
      </c>
      <c r="B233" s="44" t="str">
        <f>VLOOKUP($A233,订货1!$A233:$G476,7,0)</f>
        <v>深圳城建竹木塑胶制品有限公司</v>
      </c>
      <c r="C233" s="44" t="str">
        <f>VLOOKUP($A233,订货1!$A233:$H476,8,0)</f>
        <v>深圳城建竹木塑胶制品有限公司</v>
      </c>
      <c r="D233" s="44" t="str">
        <f>VLOOKUP($A233,订货1!$A233:$B476,2,0)</f>
        <v>圆碟（白色）</v>
      </c>
      <c r="E233" s="44">
        <f>VLOOKUP($A233,订货1!$A233:$E476,5,0)</f>
        <v>0</v>
      </c>
      <c r="F233" s="49" t="str">
        <f>VLOOKUP($A233,订货1!$A233:$F476,6,0)</f>
        <v>箱</v>
      </c>
      <c r="G233" s="203"/>
      <c r="H233" s="56">
        <f t="shared" si="47"/>
        <v>0</v>
      </c>
      <c r="I233" s="196"/>
      <c r="J233" s="113"/>
      <c r="K233" s="113"/>
      <c r="L233" s="196"/>
      <c r="M233" s="113"/>
      <c r="N233" s="113"/>
      <c r="O233" s="62">
        <f>订货1!AB233</f>
        <v>0</v>
      </c>
      <c r="P233" s="113"/>
      <c r="Q233" s="113"/>
      <c r="R233" s="62">
        <f>订货1!AC233</f>
        <v>0</v>
      </c>
      <c r="S233" s="113"/>
      <c r="T233" s="113"/>
      <c r="U233" s="62">
        <f>订货1!AD233</f>
        <v>0</v>
      </c>
      <c r="V233" s="113"/>
      <c r="W233" s="113"/>
      <c r="X233" s="62">
        <f>订货1!AE233</f>
        <v>0</v>
      </c>
      <c r="Y233" s="113"/>
      <c r="Z233" s="113"/>
      <c r="AA233" s="62">
        <f>订货1!AF233</f>
        <v>0</v>
      </c>
      <c r="AB233" s="113"/>
      <c r="AC233" s="113"/>
      <c r="AD233" s="62">
        <f>订货1!AG233</f>
        <v>0</v>
      </c>
      <c r="AE233" s="113"/>
      <c r="AF233" s="113"/>
      <c r="AG233" s="62">
        <f>订货1!AH233</f>
        <v>0</v>
      </c>
      <c r="AH233" s="113"/>
      <c r="AI233" s="113"/>
      <c r="AJ233" s="62">
        <f>订货1!AI233</f>
        <v>0</v>
      </c>
      <c r="AK233" s="113"/>
      <c r="AL233" s="113"/>
      <c r="AM233" s="62">
        <f>订货1!AJ233</f>
        <v>0</v>
      </c>
      <c r="AN233" s="113"/>
      <c r="AO233" s="113"/>
      <c r="AP233" s="62">
        <f>订货1!AK233</f>
        <v>0</v>
      </c>
      <c r="AQ233" s="113"/>
      <c r="AR233" s="113"/>
      <c r="AS233" s="62">
        <f>订货1!AL233</f>
        <v>0</v>
      </c>
      <c r="AT233" s="113"/>
      <c r="AU233" s="113"/>
      <c r="AV233" s="62">
        <f>订货1!AM233</f>
        <v>0</v>
      </c>
      <c r="AW233" s="113"/>
      <c r="AX233" s="113"/>
      <c r="AY233" s="62">
        <f>订货1!AN233</f>
        <v>0</v>
      </c>
      <c r="AZ233" s="113"/>
      <c r="BA233" s="113"/>
      <c r="BB233" s="62">
        <f>订货1!AO233</f>
        <v>0</v>
      </c>
      <c r="BC233" s="113"/>
      <c r="BD233" s="113"/>
      <c r="BE233" s="62">
        <f>订货1!AP233</f>
        <v>0</v>
      </c>
      <c r="BF233" s="113"/>
      <c r="BG233" s="113"/>
      <c r="BH233" s="62">
        <f>订货1!AQ233</f>
        <v>0</v>
      </c>
      <c r="BI233" s="113"/>
      <c r="BJ233" s="113"/>
      <c r="BK233" s="62">
        <f>订货1!AR233</f>
        <v>0</v>
      </c>
      <c r="BL233" s="113"/>
      <c r="BM233" s="113"/>
      <c r="BN233" s="62">
        <f>订货1!AS233</f>
        <v>0</v>
      </c>
      <c r="BO233" s="113"/>
      <c r="BP233" s="113"/>
      <c r="BQ233" s="62">
        <f>订货1!AT233</f>
        <v>0</v>
      </c>
      <c r="BR233" s="113"/>
      <c r="BS233" s="113"/>
      <c r="BT233" s="62">
        <f>订货1!AU233</f>
        <v>0</v>
      </c>
      <c r="BU233" s="113"/>
      <c r="BV233" s="113"/>
      <c r="BW233" s="62">
        <f>订货1!AV233</f>
        <v>0</v>
      </c>
      <c r="BX233" s="113"/>
      <c r="BY233" s="113"/>
      <c r="BZ233" s="62">
        <f>订货1!AW233</f>
        <v>0</v>
      </c>
      <c r="CA233" s="113"/>
      <c r="CB233" s="113"/>
      <c r="CC233" s="62">
        <f>订货1!AX233</f>
        <v>0</v>
      </c>
      <c r="CD233" s="113"/>
      <c r="CE233" s="113"/>
      <c r="CF233" s="62">
        <f>订货1!AY233</f>
        <v>0</v>
      </c>
      <c r="CG233" s="113"/>
      <c r="CH233" s="113"/>
      <c r="CI233" s="62">
        <f>订货1!AZ233</f>
        <v>0</v>
      </c>
      <c r="CJ233" s="113"/>
      <c r="CK233" s="113"/>
      <c r="CL233" s="62">
        <f>订货1!BA233</f>
        <v>0</v>
      </c>
      <c r="CM233" s="113"/>
      <c r="CN233" s="113"/>
      <c r="CO233" s="62">
        <f>订货1!BB233</f>
        <v>0</v>
      </c>
      <c r="CP233" s="113"/>
      <c r="CQ233" s="113"/>
      <c r="CR233" s="62">
        <f>订货1!BC233</f>
        <v>0</v>
      </c>
      <c r="CS233" s="113"/>
      <c r="CT233" s="113"/>
      <c r="CU233" s="62">
        <f>订货1!BD233</f>
        <v>0</v>
      </c>
      <c r="CV233" s="113"/>
      <c r="CW233" s="113"/>
      <c r="CX233" s="62">
        <f>订货1!BE233</f>
        <v>0</v>
      </c>
      <c r="CY233" s="113"/>
      <c r="CZ233" s="113"/>
      <c r="DA233" s="62">
        <f>订货1!BF233</f>
        <v>0</v>
      </c>
      <c r="DB233" s="113"/>
      <c r="DC233" s="113"/>
      <c r="DD233" s="208">
        <v>0</v>
      </c>
      <c r="DE233" s="110" t="e">
        <f t="shared" si="45"/>
        <v>#DIV/0!</v>
      </c>
      <c r="DF233" s="52">
        <f t="shared" si="44"/>
        <v>0</v>
      </c>
      <c r="DG233" s="32" t="str">
        <f>订货1!$Q233</f>
        <v>箱</v>
      </c>
      <c r="DH233" s="209" t="e">
        <f t="shared" si="46"/>
        <v>#DIV/0!</v>
      </c>
    </row>
    <row r="234" spans="1:112" ht="15" customHeight="1">
      <c r="A234" s="48">
        <f>订货1!A234</f>
        <v>992035</v>
      </c>
      <c r="B234" s="44">
        <f>VLOOKUP($A234,订货1!$A234:$G477,7,0)</f>
        <v>0</v>
      </c>
      <c r="C234" s="44">
        <f>VLOOKUP($A234,订货1!$A234:$H477,8,0)</f>
        <v>0</v>
      </c>
      <c r="D234" s="44" t="str">
        <f>VLOOKUP($A234,订货1!$A234:$B477,2,0)</f>
        <v>酱料碟</v>
      </c>
      <c r="E234" s="44" t="str">
        <f>VLOOKUP($A234,订货1!$A234:$E477,5,0)</f>
        <v>66个</v>
      </c>
      <c r="F234" s="49" t="str">
        <f>VLOOKUP($A234,订货1!$A234:$F477,6,0)</f>
        <v>盒</v>
      </c>
      <c r="G234" s="203"/>
      <c r="H234" s="56">
        <f t="shared" si="47"/>
        <v>0</v>
      </c>
      <c r="I234" s="196"/>
      <c r="J234" s="113"/>
      <c r="K234" s="113"/>
      <c r="L234" s="196"/>
      <c r="M234" s="113"/>
      <c r="N234" s="113"/>
      <c r="O234" s="62">
        <f>订货1!AB234</f>
        <v>0</v>
      </c>
      <c r="P234" s="113"/>
      <c r="Q234" s="113"/>
      <c r="R234" s="62">
        <f>订货1!AC234</f>
        <v>0</v>
      </c>
      <c r="S234" s="113"/>
      <c r="T234" s="113"/>
      <c r="U234" s="62">
        <f>订货1!AD234</f>
        <v>0</v>
      </c>
      <c r="V234" s="113"/>
      <c r="W234" s="113"/>
      <c r="X234" s="62">
        <f>订货1!AE234</f>
        <v>0</v>
      </c>
      <c r="Y234" s="113"/>
      <c r="Z234" s="113"/>
      <c r="AA234" s="62">
        <f>订货1!AF234</f>
        <v>0</v>
      </c>
      <c r="AB234" s="113"/>
      <c r="AC234" s="113"/>
      <c r="AD234" s="62">
        <f>订货1!AG234</f>
        <v>0</v>
      </c>
      <c r="AE234" s="113"/>
      <c r="AF234" s="113"/>
      <c r="AG234" s="62">
        <f>订货1!AH234</f>
        <v>0</v>
      </c>
      <c r="AH234" s="113"/>
      <c r="AI234" s="113"/>
      <c r="AJ234" s="62">
        <f>订货1!AI234</f>
        <v>0</v>
      </c>
      <c r="AK234" s="113"/>
      <c r="AL234" s="113"/>
      <c r="AM234" s="62">
        <f>订货1!AJ234</f>
        <v>0</v>
      </c>
      <c r="AN234" s="113"/>
      <c r="AO234" s="113"/>
      <c r="AP234" s="62">
        <f>订货1!AK234</f>
        <v>0</v>
      </c>
      <c r="AQ234" s="113"/>
      <c r="AR234" s="113"/>
      <c r="AS234" s="62">
        <f>订货1!AL234</f>
        <v>0</v>
      </c>
      <c r="AT234" s="113"/>
      <c r="AU234" s="113"/>
      <c r="AV234" s="62">
        <f>订货1!AM234</f>
        <v>0</v>
      </c>
      <c r="AW234" s="113"/>
      <c r="AX234" s="113"/>
      <c r="AY234" s="62">
        <f>订货1!AN234</f>
        <v>0</v>
      </c>
      <c r="AZ234" s="113"/>
      <c r="BA234" s="113"/>
      <c r="BB234" s="62">
        <f>订货1!AO234</f>
        <v>0</v>
      </c>
      <c r="BC234" s="113"/>
      <c r="BD234" s="113"/>
      <c r="BE234" s="62">
        <f>订货1!AP234</f>
        <v>0</v>
      </c>
      <c r="BF234" s="113"/>
      <c r="BG234" s="113"/>
      <c r="BH234" s="62">
        <f>订货1!AQ234</f>
        <v>0</v>
      </c>
      <c r="BI234" s="113"/>
      <c r="BJ234" s="113"/>
      <c r="BK234" s="62">
        <f>订货1!AR234</f>
        <v>0</v>
      </c>
      <c r="BL234" s="113"/>
      <c r="BM234" s="113"/>
      <c r="BN234" s="62">
        <f>订货1!AS234</f>
        <v>0</v>
      </c>
      <c r="BO234" s="113"/>
      <c r="BP234" s="113"/>
      <c r="BQ234" s="62">
        <f>订货1!AT234</f>
        <v>0</v>
      </c>
      <c r="BR234" s="113"/>
      <c r="BS234" s="113"/>
      <c r="BT234" s="62">
        <f>订货1!AU234</f>
        <v>0</v>
      </c>
      <c r="BU234" s="113"/>
      <c r="BV234" s="113"/>
      <c r="BW234" s="62">
        <f>订货1!AV234</f>
        <v>0</v>
      </c>
      <c r="BX234" s="113"/>
      <c r="BY234" s="113"/>
      <c r="BZ234" s="62">
        <f>订货1!AW234</f>
        <v>0</v>
      </c>
      <c r="CA234" s="113"/>
      <c r="CB234" s="113"/>
      <c r="CC234" s="62">
        <f>订货1!AX234</f>
        <v>0</v>
      </c>
      <c r="CD234" s="113"/>
      <c r="CE234" s="113"/>
      <c r="CF234" s="62">
        <f>订货1!AY234</f>
        <v>0</v>
      </c>
      <c r="CG234" s="113"/>
      <c r="CH234" s="113"/>
      <c r="CI234" s="62">
        <f>订货1!AZ234</f>
        <v>0</v>
      </c>
      <c r="CJ234" s="113"/>
      <c r="CK234" s="113"/>
      <c r="CL234" s="62">
        <f>订货1!BA234</f>
        <v>0</v>
      </c>
      <c r="CM234" s="113"/>
      <c r="CN234" s="113"/>
      <c r="CO234" s="62">
        <f>订货1!BB234</f>
        <v>0</v>
      </c>
      <c r="CP234" s="113"/>
      <c r="CQ234" s="113"/>
      <c r="CR234" s="62">
        <f>订货1!BC234</f>
        <v>0</v>
      </c>
      <c r="CS234" s="113"/>
      <c r="CT234" s="113"/>
      <c r="CU234" s="62">
        <f>订货1!BD234</f>
        <v>0</v>
      </c>
      <c r="CV234" s="113"/>
      <c r="CW234" s="113"/>
      <c r="CX234" s="62">
        <f>订货1!BE234</f>
        <v>0</v>
      </c>
      <c r="CY234" s="113"/>
      <c r="CZ234" s="113"/>
      <c r="DA234" s="62">
        <f>订货1!BF234</f>
        <v>0</v>
      </c>
      <c r="DB234" s="113"/>
      <c r="DC234" s="113"/>
      <c r="DD234" s="208">
        <v>0</v>
      </c>
      <c r="DE234" s="110" t="e">
        <f t="shared" si="45"/>
        <v>#DIV/0!</v>
      </c>
      <c r="DF234" s="52">
        <f t="shared" si="44"/>
        <v>0</v>
      </c>
      <c r="DG234" s="32" t="str">
        <f>订货1!$Q234</f>
        <v>盒</v>
      </c>
      <c r="DH234" s="209" t="e">
        <f t="shared" si="46"/>
        <v>#DIV/0!</v>
      </c>
    </row>
    <row r="235" spans="1:112" ht="15" customHeight="1">
      <c r="A235" s="48">
        <f>订货1!A235</f>
        <v>992019</v>
      </c>
      <c r="B235" s="44" t="str">
        <f>VLOOKUP($A235,订货1!$A235:$G478,7,0)</f>
        <v>上海联球印刷有限公司</v>
      </c>
      <c r="C235" s="44" t="str">
        <f>VLOOKUP($A235,订货1!$A235:$H478,8,0)</f>
        <v>上海联球印刷有限公司</v>
      </c>
      <c r="D235" s="44" t="str">
        <f>VLOOKUP($A235,订货1!$A235:$B478,2,0)</f>
        <v>萨莉亚logo牛皮纸拎袋</v>
      </c>
      <c r="E235" s="44" t="str">
        <f>VLOOKUP($A235,订货1!$A235:$E478,5,0)</f>
        <v>200个/箱</v>
      </c>
      <c r="F235" s="49" t="str">
        <f>VLOOKUP($A235,订货1!$A235:$F478,6,0)</f>
        <v>箱</v>
      </c>
      <c r="G235" s="203"/>
      <c r="H235" s="56">
        <f t="shared" si="47"/>
        <v>1</v>
      </c>
      <c r="I235" s="196"/>
      <c r="J235" s="113"/>
      <c r="K235" s="113"/>
      <c r="L235" s="196"/>
      <c r="M235" s="113"/>
      <c r="N235" s="113"/>
      <c r="O235" s="62">
        <f>订货1!AB235</f>
        <v>1</v>
      </c>
      <c r="P235" s="113"/>
      <c r="Q235" s="113"/>
      <c r="R235" s="62">
        <f>订货1!AC235</f>
        <v>0</v>
      </c>
      <c r="S235" s="113"/>
      <c r="T235" s="113"/>
      <c r="U235" s="62">
        <f>订货1!AD235</f>
        <v>0</v>
      </c>
      <c r="V235" s="113"/>
      <c r="W235" s="113"/>
      <c r="X235" s="62">
        <f>订货1!AE235</f>
        <v>0</v>
      </c>
      <c r="Y235" s="113"/>
      <c r="Z235" s="113"/>
      <c r="AA235" s="62">
        <f>订货1!AF235</f>
        <v>0</v>
      </c>
      <c r="AB235" s="113"/>
      <c r="AC235" s="113"/>
      <c r="AD235" s="62">
        <f>订货1!AG235</f>
        <v>0</v>
      </c>
      <c r="AE235" s="113"/>
      <c r="AF235" s="113"/>
      <c r="AG235" s="62">
        <f>订货1!AH235</f>
        <v>0</v>
      </c>
      <c r="AH235" s="113"/>
      <c r="AI235" s="113"/>
      <c r="AJ235" s="62">
        <f>订货1!AI235</f>
        <v>0</v>
      </c>
      <c r="AK235" s="113"/>
      <c r="AL235" s="113"/>
      <c r="AM235" s="62">
        <f>订货1!AJ235</f>
        <v>0</v>
      </c>
      <c r="AN235" s="113"/>
      <c r="AO235" s="113"/>
      <c r="AP235" s="62">
        <f>订货1!AK235</f>
        <v>0</v>
      </c>
      <c r="AQ235" s="113"/>
      <c r="AR235" s="113"/>
      <c r="AS235" s="62">
        <f>订货1!AL235</f>
        <v>0</v>
      </c>
      <c r="AT235" s="113"/>
      <c r="AU235" s="113"/>
      <c r="AV235" s="62">
        <f>订货1!AM235</f>
        <v>0</v>
      </c>
      <c r="AW235" s="113"/>
      <c r="AX235" s="113"/>
      <c r="AY235" s="62">
        <f>订货1!AN235</f>
        <v>0</v>
      </c>
      <c r="AZ235" s="113"/>
      <c r="BA235" s="113"/>
      <c r="BB235" s="62">
        <f>订货1!AO235</f>
        <v>0</v>
      </c>
      <c r="BC235" s="113"/>
      <c r="BD235" s="113"/>
      <c r="BE235" s="62">
        <f>订货1!AP235</f>
        <v>0</v>
      </c>
      <c r="BF235" s="113"/>
      <c r="BG235" s="113"/>
      <c r="BH235" s="62">
        <f>订货1!AQ235</f>
        <v>0</v>
      </c>
      <c r="BI235" s="113"/>
      <c r="BJ235" s="113"/>
      <c r="BK235" s="62">
        <f>订货1!AR235</f>
        <v>0</v>
      </c>
      <c r="BL235" s="113"/>
      <c r="BM235" s="113"/>
      <c r="BN235" s="62">
        <f>订货1!AS235</f>
        <v>0</v>
      </c>
      <c r="BO235" s="113"/>
      <c r="BP235" s="113"/>
      <c r="BQ235" s="62">
        <f>订货1!AT235</f>
        <v>0</v>
      </c>
      <c r="BR235" s="113"/>
      <c r="BS235" s="113"/>
      <c r="BT235" s="62">
        <f>订货1!AU235</f>
        <v>0</v>
      </c>
      <c r="BU235" s="113"/>
      <c r="BV235" s="113"/>
      <c r="BW235" s="62">
        <f>订货1!AV235</f>
        <v>0</v>
      </c>
      <c r="BX235" s="113"/>
      <c r="BY235" s="113"/>
      <c r="BZ235" s="62">
        <f>订货1!AW235</f>
        <v>0</v>
      </c>
      <c r="CA235" s="113"/>
      <c r="CB235" s="113"/>
      <c r="CC235" s="62">
        <f>订货1!AX235</f>
        <v>0</v>
      </c>
      <c r="CD235" s="113"/>
      <c r="CE235" s="113"/>
      <c r="CF235" s="62">
        <f>订货1!AY235</f>
        <v>0</v>
      </c>
      <c r="CG235" s="113"/>
      <c r="CH235" s="113"/>
      <c r="CI235" s="62">
        <f>订货1!AZ235</f>
        <v>0</v>
      </c>
      <c r="CJ235" s="113"/>
      <c r="CK235" s="113"/>
      <c r="CL235" s="62">
        <f>订货1!BA235</f>
        <v>0</v>
      </c>
      <c r="CM235" s="113"/>
      <c r="CN235" s="113"/>
      <c r="CO235" s="62">
        <f>订货1!BB235</f>
        <v>0</v>
      </c>
      <c r="CP235" s="113"/>
      <c r="CQ235" s="113"/>
      <c r="CR235" s="62">
        <f>订货1!BC235</f>
        <v>0</v>
      </c>
      <c r="CS235" s="113"/>
      <c r="CT235" s="113"/>
      <c r="CU235" s="62">
        <f>订货1!BD235</f>
        <v>0</v>
      </c>
      <c r="CV235" s="113"/>
      <c r="CW235" s="113"/>
      <c r="CX235" s="62">
        <f>订货1!BE235</f>
        <v>0</v>
      </c>
      <c r="CY235" s="113"/>
      <c r="CZ235" s="113"/>
      <c r="DA235" s="62">
        <f>订货1!BF235</f>
        <v>0</v>
      </c>
      <c r="DB235" s="113"/>
      <c r="DC235" s="113"/>
      <c r="DD235" s="208">
        <v>0</v>
      </c>
      <c r="DE235" s="110" t="e">
        <f t="shared" si="45"/>
        <v>#DIV/0!</v>
      </c>
      <c r="DF235" s="52">
        <f t="shared" si="44"/>
        <v>1</v>
      </c>
      <c r="DG235" s="32" t="str">
        <f>订货1!$Q235</f>
        <v>箱</v>
      </c>
      <c r="DH235" s="209" t="e">
        <f t="shared" si="46"/>
        <v>#DIV/0!</v>
      </c>
    </row>
    <row r="236" spans="1:112" ht="15" customHeight="1">
      <c r="A236" s="48">
        <f>订货1!A236</f>
        <v>992020</v>
      </c>
      <c r="B236" s="44" t="str">
        <f>VLOOKUP($A236,订货1!$A236:$G479,7,0)</f>
        <v>上海汤浦印务有限公司</v>
      </c>
      <c r="C236" s="44" t="str">
        <f>VLOOKUP($A236,订货1!$A236:$H479,8,0)</f>
        <v>上海汤浦印务有限公司</v>
      </c>
      <c r="D236" s="44" t="str">
        <f>VLOOKUP($A236,订货1!$A236:$B479,2,0)</f>
        <v>萨莉亚logo匹萨打包盒</v>
      </c>
      <c r="E236" s="44" t="str">
        <f>VLOOKUP($A236,订货1!$A236:$E479,5,0)</f>
        <v>150个/箱</v>
      </c>
      <c r="F236" s="49" t="str">
        <f>VLOOKUP($A236,订货1!$A236:$F479,6,0)</f>
        <v>箱</v>
      </c>
      <c r="G236" s="203"/>
      <c r="H236" s="56">
        <f t="shared" si="47"/>
        <v>0</v>
      </c>
      <c r="I236" s="196"/>
      <c r="J236" s="113"/>
      <c r="K236" s="113"/>
      <c r="L236" s="196"/>
      <c r="M236" s="113"/>
      <c r="N236" s="113"/>
      <c r="O236" s="62">
        <f>订货1!AB236</f>
        <v>0</v>
      </c>
      <c r="P236" s="113"/>
      <c r="Q236" s="113"/>
      <c r="R236" s="62">
        <f>订货1!AC236</f>
        <v>0</v>
      </c>
      <c r="S236" s="113"/>
      <c r="T236" s="113"/>
      <c r="U236" s="62">
        <f>订货1!AD236</f>
        <v>0</v>
      </c>
      <c r="V236" s="113"/>
      <c r="W236" s="113"/>
      <c r="X236" s="62">
        <f>订货1!AE236</f>
        <v>0</v>
      </c>
      <c r="Y236" s="113"/>
      <c r="Z236" s="113"/>
      <c r="AA236" s="62">
        <f>订货1!AF236</f>
        <v>0</v>
      </c>
      <c r="AB236" s="113"/>
      <c r="AC236" s="113"/>
      <c r="AD236" s="62">
        <f>订货1!AG236</f>
        <v>0</v>
      </c>
      <c r="AE236" s="113"/>
      <c r="AF236" s="113"/>
      <c r="AG236" s="62">
        <f>订货1!AH236</f>
        <v>0</v>
      </c>
      <c r="AH236" s="113"/>
      <c r="AI236" s="113"/>
      <c r="AJ236" s="62">
        <f>订货1!AI236</f>
        <v>0</v>
      </c>
      <c r="AK236" s="113"/>
      <c r="AL236" s="113"/>
      <c r="AM236" s="62">
        <f>订货1!AJ236</f>
        <v>0</v>
      </c>
      <c r="AN236" s="113"/>
      <c r="AO236" s="113"/>
      <c r="AP236" s="62">
        <f>订货1!AK236</f>
        <v>0</v>
      </c>
      <c r="AQ236" s="113"/>
      <c r="AR236" s="113"/>
      <c r="AS236" s="62">
        <f>订货1!AL236</f>
        <v>0</v>
      </c>
      <c r="AT236" s="113"/>
      <c r="AU236" s="113"/>
      <c r="AV236" s="62">
        <f>订货1!AM236</f>
        <v>0</v>
      </c>
      <c r="AW236" s="113"/>
      <c r="AX236" s="113"/>
      <c r="AY236" s="62">
        <f>订货1!AN236</f>
        <v>0</v>
      </c>
      <c r="AZ236" s="113"/>
      <c r="BA236" s="113"/>
      <c r="BB236" s="62">
        <f>订货1!AO236</f>
        <v>0</v>
      </c>
      <c r="BC236" s="113"/>
      <c r="BD236" s="113"/>
      <c r="BE236" s="62">
        <f>订货1!AP236</f>
        <v>0</v>
      </c>
      <c r="BF236" s="113"/>
      <c r="BG236" s="113"/>
      <c r="BH236" s="62">
        <f>订货1!AQ236</f>
        <v>0</v>
      </c>
      <c r="BI236" s="113"/>
      <c r="BJ236" s="113"/>
      <c r="BK236" s="62">
        <f>订货1!AR236</f>
        <v>0</v>
      </c>
      <c r="BL236" s="113"/>
      <c r="BM236" s="113"/>
      <c r="BN236" s="62">
        <f>订货1!AS236</f>
        <v>0</v>
      </c>
      <c r="BO236" s="113"/>
      <c r="BP236" s="113"/>
      <c r="BQ236" s="62">
        <f>订货1!AT236</f>
        <v>0</v>
      </c>
      <c r="BR236" s="113"/>
      <c r="BS236" s="113"/>
      <c r="BT236" s="62">
        <f>订货1!AU236</f>
        <v>0</v>
      </c>
      <c r="BU236" s="113"/>
      <c r="BV236" s="113"/>
      <c r="BW236" s="62">
        <f>订货1!AV236</f>
        <v>0</v>
      </c>
      <c r="BX236" s="113"/>
      <c r="BY236" s="113"/>
      <c r="BZ236" s="62">
        <f>订货1!AW236</f>
        <v>0</v>
      </c>
      <c r="CA236" s="113"/>
      <c r="CB236" s="113"/>
      <c r="CC236" s="62">
        <f>订货1!AX236</f>
        <v>0</v>
      </c>
      <c r="CD236" s="113"/>
      <c r="CE236" s="113"/>
      <c r="CF236" s="62">
        <f>订货1!AY236</f>
        <v>0</v>
      </c>
      <c r="CG236" s="113"/>
      <c r="CH236" s="113"/>
      <c r="CI236" s="62">
        <f>订货1!AZ236</f>
        <v>0</v>
      </c>
      <c r="CJ236" s="113"/>
      <c r="CK236" s="113"/>
      <c r="CL236" s="62">
        <f>订货1!BA236</f>
        <v>0</v>
      </c>
      <c r="CM236" s="113"/>
      <c r="CN236" s="113"/>
      <c r="CO236" s="62">
        <f>订货1!BB236</f>
        <v>0</v>
      </c>
      <c r="CP236" s="113"/>
      <c r="CQ236" s="113"/>
      <c r="CR236" s="62">
        <f>订货1!BC236</f>
        <v>0</v>
      </c>
      <c r="CS236" s="113"/>
      <c r="CT236" s="113"/>
      <c r="CU236" s="62">
        <f>订货1!BD236</f>
        <v>0</v>
      </c>
      <c r="CV236" s="113"/>
      <c r="CW236" s="113"/>
      <c r="CX236" s="62">
        <f>订货1!BE236</f>
        <v>0</v>
      </c>
      <c r="CY236" s="113"/>
      <c r="CZ236" s="113"/>
      <c r="DA236" s="62">
        <f>订货1!BF236</f>
        <v>0</v>
      </c>
      <c r="DB236" s="113"/>
      <c r="DC236" s="113"/>
      <c r="DD236" s="208">
        <v>0</v>
      </c>
      <c r="DE236" s="110" t="e">
        <f t="shared" ref="DE236:DE240" si="48">INT(G236/DI236)</f>
        <v>#DIV/0!</v>
      </c>
      <c r="DF236" s="52">
        <f t="shared" ref="DF236:DF240" si="49">IFERROR(DD236+H236-G236,"")</f>
        <v>0</v>
      </c>
      <c r="DG236" s="32" t="str">
        <f>订货1!$Q236</f>
        <v>箱</v>
      </c>
      <c r="DH236" s="209" t="e">
        <f t="shared" ref="DH236:DH240" si="50">DF236/($DH$2/10000)</f>
        <v>#DIV/0!</v>
      </c>
    </row>
    <row r="237" spans="1:112" ht="15" customHeight="1">
      <c r="A237" s="48">
        <f>订货1!A237</f>
        <v>992021</v>
      </c>
      <c r="B237" s="44" t="str">
        <f>VLOOKUP($A237,订货1!$A237:$G480,7,0)</f>
        <v>上海特硕包装制品有限公司</v>
      </c>
      <c r="C237" s="44" t="str">
        <f>VLOOKUP($A237,订货1!$A237:$H480,8,0)</f>
        <v>苏州康宝塑胶有限公司</v>
      </c>
      <c r="D237" s="44" t="str">
        <f>VLOOKUP($A237,订货1!$A237:$B480,2,0)</f>
        <v>萨莉亚logo椭圆打包盒</v>
      </c>
      <c r="E237" s="44" t="str">
        <f>VLOOKUP($A237,订货1!$A237:$E480,5,0)</f>
        <v>200个/箱</v>
      </c>
      <c r="F237" s="49" t="str">
        <f>VLOOKUP($A237,订货1!$A237:$F480,6,0)</f>
        <v>箱</v>
      </c>
      <c r="G237" s="203"/>
      <c r="H237" s="56">
        <f t="shared" si="47"/>
        <v>3</v>
      </c>
      <c r="I237" s="196"/>
      <c r="J237" s="113"/>
      <c r="K237" s="113"/>
      <c r="L237" s="196"/>
      <c r="M237" s="113"/>
      <c r="N237" s="113"/>
      <c r="O237" s="62">
        <f>订货1!AB237</f>
        <v>1</v>
      </c>
      <c r="P237" s="113"/>
      <c r="Q237" s="113"/>
      <c r="R237" s="62">
        <f>订货1!AC237</f>
        <v>0</v>
      </c>
      <c r="S237" s="113"/>
      <c r="T237" s="113"/>
      <c r="U237" s="62">
        <f>订货1!AD237</f>
        <v>0</v>
      </c>
      <c r="V237" s="113"/>
      <c r="W237" s="113"/>
      <c r="X237" s="62">
        <f>订货1!AE237</f>
        <v>0</v>
      </c>
      <c r="Y237" s="113"/>
      <c r="Z237" s="113"/>
      <c r="AA237" s="62">
        <f>订货1!AF237</f>
        <v>1</v>
      </c>
      <c r="AB237" s="113"/>
      <c r="AC237" s="113"/>
      <c r="AD237" s="62">
        <f>订货1!AG237</f>
        <v>0</v>
      </c>
      <c r="AE237" s="113"/>
      <c r="AF237" s="113"/>
      <c r="AG237" s="62">
        <f>订货1!AH237</f>
        <v>0</v>
      </c>
      <c r="AH237" s="113"/>
      <c r="AI237" s="113"/>
      <c r="AJ237" s="62">
        <f>订货1!AI237</f>
        <v>0</v>
      </c>
      <c r="AK237" s="113"/>
      <c r="AL237" s="113"/>
      <c r="AM237" s="62">
        <f>订货1!AJ237</f>
        <v>0</v>
      </c>
      <c r="AN237" s="113"/>
      <c r="AO237" s="113"/>
      <c r="AP237" s="62">
        <f>订货1!AK237</f>
        <v>0</v>
      </c>
      <c r="AQ237" s="113"/>
      <c r="AR237" s="113"/>
      <c r="AS237" s="62">
        <f>订货1!AL237</f>
        <v>1</v>
      </c>
      <c r="AT237" s="113"/>
      <c r="AU237" s="113"/>
      <c r="AV237" s="62">
        <f>订货1!AM237</f>
        <v>0</v>
      </c>
      <c r="AW237" s="113"/>
      <c r="AX237" s="113"/>
      <c r="AY237" s="62">
        <f>订货1!AN237</f>
        <v>0</v>
      </c>
      <c r="AZ237" s="113"/>
      <c r="BA237" s="113"/>
      <c r="BB237" s="62">
        <f>订货1!AO237</f>
        <v>0</v>
      </c>
      <c r="BC237" s="113"/>
      <c r="BD237" s="113"/>
      <c r="BE237" s="62">
        <f>订货1!AP237</f>
        <v>0</v>
      </c>
      <c r="BF237" s="113"/>
      <c r="BG237" s="113"/>
      <c r="BH237" s="62">
        <f>订货1!AQ237</f>
        <v>0</v>
      </c>
      <c r="BI237" s="113"/>
      <c r="BJ237" s="113"/>
      <c r="BK237" s="62">
        <f>订货1!AR237</f>
        <v>0</v>
      </c>
      <c r="BL237" s="113"/>
      <c r="BM237" s="113"/>
      <c r="BN237" s="62">
        <f>订货1!AS237</f>
        <v>0</v>
      </c>
      <c r="BO237" s="113"/>
      <c r="BP237" s="113"/>
      <c r="BQ237" s="62">
        <f>订货1!AT237</f>
        <v>0</v>
      </c>
      <c r="BR237" s="113"/>
      <c r="BS237" s="113"/>
      <c r="BT237" s="62">
        <f>订货1!AU237</f>
        <v>0</v>
      </c>
      <c r="BU237" s="113"/>
      <c r="BV237" s="113"/>
      <c r="BW237" s="62">
        <f>订货1!AV237</f>
        <v>0</v>
      </c>
      <c r="BX237" s="113"/>
      <c r="BY237" s="113"/>
      <c r="BZ237" s="62">
        <f>订货1!AW237</f>
        <v>0</v>
      </c>
      <c r="CA237" s="113"/>
      <c r="CB237" s="113"/>
      <c r="CC237" s="62">
        <f>订货1!AX237</f>
        <v>0</v>
      </c>
      <c r="CD237" s="113"/>
      <c r="CE237" s="113"/>
      <c r="CF237" s="62">
        <f>订货1!AY237</f>
        <v>0</v>
      </c>
      <c r="CG237" s="113"/>
      <c r="CH237" s="113"/>
      <c r="CI237" s="62">
        <f>订货1!AZ237</f>
        <v>0</v>
      </c>
      <c r="CJ237" s="113"/>
      <c r="CK237" s="113"/>
      <c r="CL237" s="62">
        <f>订货1!BA237</f>
        <v>0</v>
      </c>
      <c r="CM237" s="113"/>
      <c r="CN237" s="113"/>
      <c r="CO237" s="62">
        <f>订货1!BB237</f>
        <v>0</v>
      </c>
      <c r="CP237" s="113"/>
      <c r="CQ237" s="113"/>
      <c r="CR237" s="62">
        <f>订货1!BC237</f>
        <v>0</v>
      </c>
      <c r="CS237" s="113"/>
      <c r="CT237" s="113"/>
      <c r="CU237" s="62">
        <f>订货1!BD237</f>
        <v>0</v>
      </c>
      <c r="CV237" s="113"/>
      <c r="CW237" s="113"/>
      <c r="CX237" s="62">
        <f>订货1!BE237</f>
        <v>0</v>
      </c>
      <c r="CY237" s="113"/>
      <c r="CZ237" s="113"/>
      <c r="DA237" s="62">
        <f>订货1!BF237</f>
        <v>0</v>
      </c>
      <c r="DB237" s="113"/>
      <c r="DC237" s="113"/>
      <c r="DD237" s="208">
        <v>0</v>
      </c>
      <c r="DE237" s="110" t="e">
        <f t="shared" si="48"/>
        <v>#DIV/0!</v>
      </c>
      <c r="DF237" s="52">
        <f t="shared" si="49"/>
        <v>3</v>
      </c>
      <c r="DG237" s="32" t="str">
        <f>订货1!$Q237</f>
        <v>箱</v>
      </c>
      <c r="DH237" s="209" t="e">
        <f t="shared" si="50"/>
        <v>#DIV/0!</v>
      </c>
    </row>
    <row r="238" spans="1:112" ht="15" customHeight="1">
      <c r="A238" s="48">
        <f>订货1!A238</f>
        <v>992022</v>
      </c>
      <c r="B238" s="44" t="str">
        <f>VLOOKUP($A238,订货1!$A238:$G481,7,0)</f>
        <v>上海特硕包装制品有限公司</v>
      </c>
      <c r="C238" s="44" t="str">
        <f>VLOOKUP($A238,订货1!$A238:$H481,8,0)</f>
        <v>苏州康宝塑胶有限公司</v>
      </c>
      <c r="D238" s="44" t="str">
        <f>VLOOKUP($A238,订货1!$A238:$B481,2,0)</f>
        <v>锡纸打包盒</v>
      </c>
      <c r="E238" s="44" t="str">
        <f>VLOOKUP($A238,订货1!$A238:$E481,5,0)</f>
        <v>1000个/箱</v>
      </c>
      <c r="F238" s="49" t="str">
        <f>VLOOKUP($A238,订货1!$A238:$F481,6,0)</f>
        <v>箱</v>
      </c>
      <c r="G238" s="203"/>
      <c r="H238" s="56">
        <f t="shared" si="47"/>
        <v>0</v>
      </c>
      <c r="I238" s="196"/>
      <c r="J238" s="113"/>
      <c r="K238" s="113"/>
      <c r="L238" s="196"/>
      <c r="M238" s="113"/>
      <c r="N238" s="113"/>
      <c r="O238" s="62">
        <f>订货1!AB238</f>
        <v>0</v>
      </c>
      <c r="P238" s="113"/>
      <c r="Q238" s="113"/>
      <c r="R238" s="62">
        <f>订货1!AC238</f>
        <v>0</v>
      </c>
      <c r="S238" s="113"/>
      <c r="T238" s="113"/>
      <c r="U238" s="62">
        <f>订货1!AD238</f>
        <v>0</v>
      </c>
      <c r="V238" s="113"/>
      <c r="W238" s="113"/>
      <c r="X238" s="62">
        <f>订货1!AE238</f>
        <v>0</v>
      </c>
      <c r="Y238" s="113"/>
      <c r="Z238" s="113"/>
      <c r="AA238" s="62">
        <f>订货1!AF238</f>
        <v>0</v>
      </c>
      <c r="AB238" s="113"/>
      <c r="AC238" s="113"/>
      <c r="AD238" s="62">
        <f>订货1!AG238</f>
        <v>0</v>
      </c>
      <c r="AE238" s="113"/>
      <c r="AF238" s="113"/>
      <c r="AG238" s="62">
        <f>订货1!AH238</f>
        <v>0</v>
      </c>
      <c r="AH238" s="113"/>
      <c r="AI238" s="113"/>
      <c r="AJ238" s="62">
        <f>订货1!AI238</f>
        <v>0</v>
      </c>
      <c r="AK238" s="113"/>
      <c r="AL238" s="113"/>
      <c r="AM238" s="62">
        <f>订货1!AJ238</f>
        <v>0</v>
      </c>
      <c r="AN238" s="113"/>
      <c r="AO238" s="113"/>
      <c r="AP238" s="62">
        <f>订货1!AK238</f>
        <v>0</v>
      </c>
      <c r="AQ238" s="113"/>
      <c r="AR238" s="113"/>
      <c r="AS238" s="62">
        <f>订货1!AL238</f>
        <v>0</v>
      </c>
      <c r="AT238" s="113"/>
      <c r="AU238" s="113"/>
      <c r="AV238" s="62">
        <f>订货1!AM238</f>
        <v>0</v>
      </c>
      <c r="AW238" s="113"/>
      <c r="AX238" s="113"/>
      <c r="AY238" s="62">
        <f>订货1!AN238</f>
        <v>0</v>
      </c>
      <c r="AZ238" s="113"/>
      <c r="BA238" s="113"/>
      <c r="BB238" s="62">
        <f>订货1!AO238</f>
        <v>0</v>
      </c>
      <c r="BC238" s="113"/>
      <c r="BD238" s="113"/>
      <c r="BE238" s="62">
        <f>订货1!AP238</f>
        <v>0</v>
      </c>
      <c r="BF238" s="113"/>
      <c r="BG238" s="113"/>
      <c r="BH238" s="62">
        <f>订货1!AQ238</f>
        <v>0</v>
      </c>
      <c r="BI238" s="113"/>
      <c r="BJ238" s="113"/>
      <c r="BK238" s="62">
        <f>订货1!AR238</f>
        <v>0</v>
      </c>
      <c r="BL238" s="113"/>
      <c r="BM238" s="113"/>
      <c r="BN238" s="62">
        <f>订货1!AS238</f>
        <v>0</v>
      </c>
      <c r="BO238" s="113"/>
      <c r="BP238" s="113"/>
      <c r="BQ238" s="62">
        <f>订货1!AT238</f>
        <v>0</v>
      </c>
      <c r="BR238" s="113"/>
      <c r="BS238" s="113"/>
      <c r="BT238" s="62">
        <f>订货1!AU238</f>
        <v>0</v>
      </c>
      <c r="BU238" s="113"/>
      <c r="BV238" s="113"/>
      <c r="BW238" s="62">
        <f>订货1!AV238</f>
        <v>0</v>
      </c>
      <c r="BX238" s="113"/>
      <c r="BY238" s="113"/>
      <c r="BZ238" s="62">
        <f>订货1!AW238</f>
        <v>0</v>
      </c>
      <c r="CA238" s="113"/>
      <c r="CB238" s="113"/>
      <c r="CC238" s="62">
        <f>订货1!AX238</f>
        <v>0</v>
      </c>
      <c r="CD238" s="113"/>
      <c r="CE238" s="113"/>
      <c r="CF238" s="62">
        <f>订货1!AY238</f>
        <v>0</v>
      </c>
      <c r="CG238" s="113"/>
      <c r="CH238" s="113"/>
      <c r="CI238" s="62">
        <f>订货1!AZ238</f>
        <v>0</v>
      </c>
      <c r="CJ238" s="113"/>
      <c r="CK238" s="113"/>
      <c r="CL238" s="62">
        <f>订货1!BA238</f>
        <v>0</v>
      </c>
      <c r="CM238" s="113"/>
      <c r="CN238" s="113"/>
      <c r="CO238" s="62">
        <f>订货1!BB238</f>
        <v>0</v>
      </c>
      <c r="CP238" s="113"/>
      <c r="CQ238" s="113"/>
      <c r="CR238" s="62">
        <f>订货1!BC238</f>
        <v>0</v>
      </c>
      <c r="CS238" s="113"/>
      <c r="CT238" s="113"/>
      <c r="CU238" s="62">
        <f>订货1!BD238</f>
        <v>0</v>
      </c>
      <c r="CV238" s="113"/>
      <c r="CW238" s="113"/>
      <c r="CX238" s="62">
        <f>订货1!BE238</f>
        <v>0</v>
      </c>
      <c r="CY238" s="113"/>
      <c r="CZ238" s="113"/>
      <c r="DA238" s="62">
        <f>订货1!BF238</f>
        <v>0</v>
      </c>
      <c r="DB238" s="113"/>
      <c r="DC238" s="113"/>
      <c r="DD238" s="208">
        <v>0</v>
      </c>
      <c r="DE238" s="110" t="e">
        <f t="shared" si="48"/>
        <v>#DIV/0!</v>
      </c>
      <c r="DF238" s="52">
        <f t="shared" si="49"/>
        <v>0</v>
      </c>
      <c r="DG238" s="32" t="str">
        <f>订货1!$Q238</f>
        <v>箱</v>
      </c>
      <c r="DH238" s="209" t="e">
        <f t="shared" si="50"/>
        <v>#DIV/0!</v>
      </c>
    </row>
    <row r="239" spans="1:112" ht="15" customHeight="1">
      <c r="A239" s="48">
        <f>订货1!A239</f>
        <v>992023</v>
      </c>
      <c r="B239" s="44" t="str">
        <f>VLOOKUP($A239,订货1!$A239:$G482,7,0)</f>
        <v>上海特硕包装制品有限公司</v>
      </c>
      <c r="C239" s="44" t="str">
        <f>VLOOKUP($A239,订货1!$A239:$H482,8,0)</f>
        <v>苏州康宝塑胶有限公司</v>
      </c>
      <c r="D239" s="44" t="str">
        <f>VLOOKUP($A239,订货1!$A239:$B482,2,0)</f>
        <v>萨莉亚logo刀叉组</v>
      </c>
      <c r="E239" s="44" t="str">
        <f>VLOOKUP($A239,订货1!$A239:$E482,5,0)</f>
        <v>1000个/箱</v>
      </c>
      <c r="F239" s="49" t="str">
        <f>VLOOKUP($A239,订货1!$A239:$F482,6,0)</f>
        <v>箱</v>
      </c>
      <c r="G239" s="203"/>
      <c r="H239" s="56">
        <f t="shared" si="47"/>
        <v>0</v>
      </c>
      <c r="I239" s="196"/>
      <c r="J239" s="113"/>
      <c r="K239" s="113"/>
      <c r="L239" s="196"/>
      <c r="M239" s="113"/>
      <c r="N239" s="113"/>
      <c r="O239" s="62">
        <f>订货1!AB239</f>
        <v>0</v>
      </c>
      <c r="P239" s="113"/>
      <c r="Q239" s="113"/>
      <c r="R239" s="62">
        <f>订货1!AC239</f>
        <v>0</v>
      </c>
      <c r="S239" s="113"/>
      <c r="T239" s="113"/>
      <c r="U239" s="62">
        <f>订货1!AD239</f>
        <v>0</v>
      </c>
      <c r="V239" s="113"/>
      <c r="W239" s="113"/>
      <c r="X239" s="62">
        <f>订货1!AE239</f>
        <v>0</v>
      </c>
      <c r="Y239" s="113"/>
      <c r="Z239" s="113"/>
      <c r="AA239" s="62">
        <f>订货1!AF239</f>
        <v>0</v>
      </c>
      <c r="AB239" s="113"/>
      <c r="AC239" s="113"/>
      <c r="AD239" s="62">
        <f>订货1!AG239</f>
        <v>0</v>
      </c>
      <c r="AE239" s="113"/>
      <c r="AF239" s="113"/>
      <c r="AG239" s="62">
        <f>订货1!AH239</f>
        <v>0</v>
      </c>
      <c r="AH239" s="113"/>
      <c r="AI239" s="113"/>
      <c r="AJ239" s="62">
        <f>订货1!AI239</f>
        <v>0</v>
      </c>
      <c r="AK239" s="113"/>
      <c r="AL239" s="113"/>
      <c r="AM239" s="62">
        <f>订货1!AJ239</f>
        <v>0</v>
      </c>
      <c r="AN239" s="113"/>
      <c r="AO239" s="113"/>
      <c r="AP239" s="62">
        <f>订货1!AK239</f>
        <v>0</v>
      </c>
      <c r="AQ239" s="113"/>
      <c r="AR239" s="113"/>
      <c r="AS239" s="62">
        <f>订货1!AL239</f>
        <v>0</v>
      </c>
      <c r="AT239" s="113"/>
      <c r="AU239" s="113"/>
      <c r="AV239" s="62">
        <f>订货1!AM239</f>
        <v>0</v>
      </c>
      <c r="AW239" s="113"/>
      <c r="AX239" s="113"/>
      <c r="AY239" s="62">
        <f>订货1!AN239</f>
        <v>0</v>
      </c>
      <c r="AZ239" s="113"/>
      <c r="BA239" s="113"/>
      <c r="BB239" s="62">
        <f>订货1!AO239</f>
        <v>0</v>
      </c>
      <c r="BC239" s="113"/>
      <c r="BD239" s="113"/>
      <c r="BE239" s="62">
        <f>订货1!AP239</f>
        <v>0</v>
      </c>
      <c r="BF239" s="113"/>
      <c r="BG239" s="113"/>
      <c r="BH239" s="62">
        <f>订货1!AQ239</f>
        <v>0</v>
      </c>
      <c r="BI239" s="113"/>
      <c r="BJ239" s="113"/>
      <c r="BK239" s="62">
        <f>订货1!AR239</f>
        <v>0</v>
      </c>
      <c r="BL239" s="113"/>
      <c r="BM239" s="113"/>
      <c r="BN239" s="62">
        <f>订货1!AS239</f>
        <v>0</v>
      </c>
      <c r="BO239" s="113"/>
      <c r="BP239" s="113"/>
      <c r="BQ239" s="62">
        <f>订货1!AT239</f>
        <v>0</v>
      </c>
      <c r="BR239" s="113"/>
      <c r="BS239" s="113"/>
      <c r="BT239" s="62">
        <f>订货1!AU239</f>
        <v>0</v>
      </c>
      <c r="BU239" s="113"/>
      <c r="BV239" s="113"/>
      <c r="BW239" s="62">
        <f>订货1!AV239</f>
        <v>0</v>
      </c>
      <c r="BX239" s="113"/>
      <c r="BY239" s="113"/>
      <c r="BZ239" s="62">
        <f>订货1!AW239</f>
        <v>0</v>
      </c>
      <c r="CA239" s="113"/>
      <c r="CB239" s="113"/>
      <c r="CC239" s="62">
        <f>订货1!AX239</f>
        <v>0</v>
      </c>
      <c r="CD239" s="113"/>
      <c r="CE239" s="113"/>
      <c r="CF239" s="62">
        <f>订货1!AY239</f>
        <v>0</v>
      </c>
      <c r="CG239" s="113"/>
      <c r="CH239" s="113"/>
      <c r="CI239" s="62">
        <f>订货1!AZ239</f>
        <v>0</v>
      </c>
      <c r="CJ239" s="113"/>
      <c r="CK239" s="113"/>
      <c r="CL239" s="62">
        <f>订货1!BA239</f>
        <v>0</v>
      </c>
      <c r="CM239" s="113"/>
      <c r="CN239" s="113"/>
      <c r="CO239" s="62">
        <f>订货1!BB239</f>
        <v>0</v>
      </c>
      <c r="CP239" s="113"/>
      <c r="CQ239" s="113"/>
      <c r="CR239" s="62">
        <f>订货1!BC239</f>
        <v>0</v>
      </c>
      <c r="CS239" s="113"/>
      <c r="CT239" s="113"/>
      <c r="CU239" s="62">
        <f>订货1!BD239</f>
        <v>0</v>
      </c>
      <c r="CV239" s="113"/>
      <c r="CW239" s="113"/>
      <c r="CX239" s="62">
        <f>订货1!BE239</f>
        <v>0</v>
      </c>
      <c r="CY239" s="113"/>
      <c r="CZ239" s="113"/>
      <c r="DA239" s="62">
        <f>订货1!BF239</f>
        <v>0</v>
      </c>
      <c r="DB239" s="113"/>
      <c r="DC239" s="113"/>
      <c r="DD239" s="208">
        <v>0</v>
      </c>
      <c r="DE239" s="110" t="e">
        <f t="shared" si="48"/>
        <v>#DIV/0!</v>
      </c>
      <c r="DF239" s="52">
        <f t="shared" si="49"/>
        <v>0</v>
      </c>
      <c r="DG239" s="32" t="str">
        <f>订货1!$Q239</f>
        <v>箱</v>
      </c>
      <c r="DH239" s="209" t="e">
        <f t="shared" si="50"/>
        <v>#DIV/0!</v>
      </c>
    </row>
    <row r="240" spans="1:112" ht="15" customHeight="1">
      <c r="A240" s="48">
        <f>订货1!A240</f>
        <v>992024</v>
      </c>
      <c r="B240" s="44" t="str">
        <f>VLOOKUP($A240,订货1!$A240:$G483,7,0)</f>
        <v>上海加颂纸业有限公司</v>
      </c>
      <c r="C240" s="44" t="str">
        <f>VLOOKUP($A240,订货1!$A240:$H483,8,0)</f>
        <v>上海加颂纸业有限公司</v>
      </c>
      <c r="D240" s="44" t="str">
        <f>VLOOKUP($A240,订货1!$A240:$B483,2,0)</f>
        <v>“幸福阳光”纸手帕</v>
      </c>
      <c r="E240" s="44" t="str">
        <f>VLOOKUP($A240,订货1!$A240:$E483,5,0)</f>
        <v>560个/箱</v>
      </c>
      <c r="F240" s="49" t="str">
        <f>VLOOKUP($A240,订货1!$A240:$F483,6,0)</f>
        <v>箱</v>
      </c>
      <c r="G240" s="203"/>
      <c r="H240" s="56">
        <f t="shared" si="47"/>
        <v>1</v>
      </c>
      <c r="I240" s="196"/>
      <c r="J240" s="113"/>
      <c r="K240" s="113"/>
      <c r="L240" s="196"/>
      <c r="M240" s="113"/>
      <c r="N240" s="113"/>
      <c r="O240" s="62">
        <f>订货1!AB240</f>
        <v>0</v>
      </c>
      <c r="P240" s="113"/>
      <c r="Q240" s="113"/>
      <c r="R240" s="62">
        <f>订货1!AC240</f>
        <v>0</v>
      </c>
      <c r="S240" s="113"/>
      <c r="T240" s="113"/>
      <c r="U240" s="62">
        <f>订货1!AD240</f>
        <v>0</v>
      </c>
      <c r="V240" s="113"/>
      <c r="W240" s="113"/>
      <c r="X240" s="62">
        <f>订货1!AE240</f>
        <v>0</v>
      </c>
      <c r="Y240" s="113"/>
      <c r="Z240" s="113"/>
      <c r="AA240" s="62">
        <f>订货1!AF240</f>
        <v>0</v>
      </c>
      <c r="AB240" s="113"/>
      <c r="AC240" s="113"/>
      <c r="AD240" s="62">
        <f>订货1!AG240</f>
        <v>0</v>
      </c>
      <c r="AE240" s="113"/>
      <c r="AF240" s="113"/>
      <c r="AG240" s="62">
        <f>订货1!AH240</f>
        <v>0</v>
      </c>
      <c r="AH240" s="113"/>
      <c r="AI240" s="113"/>
      <c r="AJ240" s="62">
        <f>订货1!AI240</f>
        <v>0</v>
      </c>
      <c r="AK240" s="113"/>
      <c r="AL240" s="113"/>
      <c r="AM240" s="62">
        <f>订货1!AJ240</f>
        <v>0</v>
      </c>
      <c r="AN240" s="113"/>
      <c r="AO240" s="113"/>
      <c r="AP240" s="62">
        <f>订货1!AK240</f>
        <v>0</v>
      </c>
      <c r="AQ240" s="113"/>
      <c r="AR240" s="113"/>
      <c r="AS240" s="62">
        <f>订货1!AL240</f>
        <v>1</v>
      </c>
      <c r="AT240" s="113"/>
      <c r="AU240" s="113"/>
      <c r="AV240" s="62">
        <f>订货1!AM240</f>
        <v>0</v>
      </c>
      <c r="AW240" s="113"/>
      <c r="AX240" s="113"/>
      <c r="AY240" s="62">
        <f>订货1!AN240</f>
        <v>0</v>
      </c>
      <c r="AZ240" s="113"/>
      <c r="BA240" s="113"/>
      <c r="BB240" s="62">
        <f>订货1!AO240</f>
        <v>0</v>
      </c>
      <c r="BC240" s="113"/>
      <c r="BD240" s="113"/>
      <c r="BE240" s="62">
        <f>订货1!AP240</f>
        <v>0</v>
      </c>
      <c r="BF240" s="113"/>
      <c r="BG240" s="113"/>
      <c r="BH240" s="62">
        <f>订货1!AQ240</f>
        <v>0</v>
      </c>
      <c r="BI240" s="113"/>
      <c r="BJ240" s="113"/>
      <c r="BK240" s="62">
        <f>订货1!AR240</f>
        <v>0</v>
      </c>
      <c r="BL240" s="113"/>
      <c r="BM240" s="113"/>
      <c r="BN240" s="62">
        <f>订货1!AS240</f>
        <v>0</v>
      </c>
      <c r="BO240" s="113"/>
      <c r="BP240" s="113"/>
      <c r="BQ240" s="62">
        <f>订货1!AT240</f>
        <v>0</v>
      </c>
      <c r="BR240" s="113"/>
      <c r="BS240" s="113"/>
      <c r="BT240" s="62">
        <f>订货1!AU240</f>
        <v>0</v>
      </c>
      <c r="BU240" s="113"/>
      <c r="BV240" s="113"/>
      <c r="BW240" s="62">
        <f>订货1!AV240</f>
        <v>0</v>
      </c>
      <c r="BX240" s="113"/>
      <c r="BY240" s="113"/>
      <c r="BZ240" s="62">
        <f>订货1!AW240</f>
        <v>0</v>
      </c>
      <c r="CA240" s="113"/>
      <c r="CB240" s="113"/>
      <c r="CC240" s="62">
        <f>订货1!AX240</f>
        <v>0</v>
      </c>
      <c r="CD240" s="113"/>
      <c r="CE240" s="113"/>
      <c r="CF240" s="62">
        <f>订货1!AY240</f>
        <v>0</v>
      </c>
      <c r="CG240" s="113"/>
      <c r="CH240" s="113"/>
      <c r="CI240" s="62">
        <f>订货1!AZ240</f>
        <v>0</v>
      </c>
      <c r="CJ240" s="113"/>
      <c r="CK240" s="113"/>
      <c r="CL240" s="62">
        <f>订货1!BA240</f>
        <v>0</v>
      </c>
      <c r="CM240" s="113"/>
      <c r="CN240" s="113"/>
      <c r="CO240" s="62">
        <f>订货1!BB240</f>
        <v>0</v>
      </c>
      <c r="CP240" s="113"/>
      <c r="CQ240" s="113"/>
      <c r="CR240" s="62">
        <f>订货1!BC240</f>
        <v>0</v>
      </c>
      <c r="CS240" s="113"/>
      <c r="CT240" s="113"/>
      <c r="CU240" s="62">
        <f>订货1!BD240</f>
        <v>0</v>
      </c>
      <c r="CV240" s="113"/>
      <c r="CW240" s="113"/>
      <c r="CX240" s="62">
        <f>订货1!BE240</f>
        <v>0</v>
      </c>
      <c r="CY240" s="113"/>
      <c r="CZ240" s="113"/>
      <c r="DA240" s="62">
        <f>订货1!BF240</f>
        <v>0</v>
      </c>
      <c r="DB240" s="113"/>
      <c r="DC240" s="113"/>
      <c r="DD240" s="208">
        <v>0</v>
      </c>
      <c r="DE240" s="110" t="e">
        <f t="shared" si="48"/>
        <v>#DIV/0!</v>
      </c>
      <c r="DF240" s="52">
        <f t="shared" si="49"/>
        <v>1</v>
      </c>
      <c r="DG240" s="32" t="str">
        <f>订货1!$Q240</f>
        <v>箱</v>
      </c>
      <c r="DH240" s="209" t="e">
        <f t="shared" si="50"/>
        <v>#DIV/0!</v>
      </c>
    </row>
    <row r="241" spans="1:112" ht="15" customHeight="1">
      <c r="A241" s="48"/>
      <c r="B241" s="44" t="e">
        <f>VLOOKUP($A241,订货1!$A243:$G484,7,0)</f>
        <v>#N/A</v>
      </c>
      <c r="C241" s="44" t="e">
        <f>VLOOKUP($A241,订货1!$A243:$H484,8,0)</f>
        <v>#N/A</v>
      </c>
      <c r="D241" s="44"/>
      <c r="E241" s="44"/>
      <c r="F241" s="49"/>
      <c r="G241" s="203"/>
      <c r="H241" s="56">
        <f t="shared" si="47"/>
        <v>0</v>
      </c>
      <c r="I241" s="196"/>
      <c r="J241" s="113"/>
      <c r="K241" s="113"/>
      <c r="L241" s="196"/>
      <c r="M241" s="113"/>
      <c r="N241" s="113"/>
      <c r="O241" s="62">
        <f>订货1!AB243</f>
        <v>0</v>
      </c>
      <c r="P241" s="113"/>
      <c r="Q241" s="113"/>
      <c r="R241" s="62">
        <f>订货1!AC243</f>
        <v>0</v>
      </c>
      <c r="S241" s="113"/>
      <c r="T241" s="113"/>
      <c r="U241" s="62">
        <f>订货1!AD243</f>
        <v>0</v>
      </c>
      <c r="V241" s="113"/>
      <c r="W241" s="113"/>
      <c r="X241" s="62">
        <f>订货1!AE243</f>
        <v>0</v>
      </c>
      <c r="Y241" s="113"/>
      <c r="Z241" s="113"/>
      <c r="AA241" s="62">
        <f>订货1!AF243</f>
        <v>0</v>
      </c>
      <c r="AB241" s="113"/>
      <c r="AC241" s="113"/>
      <c r="AD241" s="62">
        <f>订货1!AG243</f>
        <v>0</v>
      </c>
      <c r="AE241" s="113"/>
      <c r="AF241" s="113"/>
      <c r="AG241" s="62">
        <f>订货1!AH243</f>
        <v>0</v>
      </c>
      <c r="AH241" s="113"/>
      <c r="AI241" s="113"/>
      <c r="AJ241" s="62">
        <f>订货1!AI243</f>
        <v>0</v>
      </c>
      <c r="AK241" s="113"/>
      <c r="AL241" s="113"/>
      <c r="AM241" s="62">
        <f>订货1!AJ243</f>
        <v>0</v>
      </c>
      <c r="AN241" s="113"/>
      <c r="AO241" s="113"/>
      <c r="AP241" s="62">
        <f>订货1!AK243</f>
        <v>0</v>
      </c>
      <c r="AQ241" s="113"/>
      <c r="AR241" s="113"/>
      <c r="AS241" s="62">
        <f>订货1!AL243</f>
        <v>0</v>
      </c>
      <c r="AT241" s="113"/>
      <c r="AU241" s="113"/>
      <c r="AV241" s="62">
        <f>订货1!AM243</f>
        <v>0</v>
      </c>
      <c r="AW241" s="113"/>
      <c r="AX241" s="113"/>
      <c r="AY241" s="62">
        <f>订货1!AN243</f>
        <v>0</v>
      </c>
      <c r="AZ241" s="113"/>
      <c r="BA241" s="113"/>
      <c r="BB241" s="62">
        <f>订货1!AO243</f>
        <v>0</v>
      </c>
      <c r="BC241" s="113"/>
      <c r="BD241" s="113"/>
      <c r="BE241" s="62">
        <f>订货1!AP243</f>
        <v>0</v>
      </c>
      <c r="BF241" s="113"/>
      <c r="BG241" s="113"/>
      <c r="BH241" s="62">
        <f>订货1!AQ243</f>
        <v>0</v>
      </c>
      <c r="BI241" s="113"/>
      <c r="BJ241" s="113"/>
      <c r="BK241" s="62">
        <f>订货1!AR243</f>
        <v>0</v>
      </c>
      <c r="BL241" s="113"/>
      <c r="BM241" s="113"/>
      <c r="BN241" s="62">
        <f>订货1!AS243</f>
        <v>0</v>
      </c>
      <c r="BO241" s="113"/>
      <c r="BP241" s="113"/>
      <c r="BQ241" s="62">
        <f>订货1!AT243</f>
        <v>0</v>
      </c>
      <c r="BR241" s="113"/>
      <c r="BS241" s="113"/>
      <c r="BT241" s="62">
        <f>订货1!AU241</f>
        <v>0</v>
      </c>
      <c r="BU241" s="113"/>
      <c r="BV241" s="113"/>
      <c r="BW241" s="62">
        <f>订货1!AV241</f>
        <v>0</v>
      </c>
      <c r="BX241" s="113"/>
      <c r="BY241" s="113"/>
      <c r="BZ241" s="62">
        <f>订货1!AW241</f>
        <v>0</v>
      </c>
      <c r="CA241" s="113"/>
      <c r="CB241" s="113"/>
      <c r="CC241" s="62">
        <f>订货1!AX241</f>
        <v>0</v>
      </c>
      <c r="CD241" s="113"/>
      <c r="CE241" s="113"/>
      <c r="CF241" s="62">
        <f>订货1!AY241</f>
        <v>0</v>
      </c>
      <c r="CG241" s="113"/>
      <c r="CH241" s="113"/>
      <c r="CI241" s="62">
        <f>订货1!AZ241</f>
        <v>0</v>
      </c>
      <c r="CJ241" s="113"/>
      <c r="CK241" s="113"/>
      <c r="CL241" s="62">
        <f>订货1!BA241</f>
        <v>0</v>
      </c>
      <c r="CM241" s="113"/>
      <c r="CN241" s="113"/>
      <c r="CO241" s="62">
        <f>订货1!BB241</f>
        <v>0</v>
      </c>
      <c r="CP241" s="113"/>
      <c r="CQ241" s="113"/>
      <c r="CR241" s="62">
        <f>订货1!BC241</f>
        <v>0</v>
      </c>
      <c r="CS241" s="113"/>
      <c r="CT241" s="113"/>
      <c r="CU241" s="62">
        <f>订货1!BD241</f>
        <v>0</v>
      </c>
      <c r="CV241" s="113"/>
      <c r="CW241" s="113"/>
      <c r="CX241" s="62">
        <f>订货1!BE241</f>
        <v>0</v>
      </c>
      <c r="CY241" s="113"/>
      <c r="CZ241" s="113"/>
      <c r="DA241" s="62">
        <f>订货1!BF243</f>
        <v>0</v>
      </c>
      <c r="DB241" s="113"/>
      <c r="DC241" s="113"/>
      <c r="DD241" s="208">
        <v>0</v>
      </c>
      <c r="DE241" s="110" t="e">
        <f t="shared" si="45"/>
        <v>#DIV/0!</v>
      </c>
      <c r="DF241" s="52">
        <f t="shared" si="44"/>
        <v>0</v>
      </c>
      <c r="DG241" s="32">
        <f>订货1!$Q243</f>
        <v>0</v>
      </c>
      <c r="DH241" s="209" t="e">
        <f t="shared" si="46"/>
        <v>#DIV/0!</v>
      </c>
    </row>
    <row r="242" spans="1:112" ht="15" customHeight="1">
      <c r="A242" s="48"/>
      <c r="B242" s="44" t="e">
        <f>VLOOKUP($A242,订货1!$A244:$G485,7,0)</f>
        <v>#N/A</v>
      </c>
      <c r="C242" s="44" t="e">
        <f>VLOOKUP($A242,订货1!$A244:$H485,8,0)</f>
        <v>#N/A</v>
      </c>
      <c r="D242" s="44"/>
      <c r="E242" s="44"/>
      <c r="F242" s="49"/>
      <c r="G242" s="203"/>
      <c r="H242" s="56">
        <f t="shared" si="47"/>
        <v>0</v>
      </c>
      <c r="I242" s="196"/>
      <c r="J242" s="113"/>
      <c r="K242" s="113"/>
      <c r="L242" s="196"/>
      <c r="M242" s="113"/>
      <c r="N242" s="113"/>
      <c r="O242" s="62">
        <f>订货1!AB244</f>
        <v>0</v>
      </c>
      <c r="P242" s="113"/>
      <c r="Q242" s="113"/>
      <c r="R242" s="62">
        <f>订货1!AC244</f>
        <v>0</v>
      </c>
      <c r="S242" s="113"/>
      <c r="T242" s="113"/>
      <c r="U242" s="62">
        <f>订货1!AD244</f>
        <v>0</v>
      </c>
      <c r="V242" s="113"/>
      <c r="W242" s="113"/>
      <c r="X242" s="62">
        <f>订货1!AE244</f>
        <v>0</v>
      </c>
      <c r="Y242" s="113"/>
      <c r="Z242" s="113"/>
      <c r="AA242" s="62">
        <f>订货1!AF244</f>
        <v>0</v>
      </c>
      <c r="AB242" s="113"/>
      <c r="AC242" s="113"/>
      <c r="AD242" s="62">
        <f>订货1!AG244</f>
        <v>0</v>
      </c>
      <c r="AE242" s="113"/>
      <c r="AF242" s="113"/>
      <c r="AG242" s="62">
        <f>订货1!AH244</f>
        <v>0</v>
      </c>
      <c r="AH242" s="113"/>
      <c r="AI242" s="113"/>
      <c r="AJ242" s="62">
        <f>订货1!AI244</f>
        <v>0</v>
      </c>
      <c r="AK242" s="113"/>
      <c r="AL242" s="113"/>
      <c r="AM242" s="62">
        <f>订货1!AJ244</f>
        <v>0</v>
      </c>
      <c r="AN242" s="113"/>
      <c r="AO242" s="113"/>
      <c r="AP242" s="62">
        <f>订货1!AK244</f>
        <v>0</v>
      </c>
      <c r="AQ242" s="113"/>
      <c r="AR242" s="113"/>
      <c r="AS242" s="62">
        <f>订货1!AL244</f>
        <v>0</v>
      </c>
      <c r="AT242" s="113"/>
      <c r="AU242" s="113"/>
      <c r="AV242" s="62">
        <f>订货1!AM244</f>
        <v>0</v>
      </c>
      <c r="AW242" s="113"/>
      <c r="AX242" s="113"/>
      <c r="AY242" s="62">
        <f>订货1!AN244</f>
        <v>0</v>
      </c>
      <c r="AZ242" s="113"/>
      <c r="BA242" s="113"/>
      <c r="BB242" s="62">
        <f>订货1!AO244</f>
        <v>0</v>
      </c>
      <c r="BC242" s="113"/>
      <c r="BD242" s="113"/>
      <c r="BE242" s="62">
        <f>订货1!AP244</f>
        <v>0</v>
      </c>
      <c r="BF242" s="113"/>
      <c r="BG242" s="113"/>
      <c r="BH242" s="62">
        <f>订货1!AQ244</f>
        <v>0</v>
      </c>
      <c r="BI242" s="113"/>
      <c r="BJ242" s="113"/>
      <c r="BK242" s="62">
        <f>订货1!AR244</f>
        <v>0</v>
      </c>
      <c r="BL242" s="113"/>
      <c r="BM242" s="113"/>
      <c r="BN242" s="62">
        <f>订货1!AS244</f>
        <v>0</v>
      </c>
      <c r="BO242" s="113"/>
      <c r="BP242" s="113"/>
      <c r="BQ242" s="62">
        <f>订货1!AT244</f>
        <v>0</v>
      </c>
      <c r="BR242" s="113"/>
      <c r="BS242" s="113"/>
      <c r="BT242" s="62">
        <f>订货1!AU242</f>
        <v>0</v>
      </c>
      <c r="BU242" s="113"/>
      <c r="BV242" s="113"/>
      <c r="BW242" s="62">
        <f>订货1!AV242</f>
        <v>0</v>
      </c>
      <c r="BX242" s="113"/>
      <c r="BY242" s="113"/>
      <c r="BZ242" s="62">
        <f>订货1!AW242</f>
        <v>0</v>
      </c>
      <c r="CA242" s="113"/>
      <c r="CB242" s="113"/>
      <c r="CC242" s="62">
        <f>订货1!AX242</f>
        <v>0</v>
      </c>
      <c r="CD242" s="113"/>
      <c r="CE242" s="113"/>
      <c r="CF242" s="62">
        <f>订货1!AY242</f>
        <v>0</v>
      </c>
      <c r="CG242" s="113"/>
      <c r="CH242" s="113"/>
      <c r="CI242" s="62">
        <f>订货1!AZ242</f>
        <v>0</v>
      </c>
      <c r="CJ242" s="113"/>
      <c r="CK242" s="113"/>
      <c r="CL242" s="62">
        <f>订货1!BA242</f>
        <v>0</v>
      </c>
      <c r="CM242" s="113"/>
      <c r="CN242" s="113"/>
      <c r="CO242" s="62">
        <f>订货1!BB242</f>
        <v>0</v>
      </c>
      <c r="CP242" s="113"/>
      <c r="CQ242" s="113"/>
      <c r="CR242" s="62">
        <f>订货1!BC242</f>
        <v>0</v>
      </c>
      <c r="CS242" s="113"/>
      <c r="CT242" s="113"/>
      <c r="CU242" s="62">
        <f>订货1!BD242</f>
        <v>0</v>
      </c>
      <c r="CV242" s="113"/>
      <c r="CW242" s="113"/>
      <c r="CX242" s="62">
        <f>订货1!BE242</f>
        <v>0</v>
      </c>
      <c r="CY242" s="113"/>
      <c r="CZ242" s="113"/>
      <c r="DA242" s="62">
        <f>订货1!BF244</f>
        <v>0</v>
      </c>
      <c r="DB242" s="113"/>
      <c r="DC242" s="113"/>
      <c r="DD242" s="208">
        <v>0</v>
      </c>
      <c r="DE242" s="110" t="e">
        <f t="shared" si="45"/>
        <v>#DIV/0!</v>
      </c>
      <c r="DF242" s="52">
        <f t="shared" si="44"/>
        <v>0</v>
      </c>
      <c r="DG242" s="32">
        <f>订货1!$Q244</f>
        <v>0</v>
      </c>
      <c r="DH242" s="209" t="e">
        <f t="shared" si="46"/>
        <v>#DIV/0!</v>
      </c>
    </row>
    <row r="243" spans="1:112" ht="15" customHeight="1">
      <c r="A243" s="48"/>
      <c r="B243" s="44" t="e">
        <f>VLOOKUP($A243,订货1!$A245:$G486,7,0)</f>
        <v>#N/A</v>
      </c>
      <c r="C243" s="44" t="e">
        <f>VLOOKUP($A243,订货1!$A245:$H486,8,0)</f>
        <v>#N/A</v>
      </c>
      <c r="D243" s="44"/>
      <c r="E243" s="44"/>
      <c r="F243" s="49"/>
      <c r="G243" s="203"/>
      <c r="H243" s="56">
        <f t="shared" si="47"/>
        <v>0</v>
      </c>
      <c r="I243" s="196"/>
      <c r="J243" s="113"/>
      <c r="K243" s="113"/>
      <c r="L243" s="196"/>
      <c r="M243" s="113"/>
      <c r="N243" s="113"/>
      <c r="O243" s="62">
        <f>订货1!AB245</f>
        <v>0</v>
      </c>
      <c r="P243" s="113"/>
      <c r="Q243" s="113"/>
      <c r="R243" s="62">
        <f>订货1!AC245</f>
        <v>0</v>
      </c>
      <c r="S243" s="113"/>
      <c r="T243" s="113"/>
      <c r="U243" s="62">
        <f>订货1!AD245</f>
        <v>0</v>
      </c>
      <c r="V243" s="113"/>
      <c r="W243" s="113"/>
      <c r="X243" s="62">
        <f>订货1!AE245</f>
        <v>0</v>
      </c>
      <c r="Y243" s="113"/>
      <c r="Z243" s="113"/>
      <c r="AA243" s="62">
        <f>订货1!AF245</f>
        <v>0</v>
      </c>
      <c r="AB243" s="113"/>
      <c r="AC243" s="113"/>
      <c r="AD243" s="62">
        <f>订货1!AG245</f>
        <v>0</v>
      </c>
      <c r="AE243" s="113"/>
      <c r="AF243" s="113"/>
      <c r="AG243" s="62">
        <f>订货1!AH245</f>
        <v>0</v>
      </c>
      <c r="AH243" s="113"/>
      <c r="AI243" s="113"/>
      <c r="AJ243" s="62">
        <f>订货1!AI245</f>
        <v>0</v>
      </c>
      <c r="AK243" s="113"/>
      <c r="AL243" s="113"/>
      <c r="AM243" s="62">
        <f>订货1!AJ245</f>
        <v>0</v>
      </c>
      <c r="AN243" s="113"/>
      <c r="AO243" s="113"/>
      <c r="AP243" s="62">
        <f>订货1!AK245</f>
        <v>0</v>
      </c>
      <c r="AQ243" s="113"/>
      <c r="AR243" s="113"/>
      <c r="AS243" s="62">
        <f>订货1!AL245</f>
        <v>0</v>
      </c>
      <c r="AT243" s="113"/>
      <c r="AU243" s="113"/>
      <c r="AV243" s="62">
        <f>订货1!AM245</f>
        <v>0</v>
      </c>
      <c r="AW243" s="113"/>
      <c r="AX243" s="113"/>
      <c r="AY243" s="62">
        <f>订货1!AN245</f>
        <v>0</v>
      </c>
      <c r="AZ243" s="113"/>
      <c r="BA243" s="113"/>
      <c r="BB243" s="62">
        <f>订货1!AO245</f>
        <v>0</v>
      </c>
      <c r="BC243" s="113"/>
      <c r="BD243" s="113"/>
      <c r="BE243" s="62">
        <f>订货1!AP245</f>
        <v>0</v>
      </c>
      <c r="BF243" s="113"/>
      <c r="BG243" s="113"/>
      <c r="BH243" s="62">
        <f>订货1!AQ245</f>
        <v>0</v>
      </c>
      <c r="BI243" s="113"/>
      <c r="BJ243" s="113"/>
      <c r="BK243" s="62">
        <f>订货1!AR245</f>
        <v>0</v>
      </c>
      <c r="BL243" s="113"/>
      <c r="BM243" s="113"/>
      <c r="BN243" s="62">
        <f>订货1!AS245</f>
        <v>0</v>
      </c>
      <c r="BO243" s="113"/>
      <c r="BP243" s="113"/>
      <c r="BQ243" s="62">
        <f>订货1!AT245</f>
        <v>0</v>
      </c>
      <c r="BR243" s="113"/>
      <c r="BS243" s="113"/>
      <c r="BT243" s="62">
        <f>订货1!AU243</f>
        <v>0</v>
      </c>
      <c r="BU243" s="113"/>
      <c r="BV243" s="113"/>
      <c r="BW243" s="62">
        <f>订货1!AV243</f>
        <v>0</v>
      </c>
      <c r="BX243" s="113"/>
      <c r="BY243" s="113"/>
      <c r="BZ243" s="62">
        <f>订货1!AW243</f>
        <v>0</v>
      </c>
      <c r="CA243" s="113"/>
      <c r="CB243" s="113"/>
      <c r="CC243" s="62">
        <f>订货1!AX243</f>
        <v>0</v>
      </c>
      <c r="CD243" s="113"/>
      <c r="CE243" s="113"/>
      <c r="CF243" s="62">
        <f>订货1!AY243</f>
        <v>0</v>
      </c>
      <c r="CG243" s="113"/>
      <c r="CH243" s="113"/>
      <c r="CI243" s="62">
        <f>订货1!AZ243</f>
        <v>0</v>
      </c>
      <c r="CJ243" s="113"/>
      <c r="CK243" s="113"/>
      <c r="CL243" s="62">
        <f>订货1!BA243</f>
        <v>0</v>
      </c>
      <c r="CM243" s="113"/>
      <c r="CN243" s="113"/>
      <c r="CO243" s="62">
        <f>订货1!BB243</f>
        <v>0</v>
      </c>
      <c r="CP243" s="113"/>
      <c r="CQ243" s="113"/>
      <c r="CR243" s="62">
        <f>订货1!BC243</f>
        <v>0</v>
      </c>
      <c r="CS243" s="113"/>
      <c r="CT243" s="113"/>
      <c r="CU243" s="62">
        <f>订货1!BD243</f>
        <v>0</v>
      </c>
      <c r="CV243" s="113"/>
      <c r="CW243" s="113"/>
      <c r="CX243" s="62">
        <f>订货1!BE243</f>
        <v>0</v>
      </c>
      <c r="CY243" s="113"/>
      <c r="CZ243" s="113"/>
      <c r="DA243" s="62">
        <f>订货1!BF245</f>
        <v>0</v>
      </c>
      <c r="DB243" s="113"/>
      <c r="DC243" s="113"/>
      <c r="DD243" s="208">
        <v>0</v>
      </c>
      <c r="DE243" s="110" t="e">
        <f t="shared" si="45"/>
        <v>#DIV/0!</v>
      </c>
      <c r="DF243" s="52">
        <f t="shared" si="44"/>
        <v>0</v>
      </c>
      <c r="DG243" s="32">
        <f>订货1!$Q245</f>
        <v>0</v>
      </c>
      <c r="DH243" s="209" t="e">
        <f t="shared" si="46"/>
        <v>#DIV/0!</v>
      </c>
    </row>
    <row r="244" spans="1:112" ht="15" customHeight="1">
      <c r="A244" s="48"/>
      <c r="B244" s="44" t="e">
        <f>VLOOKUP($A244,订货1!$A246:$G487,7,0)</f>
        <v>#N/A</v>
      </c>
      <c r="C244" s="44" t="e">
        <f>VLOOKUP($A244,订货1!$A246:$H487,8,0)</f>
        <v>#N/A</v>
      </c>
      <c r="D244" s="44"/>
      <c r="E244" s="44"/>
      <c r="F244" s="49"/>
      <c r="G244" s="203"/>
      <c r="H244" s="56">
        <f t="shared" si="47"/>
        <v>0</v>
      </c>
      <c r="I244" s="196"/>
      <c r="J244" s="113"/>
      <c r="K244" s="113"/>
      <c r="L244" s="196"/>
      <c r="M244" s="113"/>
      <c r="N244" s="113"/>
      <c r="O244" s="62">
        <f>订货1!AB246</f>
        <v>0</v>
      </c>
      <c r="P244" s="113"/>
      <c r="Q244" s="113"/>
      <c r="R244" s="62">
        <f>订货1!AC246</f>
        <v>0</v>
      </c>
      <c r="S244" s="113"/>
      <c r="T244" s="113"/>
      <c r="U244" s="62">
        <f>订货1!AD246</f>
        <v>0</v>
      </c>
      <c r="V244" s="113"/>
      <c r="W244" s="113"/>
      <c r="X244" s="62">
        <f>订货1!AE246</f>
        <v>0</v>
      </c>
      <c r="Y244" s="113"/>
      <c r="Z244" s="113"/>
      <c r="AA244" s="62">
        <f>订货1!AF246</f>
        <v>0</v>
      </c>
      <c r="AB244" s="113"/>
      <c r="AC244" s="113"/>
      <c r="AD244" s="62">
        <f>订货1!AG246</f>
        <v>0</v>
      </c>
      <c r="AE244" s="113"/>
      <c r="AF244" s="113"/>
      <c r="AG244" s="62">
        <f>订货1!AH246</f>
        <v>0</v>
      </c>
      <c r="AH244" s="113"/>
      <c r="AI244" s="113"/>
      <c r="AJ244" s="62">
        <f>订货1!AI246</f>
        <v>0</v>
      </c>
      <c r="AK244" s="113"/>
      <c r="AL244" s="113"/>
      <c r="AM244" s="62">
        <f>订货1!AJ246</f>
        <v>0</v>
      </c>
      <c r="AN244" s="113"/>
      <c r="AO244" s="113"/>
      <c r="AP244" s="62">
        <f>订货1!AK246</f>
        <v>0</v>
      </c>
      <c r="AQ244" s="113"/>
      <c r="AR244" s="113"/>
      <c r="AS244" s="62">
        <f>订货1!AL246</f>
        <v>0</v>
      </c>
      <c r="AT244" s="113"/>
      <c r="AU244" s="113"/>
      <c r="AV244" s="62">
        <f>订货1!AM246</f>
        <v>0</v>
      </c>
      <c r="AW244" s="113"/>
      <c r="AX244" s="113"/>
      <c r="AY244" s="62">
        <f>订货1!AN246</f>
        <v>0</v>
      </c>
      <c r="AZ244" s="113"/>
      <c r="BA244" s="113"/>
      <c r="BB244" s="62">
        <f>订货1!AO246</f>
        <v>0</v>
      </c>
      <c r="BC244" s="113"/>
      <c r="BD244" s="113"/>
      <c r="BE244" s="62">
        <f>订货1!AP246</f>
        <v>0</v>
      </c>
      <c r="BF244" s="113"/>
      <c r="BG244" s="113"/>
      <c r="BH244" s="62">
        <f>订货1!AQ246</f>
        <v>0</v>
      </c>
      <c r="BI244" s="113"/>
      <c r="BJ244" s="113"/>
      <c r="BK244" s="62">
        <f>订货1!AR246</f>
        <v>0</v>
      </c>
      <c r="BL244" s="113"/>
      <c r="BM244" s="113"/>
      <c r="BN244" s="62">
        <f>订货1!AS246</f>
        <v>0</v>
      </c>
      <c r="BO244" s="113"/>
      <c r="BP244" s="113"/>
      <c r="BQ244" s="62">
        <f>订货1!AT246</f>
        <v>0</v>
      </c>
      <c r="BR244" s="113"/>
      <c r="BS244" s="113"/>
      <c r="BT244" s="62">
        <f>订货1!AU244</f>
        <v>0</v>
      </c>
      <c r="BU244" s="113"/>
      <c r="BV244" s="113"/>
      <c r="BW244" s="62">
        <f>订货1!AV244</f>
        <v>0</v>
      </c>
      <c r="BX244" s="113"/>
      <c r="BY244" s="113"/>
      <c r="BZ244" s="62">
        <f>订货1!AW244</f>
        <v>0</v>
      </c>
      <c r="CA244" s="113"/>
      <c r="CB244" s="113"/>
      <c r="CC244" s="62">
        <f>订货1!AX244</f>
        <v>0</v>
      </c>
      <c r="CD244" s="113"/>
      <c r="CE244" s="113"/>
      <c r="CF244" s="62">
        <f>订货1!AY244</f>
        <v>0</v>
      </c>
      <c r="CG244" s="113"/>
      <c r="CH244" s="113"/>
      <c r="CI244" s="62">
        <f>订货1!AZ244</f>
        <v>0</v>
      </c>
      <c r="CJ244" s="113"/>
      <c r="CK244" s="113"/>
      <c r="CL244" s="62">
        <f>订货1!BA244</f>
        <v>0</v>
      </c>
      <c r="CM244" s="113"/>
      <c r="CN244" s="113"/>
      <c r="CO244" s="62">
        <f>订货1!BB244</f>
        <v>0</v>
      </c>
      <c r="CP244" s="113"/>
      <c r="CQ244" s="113"/>
      <c r="CR244" s="62">
        <f>订货1!BC244</f>
        <v>0</v>
      </c>
      <c r="CS244" s="113"/>
      <c r="CT244" s="113"/>
      <c r="CU244" s="62">
        <f>订货1!BD244</f>
        <v>0</v>
      </c>
      <c r="CV244" s="113"/>
      <c r="CW244" s="113"/>
      <c r="CX244" s="62">
        <f>订货1!BE244</f>
        <v>0</v>
      </c>
      <c r="CY244" s="113"/>
      <c r="CZ244" s="113"/>
      <c r="DA244" s="62">
        <f>订货1!BF246</f>
        <v>0</v>
      </c>
      <c r="DB244" s="113"/>
      <c r="DC244" s="113"/>
      <c r="DD244" s="208">
        <v>0</v>
      </c>
      <c r="DE244" s="110" t="e">
        <f t="shared" si="45"/>
        <v>#DIV/0!</v>
      </c>
      <c r="DF244" s="52">
        <f t="shared" si="44"/>
        <v>0</v>
      </c>
      <c r="DG244" s="32">
        <f>订货1!$Q246</f>
        <v>0</v>
      </c>
      <c r="DH244" s="209" t="e">
        <f t="shared" si="46"/>
        <v>#DIV/0!</v>
      </c>
    </row>
    <row r="245" spans="1:112" ht="15" customHeight="1">
      <c r="A245" s="48"/>
      <c r="B245" s="44" t="e">
        <f>VLOOKUP($A245,订货1!$A247:$G488,7,0)</f>
        <v>#N/A</v>
      </c>
      <c r="C245" s="44" t="e">
        <f>VLOOKUP($A245,订货1!$A247:$H488,8,0)</f>
        <v>#N/A</v>
      </c>
      <c r="D245" s="44"/>
      <c r="E245" s="44"/>
      <c r="F245" s="49"/>
      <c r="G245" s="203"/>
      <c r="H245" s="56">
        <f t="shared" si="47"/>
        <v>0</v>
      </c>
      <c r="I245" s="196"/>
      <c r="J245" s="113"/>
      <c r="K245" s="113"/>
      <c r="L245" s="196"/>
      <c r="M245" s="113"/>
      <c r="N245" s="113"/>
      <c r="O245" s="62">
        <f>订货1!AB247</f>
        <v>0</v>
      </c>
      <c r="P245" s="113"/>
      <c r="Q245" s="113"/>
      <c r="R245" s="62">
        <f>订货1!AC247</f>
        <v>0</v>
      </c>
      <c r="S245" s="113"/>
      <c r="T245" s="113"/>
      <c r="U245" s="62">
        <f>订货1!AD247</f>
        <v>0</v>
      </c>
      <c r="V245" s="113"/>
      <c r="W245" s="113"/>
      <c r="X245" s="62">
        <f>订货1!AE247</f>
        <v>0</v>
      </c>
      <c r="Y245" s="113"/>
      <c r="Z245" s="113"/>
      <c r="AA245" s="62">
        <f>订货1!AF247</f>
        <v>0</v>
      </c>
      <c r="AB245" s="113"/>
      <c r="AC245" s="113"/>
      <c r="AD245" s="62">
        <f>订货1!AG247</f>
        <v>0</v>
      </c>
      <c r="AE245" s="113"/>
      <c r="AF245" s="113"/>
      <c r="AG245" s="62">
        <f>订货1!AH247</f>
        <v>0</v>
      </c>
      <c r="AH245" s="113"/>
      <c r="AI245" s="113"/>
      <c r="AJ245" s="62">
        <f>订货1!AI247</f>
        <v>0</v>
      </c>
      <c r="AK245" s="113"/>
      <c r="AL245" s="113"/>
      <c r="AM245" s="62">
        <f>订货1!AJ247</f>
        <v>0</v>
      </c>
      <c r="AN245" s="113"/>
      <c r="AO245" s="113"/>
      <c r="AP245" s="62">
        <f>订货1!AK247</f>
        <v>0</v>
      </c>
      <c r="AQ245" s="113"/>
      <c r="AR245" s="113"/>
      <c r="AS245" s="62">
        <f>订货1!AL247</f>
        <v>0</v>
      </c>
      <c r="AT245" s="113"/>
      <c r="AU245" s="113"/>
      <c r="AV245" s="62">
        <f>订货1!AM247</f>
        <v>0</v>
      </c>
      <c r="AW245" s="113"/>
      <c r="AX245" s="113"/>
      <c r="AY245" s="62">
        <f>订货1!AN247</f>
        <v>0</v>
      </c>
      <c r="AZ245" s="113"/>
      <c r="BA245" s="113"/>
      <c r="BB245" s="62">
        <f>订货1!AO247</f>
        <v>0</v>
      </c>
      <c r="BC245" s="113"/>
      <c r="BD245" s="113"/>
      <c r="BE245" s="62">
        <f>订货1!AP247</f>
        <v>0</v>
      </c>
      <c r="BF245" s="113"/>
      <c r="BG245" s="113"/>
      <c r="BH245" s="62">
        <f>订货1!AQ247</f>
        <v>0</v>
      </c>
      <c r="BI245" s="113"/>
      <c r="BJ245" s="113"/>
      <c r="BK245" s="62">
        <f>订货1!AR247</f>
        <v>0</v>
      </c>
      <c r="BL245" s="113"/>
      <c r="BM245" s="113"/>
      <c r="BN245" s="62">
        <f>订货1!AS247</f>
        <v>0</v>
      </c>
      <c r="BO245" s="113"/>
      <c r="BP245" s="113"/>
      <c r="BQ245" s="62">
        <f>订货1!AT247</f>
        <v>0</v>
      </c>
      <c r="BR245" s="113"/>
      <c r="BS245" s="113"/>
      <c r="BT245" s="62">
        <f>订货1!AU245</f>
        <v>0</v>
      </c>
      <c r="BU245" s="113"/>
      <c r="BV245" s="113"/>
      <c r="BW245" s="62">
        <f>订货1!AV245</f>
        <v>0</v>
      </c>
      <c r="BX245" s="113"/>
      <c r="BY245" s="113"/>
      <c r="BZ245" s="62">
        <f>订货1!AW245</f>
        <v>0</v>
      </c>
      <c r="CA245" s="113"/>
      <c r="CB245" s="113"/>
      <c r="CC245" s="62">
        <f>订货1!AX245</f>
        <v>0</v>
      </c>
      <c r="CD245" s="113"/>
      <c r="CE245" s="113"/>
      <c r="CF245" s="62">
        <f>订货1!AY245</f>
        <v>0</v>
      </c>
      <c r="CG245" s="113"/>
      <c r="CH245" s="113"/>
      <c r="CI245" s="62">
        <f>订货1!AZ245</f>
        <v>0</v>
      </c>
      <c r="CJ245" s="113"/>
      <c r="CK245" s="113"/>
      <c r="CL245" s="62">
        <f>订货1!BA245</f>
        <v>0</v>
      </c>
      <c r="CM245" s="113"/>
      <c r="CN245" s="113"/>
      <c r="CO245" s="62">
        <f>订货1!BB245</f>
        <v>0</v>
      </c>
      <c r="CP245" s="113"/>
      <c r="CQ245" s="113"/>
      <c r="CR245" s="62">
        <f>订货1!BC245</f>
        <v>0</v>
      </c>
      <c r="CS245" s="113"/>
      <c r="CT245" s="113"/>
      <c r="CU245" s="62">
        <f>订货1!BD245</f>
        <v>0</v>
      </c>
      <c r="CV245" s="113"/>
      <c r="CW245" s="113"/>
      <c r="CX245" s="62">
        <f>订货1!BE245</f>
        <v>0</v>
      </c>
      <c r="CY245" s="113"/>
      <c r="CZ245" s="113"/>
      <c r="DA245" s="62">
        <f>订货1!BF247</f>
        <v>0</v>
      </c>
      <c r="DB245" s="113"/>
      <c r="DC245" s="113"/>
      <c r="DD245" s="208">
        <v>0</v>
      </c>
      <c r="DE245" s="110" t="e">
        <f t="shared" si="45"/>
        <v>#DIV/0!</v>
      </c>
      <c r="DF245" s="52">
        <f t="shared" si="44"/>
        <v>0</v>
      </c>
      <c r="DG245" s="32">
        <f>订货1!$Q247</f>
        <v>0</v>
      </c>
      <c r="DH245" s="209" t="e">
        <f t="shared" si="46"/>
        <v>#DIV/0!</v>
      </c>
    </row>
    <row r="246" spans="1:112" ht="15" customHeight="1">
      <c r="A246" s="48"/>
      <c r="B246" s="44" t="e">
        <f>VLOOKUP($A246,订货1!$A248:$G489,7,0)</f>
        <v>#N/A</v>
      </c>
      <c r="C246" s="44" t="e">
        <f>VLOOKUP($A246,订货1!$A248:$H489,8,0)</f>
        <v>#N/A</v>
      </c>
      <c r="D246" s="44"/>
      <c r="E246" s="44"/>
      <c r="F246" s="49"/>
      <c r="G246" s="203"/>
      <c r="H246" s="56">
        <f t="shared" si="47"/>
        <v>0</v>
      </c>
      <c r="I246" s="196"/>
      <c r="J246" s="113"/>
      <c r="K246" s="113"/>
      <c r="L246" s="196"/>
      <c r="M246" s="113"/>
      <c r="N246" s="113"/>
      <c r="O246" s="62">
        <f>订货1!AB248</f>
        <v>0</v>
      </c>
      <c r="P246" s="113"/>
      <c r="Q246" s="113"/>
      <c r="R246" s="62">
        <f>订货1!AC248</f>
        <v>0</v>
      </c>
      <c r="S246" s="113"/>
      <c r="T246" s="113"/>
      <c r="U246" s="62">
        <f>订货1!AD248</f>
        <v>0</v>
      </c>
      <c r="V246" s="113"/>
      <c r="W246" s="113"/>
      <c r="X246" s="62">
        <f>订货1!AE248</f>
        <v>0</v>
      </c>
      <c r="Y246" s="113"/>
      <c r="Z246" s="113"/>
      <c r="AA246" s="62">
        <f>订货1!AF248</f>
        <v>0</v>
      </c>
      <c r="AB246" s="113"/>
      <c r="AC246" s="113"/>
      <c r="AD246" s="62">
        <f>订货1!AG248</f>
        <v>0</v>
      </c>
      <c r="AE246" s="113"/>
      <c r="AF246" s="113"/>
      <c r="AG246" s="62">
        <f>订货1!AH248</f>
        <v>0</v>
      </c>
      <c r="AH246" s="113"/>
      <c r="AI246" s="113"/>
      <c r="AJ246" s="62">
        <f>订货1!AI248</f>
        <v>0</v>
      </c>
      <c r="AK246" s="113"/>
      <c r="AL246" s="113"/>
      <c r="AM246" s="62">
        <f>订货1!AJ248</f>
        <v>0</v>
      </c>
      <c r="AN246" s="113"/>
      <c r="AO246" s="113"/>
      <c r="AP246" s="62">
        <f>订货1!AK248</f>
        <v>0</v>
      </c>
      <c r="AQ246" s="113"/>
      <c r="AR246" s="113"/>
      <c r="AS246" s="62">
        <f>订货1!AL248</f>
        <v>0</v>
      </c>
      <c r="AT246" s="113"/>
      <c r="AU246" s="113"/>
      <c r="AV246" s="62">
        <f>订货1!AM248</f>
        <v>0</v>
      </c>
      <c r="AW246" s="113"/>
      <c r="AX246" s="113"/>
      <c r="AY246" s="62">
        <f>订货1!AN248</f>
        <v>0</v>
      </c>
      <c r="AZ246" s="113"/>
      <c r="BA246" s="113"/>
      <c r="BB246" s="62">
        <f>订货1!AO248</f>
        <v>0</v>
      </c>
      <c r="BC246" s="113"/>
      <c r="BD246" s="113"/>
      <c r="BE246" s="62">
        <f>订货1!AP248</f>
        <v>0</v>
      </c>
      <c r="BF246" s="113"/>
      <c r="BG246" s="113"/>
      <c r="BH246" s="62">
        <f>订货1!AQ248</f>
        <v>0</v>
      </c>
      <c r="BI246" s="113"/>
      <c r="BJ246" s="113"/>
      <c r="BK246" s="62">
        <f>订货1!AR248</f>
        <v>0</v>
      </c>
      <c r="BL246" s="113"/>
      <c r="BM246" s="113"/>
      <c r="BN246" s="62">
        <f>订货1!AS248</f>
        <v>0</v>
      </c>
      <c r="BO246" s="113"/>
      <c r="BP246" s="113"/>
      <c r="BQ246" s="62">
        <f>订货1!AT248</f>
        <v>0</v>
      </c>
      <c r="BR246" s="113"/>
      <c r="BS246" s="113"/>
      <c r="BT246" s="62">
        <f>订货1!AU246</f>
        <v>0</v>
      </c>
      <c r="BU246" s="113"/>
      <c r="BV246" s="113"/>
      <c r="BW246" s="62">
        <f>订货1!AV246</f>
        <v>0</v>
      </c>
      <c r="BX246" s="113"/>
      <c r="BY246" s="113"/>
      <c r="BZ246" s="62">
        <f>订货1!AW246</f>
        <v>0</v>
      </c>
      <c r="CA246" s="113"/>
      <c r="CB246" s="113"/>
      <c r="CC246" s="62">
        <f>订货1!AX246</f>
        <v>0</v>
      </c>
      <c r="CD246" s="113"/>
      <c r="CE246" s="113"/>
      <c r="CF246" s="62">
        <f>订货1!AY246</f>
        <v>0</v>
      </c>
      <c r="CG246" s="113"/>
      <c r="CH246" s="113"/>
      <c r="CI246" s="62">
        <f>订货1!AZ246</f>
        <v>0</v>
      </c>
      <c r="CJ246" s="113"/>
      <c r="CK246" s="113"/>
      <c r="CL246" s="62">
        <f>订货1!BA246</f>
        <v>0</v>
      </c>
      <c r="CM246" s="113"/>
      <c r="CN246" s="113"/>
      <c r="CO246" s="62">
        <f>订货1!BB246</f>
        <v>0</v>
      </c>
      <c r="CP246" s="113"/>
      <c r="CQ246" s="113"/>
      <c r="CR246" s="62">
        <f>订货1!BC246</f>
        <v>0</v>
      </c>
      <c r="CS246" s="113"/>
      <c r="CT246" s="113"/>
      <c r="CU246" s="62">
        <f>订货1!BD246</f>
        <v>0</v>
      </c>
      <c r="CV246" s="113"/>
      <c r="CW246" s="113"/>
      <c r="CX246" s="62">
        <f>订货1!BE246</f>
        <v>0</v>
      </c>
      <c r="CY246" s="113"/>
      <c r="CZ246" s="113"/>
      <c r="DA246" s="62">
        <f>订货1!BF248</f>
        <v>0</v>
      </c>
      <c r="DB246" s="113"/>
      <c r="DC246" s="113"/>
      <c r="DD246" s="208">
        <v>0</v>
      </c>
      <c r="DE246" s="110" t="e">
        <f t="shared" si="45"/>
        <v>#DIV/0!</v>
      </c>
      <c r="DF246" s="52">
        <f t="shared" si="44"/>
        <v>0</v>
      </c>
      <c r="DG246" s="32">
        <f>订货1!$Q248</f>
        <v>0</v>
      </c>
      <c r="DH246" s="209" t="e">
        <f t="shared" si="46"/>
        <v>#DIV/0!</v>
      </c>
    </row>
    <row r="247" spans="1:112" ht="15" customHeight="1">
      <c r="A247" s="48"/>
      <c r="B247" s="44" t="e">
        <f>VLOOKUP($A247,订货1!$A249:$G490,7,0)</f>
        <v>#N/A</v>
      </c>
      <c r="C247" s="44" t="e">
        <f>VLOOKUP($A247,订货1!$A249:$H490,8,0)</f>
        <v>#N/A</v>
      </c>
      <c r="D247" s="44"/>
      <c r="E247" s="44"/>
      <c r="F247" s="49"/>
      <c r="G247" s="203"/>
      <c r="H247" s="56">
        <f t="shared" si="47"/>
        <v>0</v>
      </c>
      <c r="I247" s="196"/>
      <c r="J247" s="113"/>
      <c r="K247" s="113"/>
      <c r="L247" s="196"/>
      <c r="M247" s="113"/>
      <c r="N247" s="113"/>
      <c r="O247" s="62">
        <f>订货1!AB249</f>
        <v>0</v>
      </c>
      <c r="P247" s="113"/>
      <c r="Q247" s="113"/>
      <c r="R247" s="62">
        <f>订货1!AC249</f>
        <v>0</v>
      </c>
      <c r="S247" s="113"/>
      <c r="T247" s="113"/>
      <c r="U247" s="62">
        <f>订货1!AD249</f>
        <v>0</v>
      </c>
      <c r="V247" s="113"/>
      <c r="W247" s="113"/>
      <c r="X247" s="62">
        <f>订货1!AE249</f>
        <v>0</v>
      </c>
      <c r="Y247" s="113"/>
      <c r="Z247" s="113"/>
      <c r="AA247" s="62">
        <f>订货1!AF249</f>
        <v>0</v>
      </c>
      <c r="AB247" s="113"/>
      <c r="AC247" s="113"/>
      <c r="AD247" s="62">
        <f>订货1!AG249</f>
        <v>0</v>
      </c>
      <c r="AE247" s="113"/>
      <c r="AF247" s="113"/>
      <c r="AG247" s="62">
        <f>订货1!AH249</f>
        <v>0</v>
      </c>
      <c r="AH247" s="113"/>
      <c r="AI247" s="113"/>
      <c r="AJ247" s="62">
        <f>订货1!AI249</f>
        <v>0</v>
      </c>
      <c r="AK247" s="113"/>
      <c r="AL247" s="113"/>
      <c r="AM247" s="62">
        <f>订货1!AJ249</f>
        <v>0</v>
      </c>
      <c r="AN247" s="113"/>
      <c r="AO247" s="113"/>
      <c r="AP247" s="62">
        <f>订货1!AK249</f>
        <v>0</v>
      </c>
      <c r="AQ247" s="113"/>
      <c r="AR247" s="113"/>
      <c r="AS247" s="62">
        <f>订货1!AL249</f>
        <v>0</v>
      </c>
      <c r="AT247" s="113"/>
      <c r="AU247" s="113"/>
      <c r="AV247" s="62">
        <f>订货1!AM249</f>
        <v>0</v>
      </c>
      <c r="AW247" s="113"/>
      <c r="AX247" s="113"/>
      <c r="AY247" s="62">
        <f>订货1!AN249</f>
        <v>0</v>
      </c>
      <c r="AZ247" s="113"/>
      <c r="BA247" s="113"/>
      <c r="BB247" s="62">
        <f>订货1!AO249</f>
        <v>0</v>
      </c>
      <c r="BC247" s="113"/>
      <c r="BD247" s="113"/>
      <c r="BE247" s="62">
        <f>订货1!AP249</f>
        <v>0</v>
      </c>
      <c r="BF247" s="113"/>
      <c r="BG247" s="113"/>
      <c r="BH247" s="62">
        <f>订货1!AQ249</f>
        <v>0</v>
      </c>
      <c r="BI247" s="113"/>
      <c r="BJ247" s="113"/>
      <c r="BK247" s="62">
        <f>订货1!AR249</f>
        <v>0</v>
      </c>
      <c r="BL247" s="113"/>
      <c r="BM247" s="113"/>
      <c r="BN247" s="62">
        <f>订货1!AS249</f>
        <v>0</v>
      </c>
      <c r="BO247" s="113"/>
      <c r="BP247" s="113"/>
      <c r="BQ247" s="62">
        <f>订货1!AT249</f>
        <v>0</v>
      </c>
      <c r="BR247" s="113"/>
      <c r="BS247" s="113"/>
      <c r="BT247" s="62">
        <f>订货1!AU247</f>
        <v>0</v>
      </c>
      <c r="BU247" s="113"/>
      <c r="BV247" s="113"/>
      <c r="BW247" s="62">
        <f>订货1!AV247</f>
        <v>0</v>
      </c>
      <c r="BX247" s="113"/>
      <c r="BY247" s="113"/>
      <c r="BZ247" s="62">
        <f>订货1!AW247</f>
        <v>0</v>
      </c>
      <c r="CA247" s="113"/>
      <c r="CB247" s="113"/>
      <c r="CC247" s="62">
        <f>订货1!AX247</f>
        <v>0</v>
      </c>
      <c r="CD247" s="113"/>
      <c r="CE247" s="113"/>
      <c r="CF247" s="62">
        <f>订货1!AY247</f>
        <v>0</v>
      </c>
      <c r="CG247" s="113"/>
      <c r="CH247" s="113"/>
      <c r="CI247" s="62">
        <f>订货1!AZ247</f>
        <v>0</v>
      </c>
      <c r="CJ247" s="113"/>
      <c r="CK247" s="113"/>
      <c r="CL247" s="62">
        <f>订货1!BA247</f>
        <v>0</v>
      </c>
      <c r="CM247" s="113"/>
      <c r="CN247" s="113"/>
      <c r="CO247" s="62">
        <f>订货1!BB247</f>
        <v>0</v>
      </c>
      <c r="CP247" s="113"/>
      <c r="CQ247" s="113"/>
      <c r="CR247" s="62">
        <f>订货1!BC247</f>
        <v>0</v>
      </c>
      <c r="CS247" s="113"/>
      <c r="CT247" s="113"/>
      <c r="CU247" s="62">
        <f>订货1!BD247</f>
        <v>0</v>
      </c>
      <c r="CV247" s="113"/>
      <c r="CW247" s="113"/>
      <c r="CX247" s="62">
        <f>订货1!BE247</f>
        <v>0</v>
      </c>
      <c r="CY247" s="113"/>
      <c r="CZ247" s="113"/>
      <c r="DA247" s="62">
        <f>订货1!BF249</f>
        <v>0</v>
      </c>
      <c r="DB247" s="113"/>
      <c r="DC247" s="113"/>
      <c r="DD247" s="208">
        <v>0</v>
      </c>
      <c r="DE247" s="110" t="e">
        <f t="shared" si="45"/>
        <v>#DIV/0!</v>
      </c>
      <c r="DF247" s="52">
        <f t="shared" si="44"/>
        <v>0</v>
      </c>
      <c r="DG247" s="32">
        <f>订货1!$Q249</f>
        <v>0</v>
      </c>
      <c r="DH247" s="209" t="e">
        <f t="shared" si="46"/>
        <v>#DIV/0!</v>
      </c>
    </row>
    <row r="248" spans="1:112" ht="15" customHeight="1">
      <c r="A248" s="48"/>
      <c r="B248" s="44" t="e">
        <f>VLOOKUP($A248,订货1!$A250:$G491,7,0)</f>
        <v>#N/A</v>
      </c>
      <c r="C248" s="44" t="e">
        <f>VLOOKUP($A248,订货1!$A250:$H491,8,0)</f>
        <v>#N/A</v>
      </c>
      <c r="D248" s="44"/>
      <c r="E248" s="44"/>
      <c r="F248" s="49"/>
      <c r="G248" s="203"/>
      <c r="H248" s="56">
        <f t="shared" si="47"/>
        <v>0</v>
      </c>
      <c r="I248" s="196"/>
      <c r="J248" s="113"/>
      <c r="K248" s="113"/>
      <c r="L248" s="196"/>
      <c r="M248" s="113"/>
      <c r="N248" s="113"/>
      <c r="O248" s="62">
        <f>订货1!AB250</f>
        <v>0</v>
      </c>
      <c r="P248" s="113"/>
      <c r="Q248" s="113"/>
      <c r="R248" s="62">
        <f>订货1!AC250</f>
        <v>0</v>
      </c>
      <c r="S248" s="113"/>
      <c r="T248" s="113"/>
      <c r="U248" s="62">
        <f>订货1!AD250</f>
        <v>0</v>
      </c>
      <c r="V248" s="113"/>
      <c r="W248" s="113"/>
      <c r="X248" s="62">
        <f>订货1!AE250</f>
        <v>0</v>
      </c>
      <c r="Y248" s="113"/>
      <c r="Z248" s="113"/>
      <c r="AA248" s="62">
        <f>订货1!AF250</f>
        <v>0</v>
      </c>
      <c r="AB248" s="113"/>
      <c r="AC248" s="113"/>
      <c r="AD248" s="62">
        <f>订货1!AG250</f>
        <v>0</v>
      </c>
      <c r="AE248" s="113"/>
      <c r="AF248" s="113"/>
      <c r="AG248" s="62">
        <f>订货1!AH250</f>
        <v>0</v>
      </c>
      <c r="AH248" s="113"/>
      <c r="AI248" s="113"/>
      <c r="AJ248" s="62">
        <f>订货1!AI250</f>
        <v>0</v>
      </c>
      <c r="AK248" s="113"/>
      <c r="AL248" s="113"/>
      <c r="AM248" s="62">
        <f>订货1!AJ250</f>
        <v>0</v>
      </c>
      <c r="AN248" s="113"/>
      <c r="AO248" s="113"/>
      <c r="AP248" s="62">
        <f>订货1!AK250</f>
        <v>0</v>
      </c>
      <c r="AQ248" s="113"/>
      <c r="AR248" s="113"/>
      <c r="AS248" s="62">
        <f>订货1!AL250</f>
        <v>0</v>
      </c>
      <c r="AT248" s="113"/>
      <c r="AU248" s="113"/>
      <c r="AV248" s="62">
        <f>订货1!AM250</f>
        <v>0</v>
      </c>
      <c r="AW248" s="113"/>
      <c r="AX248" s="113"/>
      <c r="AY248" s="62">
        <f>订货1!AN250</f>
        <v>0</v>
      </c>
      <c r="AZ248" s="113"/>
      <c r="BA248" s="113"/>
      <c r="BB248" s="62">
        <f>订货1!AO250</f>
        <v>0</v>
      </c>
      <c r="BC248" s="113"/>
      <c r="BD248" s="113"/>
      <c r="BE248" s="62">
        <f>订货1!AP250</f>
        <v>0</v>
      </c>
      <c r="BF248" s="113"/>
      <c r="BG248" s="113"/>
      <c r="BH248" s="62">
        <f>订货1!AQ250</f>
        <v>0</v>
      </c>
      <c r="BI248" s="113"/>
      <c r="BJ248" s="113"/>
      <c r="BK248" s="62">
        <f>订货1!AR250</f>
        <v>0</v>
      </c>
      <c r="BL248" s="113"/>
      <c r="BM248" s="113"/>
      <c r="BN248" s="62">
        <f>订货1!AS250</f>
        <v>0</v>
      </c>
      <c r="BO248" s="113"/>
      <c r="BP248" s="113"/>
      <c r="BQ248" s="62">
        <f>订货1!AT250</f>
        <v>0</v>
      </c>
      <c r="BR248" s="113"/>
      <c r="BS248" s="113"/>
      <c r="BT248" s="62">
        <f>订货1!AU248</f>
        <v>0</v>
      </c>
      <c r="BU248" s="113"/>
      <c r="BV248" s="113"/>
      <c r="BW248" s="62">
        <f>订货1!AV248</f>
        <v>0</v>
      </c>
      <c r="BX248" s="113"/>
      <c r="BY248" s="113"/>
      <c r="BZ248" s="62">
        <f>订货1!AW248</f>
        <v>0</v>
      </c>
      <c r="CA248" s="113"/>
      <c r="CB248" s="113"/>
      <c r="CC248" s="62">
        <f>订货1!AX248</f>
        <v>0</v>
      </c>
      <c r="CD248" s="113"/>
      <c r="CE248" s="113"/>
      <c r="CF248" s="62">
        <f>订货1!AY248</f>
        <v>0</v>
      </c>
      <c r="CG248" s="113"/>
      <c r="CH248" s="113"/>
      <c r="CI248" s="62">
        <f>订货1!AZ248</f>
        <v>0</v>
      </c>
      <c r="CJ248" s="113"/>
      <c r="CK248" s="113"/>
      <c r="CL248" s="62">
        <f>订货1!BA248</f>
        <v>0</v>
      </c>
      <c r="CM248" s="113"/>
      <c r="CN248" s="113"/>
      <c r="CO248" s="62">
        <f>订货1!BB248</f>
        <v>0</v>
      </c>
      <c r="CP248" s="113"/>
      <c r="CQ248" s="113"/>
      <c r="CR248" s="62">
        <f>订货1!BC248</f>
        <v>0</v>
      </c>
      <c r="CS248" s="113"/>
      <c r="CT248" s="113"/>
      <c r="CU248" s="62">
        <f>订货1!BD248</f>
        <v>0</v>
      </c>
      <c r="CV248" s="113"/>
      <c r="CW248" s="113"/>
      <c r="CX248" s="62">
        <f>订货1!BE248</f>
        <v>0</v>
      </c>
      <c r="CY248" s="113"/>
      <c r="CZ248" s="113"/>
      <c r="DA248" s="62">
        <f>订货1!BF250</f>
        <v>0</v>
      </c>
      <c r="DB248" s="113"/>
      <c r="DC248" s="113"/>
      <c r="DD248" s="208">
        <v>0</v>
      </c>
      <c r="DE248" s="110" t="e">
        <f t="shared" si="45"/>
        <v>#DIV/0!</v>
      </c>
      <c r="DF248" s="52">
        <f t="shared" si="44"/>
        <v>0</v>
      </c>
      <c r="DG248" s="32">
        <f>订货1!$Q250</f>
        <v>0</v>
      </c>
      <c r="DH248" s="209" t="e">
        <f t="shared" si="46"/>
        <v>#DIV/0!</v>
      </c>
    </row>
    <row r="249" spans="1:112" ht="15" customHeight="1">
      <c r="A249" s="48"/>
      <c r="B249" s="44" t="e">
        <f>VLOOKUP($A249,订货1!$A251:$G492,7,0)</f>
        <v>#N/A</v>
      </c>
      <c r="C249" s="44" t="e">
        <f>VLOOKUP($A249,订货1!$A251:$H492,8,0)</f>
        <v>#N/A</v>
      </c>
      <c r="D249" s="44"/>
      <c r="E249" s="44"/>
      <c r="F249" s="49"/>
      <c r="G249" s="203"/>
      <c r="H249" s="56">
        <f t="shared" si="47"/>
        <v>0</v>
      </c>
      <c r="I249" s="196"/>
      <c r="J249" s="113"/>
      <c r="K249" s="113"/>
      <c r="L249" s="196"/>
      <c r="M249" s="113"/>
      <c r="N249" s="113"/>
      <c r="O249" s="62">
        <f>订货1!AB251</f>
        <v>0</v>
      </c>
      <c r="P249" s="113"/>
      <c r="Q249" s="113"/>
      <c r="R249" s="62">
        <f>订货1!AC251</f>
        <v>0</v>
      </c>
      <c r="S249" s="113"/>
      <c r="T249" s="113"/>
      <c r="U249" s="62">
        <f>订货1!AD251</f>
        <v>0</v>
      </c>
      <c r="V249" s="113"/>
      <c r="W249" s="113"/>
      <c r="X249" s="62">
        <f>订货1!AE251</f>
        <v>0</v>
      </c>
      <c r="Y249" s="113"/>
      <c r="Z249" s="113"/>
      <c r="AA249" s="62">
        <f>订货1!AF251</f>
        <v>0</v>
      </c>
      <c r="AB249" s="113"/>
      <c r="AC249" s="113"/>
      <c r="AD249" s="62">
        <f>订货1!AG251</f>
        <v>0</v>
      </c>
      <c r="AE249" s="113"/>
      <c r="AF249" s="113"/>
      <c r="AG249" s="62">
        <f>订货1!AH251</f>
        <v>0</v>
      </c>
      <c r="AH249" s="113"/>
      <c r="AI249" s="113"/>
      <c r="AJ249" s="62">
        <f>订货1!AI251</f>
        <v>0</v>
      </c>
      <c r="AK249" s="113"/>
      <c r="AL249" s="113"/>
      <c r="AM249" s="62">
        <f>订货1!AJ251</f>
        <v>0</v>
      </c>
      <c r="AN249" s="113"/>
      <c r="AO249" s="113"/>
      <c r="AP249" s="62">
        <f>订货1!AK251</f>
        <v>0</v>
      </c>
      <c r="AQ249" s="113"/>
      <c r="AR249" s="113"/>
      <c r="AS249" s="62">
        <f>订货1!AL251</f>
        <v>0</v>
      </c>
      <c r="AT249" s="113"/>
      <c r="AU249" s="113"/>
      <c r="AV249" s="62">
        <f>订货1!AM251</f>
        <v>0</v>
      </c>
      <c r="AW249" s="113"/>
      <c r="AX249" s="113"/>
      <c r="AY249" s="62">
        <f>订货1!AN251</f>
        <v>0</v>
      </c>
      <c r="AZ249" s="113"/>
      <c r="BA249" s="113"/>
      <c r="BB249" s="62">
        <f>订货1!AO251</f>
        <v>0</v>
      </c>
      <c r="BC249" s="113"/>
      <c r="BD249" s="113"/>
      <c r="BE249" s="62">
        <f>订货1!AP251</f>
        <v>0</v>
      </c>
      <c r="BF249" s="113"/>
      <c r="BG249" s="113"/>
      <c r="BH249" s="62">
        <f>订货1!AQ251</f>
        <v>0</v>
      </c>
      <c r="BI249" s="113"/>
      <c r="BJ249" s="113"/>
      <c r="BK249" s="62">
        <f>订货1!AR251</f>
        <v>0</v>
      </c>
      <c r="BL249" s="113"/>
      <c r="BM249" s="113"/>
      <c r="BN249" s="62">
        <f>订货1!AS251</f>
        <v>0</v>
      </c>
      <c r="BO249" s="113"/>
      <c r="BP249" s="113"/>
      <c r="BQ249" s="62">
        <f>订货1!AT251</f>
        <v>0</v>
      </c>
      <c r="BR249" s="113"/>
      <c r="BS249" s="113"/>
      <c r="BT249" s="62">
        <f>订货1!AU249</f>
        <v>0</v>
      </c>
      <c r="BU249" s="113"/>
      <c r="BV249" s="113"/>
      <c r="BW249" s="62">
        <f>订货1!AV249</f>
        <v>0</v>
      </c>
      <c r="BX249" s="113"/>
      <c r="BY249" s="113"/>
      <c r="BZ249" s="62">
        <f>订货1!AW249</f>
        <v>0</v>
      </c>
      <c r="CA249" s="113"/>
      <c r="CB249" s="113"/>
      <c r="CC249" s="62">
        <f>订货1!AX249</f>
        <v>0</v>
      </c>
      <c r="CD249" s="113"/>
      <c r="CE249" s="113"/>
      <c r="CF249" s="62">
        <f>订货1!AY249</f>
        <v>0</v>
      </c>
      <c r="CG249" s="113"/>
      <c r="CH249" s="113"/>
      <c r="CI249" s="62">
        <f>订货1!AZ249</f>
        <v>0</v>
      </c>
      <c r="CJ249" s="113"/>
      <c r="CK249" s="113"/>
      <c r="CL249" s="62">
        <f>订货1!BA249</f>
        <v>0</v>
      </c>
      <c r="CM249" s="113"/>
      <c r="CN249" s="113"/>
      <c r="CO249" s="62">
        <f>订货1!BB249</f>
        <v>0</v>
      </c>
      <c r="CP249" s="113"/>
      <c r="CQ249" s="113"/>
      <c r="CR249" s="62">
        <f>订货1!BC249</f>
        <v>0</v>
      </c>
      <c r="CS249" s="113"/>
      <c r="CT249" s="113"/>
      <c r="CU249" s="62">
        <f>订货1!BD249</f>
        <v>0</v>
      </c>
      <c r="CV249" s="113"/>
      <c r="CW249" s="113"/>
      <c r="CX249" s="62">
        <f>订货1!BE249</f>
        <v>0</v>
      </c>
      <c r="CY249" s="113"/>
      <c r="CZ249" s="113"/>
      <c r="DA249" s="62">
        <f>订货1!BF251</f>
        <v>0</v>
      </c>
      <c r="DB249" s="113"/>
      <c r="DC249" s="113"/>
      <c r="DD249" s="208">
        <v>0</v>
      </c>
      <c r="DE249" s="110" t="e">
        <f t="shared" si="45"/>
        <v>#DIV/0!</v>
      </c>
      <c r="DF249" s="52">
        <f t="shared" si="44"/>
        <v>0</v>
      </c>
      <c r="DG249" s="32">
        <f>订货1!$Q251</f>
        <v>0</v>
      </c>
      <c r="DH249" s="209" t="e">
        <f t="shared" si="46"/>
        <v>#DIV/0!</v>
      </c>
    </row>
    <row r="250" spans="1:112" ht="15" customHeight="1">
      <c r="A250" s="48"/>
      <c r="B250" s="44" t="e">
        <f>VLOOKUP($A250,订货1!$A252:$G493,7,0)</f>
        <v>#N/A</v>
      </c>
      <c r="C250" s="44" t="e">
        <f>VLOOKUP($A250,订货1!$A252:$H493,8,0)</f>
        <v>#N/A</v>
      </c>
      <c r="D250" s="44"/>
      <c r="E250" s="44"/>
      <c r="F250" s="49"/>
      <c r="G250" s="203"/>
      <c r="H250" s="56">
        <f t="shared" si="47"/>
        <v>0</v>
      </c>
      <c r="I250" s="196"/>
      <c r="J250" s="113"/>
      <c r="K250" s="113"/>
      <c r="L250" s="196"/>
      <c r="M250" s="113"/>
      <c r="N250" s="113"/>
      <c r="O250" s="62">
        <f>订货1!AB252</f>
        <v>0</v>
      </c>
      <c r="P250" s="113"/>
      <c r="Q250" s="113"/>
      <c r="R250" s="62">
        <f>订货1!AC252</f>
        <v>0</v>
      </c>
      <c r="S250" s="113"/>
      <c r="T250" s="113"/>
      <c r="U250" s="62">
        <f>订货1!AD252</f>
        <v>0</v>
      </c>
      <c r="V250" s="113"/>
      <c r="W250" s="113"/>
      <c r="X250" s="62">
        <f>订货1!AE252</f>
        <v>0</v>
      </c>
      <c r="Y250" s="113"/>
      <c r="Z250" s="113"/>
      <c r="AA250" s="62">
        <f>订货1!AF252</f>
        <v>0</v>
      </c>
      <c r="AB250" s="113"/>
      <c r="AC250" s="113"/>
      <c r="AD250" s="62">
        <f>订货1!AG252</f>
        <v>0</v>
      </c>
      <c r="AE250" s="113"/>
      <c r="AF250" s="113"/>
      <c r="AG250" s="62">
        <f>订货1!AH252</f>
        <v>0</v>
      </c>
      <c r="AH250" s="113"/>
      <c r="AI250" s="113"/>
      <c r="AJ250" s="62">
        <f>订货1!AI252</f>
        <v>0</v>
      </c>
      <c r="AK250" s="113"/>
      <c r="AL250" s="113"/>
      <c r="AM250" s="62">
        <f>订货1!AJ252</f>
        <v>0</v>
      </c>
      <c r="AN250" s="113"/>
      <c r="AO250" s="113"/>
      <c r="AP250" s="62">
        <f>订货1!AK252</f>
        <v>0</v>
      </c>
      <c r="AQ250" s="113"/>
      <c r="AR250" s="113"/>
      <c r="AS250" s="62">
        <f>订货1!AL252</f>
        <v>0</v>
      </c>
      <c r="AT250" s="113"/>
      <c r="AU250" s="113"/>
      <c r="AV250" s="62">
        <f>订货1!AM252</f>
        <v>0</v>
      </c>
      <c r="AW250" s="113"/>
      <c r="AX250" s="113"/>
      <c r="AY250" s="62">
        <f>订货1!AN252</f>
        <v>0</v>
      </c>
      <c r="AZ250" s="113"/>
      <c r="BA250" s="113"/>
      <c r="BB250" s="62">
        <f>订货1!AO252</f>
        <v>0</v>
      </c>
      <c r="BC250" s="113"/>
      <c r="BD250" s="113"/>
      <c r="BE250" s="62">
        <f>订货1!AP252</f>
        <v>0</v>
      </c>
      <c r="BF250" s="113"/>
      <c r="BG250" s="113"/>
      <c r="BH250" s="62">
        <f>订货1!AQ252</f>
        <v>0</v>
      </c>
      <c r="BI250" s="113"/>
      <c r="BJ250" s="113"/>
      <c r="BK250" s="62">
        <f>订货1!AR252</f>
        <v>0</v>
      </c>
      <c r="BL250" s="113"/>
      <c r="BM250" s="113"/>
      <c r="BN250" s="62">
        <f>订货1!AS252</f>
        <v>0</v>
      </c>
      <c r="BO250" s="113"/>
      <c r="BP250" s="113"/>
      <c r="BQ250" s="62">
        <f>订货1!AT252</f>
        <v>0</v>
      </c>
      <c r="BR250" s="113"/>
      <c r="BS250" s="113"/>
      <c r="BT250" s="62">
        <f>订货1!AU250</f>
        <v>0</v>
      </c>
      <c r="BU250" s="113"/>
      <c r="BV250" s="113"/>
      <c r="BW250" s="62">
        <f>订货1!AV250</f>
        <v>0</v>
      </c>
      <c r="BX250" s="113"/>
      <c r="BY250" s="113"/>
      <c r="BZ250" s="62">
        <f>订货1!AW250</f>
        <v>0</v>
      </c>
      <c r="CA250" s="113"/>
      <c r="CB250" s="113"/>
      <c r="CC250" s="62">
        <f>订货1!AX250</f>
        <v>0</v>
      </c>
      <c r="CD250" s="113"/>
      <c r="CE250" s="113"/>
      <c r="CF250" s="62">
        <f>订货1!AY250</f>
        <v>0</v>
      </c>
      <c r="CG250" s="113"/>
      <c r="CH250" s="113"/>
      <c r="CI250" s="62">
        <f>订货1!AZ250</f>
        <v>0</v>
      </c>
      <c r="CJ250" s="113"/>
      <c r="CK250" s="113"/>
      <c r="CL250" s="62">
        <f>订货1!BA250</f>
        <v>0</v>
      </c>
      <c r="CM250" s="113"/>
      <c r="CN250" s="113"/>
      <c r="CO250" s="62">
        <f>订货1!BB250</f>
        <v>0</v>
      </c>
      <c r="CP250" s="113"/>
      <c r="CQ250" s="113"/>
      <c r="CR250" s="62">
        <f>订货1!BC250</f>
        <v>0</v>
      </c>
      <c r="CS250" s="113"/>
      <c r="CT250" s="113"/>
      <c r="CU250" s="62">
        <f>订货1!BD250</f>
        <v>0</v>
      </c>
      <c r="CV250" s="113"/>
      <c r="CW250" s="113"/>
      <c r="CX250" s="62">
        <f>订货1!BE250</f>
        <v>0</v>
      </c>
      <c r="CY250" s="113"/>
      <c r="CZ250" s="113"/>
      <c r="DA250" s="62">
        <f>订货1!BF252</f>
        <v>0</v>
      </c>
      <c r="DB250" s="113"/>
      <c r="DC250" s="113"/>
      <c r="DD250" s="208">
        <v>0</v>
      </c>
      <c r="DE250" s="110" t="e">
        <f t="shared" si="45"/>
        <v>#DIV/0!</v>
      </c>
      <c r="DF250" s="52">
        <f t="shared" si="44"/>
        <v>0</v>
      </c>
      <c r="DG250" s="32">
        <f>订货1!$Q252</f>
        <v>0</v>
      </c>
      <c r="DH250" s="209" t="e">
        <f t="shared" si="46"/>
        <v>#DIV/0!</v>
      </c>
    </row>
    <row r="251" spans="1:112" ht="15" customHeight="1">
      <c r="A251" s="48"/>
      <c r="B251" s="44" t="e">
        <f>VLOOKUP($A251,订货1!$A253:$G494,7,0)</f>
        <v>#N/A</v>
      </c>
      <c r="C251" s="44" t="e">
        <f>VLOOKUP($A251,订货1!$A253:$H494,8,0)</f>
        <v>#N/A</v>
      </c>
      <c r="D251" s="44"/>
      <c r="E251" s="44"/>
      <c r="F251" s="49"/>
      <c r="G251" s="203"/>
      <c r="H251" s="56">
        <f t="shared" si="47"/>
        <v>0</v>
      </c>
      <c r="I251" s="196"/>
      <c r="J251" s="113"/>
      <c r="K251" s="113"/>
      <c r="L251" s="196"/>
      <c r="M251" s="113"/>
      <c r="N251" s="113"/>
      <c r="O251" s="62">
        <f>订货1!AB253</f>
        <v>0</v>
      </c>
      <c r="P251" s="113"/>
      <c r="Q251" s="113"/>
      <c r="R251" s="62">
        <f>订货1!AC253</f>
        <v>0</v>
      </c>
      <c r="S251" s="113"/>
      <c r="T251" s="113"/>
      <c r="U251" s="62">
        <f>订货1!AD253</f>
        <v>0</v>
      </c>
      <c r="V251" s="113"/>
      <c r="W251" s="113"/>
      <c r="X251" s="62">
        <f>订货1!AE253</f>
        <v>0</v>
      </c>
      <c r="Y251" s="113"/>
      <c r="Z251" s="113"/>
      <c r="AA251" s="62">
        <f>订货1!AF253</f>
        <v>0</v>
      </c>
      <c r="AB251" s="113"/>
      <c r="AC251" s="113"/>
      <c r="AD251" s="62">
        <f>订货1!AG253</f>
        <v>0</v>
      </c>
      <c r="AE251" s="113"/>
      <c r="AF251" s="113"/>
      <c r="AG251" s="62">
        <f>订货1!AH253</f>
        <v>0</v>
      </c>
      <c r="AH251" s="113"/>
      <c r="AI251" s="113"/>
      <c r="AJ251" s="62">
        <f>订货1!AI253</f>
        <v>0</v>
      </c>
      <c r="AK251" s="113"/>
      <c r="AL251" s="113"/>
      <c r="AM251" s="62">
        <f>订货1!AJ253</f>
        <v>0</v>
      </c>
      <c r="AN251" s="113"/>
      <c r="AO251" s="113"/>
      <c r="AP251" s="62">
        <f>订货1!AK253</f>
        <v>0</v>
      </c>
      <c r="AQ251" s="113"/>
      <c r="AR251" s="113"/>
      <c r="AS251" s="62">
        <f>订货1!AL253</f>
        <v>0</v>
      </c>
      <c r="AT251" s="113"/>
      <c r="AU251" s="113"/>
      <c r="AV251" s="62">
        <f>订货1!AM253</f>
        <v>0</v>
      </c>
      <c r="AW251" s="113"/>
      <c r="AX251" s="113"/>
      <c r="AY251" s="62">
        <f>订货1!AN253</f>
        <v>0</v>
      </c>
      <c r="AZ251" s="113"/>
      <c r="BA251" s="113"/>
      <c r="BB251" s="62">
        <f>订货1!AO253</f>
        <v>0</v>
      </c>
      <c r="BC251" s="113"/>
      <c r="BD251" s="113"/>
      <c r="BE251" s="62">
        <f>订货1!AP253</f>
        <v>0</v>
      </c>
      <c r="BF251" s="113"/>
      <c r="BG251" s="113"/>
      <c r="BH251" s="62">
        <f>订货1!AQ253</f>
        <v>0</v>
      </c>
      <c r="BI251" s="113"/>
      <c r="BJ251" s="113"/>
      <c r="BK251" s="62">
        <f>订货1!AR253</f>
        <v>0</v>
      </c>
      <c r="BL251" s="113"/>
      <c r="BM251" s="113"/>
      <c r="BN251" s="62">
        <f>订货1!AS253</f>
        <v>0</v>
      </c>
      <c r="BO251" s="113"/>
      <c r="BP251" s="113"/>
      <c r="BQ251" s="62">
        <f>订货1!AT253</f>
        <v>0</v>
      </c>
      <c r="BR251" s="113"/>
      <c r="BS251" s="113"/>
      <c r="BT251" s="62">
        <f>订货1!AU251</f>
        <v>0</v>
      </c>
      <c r="BU251" s="113"/>
      <c r="BV251" s="113"/>
      <c r="BW251" s="62">
        <f>订货1!AV251</f>
        <v>0</v>
      </c>
      <c r="BX251" s="113"/>
      <c r="BY251" s="113"/>
      <c r="BZ251" s="62">
        <f>订货1!AW251</f>
        <v>0</v>
      </c>
      <c r="CA251" s="113"/>
      <c r="CB251" s="113"/>
      <c r="CC251" s="62">
        <f>订货1!AX251</f>
        <v>0</v>
      </c>
      <c r="CD251" s="113"/>
      <c r="CE251" s="113"/>
      <c r="CF251" s="62">
        <f>订货1!AY251</f>
        <v>0</v>
      </c>
      <c r="CG251" s="113"/>
      <c r="CH251" s="113"/>
      <c r="CI251" s="62">
        <f>订货1!AZ251</f>
        <v>0</v>
      </c>
      <c r="CJ251" s="113"/>
      <c r="CK251" s="113"/>
      <c r="CL251" s="62">
        <f>订货1!BA251</f>
        <v>0</v>
      </c>
      <c r="CM251" s="113"/>
      <c r="CN251" s="113"/>
      <c r="CO251" s="62">
        <f>订货1!BB251</f>
        <v>0</v>
      </c>
      <c r="CP251" s="113"/>
      <c r="CQ251" s="113"/>
      <c r="CR251" s="62">
        <f>订货1!BC251</f>
        <v>0</v>
      </c>
      <c r="CS251" s="113"/>
      <c r="CT251" s="113"/>
      <c r="CU251" s="62">
        <f>订货1!BD251</f>
        <v>0</v>
      </c>
      <c r="CV251" s="113"/>
      <c r="CW251" s="113"/>
      <c r="CX251" s="62">
        <f>订货1!BE251</f>
        <v>0</v>
      </c>
      <c r="CY251" s="113"/>
      <c r="CZ251" s="113"/>
      <c r="DA251" s="62">
        <f>订货1!BF253</f>
        <v>0</v>
      </c>
      <c r="DB251" s="113"/>
      <c r="DC251" s="113"/>
      <c r="DD251" s="208">
        <v>0</v>
      </c>
      <c r="DE251" s="110" t="e">
        <f t="shared" si="45"/>
        <v>#DIV/0!</v>
      </c>
      <c r="DF251" s="52">
        <f t="shared" si="44"/>
        <v>0</v>
      </c>
      <c r="DG251" s="32">
        <f>订货1!$Q253</f>
        <v>0</v>
      </c>
      <c r="DH251" s="209" t="e">
        <f t="shared" si="46"/>
        <v>#DIV/0!</v>
      </c>
    </row>
    <row r="252" spans="1:112" ht="15" customHeight="1">
      <c r="A252" s="48"/>
      <c r="B252" s="44" t="e">
        <f>VLOOKUP($A252,订货1!$A254:$G495,7,0)</f>
        <v>#N/A</v>
      </c>
      <c r="C252" s="44" t="e">
        <f>VLOOKUP($A252,订货1!$A254:$H495,8,0)</f>
        <v>#N/A</v>
      </c>
      <c r="D252" s="44"/>
      <c r="E252" s="44"/>
      <c r="F252" s="49"/>
      <c r="G252" s="203"/>
      <c r="H252" s="56">
        <f t="shared" si="47"/>
        <v>0</v>
      </c>
      <c r="I252" s="196"/>
      <c r="J252" s="113"/>
      <c r="K252" s="113"/>
      <c r="L252" s="196"/>
      <c r="M252" s="113"/>
      <c r="N252" s="113"/>
      <c r="O252" s="62">
        <f>订货1!AB254</f>
        <v>0</v>
      </c>
      <c r="P252" s="113"/>
      <c r="Q252" s="113"/>
      <c r="R252" s="62">
        <f>订货1!AC254</f>
        <v>0</v>
      </c>
      <c r="S252" s="113"/>
      <c r="T252" s="113"/>
      <c r="U252" s="62">
        <f>订货1!AD254</f>
        <v>0</v>
      </c>
      <c r="V252" s="113"/>
      <c r="W252" s="113"/>
      <c r="X252" s="62">
        <f>订货1!AE254</f>
        <v>0</v>
      </c>
      <c r="Y252" s="113"/>
      <c r="Z252" s="113"/>
      <c r="AA252" s="62">
        <f>订货1!AF254</f>
        <v>0</v>
      </c>
      <c r="AB252" s="113"/>
      <c r="AC252" s="113"/>
      <c r="AD252" s="62">
        <f>订货1!AG254</f>
        <v>0</v>
      </c>
      <c r="AE252" s="113"/>
      <c r="AF252" s="113"/>
      <c r="AG252" s="62">
        <f>订货1!AH254</f>
        <v>0</v>
      </c>
      <c r="AH252" s="113"/>
      <c r="AI252" s="113"/>
      <c r="AJ252" s="62">
        <f>订货1!AI254</f>
        <v>0</v>
      </c>
      <c r="AK252" s="113"/>
      <c r="AL252" s="113"/>
      <c r="AM252" s="62">
        <f>订货1!AJ254</f>
        <v>0</v>
      </c>
      <c r="AN252" s="113"/>
      <c r="AO252" s="113"/>
      <c r="AP252" s="62">
        <f>订货1!AK254</f>
        <v>0</v>
      </c>
      <c r="AQ252" s="113"/>
      <c r="AR252" s="113"/>
      <c r="AS252" s="62">
        <f>订货1!AL254</f>
        <v>0</v>
      </c>
      <c r="AT252" s="113"/>
      <c r="AU252" s="113"/>
      <c r="AV252" s="62">
        <f>订货1!AM254</f>
        <v>0</v>
      </c>
      <c r="AW252" s="113"/>
      <c r="AX252" s="113"/>
      <c r="AY252" s="62">
        <f>订货1!AN254</f>
        <v>0</v>
      </c>
      <c r="AZ252" s="113"/>
      <c r="BA252" s="113"/>
      <c r="BB252" s="62">
        <f>订货1!AO254</f>
        <v>0</v>
      </c>
      <c r="BC252" s="113"/>
      <c r="BD252" s="113"/>
      <c r="BE252" s="62">
        <f>订货1!AP254</f>
        <v>0</v>
      </c>
      <c r="BF252" s="113"/>
      <c r="BG252" s="113"/>
      <c r="BH252" s="62">
        <f>订货1!AQ254</f>
        <v>0</v>
      </c>
      <c r="BI252" s="113"/>
      <c r="BJ252" s="113"/>
      <c r="BK252" s="62">
        <f>订货1!AR254</f>
        <v>0</v>
      </c>
      <c r="BL252" s="113"/>
      <c r="BM252" s="113"/>
      <c r="BN252" s="62">
        <f>订货1!AS254</f>
        <v>0</v>
      </c>
      <c r="BO252" s="113"/>
      <c r="BP252" s="113"/>
      <c r="BQ252" s="62">
        <f>订货1!AT254</f>
        <v>0</v>
      </c>
      <c r="BR252" s="113"/>
      <c r="BS252" s="113"/>
      <c r="BT252" s="62">
        <f>订货1!AU252</f>
        <v>0</v>
      </c>
      <c r="BU252" s="113"/>
      <c r="BV252" s="113"/>
      <c r="BW252" s="62">
        <f>订货1!AV252</f>
        <v>0</v>
      </c>
      <c r="BX252" s="113"/>
      <c r="BY252" s="113"/>
      <c r="BZ252" s="62">
        <f>订货1!AW252</f>
        <v>0</v>
      </c>
      <c r="CA252" s="113"/>
      <c r="CB252" s="113"/>
      <c r="CC252" s="62">
        <f>订货1!AX252</f>
        <v>0</v>
      </c>
      <c r="CD252" s="113"/>
      <c r="CE252" s="113"/>
      <c r="CF252" s="62">
        <f>订货1!AY252</f>
        <v>0</v>
      </c>
      <c r="CG252" s="113"/>
      <c r="CH252" s="113"/>
      <c r="CI252" s="62">
        <f>订货1!AZ252</f>
        <v>0</v>
      </c>
      <c r="CJ252" s="113"/>
      <c r="CK252" s="113"/>
      <c r="CL252" s="62">
        <f>订货1!BA252</f>
        <v>0</v>
      </c>
      <c r="CM252" s="113"/>
      <c r="CN252" s="113"/>
      <c r="CO252" s="62">
        <f>订货1!BB252</f>
        <v>0</v>
      </c>
      <c r="CP252" s="113"/>
      <c r="CQ252" s="113"/>
      <c r="CR252" s="62">
        <f>订货1!BC252</f>
        <v>0</v>
      </c>
      <c r="CS252" s="113"/>
      <c r="CT252" s="113"/>
      <c r="CU252" s="62">
        <f>订货1!BD252</f>
        <v>0</v>
      </c>
      <c r="CV252" s="113"/>
      <c r="CW252" s="113"/>
      <c r="CX252" s="62">
        <f>订货1!BE252</f>
        <v>0</v>
      </c>
      <c r="CY252" s="113"/>
      <c r="CZ252" s="113"/>
      <c r="DA252" s="62">
        <f>订货1!BF254</f>
        <v>0</v>
      </c>
      <c r="DB252" s="113"/>
      <c r="DC252" s="113"/>
      <c r="DD252" s="208">
        <v>0</v>
      </c>
      <c r="DE252" s="110" t="e">
        <f t="shared" si="45"/>
        <v>#DIV/0!</v>
      </c>
      <c r="DF252" s="52">
        <f t="shared" si="44"/>
        <v>0</v>
      </c>
      <c r="DG252" s="32">
        <f>订货1!$Q254</f>
        <v>0</v>
      </c>
      <c r="DH252" s="209" t="e">
        <f t="shared" si="46"/>
        <v>#DIV/0!</v>
      </c>
    </row>
    <row r="253" spans="1:112" ht="15" customHeight="1">
      <c r="A253" s="48"/>
      <c r="B253" s="44" t="e">
        <f>VLOOKUP($A253,订货1!$A255:$G496,7,0)</f>
        <v>#N/A</v>
      </c>
      <c r="C253" s="44" t="e">
        <f>VLOOKUP($A253,订货1!$A255:$H496,8,0)</f>
        <v>#N/A</v>
      </c>
      <c r="D253" s="44"/>
      <c r="E253" s="44"/>
      <c r="F253" s="49"/>
      <c r="G253" s="203"/>
      <c r="H253" s="56">
        <f t="shared" si="47"/>
        <v>0</v>
      </c>
      <c r="I253" s="196"/>
      <c r="J253" s="113"/>
      <c r="K253" s="113"/>
      <c r="L253" s="196"/>
      <c r="M253" s="113"/>
      <c r="N253" s="113"/>
      <c r="O253" s="62">
        <f>订货1!AB255</f>
        <v>0</v>
      </c>
      <c r="P253" s="113"/>
      <c r="Q253" s="113"/>
      <c r="R253" s="62">
        <f>订货1!AC255</f>
        <v>0</v>
      </c>
      <c r="S253" s="113"/>
      <c r="T253" s="113"/>
      <c r="U253" s="62">
        <f>订货1!AD255</f>
        <v>0</v>
      </c>
      <c r="V253" s="113"/>
      <c r="W253" s="113"/>
      <c r="X253" s="62">
        <f>订货1!AE255</f>
        <v>0</v>
      </c>
      <c r="Y253" s="113"/>
      <c r="Z253" s="113"/>
      <c r="AA253" s="62">
        <f>订货1!AF255</f>
        <v>0</v>
      </c>
      <c r="AB253" s="113"/>
      <c r="AC253" s="113"/>
      <c r="AD253" s="62">
        <f>订货1!AG255</f>
        <v>0</v>
      </c>
      <c r="AE253" s="113"/>
      <c r="AF253" s="113"/>
      <c r="AG253" s="62">
        <f>订货1!AH255</f>
        <v>0</v>
      </c>
      <c r="AH253" s="113"/>
      <c r="AI253" s="113"/>
      <c r="AJ253" s="62">
        <f>订货1!AI255</f>
        <v>0</v>
      </c>
      <c r="AK253" s="113"/>
      <c r="AL253" s="113"/>
      <c r="AM253" s="62">
        <f>订货1!AJ255</f>
        <v>0</v>
      </c>
      <c r="AN253" s="113"/>
      <c r="AO253" s="113"/>
      <c r="AP253" s="62">
        <f>订货1!AK255</f>
        <v>0</v>
      </c>
      <c r="AQ253" s="113"/>
      <c r="AR253" s="113"/>
      <c r="AS253" s="62">
        <f>订货1!AL255</f>
        <v>0</v>
      </c>
      <c r="AT253" s="113"/>
      <c r="AU253" s="113"/>
      <c r="AV253" s="62">
        <f>订货1!AM255</f>
        <v>0</v>
      </c>
      <c r="AW253" s="113"/>
      <c r="AX253" s="113"/>
      <c r="AY253" s="62">
        <f>订货1!AN255</f>
        <v>0</v>
      </c>
      <c r="AZ253" s="113"/>
      <c r="BA253" s="113"/>
      <c r="BB253" s="62">
        <f>订货1!AO255</f>
        <v>0</v>
      </c>
      <c r="BC253" s="113"/>
      <c r="BD253" s="113"/>
      <c r="BE253" s="62">
        <f>订货1!AP255</f>
        <v>0</v>
      </c>
      <c r="BF253" s="113"/>
      <c r="BG253" s="113"/>
      <c r="BH253" s="62">
        <f>订货1!AQ255</f>
        <v>0</v>
      </c>
      <c r="BI253" s="113"/>
      <c r="BJ253" s="113"/>
      <c r="BK253" s="62">
        <f>订货1!AR255</f>
        <v>0</v>
      </c>
      <c r="BL253" s="113"/>
      <c r="BM253" s="113"/>
      <c r="BN253" s="62">
        <f>订货1!AS255</f>
        <v>0</v>
      </c>
      <c r="BO253" s="113"/>
      <c r="BP253" s="113"/>
      <c r="BQ253" s="62">
        <f>订货1!AT255</f>
        <v>0</v>
      </c>
      <c r="BR253" s="113"/>
      <c r="BS253" s="113"/>
      <c r="BT253" s="62">
        <f>订货1!AU253</f>
        <v>0</v>
      </c>
      <c r="BU253" s="113"/>
      <c r="BV253" s="113"/>
      <c r="BW253" s="62">
        <f>订货1!AV253</f>
        <v>0</v>
      </c>
      <c r="BX253" s="113"/>
      <c r="BY253" s="113"/>
      <c r="BZ253" s="62">
        <f>订货1!AW253</f>
        <v>0</v>
      </c>
      <c r="CA253" s="113"/>
      <c r="CB253" s="113"/>
      <c r="CC253" s="62">
        <f>订货1!AX253</f>
        <v>0</v>
      </c>
      <c r="CD253" s="113"/>
      <c r="CE253" s="113"/>
      <c r="CF253" s="62">
        <f>订货1!AY253</f>
        <v>0</v>
      </c>
      <c r="CG253" s="113"/>
      <c r="CH253" s="113"/>
      <c r="CI253" s="62">
        <f>订货1!AZ253</f>
        <v>0</v>
      </c>
      <c r="CJ253" s="113"/>
      <c r="CK253" s="113"/>
      <c r="CL253" s="62">
        <f>订货1!BA253</f>
        <v>0</v>
      </c>
      <c r="CM253" s="113"/>
      <c r="CN253" s="113"/>
      <c r="CO253" s="62">
        <f>订货1!BB253</f>
        <v>0</v>
      </c>
      <c r="CP253" s="113"/>
      <c r="CQ253" s="113"/>
      <c r="CR253" s="62">
        <f>订货1!BC253</f>
        <v>0</v>
      </c>
      <c r="CS253" s="113"/>
      <c r="CT253" s="113"/>
      <c r="CU253" s="62">
        <f>订货1!BD253</f>
        <v>0</v>
      </c>
      <c r="CV253" s="113"/>
      <c r="CW253" s="113"/>
      <c r="CX253" s="62">
        <f>订货1!BE253</f>
        <v>0</v>
      </c>
      <c r="CY253" s="113"/>
      <c r="CZ253" s="113"/>
      <c r="DA253" s="62">
        <f>订货1!BF255</f>
        <v>0</v>
      </c>
      <c r="DB253" s="113"/>
      <c r="DC253" s="113"/>
      <c r="DD253" s="208">
        <v>0</v>
      </c>
      <c r="DE253" s="110" t="e">
        <f t="shared" si="45"/>
        <v>#DIV/0!</v>
      </c>
      <c r="DF253" s="52">
        <f t="shared" si="44"/>
        <v>0</v>
      </c>
      <c r="DG253" s="32">
        <f>订货1!$Q255</f>
        <v>0</v>
      </c>
      <c r="DH253" s="209" t="e">
        <f t="shared" si="46"/>
        <v>#DIV/0!</v>
      </c>
    </row>
    <row r="254" spans="1:112" ht="15" customHeight="1">
      <c r="A254" s="48"/>
      <c r="B254" s="44" t="e">
        <f>VLOOKUP($A254,订货1!$A256:$G497,7,0)</f>
        <v>#N/A</v>
      </c>
      <c r="C254" s="44" t="e">
        <f>VLOOKUP($A254,订货1!$A256:$H497,8,0)</f>
        <v>#N/A</v>
      </c>
      <c r="D254" s="44"/>
      <c r="E254" s="44"/>
      <c r="F254" s="49"/>
      <c r="G254" s="203"/>
      <c r="H254" s="56">
        <f t="shared" si="47"/>
        <v>0</v>
      </c>
      <c r="I254" s="196"/>
      <c r="J254" s="113"/>
      <c r="K254" s="113"/>
      <c r="L254" s="196"/>
      <c r="M254" s="113"/>
      <c r="N254" s="113"/>
      <c r="O254" s="62">
        <f>订货1!AB256</f>
        <v>0</v>
      </c>
      <c r="P254" s="113"/>
      <c r="Q254" s="113"/>
      <c r="R254" s="62">
        <f>订货1!AC256</f>
        <v>0</v>
      </c>
      <c r="S254" s="113"/>
      <c r="T254" s="113"/>
      <c r="U254" s="62">
        <f>订货1!AD256</f>
        <v>0</v>
      </c>
      <c r="V254" s="113"/>
      <c r="W254" s="113"/>
      <c r="X254" s="62">
        <f>订货1!AE256</f>
        <v>0</v>
      </c>
      <c r="Y254" s="113"/>
      <c r="Z254" s="113"/>
      <c r="AA254" s="62">
        <f>订货1!AF256</f>
        <v>0</v>
      </c>
      <c r="AB254" s="113"/>
      <c r="AC254" s="113"/>
      <c r="AD254" s="62">
        <f>订货1!AG256</f>
        <v>0</v>
      </c>
      <c r="AE254" s="113"/>
      <c r="AF254" s="113"/>
      <c r="AG254" s="62">
        <f>订货1!AH256</f>
        <v>0</v>
      </c>
      <c r="AH254" s="113"/>
      <c r="AI254" s="113"/>
      <c r="AJ254" s="62">
        <f>订货1!AI256</f>
        <v>0</v>
      </c>
      <c r="AK254" s="113"/>
      <c r="AL254" s="113"/>
      <c r="AM254" s="62">
        <f>订货1!AJ256</f>
        <v>0</v>
      </c>
      <c r="AN254" s="113"/>
      <c r="AO254" s="113"/>
      <c r="AP254" s="62">
        <f>订货1!AK256</f>
        <v>0</v>
      </c>
      <c r="AQ254" s="113"/>
      <c r="AR254" s="113"/>
      <c r="AS254" s="62">
        <f>订货1!AL256</f>
        <v>0</v>
      </c>
      <c r="AT254" s="113"/>
      <c r="AU254" s="113"/>
      <c r="AV254" s="62">
        <f>订货1!AM256</f>
        <v>0</v>
      </c>
      <c r="AW254" s="113"/>
      <c r="AX254" s="113"/>
      <c r="AY254" s="62">
        <f>订货1!AN256</f>
        <v>0</v>
      </c>
      <c r="AZ254" s="113"/>
      <c r="BA254" s="113"/>
      <c r="BB254" s="62">
        <f>订货1!AO256</f>
        <v>0</v>
      </c>
      <c r="BC254" s="113"/>
      <c r="BD254" s="113"/>
      <c r="BE254" s="62">
        <f>订货1!AP256</f>
        <v>0</v>
      </c>
      <c r="BF254" s="113"/>
      <c r="BG254" s="113"/>
      <c r="BH254" s="62">
        <f>订货1!AQ256</f>
        <v>0</v>
      </c>
      <c r="BI254" s="113"/>
      <c r="BJ254" s="113"/>
      <c r="BK254" s="62">
        <f>订货1!AR256</f>
        <v>0</v>
      </c>
      <c r="BL254" s="113"/>
      <c r="BM254" s="113"/>
      <c r="BN254" s="62">
        <f>订货1!AS256</f>
        <v>0</v>
      </c>
      <c r="BO254" s="113"/>
      <c r="BP254" s="113"/>
      <c r="BQ254" s="62">
        <f>订货1!AT256</f>
        <v>0</v>
      </c>
      <c r="BR254" s="113"/>
      <c r="BS254" s="113"/>
      <c r="BT254" s="62">
        <f>订货1!AU254</f>
        <v>0</v>
      </c>
      <c r="BU254" s="113"/>
      <c r="BV254" s="113"/>
      <c r="BW254" s="62">
        <f>订货1!AV254</f>
        <v>0</v>
      </c>
      <c r="BX254" s="113"/>
      <c r="BY254" s="113"/>
      <c r="BZ254" s="62">
        <f>订货1!AW254</f>
        <v>0</v>
      </c>
      <c r="CA254" s="113"/>
      <c r="CB254" s="113"/>
      <c r="CC254" s="62">
        <f>订货1!AX254</f>
        <v>0</v>
      </c>
      <c r="CD254" s="113"/>
      <c r="CE254" s="113"/>
      <c r="CF254" s="62">
        <f>订货1!AY254</f>
        <v>0</v>
      </c>
      <c r="CG254" s="113"/>
      <c r="CH254" s="113"/>
      <c r="CI254" s="62">
        <f>订货1!AZ254</f>
        <v>0</v>
      </c>
      <c r="CJ254" s="113"/>
      <c r="CK254" s="113"/>
      <c r="CL254" s="62">
        <f>订货1!BA254</f>
        <v>0</v>
      </c>
      <c r="CM254" s="113"/>
      <c r="CN254" s="113"/>
      <c r="CO254" s="62">
        <f>订货1!BB254</f>
        <v>0</v>
      </c>
      <c r="CP254" s="113"/>
      <c r="CQ254" s="113"/>
      <c r="CR254" s="62">
        <f>订货1!BC254</f>
        <v>0</v>
      </c>
      <c r="CS254" s="113"/>
      <c r="CT254" s="113"/>
      <c r="CU254" s="62">
        <f>订货1!BD254</f>
        <v>0</v>
      </c>
      <c r="CV254" s="113"/>
      <c r="CW254" s="113"/>
      <c r="CX254" s="62">
        <f>订货1!BE254</f>
        <v>0</v>
      </c>
      <c r="CY254" s="113"/>
      <c r="CZ254" s="113"/>
      <c r="DA254" s="62">
        <f>订货1!BF256</f>
        <v>0</v>
      </c>
      <c r="DB254" s="113"/>
      <c r="DC254" s="113"/>
      <c r="DD254" s="208">
        <v>0</v>
      </c>
      <c r="DE254" s="110" t="e">
        <f t="shared" si="45"/>
        <v>#DIV/0!</v>
      </c>
      <c r="DF254" s="52">
        <f t="shared" si="44"/>
        <v>0</v>
      </c>
      <c r="DG254" s="32">
        <f>订货1!$Q256</f>
        <v>0</v>
      </c>
      <c r="DH254" s="209" t="e">
        <f t="shared" si="46"/>
        <v>#DIV/0!</v>
      </c>
    </row>
    <row r="255" spans="1:112" ht="15" customHeight="1">
      <c r="A255" s="48"/>
      <c r="B255" s="44" t="e">
        <f>VLOOKUP($A255,订货1!$A257:$G498,7,0)</f>
        <v>#N/A</v>
      </c>
      <c r="C255" s="44" t="e">
        <f>VLOOKUP($A255,订货1!$A257:$H498,8,0)</f>
        <v>#N/A</v>
      </c>
      <c r="D255" s="44"/>
      <c r="E255" s="44"/>
      <c r="F255" s="49"/>
      <c r="G255" s="203"/>
      <c r="H255" s="56">
        <f t="shared" si="47"/>
        <v>0</v>
      </c>
      <c r="I255" s="196"/>
      <c r="J255" s="113"/>
      <c r="K255" s="113"/>
      <c r="L255" s="196"/>
      <c r="M255" s="113"/>
      <c r="N255" s="113"/>
      <c r="O255" s="62">
        <f>订货1!AB257</f>
        <v>0</v>
      </c>
      <c r="P255" s="113"/>
      <c r="Q255" s="113"/>
      <c r="R255" s="62">
        <f>订货1!AC257</f>
        <v>0</v>
      </c>
      <c r="S255" s="113"/>
      <c r="T255" s="113"/>
      <c r="U255" s="62">
        <f>订货1!AD257</f>
        <v>0</v>
      </c>
      <c r="V255" s="113"/>
      <c r="W255" s="113"/>
      <c r="X255" s="62">
        <f>订货1!AE257</f>
        <v>0</v>
      </c>
      <c r="Y255" s="113"/>
      <c r="Z255" s="113"/>
      <c r="AA255" s="62">
        <f>订货1!AF257</f>
        <v>0</v>
      </c>
      <c r="AB255" s="113"/>
      <c r="AC255" s="113"/>
      <c r="AD255" s="62">
        <f>订货1!AG257</f>
        <v>0</v>
      </c>
      <c r="AE255" s="113"/>
      <c r="AF255" s="113"/>
      <c r="AG255" s="62">
        <f>订货1!AH257</f>
        <v>0</v>
      </c>
      <c r="AH255" s="113"/>
      <c r="AI255" s="113"/>
      <c r="AJ255" s="62">
        <f>订货1!AI257</f>
        <v>0</v>
      </c>
      <c r="AK255" s="113"/>
      <c r="AL255" s="113"/>
      <c r="AM255" s="62">
        <f>订货1!AJ257</f>
        <v>0</v>
      </c>
      <c r="AN255" s="113"/>
      <c r="AO255" s="113"/>
      <c r="AP255" s="62">
        <f>订货1!AK257</f>
        <v>0</v>
      </c>
      <c r="AQ255" s="113"/>
      <c r="AR255" s="113"/>
      <c r="AS255" s="62">
        <f>订货1!AL257</f>
        <v>0</v>
      </c>
      <c r="AT255" s="113"/>
      <c r="AU255" s="113"/>
      <c r="AV255" s="62">
        <f>订货1!AM257</f>
        <v>0</v>
      </c>
      <c r="AW255" s="113"/>
      <c r="AX255" s="113"/>
      <c r="AY255" s="62">
        <f>订货1!AN257</f>
        <v>0</v>
      </c>
      <c r="AZ255" s="113"/>
      <c r="BA255" s="113"/>
      <c r="BB255" s="62">
        <f>订货1!AO257</f>
        <v>0</v>
      </c>
      <c r="BC255" s="113"/>
      <c r="BD255" s="113"/>
      <c r="BE255" s="62">
        <f>订货1!AP257</f>
        <v>0</v>
      </c>
      <c r="BF255" s="113"/>
      <c r="BG255" s="113"/>
      <c r="BH255" s="62">
        <f>订货1!AQ257</f>
        <v>0</v>
      </c>
      <c r="BI255" s="113"/>
      <c r="BJ255" s="113"/>
      <c r="BK255" s="62">
        <f>订货1!AR257</f>
        <v>0</v>
      </c>
      <c r="BL255" s="113"/>
      <c r="BM255" s="113"/>
      <c r="BN255" s="62">
        <f>订货1!AS257</f>
        <v>0</v>
      </c>
      <c r="BO255" s="113"/>
      <c r="BP255" s="113"/>
      <c r="BQ255" s="62">
        <f>订货1!AT257</f>
        <v>0</v>
      </c>
      <c r="BR255" s="113"/>
      <c r="BS255" s="113"/>
      <c r="BT255" s="62">
        <f>订货1!AU255</f>
        <v>0</v>
      </c>
      <c r="BU255" s="113"/>
      <c r="BV255" s="113"/>
      <c r="BW255" s="62">
        <f>订货1!AV255</f>
        <v>0</v>
      </c>
      <c r="BX255" s="113"/>
      <c r="BY255" s="113"/>
      <c r="BZ255" s="62">
        <f>订货1!AW255</f>
        <v>0</v>
      </c>
      <c r="CA255" s="113"/>
      <c r="CB255" s="113"/>
      <c r="CC255" s="62">
        <f>订货1!AX255</f>
        <v>0</v>
      </c>
      <c r="CD255" s="113"/>
      <c r="CE255" s="113"/>
      <c r="CF255" s="62">
        <f>订货1!AY255</f>
        <v>0</v>
      </c>
      <c r="CG255" s="113"/>
      <c r="CH255" s="113"/>
      <c r="CI255" s="62">
        <f>订货1!AZ255</f>
        <v>0</v>
      </c>
      <c r="CJ255" s="113"/>
      <c r="CK255" s="113"/>
      <c r="CL255" s="62">
        <f>订货1!BA255</f>
        <v>0</v>
      </c>
      <c r="CM255" s="113"/>
      <c r="CN255" s="113"/>
      <c r="CO255" s="62">
        <f>订货1!BB255</f>
        <v>0</v>
      </c>
      <c r="CP255" s="113"/>
      <c r="CQ255" s="113"/>
      <c r="CR255" s="62">
        <f>订货1!BC255</f>
        <v>0</v>
      </c>
      <c r="CS255" s="113"/>
      <c r="CT255" s="113"/>
      <c r="CU255" s="62">
        <f>订货1!BD255</f>
        <v>0</v>
      </c>
      <c r="CV255" s="113"/>
      <c r="CW255" s="113"/>
      <c r="CX255" s="62">
        <f>订货1!BE255</f>
        <v>0</v>
      </c>
      <c r="CY255" s="113"/>
      <c r="CZ255" s="113"/>
      <c r="DA255" s="62">
        <f>订货1!BF257</f>
        <v>0</v>
      </c>
      <c r="DB255" s="113"/>
      <c r="DC255" s="113"/>
      <c r="DD255" s="208">
        <v>0</v>
      </c>
      <c r="DE255" s="110" t="e">
        <f t="shared" si="45"/>
        <v>#DIV/0!</v>
      </c>
      <c r="DF255" s="52">
        <f t="shared" si="44"/>
        <v>0</v>
      </c>
      <c r="DG255" s="32">
        <f>订货1!$Q257</f>
        <v>0</v>
      </c>
      <c r="DH255" s="209" t="e">
        <f t="shared" si="46"/>
        <v>#DIV/0!</v>
      </c>
    </row>
    <row r="256" spans="1:112" ht="15" customHeight="1">
      <c r="A256" s="48"/>
      <c r="B256" s="44"/>
      <c r="C256" s="44"/>
      <c r="D256" s="44"/>
      <c r="E256" s="44"/>
      <c r="F256" s="49"/>
      <c r="G256" s="203"/>
      <c r="H256" s="56">
        <f t="shared" si="47"/>
        <v>0</v>
      </c>
      <c r="I256" s="196"/>
      <c r="J256" s="113"/>
      <c r="K256" s="113"/>
      <c r="L256" s="196"/>
      <c r="M256" s="113"/>
      <c r="N256" s="113"/>
      <c r="O256" s="62">
        <f>订货1!AB258</f>
        <v>0</v>
      </c>
      <c r="P256" s="113"/>
      <c r="Q256" s="113"/>
      <c r="R256" s="62">
        <f>订货1!AC258</f>
        <v>0</v>
      </c>
      <c r="S256" s="113"/>
      <c r="T256" s="113"/>
      <c r="U256" s="62">
        <f>订货1!AD258</f>
        <v>0</v>
      </c>
      <c r="V256" s="113"/>
      <c r="W256" s="113"/>
      <c r="X256" s="62">
        <f>订货1!AE258</f>
        <v>0</v>
      </c>
      <c r="Y256" s="113"/>
      <c r="Z256" s="113"/>
      <c r="AA256" s="62">
        <f>订货1!AF258</f>
        <v>0</v>
      </c>
      <c r="AB256" s="113"/>
      <c r="AC256" s="113"/>
      <c r="AD256" s="62">
        <f>订货1!AG258</f>
        <v>0</v>
      </c>
      <c r="AE256" s="113"/>
      <c r="AF256" s="113"/>
      <c r="AG256" s="62">
        <f>订货1!AH258</f>
        <v>0</v>
      </c>
      <c r="AH256" s="113"/>
      <c r="AI256" s="113"/>
      <c r="AJ256" s="62">
        <f>订货1!AI258</f>
        <v>0</v>
      </c>
      <c r="AK256" s="113"/>
      <c r="AL256" s="113"/>
      <c r="AM256" s="62">
        <f>订货1!AJ258</f>
        <v>0</v>
      </c>
      <c r="AN256" s="113"/>
      <c r="AO256" s="113"/>
      <c r="AP256" s="62">
        <f>订货1!AK258</f>
        <v>0</v>
      </c>
      <c r="AQ256" s="113"/>
      <c r="AR256" s="113"/>
      <c r="AS256" s="62">
        <f>订货1!AL258</f>
        <v>0</v>
      </c>
      <c r="AT256" s="113"/>
      <c r="AU256" s="113"/>
      <c r="AV256" s="62">
        <f>订货1!AM258</f>
        <v>0</v>
      </c>
      <c r="AW256" s="113"/>
      <c r="AX256" s="113"/>
      <c r="AY256" s="62">
        <f>订货1!AN258</f>
        <v>0</v>
      </c>
      <c r="AZ256" s="113"/>
      <c r="BA256" s="113"/>
      <c r="BB256" s="62">
        <f>订货1!AO258</f>
        <v>0</v>
      </c>
      <c r="BC256" s="113"/>
      <c r="BD256" s="113"/>
      <c r="BE256" s="62">
        <f>订货1!AP258</f>
        <v>0</v>
      </c>
      <c r="BF256" s="113"/>
      <c r="BG256" s="113"/>
      <c r="BH256" s="62">
        <f>订货1!AQ258</f>
        <v>0</v>
      </c>
      <c r="BI256" s="113"/>
      <c r="BJ256" s="113"/>
      <c r="BK256" s="62">
        <f>订货1!AR258</f>
        <v>0</v>
      </c>
      <c r="BL256" s="113"/>
      <c r="BM256" s="113"/>
      <c r="BN256" s="62">
        <f>订货1!AS258</f>
        <v>0</v>
      </c>
      <c r="BO256" s="113"/>
      <c r="BP256" s="113"/>
      <c r="BQ256" s="62">
        <f>订货1!AT258</f>
        <v>0</v>
      </c>
      <c r="BR256" s="113"/>
      <c r="BS256" s="113"/>
      <c r="BT256" s="62">
        <f>订货1!AU256</f>
        <v>0</v>
      </c>
      <c r="BU256" s="113"/>
      <c r="BV256" s="113"/>
      <c r="BW256" s="62">
        <f>订货1!AV256</f>
        <v>0</v>
      </c>
      <c r="BX256" s="113"/>
      <c r="BY256" s="113"/>
      <c r="BZ256" s="62">
        <f>订货1!AW256</f>
        <v>0</v>
      </c>
      <c r="CA256" s="113"/>
      <c r="CB256" s="113"/>
      <c r="CC256" s="62">
        <f>订货1!AX256</f>
        <v>0</v>
      </c>
      <c r="CD256" s="113"/>
      <c r="CE256" s="113"/>
      <c r="CF256" s="62">
        <f>订货1!AY256</f>
        <v>0</v>
      </c>
      <c r="CG256" s="113"/>
      <c r="CH256" s="113"/>
      <c r="CI256" s="62">
        <f>订货1!AZ256</f>
        <v>0</v>
      </c>
      <c r="CJ256" s="113"/>
      <c r="CK256" s="113"/>
      <c r="CL256" s="62">
        <f>订货1!BA256</f>
        <v>0</v>
      </c>
      <c r="CM256" s="113"/>
      <c r="CN256" s="113"/>
      <c r="CO256" s="62">
        <f>订货1!BB256</f>
        <v>0</v>
      </c>
      <c r="CP256" s="113"/>
      <c r="CQ256" s="113"/>
      <c r="CR256" s="62">
        <f>订货1!BC256</f>
        <v>0</v>
      </c>
      <c r="CS256" s="113"/>
      <c r="CT256" s="113"/>
      <c r="CU256" s="62">
        <f>订货1!BD256</f>
        <v>0</v>
      </c>
      <c r="CV256" s="113"/>
      <c r="CW256" s="113"/>
      <c r="CX256" s="62">
        <f>订货1!BE256</f>
        <v>0</v>
      </c>
      <c r="CY256" s="113"/>
      <c r="CZ256" s="113"/>
      <c r="DA256" s="62">
        <f>订货1!BF258</f>
        <v>0</v>
      </c>
      <c r="DB256" s="113"/>
      <c r="DC256" s="113"/>
      <c r="DD256" s="208">
        <v>0</v>
      </c>
      <c r="DE256" s="110" t="e">
        <f t="shared" si="45"/>
        <v>#DIV/0!</v>
      </c>
      <c r="DF256" s="52">
        <f t="shared" ref="DF256:DF264" si="51">IFERROR(DD256+H256-G256,"")</f>
        <v>0</v>
      </c>
      <c r="DG256" s="32">
        <f>订货1!$Q258</f>
        <v>0</v>
      </c>
      <c r="DH256" s="209" t="e">
        <f t="shared" si="46"/>
        <v>#DIV/0!</v>
      </c>
    </row>
    <row r="257" spans="1:112" ht="15" customHeight="1">
      <c r="A257" s="48"/>
      <c r="B257" s="44"/>
      <c r="C257" s="44"/>
      <c r="D257" s="44"/>
      <c r="E257" s="44"/>
      <c r="F257" s="49"/>
      <c r="G257" s="203"/>
      <c r="H257" s="56">
        <f t="shared" si="47"/>
        <v>0</v>
      </c>
      <c r="I257" s="196"/>
      <c r="J257" s="113"/>
      <c r="K257" s="113"/>
      <c r="L257" s="196"/>
      <c r="M257" s="113"/>
      <c r="N257" s="113"/>
      <c r="O257" s="62">
        <f>订货1!AB259</f>
        <v>0</v>
      </c>
      <c r="P257" s="113"/>
      <c r="Q257" s="113"/>
      <c r="R257" s="62">
        <f>订货1!AC259</f>
        <v>0</v>
      </c>
      <c r="S257" s="113"/>
      <c r="T257" s="113"/>
      <c r="U257" s="62">
        <f>订货1!AD259</f>
        <v>0</v>
      </c>
      <c r="V257" s="113"/>
      <c r="W257" s="113"/>
      <c r="X257" s="62">
        <f>订货1!AE259</f>
        <v>0</v>
      </c>
      <c r="Y257" s="113"/>
      <c r="Z257" s="113"/>
      <c r="AA257" s="62">
        <f>订货1!AF259</f>
        <v>0</v>
      </c>
      <c r="AB257" s="113"/>
      <c r="AC257" s="113"/>
      <c r="AD257" s="62">
        <f>订货1!AG259</f>
        <v>0</v>
      </c>
      <c r="AE257" s="113"/>
      <c r="AF257" s="113"/>
      <c r="AG257" s="62">
        <f>订货1!AH259</f>
        <v>0</v>
      </c>
      <c r="AH257" s="113"/>
      <c r="AI257" s="113"/>
      <c r="AJ257" s="62">
        <f>订货1!AI259</f>
        <v>0</v>
      </c>
      <c r="AK257" s="113"/>
      <c r="AL257" s="113"/>
      <c r="AM257" s="62">
        <f>订货1!AJ259</f>
        <v>0</v>
      </c>
      <c r="AN257" s="113"/>
      <c r="AO257" s="113"/>
      <c r="AP257" s="62">
        <f>订货1!AK259</f>
        <v>0</v>
      </c>
      <c r="AQ257" s="113"/>
      <c r="AR257" s="113"/>
      <c r="AS257" s="62">
        <f>订货1!AL259</f>
        <v>0</v>
      </c>
      <c r="AT257" s="113"/>
      <c r="AU257" s="113"/>
      <c r="AV257" s="62">
        <f>订货1!AM259</f>
        <v>0</v>
      </c>
      <c r="AW257" s="113"/>
      <c r="AX257" s="113"/>
      <c r="AY257" s="62">
        <f>订货1!AN259</f>
        <v>0</v>
      </c>
      <c r="AZ257" s="113"/>
      <c r="BA257" s="113"/>
      <c r="BB257" s="62">
        <f>订货1!AO259</f>
        <v>0</v>
      </c>
      <c r="BC257" s="113"/>
      <c r="BD257" s="113"/>
      <c r="BE257" s="62">
        <f>订货1!AP259</f>
        <v>0</v>
      </c>
      <c r="BF257" s="113"/>
      <c r="BG257" s="113"/>
      <c r="BH257" s="62">
        <f>订货1!AQ259</f>
        <v>0</v>
      </c>
      <c r="BI257" s="113"/>
      <c r="BJ257" s="113"/>
      <c r="BK257" s="62">
        <f>订货1!AR259</f>
        <v>0</v>
      </c>
      <c r="BL257" s="113"/>
      <c r="BM257" s="113"/>
      <c r="BN257" s="62">
        <f>订货1!AS259</f>
        <v>0</v>
      </c>
      <c r="BO257" s="113"/>
      <c r="BP257" s="113"/>
      <c r="BQ257" s="62">
        <f>订货1!AT259</f>
        <v>0</v>
      </c>
      <c r="BR257" s="113"/>
      <c r="BS257" s="113"/>
      <c r="BT257" s="62">
        <f>订货1!AU257</f>
        <v>0</v>
      </c>
      <c r="BU257" s="113"/>
      <c r="BV257" s="113"/>
      <c r="BW257" s="62">
        <f>订货1!AV257</f>
        <v>0</v>
      </c>
      <c r="BX257" s="113"/>
      <c r="BY257" s="113"/>
      <c r="BZ257" s="62">
        <f>订货1!AW257</f>
        <v>0</v>
      </c>
      <c r="CA257" s="113"/>
      <c r="CB257" s="113"/>
      <c r="CC257" s="62">
        <f>订货1!AX257</f>
        <v>0</v>
      </c>
      <c r="CD257" s="113"/>
      <c r="CE257" s="113"/>
      <c r="CF257" s="62">
        <f>订货1!AY257</f>
        <v>0</v>
      </c>
      <c r="CG257" s="113"/>
      <c r="CH257" s="113"/>
      <c r="CI257" s="62">
        <f>订货1!AZ257</f>
        <v>0</v>
      </c>
      <c r="CJ257" s="113"/>
      <c r="CK257" s="113"/>
      <c r="CL257" s="62">
        <f>订货1!BA257</f>
        <v>0</v>
      </c>
      <c r="CM257" s="113"/>
      <c r="CN257" s="113"/>
      <c r="CO257" s="62">
        <f>订货1!BB257</f>
        <v>0</v>
      </c>
      <c r="CP257" s="113"/>
      <c r="CQ257" s="113"/>
      <c r="CR257" s="62">
        <f>订货1!BC257</f>
        <v>0</v>
      </c>
      <c r="CS257" s="113"/>
      <c r="CT257" s="113"/>
      <c r="CU257" s="62">
        <f>订货1!BD257</f>
        <v>0</v>
      </c>
      <c r="CV257" s="113"/>
      <c r="CW257" s="113"/>
      <c r="CX257" s="62">
        <f>订货1!BE257</f>
        <v>0</v>
      </c>
      <c r="CY257" s="113"/>
      <c r="CZ257" s="113"/>
      <c r="DA257" s="62">
        <f>订货1!BF259</f>
        <v>0</v>
      </c>
      <c r="DB257" s="113"/>
      <c r="DC257" s="113"/>
      <c r="DD257" s="208">
        <v>0</v>
      </c>
      <c r="DE257" s="110" t="e">
        <f t="shared" ref="DE257:DE263" si="52">INT(G257/DI257)</f>
        <v>#DIV/0!</v>
      </c>
      <c r="DF257" s="52">
        <f t="shared" si="51"/>
        <v>0</v>
      </c>
      <c r="DG257" s="32">
        <f>订货1!$Q259</f>
        <v>0</v>
      </c>
      <c r="DH257" s="209" t="e">
        <f t="shared" si="46"/>
        <v>#DIV/0!</v>
      </c>
    </row>
    <row r="258" spans="1:112" ht="15" customHeight="1">
      <c r="A258" s="48"/>
      <c r="B258" s="44"/>
      <c r="C258" s="44"/>
      <c r="D258" s="44"/>
      <c r="E258" s="44"/>
      <c r="F258" s="49"/>
      <c r="G258" s="203"/>
      <c r="H258" s="56">
        <f t="shared" si="47"/>
        <v>0</v>
      </c>
      <c r="I258" s="196"/>
      <c r="J258" s="113"/>
      <c r="K258" s="113"/>
      <c r="L258" s="196"/>
      <c r="M258" s="113"/>
      <c r="N258" s="113"/>
      <c r="O258" s="62">
        <f>订货1!AB260</f>
        <v>0</v>
      </c>
      <c r="P258" s="113"/>
      <c r="Q258" s="113"/>
      <c r="R258" s="62">
        <f>订货1!AC260</f>
        <v>0</v>
      </c>
      <c r="S258" s="113"/>
      <c r="T258" s="113"/>
      <c r="U258" s="62">
        <f>订货1!AD260</f>
        <v>0</v>
      </c>
      <c r="V258" s="113"/>
      <c r="W258" s="113"/>
      <c r="X258" s="62">
        <f>订货1!AE260</f>
        <v>0</v>
      </c>
      <c r="Y258" s="113"/>
      <c r="Z258" s="113"/>
      <c r="AA258" s="62">
        <f>订货1!AF260</f>
        <v>0</v>
      </c>
      <c r="AB258" s="113"/>
      <c r="AC258" s="113"/>
      <c r="AD258" s="62">
        <f>订货1!AG260</f>
        <v>0</v>
      </c>
      <c r="AE258" s="113"/>
      <c r="AF258" s="113"/>
      <c r="AG258" s="62">
        <f>订货1!AH260</f>
        <v>0</v>
      </c>
      <c r="AH258" s="113"/>
      <c r="AI258" s="113"/>
      <c r="AJ258" s="62">
        <f>订货1!AI260</f>
        <v>0</v>
      </c>
      <c r="AK258" s="113"/>
      <c r="AL258" s="113"/>
      <c r="AM258" s="62">
        <f>订货1!AJ260</f>
        <v>0</v>
      </c>
      <c r="AN258" s="113"/>
      <c r="AO258" s="113"/>
      <c r="AP258" s="62">
        <f>订货1!AK260</f>
        <v>0</v>
      </c>
      <c r="AQ258" s="113"/>
      <c r="AR258" s="113"/>
      <c r="AS258" s="62">
        <f>订货1!AL260</f>
        <v>0</v>
      </c>
      <c r="AT258" s="113"/>
      <c r="AU258" s="113"/>
      <c r="AV258" s="62">
        <f>订货1!AM260</f>
        <v>0</v>
      </c>
      <c r="AW258" s="113"/>
      <c r="AX258" s="113"/>
      <c r="AY258" s="62">
        <f>订货1!AN260</f>
        <v>0</v>
      </c>
      <c r="AZ258" s="113"/>
      <c r="BA258" s="113"/>
      <c r="BB258" s="62">
        <f>订货1!AO260</f>
        <v>0</v>
      </c>
      <c r="BC258" s="113"/>
      <c r="BD258" s="113"/>
      <c r="BE258" s="62">
        <f>订货1!AP260</f>
        <v>0</v>
      </c>
      <c r="BF258" s="113"/>
      <c r="BG258" s="113"/>
      <c r="BH258" s="62">
        <f>订货1!AQ260</f>
        <v>0</v>
      </c>
      <c r="BI258" s="113"/>
      <c r="BJ258" s="113"/>
      <c r="BK258" s="62">
        <f>订货1!AR260</f>
        <v>0</v>
      </c>
      <c r="BL258" s="113"/>
      <c r="BM258" s="113"/>
      <c r="BN258" s="62">
        <f>订货1!AS260</f>
        <v>0</v>
      </c>
      <c r="BO258" s="113"/>
      <c r="BP258" s="113"/>
      <c r="BQ258" s="62">
        <f>订货1!AT260</f>
        <v>0</v>
      </c>
      <c r="BR258" s="113"/>
      <c r="BS258" s="113"/>
      <c r="BT258" s="62">
        <f>订货1!AU258</f>
        <v>0</v>
      </c>
      <c r="BU258" s="113"/>
      <c r="BV258" s="113"/>
      <c r="BW258" s="62">
        <f>订货1!AV258</f>
        <v>0</v>
      </c>
      <c r="BX258" s="113"/>
      <c r="BY258" s="113"/>
      <c r="BZ258" s="62">
        <f>订货1!AW258</f>
        <v>0</v>
      </c>
      <c r="CA258" s="113"/>
      <c r="CB258" s="113"/>
      <c r="CC258" s="62">
        <f>订货1!AX258</f>
        <v>0</v>
      </c>
      <c r="CD258" s="113"/>
      <c r="CE258" s="113"/>
      <c r="CF258" s="62">
        <f>订货1!AY258</f>
        <v>0</v>
      </c>
      <c r="CG258" s="113"/>
      <c r="CH258" s="113"/>
      <c r="CI258" s="62">
        <f>订货1!AZ258</f>
        <v>0</v>
      </c>
      <c r="CJ258" s="113"/>
      <c r="CK258" s="113"/>
      <c r="CL258" s="62">
        <f>订货1!BA258</f>
        <v>0</v>
      </c>
      <c r="CM258" s="113"/>
      <c r="CN258" s="113"/>
      <c r="CO258" s="62">
        <f>订货1!BB258</f>
        <v>0</v>
      </c>
      <c r="CP258" s="113"/>
      <c r="CQ258" s="113"/>
      <c r="CR258" s="62">
        <f>订货1!BC258</f>
        <v>0</v>
      </c>
      <c r="CS258" s="113"/>
      <c r="CT258" s="113"/>
      <c r="CU258" s="62">
        <f>订货1!BD258</f>
        <v>0</v>
      </c>
      <c r="CV258" s="113"/>
      <c r="CW258" s="113"/>
      <c r="CX258" s="62">
        <f>订货1!BE258</f>
        <v>0</v>
      </c>
      <c r="CY258" s="113"/>
      <c r="CZ258" s="113"/>
      <c r="DA258" s="62">
        <f>订货1!BF260</f>
        <v>0</v>
      </c>
      <c r="DB258" s="113"/>
      <c r="DC258" s="113"/>
      <c r="DD258" s="208">
        <v>0</v>
      </c>
      <c r="DE258" s="110" t="e">
        <f t="shared" si="52"/>
        <v>#DIV/0!</v>
      </c>
      <c r="DF258" s="52">
        <f t="shared" si="51"/>
        <v>0</v>
      </c>
      <c r="DG258" s="32">
        <f>订货1!$Q260</f>
        <v>0</v>
      </c>
      <c r="DH258" s="209" t="e">
        <f t="shared" ref="DH258:DH264" si="53">DF258/($DH$2/10000)</f>
        <v>#DIV/0!</v>
      </c>
    </row>
    <row r="259" spans="1:112" ht="15" customHeight="1">
      <c r="A259" s="48"/>
      <c r="B259" s="44"/>
      <c r="C259" s="44"/>
      <c r="D259" s="44"/>
      <c r="E259" s="44"/>
      <c r="F259" s="49"/>
      <c r="G259" s="203"/>
      <c r="H259" s="56">
        <f t="shared" si="47"/>
        <v>0</v>
      </c>
      <c r="I259" s="196"/>
      <c r="J259" s="113"/>
      <c r="K259" s="113"/>
      <c r="L259" s="196"/>
      <c r="M259" s="113"/>
      <c r="N259" s="113"/>
      <c r="O259" s="62">
        <f>订货1!AB261</f>
        <v>0</v>
      </c>
      <c r="P259" s="113"/>
      <c r="Q259" s="113"/>
      <c r="R259" s="62">
        <f>订货1!AC261</f>
        <v>0</v>
      </c>
      <c r="S259" s="113"/>
      <c r="T259" s="113"/>
      <c r="U259" s="62">
        <f>订货1!AD261</f>
        <v>0</v>
      </c>
      <c r="V259" s="113"/>
      <c r="W259" s="113"/>
      <c r="X259" s="62">
        <f>订货1!AE261</f>
        <v>0</v>
      </c>
      <c r="Y259" s="113"/>
      <c r="Z259" s="113"/>
      <c r="AA259" s="62">
        <f>订货1!AF261</f>
        <v>0</v>
      </c>
      <c r="AB259" s="113"/>
      <c r="AC259" s="113"/>
      <c r="AD259" s="62">
        <f>订货1!AG261</f>
        <v>0</v>
      </c>
      <c r="AE259" s="113"/>
      <c r="AF259" s="113"/>
      <c r="AG259" s="62">
        <f>订货1!AH261</f>
        <v>0</v>
      </c>
      <c r="AH259" s="113"/>
      <c r="AI259" s="113"/>
      <c r="AJ259" s="62">
        <f>订货1!AI261</f>
        <v>0</v>
      </c>
      <c r="AK259" s="113"/>
      <c r="AL259" s="113"/>
      <c r="AM259" s="62">
        <f>订货1!AJ261</f>
        <v>0</v>
      </c>
      <c r="AN259" s="113"/>
      <c r="AO259" s="113"/>
      <c r="AP259" s="62">
        <f>订货1!AK261</f>
        <v>0</v>
      </c>
      <c r="AQ259" s="113"/>
      <c r="AR259" s="113"/>
      <c r="AS259" s="62">
        <f>订货1!AL261</f>
        <v>0</v>
      </c>
      <c r="AT259" s="113"/>
      <c r="AU259" s="113"/>
      <c r="AV259" s="62">
        <f>订货1!AM261</f>
        <v>0</v>
      </c>
      <c r="AW259" s="113"/>
      <c r="AX259" s="113"/>
      <c r="AY259" s="62">
        <f>订货1!AN261</f>
        <v>0</v>
      </c>
      <c r="AZ259" s="113"/>
      <c r="BA259" s="113"/>
      <c r="BB259" s="62">
        <f>订货1!AO261</f>
        <v>0</v>
      </c>
      <c r="BC259" s="113"/>
      <c r="BD259" s="113"/>
      <c r="BE259" s="62">
        <f>订货1!AP261</f>
        <v>0</v>
      </c>
      <c r="BF259" s="113"/>
      <c r="BG259" s="113"/>
      <c r="BH259" s="62">
        <f>订货1!AQ261</f>
        <v>0</v>
      </c>
      <c r="BI259" s="113"/>
      <c r="BJ259" s="113"/>
      <c r="BK259" s="62">
        <f>订货1!AR261</f>
        <v>0</v>
      </c>
      <c r="BL259" s="113"/>
      <c r="BM259" s="113"/>
      <c r="BN259" s="62">
        <f>订货1!AS261</f>
        <v>0</v>
      </c>
      <c r="BO259" s="113"/>
      <c r="BP259" s="113"/>
      <c r="BQ259" s="62">
        <f>订货1!AT261</f>
        <v>0</v>
      </c>
      <c r="BR259" s="113"/>
      <c r="BS259" s="113"/>
      <c r="BT259" s="62">
        <f>订货1!AU259</f>
        <v>0</v>
      </c>
      <c r="BU259" s="113"/>
      <c r="BV259" s="113"/>
      <c r="BW259" s="62">
        <f>订货1!AV259</f>
        <v>0</v>
      </c>
      <c r="BX259" s="113"/>
      <c r="BY259" s="113"/>
      <c r="BZ259" s="62">
        <f>订货1!AW259</f>
        <v>0</v>
      </c>
      <c r="CA259" s="113"/>
      <c r="CB259" s="113"/>
      <c r="CC259" s="62">
        <f>订货1!AX259</f>
        <v>0</v>
      </c>
      <c r="CD259" s="113"/>
      <c r="CE259" s="113"/>
      <c r="CF259" s="62">
        <f>订货1!AY259</f>
        <v>0</v>
      </c>
      <c r="CG259" s="113"/>
      <c r="CH259" s="113"/>
      <c r="CI259" s="62">
        <f>订货1!AZ259</f>
        <v>0</v>
      </c>
      <c r="CJ259" s="113"/>
      <c r="CK259" s="113"/>
      <c r="CL259" s="62">
        <f>订货1!BA259</f>
        <v>0</v>
      </c>
      <c r="CM259" s="113"/>
      <c r="CN259" s="113"/>
      <c r="CO259" s="62">
        <f>订货1!BB259</f>
        <v>0</v>
      </c>
      <c r="CP259" s="113"/>
      <c r="CQ259" s="113"/>
      <c r="CR259" s="62">
        <f>订货1!BC259</f>
        <v>0</v>
      </c>
      <c r="CS259" s="113"/>
      <c r="CT259" s="113"/>
      <c r="CU259" s="62">
        <f>订货1!BD259</f>
        <v>0</v>
      </c>
      <c r="CV259" s="113"/>
      <c r="CW259" s="113"/>
      <c r="CX259" s="62">
        <f>订货1!BE259</f>
        <v>0</v>
      </c>
      <c r="CY259" s="113"/>
      <c r="CZ259" s="113"/>
      <c r="DA259" s="62">
        <f>订货1!BF261</f>
        <v>0</v>
      </c>
      <c r="DB259" s="113"/>
      <c r="DC259" s="113"/>
      <c r="DD259" s="208">
        <v>0</v>
      </c>
      <c r="DE259" s="110" t="e">
        <f t="shared" si="52"/>
        <v>#DIV/0!</v>
      </c>
      <c r="DF259" s="52">
        <f t="shared" si="51"/>
        <v>0</v>
      </c>
      <c r="DG259" s="32">
        <f>订货1!$Q261</f>
        <v>0</v>
      </c>
      <c r="DH259" s="209" t="e">
        <f t="shared" si="53"/>
        <v>#DIV/0!</v>
      </c>
    </row>
    <row r="260" spans="1:112" ht="15" customHeight="1">
      <c r="A260" s="48"/>
      <c r="B260" s="44"/>
      <c r="C260" s="44"/>
      <c r="D260" s="44"/>
      <c r="E260" s="44"/>
      <c r="F260" s="49"/>
      <c r="G260" s="203"/>
      <c r="H260" s="56">
        <f t="shared" si="47"/>
        <v>0</v>
      </c>
      <c r="I260" s="196"/>
      <c r="J260" s="113"/>
      <c r="K260" s="113"/>
      <c r="L260" s="196"/>
      <c r="M260" s="113"/>
      <c r="N260" s="113"/>
      <c r="O260" s="62">
        <f>订货1!AB262</f>
        <v>0</v>
      </c>
      <c r="P260" s="113"/>
      <c r="Q260" s="113"/>
      <c r="R260" s="62">
        <f>订货1!AC262</f>
        <v>0</v>
      </c>
      <c r="S260" s="113"/>
      <c r="T260" s="113"/>
      <c r="U260" s="62">
        <f>订货1!AD262</f>
        <v>0</v>
      </c>
      <c r="V260" s="113"/>
      <c r="W260" s="113"/>
      <c r="X260" s="62">
        <f>订货1!AE262</f>
        <v>0</v>
      </c>
      <c r="Y260" s="113"/>
      <c r="Z260" s="113"/>
      <c r="AA260" s="62">
        <f>订货1!AF262</f>
        <v>0</v>
      </c>
      <c r="AB260" s="113"/>
      <c r="AC260" s="113"/>
      <c r="AD260" s="62">
        <f>订货1!AG262</f>
        <v>0</v>
      </c>
      <c r="AE260" s="113"/>
      <c r="AF260" s="113"/>
      <c r="AG260" s="62">
        <f>订货1!AH262</f>
        <v>0</v>
      </c>
      <c r="AH260" s="113"/>
      <c r="AI260" s="113"/>
      <c r="AJ260" s="62">
        <f>订货1!AI262</f>
        <v>0</v>
      </c>
      <c r="AK260" s="113"/>
      <c r="AL260" s="113"/>
      <c r="AM260" s="62">
        <f>订货1!AJ262</f>
        <v>0</v>
      </c>
      <c r="AN260" s="113"/>
      <c r="AO260" s="113"/>
      <c r="AP260" s="62">
        <f>订货1!AK262</f>
        <v>0</v>
      </c>
      <c r="AQ260" s="113"/>
      <c r="AR260" s="113"/>
      <c r="AS260" s="62">
        <f>订货1!AL262</f>
        <v>0</v>
      </c>
      <c r="AT260" s="113"/>
      <c r="AU260" s="113"/>
      <c r="AV260" s="62">
        <f>订货1!AM262</f>
        <v>0</v>
      </c>
      <c r="AW260" s="113"/>
      <c r="AX260" s="113"/>
      <c r="AY260" s="62">
        <f>订货1!AN262</f>
        <v>0</v>
      </c>
      <c r="AZ260" s="113"/>
      <c r="BA260" s="113"/>
      <c r="BB260" s="62">
        <f>订货1!AO262</f>
        <v>0</v>
      </c>
      <c r="BC260" s="113"/>
      <c r="BD260" s="113"/>
      <c r="BE260" s="62">
        <f>订货1!AP262</f>
        <v>0</v>
      </c>
      <c r="BF260" s="113"/>
      <c r="BG260" s="113"/>
      <c r="BH260" s="62">
        <f>订货1!AQ262</f>
        <v>0</v>
      </c>
      <c r="BI260" s="113"/>
      <c r="BJ260" s="113"/>
      <c r="BK260" s="62">
        <f>订货1!AR262</f>
        <v>0</v>
      </c>
      <c r="BL260" s="113"/>
      <c r="BM260" s="113"/>
      <c r="BN260" s="62">
        <f>订货1!AS262</f>
        <v>0</v>
      </c>
      <c r="BO260" s="113"/>
      <c r="BP260" s="113"/>
      <c r="BQ260" s="62">
        <f>订货1!AT262</f>
        <v>0</v>
      </c>
      <c r="BR260" s="113"/>
      <c r="BS260" s="113"/>
      <c r="BT260" s="62">
        <f>订货1!AU260</f>
        <v>0</v>
      </c>
      <c r="BU260" s="113"/>
      <c r="BV260" s="113"/>
      <c r="BW260" s="62">
        <f>订货1!AV260</f>
        <v>0</v>
      </c>
      <c r="BX260" s="113"/>
      <c r="BY260" s="113"/>
      <c r="BZ260" s="62">
        <f>订货1!AW260</f>
        <v>0</v>
      </c>
      <c r="CA260" s="113"/>
      <c r="CB260" s="113"/>
      <c r="CC260" s="62">
        <f>订货1!AX260</f>
        <v>0</v>
      </c>
      <c r="CD260" s="113"/>
      <c r="CE260" s="113"/>
      <c r="CF260" s="62">
        <f>订货1!AY260</f>
        <v>0</v>
      </c>
      <c r="CG260" s="113"/>
      <c r="CH260" s="113"/>
      <c r="CI260" s="62">
        <f>订货1!AZ260</f>
        <v>0</v>
      </c>
      <c r="CJ260" s="113"/>
      <c r="CK260" s="113"/>
      <c r="CL260" s="62">
        <f>订货1!BA260</f>
        <v>0</v>
      </c>
      <c r="CM260" s="113"/>
      <c r="CN260" s="113"/>
      <c r="CO260" s="62">
        <f>订货1!BB260</f>
        <v>0</v>
      </c>
      <c r="CP260" s="113"/>
      <c r="CQ260" s="113"/>
      <c r="CR260" s="62">
        <f>订货1!BC260</f>
        <v>0</v>
      </c>
      <c r="CS260" s="113"/>
      <c r="CT260" s="113"/>
      <c r="CU260" s="62">
        <f>订货1!BD260</f>
        <v>0</v>
      </c>
      <c r="CV260" s="113"/>
      <c r="CW260" s="113"/>
      <c r="CX260" s="62">
        <f>订货1!BE260</f>
        <v>0</v>
      </c>
      <c r="CY260" s="113"/>
      <c r="CZ260" s="113"/>
      <c r="DA260" s="62">
        <f>订货1!BF262</f>
        <v>0</v>
      </c>
      <c r="DB260" s="113"/>
      <c r="DC260" s="113"/>
      <c r="DD260" s="208">
        <v>0</v>
      </c>
      <c r="DE260" s="110" t="e">
        <f t="shared" si="52"/>
        <v>#DIV/0!</v>
      </c>
      <c r="DF260" s="52">
        <f t="shared" si="51"/>
        <v>0</v>
      </c>
      <c r="DG260" s="32">
        <f>订货1!$Q262</f>
        <v>0</v>
      </c>
      <c r="DH260" s="209" t="e">
        <f t="shared" si="53"/>
        <v>#DIV/0!</v>
      </c>
    </row>
    <row r="261" spans="1:112" ht="15" customHeight="1">
      <c r="A261" s="48"/>
      <c r="B261" s="44"/>
      <c r="C261" s="44"/>
      <c r="D261" s="44"/>
      <c r="E261" s="44"/>
      <c r="F261" s="49"/>
      <c r="G261" s="203"/>
      <c r="H261" s="56">
        <f t="shared" ref="H261:H264" si="54">O261+R261+X261+AA261+AD261+AG261+AJ261+AM261+AP261+AS261+AV261+AY261+BB261+BE261+BH261+BK261+BN261+BQ261+BT261+BW261+BZ261+CC261+CF261+CI261+CL261+CO261+CR261+U261+I261+L261</f>
        <v>0</v>
      </c>
      <c r="I261" s="196"/>
      <c r="J261" s="113"/>
      <c r="K261" s="113"/>
      <c r="L261" s="196"/>
      <c r="M261" s="113"/>
      <c r="N261" s="113"/>
      <c r="O261" s="62">
        <f>订货1!AB263</f>
        <v>0</v>
      </c>
      <c r="P261" s="113"/>
      <c r="Q261" s="113"/>
      <c r="R261" s="62">
        <f>订货1!AC263</f>
        <v>0</v>
      </c>
      <c r="S261" s="113"/>
      <c r="T261" s="113"/>
      <c r="U261" s="62">
        <f>订货1!AD263</f>
        <v>0</v>
      </c>
      <c r="V261" s="113"/>
      <c r="W261" s="113"/>
      <c r="X261" s="62">
        <f>订货1!AE263</f>
        <v>0</v>
      </c>
      <c r="Y261" s="113"/>
      <c r="Z261" s="113"/>
      <c r="AA261" s="62">
        <f>订货1!AF263</f>
        <v>0</v>
      </c>
      <c r="AB261" s="113"/>
      <c r="AC261" s="113"/>
      <c r="AD261" s="62">
        <f>订货1!AG263</f>
        <v>0</v>
      </c>
      <c r="AE261" s="113"/>
      <c r="AF261" s="113"/>
      <c r="AG261" s="62">
        <f>订货1!AH263</f>
        <v>0</v>
      </c>
      <c r="AH261" s="113"/>
      <c r="AI261" s="113"/>
      <c r="AJ261" s="62">
        <f>订货1!AI263</f>
        <v>0</v>
      </c>
      <c r="AK261" s="113"/>
      <c r="AL261" s="113"/>
      <c r="AM261" s="62">
        <f>订货1!AJ263</f>
        <v>0</v>
      </c>
      <c r="AN261" s="113"/>
      <c r="AO261" s="113"/>
      <c r="AP261" s="62">
        <f>订货1!AK263</f>
        <v>0</v>
      </c>
      <c r="AQ261" s="113"/>
      <c r="AR261" s="113"/>
      <c r="AS261" s="62">
        <f>订货1!AL263</f>
        <v>0</v>
      </c>
      <c r="AT261" s="113"/>
      <c r="AU261" s="113"/>
      <c r="AV261" s="62">
        <f>订货1!AM263</f>
        <v>0</v>
      </c>
      <c r="AW261" s="113"/>
      <c r="AX261" s="113"/>
      <c r="AY261" s="62">
        <f>订货1!AN263</f>
        <v>0</v>
      </c>
      <c r="AZ261" s="113"/>
      <c r="BA261" s="113"/>
      <c r="BB261" s="62">
        <f>订货1!AO263</f>
        <v>0</v>
      </c>
      <c r="BC261" s="113"/>
      <c r="BD261" s="113"/>
      <c r="BE261" s="62">
        <f>订货1!AP263</f>
        <v>0</v>
      </c>
      <c r="BF261" s="113"/>
      <c r="BG261" s="113"/>
      <c r="BH261" s="62">
        <f>订货1!AQ263</f>
        <v>0</v>
      </c>
      <c r="BI261" s="113"/>
      <c r="BJ261" s="113"/>
      <c r="BK261" s="62">
        <f>订货1!AR263</f>
        <v>0</v>
      </c>
      <c r="BL261" s="113"/>
      <c r="BM261" s="113"/>
      <c r="BN261" s="62">
        <f>订货1!AS263</f>
        <v>0</v>
      </c>
      <c r="BO261" s="113"/>
      <c r="BP261" s="113"/>
      <c r="BQ261" s="62">
        <f>订货1!AT263</f>
        <v>0</v>
      </c>
      <c r="BR261" s="113"/>
      <c r="BS261" s="113"/>
      <c r="BT261" s="62">
        <f>订货1!AU261</f>
        <v>0</v>
      </c>
      <c r="BU261" s="113"/>
      <c r="BV261" s="113"/>
      <c r="BW261" s="62">
        <f>订货1!AV261</f>
        <v>0</v>
      </c>
      <c r="BX261" s="113"/>
      <c r="BY261" s="113"/>
      <c r="BZ261" s="62">
        <f>订货1!AW261</f>
        <v>0</v>
      </c>
      <c r="CA261" s="113"/>
      <c r="CB261" s="113"/>
      <c r="CC261" s="62">
        <f>订货1!AX261</f>
        <v>0</v>
      </c>
      <c r="CD261" s="113"/>
      <c r="CE261" s="113"/>
      <c r="CF261" s="62">
        <f>订货1!AY261</f>
        <v>0</v>
      </c>
      <c r="CG261" s="113"/>
      <c r="CH261" s="113"/>
      <c r="CI261" s="62">
        <f>订货1!AZ261</f>
        <v>0</v>
      </c>
      <c r="CJ261" s="113"/>
      <c r="CK261" s="113"/>
      <c r="CL261" s="62">
        <f>订货1!BA261</f>
        <v>0</v>
      </c>
      <c r="CM261" s="113"/>
      <c r="CN261" s="113"/>
      <c r="CO261" s="62">
        <f>订货1!BB261</f>
        <v>0</v>
      </c>
      <c r="CP261" s="113"/>
      <c r="CQ261" s="113"/>
      <c r="CR261" s="62">
        <f>订货1!BC261</f>
        <v>0</v>
      </c>
      <c r="CS261" s="113"/>
      <c r="CT261" s="113"/>
      <c r="CU261" s="62">
        <f>订货1!BD261</f>
        <v>0</v>
      </c>
      <c r="CV261" s="113"/>
      <c r="CW261" s="113"/>
      <c r="CX261" s="62">
        <f>订货1!BE261</f>
        <v>0</v>
      </c>
      <c r="CY261" s="113"/>
      <c r="CZ261" s="113"/>
      <c r="DA261" s="62">
        <f>订货1!BF263</f>
        <v>0</v>
      </c>
      <c r="DB261" s="113"/>
      <c r="DC261" s="113"/>
      <c r="DD261" s="208">
        <v>0</v>
      </c>
      <c r="DE261" s="110" t="e">
        <f t="shared" si="52"/>
        <v>#DIV/0!</v>
      </c>
      <c r="DF261" s="52">
        <f t="shared" si="51"/>
        <v>0</v>
      </c>
      <c r="DG261" s="32">
        <f>订货1!$Q263</f>
        <v>0</v>
      </c>
      <c r="DH261" s="209" t="e">
        <f t="shared" si="53"/>
        <v>#DIV/0!</v>
      </c>
    </row>
    <row r="262" spans="1:112" ht="15" customHeight="1">
      <c r="A262" s="48"/>
      <c r="B262" s="44"/>
      <c r="C262" s="44"/>
      <c r="D262" s="44"/>
      <c r="E262" s="44"/>
      <c r="F262" s="49"/>
      <c r="G262" s="203"/>
      <c r="H262" s="56">
        <f t="shared" si="54"/>
        <v>0</v>
      </c>
      <c r="I262" s="196"/>
      <c r="J262" s="113"/>
      <c r="K262" s="113"/>
      <c r="L262" s="196"/>
      <c r="M262" s="113"/>
      <c r="N262" s="113"/>
      <c r="O262" s="62">
        <f>订货1!AB264</f>
        <v>0</v>
      </c>
      <c r="P262" s="113"/>
      <c r="Q262" s="113"/>
      <c r="R262" s="62">
        <f>订货1!AC264</f>
        <v>0</v>
      </c>
      <c r="S262" s="113"/>
      <c r="T262" s="113"/>
      <c r="U262" s="62">
        <f>订货1!AD264</f>
        <v>0</v>
      </c>
      <c r="V262" s="113"/>
      <c r="W262" s="113"/>
      <c r="X262" s="62">
        <f>订货1!AE264</f>
        <v>0</v>
      </c>
      <c r="Y262" s="113"/>
      <c r="Z262" s="113"/>
      <c r="AA262" s="62">
        <f>订货1!AF264</f>
        <v>0</v>
      </c>
      <c r="AB262" s="113"/>
      <c r="AC262" s="113"/>
      <c r="AD262" s="62">
        <f>订货1!AG264</f>
        <v>0</v>
      </c>
      <c r="AE262" s="113"/>
      <c r="AF262" s="113"/>
      <c r="AG262" s="62">
        <f>订货1!AH264</f>
        <v>0</v>
      </c>
      <c r="AH262" s="113"/>
      <c r="AI262" s="113"/>
      <c r="AJ262" s="62">
        <f>订货1!AI264</f>
        <v>0</v>
      </c>
      <c r="AK262" s="113"/>
      <c r="AL262" s="113"/>
      <c r="AM262" s="62">
        <f>订货1!AJ264</f>
        <v>0</v>
      </c>
      <c r="AN262" s="113"/>
      <c r="AO262" s="113"/>
      <c r="AP262" s="62">
        <f>订货1!AK264</f>
        <v>0</v>
      </c>
      <c r="AQ262" s="113"/>
      <c r="AR262" s="113"/>
      <c r="AS262" s="62">
        <f>订货1!AL264</f>
        <v>0</v>
      </c>
      <c r="AT262" s="113"/>
      <c r="AU262" s="113"/>
      <c r="AV262" s="62">
        <f>订货1!AM264</f>
        <v>0</v>
      </c>
      <c r="AW262" s="113"/>
      <c r="AX262" s="113"/>
      <c r="AY262" s="62">
        <f>订货1!AN264</f>
        <v>0</v>
      </c>
      <c r="AZ262" s="113"/>
      <c r="BA262" s="113"/>
      <c r="BB262" s="62">
        <f>订货1!AO264</f>
        <v>0</v>
      </c>
      <c r="BC262" s="113"/>
      <c r="BD262" s="113"/>
      <c r="BE262" s="62">
        <f>订货1!AP264</f>
        <v>0</v>
      </c>
      <c r="BF262" s="113"/>
      <c r="BG262" s="113"/>
      <c r="BH262" s="62">
        <f>订货1!AQ264</f>
        <v>0</v>
      </c>
      <c r="BI262" s="113"/>
      <c r="BJ262" s="113"/>
      <c r="BK262" s="62">
        <f>订货1!AR264</f>
        <v>0</v>
      </c>
      <c r="BL262" s="113"/>
      <c r="BM262" s="113"/>
      <c r="BN262" s="62">
        <f>订货1!AS264</f>
        <v>0</v>
      </c>
      <c r="BO262" s="113"/>
      <c r="BP262" s="113"/>
      <c r="BQ262" s="62">
        <f>订货1!AT264</f>
        <v>0</v>
      </c>
      <c r="BR262" s="113"/>
      <c r="BS262" s="113"/>
      <c r="BT262" s="62">
        <f>订货1!AU262</f>
        <v>0</v>
      </c>
      <c r="BU262" s="113"/>
      <c r="BV262" s="113"/>
      <c r="BW262" s="62">
        <f>订货1!AV262</f>
        <v>0</v>
      </c>
      <c r="BX262" s="113"/>
      <c r="BY262" s="113"/>
      <c r="BZ262" s="62">
        <f>订货1!AW262</f>
        <v>0</v>
      </c>
      <c r="CA262" s="113"/>
      <c r="CB262" s="113"/>
      <c r="CC262" s="62">
        <f>订货1!AX262</f>
        <v>0</v>
      </c>
      <c r="CD262" s="113"/>
      <c r="CE262" s="113"/>
      <c r="CF262" s="62">
        <f>订货1!AY262</f>
        <v>0</v>
      </c>
      <c r="CG262" s="113"/>
      <c r="CH262" s="113"/>
      <c r="CI262" s="62">
        <f>订货1!AZ262</f>
        <v>0</v>
      </c>
      <c r="CJ262" s="113"/>
      <c r="CK262" s="113"/>
      <c r="CL262" s="62">
        <f>订货1!BA262</f>
        <v>0</v>
      </c>
      <c r="CM262" s="113"/>
      <c r="CN262" s="113"/>
      <c r="CO262" s="62">
        <f>订货1!BB262</f>
        <v>0</v>
      </c>
      <c r="CP262" s="113"/>
      <c r="CQ262" s="113"/>
      <c r="CR262" s="62">
        <f>订货1!BC262</f>
        <v>0</v>
      </c>
      <c r="CS262" s="113"/>
      <c r="CT262" s="113"/>
      <c r="CU262" s="62">
        <f>订货1!BD262</f>
        <v>0</v>
      </c>
      <c r="CV262" s="113"/>
      <c r="CW262" s="113"/>
      <c r="CX262" s="62">
        <f>订货1!BE262</f>
        <v>0</v>
      </c>
      <c r="CY262" s="113"/>
      <c r="CZ262" s="113"/>
      <c r="DA262" s="62">
        <f>订货1!BF264</f>
        <v>0</v>
      </c>
      <c r="DB262" s="113"/>
      <c r="DC262" s="113"/>
      <c r="DD262" s="208">
        <v>0</v>
      </c>
      <c r="DE262" s="110" t="e">
        <f t="shared" si="52"/>
        <v>#DIV/0!</v>
      </c>
      <c r="DF262" s="52">
        <f t="shared" si="51"/>
        <v>0</v>
      </c>
      <c r="DG262" s="32">
        <f>订货1!$Q264</f>
        <v>0</v>
      </c>
      <c r="DH262" s="209" t="e">
        <f t="shared" si="53"/>
        <v>#DIV/0!</v>
      </c>
    </row>
    <row r="263" spans="1:112" ht="15" customHeight="1">
      <c r="A263" s="48"/>
      <c r="B263" s="44"/>
      <c r="C263" s="44"/>
      <c r="D263" s="44"/>
      <c r="E263" s="44"/>
      <c r="F263" s="49"/>
      <c r="G263" s="203"/>
      <c r="H263" s="56">
        <f t="shared" si="54"/>
        <v>0</v>
      </c>
      <c r="I263" s="196"/>
      <c r="J263" s="113"/>
      <c r="K263" s="113"/>
      <c r="L263" s="196"/>
      <c r="M263" s="113"/>
      <c r="N263" s="113"/>
      <c r="O263" s="62">
        <f>订货1!AB265</f>
        <v>0</v>
      </c>
      <c r="P263" s="113"/>
      <c r="Q263" s="113"/>
      <c r="R263" s="62">
        <f>订货1!AC265</f>
        <v>0</v>
      </c>
      <c r="S263" s="113"/>
      <c r="T263" s="113"/>
      <c r="U263" s="62">
        <f>订货1!AD265</f>
        <v>0</v>
      </c>
      <c r="V263" s="113"/>
      <c r="W263" s="113"/>
      <c r="X263" s="62">
        <f>订货1!AE265</f>
        <v>0</v>
      </c>
      <c r="Y263" s="113"/>
      <c r="Z263" s="113"/>
      <c r="AA263" s="62">
        <f>订货1!AF265</f>
        <v>0</v>
      </c>
      <c r="AB263" s="113"/>
      <c r="AC263" s="113"/>
      <c r="AD263" s="62">
        <f>订货1!AG265</f>
        <v>0</v>
      </c>
      <c r="AE263" s="113"/>
      <c r="AF263" s="113"/>
      <c r="AG263" s="62">
        <f>订货1!AH265</f>
        <v>0</v>
      </c>
      <c r="AH263" s="113"/>
      <c r="AI263" s="113"/>
      <c r="AJ263" s="62">
        <f>订货1!AI265</f>
        <v>0</v>
      </c>
      <c r="AK263" s="113"/>
      <c r="AL263" s="113"/>
      <c r="AM263" s="62">
        <f>订货1!AJ265</f>
        <v>0</v>
      </c>
      <c r="AN263" s="113"/>
      <c r="AO263" s="113"/>
      <c r="AP263" s="62">
        <f>订货1!AK265</f>
        <v>0</v>
      </c>
      <c r="AQ263" s="113"/>
      <c r="AR263" s="113"/>
      <c r="AS263" s="62">
        <f>订货1!AL265</f>
        <v>0</v>
      </c>
      <c r="AT263" s="113"/>
      <c r="AU263" s="113"/>
      <c r="AV263" s="62">
        <f>订货1!AM265</f>
        <v>0</v>
      </c>
      <c r="AW263" s="113"/>
      <c r="AX263" s="113"/>
      <c r="AY263" s="62">
        <f>订货1!AN265</f>
        <v>0</v>
      </c>
      <c r="AZ263" s="113"/>
      <c r="BA263" s="113"/>
      <c r="BB263" s="62">
        <f>订货1!AO265</f>
        <v>0</v>
      </c>
      <c r="BC263" s="113"/>
      <c r="BD263" s="113"/>
      <c r="BE263" s="62">
        <f>订货1!AP265</f>
        <v>0</v>
      </c>
      <c r="BF263" s="113"/>
      <c r="BG263" s="113"/>
      <c r="BH263" s="62">
        <f>订货1!AQ265</f>
        <v>0</v>
      </c>
      <c r="BI263" s="113"/>
      <c r="BJ263" s="113"/>
      <c r="BK263" s="62">
        <f>订货1!AR265</f>
        <v>0</v>
      </c>
      <c r="BL263" s="113"/>
      <c r="BM263" s="113"/>
      <c r="BN263" s="62">
        <f>订货1!AS265</f>
        <v>0</v>
      </c>
      <c r="BO263" s="113"/>
      <c r="BP263" s="113"/>
      <c r="BQ263" s="62">
        <f>订货1!AT265</f>
        <v>0</v>
      </c>
      <c r="BR263" s="113"/>
      <c r="BS263" s="113"/>
      <c r="BT263" s="62">
        <f>订货1!AU263</f>
        <v>0</v>
      </c>
      <c r="BU263" s="113"/>
      <c r="BV263" s="113"/>
      <c r="BW263" s="62">
        <f>订货1!AV263</f>
        <v>0</v>
      </c>
      <c r="BX263" s="113"/>
      <c r="BY263" s="113"/>
      <c r="BZ263" s="62">
        <f>订货1!AW263</f>
        <v>0</v>
      </c>
      <c r="CA263" s="113"/>
      <c r="CB263" s="113"/>
      <c r="CC263" s="62">
        <f>订货1!AX263</f>
        <v>0</v>
      </c>
      <c r="CD263" s="113"/>
      <c r="CE263" s="113"/>
      <c r="CF263" s="62">
        <f>订货1!AY263</f>
        <v>0</v>
      </c>
      <c r="CG263" s="113"/>
      <c r="CH263" s="113"/>
      <c r="CI263" s="62">
        <f>订货1!AZ263</f>
        <v>0</v>
      </c>
      <c r="CJ263" s="113"/>
      <c r="CK263" s="113"/>
      <c r="CL263" s="62">
        <f>订货1!BA263</f>
        <v>0</v>
      </c>
      <c r="CM263" s="113"/>
      <c r="CN263" s="113"/>
      <c r="CO263" s="62">
        <f>订货1!BB263</f>
        <v>0</v>
      </c>
      <c r="CP263" s="113"/>
      <c r="CQ263" s="113"/>
      <c r="CR263" s="62">
        <f>订货1!BC263</f>
        <v>0</v>
      </c>
      <c r="CS263" s="113"/>
      <c r="CT263" s="113"/>
      <c r="CU263" s="62">
        <f>订货1!BD263</f>
        <v>0</v>
      </c>
      <c r="CV263" s="113"/>
      <c r="CW263" s="113"/>
      <c r="CX263" s="62">
        <f>订货1!BE263</f>
        <v>0</v>
      </c>
      <c r="CY263" s="113"/>
      <c r="CZ263" s="113"/>
      <c r="DA263" s="62">
        <f>订货1!BF265</f>
        <v>0</v>
      </c>
      <c r="DB263" s="113"/>
      <c r="DC263" s="113"/>
      <c r="DD263" s="208">
        <v>0</v>
      </c>
      <c r="DE263" s="110" t="e">
        <f t="shared" si="52"/>
        <v>#DIV/0!</v>
      </c>
      <c r="DF263" s="52">
        <f t="shared" si="51"/>
        <v>0</v>
      </c>
      <c r="DG263" s="32">
        <f>订货1!$Q265</f>
        <v>0</v>
      </c>
      <c r="DH263" s="209" t="e">
        <f t="shared" si="53"/>
        <v>#DIV/0!</v>
      </c>
    </row>
    <row r="264" spans="1:112" ht="15" customHeight="1">
      <c r="A264" s="48">
        <f>订货1!A266</f>
        <v>0</v>
      </c>
      <c r="B264" s="44">
        <f>订货1!L266</f>
        <v>0</v>
      </c>
      <c r="C264" s="44">
        <f>订货1!BH266</f>
        <v>0</v>
      </c>
      <c r="D264" s="44">
        <f>订货1!M266</f>
        <v>0</v>
      </c>
      <c r="E264" s="44">
        <f>订货1!P266</f>
        <v>0</v>
      </c>
      <c r="F264" s="49">
        <f>订货1!$Q266</f>
        <v>0</v>
      </c>
      <c r="G264" s="203"/>
      <c r="H264" s="56">
        <f t="shared" si="54"/>
        <v>0</v>
      </c>
      <c r="I264" s="196"/>
      <c r="J264" s="113"/>
      <c r="K264" s="113"/>
      <c r="L264" s="196"/>
      <c r="M264" s="113"/>
      <c r="N264" s="113"/>
      <c r="O264" s="62">
        <f>订货1!AB266</f>
        <v>0</v>
      </c>
      <c r="P264" s="113"/>
      <c r="Q264" s="113"/>
      <c r="R264" s="62">
        <f>订货1!AC266</f>
        <v>0</v>
      </c>
      <c r="S264" s="113"/>
      <c r="T264" s="113"/>
      <c r="U264" s="62">
        <f>订货1!AD266</f>
        <v>0</v>
      </c>
      <c r="V264" s="113"/>
      <c r="W264" s="113"/>
      <c r="X264" s="62">
        <f>订货1!AE266</f>
        <v>0</v>
      </c>
      <c r="Y264" s="113"/>
      <c r="Z264" s="113"/>
      <c r="AA264" s="62">
        <f>订货1!AF266</f>
        <v>0</v>
      </c>
      <c r="AB264" s="113"/>
      <c r="AC264" s="113"/>
      <c r="AD264" s="62">
        <f>订货1!AG266</f>
        <v>0</v>
      </c>
      <c r="AE264" s="113"/>
      <c r="AF264" s="113"/>
      <c r="AG264" s="62">
        <f>订货1!AH266</f>
        <v>0</v>
      </c>
      <c r="AH264" s="113"/>
      <c r="AI264" s="113"/>
      <c r="AJ264" s="62">
        <f>订货1!AI266</f>
        <v>0</v>
      </c>
      <c r="AK264" s="113"/>
      <c r="AL264" s="113"/>
      <c r="AM264" s="62">
        <f>订货1!AJ266</f>
        <v>0</v>
      </c>
      <c r="AN264" s="113"/>
      <c r="AO264" s="113"/>
      <c r="AP264" s="62">
        <f>订货1!AK266</f>
        <v>0</v>
      </c>
      <c r="AQ264" s="113"/>
      <c r="AR264" s="113"/>
      <c r="AS264" s="62">
        <f>订货1!AL266</f>
        <v>0</v>
      </c>
      <c r="AT264" s="113"/>
      <c r="AU264" s="113"/>
      <c r="AV264" s="62">
        <f>订货1!AM266</f>
        <v>0</v>
      </c>
      <c r="AW264" s="113"/>
      <c r="AX264" s="113"/>
      <c r="AY264" s="62">
        <f>订货1!AN266</f>
        <v>0</v>
      </c>
      <c r="AZ264" s="113"/>
      <c r="BA264" s="113"/>
      <c r="BB264" s="62">
        <f>订货1!AO266</f>
        <v>0</v>
      </c>
      <c r="BC264" s="113"/>
      <c r="BD264" s="113"/>
      <c r="BE264" s="62">
        <f>订货1!AP266</f>
        <v>0</v>
      </c>
      <c r="BF264" s="113"/>
      <c r="BG264" s="113"/>
      <c r="BH264" s="62">
        <f>订货1!AQ266</f>
        <v>0</v>
      </c>
      <c r="BI264" s="113"/>
      <c r="BJ264" s="113"/>
      <c r="BK264" s="62">
        <f>订货1!AR266</f>
        <v>0</v>
      </c>
      <c r="BL264" s="113"/>
      <c r="BM264" s="113"/>
      <c r="BN264" s="62">
        <f>订货1!AS266</f>
        <v>0</v>
      </c>
      <c r="BO264" s="113"/>
      <c r="BP264" s="113"/>
      <c r="BQ264" s="62">
        <f>订货1!AT266</f>
        <v>0</v>
      </c>
      <c r="BR264" s="113"/>
      <c r="BS264" s="113"/>
      <c r="BT264" s="62">
        <f>订货1!AU264</f>
        <v>0</v>
      </c>
      <c r="BU264" s="113"/>
      <c r="BV264" s="113"/>
      <c r="BW264" s="62">
        <f>订货1!AV264</f>
        <v>0</v>
      </c>
      <c r="BX264" s="113"/>
      <c r="BY264" s="113"/>
      <c r="BZ264" s="62">
        <f>订货1!AW264</f>
        <v>0</v>
      </c>
      <c r="CA264" s="113"/>
      <c r="CB264" s="113"/>
      <c r="CC264" s="62">
        <f>订货1!AX264</f>
        <v>0</v>
      </c>
      <c r="CD264" s="113"/>
      <c r="CE264" s="113"/>
      <c r="CF264" s="62">
        <f>订货1!AY264</f>
        <v>0</v>
      </c>
      <c r="CG264" s="113"/>
      <c r="CH264" s="113"/>
      <c r="CI264" s="62">
        <f>订货1!AZ264</f>
        <v>0</v>
      </c>
      <c r="CJ264" s="113"/>
      <c r="CK264" s="113"/>
      <c r="CL264" s="62">
        <f>订货1!BA264</f>
        <v>0</v>
      </c>
      <c r="CM264" s="113"/>
      <c r="CN264" s="113"/>
      <c r="CO264" s="62">
        <f>订货1!BB264</f>
        <v>0</v>
      </c>
      <c r="CP264" s="113"/>
      <c r="CQ264" s="113"/>
      <c r="CR264" s="62">
        <f>订货1!BC264</f>
        <v>0</v>
      </c>
      <c r="CS264" s="113"/>
      <c r="CT264" s="113"/>
      <c r="CU264" s="62">
        <f>订货1!BD264</f>
        <v>0</v>
      </c>
      <c r="CV264" s="113"/>
      <c r="CW264" s="113"/>
      <c r="CX264" s="62">
        <f>订货1!BE264</f>
        <v>0</v>
      </c>
      <c r="CY264" s="113"/>
      <c r="CZ264" s="113"/>
      <c r="DA264" s="62">
        <f>订货1!BF266</f>
        <v>0</v>
      </c>
      <c r="DB264" s="113"/>
      <c r="DC264" s="113"/>
      <c r="DD264" s="208">
        <v>0</v>
      </c>
      <c r="DE264" s="110"/>
      <c r="DF264" s="52">
        <f t="shared" si="51"/>
        <v>0</v>
      </c>
      <c r="DG264" s="32">
        <f>订货1!$Q266</f>
        <v>0</v>
      </c>
      <c r="DH264" s="209" t="e">
        <f t="shared" si="53"/>
        <v>#DIV/0!</v>
      </c>
    </row>
  </sheetData>
  <sheetProtection password="C118" sheet="1" objects="1" scenarios="1"/>
  <mergeCells count="33">
    <mergeCell ref="CF2:CH2"/>
    <mergeCell ref="CI2:CK2"/>
    <mergeCell ref="DA2:DC2"/>
    <mergeCell ref="CL2:CN2"/>
    <mergeCell ref="CO2:CQ2"/>
    <mergeCell ref="CR2:CT2"/>
    <mergeCell ref="CU2:CW2"/>
    <mergeCell ref="CX2:CZ2"/>
    <mergeCell ref="BQ2:BS2"/>
    <mergeCell ref="BT2:BV2"/>
    <mergeCell ref="BW2:BY2"/>
    <mergeCell ref="BZ2:CB2"/>
    <mergeCell ref="CC2:CE2"/>
    <mergeCell ref="BB2:BD2"/>
    <mergeCell ref="BE2:BG2"/>
    <mergeCell ref="BH2:BJ2"/>
    <mergeCell ref="BK2:BM2"/>
    <mergeCell ref="BN2:BP2"/>
    <mergeCell ref="AM2:AO2"/>
    <mergeCell ref="AP2:AR2"/>
    <mergeCell ref="AS2:AU2"/>
    <mergeCell ref="AV2:AX2"/>
    <mergeCell ref="AY2:BA2"/>
    <mergeCell ref="X2:Z2"/>
    <mergeCell ref="AA2:AC2"/>
    <mergeCell ref="AD2:AF2"/>
    <mergeCell ref="AG2:AI2"/>
    <mergeCell ref="AJ2:AL2"/>
    <mergeCell ref="I2:K2"/>
    <mergeCell ref="L2:N2"/>
    <mergeCell ref="O2:Q2"/>
    <mergeCell ref="R2:T2"/>
    <mergeCell ref="U2:W2"/>
  </mergeCells>
  <phoneticPr fontId="4" type="noConversion"/>
  <dataValidations xWindow="1247" yWindow="201" count="3">
    <dataValidation allowBlank="1" showInputMessage="1" showErrorMessage="1" promptTitle="日期填写" prompt="此处请填写台帐当月的第一天日期，如：2013-3-1_x000a_" sqref="F2 DG2"/>
    <dataValidation allowBlank="1" showInputMessage="1" showErrorMessage="1" promptTitle="日期填写" sqref="O2:Q2 I2:K2"/>
    <dataValidation type="decimal" allowBlank="1" showInputMessage="1" showErrorMessage="1" sqref="G4:G254">
      <formula1>0</formula1>
      <formula2>2000</formula2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B1" zoomScale="115" zoomScaleNormal="115" workbookViewId="0">
      <selection activeCell="B20" sqref="A20:XFD20"/>
    </sheetView>
  </sheetViews>
  <sheetFormatPr defaultColWidth="9" defaultRowHeight="12"/>
  <cols>
    <col min="1" max="1" width="15.25" style="2" hidden="1" customWidth="1"/>
    <col min="2" max="2" width="9.875" style="2" customWidth="1"/>
    <col min="3" max="3" width="5.875" style="2" customWidth="1"/>
    <col min="4" max="4" width="10.25" style="3" customWidth="1"/>
    <col min="5" max="5" width="11" style="3" customWidth="1"/>
    <col min="6" max="16384" width="9" style="2"/>
  </cols>
  <sheetData>
    <row r="1" spans="1:5" s="1" customFormat="1" ht="12" customHeight="1">
      <c r="B1" s="4"/>
      <c r="C1" s="5"/>
      <c r="D1" s="6" t="s">
        <v>110</v>
      </c>
      <c r="E1" s="7"/>
    </row>
    <row r="2" spans="1:5" s="1" customFormat="1" ht="12" customHeight="1" thickBot="1">
      <c r="B2" s="8" t="s">
        <v>89</v>
      </c>
      <c r="C2" s="9" t="s">
        <v>111</v>
      </c>
      <c r="D2" s="10" t="s">
        <v>112</v>
      </c>
      <c r="E2" s="10" t="s">
        <v>113</v>
      </c>
    </row>
    <row r="3" spans="1:5" s="1" customFormat="1" ht="12" customHeight="1" thickTop="1">
      <c r="A3" s="1">
        <f t="shared" ref="A3:A39" si="0">WEEKDAY(B3,2)</f>
        <v>5</v>
      </c>
      <c r="B3" s="115">
        <f>订货1!B1-1</f>
        <v>45961</v>
      </c>
      <c r="C3" s="11" t="str">
        <f>IF(A3=7,"日",IF(A3=6,"六",IF(A3=5,"五",IF(A3=4,"四",IF(A3=3,"三",IF(A3=2,"二",IF(A3=1,"一")))))))</f>
        <v>五</v>
      </c>
      <c r="D3" s="12">
        <v>23000</v>
      </c>
      <c r="E3" s="13">
        <f t="shared" ref="E3:E31" si="1">D3/10000</f>
        <v>2.2999999999999998</v>
      </c>
    </row>
    <row r="4" spans="1:5" s="1" customFormat="1" ht="12" customHeight="1">
      <c r="A4" s="1">
        <f t="shared" si="0"/>
        <v>6</v>
      </c>
      <c r="B4" s="115">
        <f>B3+1</f>
        <v>45962</v>
      </c>
      <c r="C4" s="14" t="str">
        <f t="shared" ref="C4:C39" si="2">IF(A4=7,"日",IF(A4=6,"六",IF(A4=5,"五",IF(A4=4,"四",IF(A4=3,"三",IF(A4=2,"二",IF(A4=1,"一")))))))</f>
        <v>六</v>
      </c>
      <c r="D4" s="12">
        <v>39130</v>
      </c>
      <c r="E4" s="13">
        <f t="shared" si="1"/>
        <v>3.9129999999999998</v>
      </c>
    </row>
    <row r="5" spans="1:5" s="1" customFormat="1" ht="12" customHeight="1">
      <c r="A5" s="1">
        <f t="shared" si="0"/>
        <v>7</v>
      </c>
      <c r="B5" s="115">
        <f t="shared" ref="B5:B39" si="3">B4+1</f>
        <v>45963</v>
      </c>
      <c r="C5" s="14" t="str">
        <f t="shared" si="2"/>
        <v>日</v>
      </c>
      <c r="D5" s="12">
        <v>35250</v>
      </c>
      <c r="E5" s="13">
        <f t="shared" si="1"/>
        <v>3.5249999999999999</v>
      </c>
    </row>
    <row r="6" spans="1:5" s="1" customFormat="1" ht="12" customHeight="1">
      <c r="A6" s="1">
        <f t="shared" si="0"/>
        <v>1</v>
      </c>
      <c r="B6" s="115">
        <f t="shared" si="3"/>
        <v>45964</v>
      </c>
      <c r="C6" s="14" t="str">
        <f t="shared" si="2"/>
        <v>一</v>
      </c>
      <c r="D6" s="12">
        <v>10000</v>
      </c>
      <c r="E6" s="13">
        <f t="shared" si="1"/>
        <v>1</v>
      </c>
    </row>
    <row r="7" spans="1:5" s="1" customFormat="1" ht="12" customHeight="1">
      <c r="A7" s="1">
        <f t="shared" si="0"/>
        <v>2</v>
      </c>
      <c r="B7" s="115">
        <f t="shared" si="3"/>
        <v>45965</v>
      </c>
      <c r="C7" s="14" t="str">
        <f t="shared" si="2"/>
        <v>二</v>
      </c>
      <c r="D7" s="12">
        <v>11000</v>
      </c>
      <c r="E7" s="13">
        <f t="shared" si="1"/>
        <v>1.1000000000000001</v>
      </c>
    </row>
    <row r="8" spans="1:5" s="1" customFormat="1" ht="12" customHeight="1">
      <c r="A8" s="1">
        <f t="shared" si="0"/>
        <v>3</v>
      </c>
      <c r="B8" s="115">
        <f t="shared" si="3"/>
        <v>45966</v>
      </c>
      <c r="C8" s="14" t="str">
        <f t="shared" si="2"/>
        <v>三</v>
      </c>
      <c r="D8" s="12">
        <v>13500</v>
      </c>
      <c r="E8" s="13">
        <f t="shared" si="1"/>
        <v>1.35</v>
      </c>
    </row>
    <row r="9" spans="1:5" s="1" customFormat="1" ht="12" customHeight="1">
      <c r="A9" s="1">
        <f t="shared" si="0"/>
        <v>4</v>
      </c>
      <c r="B9" s="115">
        <f t="shared" si="3"/>
        <v>45967</v>
      </c>
      <c r="C9" s="14" t="str">
        <f t="shared" si="2"/>
        <v>四</v>
      </c>
      <c r="D9" s="12">
        <v>12000</v>
      </c>
      <c r="E9" s="13">
        <f t="shared" si="1"/>
        <v>1.2</v>
      </c>
    </row>
    <row r="10" spans="1:5" s="1" customFormat="1" ht="12" customHeight="1">
      <c r="A10" s="1">
        <f t="shared" si="0"/>
        <v>5</v>
      </c>
      <c r="B10" s="115">
        <f t="shared" si="3"/>
        <v>45968</v>
      </c>
      <c r="C10" s="14" t="str">
        <f t="shared" si="2"/>
        <v>五</v>
      </c>
      <c r="D10" s="12">
        <v>23000</v>
      </c>
      <c r="E10" s="13">
        <f t="shared" si="1"/>
        <v>2.2999999999999998</v>
      </c>
    </row>
    <row r="11" spans="1:5" s="1" customFormat="1" ht="12" customHeight="1">
      <c r="A11" s="1">
        <f t="shared" si="0"/>
        <v>6</v>
      </c>
      <c r="B11" s="115">
        <f t="shared" si="3"/>
        <v>45969</v>
      </c>
      <c r="C11" s="14" t="str">
        <f t="shared" si="2"/>
        <v>六</v>
      </c>
      <c r="D11" s="12">
        <v>38500</v>
      </c>
      <c r="E11" s="13">
        <f t="shared" si="1"/>
        <v>3.85</v>
      </c>
    </row>
    <row r="12" spans="1:5" s="1" customFormat="1" ht="12" customHeight="1">
      <c r="A12" s="1">
        <f t="shared" si="0"/>
        <v>7</v>
      </c>
      <c r="B12" s="115">
        <f t="shared" si="3"/>
        <v>45970</v>
      </c>
      <c r="C12" s="14" t="str">
        <f t="shared" si="2"/>
        <v>日</v>
      </c>
      <c r="D12" s="12">
        <v>36000</v>
      </c>
      <c r="E12" s="13">
        <f t="shared" si="1"/>
        <v>3.6</v>
      </c>
    </row>
    <row r="13" spans="1:5" s="1" customFormat="1" ht="12" customHeight="1">
      <c r="A13" s="1">
        <f t="shared" si="0"/>
        <v>1</v>
      </c>
      <c r="B13" s="115">
        <f t="shared" si="3"/>
        <v>45971</v>
      </c>
      <c r="C13" s="14" t="str">
        <f t="shared" si="2"/>
        <v>一</v>
      </c>
      <c r="D13" s="12">
        <v>10000</v>
      </c>
      <c r="E13" s="13">
        <f t="shared" si="1"/>
        <v>1</v>
      </c>
    </row>
    <row r="14" spans="1:5" s="1" customFormat="1" ht="12" customHeight="1">
      <c r="A14" s="1">
        <f t="shared" si="0"/>
        <v>2</v>
      </c>
      <c r="B14" s="115">
        <f t="shared" si="3"/>
        <v>45972</v>
      </c>
      <c r="C14" s="14" t="str">
        <f t="shared" si="2"/>
        <v>二</v>
      </c>
      <c r="D14" s="12">
        <v>11000</v>
      </c>
      <c r="E14" s="13">
        <f t="shared" si="1"/>
        <v>1.1000000000000001</v>
      </c>
    </row>
    <row r="15" spans="1:5" s="1" customFormat="1" ht="12" customHeight="1">
      <c r="A15" s="1">
        <f t="shared" si="0"/>
        <v>3</v>
      </c>
      <c r="B15" s="115">
        <f t="shared" si="3"/>
        <v>45973</v>
      </c>
      <c r="C15" s="14" t="str">
        <f t="shared" si="2"/>
        <v>三</v>
      </c>
      <c r="D15" s="12">
        <v>12000</v>
      </c>
      <c r="E15" s="13">
        <f t="shared" si="1"/>
        <v>1.2</v>
      </c>
    </row>
    <row r="16" spans="1:5" s="1" customFormat="1" ht="12" customHeight="1">
      <c r="A16" s="1">
        <f t="shared" si="0"/>
        <v>4</v>
      </c>
      <c r="B16" s="115">
        <f t="shared" si="3"/>
        <v>45974</v>
      </c>
      <c r="C16" s="14" t="str">
        <f t="shared" si="2"/>
        <v>四</v>
      </c>
      <c r="D16" s="12">
        <v>12000</v>
      </c>
      <c r="E16" s="13">
        <f t="shared" si="1"/>
        <v>1.2</v>
      </c>
    </row>
    <row r="17" spans="1:6" s="1" customFormat="1" ht="12" customHeight="1">
      <c r="A17" s="1">
        <f t="shared" si="0"/>
        <v>5</v>
      </c>
      <c r="B17" s="115">
        <f t="shared" si="3"/>
        <v>45975</v>
      </c>
      <c r="C17" s="14" t="str">
        <f t="shared" si="2"/>
        <v>五</v>
      </c>
      <c r="D17" s="12">
        <v>23000</v>
      </c>
      <c r="E17" s="13">
        <f t="shared" si="1"/>
        <v>2.2999999999999998</v>
      </c>
    </row>
    <row r="18" spans="1:6" s="1" customFormat="1" ht="12" customHeight="1">
      <c r="A18" s="1">
        <f t="shared" si="0"/>
        <v>6</v>
      </c>
      <c r="B18" s="115">
        <f t="shared" si="3"/>
        <v>45976</v>
      </c>
      <c r="C18" s="14" t="str">
        <f t="shared" si="2"/>
        <v>六</v>
      </c>
      <c r="D18" s="12">
        <v>39000</v>
      </c>
      <c r="E18" s="13">
        <f t="shared" si="1"/>
        <v>3.9</v>
      </c>
    </row>
    <row r="19" spans="1:6" s="1" customFormat="1" ht="12" customHeight="1">
      <c r="A19" s="1">
        <f t="shared" si="0"/>
        <v>7</v>
      </c>
      <c r="B19" s="115">
        <f t="shared" si="3"/>
        <v>45977</v>
      </c>
      <c r="C19" s="14" t="str">
        <f t="shared" si="2"/>
        <v>日</v>
      </c>
      <c r="D19" s="12">
        <v>36000</v>
      </c>
      <c r="E19" s="13">
        <f t="shared" si="1"/>
        <v>3.6</v>
      </c>
    </row>
    <row r="20" spans="1:6" s="1" customFormat="1" ht="12" customHeight="1">
      <c r="A20" s="1">
        <f t="shared" si="0"/>
        <v>1</v>
      </c>
      <c r="B20" s="115">
        <f t="shared" si="3"/>
        <v>45978</v>
      </c>
      <c r="C20" s="14" t="str">
        <f t="shared" si="2"/>
        <v>一</v>
      </c>
      <c r="D20" s="12">
        <v>10000</v>
      </c>
      <c r="E20" s="13">
        <f t="shared" si="1"/>
        <v>1</v>
      </c>
    </row>
    <row r="21" spans="1:6" s="1" customFormat="1" ht="12" customHeight="1">
      <c r="A21" s="1">
        <f t="shared" si="0"/>
        <v>2</v>
      </c>
      <c r="B21" s="115">
        <f t="shared" si="3"/>
        <v>45979</v>
      </c>
      <c r="C21" s="14" t="str">
        <f t="shared" si="2"/>
        <v>二</v>
      </c>
      <c r="D21" s="12">
        <v>11000</v>
      </c>
      <c r="E21" s="13">
        <f t="shared" si="1"/>
        <v>1.1000000000000001</v>
      </c>
    </row>
    <row r="22" spans="1:6" s="1" customFormat="1" ht="12" customHeight="1">
      <c r="A22" s="1">
        <f t="shared" si="0"/>
        <v>3</v>
      </c>
      <c r="B22" s="115">
        <f t="shared" si="3"/>
        <v>45980</v>
      </c>
      <c r="C22" s="14" t="str">
        <f t="shared" si="2"/>
        <v>三</v>
      </c>
      <c r="D22" s="12">
        <v>12000</v>
      </c>
      <c r="E22" s="13">
        <f t="shared" si="1"/>
        <v>1.2</v>
      </c>
    </row>
    <row r="23" spans="1:6" s="1" customFormat="1" ht="12" customHeight="1">
      <c r="A23" s="1">
        <f t="shared" si="0"/>
        <v>4</v>
      </c>
      <c r="B23" s="115">
        <f t="shared" si="3"/>
        <v>45981</v>
      </c>
      <c r="C23" s="14" t="str">
        <f t="shared" si="2"/>
        <v>四</v>
      </c>
      <c r="D23" s="12">
        <v>12000</v>
      </c>
      <c r="E23" s="13">
        <f t="shared" si="1"/>
        <v>1.2</v>
      </c>
      <c r="F23" s="15"/>
    </row>
    <row r="24" spans="1:6" s="1" customFormat="1" ht="12" customHeight="1">
      <c r="A24" s="1">
        <f t="shared" si="0"/>
        <v>5</v>
      </c>
      <c r="B24" s="115">
        <f t="shared" si="3"/>
        <v>45982</v>
      </c>
      <c r="C24" s="14" t="str">
        <f t="shared" si="2"/>
        <v>五</v>
      </c>
      <c r="D24" s="12">
        <v>23000</v>
      </c>
      <c r="E24" s="13">
        <f t="shared" si="1"/>
        <v>2.2999999999999998</v>
      </c>
    </row>
    <row r="25" spans="1:6" s="1" customFormat="1" ht="12" customHeight="1">
      <c r="A25" s="1">
        <f t="shared" si="0"/>
        <v>6</v>
      </c>
      <c r="B25" s="115">
        <f t="shared" si="3"/>
        <v>45983</v>
      </c>
      <c r="C25" s="14" t="str">
        <f t="shared" si="2"/>
        <v>六</v>
      </c>
      <c r="D25" s="12">
        <v>39000</v>
      </c>
      <c r="E25" s="13">
        <f t="shared" si="1"/>
        <v>3.9</v>
      </c>
    </row>
    <row r="26" spans="1:6" s="1" customFormat="1" ht="12" customHeight="1">
      <c r="A26" s="1">
        <f t="shared" si="0"/>
        <v>7</v>
      </c>
      <c r="B26" s="115">
        <f t="shared" si="3"/>
        <v>45984</v>
      </c>
      <c r="C26" s="14" t="str">
        <f t="shared" si="2"/>
        <v>日</v>
      </c>
      <c r="D26" s="12">
        <v>36000</v>
      </c>
      <c r="E26" s="13">
        <f t="shared" si="1"/>
        <v>3.6</v>
      </c>
    </row>
    <row r="27" spans="1:6" s="1" customFormat="1" ht="12" customHeight="1">
      <c r="A27" s="1">
        <f t="shared" si="0"/>
        <v>1</v>
      </c>
      <c r="B27" s="115">
        <f t="shared" si="3"/>
        <v>45985</v>
      </c>
      <c r="C27" s="14" t="str">
        <f t="shared" si="2"/>
        <v>一</v>
      </c>
      <c r="D27" s="12">
        <v>10000</v>
      </c>
      <c r="E27" s="13">
        <f t="shared" si="1"/>
        <v>1</v>
      </c>
    </row>
    <row r="28" spans="1:6" s="1" customFormat="1" ht="12" customHeight="1">
      <c r="A28" s="1">
        <f t="shared" si="0"/>
        <v>2</v>
      </c>
      <c r="B28" s="115">
        <f t="shared" si="3"/>
        <v>45986</v>
      </c>
      <c r="C28" s="14" t="str">
        <f t="shared" si="2"/>
        <v>二</v>
      </c>
      <c r="D28" s="12">
        <v>11000</v>
      </c>
      <c r="E28" s="13">
        <f t="shared" si="1"/>
        <v>1.1000000000000001</v>
      </c>
    </row>
    <row r="29" spans="1:6" s="1" customFormat="1" ht="12" customHeight="1">
      <c r="A29" s="1">
        <f t="shared" si="0"/>
        <v>3</v>
      </c>
      <c r="B29" s="115">
        <f t="shared" si="3"/>
        <v>45987</v>
      </c>
      <c r="C29" s="14" t="str">
        <f t="shared" si="2"/>
        <v>三</v>
      </c>
      <c r="D29" s="12">
        <v>12000</v>
      </c>
      <c r="E29" s="13">
        <f t="shared" si="1"/>
        <v>1.2</v>
      </c>
    </row>
    <row r="30" spans="1:6" s="1" customFormat="1" ht="12" customHeight="1">
      <c r="A30" s="1">
        <f t="shared" si="0"/>
        <v>4</v>
      </c>
      <c r="B30" s="115">
        <f t="shared" si="3"/>
        <v>45988</v>
      </c>
      <c r="C30" s="14" t="str">
        <f t="shared" si="2"/>
        <v>四</v>
      </c>
      <c r="D30" s="12">
        <v>12000</v>
      </c>
      <c r="E30" s="13">
        <f t="shared" si="1"/>
        <v>1.2</v>
      </c>
    </row>
    <row r="31" spans="1:6" s="1" customFormat="1" ht="12" customHeight="1">
      <c r="A31" s="1">
        <f t="shared" si="0"/>
        <v>5</v>
      </c>
      <c r="B31" s="115">
        <f t="shared" si="3"/>
        <v>45989</v>
      </c>
      <c r="C31" s="14" t="str">
        <f t="shared" si="2"/>
        <v>五</v>
      </c>
      <c r="D31" s="12">
        <v>23000</v>
      </c>
      <c r="E31" s="13">
        <f t="shared" si="1"/>
        <v>2.2999999999999998</v>
      </c>
    </row>
    <row r="32" spans="1:6" s="1" customFormat="1" ht="12" customHeight="1">
      <c r="A32" s="1">
        <f t="shared" si="0"/>
        <v>6</v>
      </c>
      <c r="B32" s="115">
        <f t="shared" si="3"/>
        <v>45990</v>
      </c>
      <c r="C32" s="14" t="str">
        <f t="shared" si="2"/>
        <v>六</v>
      </c>
      <c r="D32" s="12">
        <v>39000</v>
      </c>
      <c r="E32" s="13">
        <f t="shared" ref="E32:E39" si="4">D32/10000</f>
        <v>3.9</v>
      </c>
    </row>
    <row r="33" spans="1:5" s="1" customFormat="1" ht="12" customHeight="1">
      <c r="A33" s="1">
        <f t="shared" si="0"/>
        <v>7</v>
      </c>
      <c r="B33" s="115">
        <f t="shared" si="3"/>
        <v>45991</v>
      </c>
      <c r="C33" s="14" t="str">
        <f t="shared" si="2"/>
        <v>日</v>
      </c>
      <c r="D33" s="12">
        <v>36000</v>
      </c>
      <c r="E33" s="13">
        <f t="shared" si="4"/>
        <v>3.6</v>
      </c>
    </row>
    <row r="34" spans="1:5" s="1" customFormat="1" ht="12" customHeight="1">
      <c r="A34" s="1">
        <f t="shared" si="0"/>
        <v>1</v>
      </c>
      <c r="B34" s="115">
        <f t="shared" si="3"/>
        <v>45992</v>
      </c>
      <c r="C34" s="14" t="str">
        <f t="shared" si="2"/>
        <v>一</v>
      </c>
      <c r="D34" s="12">
        <v>10000</v>
      </c>
      <c r="E34" s="13">
        <f t="shared" si="4"/>
        <v>1</v>
      </c>
    </row>
    <row r="35" spans="1:5" s="1" customFormat="1" ht="12" customHeight="1">
      <c r="A35" s="1">
        <f t="shared" si="0"/>
        <v>2</v>
      </c>
      <c r="B35" s="115">
        <f t="shared" si="3"/>
        <v>45993</v>
      </c>
      <c r="C35" s="14" t="str">
        <f t="shared" si="2"/>
        <v>二</v>
      </c>
      <c r="D35" s="12">
        <v>11000</v>
      </c>
      <c r="E35" s="13">
        <f t="shared" si="4"/>
        <v>1.1000000000000001</v>
      </c>
    </row>
    <row r="36" spans="1:5" s="1" customFormat="1" ht="12" customHeight="1">
      <c r="A36" s="1">
        <f t="shared" si="0"/>
        <v>3</v>
      </c>
      <c r="B36" s="115">
        <f t="shared" si="3"/>
        <v>45994</v>
      </c>
      <c r="C36" s="14" t="str">
        <f t="shared" si="2"/>
        <v>三</v>
      </c>
      <c r="D36" s="12">
        <v>12000</v>
      </c>
      <c r="E36" s="13">
        <f t="shared" si="4"/>
        <v>1.2</v>
      </c>
    </row>
    <row r="37" spans="1:5" s="1" customFormat="1" ht="12" customHeight="1">
      <c r="A37" s="1">
        <f t="shared" si="0"/>
        <v>4</v>
      </c>
      <c r="B37" s="115">
        <f t="shared" si="3"/>
        <v>45995</v>
      </c>
      <c r="C37" s="14" t="str">
        <f t="shared" si="2"/>
        <v>四</v>
      </c>
      <c r="D37" s="264">
        <v>12000</v>
      </c>
      <c r="E37" s="13">
        <f t="shared" si="4"/>
        <v>1.2</v>
      </c>
    </row>
    <row r="38" spans="1:5" s="1" customFormat="1" ht="12" customHeight="1">
      <c r="A38" s="1">
        <f t="shared" si="0"/>
        <v>5</v>
      </c>
      <c r="B38" s="115">
        <f t="shared" si="3"/>
        <v>45996</v>
      </c>
      <c r="C38" s="14" t="str">
        <f t="shared" si="2"/>
        <v>五</v>
      </c>
      <c r="D38" s="264">
        <v>23000</v>
      </c>
      <c r="E38" s="13">
        <f t="shared" si="4"/>
        <v>2.2999999999999998</v>
      </c>
    </row>
    <row r="39" spans="1:5" ht="12" customHeight="1">
      <c r="A39" s="1">
        <f t="shared" si="0"/>
        <v>6</v>
      </c>
      <c r="B39" s="115">
        <f t="shared" si="3"/>
        <v>45997</v>
      </c>
      <c r="C39" s="14" t="str">
        <f t="shared" si="2"/>
        <v>六</v>
      </c>
      <c r="D39" s="12">
        <v>39000</v>
      </c>
      <c r="E39" s="13">
        <f t="shared" si="4"/>
        <v>3.9</v>
      </c>
    </row>
    <row r="40" spans="1:5" ht="12" customHeight="1">
      <c r="D40" s="3">
        <f>SUM(D3:D39)</f>
        <v>777380</v>
      </c>
    </row>
  </sheetData>
  <sheetProtection password="C118" sheet="1" objects="1" scenarios="1"/>
  <dataConsolidate/>
  <phoneticPr fontId="4" type="noConversion"/>
  <dataValidations count="2">
    <dataValidation allowBlank="1" showInputMessage="1" showErrorMessage="1" promptTitle="注意" prompt="请在店长、厨师长指导下修改数据_x000a_" sqref="B3:B39"/>
    <dataValidation allowBlank="1" showInputMessage="1" showErrorMessage="1" promptTitle="注意" prompt="请在店长、店长助理指导下修改数据_x000a_" sqref="D3:D39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I241"/>
  <sheetViews>
    <sheetView zoomScale="85" zoomScaleNormal="85" workbookViewId="0">
      <selection activeCell="N253" sqref="N253"/>
    </sheetView>
  </sheetViews>
  <sheetFormatPr defaultColWidth="9" defaultRowHeight="14.25"/>
  <cols>
    <col min="1" max="1" width="20.375" bestFit="1" customWidth="1"/>
    <col min="2" max="2" width="9.375" style="38" customWidth="1"/>
    <col min="3" max="33" width="9.625" style="16" customWidth="1"/>
  </cols>
  <sheetData>
    <row r="1" spans="1:35" s="36" customFormat="1">
      <c r="B1" s="35"/>
      <c r="C1" s="179">
        <f>订货1!AB3</f>
        <v>45962</v>
      </c>
      <c r="D1" s="179">
        <f>订货1!AC3</f>
        <v>45963</v>
      </c>
      <c r="E1" s="179">
        <f>订货1!AD3</f>
        <v>45964</v>
      </c>
      <c r="F1" s="179">
        <f>订货1!AE3</f>
        <v>45965</v>
      </c>
      <c r="G1" s="179">
        <f>订货1!AF3</f>
        <v>45966</v>
      </c>
      <c r="H1" s="179">
        <f>订货1!AG3</f>
        <v>45967</v>
      </c>
      <c r="I1" s="179">
        <f>订货1!AH3</f>
        <v>45968</v>
      </c>
      <c r="J1" s="179">
        <f>订货1!AI3</f>
        <v>45969</v>
      </c>
      <c r="K1" s="179">
        <f>订货1!AJ3</f>
        <v>45970</v>
      </c>
      <c r="L1" s="179">
        <f>订货1!AK3</f>
        <v>45971</v>
      </c>
      <c r="M1" s="179">
        <f>订货1!AL3</f>
        <v>45972</v>
      </c>
      <c r="N1" s="179">
        <f>订货1!AM3</f>
        <v>45973</v>
      </c>
      <c r="O1" s="179">
        <f>订货1!AN3</f>
        <v>45974</v>
      </c>
      <c r="P1" s="179">
        <f>订货1!AO3</f>
        <v>45975</v>
      </c>
      <c r="Q1" s="179">
        <f>订货1!AP3</f>
        <v>45976</v>
      </c>
      <c r="R1" s="179">
        <f>订货1!AQ3</f>
        <v>45977</v>
      </c>
      <c r="S1" s="179">
        <f>订货1!AR3</f>
        <v>45978</v>
      </c>
      <c r="T1" s="179">
        <f>订货1!AS3</f>
        <v>45979</v>
      </c>
      <c r="U1" s="179">
        <f>订货1!AT3</f>
        <v>45980</v>
      </c>
      <c r="V1" s="179">
        <f>订货1!AU3</f>
        <v>45981</v>
      </c>
      <c r="W1" s="179">
        <f>订货1!AV3</f>
        <v>45982</v>
      </c>
      <c r="X1" s="179">
        <f>订货1!AW3</f>
        <v>45983</v>
      </c>
      <c r="Y1" s="179">
        <f>订货1!AX3</f>
        <v>45984</v>
      </c>
      <c r="Z1" s="179">
        <f>订货1!AY3</f>
        <v>45985</v>
      </c>
      <c r="AA1" s="179">
        <f>订货1!AZ3</f>
        <v>45986</v>
      </c>
      <c r="AB1" s="179">
        <f>订货1!BA3</f>
        <v>45987</v>
      </c>
      <c r="AC1" s="179">
        <f>订货1!BB3</f>
        <v>45988</v>
      </c>
      <c r="AD1" s="179">
        <f>订货1!BC3</f>
        <v>45989</v>
      </c>
      <c r="AE1" s="179">
        <f>订货1!BD3</f>
        <v>45990</v>
      </c>
      <c r="AF1" s="179">
        <f>订货1!BE3</f>
        <v>45991</v>
      </c>
      <c r="AG1" s="179">
        <f>订货1!BF3</f>
        <v>45992</v>
      </c>
      <c r="AI1" s="42" t="s">
        <v>208</v>
      </c>
    </row>
    <row r="2" spans="1:35" s="36" customFormat="1" ht="21.75" customHeight="1" thickBot="1">
      <c r="B2" s="35"/>
      <c r="C2" s="181" t="str">
        <f>订货1!$M$2</f>
        <v>059嘉亭荟</v>
      </c>
      <c r="D2" s="181" t="str">
        <f>订货1!$M$2</f>
        <v>059嘉亭荟</v>
      </c>
      <c r="E2" s="181" t="str">
        <f>订货1!$M$2</f>
        <v>059嘉亭荟</v>
      </c>
      <c r="F2" s="181" t="str">
        <f>订货1!$M$2</f>
        <v>059嘉亭荟</v>
      </c>
      <c r="G2" s="181" t="str">
        <f>订货1!$M$2</f>
        <v>059嘉亭荟</v>
      </c>
      <c r="H2" s="181" t="str">
        <f>订货1!$M$2</f>
        <v>059嘉亭荟</v>
      </c>
      <c r="I2" s="181" t="str">
        <f>订货1!$M$2</f>
        <v>059嘉亭荟</v>
      </c>
      <c r="J2" s="181" t="str">
        <f>订货1!$M$2</f>
        <v>059嘉亭荟</v>
      </c>
      <c r="K2" s="181" t="str">
        <f>订货1!$M$2</f>
        <v>059嘉亭荟</v>
      </c>
      <c r="L2" s="181" t="str">
        <f>订货1!$M$2</f>
        <v>059嘉亭荟</v>
      </c>
      <c r="M2" s="181" t="str">
        <f>订货1!$M$2</f>
        <v>059嘉亭荟</v>
      </c>
      <c r="N2" s="181" t="str">
        <f>订货1!$M$2</f>
        <v>059嘉亭荟</v>
      </c>
      <c r="O2" s="181" t="str">
        <f>订货1!$M$2</f>
        <v>059嘉亭荟</v>
      </c>
      <c r="P2" s="181" t="str">
        <f>订货1!$M$2</f>
        <v>059嘉亭荟</v>
      </c>
      <c r="Q2" s="181" t="str">
        <f>订货1!$M$2</f>
        <v>059嘉亭荟</v>
      </c>
      <c r="R2" s="181" t="str">
        <f>订货1!$M$2</f>
        <v>059嘉亭荟</v>
      </c>
      <c r="S2" s="181" t="str">
        <f>订货1!$M$2</f>
        <v>059嘉亭荟</v>
      </c>
      <c r="T2" s="181" t="str">
        <f>订货1!$M$2</f>
        <v>059嘉亭荟</v>
      </c>
      <c r="U2" s="181" t="str">
        <f>订货1!$M$2</f>
        <v>059嘉亭荟</v>
      </c>
      <c r="V2" s="181" t="str">
        <f>订货1!$M$2</f>
        <v>059嘉亭荟</v>
      </c>
      <c r="W2" s="181" t="str">
        <f>订货1!$M$2</f>
        <v>059嘉亭荟</v>
      </c>
      <c r="X2" s="181" t="str">
        <f>订货1!$M$2</f>
        <v>059嘉亭荟</v>
      </c>
      <c r="Y2" s="181" t="str">
        <f>订货1!$M$2</f>
        <v>059嘉亭荟</v>
      </c>
      <c r="Z2" s="181" t="str">
        <f>订货1!$M$2</f>
        <v>059嘉亭荟</v>
      </c>
      <c r="AA2" s="181" t="str">
        <f>订货1!$M$2</f>
        <v>059嘉亭荟</v>
      </c>
      <c r="AB2" s="181" t="str">
        <f>订货1!$M$2</f>
        <v>059嘉亭荟</v>
      </c>
      <c r="AC2" s="181" t="str">
        <f>订货1!$M$2</f>
        <v>059嘉亭荟</v>
      </c>
      <c r="AD2" s="181" t="str">
        <f>订货1!$M$2</f>
        <v>059嘉亭荟</v>
      </c>
      <c r="AE2" s="181" t="str">
        <f>订货1!$M$2</f>
        <v>059嘉亭荟</v>
      </c>
      <c r="AF2" s="181" t="str">
        <f>订货1!$M$2</f>
        <v>059嘉亭荟</v>
      </c>
      <c r="AG2" s="181" t="str">
        <f>订货1!$M$2</f>
        <v>059嘉亭荟</v>
      </c>
      <c r="AH2" s="174"/>
      <c r="AI2" s="175" t="str">
        <f>AG2</f>
        <v>059嘉亭荟</v>
      </c>
    </row>
    <row r="3" spans="1:35" ht="15" thickTop="1">
      <c r="A3" s="37">
        <f>订货1!K4</f>
        <v>101729</v>
      </c>
      <c r="B3" s="37" t="str">
        <f>订货1!M4</f>
        <v>可可粉</v>
      </c>
      <c r="C3" s="180">
        <f>订货1!AB4</f>
        <v>0</v>
      </c>
      <c r="D3" s="180">
        <f>订货1!AC4</f>
        <v>0</v>
      </c>
      <c r="E3" s="180">
        <f>订货1!AD4</f>
        <v>0</v>
      </c>
      <c r="F3" s="180">
        <f>订货1!AE4</f>
        <v>0</v>
      </c>
      <c r="G3" s="180">
        <f>订货1!AF4</f>
        <v>0</v>
      </c>
      <c r="H3" s="180">
        <f>订货1!AG4</f>
        <v>0</v>
      </c>
      <c r="I3" s="180">
        <f>订货1!AH4</f>
        <v>0</v>
      </c>
      <c r="J3" s="180">
        <f>订货1!AI4</f>
        <v>0</v>
      </c>
      <c r="K3" s="180">
        <f>订货1!AJ4</f>
        <v>0</v>
      </c>
      <c r="L3" s="180">
        <f>订货1!AK4</f>
        <v>0</v>
      </c>
      <c r="M3" s="180">
        <f>订货1!AL4</f>
        <v>0</v>
      </c>
      <c r="N3" s="180">
        <f>订货1!AM4</f>
        <v>0</v>
      </c>
      <c r="O3" s="180">
        <f>订货1!AN4</f>
        <v>0</v>
      </c>
      <c r="P3" s="180">
        <f>订货1!AO4</f>
        <v>0</v>
      </c>
      <c r="Q3" s="180">
        <f>订货1!AP4</f>
        <v>0</v>
      </c>
      <c r="R3" s="180">
        <f>订货1!AQ4</f>
        <v>0</v>
      </c>
      <c r="S3" s="180">
        <f>订货1!AR4</f>
        <v>0</v>
      </c>
      <c r="T3" s="180">
        <f>订货1!AS4</f>
        <v>0</v>
      </c>
      <c r="U3" s="180">
        <f>订货1!AT4</f>
        <v>0</v>
      </c>
      <c r="V3" s="180">
        <f>订货1!AU4</f>
        <v>0</v>
      </c>
      <c r="W3" s="180">
        <f>订货1!AV4</f>
        <v>0</v>
      </c>
      <c r="X3" s="180">
        <f>订货1!AW4</f>
        <v>0</v>
      </c>
      <c r="Y3" s="180">
        <f>订货1!AX4</f>
        <v>0</v>
      </c>
      <c r="Z3" s="180">
        <f>订货1!AY4</f>
        <v>0</v>
      </c>
      <c r="AA3" s="180">
        <f>订货1!AZ4</f>
        <v>0</v>
      </c>
      <c r="AB3" s="180">
        <f>订货1!BA4</f>
        <v>0</v>
      </c>
      <c r="AC3" s="180">
        <f>订货1!BB4</f>
        <v>0</v>
      </c>
      <c r="AD3" s="180">
        <f>订货1!BC4</f>
        <v>0</v>
      </c>
      <c r="AE3" s="180">
        <f>订货1!BD4</f>
        <v>0</v>
      </c>
      <c r="AF3" s="180">
        <f>订货1!BE4</f>
        <v>0</v>
      </c>
      <c r="AG3" s="180">
        <f>订货1!BF4</f>
        <v>0</v>
      </c>
      <c r="AH3" s="176"/>
      <c r="AI3" s="177" t="e">
        <f>店铺收货台帐2!DE4</f>
        <v>#DIV/0!</v>
      </c>
    </row>
    <row r="4" spans="1:35" hidden="1">
      <c r="A4" s="37">
        <f>订货1!K5</f>
        <v>101727</v>
      </c>
      <c r="B4" s="37" t="str">
        <f>订货1!M5</f>
        <v>冷冻意大利面</v>
      </c>
      <c r="C4" s="180">
        <f>订货1!AB5</f>
        <v>0</v>
      </c>
      <c r="D4" s="180">
        <f>订货1!AC5</f>
        <v>0</v>
      </c>
      <c r="E4" s="180">
        <f>订货1!AD5</f>
        <v>0</v>
      </c>
      <c r="F4" s="180">
        <f>订货1!AE5</f>
        <v>0</v>
      </c>
      <c r="G4" s="180">
        <f>订货1!AF5</f>
        <v>0</v>
      </c>
      <c r="H4" s="180">
        <f>订货1!AG5</f>
        <v>0</v>
      </c>
      <c r="I4" s="180">
        <f>订货1!AH5</f>
        <v>0</v>
      </c>
      <c r="J4" s="180">
        <f>订货1!AI5</f>
        <v>0</v>
      </c>
      <c r="K4" s="180">
        <f>订货1!AJ5</f>
        <v>0</v>
      </c>
      <c r="L4" s="180">
        <f>订货1!AK5</f>
        <v>0</v>
      </c>
      <c r="M4" s="180">
        <f>订货1!AL5</f>
        <v>0</v>
      </c>
      <c r="N4" s="180">
        <f>订货1!AM5</f>
        <v>0</v>
      </c>
      <c r="O4" s="180">
        <f>订货1!AN5</f>
        <v>0</v>
      </c>
      <c r="P4" s="180">
        <f>订货1!AO5</f>
        <v>0</v>
      </c>
      <c r="Q4" s="180">
        <f>订货1!AP5</f>
        <v>0</v>
      </c>
      <c r="R4" s="180">
        <f>订货1!AQ5</f>
        <v>0</v>
      </c>
      <c r="S4" s="180">
        <f>订货1!AR5</f>
        <v>0</v>
      </c>
      <c r="T4" s="180">
        <f>订货1!AS5</f>
        <v>0</v>
      </c>
      <c r="U4" s="180">
        <f>订货1!AT5</f>
        <v>0</v>
      </c>
      <c r="V4" s="180">
        <f>订货1!AU5</f>
        <v>0</v>
      </c>
      <c r="W4" s="180">
        <f>订货1!AV5</f>
        <v>0</v>
      </c>
      <c r="X4" s="180">
        <f>订货1!AW5</f>
        <v>0</v>
      </c>
      <c r="Y4" s="180">
        <f>订货1!AX5</f>
        <v>0</v>
      </c>
      <c r="Z4" s="180">
        <f>订货1!AY5</f>
        <v>0</v>
      </c>
      <c r="AA4" s="180">
        <f>订货1!AZ5</f>
        <v>0</v>
      </c>
      <c r="AB4" s="180">
        <f>订货1!BA5</f>
        <v>0</v>
      </c>
      <c r="AC4" s="180">
        <f>订货1!BB5</f>
        <v>0</v>
      </c>
      <c r="AD4" s="180">
        <f>订货1!BC5</f>
        <v>0</v>
      </c>
      <c r="AE4" s="180">
        <f>订货1!BD5</f>
        <v>0</v>
      </c>
      <c r="AF4" s="180">
        <f>订货1!BE5</f>
        <v>0</v>
      </c>
      <c r="AG4" s="180">
        <f>订货1!BF5</f>
        <v>0</v>
      </c>
      <c r="AH4" s="176"/>
      <c r="AI4" s="178" t="e">
        <f>店铺收货台帐2!DE5</f>
        <v>#DIV/0!</v>
      </c>
    </row>
    <row r="5" spans="1:35" hidden="1">
      <c r="A5" s="37">
        <f>订货1!K6</f>
        <v>101730</v>
      </c>
      <c r="B5" s="37" t="str">
        <f>订货1!M6</f>
        <v>利梭多粉</v>
      </c>
      <c r="C5" s="180">
        <f>订货1!AB6</f>
        <v>0</v>
      </c>
      <c r="D5" s="180">
        <f>订货1!AC6</f>
        <v>0</v>
      </c>
      <c r="E5" s="180">
        <f>订货1!AD6</f>
        <v>0</v>
      </c>
      <c r="F5" s="180">
        <f>订货1!AE6</f>
        <v>0</v>
      </c>
      <c r="G5" s="180">
        <f>订货1!AF6</f>
        <v>0</v>
      </c>
      <c r="H5" s="180">
        <f>订货1!AG6</f>
        <v>0</v>
      </c>
      <c r="I5" s="180">
        <f>订货1!AH6</f>
        <v>0</v>
      </c>
      <c r="J5" s="180">
        <f>订货1!AI6</f>
        <v>0</v>
      </c>
      <c r="K5" s="180">
        <f>订货1!AJ6</f>
        <v>0</v>
      </c>
      <c r="L5" s="180">
        <f>订货1!AK6</f>
        <v>0</v>
      </c>
      <c r="M5" s="180">
        <f>订货1!AL6</f>
        <v>0</v>
      </c>
      <c r="N5" s="180">
        <f>订货1!AM6</f>
        <v>0</v>
      </c>
      <c r="O5" s="180">
        <f>订货1!AN6</f>
        <v>0</v>
      </c>
      <c r="P5" s="180">
        <f>订货1!AO6</f>
        <v>0</v>
      </c>
      <c r="Q5" s="180">
        <f>订货1!AP6</f>
        <v>0</v>
      </c>
      <c r="R5" s="180">
        <f>订货1!AQ6</f>
        <v>0</v>
      </c>
      <c r="S5" s="180">
        <f>订货1!AR6</f>
        <v>0</v>
      </c>
      <c r="T5" s="180">
        <f>订货1!AS6</f>
        <v>0</v>
      </c>
      <c r="U5" s="180">
        <f>订货1!AT6</f>
        <v>0</v>
      </c>
      <c r="V5" s="180">
        <f>订货1!AU6</f>
        <v>0</v>
      </c>
      <c r="W5" s="180">
        <f>订货1!AV6</f>
        <v>0</v>
      </c>
      <c r="X5" s="180">
        <f>订货1!AW6</f>
        <v>0</v>
      </c>
      <c r="Y5" s="180">
        <f>订货1!AX6</f>
        <v>0</v>
      </c>
      <c r="Z5" s="180">
        <f>订货1!AY6</f>
        <v>0</v>
      </c>
      <c r="AA5" s="180">
        <f>订货1!AZ6</f>
        <v>0</v>
      </c>
      <c r="AB5" s="180">
        <f>订货1!BA6</f>
        <v>0</v>
      </c>
      <c r="AC5" s="180">
        <f>订货1!BB6</f>
        <v>0</v>
      </c>
      <c r="AD5" s="180">
        <f>订货1!BC6</f>
        <v>0</v>
      </c>
      <c r="AE5" s="180">
        <f>订货1!BD6</f>
        <v>0</v>
      </c>
      <c r="AF5" s="180">
        <f>订货1!BE6</f>
        <v>0</v>
      </c>
      <c r="AG5" s="180">
        <f>订货1!BF6</f>
        <v>0</v>
      </c>
      <c r="AH5" s="176"/>
      <c r="AI5" s="178" t="e">
        <f>店铺收货台帐2!DE6</f>
        <v>#DIV/0!</v>
      </c>
    </row>
    <row r="6" spans="1:35" hidden="1">
      <c r="A6" s="37">
        <f>订货1!K7</f>
        <v>101739</v>
      </c>
      <c r="B6" s="37" t="str">
        <f>订货1!M7</f>
        <v>华美裹粉鸡胗</v>
      </c>
      <c r="C6" s="180">
        <f>订货1!AB7</f>
        <v>0</v>
      </c>
      <c r="D6" s="180">
        <f>订货1!AC7</f>
        <v>0</v>
      </c>
      <c r="E6" s="180">
        <f>订货1!AD7</f>
        <v>0</v>
      </c>
      <c r="F6" s="180">
        <f>订货1!AE7</f>
        <v>0</v>
      </c>
      <c r="G6" s="180">
        <f>订货1!AF7</f>
        <v>0</v>
      </c>
      <c r="H6" s="180">
        <f>订货1!AG7</f>
        <v>0</v>
      </c>
      <c r="I6" s="180">
        <f>订货1!AH7</f>
        <v>0</v>
      </c>
      <c r="J6" s="180">
        <f>订货1!AI7</f>
        <v>0</v>
      </c>
      <c r="K6" s="180">
        <f>订货1!AJ7</f>
        <v>0</v>
      </c>
      <c r="L6" s="180">
        <f>订货1!AK7</f>
        <v>0</v>
      </c>
      <c r="M6" s="180">
        <f>订货1!AL7</f>
        <v>0</v>
      </c>
      <c r="N6" s="180">
        <f>订货1!AM7</f>
        <v>0</v>
      </c>
      <c r="O6" s="180">
        <f>订货1!AN7</f>
        <v>0</v>
      </c>
      <c r="P6" s="180">
        <f>订货1!AO7</f>
        <v>0</v>
      </c>
      <c r="Q6" s="180">
        <f>订货1!AP7</f>
        <v>0</v>
      </c>
      <c r="R6" s="180">
        <f>订货1!AQ7</f>
        <v>0</v>
      </c>
      <c r="S6" s="180">
        <f>订货1!AR7</f>
        <v>0</v>
      </c>
      <c r="T6" s="180">
        <f>订货1!AS7</f>
        <v>0</v>
      </c>
      <c r="U6" s="180">
        <f>订货1!AT7</f>
        <v>0</v>
      </c>
      <c r="V6" s="180">
        <f>订货1!AU7</f>
        <v>0</v>
      </c>
      <c r="W6" s="180">
        <f>订货1!AV7</f>
        <v>0</v>
      </c>
      <c r="X6" s="180">
        <f>订货1!AW7</f>
        <v>0</v>
      </c>
      <c r="Y6" s="180">
        <f>订货1!AX7</f>
        <v>0</v>
      </c>
      <c r="Z6" s="180">
        <f>订货1!AY7</f>
        <v>0</v>
      </c>
      <c r="AA6" s="180">
        <f>订货1!AZ7</f>
        <v>0</v>
      </c>
      <c r="AB6" s="180">
        <f>订货1!BA7</f>
        <v>0</v>
      </c>
      <c r="AC6" s="180">
        <f>订货1!BB7</f>
        <v>0</v>
      </c>
      <c r="AD6" s="180">
        <f>订货1!BC7</f>
        <v>0</v>
      </c>
      <c r="AE6" s="180">
        <f>订货1!BD7</f>
        <v>0</v>
      </c>
      <c r="AF6" s="180">
        <f>订货1!BE7</f>
        <v>0</v>
      </c>
      <c r="AG6" s="180">
        <f>订货1!BF7</f>
        <v>0</v>
      </c>
      <c r="AH6" s="176"/>
      <c r="AI6" s="178" t="e">
        <f>店铺收货台帐2!DE7</f>
        <v>#DIV/0!</v>
      </c>
    </row>
    <row r="7" spans="1:35" hidden="1">
      <c r="A7" s="37">
        <f>订货1!K8</f>
        <v>101752</v>
      </c>
      <c r="B7" s="37" t="str">
        <f>订货1!M8</f>
        <v>冷冻土豆泥</v>
      </c>
      <c r="C7" s="180">
        <f>订货1!AB8</f>
        <v>0</v>
      </c>
      <c r="D7" s="180">
        <f>订货1!AC8</f>
        <v>0</v>
      </c>
      <c r="E7" s="180">
        <f>订货1!AD8</f>
        <v>0</v>
      </c>
      <c r="F7" s="180">
        <f>订货1!AE8</f>
        <v>0</v>
      </c>
      <c r="G7" s="180">
        <f>订货1!AF8</f>
        <v>0</v>
      </c>
      <c r="H7" s="180">
        <f>订货1!AG8</f>
        <v>0</v>
      </c>
      <c r="I7" s="180">
        <f>订货1!AH8</f>
        <v>0</v>
      </c>
      <c r="J7" s="180">
        <f>订货1!AI8</f>
        <v>0</v>
      </c>
      <c r="K7" s="180">
        <f>订货1!AJ8</f>
        <v>0</v>
      </c>
      <c r="L7" s="180">
        <f>订货1!AK8</f>
        <v>0</v>
      </c>
      <c r="M7" s="180">
        <f>订货1!AL8</f>
        <v>0</v>
      </c>
      <c r="N7" s="180">
        <f>订货1!AM8</f>
        <v>0</v>
      </c>
      <c r="O7" s="180">
        <f>订货1!AN8</f>
        <v>0</v>
      </c>
      <c r="P7" s="180">
        <f>订货1!AO8</f>
        <v>0</v>
      </c>
      <c r="Q7" s="180">
        <f>订货1!AP8</f>
        <v>0</v>
      </c>
      <c r="R7" s="180">
        <f>订货1!AQ8</f>
        <v>0</v>
      </c>
      <c r="S7" s="180">
        <f>订货1!AR8</f>
        <v>0</v>
      </c>
      <c r="T7" s="180">
        <f>订货1!AS8</f>
        <v>0</v>
      </c>
      <c r="U7" s="180">
        <f>订货1!AT8</f>
        <v>0</v>
      </c>
      <c r="V7" s="180">
        <f>订货1!AU8</f>
        <v>0</v>
      </c>
      <c r="W7" s="180">
        <f>订货1!AV8</f>
        <v>0</v>
      </c>
      <c r="X7" s="180">
        <f>订货1!AW8</f>
        <v>0</v>
      </c>
      <c r="Y7" s="180">
        <f>订货1!AX8</f>
        <v>0</v>
      </c>
      <c r="Z7" s="180">
        <f>订货1!AY8</f>
        <v>0</v>
      </c>
      <c r="AA7" s="180">
        <f>订货1!AZ8</f>
        <v>0</v>
      </c>
      <c r="AB7" s="180">
        <f>订货1!BA8</f>
        <v>0</v>
      </c>
      <c r="AC7" s="180">
        <f>订货1!BB8</f>
        <v>0</v>
      </c>
      <c r="AD7" s="180">
        <f>订货1!BC8</f>
        <v>0</v>
      </c>
      <c r="AE7" s="180">
        <f>订货1!BD8</f>
        <v>0</v>
      </c>
      <c r="AF7" s="180">
        <f>订货1!BE8</f>
        <v>0</v>
      </c>
      <c r="AG7" s="180">
        <f>订货1!BF8</f>
        <v>0</v>
      </c>
      <c r="AH7" s="176"/>
      <c r="AI7" s="178" t="e">
        <f>店铺收货台帐2!DE8</f>
        <v>#DIV/0!</v>
      </c>
    </row>
    <row r="8" spans="1:35" hidden="1">
      <c r="A8" s="37">
        <f>订货1!K9</f>
        <v>101686</v>
      </c>
      <c r="B8" s="37" t="str">
        <f>订货1!M9</f>
        <v>黄桃丁罐头（825g）</v>
      </c>
      <c r="C8" s="180">
        <f>订货1!AB9</f>
        <v>0</v>
      </c>
      <c r="D8" s="180">
        <f>订货1!AC9</f>
        <v>0</v>
      </c>
      <c r="E8" s="180">
        <f>订货1!AD9</f>
        <v>0</v>
      </c>
      <c r="F8" s="180">
        <f>订货1!AE9</f>
        <v>0</v>
      </c>
      <c r="G8" s="180">
        <f>订货1!AF9</f>
        <v>0</v>
      </c>
      <c r="H8" s="180">
        <f>订货1!AG9</f>
        <v>0</v>
      </c>
      <c r="I8" s="180">
        <f>订货1!AH9</f>
        <v>0</v>
      </c>
      <c r="J8" s="180">
        <f>订货1!AI9</f>
        <v>1</v>
      </c>
      <c r="K8" s="180">
        <f>订货1!AJ9</f>
        <v>0</v>
      </c>
      <c r="L8" s="180">
        <f>订货1!AK9</f>
        <v>0</v>
      </c>
      <c r="M8" s="180">
        <f>订货1!AL9</f>
        <v>0</v>
      </c>
      <c r="N8" s="180">
        <f>订货1!AM9</f>
        <v>0</v>
      </c>
      <c r="O8" s="180">
        <f>订货1!AN9</f>
        <v>0</v>
      </c>
      <c r="P8" s="180">
        <f>订货1!AO9</f>
        <v>0</v>
      </c>
      <c r="Q8" s="180">
        <f>订货1!AP9</f>
        <v>0</v>
      </c>
      <c r="R8" s="180">
        <f>订货1!AQ9</f>
        <v>0</v>
      </c>
      <c r="S8" s="180">
        <f>订货1!AR9</f>
        <v>0</v>
      </c>
      <c r="T8" s="180">
        <f>订货1!AS9</f>
        <v>0</v>
      </c>
      <c r="U8" s="180">
        <f>订货1!AT9</f>
        <v>0</v>
      </c>
      <c r="V8" s="180">
        <f>订货1!AU9</f>
        <v>0</v>
      </c>
      <c r="W8" s="180">
        <f>订货1!AV9</f>
        <v>0</v>
      </c>
      <c r="X8" s="180">
        <f>订货1!AW9</f>
        <v>0</v>
      </c>
      <c r="Y8" s="180">
        <f>订货1!AX9</f>
        <v>0</v>
      </c>
      <c r="Z8" s="180">
        <f>订货1!AY9</f>
        <v>0</v>
      </c>
      <c r="AA8" s="180">
        <f>订货1!AZ9</f>
        <v>0</v>
      </c>
      <c r="AB8" s="180">
        <f>订货1!BA9</f>
        <v>0</v>
      </c>
      <c r="AC8" s="180">
        <f>订货1!BB9</f>
        <v>0</v>
      </c>
      <c r="AD8" s="180">
        <f>订货1!BC9</f>
        <v>0</v>
      </c>
      <c r="AE8" s="180">
        <f>订货1!BD9</f>
        <v>0</v>
      </c>
      <c r="AF8" s="180">
        <f>订货1!BE9</f>
        <v>0</v>
      </c>
      <c r="AG8" s="180">
        <f>订货1!BF9</f>
        <v>0</v>
      </c>
      <c r="AH8" s="176"/>
      <c r="AI8" s="178" t="e">
        <f>店铺收货台帐2!DE9</f>
        <v>#DIV/0!</v>
      </c>
    </row>
    <row r="9" spans="1:35" hidden="1">
      <c r="A9" s="37">
        <f>订货1!K10</f>
        <v>101112</v>
      </c>
      <c r="B9" s="37" t="str">
        <f>订货1!M10</f>
        <v>亨氏番茄调味酱</v>
      </c>
      <c r="C9" s="180">
        <f>订货1!AB10</f>
        <v>0</v>
      </c>
      <c r="D9" s="180">
        <f>订货1!AC10</f>
        <v>1</v>
      </c>
      <c r="E9" s="180">
        <f>订货1!AD10</f>
        <v>0</v>
      </c>
      <c r="F9" s="180">
        <f>订货1!AE10</f>
        <v>0</v>
      </c>
      <c r="G9" s="180">
        <f>订货1!AF10</f>
        <v>0</v>
      </c>
      <c r="H9" s="180">
        <f>订货1!AG10</f>
        <v>0</v>
      </c>
      <c r="I9" s="180">
        <f>订货1!AH10</f>
        <v>0</v>
      </c>
      <c r="J9" s="180">
        <f>订货1!AI10</f>
        <v>0</v>
      </c>
      <c r="K9" s="180">
        <f>订货1!AJ10</f>
        <v>0</v>
      </c>
      <c r="L9" s="180">
        <f>订货1!AK10</f>
        <v>0</v>
      </c>
      <c r="M9" s="180">
        <f>订货1!AL10</f>
        <v>0</v>
      </c>
      <c r="N9" s="180">
        <f>订货1!AM10</f>
        <v>1</v>
      </c>
      <c r="O9" s="180">
        <f>订货1!AN10</f>
        <v>0</v>
      </c>
      <c r="P9" s="180">
        <f>订货1!AO10</f>
        <v>0</v>
      </c>
      <c r="Q9" s="180">
        <f>订货1!AP10</f>
        <v>0</v>
      </c>
      <c r="R9" s="180">
        <f>订货1!AQ10</f>
        <v>0</v>
      </c>
      <c r="S9" s="180">
        <f>订货1!AR10</f>
        <v>0</v>
      </c>
      <c r="T9" s="180">
        <f>订货1!AS10</f>
        <v>0</v>
      </c>
      <c r="U9" s="180">
        <f>订货1!AT10</f>
        <v>0</v>
      </c>
      <c r="V9" s="180">
        <f>订货1!AU10</f>
        <v>0</v>
      </c>
      <c r="W9" s="180">
        <f>订货1!AV10</f>
        <v>0</v>
      </c>
      <c r="X9" s="180">
        <f>订货1!AW10</f>
        <v>0</v>
      </c>
      <c r="Y9" s="180">
        <f>订货1!AX10</f>
        <v>0</v>
      </c>
      <c r="Z9" s="180">
        <f>订货1!AY10</f>
        <v>0</v>
      </c>
      <c r="AA9" s="180">
        <f>订货1!AZ10</f>
        <v>0</v>
      </c>
      <c r="AB9" s="180">
        <f>订货1!BA10</f>
        <v>0</v>
      </c>
      <c r="AC9" s="180">
        <f>订货1!BB10</f>
        <v>0</v>
      </c>
      <c r="AD9" s="180">
        <f>订货1!BC10</f>
        <v>0</v>
      </c>
      <c r="AE9" s="180">
        <f>订货1!BD10</f>
        <v>0</v>
      </c>
      <c r="AF9" s="180">
        <f>订货1!BE10</f>
        <v>0</v>
      </c>
      <c r="AG9" s="180">
        <f>订货1!BF10</f>
        <v>0</v>
      </c>
      <c r="AH9" s="176"/>
      <c r="AI9" s="178" t="e">
        <f>店铺收货台帐2!DE10</f>
        <v>#DIV/0!</v>
      </c>
    </row>
    <row r="10" spans="1:35" hidden="1">
      <c r="A10" s="37">
        <f>订货1!K11</f>
        <v>101687</v>
      </c>
      <c r="B10" s="37" t="str">
        <f>订货1!M11</f>
        <v>椰果罐头（850g）</v>
      </c>
      <c r="C10" s="180">
        <f>订货1!AB11</f>
        <v>0</v>
      </c>
      <c r="D10" s="180">
        <f>订货1!AC11</f>
        <v>0</v>
      </c>
      <c r="E10" s="180">
        <f>订货1!AD11</f>
        <v>0</v>
      </c>
      <c r="F10" s="180">
        <f>订货1!AE11</f>
        <v>0</v>
      </c>
      <c r="G10" s="180">
        <f>订货1!AF11</f>
        <v>0</v>
      </c>
      <c r="H10" s="180">
        <f>订货1!AG11</f>
        <v>1</v>
      </c>
      <c r="I10" s="180">
        <f>订货1!AH11</f>
        <v>0</v>
      </c>
      <c r="J10" s="180">
        <f>订货1!AI11</f>
        <v>0</v>
      </c>
      <c r="K10" s="180">
        <f>订货1!AJ11</f>
        <v>0</v>
      </c>
      <c r="L10" s="180">
        <f>订货1!AK11</f>
        <v>0</v>
      </c>
      <c r="M10" s="180">
        <f>订货1!AL11</f>
        <v>0</v>
      </c>
      <c r="N10" s="180">
        <f>订货1!AM11</f>
        <v>1</v>
      </c>
      <c r="O10" s="180">
        <f>订货1!AN11</f>
        <v>0</v>
      </c>
      <c r="P10" s="180">
        <f>订货1!AO11</f>
        <v>0</v>
      </c>
      <c r="Q10" s="180">
        <f>订货1!AP11</f>
        <v>0</v>
      </c>
      <c r="R10" s="180">
        <f>订货1!AQ11</f>
        <v>0</v>
      </c>
      <c r="S10" s="180">
        <f>订货1!AR11</f>
        <v>0</v>
      </c>
      <c r="T10" s="180">
        <f>订货1!AS11</f>
        <v>0</v>
      </c>
      <c r="U10" s="180">
        <f>订货1!AT11</f>
        <v>0</v>
      </c>
      <c r="V10" s="180">
        <f>订货1!AU11</f>
        <v>0</v>
      </c>
      <c r="W10" s="180">
        <f>订货1!AV11</f>
        <v>0</v>
      </c>
      <c r="X10" s="180">
        <f>订货1!AW11</f>
        <v>0</v>
      </c>
      <c r="Y10" s="180">
        <f>订货1!AX11</f>
        <v>0</v>
      </c>
      <c r="Z10" s="180">
        <f>订货1!AY11</f>
        <v>0</v>
      </c>
      <c r="AA10" s="180">
        <f>订货1!AZ11</f>
        <v>0</v>
      </c>
      <c r="AB10" s="180">
        <f>订货1!BA11</f>
        <v>0</v>
      </c>
      <c r="AC10" s="180">
        <f>订货1!BB11</f>
        <v>0</v>
      </c>
      <c r="AD10" s="180">
        <f>订货1!BC11</f>
        <v>0</v>
      </c>
      <c r="AE10" s="180">
        <f>订货1!BD11</f>
        <v>0</v>
      </c>
      <c r="AF10" s="180">
        <f>订货1!BE11</f>
        <v>0</v>
      </c>
      <c r="AG10" s="180">
        <f>订货1!BF11</f>
        <v>0</v>
      </c>
      <c r="AH10" s="176"/>
      <c r="AI10" s="178" t="e">
        <f>店铺收货台帐2!DE11</f>
        <v>#DIV/0!</v>
      </c>
    </row>
    <row r="11" spans="1:35" hidden="1">
      <c r="A11" s="37">
        <f>订货1!K12</f>
        <v>101738</v>
      </c>
      <c r="B11" s="37" t="str">
        <f>订货1!M12</f>
        <v>（组）巴氏杀菌冰全蛋</v>
      </c>
      <c r="C11" s="180">
        <f>订货1!AB12</f>
        <v>0</v>
      </c>
      <c r="D11" s="180">
        <f>订货1!AC12</f>
        <v>0</v>
      </c>
      <c r="E11" s="180">
        <f>订货1!AD12</f>
        <v>0</v>
      </c>
      <c r="F11" s="180">
        <f>订货1!AE12</f>
        <v>0</v>
      </c>
      <c r="G11" s="180">
        <f>订货1!AF12</f>
        <v>0</v>
      </c>
      <c r="H11" s="180">
        <f>订货1!AG12</f>
        <v>1</v>
      </c>
      <c r="I11" s="180">
        <f>订货1!AH12</f>
        <v>0</v>
      </c>
      <c r="J11" s="180">
        <f>订货1!AI12</f>
        <v>0</v>
      </c>
      <c r="K11" s="180">
        <f>订货1!AJ12</f>
        <v>0</v>
      </c>
      <c r="L11" s="180">
        <f>订货1!AK12</f>
        <v>0</v>
      </c>
      <c r="M11" s="180">
        <f>订货1!AL12</f>
        <v>0</v>
      </c>
      <c r="N11" s="180">
        <f>订货1!AM12</f>
        <v>0</v>
      </c>
      <c r="O11" s="180">
        <f>订货1!AN12</f>
        <v>1</v>
      </c>
      <c r="P11" s="180">
        <f>订货1!AO12</f>
        <v>0</v>
      </c>
      <c r="Q11" s="180">
        <f>订货1!AP12</f>
        <v>0</v>
      </c>
      <c r="R11" s="180">
        <f>订货1!AQ12</f>
        <v>0</v>
      </c>
      <c r="S11" s="180">
        <f>订货1!AR12</f>
        <v>0</v>
      </c>
      <c r="T11" s="180">
        <f>订货1!AS12</f>
        <v>0</v>
      </c>
      <c r="U11" s="180">
        <f>订货1!AT12</f>
        <v>0</v>
      </c>
      <c r="V11" s="180">
        <f>订货1!AU12</f>
        <v>0</v>
      </c>
      <c r="W11" s="180">
        <f>订货1!AV12</f>
        <v>0</v>
      </c>
      <c r="X11" s="180">
        <f>订货1!AW12</f>
        <v>0</v>
      </c>
      <c r="Y11" s="180">
        <f>订货1!AX12</f>
        <v>0</v>
      </c>
      <c r="Z11" s="180">
        <f>订货1!AY12</f>
        <v>0</v>
      </c>
      <c r="AA11" s="180">
        <f>订货1!AZ12</f>
        <v>0</v>
      </c>
      <c r="AB11" s="180">
        <f>订货1!BA12</f>
        <v>0</v>
      </c>
      <c r="AC11" s="180">
        <f>订货1!BB12</f>
        <v>0</v>
      </c>
      <c r="AD11" s="180">
        <f>订货1!BC12</f>
        <v>0</v>
      </c>
      <c r="AE11" s="180">
        <f>订货1!BD12</f>
        <v>0</v>
      </c>
      <c r="AF11" s="180">
        <f>订货1!BE12</f>
        <v>0</v>
      </c>
      <c r="AG11" s="180">
        <f>订货1!BF12</f>
        <v>0</v>
      </c>
      <c r="AH11" s="176"/>
      <c r="AI11" s="178" t="e">
        <f>店铺收货台帐2!DE12</f>
        <v>#DIV/0!</v>
      </c>
    </row>
    <row r="12" spans="1:35" hidden="1">
      <c r="A12" s="37">
        <f>订货1!K13</f>
        <v>101688</v>
      </c>
      <c r="B12" s="37" t="str">
        <f>订货1!M13</f>
        <v>奶油蘑菇汤</v>
      </c>
      <c r="C12" s="180">
        <f>订货1!AB13</f>
        <v>1</v>
      </c>
      <c r="D12" s="180">
        <f>订货1!AC13</f>
        <v>0</v>
      </c>
      <c r="E12" s="180">
        <f>订货1!AD13</f>
        <v>0</v>
      </c>
      <c r="F12" s="180">
        <f>订货1!AE13</f>
        <v>2</v>
      </c>
      <c r="G12" s="180">
        <f>订货1!AF13</f>
        <v>1</v>
      </c>
      <c r="H12" s="180">
        <f>订货1!AG13</f>
        <v>2</v>
      </c>
      <c r="I12" s="180">
        <f>订货1!AH13</f>
        <v>0</v>
      </c>
      <c r="J12" s="180">
        <f>订货1!AI13</f>
        <v>1</v>
      </c>
      <c r="K12" s="180">
        <f>订货1!AJ13</f>
        <v>0</v>
      </c>
      <c r="L12" s="180">
        <f>订货1!AK13</f>
        <v>0</v>
      </c>
      <c r="M12" s="180">
        <f>订货1!AL13</f>
        <v>0</v>
      </c>
      <c r="N12" s="180">
        <f>订货1!AM13</f>
        <v>2</v>
      </c>
      <c r="O12" s="180">
        <f>订货1!AN13</f>
        <v>2</v>
      </c>
      <c r="P12" s="180">
        <f>订货1!AO13</f>
        <v>1</v>
      </c>
      <c r="Q12" s="180">
        <f>订货1!AP13</f>
        <v>0</v>
      </c>
      <c r="R12" s="180">
        <f>订货1!AQ13</f>
        <v>0</v>
      </c>
      <c r="S12" s="180">
        <f>订货1!AR13</f>
        <v>0</v>
      </c>
      <c r="T12" s="180">
        <f>订货1!AS13</f>
        <v>0</v>
      </c>
      <c r="U12" s="180">
        <f>订货1!AT13</f>
        <v>0</v>
      </c>
      <c r="V12" s="180">
        <f>订货1!AU13</f>
        <v>0</v>
      </c>
      <c r="W12" s="180">
        <f>订货1!AV13</f>
        <v>0</v>
      </c>
      <c r="X12" s="180">
        <f>订货1!AW13</f>
        <v>0</v>
      </c>
      <c r="Y12" s="180">
        <f>订货1!AX13</f>
        <v>0</v>
      </c>
      <c r="Z12" s="180">
        <f>订货1!AY13</f>
        <v>0</v>
      </c>
      <c r="AA12" s="180">
        <f>订货1!AZ13</f>
        <v>0</v>
      </c>
      <c r="AB12" s="180">
        <f>订货1!BA13</f>
        <v>0</v>
      </c>
      <c r="AC12" s="180">
        <f>订货1!BB13</f>
        <v>0</v>
      </c>
      <c r="AD12" s="180">
        <f>订货1!BC13</f>
        <v>0</v>
      </c>
      <c r="AE12" s="180">
        <f>订货1!BD13</f>
        <v>0</v>
      </c>
      <c r="AF12" s="180">
        <f>订货1!BE13</f>
        <v>0</v>
      </c>
      <c r="AG12" s="180">
        <f>订货1!BF13</f>
        <v>0</v>
      </c>
      <c r="AH12" s="176"/>
      <c r="AI12" s="178" t="e">
        <f>店铺收货台帐2!DE13</f>
        <v>#DIV/0!</v>
      </c>
    </row>
    <row r="13" spans="1:35" hidden="1">
      <c r="A13" s="37">
        <f>订货1!K14</f>
        <v>101290</v>
      </c>
      <c r="B13" s="37" t="str">
        <f>订货1!M14</f>
        <v>黑胡椒碎</v>
      </c>
      <c r="C13" s="180">
        <f>订货1!AB14</f>
        <v>0</v>
      </c>
      <c r="D13" s="180">
        <f>订货1!AC14</f>
        <v>0</v>
      </c>
      <c r="E13" s="180">
        <f>订货1!AD14</f>
        <v>0</v>
      </c>
      <c r="F13" s="180">
        <f>订货1!AE14</f>
        <v>0</v>
      </c>
      <c r="G13" s="180">
        <f>订货1!AF14</f>
        <v>0</v>
      </c>
      <c r="H13" s="180">
        <f>订货1!AG14</f>
        <v>0</v>
      </c>
      <c r="I13" s="180">
        <f>订货1!AH14</f>
        <v>0</v>
      </c>
      <c r="J13" s="180">
        <f>订货1!AI14</f>
        <v>0</v>
      </c>
      <c r="K13" s="180">
        <f>订货1!AJ14</f>
        <v>0</v>
      </c>
      <c r="L13" s="180">
        <f>订货1!AK14</f>
        <v>0</v>
      </c>
      <c r="M13" s="180">
        <f>订货1!AL14</f>
        <v>0</v>
      </c>
      <c r="N13" s="180">
        <f>订货1!AM14</f>
        <v>0</v>
      </c>
      <c r="O13" s="180">
        <f>订货1!AN14</f>
        <v>0</v>
      </c>
      <c r="P13" s="180">
        <f>订货1!AO14</f>
        <v>0</v>
      </c>
      <c r="Q13" s="180">
        <f>订货1!AP14</f>
        <v>0</v>
      </c>
      <c r="R13" s="180">
        <f>订货1!AQ14</f>
        <v>0</v>
      </c>
      <c r="S13" s="180">
        <f>订货1!AR14</f>
        <v>0</v>
      </c>
      <c r="T13" s="180">
        <f>订货1!AS14</f>
        <v>0</v>
      </c>
      <c r="U13" s="180">
        <f>订货1!AT14</f>
        <v>0</v>
      </c>
      <c r="V13" s="180">
        <f>订货1!AU14</f>
        <v>0</v>
      </c>
      <c r="W13" s="180">
        <f>订货1!AV14</f>
        <v>0</v>
      </c>
      <c r="X13" s="180">
        <f>订货1!AW14</f>
        <v>0</v>
      </c>
      <c r="Y13" s="180">
        <f>订货1!AX14</f>
        <v>0</v>
      </c>
      <c r="Z13" s="180">
        <f>订货1!AY14</f>
        <v>0</v>
      </c>
      <c r="AA13" s="180">
        <f>订货1!AZ14</f>
        <v>0</v>
      </c>
      <c r="AB13" s="180">
        <f>订货1!BA14</f>
        <v>0</v>
      </c>
      <c r="AC13" s="180">
        <f>订货1!BB14</f>
        <v>0</v>
      </c>
      <c r="AD13" s="180">
        <f>订货1!BC14</f>
        <v>0</v>
      </c>
      <c r="AE13" s="180">
        <f>订货1!BD14</f>
        <v>0</v>
      </c>
      <c r="AF13" s="180">
        <f>订货1!BE14</f>
        <v>0</v>
      </c>
      <c r="AG13" s="180">
        <f>订货1!BF14</f>
        <v>0</v>
      </c>
      <c r="AH13" s="176"/>
      <c r="AI13" s="178" t="e">
        <f>店铺收货台帐2!DE14</f>
        <v>#DIV/0!</v>
      </c>
    </row>
    <row r="14" spans="1:35" hidden="1">
      <c r="A14" s="37">
        <f>订货1!K15</f>
        <v>101398</v>
      </c>
      <c r="B14" s="37" t="str">
        <f>订货1!M15</f>
        <v>好日子红茶</v>
      </c>
      <c r="C14" s="180">
        <f>订货1!AB15</f>
        <v>0</v>
      </c>
      <c r="D14" s="180">
        <f>订货1!AC15</f>
        <v>0</v>
      </c>
      <c r="E14" s="180">
        <f>订货1!AD15</f>
        <v>0</v>
      </c>
      <c r="F14" s="180">
        <f>订货1!AE15</f>
        <v>0</v>
      </c>
      <c r="G14" s="180">
        <f>订货1!AF15</f>
        <v>0</v>
      </c>
      <c r="H14" s="180">
        <f>订货1!AG15</f>
        <v>0</v>
      </c>
      <c r="I14" s="180">
        <f>订货1!AH15</f>
        <v>0</v>
      </c>
      <c r="J14" s="180">
        <f>订货1!AI15</f>
        <v>0</v>
      </c>
      <c r="K14" s="180">
        <f>订货1!AJ15</f>
        <v>0</v>
      </c>
      <c r="L14" s="180">
        <f>订货1!AK15</f>
        <v>0</v>
      </c>
      <c r="M14" s="180">
        <f>订货1!AL15</f>
        <v>0</v>
      </c>
      <c r="N14" s="180">
        <f>订货1!AM15</f>
        <v>0</v>
      </c>
      <c r="O14" s="180">
        <f>订货1!AN15</f>
        <v>0</v>
      </c>
      <c r="P14" s="180">
        <f>订货1!AO15</f>
        <v>0</v>
      </c>
      <c r="Q14" s="180">
        <f>订货1!AP15</f>
        <v>0</v>
      </c>
      <c r="R14" s="180">
        <f>订货1!AQ15</f>
        <v>0</v>
      </c>
      <c r="S14" s="180">
        <f>订货1!AR15</f>
        <v>0</v>
      </c>
      <c r="T14" s="180">
        <f>订货1!AS15</f>
        <v>0</v>
      </c>
      <c r="U14" s="180">
        <f>订货1!AT15</f>
        <v>0</v>
      </c>
      <c r="V14" s="180">
        <f>订货1!AU15</f>
        <v>0</v>
      </c>
      <c r="W14" s="180">
        <f>订货1!AV15</f>
        <v>0</v>
      </c>
      <c r="X14" s="180">
        <f>订货1!AW15</f>
        <v>0</v>
      </c>
      <c r="Y14" s="180">
        <f>订货1!AX15</f>
        <v>0</v>
      </c>
      <c r="Z14" s="180">
        <f>订货1!AY15</f>
        <v>0</v>
      </c>
      <c r="AA14" s="180">
        <f>订货1!AZ15</f>
        <v>0</v>
      </c>
      <c r="AB14" s="180">
        <f>订货1!BA15</f>
        <v>0</v>
      </c>
      <c r="AC14" s="180">
        <f>订货1!BB15</f>
        <v>0</v>
      </c>
      <c r="AD14" s="180">
        <f>订货1!BC15</f>
        <v>0</v>
      </c>
      <c r="AE14" s="180">
        <f>订货1!BD15</f>
        <v>0</v>
      </c>
      <c r="AF14" s="180">
        <f>订货1!BE15</f>
        <v>0</v>
      </c>
      <c r="AG14" s="180">
        <f>订货1!BF15</f>
        <v>0</v>
      </c>
      <c r="AH14" s="176"/>
      <c r="AI14" s="178" t="e">
        <f>店铺收货台帐2!DE15</f>
        <v>#DIV/0!</v>
      </c>
    </row>
    <row r="15" spans="1:35" hidden="1">
      <c r="A15" s="37">
        <f>订货1!K16</f>
        <v>101399</v>
      </c>
      <c r="B15" s="37" t="str">
        <f>订货1!M16</f>
        <v>好日子绿茶</v>
      </c>
      <c r="C15" s="180">
        <f>订货1!AB16</f>
        <v>0</v>
      </c>
      <c r="D15" s="180">
        <f>订货1!AC16</f>
        <v>0</v>
      </c>
      <c r="E15" s="180">
        <f>订货1!AD16</f>
        <v>0</v>
      </c>
      <c r="F15" s="180">
        <f>订货1!AE16</f>
        <v>0</v>
      </c>
      <c r="G15" s="180">
        <f>订货1!AF16</f>
        <v>0</v>
      </c>
      <c r="H15" s="180">
        <f>订货1!AG16</f>
        <v>0</v>
      </c>
      <c r="I15" s="180">
        <f>订货1!AH16</f>
        <v>0</v>
      </c>
      <c r="J15" s="180">
        <f>订货1!AI16</f>
        <v>0</v>
      </c>
      <c r="K15" s="180">
        <f>订货1!AJ16</f>
        <v>0</v>
      </c>
      <c r="L15" s="180">
        <f>订货1!AK16</f>
        <v>0</v>
      </c>
      <c r="M15" s="180">
        <f>订货1!AL16</f>
        <v>0</v>
      </c>
      <c r="N15" s="180">
        <f>订货1!AM16</f>
        <v>0</v>
      </c>
      <c r="O15" s="180">
        <f>订货1!AN16</f>
        <v>0</v>
      </c>
      <c r="P15" s="180">
        <f>订货1!AO16</f>
        <v>0</v>
      </c>
      <c r="Q15" s="180">
        <f>订货1!AP16</f>
        <v>0</v>
      </c>
      <c r="R15" s="180">
        <f>订货1!AQ16</f>
        <v>0</v>
      </c>
      <c r="S15" s="180">
        <f>订货1!AR16</f>
        <v>0</v>
      </c>
      <c r="T15" s="180">
        <f>订货1!AS16</f>
        <v>0</v>
      </c>
      <c r="U15" s="180">
        <f>订货1!AT16</f>
        <v>0</v>
      </c>
      <c r="V15" s="180">
        <f>订货1!AU16</f>
        <v>0</v>
      </c>
      <c r="W15" s="180">
        <f>订货1!AV16</f>
        <v>0</v>
      </c>
      <c r="X15" s="180">
        <f>订货1!AW16</f>
        <v>0</v>
      </c>
      <c r="Y15" s="180">
        <f>订货1!AX16</f>
        <v>0</v>
      </c>
      <c r="Z15" s="180">
        <f>订货1!AY16</f>
        <v>0</v>
      </c>
      <c r="AA15" s="180">
        <f>订货1!AZ16</f>
        <v>0</v>
      </c>
      <c r="AB15" s="180">
        <f>订货1!BA16</f>
        <v>0</v>
      </c>
      <c r="AC15" s="180">
        <f>订货1!BB16</f>
        <v>0</v>
      </c>
      <c r="AD15" s="180">
        <f>订货1!BC16</f>
        <v>0</v>
      </c>
      <c r="AE15" s="180">
        <f>订货1!BD16</f>
        <v>0</v>
      </c>
      <c r="AF15" s="180">
        <f>订货1!BE16</f>
        <v>0</v>
      </c>
      <c r="AG15" s="180">
        <f>订货1!BF16</f>
        <v>0</v>
      </c>
      <c r="AH15" s="176"/>
      <c r="AI15" s="178" t="e">
        <f>店铺收货台帐2!DE16</f>
        <v>#DIV/0!</v>
      </c>
    </row>
    <row r="16" spans="1:35" hidden="1">
      <c r="A16" s="37">
        <f>订货1!K17</f>
        <v>101400</v>
      </c>
      <c r="B16" s="37" t="str">
        <f>订货1!M17</f>
        <v>好日子茉莉花茶</v>
      </c>
      <c r="C16" s="180">
        <f>订货1!AB17</f>
        <v>0</v>
      </c>
      <c r="D16" s="180">
        <f>订货1!AC17</f>
        <v>0</v>
      </c>
      <c r="E16" s="180">
        <f>订货1!AD17</f>
        <v>0</v>
      </c>
      <c r="F16" s="180">
        <f>订货1!AE17</f>
        <v>0</v>
      </c>
      <c r="G16" s="180">
        <f>订货1!AF17</f>
        <v>0</v>
      </c>
      <c r="H16" s="180">
        <f>订货1!AG17</f>
        <v>0</v>
      </c>
      <c r="I16" s="180">
        <f>订货1!AH17</f>
        <v>0</v>
      </c>
      <c r="J16" s="180">
        <f>订货1!AI17</f>
        <v>0</v>
      </c>
      <c r="K16" s="180">
        <f>订货1!AJ17</f>
        <v>0</v>
      </c>
      <c r="L16" s="180">
        <f>订货1!AK17</f>
        <v>0</v>
      </c>
      <c r="M16" s="180">
        <f>订货1!AL17</f>
        <v>0</v>
      </c>
      <c r="N16" s="180">
        <f>订货1!AM17</f>
        <v>1</v>
      </c>
      <c r="O16" s="180">
        <f>订货1!AN17</f>
        <v>0</v>
      </c>
      <c r="P16" s="180">
        <f>订货1!AO17</f>
        <v>0</v>
      </c>
      <c r="Q16" s="180">
        <f>订货1!AP17</f>
        <v>0</v>
      </c>
      <c r="R16" s="180">
        <f>订货1!AQ17</f>
        <v>0</v>
      </c>
      <c r="S16" s="180">
        <f>订货1!AR17</f>
        <v>0</v>
      </c>
      <c r="T16" s="180">
        <f>订货1!AS17</f>
        <v>0</v>
      </c>
      <c r="U16" s="180">
        <f>订货1!AT17</f>
        <v>0</v>
      </c>
      <c r="V16" s="180">
        <f>订货1!AU17</f>
        <v>0</v>
      </c>
      <c r="W16" s="180">
        <f>订货1!AV17</f>
        <v>0</v>
      </c>
      <c r="X16" s="180">
        <f>订货1!AW17</f>
        <v>0</v>
      </c>
      <c r="Y16" s="180">
        <f>订货1!AX17</f>
        <v>0</v>
      </c>
      <c r="Z16" s="180">
        <f>订货1!AY17</f>
        <v>0</v>
      </c>
      <c r="AA16" s="180">
        <f>订货1!AZ17</f>
        <v>0</v>
      </c>
      <c r="AB16" s="180">
        <f>订货1!BA17</f>
        <v>0</v>
      </c>
      <c r="AC16" s="180">
        <f>订货1!BB17</f>
        <v>0</v>
      </c>
      <c r="AD16" s="180">
        <f>订货1!BC17</f>
        <v>0</v>
      </c>
      <c r="AE16" s="180">
        <f>订货1!BD17</f>
        <v>0</v>
      </c>
      <c r="AF16" s="180">
        <f>订货1!BE17</f>
        <v>0</v>
      </c>
      <c r="AG16" s="180">
        <f>订货1!BF17</f>
        <v>0</v>
      </c>
      <c r="AH16" s="176"/>
      <c r="AI16" s="178" t="e">
        <f>店铺收货台帐2!DE17</f>
        <v>#DIV/0!</v>
      </c>
    </row>
    <row r="17" spans="1:35" hidden="1">
      <c r="A17" s="37">
        <f>订货1!K18</f>
        <v>201276</v>
      </c>
      <c r="B17" s="37" t="str">
        <f>订货1!M18</f>
        <v>白糖包</v>
      </c>
      <c r="C17" s="180">
        <f>订货1!AB18</f>
        <v>0</v>
      </c>
      <c r="D17" s="180">
        <f>订货1!AC18</f>
        <v>0</v>
      </c>
      <c r="E17" s="180">
        <f>订货1!AD18</f>
        <v>0</v>
      </c>
      <c r="F17" s="180">
        <f>订货1!AE18</f>
        <v>0</v>
      </c>
      <c r="G17" s="180">
        <f>订货1!AF18</f>
        <v>0</v>
      </c>
      <c r="H17" s="180">
        <f>订货1!AG18</f>
        <v>0</v>
      </c>
      <c r="I17" s="180">
        <f>订货1!AH18</f>
        <v>0</v>
      </c>
      <c r="J17" s="180">
        <f>订货1!AI18</f>
        <v>0</v>
      </c>
      <c r="K17" s="180">
        <f>订货1!AJ18</f>
        <v>0</v>
      </c>
      <c r="L17" s="180">
        <f>订货1!AK18</f>
        <v>0</v>
      </c>
      <c r="M17" s="180">
        <f>订货1!AL18</f>
        <v>0</v>
      </c>
      <c r="N17" s="180">
        <f>订货1!AM18</f>
        <v>1</v>
      </c>
      <c r="O17" s="180">
        <f>订货1!AN18</f>
        <v>0</v>
      </c>
      <c r="P17" s="180">
        <f>订货1!AO18</f>
        <v>0</v>
      </c>
      <c r="Q17" s="180">
        <f>订货1!AP18</f>
        <v>0</v>
      </c>
      <c r="R17" s="180">
        <f>订货1!AQ18</f>
        <v>0</v>
      </c>
      <c r="S17" s="180">
        <f>订货1!AR18</f>
        <v>0</v>
      </c>
      <c r="T17" s="180">
        <f>订货1!AS18</f>
        <v>0</v>
      </c>
      <c r="U17" s="180">
        <f>订货1!AT18</f>
        <v>0</v>
      </c>
      <c r="V17" s="180">
        <f>订货1!AU18</f>
        <v>0</v>
      </c>
      <c r="W17" s="180">
        <f>订货1!AV18</f>
        <v>0</v>
      </c>
      <c r="X17" s="180">
        <f>订货1!AW18</f>
        <v>0</v>
      </c>
      <c r="Y17" s="180">
        <f>订货1!AX18</f>
        <v>0</v>
      </c>
      <c r="Z17" s="180">
        <f>订货1!AY18</f>
        <v>0</v>
      </c>
      <c r="AA17" s="180">
        <f>订货1!AZ18</f>
        <v>0</v>
      </c>
      <c r="AB17" s="180">
        <f>订货1!BA18</f>
        <v>0</v>
      </c>
      <c r="AC17" s="180">
        <f>订货1!BB18</f>
        <v>0</v>
      </c>
      <c r="AD17" s="180">
        <f>订货1!BC18</f>
        <v>0</v>
      </c>
      <c r="AE17" s="180">
        <f>订货1!BD18</f>
        <v>0</v>
      </c>
      <c r="AF17" s="180">
        <f>订货1!BE18</f>
        <v>0</v>
      </c>
      <c r="AG17" s="180">
        <f>订货1!BF18</f>
        <v>0</v>
      </c>
      <c r="AH17" s="176"/>
      <c r="AI17" s="178" t="e">
        <f>店铺收货台帐2!DE18</f>
        <v>#DIV/0!</v>
      </c>
    </row>
    <row r="18" spans="1:35" hidden="1">
      <c r="A18" s="37">
        <f>订货1!K19</f>
        <v>101650</v>
      </c>
      <c r="B18" s="37" t="str">
        <f>订货1!M19</f>
        <v>干辣椒段</v>
      </c>
      <c r="C18" s="180">
        <f>订货1!AB19</f>
        <v>0</v>
      </c>
      <c r="D18" s="180">
        <f>订货1!AC19</f>
        <v>0</v>
      </c>
      <c r="E18" s="180">
        <f>订货1!AD19</f>
        <v>0</v>
      </c>
      <c r="F18" s="180">
        <f>订货1!AE19</f>
        <v>0</v>
      </c>
      <c r="G18" s="180">
        <f>订货1!AF19</f>
        <v>0</v>
      </c>
      <c r="H18" s="180">
        <f>订货1!AG19</f>
        <v>0</v>
      </c>
      <c r="I18" s="180">
        <f>订货1!AH19</f>
        <v>0</v>
      </c>
      <c r="J18" s="180">
        <f>订货1!AI19</f>
        <v>0</v>
      </c>
      <c r="K18" s="180">
        <f>订货1!AJ19</f>
        <v>0</v>
      </c>
      <c r="L18" s="180">
        <f>订货1!AK19</f>
        <v>0</v>
      </c>
      <c r="M18" s="180">
        <f>订货1!AL19</f>
        <v>0</v>
      </c>
      <c r="N18" s="180">
        <f>订货1!AM19</f>
        <v>1</v>
      </c>
      <c r="O18" s="180">
        <f>订货1!AN19</f>
        <v>0</v>
      </c>
      <c r="P18" s="180">
        <f>订货1!AO19</f>
        <v>0</v>
      </c>
      <c r="Q18" s="180">
        <f>订货1!AP19</f>
        <v>0</v>
      </c>
      <c r="R18" s="180">
        <f>订货1!AQ19</f>
        <v>0</v>
      </c>
      <c r="S18" s="180">
        <f>订货1!AR19</f>
        <v>0</v>
      </c>
      <c r="T18" s="180">
        <f>订货1!AS19</f>
        <v>0</v>
      </c>
      <c r="U18" s="180">
        <f>订货1!AT19</f>
        <v>0</v>
      </c>
      <c r="V18" s="180">
        <f>订货1!AU19</f>
        <v>0</v>
      </c>
      <c r="W18" s="180">
        <f>订货1!AV19</f>
        <v>0</v>
      </c>
      <c r="X18" s="180">
        <f>订货1!AW19</f>
        <v>0</v>
      </c>
      <c r="Y18" s="180">
        <f>订货1!AX19</f>
        <v>0</v>
      </c>
      <c r="Z18" s="180">
        <f>订货1!AY19</f>
        <v>0</v>
      </c>
      <c r="AA18" s="180">
        <f>订货1!AZ19</f>
        <v>0</v>
      </c>
      <c r="AB18" s="180">
        <f>订货1!BA19</f>
        <v>0</v>
      </c>
      <c r="AC18" s="180">
        <f>订货1!BB19</f>
        <v>0</v>
      </c>
      <c r="AD18" s="180">
        <f>订货1!BC19</f>
        <v>0</v>
      </c>
      <c r="AE18" s="180">
        <f>订货1!BD19</f>
        <v>0</v>
      </c>
      <c r="AF18" s="180">
        <f>订货1!BE19</f>
        <v>0</v>
      </c>
      <c r="AG18" s="180">
        <f>订货1!BF19</f>
        <v>0</v>
      </c>
      <c r="AH18" s="176"/>
      <c r="AI18" s="178" t="e">
        <f>店铺收货台帐2!DE19</f>
        <v>#DIV/0!</v>
      </c>
    </row>
    <row r="19" spans="1:35" hidden="1">
      <c r="A19" s="37">
        <f>订货1!K20</f>
        <v>101025</v>
      </c>
      <c r="B19" s="37" t="str">
        <f>订货1!M20</f>
        <v>大蒜黄油</v>
      </c>
      <c r="C19" s="180">
        <f>订货1!AB20</f>
        <v>0</v>
      </c>
      <c r="D19" s="180">
        <f>订货1!AC20</f>
        <v>0</v>
      </c>
      <c r="E19" s="180">
        <f>订货1!AD20</f>
        <v>0</v>
      </c>
      <c r="F19" s="180">
        <f>订货1!AE20</f>
        <v>0</v>
      </c>
      <c r="G19" s="180">
        <f>订货1!AF20</f>
        <v>0</v>
      </c>
      <c r="H19" s="180">
        <f>订货1!AG20</f>
        <v>0</v>
      </c>
      <c r="I19" s="180">
        <f>订货1!AH20</f>
        <v>0</v>
      </c>
      <c r="J19" s="180">
        <f>订货1!AI20</f>
        <v>0</v>
      </c>
      <c r="K19" s="180">
        <f>订货1!AJ20</f>
        <v>0</v>
      </c>
      <c r="L19" s="180">
        <f>订货1!AK20</f>
        <v>0</v>
      </c>
      <c r="M19" s="180">
        <f>订货1!AL20</f>
        <v>0</v>
      </c>
      <c r="N19" s="180">
        <f>订货1!AM20</f>
        <v>0</v>
      </c>
      <c r="O19" s="180">
        <f>订货1!AN20</f>
        <v>0</v>
      </c>
      <c r="P19" s="180">
        <f>订货1!AO20</f>
        <v>0</v>
      </c>
      <c r="Q19" s="180">
        <f>订货1!AP20</f>
        <v>0</v>
      </c>
      <c r="R19" s="180">
        <f>订货1!AQ20</f>
        <v>0</v>
      </c>
      <c r="S19" s="180">
        <f>订货1!AR20</f>
        <v>0</v>
      </c>
      <c r="T19" s="180">
        <f>订货1!AS20</f>
        <v>0</v>
      </c>
      <c r="U19" s="180">
        <f>订货1!AT20</f>
        <v>0</v>
      </c>
      <c r="V19" s="180">
        <f>订货1!AU20</f>
        <v>0</v>
      </c>
      <c r="W19" s="180">
        <f>订货1!AV20</f>
        <v>0</v>
      </c>
      <c r="X19" s="180">
        <f>订货1!AW20</f>
        <v>0</v>
      </c>
      <c r="Y19" s="180">
        <f>订货1!AX20</f>
        <v>0</v>
      </c>
      <c r="Z19" s="180">
        <f>订货1!AY20</f>
        <v>0</v>
      </c>
      <c r="AA19" s="180">
        <f>订货1!AZ20</f>
        <v>0</v>
      </c>
      <c r="AB19" s="180">
        <f>订货1!BA20</f>
        <v>0</v>
      </c>
      <c r="AC19" s="180">
        <f>订货1!BB20</f>
        <v>0</v>
      </c>
      <c r="AD19" s="180">
        <f>订货1!BC20</f>
        <v>0</v>
      </c>
      <c r="AE19" s="180">
        <f>订货1!BD20</f>
        <v>0</v>
      </c>
      <c r="AF19" s="180">
        <f>订货1!BE20</f>
        <v>0</v>
      </c>
      <c r="AG19" s="180">
        <f>订货1!BF20</f>
        <v>0</v>
      </c>
      <c r="AH19" s="176"/>
      <c r="AI19" s="178" t="e">
        <f>店铺收货台帐2!DE20</f>
        <v>#DIV/0!</v>
      </c>
    </row>
    <row r="20" spans="1:35" hidden="1">
      <c r="A20" s="37">
        <f>订货1!K21</f>
        <v>101027</v>
      </c>
      <c r="B20" s="37" t="str">
        <f>订货1!M21</f>
        <v>酱蒜汁</v>
      </c>
      <c r="C20" s="180">
        <f>订货1!AB21</f>
        <v>0</v>
      </c>
      <c r="D20" s="180">
        <f>订货1!AC21</f>
        <v>0</v>
      </c>
      <c r="E20" s="180">
        <f>订货1!AD21</f>
        <v>0</v>
      </c>
      <c r="F20" s="180">
        <f>订货1!AE21</f>
        <v>0</v>
      </c>
      <c r="G20" s="180">
        <f>订货1!AF21</f>
        <v>0</v>
      </c>
      <c r="H20" s="180">
        <f>订货1!AG21</f>
        <v>0</v>
      </c>
      <c r="I20" s="180">
        <f>订货1!AH21</f>
        <v>1</v>
      </c>
      <c r="J20" s="180">
        <f>订货1!AI21</f>
        <v>0</v>
      </c>
      <c r="K20" s="180">
        <f>订货1!AJ21</f>
        <v>0</v>
      </c>
      <c r="L20" s="180">
        <f>订货1!AK21</f>
        <v>0</v>
      </c>
      <c r="M20" s="180">
        <f>订货1!AL21</f>
        <v>0</v>
      </c>
      <c r="N20" s="180">
        <f>订货1!AM21</f>
        <v>0</v>
      </c>
      <c r="O20" s="180">
        <f>订货1!AN21</f>
        <v>0</v>
      </c>
      <c r="P20" s="180">
        <f>订货1!AO21</f>
        <v>0</v>
      </c>
      <c r="Q20" s="180">
        <f>订货1!AP21</f>
        <v>0</v>
      </c>
      <c r="R20" s="180">
        <f>订货1!AQ21</f>
        <v>0</v>
      </c>
      <c r="S20" s="180">
        <f>订货1!AR21</f>
        <v>0</v>
      </c>
      <c r="T20" s="180">
        <f>订货1!AS21</f>
        <v>0</v>
      </c>
      <c r="U20" s="180">
        <f>订货1!AT21</f>
        <v>0</v>
      </c>
      <c r="V20" s="180">
        <f>订货1!AU21</f>
        <v>0</v>
      </c>
      <c r="W20" s="180">
        <f>订货1!AV21</f>
        <v>0</v>
      </c>
      <c r="X20" s="180">
        <f>订货1!AW21</f>
        <v>0</v>
      </c>
      <c r="Y20" s="180">
        <f>订货1!AX21</f>
        <v>0</v>
      </c>
      <c r="Z20" s="180">
        <f>订货1!AY21</f>
        <v>0</v>
      </c>
      <c r="AA20" s="180">
        <f>订货1!AZ21</f>
        <v>0</v>
      </c>
      <c r="AB20" s="180">
        <f>订货1!BA21</f>
        <v>0</v>
      </c>
      <c r="AC20" s="180">
        <f>订货1!BB21</f>
        <v>0</v>
      </c>
      <c r="AD20" s="180">
        <f>订货1!BC21</f>
        <v>0</v>
      </c>
      <c r="AE20" s="180">
        <f>订货1!BD21</f>
        <v>0</v>
      </c>
      <c r="AF20" s="180">
        <f>订货1!BE21</f>
        <v>0</v>
      </c>
      <c r="AG20" s="180">
        <f>订货1!BF21</f>
        <v>0</v>
      </c>
      <c r="AH20" s="176"/>
      <c r="AI20" s="178" t="e">
        <f>店铺收货台帐2!DE21</f>
        <v>#DIV/0!</v>
      </c>
    </row>
    <row r="21" spans="1:35" hidden="1">
      <c r="A21" s="37">
        <f>订货1!K22</f>
        <v>101732</v>
      </c>
      <c r="B21" s="37" t="str">
        <f>订货1!M22</f>
        <v>榴莲果肉</v>
      </c>
      <c r="C21" s="180">
        <f>订货1!AB22</f>
        <v>1</v>
      </c>
      <c r="D21" s="180">
        <f>订货1!AC22</f>
        <v>2</v>
      </c>
      <c r="E21" s="180">
        <f>订货1!AD22</f>
        <v>0</v>
      </c>
      <c r="F21" s="180">
        <f>订货1!AE22</f>
        <v>1</v>
      </c>
      <c r="G21" s="180">
        <f>订货1!AF22</f>
        <v>2</v>
      </c>
      <c r="H21" s="180">
        <f>订货1!AG22</f>
        <v>2</v>
      </c>
      <c r="I21" s="180">
        <f>订货1!AH22</f>
        <v>0</v>
      </c>
      <c r="J21" s="180">
        <f>订货1!AI22</f>
        <v>0</v>
      </c>
      <c r="K21" s="180">
        <f>订货1!AJ22</f>
        <v>2</v>
      </c>
      <c r="L21" s="180">
        <f>订货1!AK22</f>
        <v>0</v>
      </c>
      <c r="M21" s="180">
        <f>订货1!AL22</f>
        <v>0</v>
      </c>
      <c r="N21" s="180">
        <f>订货1!AM22</f>
        <v>3</v>
      </c>
      <c r="O21" s="180">
        <f>订货1!AN22</f>
        <v>2</v>
      </c>
      <c r="P21" s="180">
        <f>订货1!AO22</f>
        <v>1</v>
      </c>
      <c r="Q21" s="180">
        <f>订货1!AP22</f>
        <v>0</v>
      </c>
      <c r="R21" s="180">
        <f>订货1!AQ22</f>
        <v>0</v>
      </c>
      <c r="S21" s="180">
        <f>订货1!AR22</f>
        <v>0</v>
      </c>
      <c r="T21" s="180">
        <f>订货1!AS22</f>
        <v>0</v>
      </c>
      <c r="U21" s="180">
        <f>订货1!AT22</f>
        <v>0</v>
      </c>
      <c r="V21" s="180">
        <f>订货1!AU22</f>
        <v>0</v>
      </c>
      <c r="W21" s="180">
        <f>订货1!AV22</f>
        <v>0</v>
      </c>
      <c r="X21" s="180">
        <f>订货1!AW22</f>
        <v>0</v>
      </c>
      <c r="Y21" s="180">
        <f>订货1!AX22</f>
        <v>0</v>
      </c>
      <c r="Z21" s="180">
        <f>订货1!AY22</f>
        <v>0</v>
      </c>
      <c r="AA21" s="180">
        <f>订货1!AZ22</f>
        <v>0</v>
      </c>
      <c r="AB21" s="180">
        <f>订货1!BA22</f>
        <v>0</v>
      </c>
      <c r="AC21" s="180">
        <f>订货1!BB22</f>
        <v>0</v>
      </c>
      <c r="AD21" s="180">
        <f>订货1!BC22</f>
        <v>0</v>
      </c>
      <c r="AE21" s="180">
        <f>订货1!BD22</f>
        <v>0</v>
      </c>
      <c r="AF21" s="180">
        <f>订货1!BE22</f>
        <v>0</v>
      </c>
      <c r="AG21" s="180">
        <f>订货1!BF22</f>
        <v>0</v>
      </c>
      <c r="AH21" s="176"/>
      <c r="AI21" s="178" t="e">
        <f>店铺收货台帐2!DE22</f>
        <v>#DIV/0!</v>
      </c>
    </row>
    <row r="22" spans="1:35" hidden="1">
      <c r="A22" s="37">
        <f>订货1!K23</f>
        <v>101617</v>
      </c>
      <c r="B22" s="37" t="str">
        <f>订货1!M23</f>
        <v>冻鱿鱼</v>
      </c>
      <c r="C22" s="180">
        <f>订货1!AB23</f>
        <v>0</v>
      </c>
      <c r="D22" s="180">
        <f>订货1!AC23</f>
        <v>0</v>
      </c>
      <c r="E22" s="180">
        <f>订货1!AD23</f>
        <v>0</v>
      </c>
      <c r="F22" s="180">
        <f>订货1!AE23</f>
        <v>0</v>
      </c>
      <c r="G22" s="180">
        <f>订货1!AF23</f>
        <v>1</v>
      </c>
      <c r="H22" s="180">
        <f>订货1!AG23</f>
        <v>0</v>
      </c>
      <c r="I22" s="180">
        <f>订货1!AH23</f>
        <v>0</v>
      </c>
      <c r="J22" s="180">
        <f>订货1!AI23</f>
        <v>0</v>
      </c>
      <c r="K22" s="180">
        <f>订货1!AJ23</f>
        <v>1</v>
      </c>
      <c r="L22" s="180">
        <f>订货1!AK23</f>
        <v>0</v>
      </c>
      <c r="M22" s="180">
        <f>订货1!AL23</f>
        <v>0</v>
      </c>
      <c r="N22" s="180">
        <f>订货1!AM23</f>
        <v>1</v>
      </c>
      <c r="O22" s="180">
        <f>订货1!AN23</f>
        <v>0</v>
      </c>
      <c r="P22" s="180">
        <f>订货1!AO23</f>
        <v>1</v>
      </c>
      <c r="Q22" s="180">
        <f>订货1!AP23</f>
        <v>0</v>
      </c>
      <c r="R22" s="180">
        <f>订货1!AQ23</f>
        <v>0</v>
      </c>
      <c r="S22" s="180">
        <f>订货1!AR23</f>
        <v>0</v>
      </c>
      <c r="T22" s="180">
        <f>订货1!AS23</f>
        <v>0</v>
      </c>
      <c r="U22" s="180">
        <f>订货1!AT23</f>
        <v>0</v>
      </c>
      <c r="V22" s="180">
        <f>订货1!AU23</f>
        <v>0</v>
      </c>
      <c r="W22" s="180">
        <f>订货1!AV23</f>
        <v>0</v>
      </c>
      <c r="X22" s="180">
        <f>订货1!AW23</f>
        <v>0</v>
      </c>
      <c r="Y22" s="180">
        <f>订货1!AX23</f>
        <v>0</v>
      </c>
      <c r="Z22" s="180">
        <f>订货1!AY23</f>
        <v>0</v>
      </c>
      <c r="AA22" s="180">
        <f>订货1!AZ23</f>
        <v>0</v>
      </c>
      <c r="AB22" s="180">
        <f>订货1!BA23</f>
        <v>0</v>
      </c>
      <c r="AC22" s="180">
        <f>订货1!BB23</f>
        <v>0</v>
      </c>
      <c r="AD22" s="180">
        <f>订货1!BC23</f>
        <v>0</v>
      </c>
      <c r="AE22" s="180">
        <f>订货1!BD23</f>
        <v>0</v>
      </c>
      <c r="AF22" s="180">
        <f>订货1!BE23</f>
        <v>0</v>
      </c>
      <c r="AG22" s="180">
        <f>订货1!BF23</f>
        <v>0</v>
      </c>
      <c r="AH22" s="176"/>
      <c r="AI22" s="178" t="e">
        <f>店铺收货台帐2!DE23</f>
        <v>#DIV/0!</v>
      </c>
    </row>
    <row r="23" spans="1:35" hidden="1">
      <c r="A23" s="37">
        <f>订货1!K24</f>
        <v>101030</v>
      </c>
      <c r="B23" s="37" t="str">
        <f>订货1!M24</f>
        <v>海鲜味调味汁</v>
      </c>
      <c r="C23" s="180">
        <f>订货1!AB24</f>
        <v>0</v>
      </c>
      <c r="D23" s="180">
        <f>订货1!AC24</f>
        <v>0</v>
      </c>
      <c r="E23" s="180">
        <f>订货1!AD24</f>
        <v>0</v>
      </c>
      <c r="F23" s="180">
        <f>订货1!AE24</f>
        <v>0</v>
      </c>
      <c r="G23" s="180">
        <f>订货1!AF24</f>
        <v>0</v>
      </c>
      <c r="H23" s="180">
        <f>订货1!AG24</f>
        <v>1</v>
      </c>
      <c r="I23" s="180">
        <f>订货1!AH24</f>
        <v>0</v>
      </c>
      <c r="J23" s="180">
        <f>订货1!AI24</f>
        <v>1</v>
      </c>
      <c r="K23" s="180">
        <f>订货1!AJ24</f>
        <v>0</v>
      </c>
      <c r="L23" s="180">
        <f>订货1!AK24</f>
        <v>0</v>
      </c>
      <c r="M23" s="180">
        <f>订货1!AL24</f>
        <v>0</v>
      </c>
      <c r="N23" s="180">
        <f>订货1!AM24</f>
        <v>0</v>
      </c>
      <c r="O23" s="180">
        <f>订货1!AN24</f>
        <v>1</v>
      </c>
      <c r="P23" s="180">
        <f>订货1!AO24</f>
        <v>0</v>
      </c>
      <c r="Q23" s="180">
        <f>订货1!AP24</f>
        <v>0</v>
      </c>
      <c r="R23" s="180">
        <f>订货1!AQ24</f>
        <v>0</v>
      </c>
      <c r="S23" s="180">
        <f>订货1!AR24</f>
        <v>0</v>
      </c>
      <c r="T23" s="180">
        <f>订货1!AS24</f>
        <v>0</v>
      </c>
      <c r="U23" s="180">
        <f>订货1!AT24</f>
        <v>0</v>
      </c>
      <c r="V23" s="180">
        <f>订货1!AU24</f>
        <v>0</v>
      </c>
      <c r="W23" s="180">
        <f>订货1!AV24</f>
        <v>0</v>
      </c>
      <c r="X23" s="180">
        <f>订货1!AW24</f>
        <v>0</v>
      </c>
      <c r="Y23" s="180">
        <f>订货1!AX24</f>
        <v>0</v>
      </c>
      <c r="Z23" s="180">
        <f>订货1!AY24</f>
        <v>0</v>
      </c>
      <c r="AA23" s="180">
        <f>订货1!AZ24</f>
        <v>0</v>
      </c>
      <c r="AB23" s="180">
        <f>订货1!BA24</f>
        <v>0</v>
      </c>
      <c r="AC23" s="180">
        <f>订货1!BB24</f>
        <v>0</v>
      </c>
      <c r="AD23" s="180">
        <f>订货1!BC24</f>
        <v>0</v>
      </c>
      <c r="AE23" s="180">
        <f>订货1!BD24</f>
        <v>0</v>
      </c>
      <c r="AF23" s="180">
        <f>订货1!BE24</f>
        <v>0</v>
      </c>
      <c r="AG23" s="180">
        <f>订货1!BF24</f>
        <v>0</v>
      </c>
      <c r="AH23" s="176"/>
      <c r="AI23" s="178" t="e">
        <f>店铺收货台帐2!DE24</f>
        <v>#DIV/0!</v>
      </c>
    </row>
    <row r="24" spans="1:35" hidden="1">
      <c r="A24" s="37">
        <f>订货1!K25</f>
        <v>101055</v>
      </c>
      <c r="B24" s="37" t="str">
        <f>订货1!M25</f>
        <v>蔬菜汤</v>
      </c>
      <c r="C24" s="180">
        <f>订货1!AB25</f>
        <v>0</v>
      </c>
      <c r="D24" s="180">
        <f>订货1!AC25</f>
        <v>0</v>
      </c>
      <c r="E24" s="180">
        <f>订货1!AD25</f>
        <v>0</v>
      </c>
      <c r="F24" s="180">
        <f>订货1!AE25</f>
        <v>0</v>
      </c>
      <c r="G24" s="180">
        <f>订货1!AF25</f>
        <v>1</v>
      </c>
      <c r="H24" s="180">
        <f>订货1!AG25</f>
        <v>0</v>
      </c>
      <c r="I24" s="180">
        <f>订货1!AH25</f>
        <v>0</v>
      </c>
      <c r="J24" s="180">
        <f>订货1!AI25</f>
        <v>0</v>
      </c>
      <c r="K24" s="180">
        <f>订货1!AJ25</f>
        <v>0</v>
      </c>
      <c r="L24" s="180">
        <f>订货1!AK25</f>
        <v>0</v>
      </c>
      <c r="M24" s="180">
        <f>订货1!AL25</f>
        <v>0</v>
      </c>
      <c r="N24" s="180">
        <f>订货1!AM25</f>
        <v>1</v>
      </c>
      <c r="O24" s="180">
        <f>订货1!AN25</f>
        <v>0</v>
      </c>
      <c r="P24" s="180">
        <f>订货1!AO25</f>
        <v>0</v>
      </c>
      <c r="Q24" s="180">
        <f>订货1!AP25</f>
        <v>0</v>
      </c>
      <c r="R24" s="180">
        <f>订货1!AQ25</f>
        <v>0</v>
      </c>
      <c r="S24" s="180">
        <f>订货1!AR25</f>
        <v>0</v>
      </c>
      <c r="T24" s="180">
        <f>订货1!AS25</f>
        <v>0</v>
      </c>
      <c r="U24" s="180">
        <f>订货1!AT25</f>
        <v>0</v>
      </c>
      <c r="V24" s="180">
        <f>订货1!AU25</f>
        <v>0</v>
      </c>
      <c r="W24" s="180">
        <f>订货1!AV25</f>
        <v>0</v>
      </c>
      <c r="X24" s="180">
        <f>订货1!AW25</f>
        <v>0</v>
      </c>
      <c r="Y24" s="180">
        <f>订货1!AX25</f>
        <v>0</v>
      </c>
      <c r="Z24" s="180">
        <f>订货1!AY25</f>
        <v>0</v>
      </c>
      <c r="AA24" s="180">
        <f>订货1!AZ25</f>
        <v>0</v>
      </c>
      <c r="AB24" s="180">
        <f>订货1!BA25</f>
        <v>0</v>
      </c>
      <c r="AC24" s="180">
        <f>订货1!BB25</f>
        <v>0</v>
      </c>
      <c r="AD24" s="180">
        <f>订货1!BC25</f>
        <v>0</v>
      </c>
      <c r="AE24" s="180">
        <f>订货1!BD25</f>
        <v>0</v>
      </c>
      <c r="AF24" s="180">
        <f>订货1!BE25</f>
        <v>0</v>
      </c>
      <c r="AG24" s="180">
        <f>订货1!BF25</f>
        <v>0</v>
      </c>
      <c r="AH24" s="176"/>
      <c r="AI24" s="178" t="e">
        <f>店铺收货台帐2!DE25</f>
        <v>#DIV/0!</v>
      </c>
    </row>
    <row r="25" spans="1:35" hidden="1">
      <c r="A25" s="37">
        <f>订货1!K26</f>
        <v>101597</v>
      </c>
      <c r="B25" s="37" t="str">
        <f>订货1!M26</f>
        <v>黑胡椒酱</v>
      </c>
      <c r="C25" s="180">
        <f>订货1!AB26</f>
        <v>0</v>
      </c>
      <c r="D25" s="180">
        <f>订货1!AC26</f>
        <v>0</v>
      </c>
      <c r="E25" s="180">
        <f>订货1!AD26</f>
        <v>0</v>
      </c>
      <c r="F25" s="180">
        <f>订货1!AE26</f>
        <v>0</v>
      </c>
      <c r="G25" s="180">
        <f>订货1!AF26</f>
        <v>0</v>
      </c>
      <c r="H25" s="180">
        <f>订货1!AG26</f>
        <v>1</v>
      </c>
      <c r="I25" s="180">
        <f>订货1!AH26</f>
        <v>0</v>
      </c>
      <c r="J25" s="180">
        <f>订货1!AI26</f>
        <v>0</v>
      </c>
      <c r="K25" s="180">
        <f>订货1!AJ26</f>
        <v>0</v>
      </c>
      <c r="L25" s="180">
        <f>订货1!AK26</f>
        <v>0</v>
      </c>
      <c r="M25" s="180">
        <f>订货1!AL26</f>
        <v>0</v>
      </c>
      <c r="N25" s="180">
        <f>订货1!AM26</f>
        <v>1</v>
      </c>
      <c r="O25" s="180">
        <f>订货1!AN26</f>
        <v>0</v>
      </c>
      <c r="P25" s="180">
        <f>订货1!AO26</f>
        <v>0</v>
      </c>
      <c r="Q25" s="180">
        <f>订货1!AP26</f>
        <v>0</v>
      </c>
      <c r="R25" s="180">
        <f>订货1!AQ26</f>
        <v>0</v>
      </c>
      <c r="S25" s="180">
        <f>订货1!AR26</f>
        <v>0</v>
      </c>
      <c r="T25" s="180">
        <f>订货1!AS26</f>
        <v>0</v>
      </c>
      <c r="U25" s="180">
        <f>订货1!AT26</f>
        <v>0</v>
      </c>
      <c r="V25" s="180">
        <f>订货1!AU26</f>
        <v>0</v>
      </c>
      <c r="W25" s="180">
        <f>订货1!AV26</f>
        <v>0</v>
      </c>
      <c r="X25" s="180">
        <f>订货1!AW26</f>
        <v>0</v>
      </c>
      <c r="Y25" s="180">
        <f>订货1!AX26</f>
        <v>0</v>
      </c>
      <c r="Z25" s="180">
        <f>订货1!AY26</f>
        <v>0</v>
      </c>
      <c r="AA25" s="180">
        <f>订货1!AZ26</f>
        <v>0</v>
      </c>
      <c r="AB25" s="180">
        <f>订货1!BA26</f>
        <v>0</v>
      </c>
      <c r="AC25" s="180">
        <f>订货1!BB26</f>
        <v>0</v>
      </c>
      <c r="AD25" s="180">
        <f>订货1!BC26</f>
        <v>0</v>
      </c>
      <c r="AE25" s="180">
        <f>订货1!BD26</f>
        <v>0</v>
      </c>
      <c r="AF25" s="180">
        <f>订货1!BE26</f>
        <v>0</v>
      </c>
      <c r="AG25" s="180">
        <f>订货1!BF26</f>
        <v>0</v>
      </c>
      <c r="AH25" s="176"/>
      <c r="AI25" s="178" t="e">
        <f>店铺收货台帐2!DE26</f>
        <v>#DIV/0!</v>
      </c>
    </row>
    <row r="26" spans="1:35" hidden="1">
      <c r="A26" s="37">
        <f>订货1!K27</f>
        <v>101769</v>
      </c>
      <c r="B26" s="37" t="str">
        <f>订货1!M27</f>
        <v>扁可颂面包</v>
      </c>
      <c r="C26" s="180">
        <f>订货1!AB27</f>
        <v>0</v>
      </c>
      <c r="D26" s="180">
        <f>订货1!AC27</f>
        <v>0</v>
      </c>
      <c r="E26" s="180">
        <f>订货1!AD27</f>
        <v>0</v>
      </c>
      <c r="F26" s="180">
        <f>订货1!AE27</f>
        <v>0</v>
      </c>
      <c r="G26" s="180">
        <f>订货1!AF27</f>
        <v>0</v>
      </c>
      <c r="H26" s="180">
        <f>订货1!AG27</f>
        <v>0</v>
      </c>
      <c r="I26" s="180">
        <f>订货1!AH27</f>
        <v>0</v>
      </c>
      <c r="J26" s="180">
        <f>订货1!AI27</f>
        <v>0</v>
      </c>
      <c r="K26" s="180">
        <f>订货1!AJ27</f>
        <v>0</v>
      </c>
      <c r="L26" s="180">
        <f>订货1!AK27</f>
        <v>0</v>
      </c>
      <c r="M26" s="180">
        <f>订货1!AL27</f>
        <v>0</v>
      </c>
      <c r="N26" s="180">
        <f>订货1!AM27</f>
        <v>0</v>
      </c>
      <c r="O26" s="180">
        <f>订货1!AN27</f>
        <v>0</v>
      </c>
      <c r="P26" s="180">
        <f>订货1!AO27</f>
        <v>0</v>
      </c>
      <c r="Q26" s="180">
        <f>订货1!AP27</f>
        <v>0</v>
      </c>
      <c r="R26" s="180">
        <f>订货1!AQ27</f>
        <v>0</v>
      </c>
      <c r="S26" s="180">
        <f>订货1!AR27</f>
        <v>0</v>
      </c>
      <c r="T26" s="180">
        <f>订货1!AS27</f>
        <v>0</v>
      </c>
      <c r="U26" s="180">
        <f>订货1!AT27</f>
        <v>0</v>
      </c>
      <c r="V26" s="180">
        <f>订货1!AU27</f>
        <v>0</v>
      </c>
      <c r="W26" s="180">
        <f>订货1!AV27</f>
        <v>0</v>
      </c>
      <c r="X26" s="180">
        <f>订货1!AW27</f>
        <v>0</v>
      </c>
      <c r="Y26" s="180">
        <f>订货1!AX27</f>
        <v>0</v>
      </c>
      <c r="Z26" s="180">
        <f>订货1!AY27</f>
        <v>0</v>
      </c>
      <c r="AA26" s="180">
        <f>订货1!AZ27</f>
        <v>0</v>
      </c>
      <c r="AB26" s="180">
        <f>订货1!BA27</f>
        <v>0</v>
      </c>
      <c r="AC26" s="180">
        <f>订货1!BB27</f>
        <v>0</v>
      </c>
      <c r="AD26" s="180">
        <f>订货1!BC27</f>
        <v>0</v>
      </c>
      <c r="AE26" s="180">
        <f>订货1!BD27</f>
        <v>0</v>
      </c>
      <c r="AF26" s="180">
        <f>订货1!BE27</f>
        <v>0</v>
      </c>
      <c r="AG26" s="180">
        <f>订货1!BF27</f>
        <v>0</v>
      </c>
      <c r="AH26" s="176"/>
      <c r="AI26" s="178" t="e">
        <f>店铺收货台帐2!DE27</f>
        <v>#DIV/0!</v>
      </c>
    </row>
    <row r="27" spans="1:35" hidden="1">
      <c r="A27" s="37">
        <f>订货1!K28</f>
        <v>101508</v>
      </c>
      <c r="B27" s="37" t="str">
        <f>订货1!M28</f>
        <v>肉酱</v>
      </c>
      <c r="C27" s="180">
        <f>订货1!AB28</f>
        <v>0</v>
      </c>
      <c r="D27" s="180">
        <f>订货1!AC28</f>
        <v>0</v>
      </c>
      <c r="E27" s="180">
        <f>订货1!AD28</f>
        <v>0</v>
      </c>
      <c r="F27" s="180">
        <f>订货1!AE28</f>
        <v>0</v>
      </c>
      <c r="G27" s="180">
        <f>订货1!AF28</f>
        <v>0</v>
      </c>
      <c r="H27" s="180">
        <f>订货1!AG28</f>
        <v>0</v>
      </c>
      <c r="I27" s="180">
        <f>订货1!AH28</f>
        <v>0</v>
      </c>
      <c r="J27" s="180">
        <f>订货1!AI28</f>
        <v>0</v>
      </c>
      <c r="K27" s="180">
        <f>订货1!AJ28</f>
        <v>0</v>
      </c>
      <c r="L27" s="180">
        <f>订货1!AK28</f>
        <v>0</v>
      </c>
      <c r="M27" s="180">
        <f>订货1!AL28</f>
        <v>0</v>
      </c>
      <c r="N27" s="180">
        <f>订货1!AM28</f>
        <v>0</v>
      </c>
      <c r="O27" s="180">
        <f>订货1!AN28</f>
        <v>0</v>
      </c>
      <c r="P27" s="180">
        <f>订货1!AO28</f>
        <v>0</v>
      </c>
      <c r="Q27" s="180">
        <f>订货1!AP28</f>
        <v>0</v>
      </c>
      <c r="R27" s="180">
        <f>订货1!AQ28</f>
        <v>0</v>
      </c>
      <c r="S27" s="180">
        <f>订货1!AR28</f>
        <v>0</v>
      </c>
      <c r="T27" s="180">
        <f>订货1!AS28</f>
        <v>0</v>
      </c>
      <c r="U27" s="180">
        <f>订货1!AT28</f>
        <v>0</v>
      </c>
      <c r="V27" s="180">
        <f>订货1!AU28</f>
        <v>0</v>
      </c>
      <c r="W27" s="180">
        <f>订货1!AV28</f>
        <v>0</v>
      </c>
      <c r="X27" s="180">
        <f>订货1!AW28</f>
        <v>0</v>
      </c>
      <c r="Y27" s="180">
        <f>订货1!AX28</f>
        <v>0</v>
      </c>
      <c r="Z27" s="180">
        <f>订货1!AY28</f>
        <v>0</v>
      </c>
      <c r="AA27" s="180">
        <f>订货1!AZ28</f>
        <v>0</v>
      </c>
      <c r="AB27" s="180">
        <f>订货1!BA28</f>
        <v>0</v>
      </c>
      <c r="AC27" s="180">
        <f>订货1!BB28</f>
        <v>0</v>
      </c>
      <c r="AD27" s="180">
        <f>订货1!BC28</f>
        <v>0</v>
      </c>
      <c r="AE27" s="180">
        <f>订货1!BD28</f>
        <v>0</v>
      </c>
      <c r="AF27" s="180">
        <f>订货1!BE28</f>
        <v>0</v>
      </c>
      <c r="AG27" s="180">
        <f>订货1!BF28</f>
        <v>0</v>
      </c>
      <c r="AH27" s="176"/>
      <c r="AI27" s="178" t="e">
        <f>店铺收货台帐2!DE28</f>
        <v>#DIV/0!</v>
      </c>
    </row>
    <row r="28" spans="1:35" hidden="1">
      <c r="A28" s="37">
        <f>订货1!K29</f>
        <v>101347</v>
      </c>
      <c r="B28" s="37" t="str">
        <f>订货1!M29</f>
        <v>雪碧糖浆</v>
      </c>
      <c r="C28" s="180">
        <f>订货1!AB29</f>
        <v>1</v>
      </c>
      <c r="D28" s="180">
        <f>订货1!AC29</f>
        <v>0</v>
      </c>
      <c r="E28" s="180">
        <f>订货1!AD29</f>
        <v>0</v>
      </c>
      <c r="F28" s="180">
        <f>订货1!AE29</f>
        <v>0</v>
      </c>
      <c r="G28" s="180">
        <f>订货1!AF29</f>
        <v>0</v>
      </c>
      <c r="H28" s="180">
        <f>订货1!AG29</f>
        <v>0</v>
      </c>
      <c r="I28" s="180">
        <f>订货1!AH29</f>
        <v>0</v>
      </c>
      <c r="J28" s="180">
        <f>订货1!AI29</f>
        <v>1</v>
      </c>
      <c r="K28" s="180">
        <f>订货1!AJ29</f>
        <v>0</v>
      </c>
      <c r="L28" s="180">
        <f>订货1!AK29</f>
        <v>0</v>
      </c>
      <c r="M28" s="180">
        <f>订货1!AL29</f>
        <v>0</v>
      </c>
      <c r="N28" s="180">
        <f>订货1!AM29</f>
        <v>0</v>
      </c>
      <c r="O28" s="180">
        <f>订货1!AN29</f>
        <v>0</v>
      </c>
      <c r="P28" s="180">
        <f>订货1!AO29</f>
        <v>0</v>
      </c>
      <c r="Q28" s="180">
        <f>订货1!AP29</f>
        <v>0</v>
      </c>
      <c r="R28" s="180">
        <f>订货1!AQ29</f>
        <v>0</v>
      </c>
      <c r="S28" s="180">
        <f>订货1!AR29</f>
        <v>0</v>
      </c>
      <c r="T28" s="180">
        <f>订货1!AS29</f>
        <v>0</v>
      </c>
      <c r="U28" s="180">
        <f>订货1!AT29</f>
        <v>0</v>
      </c>
      <c r="V28" s="180">
        <f>订货1!AU29</f>
        <v>0</v>
      </c>
      <c r="W28" s="180">
        <f>订货1!AV29</f>
        <v>0</v>
      </c>
      <c r="X28" s="180">
        <f>订货1!AW29</f>
        <v>0</v>
      </c>
      <c r="Y28" s="180">
        <f>订货1!AX29</f>
        <v>0</v>
      </c>
      <c r="Z28" s="180">
        <f>订货1!AY29</f>
        <v>0</v>
      </c>
      <c r="AA28" s="180">
        <f>订货1!AZ29</f>
        <v>0</v>
      </c>
      <c r="AB28" s="180">
        <f>订货1!BA29</f>
        <v>0</v>
      </c>
      <c r="AC28" s="180">
        <f>订货1!BB29</f>
        <v>0</v>
      </c>
      <c r="AD28" s="180">
        <f>订货1!BC29</f>
        <v>0</v>
      </c>
      <c r="AE28" s="180">
        <f>订货1!BD29</f>
        <v>0</v>
      </c>
      <c r="AF28" s="180">
        <f>订货1!BE29</f>
        <v>0</v>
      </c>
      <c r="AG28" s="180">
        <f>订货1!BF29</f>
        <v>0</v>
      </c>
      <c r="AH28" s="176"/>
      <c r="AI28" s="178" t="e">
        <f>店铺收货台帐2!DE29</f>
        <v>#DIV/0!</v>
      </c>
    </row>
    <row r="29" spans="1:35" hidden="1">
      <c r="A29" s="37">
        <f>订货1!K30</f>
        <v>101348</v>
      </c>
      <c r="B29" s="37" t="str">
        <f>订货1!M30</f>
        <v>飞想茶糖浆</v>
      </c>
      <c r="C29" s="180">
        <f>订货1!AB30</f>
        <v>1</v>
      </c>
      <c r="D29" s="180">
        <f>订货1!AC30</f>
        <v>0</v>
      </c>
      <c r="E29" s="180">
        <f>订货1!AD30</f>
        <v>0</v>
      </c>
      <c r="F29" s="180">
        <f>订货1!AE30</f>
        <v>0</v>
      </c>
      <c r="G29" s="180">
        <f>订货1!AF30</f>
        <v>0</v>
      </c>
      <c r="H29" s="180">
        <f>订货1!AG30</f>
        <v>0</v>
      </c>
      <c r="I29" s="180">
        <f>订货1!AH30</f>
        <v>0</v>
      </c>
      <c r="J29" s="180">
        <f>订货1!AI30</f>
        <v>0</v>
      </c>
      <c r="K29" s="180">
        <f>订货1!AJ30</f>
        <v>0</v>
      </c>
      <c r="L29" s="180">
        <f>订货1!AK30</f>
        <v>0</v>
      </c>
      <c r="M29" s="180">
        <f>订货1!AL30</f>
        <v>1</v>
      </c>
      <c r="N29" s="180">
        <f>订货1!AM30</f>
        <v>0</v>
      </c>
      <c r="O29" s="180">
        <f>订货1!AN30</f>
        <v>0</v>
      </c>
      <c r="P29" s="180">
        <f>订货1!AO30</f>
        <v>0</v>
      </c>
      <c r="Q29" s="180">
        <f>订货1!AP30</f>
        <v>0</v>
      </c>
      <c r="R29" s="180">
        <f>订货1!AQ30</f>
        <v>0</v>
      </c>
      <c r="S29" s="180">
        <f>订货1!AR30</f>
        <v>0</v>
      </c>
      <c r="T29" s="180">
        <f>订货1!AS30</f>
        <v>0</v>
      </c>
      <c r="U29" s="180">
        <f>订货1!AT30</f>
        <v>0</v>
      </c>
      <c r="V29" s="180">
        <f>订货1!AU30</f>
        <v>0</v>
      </c>
      <c r="W29" s="180">
        <f>订货1!AV30</f>
        <v>0</v>
      </c>
      <c r="X29" s="180">
        <f>订货1!AW30</f>
        <v>0</v>
      </c>
      <c r="Y29" s="180">
        <f>订货1!AX30</f>
        <v>0</v>
      </c>
      <c r="Z29" s="180">
        <f>订货1!AY30</f>
        <v>0</v>
      </c>
      <c r="AA29" s="180">
        <f>订货1!AZ30</f>
        <v>0</v>
      </c>
      <c r="AB29" s="180">
        <f>订货1!BA30</f>
        <v>0</v>
      </c>
      <c r="AC29" s="180">
        <f>订货1!BB30</f>
        <v>0</v>
      </c>
      <c r="AD29" s="180">
        <f>订货1!BC30</f>
        <v>0</v>
      </c>
      <c r="AE29" s="180">
        <f>订货1!BD30</f>
        <v>0</v>
      </c>
      <c r="AF29" s="180">
        <f>订货1!BE30</f>
        <v>0</v>
      </c>
      <c r="AG29" s="180">
        <f>订货1!BF30</f>
        <v>0</v>
      </c>
      <c r="AH29" s="176"/>
      <c r="AI29" s="178" t="e">
        <f>店铺收货台帐2!DE30</f>
        <v>#DIV/0!</v>
      </c>
    </row>
    <row r="30" spans="1:35" hidden="1">
      <c r="A30" s="37">
        <f>订货1!K31</f>
        <v>101355</v>
      </c>
      <c r="B30" s="37" t="str">
        <f>订货1!M31</f>
        <v>可乐糖浆</v>
      </c>
      <c r="C30" s="180">
        <f>订货1!AB31</f>
        <v>0</v>
      </c>
      <c r="D30" s="180">
        <f>订货1!AC31</f>
        <v>0</v>
      </c>
      <c r="E30" s="180">
        <f>订货1!AD31</f>
        <v>0</v>
      </c>
      <c r="F30" s="180">
        <f>订货1!AE31</f>
        <v>1</v>
      </c>
      <c r="G30" s="180">
        <f>订货1!AF31</f>
        <v>0</v>
      </c>
      <c r="H30" s="180">
        <f>订货1!AG31</f>
        <v>0</v>
      </c>
      <c r="I30" s="180">
        <f>订货1!AH31</f>
        <v>0</v>
      </c>
      <c r="J30" s="180">
        <f>订货1!AI31</f>
        <v>0</v>
      </c>
      <c r="K30" s="180">
        <f>订货1!AJ31</f>
        <v>0</v>
      </c>
      <c r="L30" s="180">
        <f>订货1!AK31</f>
        <v>0</v>
      </c>
      <c r="M30" s="180">
        <f>订货1!AL31</f>
        <v>0</v>
      </c>
      <c r="N30" s="180">
        <f>订货1!AM31</f>
        <v>0</v>
      </c>
      <c r="O30" s="180">
        <f>订货1!AN31</f>
        <v>0</v>
      </c>
      <c r="P30" s="180">
        <f>订货1!AO31</f>
        <v>1</v>
      </c>
      <c r="Q30" s="180">
        <f>订货1!AP31</f>
        <v>0</v>
      </c>
      <c r="R30" s="180">
        <f>订货1!AQ31</f>
        <v>0</v>
      </c>
      <c r="S30" s="180">
        <f>订货1!AR31</f>
        <v>0</v>
      </c>
      <c r="T30" s="180">
        <f>订货1!AS31</f>
        <v>0</v>
      </c>
      <c r="U30" s="180">
        <f>订货1!AT31</f>
        <v>0</v>
      </c>
      <c r="V30" s="180">
        <f>订货1!AU31</f>
        <v>0</v>
      </c>
      <c r="W30" s="180">
        <f>订货1!AV31</f>
        <v>0</v>
      </c>
      <c r="X30" s="180">
        <f>订货1!AW31</f>
        <v>0</v>
      </c>
      <c r="Y30" s="180">
        <f>订货1!AX31</f>
        <v>0</v>
      </c>
      <c r="Z30" s="180">
        <f>订货1!AY31</f>
        <v>0</v>
      </c>
      <c r="AA30" s="180">
        <f>订货1!AZ31</f>
        <v>0</v>
      </c>
      <c r="AB30" s="180">
        <f>订货1!BA31</f>
        <v>0</v>
      </c>
      <c r="AC30" s="180">
        <f>订货1!BB31</f>
        <v>0</v>
      </c>
      <c r="AD30" s="180">
        <f>订货1!BC31</f>
        <v>0</v>
      </c>
      <c r="AE30" s="180">
        <f>订货1!BD31</f>
        <v>0</v>
      </c>
      <c r="AF30" s="180">
        <f>订货1!BE31</f>
        <v>0</v>
      </c>
      <c r="AG30" s="180">
        <f>订货1!BF31</f>
        <v>0</v>
      </c>
      <c r="AH30" s="176"/>
      <c r="AI30" s="178" t="e">
        <f>店铺收货台帐2!DE31</f>
        <v>#DIV/0!</v>
      </c>
    </row>
    <row r="31" spans="1:35" hidden="1">
      <c r="A31" s="37">
        <f>订货1!K32</f>
        <v>101356</v>
      </c>
      <c r="B31" s="37" t="str">
        <f>订货1!M32</f>
        <v>芬达糖浆</v>
      </c>
      <c r="C31" s="180">
        <f>订货1!AB32</f>
        <v>0</v>
      </c>
      <c r="D31" s="180">
        <f>订货1!AC32</f>
        <v>0</v>
      </c>
      <c r="E31" s="180">
        <f>订货1!AD32</f>
        <v>0</v>
      </c>
      <c r="F31" s="180">
        <f>订货1!AE32</f>
        <v>0</v>
      </c>
      <c r="G31" s="180">
        <f>订货1!AF32</f>
        <v>0</v>
      </c>
      <c r="H31" s="180">
        <f>订货1!AG32</f>
        <v>0</v>
      </c>
      <c r="I31" s="180">
        <f>订货1!AH32</f>
        <v>1</v>
      </c>
      <c r="J31" s="180">
        <f>订货1!AI32</f>
        <v>0</v>
      </c>
      <c r="K31" s="180">
        <f>订货1!AJ32</f>
        <v>0</v>
      </c>
      <c r="L31" s="180">
        <f>订货1!AK32</f>
        <v>0</v>
      </c>
      <c r="M31" s="180">
        <f>订货1!AL32</f>
        <v>0</v>
      </c>
      <c r="N31" s="180">
        <f>订货1!AM32</f>
        <v>0</v>
      </c>
      <c r="O31" s="180">
        <f>订货1!AN32</f>
        <v>0</v>
      </c>
      <c r="P31" s="180">
        <f>订货1!AO32</f>
        <v>0</v>
      </c>
      <c r="Q31" s="180">
        <f>订货1!AP32</f>
        <v>0</v>
      </c>
      <c r="R31" s="180">
        <f>订货1!AQ32</f>
        <v>0</v>
      </c>
      <c r="S31" s="180">
        <f>订货1!AR32</f>
        <v>0</v>
      </c>
      <c r="T31" s="180">
        <f>订货1!AS32</f>
        <v>0</v>
      </c>
      <c r="U31" s="180">
        <f>订货1!AT32</f>
        <v>0</v>
      </c>
      <c r="V31" s="180">
        <f>订货1!AU32</f>
        <v>0</v>
      </c>
      <c r="W31" s="180">
        <f>订货1!AV32</f>
        <v>0</v>
      </c>
      <c r="X31" s="180">
        <f>订货1!AW32</f>
        <v>0</v>
      </c>
      <c r="Y31" s="180">
        <f>订货1!AX32</f>
        <v>0</v>
      </c>
      <c r="Z31" s="180">
        <f>订货1!AY32</f>
        <v>0</v>
      </c>
      <c r="AA31" s="180">
        <f>订货1!AZ32</f>
        <v>0</v>
      </c>
      <c r="AB31" s="180">
        <f>订货1!BA32</f>
        <v>0</v>
      </c>
      <c r="AC31" s="180">
        <f>订货1!BB32</f>
        <v>0</v>
      </c>
      <c r="AD31" s="180">
        <f>订货1!BC32</f>
        <v>0</v>
      </c>
      <c r="AE31" s="180">
        <f>订货1!BD32</f>
        <v>0</v>
      </c>
      <c r="AF31" s="180">
        <f>订货1!BE32</f>
        <v>0</v>
      </c>
      <c r="AG31" s="180">
        <f>订货1!BF32</f>
        <v>0</v>
      </c>
      <c r="AH31" s="176"/>
      <c r="AI31" s="178" t="e">
        <f>店铺收货台帐2!DE32</f>
        <v>#DIV/0!</v>
      </c>
    </row>
    <row r="32" spans="1:35" hidden="1">
      <c r="A32" s="37">
        <f>订货1!K33</f>
        <v>101483</v>
      </c>
      <c r="B32" s="37" t="str">
        <f>订货1!M33</f>
        <v>柠檬+C糖浆</v>
      </c>
      <c r="C32" s="180">
        <f>订货1!AB33</f>
        <v>0</v>
      </c>
      <c r="D32" s="180">
        <f>订货1!AC33</f>
        <v>0</v>
      </c>
      <c r="E32" s="180">
        <f>订货1!AD33</f>
        <v>0</v>
      </c>
      <c r="F32" s="180">
        <f>订货1!AE33</f>
        <v>0</v>
      </c>
      <c r="G32" s="180">
        <f>订货1!AF33</f>
        <v>1</v>
      </c>
      <c r="H32" s="180">
        <f>订货1!AG33</f>
        <v>0</v>
      </c>
      <c r="I32" s="180">
        <f>订货1!AH33</f>
        <v>0</v>
      </c>
      <c r="J32" s="180">
        <f>订货1!AI33</f>
        <v>0</v>
      </c>
      <c r="K32" s="180">
        <f>订货1!AJ33</f>
        <v>1</v>
      </c>
      <c r="L32" s="180">
        <f>订货1!AK33</f>
        <v>0</v>
      </c>
      <c r="M32" s="180">
        <f>订货1!AL33</f>
        <v>0</v>
      </c>
      <c r="N32" s="180">
        <f>订货1!AM33</f>
        <v>0</v>
      </c>
      <c r="O32" s="180">
        <f>订货1!AN33</f>
        <v>0</v>
      </c>
      <c r="P32" s="180">
        <f>订货1!AO33</f>
        <v>0</v>
      </c>
      <c r="Q32" s="180">
        <f>订货1!AP33</f>
        <v>0</v>
      </c>
      <c r="R32" s="180">
        <f>订货1!AQ33</f>
        <v>0</v>
      </c>
      <c r="S32" s="180">
        <f>订货1!AR33</f>
        <v>0</v>
      </c>
      <c r="T32" s="180">
        <f>订货1!AS33</f>
        <v>0</v>
      </c>
      <c r="U32" s="180">
        <f>订货1!AT33</f>
        <v>0</v>
      </c>
      <c r="V32" s="180">
        <f>订货1!AU33</f>
        <v>0</v>
      </c>
      <c r="W32" s="180">
        <f>订货1!AV33</f>
        <v>0</v>
      </c>
      <c r="X32" s="180">
        <f>订货1!AW33</f>
        <v>0</v>
      </c>
      <c r="Y32" s="180">
        <f>订货1!AX33</f>
        <v>0</v>
      </c>
      <c r="Z32" s="180">
        <f>订货1!AY33</f>
        <v>0</v>
      </c>
      <c r="AA32" s="180">
        <f>订货1!AZ33</f>
        <v>0</v>
      </c>
      <c r="AB32" s="180">
        <f>订货1!BA33</f>
        <v>0</v>
      </c>
      <c r="AC32" s="180">
        <f>订货1!BB33</f>
        <v>0</v>
      </c>
      <c r="AD32" s="180">
        <f>订货1!BC33</f>
        <v>0</v>
      </c>
      <c r="AE32" s="180">
        <f>订货1!BD33</f>
        <v>0</v>
      </c>
      <c r="AF32" s="180">
        <f>订货1!BE33</f>
        <v>0</v>
      </c>
      <c r="AG32" s="180">
        <f>订货1!BF33</f>
        <v>0</v>
      </c>
      <c r="AH32" s="176"/>
      <c r="AI32" s="178" t="e">
        <f>店铺收货台帐2!DE33</f>
        <v>#DIV/0!</v>
      </c>
    </row>
    <row r="33" spans="1:35" hidden="1">
      <c r="A33" s="37">
        <f>订货1!K34</f>
        <v>700000</v>
      </c>
      <c r="B33" s="37" t="str">
        <f>订货1!M34</f>
        <v>申美碳酸</v>
      </c>
      <c r="C33" s="180">
        <f>订货1!AB34</f>
        <v>0</v>
      </c>
      <c r="D33" s="180">
        <f>订货1!AC34</f>
        <v>0</v>
      </c>
      <c r="E33" s="180">
        <f>订货1!AD34</f>
        <v>0</v>
      </c>
      <c r="F33" s="180">
        <f>订货1!AE34</f>
        <v>0</v>
      </c>
      <c r="G33" s="180">
        <f>订货1!AF34</f>
        <v>0</v>
      </c>
      <c r="H33" s="180">
        <f>订货1!AG34</f>
        <v>0</v>
      </c>
      <c r="I33" s="180">
        <f>订货1!AH34</f>
        <v>0</v>
      </c>
      <c r="J33" s="180">
        <f>订货1!AI34</f>
        <v>0</v>
      </c>
      <c r="K33" s="180">
        <f>订货1!AJ34</f>
        <v>0</v>
      </c>
      <c r="L33" s="180">
        <f>订货1!AK34</f>
        <v>0</v>
      </c>
      <c r="M33" s="180">
        <f>订货1!AL34</f>
        <v>0</v>
      </c>
      <c r="N33" s="180">
        <f>订货1!AM34</f>
        <v>0</v>
      </c>
      <c r="O33" s="180">
        <f>订货1!AN34</f>
        <v>0</v>
      </c>
      <c r="P33" s="180">
        <f>订货1!AO34</f>
        <v>0</v>
      </c>
      <c r="Q33" s="180">
        <f>订货1!AP34</f>
        <v>0</v>
      </c>
      <c r="R33" s="180">
        <f>订货1!AQ34</f>
        <v>0</v>
      </c>
      <c r="S33" s="180">
        <f>订货1!AR34</f>
        <v>0</v>
      </c>
      <c r="T33" s="180">
        <f>订货1!AS34</f>
        <v>0</v>
      </c>
      <c r="U33" s="180">
        <f>订货1!AT34</f>
        <v>0</v>
      </c>
      <c r="V33" s="180">
        <f>订货1!AU34</f>
        <v>0</v>
      </c>
      <c r="W33" s="180">
        <f>订货1!AV34</f>
        <v>0</v>
      </c>
      <c r="X33" s="180">
        <f>订货1!AW34</f>
        <v>0</v>
      </c>
      <c r="Y33" s="180">
        <f>订货1!AX34</f>
        <v>0</v>
      </c>
      <c r="Z33" s="180">
        <f>订货1!AY34</f>
        <v>0</v>
      </c>
      <c r="AA33" s="180">
        <f>订货1!AZ34</f>
        <v>0</v>
      </c>
      <c r="AB33" s="180">
        <f>订货1!BA34</f>
        <v>0</v>
      </c>
      <c r="AC33" s="180">
        <f>订货1!BB34</f>
        <v>0</v>
      </c>
      <c r="AD33" s="180">
        <f>订货1!BC34</f>
        <v>0</v>
      </c>
      <c r="AE33" s="180">
        <f>订货1!BD34</f>
        <v>0</v>
      </c>
      <c r="AF33" s="180">
        <f>订货1!BE34</f>
        <v>0</v>
      </c>
      <c r="AG33" s="180">
        <f>订货1!BF34</f>
        <v>0</v>
      </c>
      <c r="AH33" s="176"/>
      <c r="AI33" s="178" t="e">
        <f>店铺收货台帐2!DE34</f>
        <v>#DIV/0!</v>
      </c>
    </row>
    <row r="34" spans="1:35" hidden="1">
      <c r="A34" s="37">
        <f>订货1!K35</f>
        <v>730003</v>
      </c>
      <c r="B34" s="37" t="str">
        <f>订货1!M35</f>
        <v>樱桃番茄</v>
      </c>
      <c r="C34" s="180">
        <f>订货1!AB35</f>
        <v>0</v>
      </c>
      <c r="D34" s="180">
        <f>订货1!AC35</f>
        <v>0</v>
      </c>
      <c r="E34" s="180">
        <f>订货1!AD35</f>
        <v>0</v>
      </c>
      <c r="F34" s="180">
        <f>订货1!AE35</f>
        <v>0</v>
      </c>
      <c r="G34" s="180">
        <f>订货1!AF35</f>
        <v>0</v>
      </c>
      <c r="H34" s="180">
        <f>订货1!AG35</f>
        <v>0</v>
      </c>
      <c r="I34" s="180">
        <f>订货1!AH35</f>
        <v>0</v>
      </c>
      <c r="J34" s="180">
        <f>订货1!AI35</f>
        <v>0</v>
      </c>
      <c r="K34" s="180">
        <f>订货1!AJ35</f>
        <v>0</v>
      </c>
      <c r="L34" s="180">
        <f>订货1!AK35</f>
        <v>0</v>
      </c>
      <c r="M34" s="180">
        <f>订货1!AL35</f>
        <v>0</v>
      </c>
      <c r="N34" s="180">
        <f>订货1!AM35</f>
        <v>0</v>
      </c>
      <c r="O34" s="180">
        <f>订货1!AN35</f>
        <v>0</v>
      </c>
      <c r="P34" s="180">
        <f>订货1!AO35</f>
        <v>0</v>
      </c>
      <c r="Q34" s="180">
        <f>订货1!AP35</f>
        <v>0</v>
      </c>
      <c r="R34" s="180">
        <f>订货1!AQ35</f>
        <v>0</v>
      </c>
      <c r="S34" s="180">
        <f>订货1!AR35</f>
        <v>0</v>
      </c>
      <c r="T34" s="180">
        <f>订货1!AS35</f>
        <v>0</v>
      </c>
      <c r="U34" s="180">
        <f>订货1!AT35</f>
        <v>0</v>
      </c>
      <c r="V34" s="180">
        <f>订货1!AU35</f>
        <v>0</v>
      </c>
      <c r="W34" s="180">
        <f>订货1!AV35</f>
        <v>0</v>
      </c>
      <c r="X34" s="180">
        <f>订货1!AW35</f>
        <v>0</v>
      </c>
      <c r="Y34" s="180">
        <f>订货1!AX35</f>
        <v>0</v>
      </c>
      <c r="Z34" s="180">
        <f>订货1!AY35</f>
        <v>0</v>
      </c>
      <c r="AA34" s="180">
        <f>订货1!AZ35</f>
        <v>0</v>
      </c>
      <c r="AB34" s="180">
        <f>订货1!BA35</f>
        <v>0</v>
      </c>
      <c r="AC34" s="180">
        <f>订货1!BB35</f>
        <v>0</v>
      </c>
      <c r="AD34" s="180">
        <f>订货1!BC35</f>
        <v>0</v>
      </c>
      <c r="AE34" s="180">
        <f>订货1!BD35</f>
        <v>0</v>
      </c>
      <c r="AF34" s="180">
        <f>订货1!BE35</f>
        <v>0</v>
      </c>
      <c r="AG34" s="180">
        <f>订货1!BF35</f>
        <v>0</v>
      </c>
      <c r="AH34" s="176"/>
      <c r="AI34" s="178" t="e">
        <f>店铺收货台帐2!DE35</f>
        <v>#DIV/0!</v>
      </c>
    </row>
    <row r="35" spans="1:35" hidden="1">
      <c r="A35" s="37">
        <f>订货1!K36</f>
        <v>730004</v>
      </c>
      <c r="B35" s="37" t="str">
        <f>订货1!M36</f>
        <v>彩椒丝</v>
      </c>
      <c r="C35" s="180">
        <f>订货1!AB36</f>
        <v>0</v>
      </c>
      <c r="D35" s="180">
        <f>订货1!AC36</f>
        <v>0</v>
      </c>
      <c r="E35" s="180">
        <f>订货1!AD36</f>
        <v>0</v>
      </c>
      <c r="F35" s="180">
        <f>订货1!AE36</f>
        <v>0</v>
      </c>
      <c r="G35" s="180">
        <f>订货1!AF36</f>
        <v>0</v>
      </c>
      <c r="H35" s="180">
        <f>订货1!AG36</f>
        <v>0</v>
      </c>
      <c r="I35" s="180">
        <f>订货1!AH36</f>
        <v>0</v>
      </c>
      <c r="J35" s="180">
        <f>订货1!AI36</f>
        <v>0</v>
      </c>
      <c r="K35" s="180">
        <f>订货1!AJ36</f>
        <v>0</v>
      </c>
      <c r="L35" s="180">
        <f>订货1!AK36</f>
        <v>0</v>
      </c>
      <c r="M35" s="180">
        <f>订货1!AL36</f>
        <v>0</v>
      </c>
      <c r="N35" s="180">
        <f>订货1!AM36</f>
        <v>0</v>
      </c>
      <c r="O35" s="180">
        <f>订货1!AN36</f>
        <v>0</v>
      </c>
      <c r="P35" s="180">
        <f>订货1!AO36</f>
        <v>0</v>
      </c>
      <c r="Q35" s="180">
        <f>订货1!AP36</f>
        <v>0</v>
      </c>
      <c r="R35" s="180">
        <f>订货1!AQ36</f>
        <v>0</v>
      </c>
      <c r="S35" s="180">
        <f>订货1!AR36</f>
        <v>0</v>
      </c>
      <c r="T35" s="180">
        <f>订货1!AS36</f>
        <v>0</v>
      </c>
      <c r="U35" s="180">
        <f>订货1!AT36</f>
        <v>0</v>
      </c>
      <c r="V35" s="180">
        <f>订货1!AU36</f>
        <v>0</v>
      </c>
      <c r="W35" s="180">
        <f>订货1!AV36</f>
        <v>0</v>
      </c>
      <c r="X35" s="180">
        <f>订货1!AW36</f>
        <v>0</v>
      </c>
      <c r="Y35" s="180">
        <f>订货1!AX36</f>
        <v>0</v>
      </c>
      <c r="Z35" s="180">
        <f>订货1!AY36</f>
        <v>0</v>
      </c>
      <c r="AA35" s="180">
        <f>订货1!AZ36</f>
        <v>0</v>
      </c>
      <c r="AB35" s="180">
        <f>订货1!BA36</f>
        <v>0</v>
      </c>
      <c r="AC35" s="180">
        <f>订货1!BB36</f>
        <v>0</v>
      </c>
      <c r="AD35" s="180">
        <f>订货1!BC36</f>
        <v>0</v>
      </c>
      <c r="AE35" s="180">
        <f>订货1!BD36</f>
        <v>0</v>
      </c>
      <c r="AF35" s="180">
        <f>订货1!BE36</f>
        <v>0</v>
      </c>
      <c r="AG35" s="180">
        <f>订货1!BF36</f>
        <v>0</v>
      </c>
      <c r="AH35" s="176"/>
      <c r="AI35" s="178" t="e">
        <f>店铺收货台帐2!DE36</f>
        <v>#DIV/0!</v>
      </c>
    </row>
    <row r="36" spans="1:35" hidden="1">
      <c r="A36" s="37">
        <f>订货1!K37</f>
        <v>730005</v>
      </c>
      <c r="B36" s="37" t="str">
        <f>订货1!M37</f>
        <v>蔬菜底料</v>
      </c>
      <c r="C36" s="180">
        <f>订货1!AB37</f>
        <v>0</v>
      </c>
      <c r="D36" s="180">
        <f>订货1!AC37</f>
        <v>0</v>
      </c>
      <c r="E36" s="180">
        <f>订货1!AD37</f>
        <v>0</v>
      </c>
      <c r="F36" s="180">
        <f>订货1!AE37</f>
        <v>0</v>
      </c>
      <c r="G36" s="180">
        <f>订货1!AF37</f>
        <v>0</v>
      </c>
      <c r="H36" s="180">
        <f>订货1!AG37</f>
        <v>0</v>
      </c>
      <c r="I36" s="180">
        <f>订货1!AH37</f>
        <v>0</v>
      </c>
      <c r="J36" s="180">
        <f>订货1!AI37</f>
        <v>0</v>
      </c>
      <c r="K36" s="180">
        <f>订货1!AJ37</f>
        <v>0</v>
      </c>
      <c r="L36" s="180">
        <f>订货1!AK37</f>
        <v>0</v>
      </c>
      <c r="M36" s="180">
        <f>订货1!AL37</f>
        <v>0</v>
      </c>
      <c r="N36" s="180">
        <f>订货1!AM37</f>
        <v>0</v>
      </c>
      <c r="O36" s="180">
        <f>订货1!AN37</f>
        <v>0</v>
      </c>
      <c r="P36" s="180">
        <f>订货1!AO37</f>
        <v>0</v>
      </c>
      <c r="Q36" s="180">
        <f>订货1!AP37</f>
        <v>0</v>
      </c>
      <c r="R36" s="180">
        <f>订货1!AQ37</f>
        <v>0</v>
      </c>
      <c r="S36" s="180">
        <f>订货1!AR37</f>
        <v>0</v>
      </c>
      <c r="T36" s="180">
        <f>订货1!AS37</f>
        <v>0</v>
      </c>
      <c r="U36" s="180">
        <f>订货1!AT37</f>
        <v>0</v>
      </c>
      <c r="V36" s="180">
        <f>订货1!AU37</f>
        <v>0</v>
      </c>
      <c r="W36" s="180">
        <f>订货1!AV37</f>
        <v>0</v>
      </c>
      <c r="X36" s="180">
        <f>订货1!AW37</f>
        <v>0</v>
      </c>
      <c r="Y36" s="180">
        <f>订货1!AX37</f>
        <v>0</v>
      </c>
      <c r="Z36" s="180">
        <f>订货1!AY37</f>
        <v>0</v>
      </c>
      <c r="AA36" s="180">
        <f>订货1!AZ37</f>
        <v>0</v>
      </c>
      <c r="AB36" s="180">
        <f>订货1!BA37</f>
        <v>0</v>
      </c>
      <c r="AC36" s="180">
        <f>订货1!BB37</f>
        <v>0</v>
      </c>
      <c r="AD36" s="180">
        <f>订货1!BC37</f>
        <v>0</v>
      </c>
      <c r="AE36" s="180">
        <f>订货1!BD37</f>
        <v>0</v>
      </c>
      <c r="AF36" s="180">
        <f>订货1!BE37</f>
        <v>0</v>
      </c>
      <c r="AG36" s="180">
        <f>订货1!BF37</f>
        <v>0</v>
      </c>
      <c r="AH36" s="176"/>
      <c r="AI36" s="178" t="e">
        <f>店铺收货台帐2!DE37</f>
        <v>#DIV/0!</v>
      </c>
    </row>
    <row r="37" spans="1:35" hidden="1">
      <c r="A37" s="37">
        <f>订货1!K38</f>
        <v>730006</v>
      </c>
      <c r="B37" s="37" t="str">
        <f>订货1!M38</f>
        <v>脆爽沙拉</v>
      </c>
      <c r="C37" s="180">
        <f>订货1!AB38</f>
        <v>0</v>
      </c>
      <c r="D37" s="180">
        <f>订货1!AC38</f>
        <v>0</v>
      </c>
      <c r="E37" s="180">
        <f>订货1!AD38</f>
        <v>0</v>
      </c>
      <c r="F37" s="180">
        <f>订货1!AE38</f>
        <v>0</v>
      </c>
      <c r="G37" s="180">
        <f>订货1!AF38</f>
        <v>0</v>
      </c>
      <c r="H37" s="180">
        <f>订货1!AG38</f>
        <v>0</v>
      </c>
      <c r="I37" s="180">
        <f>订货1!AH38</f>
        <v>0</v>
      </c>
      <c r="J37" s="180">
        <f>订货1!AI38</f>
        <v>0</v>
      </c>
      <c r="K37" s="180">
        <f>订货1!AJ38</f>
        <v>0</v>
      </c>
      <c r="L37" s="180">
        <f>订货1!AK38</f>
        <v>0</v>
      </c>
      <c r="M37" s="180">
        <f>订货1!AL38</f>
        <v>0</v>
      </c>
      <c r="N37" s="180">
        <f>订货1!AM38</f>
        <v>0</v>
      </c>
      <c r="O37" s="180">
        <f>订货1!AN38</f>
        <v>0</v>
      </c>
      <c r="P37" s="180">
        <f>订货1!AO38</f>
        <v>0</v>
      </c>
      <c r="Q37" s="180">
        <f>订货1!AP38</f>
        <v>0</v>
      </c>
      <c r="R37" s="180">
        <f>订货1!AQ38</f>
        <v>0</v>
      </c>
      <c r="S37" s="180">
        <f>订货1!AR38</f>
        <v>0</v>
      </c>
      <c r="T37" s="180">
        <f>订货1!AS38</f>
        <v>0</v>
      </c>
      <c r="U37" s="180">
        <f>订货1!AT38</f>
        <v>0</v>
      </c>
      <c r="V37" s="180">
        <f>订货1!AU38</f>
        <v>0</v>
      </c>
      <c r="W37" s="180">
        <f>订货1!AV38</f>
        <v>0</v>
      </c>
      <c r="X37" s="180">
        <f>订货1!AW38</f>
        <v>0</v>
      </c>
      <c r="Y37" s="180">
        <f>订货1!AX38</f>
        <v>0</v>
      </c>
      <c r="Z37" s="180">
        <f>订货1!AY38</f>
        <v>0</v>
      </c>
      <c r="AA37" s="180">
        <f>订货1!AZ38</f>
        <v>0</v>
      </c>
      <c r="AB37" s="180">
        <f>订货1!BA38</f>
        <v>0</v>
      </c>
      <c r="AC37" s="180">
        <f>订货1!BB38</f>
        <v>0</v>
      </c>
      <c r="AD37" s="180">
        <f>订货1!BC38</f>
        <v>0</v>
      </c>
      <c r="AE37" s="180">
        <f>订货1!BD38</f>
        <v>0</v>
      </c>
      <c r="AF37" s="180">
        <f>订货1!BE38</f>
        <v>0</v>
      </c>
      <c r="AG37" s="180">
        <f>订货1!BF38</f>
        <v>0</v>
      </c>
      <c r="AH37" s="176"/>
      <c r="AI37" s="178" t="e">
        <f>店铺收货台帐2!DE38</f>
        <v>#DIV/0!</v>
      </c>
    </row>
    <row r="38" spans="1:35" hidden="1">
      <c r="A38" s="37">
        <f>订货1!K39</f>
        <v>730018</v>
      </c>
      <c r="B38" s="37" t="str">
        <f>订货1!M39</f>
        <v>小青菜</v>
      </c>
      <c r="C38" s="180">
        <f>订货1!AB39</f>
        <v>0</v>
      </c>
      <c r="D38" s="180">
        <f>订货1!AC39</f>
        <v>0</v>
      </c>
      <c r="E38" s="180">
        <f>订货1!AD39</f>
        <v>0</v>
      </c>
      <c r="F38" s="180">
        <f>订货1!AE39</f>
        <v>0</v>
      </c>
      <c r="G38" s="180">
        <f>订货1!AF39</f>
        <v>0</v>
      </c>
      <c r="H38" s="180">
        <f>订货1!AG39</f>
        <v>0</v>
      </c>
      <c r="I38" s="180">
        <f>订货1!AH39</f>
        <v>0</v>
      </c>
      <c r="J38" s="180">
        <f>订货1!AI39</f>
        <v>0</v>
      </c>
      <c r="K38" s="180">
        <f>订货1!AJ39</f>
        <v>0</v>
      </c>
      <c r="L38" s="180">
        <f>订货1!AK39</f>
        <v>0</v>
      </c>
      <c r="M38" s="180">
        <f>订货1!AL39</f>
        <v>0</v>
      </c>
      <c r="N38" s="180">
        <f>订货1!AM39</f>
        <v>0</v>
      </c>
      <c r="O38" s="180">
        <f>订货1!AN39</f>
        <v>0</v>
      </c>
      <c r="P38" s="180">
        <f>订货1!AO39</f>
        <v>0</v>
      </c>
      <c r="Q38" s="180">
        <f>订货1!AP39</f>
        <v>0</v>
      </c>
      <c r="R38" s="180">
        <f>订货1!AQ39</f>
        <v>0</v>
      </c>
      <c r="S38" s="180">
        <f>订货1!AR39</f>
        <v>0</v>
      </c>
      <c r="T38" s="180">
        <f>订货1!AS39</f>
        <v>0</v>
      </c>
      <c r="U38" s="180">
        <f>订货1!AT39</f>
        <v>0</v>
      </c>
      <c r="V38" s="180">
        <f>订货1!AU39</f>
        <v>0</v>
      </c>
      <c r="W38" s="180">
        <f>订货1!AV39</f>
        <v>0</v>
      </c>
      <c r="X38" s="180">
        <f>订货1!AW39</f>
        <v>0</v>
      </c>
      <c r="Y38" s="180">
        <f>订货1!AX39</f>
        <v>0</v>
      </c>
      <c r="Z38" s="180">
        <f>订货1!AY39</f>
        <v>0</v>
      </c>
      <c r="AA38" s="180">
        <f>订货1!AZ39</f>
        <v>0</v>
      </c>
      <c r="AB38" s="180">
        <f>订货1!BA39</f>
        <v>0</v>
      </c>
      <c r="AC38" s="180">
        <f>订货1!BB39</f>
        <v>0</v>
      </c>
      <c r="AD38" s="180">
        <f>订货1!BC39</f>
        <v>0</v>
      </c>
      <c r="AE38" s="180">
        <f>订货1!BD39</f>
        <v>0</v>
      </c>
      <c r="AF38" s="180">
        <f>订货1!BE39</f>
        <v>0</v>
      </c>
      <c r="AG38" s="180">
        <f>订货1!BF39</f>
        <v>0</v>
      </c>
      <c r="AH38" s="176"/>
      <c r="AI38" s="178" t="e">
        <f>店铺收货台帐2!DE39</f>
        <v>#DIV/0!</v>
      </c>
    </row>
    <row r="39" spans="1:35" hidden="1">
      <c r="A39" s="37">
        <f>订货1!K40</f>
        <v>730008</v>
      </c>
      <c r="B39" s="37" t="str">
        <f>订货1!M40</f>
        <v>猕猴桃</v>
      </c>
      <c r="C39" s="180">
        <f>订货1!AB40</f>
        <v>0</v>
      </c>
      <c r="D39" s="180">
        <f>订货1!AC40</f>
        <v>0</v>
      </c>
      <c r="E39" s="180">
        <f>订货1!AD40</f>
        <v>0</v>
      </c>
      <c r="F39" s="180">
        <f>订货1!AE40</f>
        <v>0</v>
      </c>
      <c r="G39" s="180">
        <f>订货1!AF40</f>
        <v>0</v>
      </c>
      <c r="H39" s="180">
        <f>订货1!AG40</f>
        <v>0</v>
      </c>
      <c r="I39" s="180">
        <f>订货1!AH40</f>
        <v>0</v>
      </c>
      <c r="J39" s="180">
        <f>订货1!AI40</f>
        <v>0</v>
      </c>
      <c r="K39" s="180">
        <f>订货1!AJ40</f>
        <v>0</v>
      </c>
      <c r="L39" s="180">
        <f>订货1!AK40</f>
        <v>0</v>
      </c>
      <c r="M39" s="180">
        <f>订货1!AL40</f>
        <v>0</v>
      </c>
      <c r="N39" s="180">
        <f>订货1!AM40</f>
        <v>0</v>
      </c>
      <c r="O39" s="180">
        <f>订货1!AN40</f>
        <v>0</v>
      </c>
      <c r="P39" s="180">
        <f>订货1!AO40</f>
        <v>0</v>
      </c>
      <c r="Q39" s="180">
        <f>订货1!AP40</f>
        <v>0</v>
      </c>
      <c r="R39" s="180">
        <f>订货1!AQ40</f>
        <v>0</v>
      </c>
      <c r="S39" s="180">
        <f>订货1!AR40</f>
        <v>0</v>
      </c>
      <c r="T39" s="180">
        <f>订货1!AS40</f>
        <v>0</v>
      </c>
      <c r="U39" s="180">
        <f>订货1!AT40</f>
        <v>0</v>
      </c>
      <c r="V39" s="180">
        <f>订货1!AU40</f>
        <v>0</v>
      </c>
      <c r="W39" s="180">
        <f>订货1!AV40</f>
        <v>0</v>
      </c>
      <c r="X39" s="180">
        <f>订货1!AW40</f>
        <v>0</v>
      </c>
      <c r="Y39" s="180">
        <f>订货1!AX40</f>
        <v>0</v>
      </c>
      <c r="Z39" s="180">
        <f>订货1!AY40</f>
        <v>0</v>
      </c>
      <c r="AA39" s="180">
        <f>订货1!AZ40</f>
        <v>0</v>
      </c>
      <c r="AB39" s="180">
        <f>订货1!BA40</f>
        <v>0</v>
      </c>
      <c r="AC39" s="180">
        <f>订货1!BB40</f>
        <v>0</v>
      </c>
      <c r="AD39" s="180">
        <f>订货1!BC40</f>
        <v>0</v>
      </c>
      <c r="AE39" s="180">
        <f>订货1!BD40</f>
        <v>0</v>
      </c>
      <c r="AF39" s="180">
        <f>订货1!BE40</f>
        <v>0</v>
      </c>
      <c r="AG39" s="180">
        <f>订货1!BF40</f>
        <v>0</v>
      </c>
      <c r="AH39" s="176"/>
      <c r="AI39" s="178" t="e">
        <f>店铺收货台帐2!DE40</f>
        <v>#DIV/0!</v>
      </c>
    </row>
    <row r="40" spans="1:35" hidden="1">
      <c r="A40" s="37">
        <f>订货1!K41</f>
        <v>730009</v>
      </c>
      <c r="B40" s="37" t="str">
        <f>订货1!M41</f>
        <v>大蒜</v>
      </c>
      <c r="C40" s="180">
        <f>订货1!AB41</f>
        <v>0</v>
      </c>
      <c r="D40" s="180">
        <f>订货1!AC41</f>
        <v>0</v>
      </c>
      <c r="E40" s="180">
        <f>订货1!AD41</f>
        <v>0</v>
      </c>
      <c r="F40" s="180">
        <f>订货1!AE41</f>
        <v>0</v>
      </c>
      <c r="G40" s="180">
        <f>订货1!AF41</f>
        <v>0</v>
      </c>
      <c r="H40" s="180">
        <f>订货1!AG41</f>
        <v>0</v>
      </c>
      <c r="I40" s="180">
        <f>订货1!AH41</f>
        <v>0</v>
      </c>
      <c r="J40" s="180">
        <f>订货1!AI41</f>
        <v>0</v>
      </c>
      <c r="K40" s="180">
        <f>订货1!AJ41</f>
        <v>0</v>
      </c>
      <c r="L40" s="180">
        <f>订货1!AK41</f>
        <v>0</v>
      </c>
      <c r="M40" s="180">
        <f>订货1!AL41</f>
        <v>0</v>
      </c>
      <c r="N40" s="180">
        <f>订货1!AM41</f>
        <v>0</v>
      </c>
      <c r="O40" s="180">
        <f>订货1!AN41</f>
        <v>0</v>
      </c>
      <c r="P40" s="180">
        <f>订货1!AO41</f>
        <v>0</v>
      </c>
      <c r="Q40" s="180">
        <f>订货1!AP41</f>
        <v>0</v>
      </c>
      <c r="R40" s="180">
        <f>订货1!AQ41</f>
        <v>0</v>
      </c>
      <c r="S40" s="180">
        <f>订货1!AR41</f>
        <v>0</v>
      </c>
      <c r="T40" s="180">
        <f>订货1!AS41</f>
        <v>0</v>
      </c>
      <c r="U40" s="180">
        <f>订货1!AT41</f>
        <v>0</v>
      </c>
      <c r="V40" s="180">
        <f>订货1!AU41</f>
        <v>0</v>
      </c>
      <c r="W40" s="180">
        <f>订货1!AV41</f>
        <v>0</v>
      </c>
      <c r="X40" s="180">
        <f>订货1!AW41</f>
        <v>0</v>
      </c>
      <c r="Y40" s="180">
        <f>订货1!AX41</f>
        <v>0</v>
      </c>
      <c r="Z40" s="180">
        <f>订货1!AY41</f>
        <v>0</v>
      </c>
      <c r="AA40" s="180">
        <f>订货1!AZ41</f>
        <v>0</v>
      </c>
      <c r="AB40" s="180">
        <f>订货1!BA41</f>
        <v>0</v>
      </c>
      <c r="AC40" s="180">
        <f>订货1!BB41</f>
        <v>0</v>
      </c>
      <c r="AD40" s="180">
        <f>订货1!BC41</f>
        <v>0</v>
      </c>
      <c r="AE40" s="180">
        <f>订货1!BD41</f>
        <v>0</v>
      </c>
      <c r="AF40" s="180">
        <f>订货1!BE41</f>
        <v>0</v>
      </c>
      <c r="AG40" s="180">
        <f>订货1!BF41</f>
        <v>0</v>
      </c>
      <c r="AH40" s="176"/>
      <c r="AI40" s="178" t="e">
        <f>店铺收货台帐2!DE41</f>
        <v>#DIV/0!</v>
      </c>
    </row>
    <row r="41" spans="1:35" hidden="1">
      <c r="A41" s="37">
        <f>订货1!K42</f>
        <v>730010</v>
      </c>
      <c r="B41" s="37" t="str">
        <f>订货1!M42</f>
        <v>番茄</v>
      </c>
      <c r="C41" s="180">
        <f>订货1!AB42</f>
        <v>0</v>
      </c>
      <c r="D41" s="180">
        <f>订货1!AC42</f>
        <v>0</v>
      </c>
      <c r="E41" s="180">
        <f>订货1!AD42</f>
        <v>0</v>
      </c>
      <c r="F41" s="180">
        <f>订货1!AE42</f>
        <v>0</v>
      </c>
      <c r="G41" s="180">
        <f>订货1!AF42</f>
        <v>0</v>
      </c>
      <c r="H41" s="180">
        <f>订货1!AG42</f>
        <v>0</v>
      </c>
      <c r="I41" s="180">
        <f>订货1!AH42</f>
        <v>0</v>
      </c>
      <c r="J41" s="180">
        <f>订货1!AI42</f>
        <v>0</v>
      </c>
      <c r="K41" s="180">
        <f>订货1!AJ42</f>
        <v>0</v>
      </c>
      <c r="L41" s="180">
        <f>订货1!AK42</f>
        <v>0</v>
      </c>
      <c r="M41" s="180">
        <f>订货1!AL42</f>
        <v>0</v>
      </c>
      <c r="N41" s="180">
        <f>订货1!AM42</f>
        <v>0</v>
      </c>
      <c r="O41" s="180">
        <f>订货1!AN42</f>
        <v>0</v>
      </c>
      <c r="P41" s="180">
        <f>订货1!AO42</f>
        <v>0</v>
      </c>
      <c r="Q41" s="180">
        <f>订货1!AP42</f>
        <v>0</v>
      </c>
      <c r="R41" s="180">
        <f>订货1!AQ42</f>
        <v>0</v>
      </c>
      <c r="S41" s="180">
        <f>订货1!AR42</f>
        <v>0</v>
      </c>
      <c r="T41" s="180">
        <f>订货1!AS42</f>
        <v>0</v>
      </c>
      <c r="U41" s="180">
        <f>订货1!AT42</f>
        <v>0</v>
      </c>
      <c r="V41" s="180">
        <f>订货1!AU42</f>
        <v>0</v>
      </c>
      <c r="W41" s="180">
        <f>订货1!AV42</f>
        <v>0</v>
      </c>
      <c r="X41" s="180">
        <f>订货1!AW42</f>
        <v>0</v>
      </c>
      <c r="Y41" s="180">
        <f>订货1!AX42</f>
        <v>0</v>
      </c>
      <c r="Z41" s="180">
        <f>订货1!AY42</f>
        <v>0</v>
      </c>
      <c r="AA41" s="180">
        <f>订货1!AZ42</f>
        <v>0</v>
      </c>
      <c r="AB41" s="180">
        <f>订货1!BA42</f>
        <v>0</v>
      </c>
      <c r="AC41" s="180">
        <f>订货1!BB42</f>
        <v>0</v>
      </c>
      <c r="AD41" s="180">
        <f>订货1!BC42</f>
        <v>0</v>
      </c>
      <c r="AE41" s="180">
        <f>订货1!BD42</f>
        <v>0</v>
      </c>
      <c r="AF41" s="180">
        <f>订货1!BE42</f>
        <v>0</v>
      </c>
      <c r="AG41" s="180">
        <f>订货1!BF42</f>
        <v>0</v>
      </c>
      <c r="AH41" s="176"/>
      <c r="AI41" s="178" t="e">
        <f>店铺收货台帐2!DE42</f>
        <v>#DIV/0!</v>
      </c>
    </row>
    <row r="42" spans="1:35" hidden="1">
      <c r="A42" s="37">
        <f>订货1!K43</f>
        <v>730011</v>
      </c>
      <c r="B42" s="37" t="str">
        <f>订货1!M43</f>
        <v>芝麻菜</v>
      </c>
      <c r="C42" s="180">
        <f>订货1!AB43</f>
        <v>0</v>
      </c>
      <c r="D42" s="180">
        <f>订货1!AC43</f>
        <v>0</v>
      </c>
      <c r="E42" s="180">
        <f>订货1!AD43</f>
        <v>0</v>
      </c>
      <c r="F42" s="180">
        <f>订货1!AE43</f>
        <v>0</v>
      </c>
      <c r="G42" s="180">
        <f>订货1!AF43</f>
        <v>0</v>
      </c>
      <c r="H42" s="180">
        <f>订货1!AG43</f>
        <v>0</v>
      </c>
      <c r="I42" s="180">
        <f>订货1!AH43</f>
        <v>0</v>
      </c>
      <c r="J42" s="180">
        <f>订货1!AI43</f>
        <v>0</v>
      </c>
      <c r="K42" s="180">
        <f>订货1!AJ43</f>
        <v>0</v>
      </c>
      <c r="L42" s="180">
        <f>订货1!AK43</f>
        <v>0</v>
      </c>
      <c r="M42" s="180">
        <f>订货1!AL43</f>
        <v>0</v>
      </c>
      <c r="N42" s="180">
        <f>订货1!AM43</f>
        <v>0</v>
      </c>
      <c r="O42" s="180">
        <f>订货1!AN43</f>
        <v>0</v>
      </c>
      <c r="P42" s="180">
        <f>订货1!AO43</f>
        <v>0</v>
      </c>
      <c r="Q42" s="180">
        <f>订货1!AP43</f>
        <v>0</v>
      </c>
      <c r="R42" s="180">
        <f>订货1!AQ43</f>
        <v>0</v>
      </c>
      <c r="S42" s="180">
        <f>订货1!AR43</f>
        <v>0</v>
      </c>
      <c r="T42" s="180">
        <f>订货1!AS43</f>
        <v>0</v>
      </c>
      <c r="U42" s="180">
        <f>订货1!AT43</f>
        <v>0</v>
      </c>
      <c r="V42" s="180">
        <f>订货1!AU43</f>
        <v>0</v>
      </c>
      <c r="W42" s="180">
        <f>订货1!AV43</f>
        <v>0</v>
      </c>
      <c r="X42" s="180">
        <f>订货1!AW43</f>
        <v>0</v>
      </c>
      <c r="Y42" s="180">
        <f>订货1!AX43</f>
        <v>0</v>
      </c>
      <c r="Z42" s="180">
        <f>订货1!AY43</f>
        <v>0</v>
      </c>
      <c r="AA42" s="180">
        <f>订货1!AZ43</f>
        <v>0</v>
      </c>
      <c r="AB42" s="180">
        <f>订货1!BA43</f>
        <v>0</v>
      </c>
      <c r="AC42" s="180">
        <f>订货1!BB43</f>
        <v>0</v>
      </c>
      <c r="AD42" s="180">
        <f>订货1!BC43</f>
        <v>0</v>
      </c>
      <c r="AE42" s="180">
        <f>订货1!BD43</f>
        <v>0</v>
      </c>
      <c r="AF42" s="180">
        <f>订货1!BE43</f>
        <v>0</v>
      </c>
      <c r="AG42" s="180">
        <f>订货1!BF43</f>
        <v>0</v>
      </c>
      <c r="AH42" s="176"/>
      <c r="AI42" s="178" t="e">
        <f>店铺收货台帐2!DE43</f>
        <v>#DIV/0!</v>
      </c>
    </row>
    <row r="43" spans="1:35" hidden="1">
      <c r="A43" s="37">
        <f>订货1!K44</f>
        <v>730012</v>
      </c>
      <c r="B43" s="37" t="str">
        <f>订货1!M44</f>
        <v>柠檬</v>
      </c>
      <c r="C43" s="180">
        <f>订货1!AB44</f>
        <v>0</v>
      </c>
      <c r="D43" s="180">
        <f>订货1!AC44</f>
        <v>0</v>
      </c>
      <c r="E43" s="180">
        <f>订货1!AD44</f>
        <v>0</v>
      </c>
      <c r="F43" s="180">
        <f>订货1!AE44</f>
        <v>0</v>
      </c>
      <c r="G43" s="180">
        <f>订货1!AF44</f>
        <v>0</v>
      </c>
      <c r="H43" s="180">
        <f>订货1!AG44</f>
        <v>0</v>
      </c>
      <c r="I43" s="180">
        <f>订货1!AH44</f>
        <v>0</v>
      </c>
      <c r="J43" s="180">
        <f>订货1!AI44</f>
        <v>0</v>
      </c>
      <c r="K43" s="180">
        <f>订货1!AJ44</f>
        <v>0</v>
      </c>
      <c r="L43" s="180">
        <f>订货1!AK44</f>
        <v>0</v>
      </c>
      <c r="M43" s="180">
        <f>订货1!AL44</f>
        <v>0</v>
      </c>
      <c r="N43" s="180">
        <f>订货1!AM44</f>
        <v>0</v>
      </c>
      <c r="O43" s="180">
        <f>订货1!AN44</f>
        <v>0</v>
      </c>
      <c r="P43" s="180">
        <f>订货1!AO44</f>
        <v>0</v>
      </c>
      <c r="Q43" s="180">
        <f>订货1!AP44</f>
        <v>0</v>
      </c>
      <c r="R43" s="180">
        <f>订货1!AQ44</f>
        <v>0</v>
      </c>
      <c r="S43" s="180">
        <f>订货1!AR44</f>
        <v>0</v>
      </c>
      <c r="T43" s="180">
        <f>订货1!AS44</f>
        <v>0</v>
      </c>
      <c r="U43" s="180">
        <f>订货1!AT44</f>
        <v>0</v>
      </c>
      <c r="V43" s="180">
        <f>订货1!AU44</f>
        <v>0</v>
      </c>
      <c r="W43" s="180">
        <f>订货1!AV44</f>
        <v>0</v>
      </c>
      <c r="X43" s="180">
        <f>订货1!AW44</f>
        <v>0</v>
      </c>
      <c r="Y43" s="180">
        <f>订货1!AX44</f>
        <v>0</v>
      </c>
      <c r="Z43" s="180">
        <f>订货1!AY44</f>
        <v>0</v>
      </c>
      <c r="AA43" s="180">
        <f>订货1!AZ44</f>
        <v>0</v>
      </c>
      <c r="AB43" s="180">
        <f>订货1!BA44</f>
        <v>0</v>
      </c>
      <c r="AC43" s="180">
        <f>订货1!BB44</f>
        <v>0</v>
      </c>
      <c r="AD43" s="180">
        <f>订货1!BC44</f>
        <v>0</v>
      </c>
      <c r="AE43" s="180">
        <f>订货1!BD44</f>
        <v>0</v>
      </c>
      <c r="AF43" s="180">
        <f>订货1!BE44</f>
        <v>0</v>
      </c>
      <c r="AG43" s="180">
        <f>订货1!BF44</f>
        <v>0</v>
      </c>
      <c r="AH43" s="176"/>
      <c r="AI43" s="178" t="e">
        <f>店铺收货台帐2!DE44</f>
        <v>#DIV/0!</v>
      </c>
    </row>
    <row r="44" spans="1:35" hidden="1">
      <c r="A44" s="37">
        <f>订货1!K45</f>
        <v>730013</v>
      </c>
      <c r="B44" s="37" t="str">
        <f>订货1!M45</f>
        <v>火龙果</v>
      </c>
      <c r="C44" s="180">
        <f>订货1!AB45</f>
        <v>0</v>
      </c>
      <c r="D44" s="180">
        <f>订货1!AC45</f>
        <v>0</v>
      </c>
      <c r="E44" s="180">
        <f>订货1!AD45</f>
        <v>0</v>
      </c>
      <c r="F44" s="180">
        <f>订货1!AE45</f>
        <v>0</v>
      </c>
      <c r="G44" s="180">
        <f>订货1!AF45</f>
        <v>0</v>
      </c>
      <c r="H44" s="180">
        <f>订货1!AG45</f>
        <v>0</v>
      </c>
      <c r="I44" s="180">
        <f>订货1!AH45</f>
        <v>0</v>
      </c>
      <c r="J44" s="180">
        <f>订货1!AI45</f>
        <v>0</v>
      </c>
      <c r="K44" s="180">
        <f>订货1!AJ45</f>
        <v>0</v>
      </c>
      <c r="L44" s="180">
        <f>订货1!AK45</f>
        <v>0</v>
      </c>
      <c r="M44" s="180">
        <f>订货1!AL45</f>
        <v>0</v>
      </c>
      <c r="N44" s="180">
        <f>订货1!AM45</f>
        <v>0</v>
      </c>
      <c r="O44" s="180">
        <f>订货1!AN45</f>
        <v>0</v>
      </c>
      <c r="P44" s="180">
        <f>订货1!AO45</f>
        <v>0</v>
      </c>
      <c r="Q44" s="180">
        <f>订货1!AP45</f>
        <v>0</v>
      </c>
      <c r="R44" s="180">
        <f>订货1!AQ45</f>
        <v>0</v>
      </c>
      <c r="S44" s="180">
        <f>订货1!AR45</f>
        <v>0</v>
      </c>
      <c r="T44" s="180">
        <f>订货1!AS45</f>
        <v>0</v>
      </c>
      <c r="U44" s="180">
        <f>订货1!AT45</f>
        <v>0</v>
      </c>
      <c r="V44" s="180">
        <f>订货1!AU45</f>
        <v>0</v>
      </c>
      <c r="W44" s="180">
        <f>订货1!AV45</f>
        <v>0</v>
      </c>
      <c r="X44" s="180">
        <f>订货1!AW45</f>
        <v>0</v>
      </c>
      <c r="Y44" s="180">
        <f>订货1!AX45</f>
        <v>0</v>
      </c>
      <c r="Z44" s="180">
        <f>订货1!AY45</f>
        <v>0</v>
      </c>
      <c r="AA44" s="180">
        <f>订货1!AZ45</f>
        <v>0</v>
      </c>
      <c r="AB44" s="180">
        <f>订货1!BA45</f>
        <v>0</v>
      </c>
      <c r="AC44" s="180">
        <f>订货1!BB45</f>
        <v>0</v>
      </c>
      <c r="AD44" s="180">
        <f>订货1!BC45</f>
        <v>0</v>
      </c>
      <c r="AE44" s="180">
        <f>订货1!BD45</f>
        <v>0</v>
      </c>
      <c r="AF44" s="180">
        <f>订货1!BE45</f>
        <v>0</v>
      </c>
      <c r="AG44" s="180">
        <f>订货1!BF45</f>
        <v>0</v>
      </c>
      <c r="AH44" s="176"/>
      <c r="AI44" s="178" t="e">
        <f>店铺收货台帐2!DE45</f>
        <v>#DIV/0!</v>
      </c>
    </row>
    <row r="45" spans="1:35" hidden="1">
      <c r="A45" s="37">
        <f>订货1!K46</f>
        <v>730014</v>
      </c>
      <c r="B45" s="37" t="str">
        <f>订货1!M46</f>
        <v>牛肚配菜(实验店铺用）</v>
      </c>
      <c r="C45" s="180">
        <f>订货1!AB46</f>
        <v>0</v>
      </c>
      <c r="D45" s="180">
        <f>订货1!AC46</f>
        <v>0</v>
      </c>
      <c r="E45" s="180">
        <f>订货1!AD46</f>
        <v>0</v>
      </c>
      <c r="F45" s="180">
        <f>订货1!AE46</f>
        <v>0</v>
      </c>
      <c r="G45" s="180">
        <f>订货1!AF46</f>
        <v>0</v>
      </c>
      <c r="H45" s="180">
        <f>订货1!AG46</f>
        <v>0</v>
      </c>
      <c r="I45" s="180">
        <f>订货1!AH46</f>
        <v>0</v>
      </c>
      <c r="J45" s="180">
        <f>订货1!AI46</f>
        <v>0</v>
      </c>
      <c r="K45" s="180">
        <f>订货1!AJ46</f>
        <v>0</v>
      </c>
      <c r="L45" s="180">
        <f>订货1!AK46</f>
        <v>0</v>
      </c>
      <c r="M45" s="180">
        <f>订货1!AL46</f>
        <v>0</v>
      </c>
      <c r="N45" s="180">
        <f>订货1!AM46</f>
        <v>0</v>
      </c>
      <c r="O45" s="180">
        <f>订货1!AN46</f>
        <v>0</v>
      </c>
      <c r="P45" s="180">
        <f>订货1!AO46</f>
        <v>0</v>
      </c>
      <c r="Q45" s="180">
        <f>订货1!AP46</f>
        <v>0</v>
      </c>
      <c r="R45" s="180">
        <f>订货1!AQ46</f>
        <v>0</v>
      </c>
      <c r="S45" s="180">
        <f>订货1!AR46</f>
        <v>0</v>
      </c>
      <c r="T45" s="180">
        <f>订货1!AS46</f>
        <v>0</v>
      </c>
      <c r="U45" s="180">
        <f>订货1!AT46</f>
        <v>0</v>
      </c>
      <c r="V45" s="180">
        <f>订货1!AU46</f>
        <v>0</v>
      </c>
      <c r="W45" s="180">
        <f>订货1!AV46</f>
        <v>0</v>
      </c>
      <c r="X45" s="180">
        <f>订货1!AW46</f>
        <v>0</v>
      </c>
      <c r="Y45" s="180">
        <f>订货1!AX46</f>
        <v>0</v>
      </c>
      <c r="Z45" s="180">
        <f>订货1!AY46</f>
        <v>0</v>
      </c>
      <c r="AA45" s="180">
        <f>订货1!AZ46</f>
        <v>0</v>
      </c>
      <c r="AB45" s="180">
        <f>订货1!BA46</f>
        <v>0</v>
      </c>
      <c r="AC45" s="180">
        <f>订货1!BB46</f>
        <v>0</v>
      </c>
      <c r="AD45" s="180">
        <f>订货1!BC46</f>
        <v>0</v>
      </c>
      <c r="AE45" s="180">
        <f>订货1!BD46</f>
        <v>0</v>
      </c>
      <c r="AF45" s="180">
        <f>订货1!BE46</f>
        <v>0</v>
      </c>
      <c r="AG45" s="180">
        <f>订货1!BF46</f>
        <v>0</v>
      </c>
      <c r="AH45" s="176"/>
      <c r="AI45" s="178" t="e">
        <f>店铺收货台帐2!DE46</f>
        <v>#DIV/0!</v>
      </c>
    </row>
    <row r="46" spans="1:35" hidden="1">
      <c r="A46" s="37">
        <f>订货1!K47</f>
        <v>730017</v>
      </c>
      <c r="B46" s="37" t="str">
        <f>订货1!M47</f>
        <v>柏林沙拉（新）</v>
      </c>
      <c r="C46" s="180">
        <f>订货1!AB47</f>
        <v>0</v>
      </c>
      <c r="D46" s="180">
        <f>订货1!AC47</f>
        <v>0</v>
      </c>
      <c r="E46" s="180">
        <f>订货1!AD47</f>
        <v>0</v>
      </c>
      <c r="F46" s="180">
        <f>订货1!AE47</f>
        <v>0</v>
      </c>
      <c r="G46" s="180">
        <f>订货1!AF47</f>
        <v>0</v>
      </c>
      <c r="H46" s="180">
        <f>订货1!AG47</f>
        <v>0</v>
      </c>
      <c r="I46" s="180">
        <f>订货1!AH47</f>
        <v>0</v>
      </c>
      <c r="J46" s="180">
        <f>订货1!AI47</f>
        <v>0</v>
      </c>
      <c r="K46" s="180">
        <f>订货1!AJ47</f>
        <v>0</v>
      </c>
      <c r="L46" s="180">
        <f>订货1!AK47</f>
        <v>0</v>
      </c>
      <c r="M46" s="180">
        <f>订货1!AL47</f>
        <v>0</v>
      </c>
      <c r="N46" s="180">
        <f>订货1!AM47</f>
        <v>0</v>
      </c>
      <c r="O46" s="180">
        <f>订货1!AN47</f>
        <v>0</v>
      </c>
      <c r="P46" s="180">
        <f>订货1!AO47</f>
        <v>0</v>
      </c>
      <c r="Q46" s="180">
        <f>订货1!AP47</f>
        <v>0</v>
      </c>
      <c r="R46" s="180">
        <f>订货1!AQ47</f>
        <v>0</v>
      </c>
      <c r="S46" s="180">
        <f>订货1!AR47</f>
        <v>0</v>
      </c>
      <c r="T46" s="180">
        <f>订货1!AS47</f>
        <v>0</v>
      </c>
      <c r="U46" s="180">
        <f>订货1!AT47</f>
        <v>0</v>
      </c>
      <c r="V46" s="180">
        <f>订货1!AU47</f>
        <v>0</v>
      </c>
      <c r="W46" s="180">
        <f>订货1!AV47</f>
        <v>0</v>
      </c>
      <c r="X46" s="180">
        <f>订货1!AW47</f>
        <v>0</v>
      </c>
      <c r="Y46" s="180">
        <f>订货1!AX47</f>
        <v>0</v>
      </c>
      <c r="Z46" s="180">
        <f>订货1!AY47</f>
        <v>0</v>
      </c>
      <c r="AA46" s="180">
        <f>订货1!AZ47</f>
        <v>0</v>
      </c>
      <c r="AB46" s="180">
        <f>订货1!BA47</f>
        <v>0</v>
      </c>
      <c r="AC46" s="180">
        <f>订货1!BB47</f>
        <v>0</v>
      </c>
      <c r="AD46" s="180">
        <f>订货1!BC47</f>
        <v>0</v>
      </c>
      <c r="AE46" s="180">
        <f>订货1!BD47</f>
        <v>0</v>
      </c>
      <c r="AF46" s="180">
        <f>订货1!BE47</f>
        <v>0</v>
      </c>
      <c r="AG46" s="180">
        <f>订货1!BF47</f>
        <v>0</v>
      </c>
      <c r="AH46" s="176"/>
      <c r="AI46" s="178" t="e">
        <f>店铺收货台帐2!DE47</f>
        <v>#DIV/0!</v>
      </c>
    </row>
    <row r="47" spans="1:35" hidden="1">
      <c r="A47" s="37">
        <f>订货1!K48</f>
        <v>730016</v>
      </c>
      <c r="B47" s="37" t="str">
        <f>订货1!M48</f>
        <v>盒色拉</v>
      </c>
      <c r="C47" s="180">
        <f>订货1!AB48</f>
        <v>0</v>
      </c>
      <c r="D47" s="180">
        <f>订货1!AC48</f>
        <v>0</v>
      </c>
      <c r="E47" s="180">
        <f>订货1!AD48</f>
        <v>0</v>
      </c>
      <c r="F47" s="180">
        <f>订货1!AE48</f>
        <v>0</v>
      </c>
      <c r="G47" s="180">
        <f>订货1!AF48</f>
        <v>0</v>
      </c>
      <c r="H47" s="180">
        <f>订货1!AG48</f>
        <v>0</v>
      </c>
      <c r="I47" s="180">
        <f>订货1!AH48</f>
        <v>0</v>
      </c>
      <c r="J47" s="180">
        <f>订货1!AI48</f>
        <v>0</v>
      </c>
      <c r="K47" s="180">
        <f>订货1!AJ48</f>
        <v>0</v>
      </c>
      <c r="L47" s="180">
        <f>订货1!AK48</f>
        <v>0</v>
      </c>
      <c r="M47" s="180">
        <f>订货1!AL48</f>
        <v>0</v>
      </c>
      <c r="N47" s="180">
        <f>订货1!AM48</f>
        <v>0</v>
      </c>
      <c r="O47" s="180">
        <f>订货1!AN48</f>
        <v>0</v>
      </c>
      <c r="P47" s="180">
        <f>订货1!AO48</f>
        <v>0</v>
      </c>
      <c r="Q47" s="180">
        <f>订货1!AP48</f>
        <v>0</v>
      </c>
      <c r="R47" s="180">
        <f>订货1!AQ48</f>
        <v>0</v>
      </c>
      <c r="S47" s="180">
        <f>订货1!AR48</f>
        <v>0</v>
      </c>
      <c r="T47" s="180">
        <f>订货1!AS48</f>
        <v>0</v>
      </c>
      <c r="U47" s="180">
        <f>订货1!AT48</f>
        <v>0</v>
      </c>
      <c r="V47" s="180">
        <f>订货1!AU48</f>
        <v>0</v>
      </c>
      <c r="W47" s="180">
        <f>订货1!AV48</f>
        <v>0</v>
      </c>
      <c r="X47" s="180">
        <f>订货1!AW48</f>
        <v>0</v>
      </c>
      <c r="Y47" s="180">
        <f>订货1!AX48</f>
        <v>0</v>
      </c>
      <c r="Z47" s="180">
        <f>订货1!AY48</f>
        <v>0</v>
      </c>
      <c r="AA47" s="180">
        <f>订货1!AZ48</f>
        <v>0</v>
      </c>
      <c r="AB47" s="180">
        <f>订货1!BA48</f>
        <v>0</v>
      </c>
      <c r="AC47" s="180">
        <f>订货1!BB48</f>
        <v>0</v>
      </c>
      <c r="AD47" s="180">
        <f>订货1!BC48</f>
        <v>0</v>
      </c>
      <c r="AE47" s="180">
        <f>订货1!BD48</f>
        <v>0</v>
      </c>
      <c r="AF47" s="180">
        <f>订货1!BE48</f>
        <v>0</v>
      </c>
      <c r="AG47" s="180">
        <f>订货1!BF48</f>
        <v>0</v>
      </c>
      <c r="AH47" s="176"/>
      <c r="AI47" s="178" t="e">
        <f>店铺收货台帐2!DE48</f>
        <v>#DIV/0!</v>
      </c>
    </row>
    <row r="48" spans="1:35" hidden="1">
      <c r="A48" s="37">
        <f>订货1!K49</f>
        <v>101135</v>
      </c>
      <c r="B48" s="37" t="str">
        <f>订货1!M49</f>
        <v>披萨专用面团</v>
      </c>
      <c r="C48" s="180">
        <f>订货1!AB49</f>
        <v>0</v>
      </c>
      <c r="D48" s="180">
        <f>订货1!AC49</f>
        <v>0</v>
      </c>
      <c r="E48" s="180">
        <f>订货1!AD49</f>
        <v>0</v>
      </c>
      <c r="F48" s="180">
        <f>订货1!AE49</f>
        <v>0</v>
      </c>
      <c r="G48" s="180">
        <f>订货1!AF49</f>
        <v>0</v>
      </c>
      <c r="H48" s="180">
        <f>订货1!AG49</f>
        <v>0</v>
      </c>
      <c r="I48" s="180">
        <f>订货1!AH49</f>
        <v>0</v>
      </c>
      <c r="J48" s="180">
        <f>订货1!AI49</f>
        <v>0</v>
      </c>
      <c r="K48" s="180">
        <f>订货1!AJ49</f>
        <v>0</v>
      </c>
      <c r="L48" s="180">
        <f>订货1!AK49</f>
        <v>0</v>
      </c>
      <c r="M48" s="180">
        <f>订货1!AL49</f>
        <v>0</v>
      </c>
      <c r="N48" s="180">
        <f>订货1!AM49</f>
        <v>0</v>
      </c>
      <c r="O48" s="180">
        <f>订货1!AN49</f>
        <v>0</v>
      </c>
      <c r="P48" s="180">
        <f>订货1!AO49</f>
        <v>0</v>
      </c>
      <c r="Q48" s="180">
        <f>订货1!AP49</f>
        <v>0</v>
      </c>
      <c r="R48" s="180">
        <f>订货1!AQ49</f>
        <v>0</v>
      </c>
      <c r="S48" s="180">
        <f>订货1!AR49</f>
        <v>0</v>
      </c>
      <c r="T48" s="180">
        <f>订货1!AS49</f>
        <v>0</v>
      </c>
      <c r="U48" s="180">
        <f>订货1!AT49</f>
        <v>0</v>
      </c>
      <c r="V48" s="180">
        <f>订货1!AU49</f>
        <v>0</v>
      </c>
      <c r="W48" s="180">
        <f>订货1!AV49</f>
        <v>0</v>
      </c>
      <c r="X48" s="180">
        <f>订货1!AW49</f>
        <v>0</v>
      </c>
      <c r="Y48" s="180">
        <f>订货1!AX49</f>
        <v>0</v>
      </c>
      <c r="Z48" s="180">
        <f>订货1!AY49</f>
        <v>0</v>
      </c>
      <c r="AA48" s="180">
        <f>订货1!AZ49</f>
        <v>0</v>
      </c>
      <c r="AB48" s="180">
        <f>订货1!BA49</f>
        <v>0</v>
      </c>
      <c r="AC48" s="180">
        <f>订货1!BB49</f>
        <v>0</v>
      </c>
      <c r="AD48" s="180">
        <f>订货1!BC49</f>
        <v>0</v>
      </c>
      <c r="AE48" s="180">
        <f>订货1!BD49</f>
        <v>0</v>
      </c>
      <c r="AF48" s="180">
        <f>订货1!BE49</f>
        <v>0</v>
      </c>
      <c r="AG48" s="180">
        <f>订货1!BF49</f>
        <v>0</v>
      </c>
      <c r="AH48" s="176"/>
      <c r="AI48" s="178" t="e">
        <f>店铺收货台帐2!DE49</f>
        <v>#DIV/0!</v>
      </c>
    </row>
    <row r="49" spans="1:35" hidden="1">
      <c r="A49" s="37">
        <f>订货1!K50</f>
        <v>101543</v>
      </c>
      <c r="B49" s="37" t="str">
        <f>订货1!M50</f>
        <v>9寸实验饼底</v>
      </c>
      <c r="C49" s="180">
        <f>订货1!AB50</f>
        <v>0</v>
      </c>
      <c r="D49" s="180">
        <f>订货1!AC50</f>
        <v>0</v>
      </c>
      <c r="E49" s="180">
        <f>订货1!AD50</f>
        <v>0</v>
      </c>
      <c r="F49" s="180">
        <f>订货1!AE50</f>
        <v>0</v>
      </c>
      <c r="G49" s="180">
        <f>订货1!AF50</f>
        <v>0</v>
      </c>
      <c r="H49" s="180">
        <f>订货1!AG50</f>
        <v>0</v>
      </c>
      <c r="I49" s="180">
        <f>订货1!AH50</f>
        <v>0</v>
      </c>
      <c r="J49" s="180">
        <f>订货1!AI50</f>
        <v>0</v>
      </c>
      <c r="K49" s="180">
        <f>订货1!AJ50</f>
        <v>0</v>
      </c>
      <c r="L49" s="180">
        <f>订货1!AK50</f>
        <v>0</v>
      </c>
      <c r="M49" s="180">
        <f>订货1!AL50</f>
        <v>0</v>
      </c>
      <c r="N49" s="180">
        <f>订货1!AM50</f>
        <v>0</v>
      </c>
      <c r="O49" s="180">
        <f>订货1!AN50</f>
        <v>0</v>
      </c>
      <c r="P49" s="180">
        <f>订货1!AO50</f>
        <v>0</v>
      </c>
      <c r="Q49" s="180">
        <f>订货1!AP50</f>
        <v>0</v>
      </c>
      <c r="R49" s="180">
        <f>订货1!AQ50</f>
        <v>0</v>
      </c>
      <c r="S49" s="180">
        <f>订货1!AR50</f>
        <v>0</v>
      </c>
      <c r="T49" s="180">
        <f>订货1!AS50</f>
        <v>0</v>
      </c>
      <c r="U49" s="180">
        <f>订货1!AT50</f>
        <v>0</v>
      </c>
      <c r="V49" s="180">
        <f>订货1!AU50</f>
        <v>0</v>
      </c>
      <c r="W49" s="180">
        <f>订货1!AV50</f>
        <v>0</v>
      </c>
      <c r="X49" s="180">
        <f>订货1!AW50</f>
        <v>0</v>
      </c>
      <c r="Y49" s="180">
        <f>订货1!AX50</f>
        <v>0</v>
      </c>
      <c r="Z49" s="180">
        <f>订货1!AY50</f>
        <v>0</v>
      </c>
      <c r="AA49" s="180">
        <f>订货1!AZ50</f>
        <v>0</v>
      </c>
      <c r="AB49" s="180">
        <f>订货1!BA50</f>
        <v>0</v>
      </c>
      <c r="AC49" s="180">
        <f>订货1!BB50</f>
        <v>0</v>
      </c>
      <c r="AD49" s="180">
        <f>订货1!BC50</f>
        <v>0</v>
      </c>
      <c r="AE49" s="180">
        <f>订货1!BD50</f>
        <v>0</v>
      </c>
      <c r="AF49" s="180">
        <f>订货1!BE50</f>
        <v>0</v>
      </c>
      <c r="AG49" s="180">
        <f>订货1!BF50</f>
        <v>0</v>
      </c>
      <c r="AH49" s="176"/>
      <c r="AI49" s="178" t="e">
        <f>店铺收货台帐2!DE50</f>
        <v>#DIV/0!</v>
      </c>
    </row>
    <row r="50" spans="1:35" hidden="1">
      <c r="A50" s="37">
        <f>订货1!K51</f>
        <v>101746</v>
      </c>
      <c r="B50" s="37" t="str">
        <f>订货1!M51</f>
        <v>稀奶油</v>
      </c>
      <c r="C50" s="180">
        <f>订货1!AB51</f>
        <v>0</v>
      </c>
      <c r="D50" s="180">
        <f>订货1!AC51</f>
        <v>0</v>
      </c>
      <c r="E50" s="180">
        <f>订货1!AD51</f>
        <v>0</v>
      </c>
      <c r="F50" s="180">
        <f>订货1!AE51</f>
        <v>0</v>
      </c>
      <c r="G50" s="180">
        <f>订货1!AF51</f>
        <v>0</v>
      </c>
      <c r="H50" s="180">
        <f>订货1!AG51</f>
        <v>1</v>
      </c>
      <c r="I50" s="180">
        <f>订货1!AH51</f>
        <v>0</v>
      </c>
      <c r="J50" s="180">
        <f>订货1!AI51</f>
        <v>0</v>
      </c>
      <c r="K50" s="180">
        <f>订货1!AJ51</f>
        <v>0</v>
      </c>
      <c r="L50" s="180">
        <f>订货1!AK51</f>
        <v>0</v>
      </c>
      <c r="M50" s="180">
        <f>订货1!AL51</f>
        <v>0</v>
      </c>
      <c r="N50" s="180">
        <f>订货1!AM51</f>
        <v>0</v>
      </c>
      <c r="O50" s="180">
        <f>订货1!AN51</f>
        <v>0</v>
      </c>
      <c r="P50" s="180">
        <f>订货1!AO51</f>
        <v>0</v>
      </c>
      <c r="Q50" s="180">
        <f>订货1!AP51</f>
        <v>0</v>
      </c>
      <c r="R50" s="180">
        <f>订货1!AQ51</f>
        <v>0</v>
      </c>
      <c r="S50" s="180">
        <f>订货1!AR51</f>
        <v>0</v>
      </c>
      <c r="T50" s="180">
        <f>订货1!AS51</f>
        <v>0</v>
      </c>
      <c r="U50" s="180">
        <f>订货1!AT51</f>
        <v>0</v>
      </c>
      <c r="V50" s="180">
        <f>订货1!AU51</f>
        <v>0</v>
      </c>
      <c r="W50" s="180">
        <f>订货1!AV51</f>
        <v>0</v>
      </c>
      <c r="X50" s="180">
        <f>订货1!AW51</f>
        <v>0</v>
      </c>
      <c r="Y50" s="180">
        <f>订货1!AX51</f>
        <v>0</v>
      </c>
      <c r="Z50" s="180">
        <f>订货1!AY51</f>
        <v>0</v>
      </c>
      <c r="AA50" s="180">
        <f>订货1!AZ51</f>
        <v>0</v>
      </c>
      <c r="AB50" s="180">
        <f>订货1!BA51</f>
        <v>0</v>
      </c>
      <c r="AC50" s="180">
        <f>订货1!BB51</f>
        <v>0</v>
      </c>
      <c r="AD50" s="180">
        <f>订货1!BC51</f>
        <v>0</v>
      </c>
      <c r="AE50" s="180">
        <f>订货1!BD51</f>
        <v>0</v>
      </c>
      <c r="AF50" s="180">
        <f>订货1!BE51</f>
        <v>0</v>
      </c>
      <c r="AG50" s="180">
        <f>订货1!BF51</f>
        <v>0</v>
      </c>
      <c r="AH50" s="176"/>
      <c r="AI50" s="178" t="e">
        <f>店铺收货台帐2!DE51</f>
        <v>#DIV/0!</v>
      </c>
    </row>
    <row r="51" spans="1:35" hidden="1">
      <c r="A51" s="37">
        <f>订货1!K52</f>
        <v>101702</v>
      </c>
      <c r="B51" s="37" t="str">
        <f>订货1!M52</f>
        <v>茄汁千层面</v>
      </c>
      <c r="C51" s="180">
        <f>订货1!AB52</f>
        <v>0</v>
      </c>
      <c r="D51" s="180">
        <f>订货1!AC52</f>
        <v>0</v>
      </c>
      <c r="E51" s="180">
        <f>订货1!AD52</f>
        <v>0</v>
      </c>
      <c r="F51" s="180">
        <f>订货1!AE52</f>
        <v>0</v>
      </c>
      <c r="G51" s="180">
        <f>订货1!AF52</f>
        <v>0</v>
      </c>
      <c r="H51" s="180">
        <f>订货1!AG52</f>
        <v>0</v>
      </c>
      <c r="I51" s="180">
        <f>订货1!AH52</f>
        <v>0</v>
      </c>
      <c r="J51" s="180">
        <f>订货1!AI52</f>
        <v>0</v>
      </c>
      <c r="K51" s="180">
        <f>订货1!AJ52</f>
        <v>0</v>
      </c>
      <c r="L51" s="180">
        <f>订货1!AK52</f>
        <v>0</v>
      </c>
      <c r="M51" s="180">
        <f>订货1!AL52</f>
        <v>0</v>
      </c>
      <c r="N51" s="180">
        <f>订货1!AM52</f>
        <v>0</v>
      </c>
      <c r="O51" s="180">
        <f>订货1!AN52</f>
        <v>0</v>
      </c>
      <c r="P51" s="180">
        <f>订货1!AO52</f>
        <v>0</v>
      </c>
      <c r="Q51" s="180">
        <f>订货1!AP52</f>
        <v>0</v>
      </c>
      <c r="R51" s="180">
        <f>订货1!AQ52</f>
        <v>0</v>
      </c>
      <c r="S51" s="180">
        <f>订货1!AR52</f>
        <v>0</v>
      </c>
      <c r="T51" s="180">
        <f>订货1!AS52</f>
        <v>0</v>
      </c>
      <c r="U51" s="180">
        <f>订货1!AT52</f>
        <v>0</v>
      </c>
      <c r="V51" s="180">
        <f>订货1!AU52</f>
        <v>0</v>
      </c>
      <c r="W51" s="180">
        <f>订货1!AV52</f>
        <v>0</v>
      </c>
      <c r="X51" s="180">
        <f>订货1!AW52</f>
        <v>0</v>
      </c>
      <c r="Y51" s="180">
        <f>订货1!AX52</f>
        <v>0</v>
      </c>
      <c r="Z51" s="180">
        <f>订货1!AY52</f>
        <v>0</v>
      </c>
      <c r="AA51" s="180">
        <f>订货1!AZ52</f>
        <v>0</v>
      </c>
      <c r="AB51" s="180">
        <f>订货1!BA52</f>
        <v>0</v>
      </c>
      <c r="AC51" s="180">
        <f>订货1!BB52</f>
        <v>0</v>
      </c>
      <c r="AD51" s="180">
        <f>订货1!BC52</f>
        <v>0</v>
      </c>
      <c r="AE51" s="180">
        <f>订货1!BD52</f>
        <v>0</v>
      </c>
      <c r="AF51" s="180">
        <f>订货1!BE52</f>
        <v>0</v>
      </c>
      <c r="AG51" s="180">
        <f>订货1!BF52</f>
        <v>0</v>
      </c>
      <c r="AH51" s="176"/>
      <c r="AI51" s="178" t="e">
        <f>店铺收货台帐2!DE52</f>
        <v>#DIV/0!</v>
      </c>
    </row>
    <row r="52" spans="1:35" hidden="1">
      <c r="A52" s="37">
        <f>订货1!K53</f>
        <v>101595</v>
      </c>
      <c r="B52" s="37" t="str">
        <f>订货1!M53</f>
        <v>罗勒松子酱</v>
      </c>
      <c r="C52" s="180">
        <f>订货1!AB53</f>
        <v>0</v>
      </c>
      <c r="D52" s="180">
        <f>订货1!AC53</f>
        <v>0</v>
      </c>
      <c r="E52" s="180">
        <f>订货1!AD53</f>
        <v>0</v>
      </c>
      <c r="F52" s="180">
        <f>订货1!AE53</f>
        <v>0</v>
      </c>
      <c r="G52" s="180">
        <f>订货1!AF53</f>
        <v>0</v>
      </c>
      <c r="H52" s="180">
        <f>订货1!AG53</f>
        <v>1</v>
      </c>
      <c r="I52" s="180">
        <f>订货1!AH53</f>
        <v>0</v>
      </c>
      <c r="J52" s="180">
        <f>订货1!AI53</f>
        <v>0</v>
      </c>
      <c r="K52" s="180">
        <f>订货1!AJ53</f>
        <v>0</v>
      </c>
      <c r="L52" s="180">
        <f>订货1!AK53</f>
        <v>0</v>
      </c>
      <c r="M52" s="180">
        <f>订货1!AL53</f>
        <v>0</v>
      </c>
      <c r="N52" s="180">
        <f>订货1!AM53</f>
        <v>0</v>
      </c>
      <c r="O52" s="180">
        <f>订货1!AN53</f>
        <v>0</v>
      </c>
      <c r="P52" s="180">
        <f>订货1!AO53</f>
        <v>0</v>
      </c>
      <c r="Q52" s="180">
        <f>订货1!AP53</f>
        <v>0</v>
      </c>
      <c r="R52" s="180">
        <f>订货1!AQ53</f>
        <v>0</v>
      </c>
      <c r="S52" s="180">
        <f>订货1!AR53</f>
        <v>0</v>
      </c>
      <c r="T52" s="180">
        <f>订货1!AS53</f>
        <v>0</v>
      </c>
      <c r="U52" s="180">
        <f>订货1!AT53</f>
        <v>0</v>
      </c>
      <c r="V52" s="180">
        <f>订货1!AU53</f>
        <v>0</v>
      </c>
      <c r="W52" s="180">
        <f>订货1!AV53</f>
        <v>0</v>
      </c>
      <c r="X52" s="180">
        <f>订货1!AW53</f>
        <v>0</v>
      </c>
      <c r="Y52" s="180">
        <f>订货1!AX53</f>
        <v>0</v>
      </c>
      <c r="Z52" s="180">
        <f>订货1!AY53</f>
        <v>0</v>
      </c>
      <c r="AA52" s="180">
        <f>订货1!AZ53</f>
        <v>0</v>
      </c>
      <c r="AB52" s="180">
        <f>订货1!BA53</f>
        <v>0</v>
      </c>
      <c r="AC52" s="180">
        <f>订货1!BB53</f>
        <v>0</v>
      </c>
      <c r="AD52" s="180">
        <f>订货1!BC53</f>
        <v>0</v>
      </c>
      <c r="AE52" s="180">
        <f>订货1!BD53</f>
        <v>0</v>
      </c>
      <c r="AF52" s="180">
        <f>订货1!BE53</f>
        <v>0</v>
      </c>
      <c r="AG52" s="180">
        <f>订货1!BF53</f>
        <v>0</v>
      </c>
      <c r="AH52" s="176"/>
      <c r="AI52" s="178" t="e">
        <f>店铺收货台帐2!DE53</f>
        <v>#DIV/0!</v>
      </c>
    </row>
    <row r="53" spans="1:35" hidden="1">
      <c r="A53" s="37">
        <f>订货1!K54</f>
        <v>101700</v>
      </c>
      <c r="B53" s="37" t="str">
        <f>订货1!M54</f>
        <v>白砂糖</v>
      </c>
      <c r="C53" s="180">
        <f>订货1!AB54</f>
        <v>0</v>
      </c>
      <c r="D53" s="180">
        <f>订货1!AC54</f>
        <v>0</v>
      </c>
      <c r="E53" s="180">
        <f>订货1!AD54</f>
        <v>0</v>
      </c>
      <c r="F53" s="180">
        <f>订货1!AE54</f>
        <v>0</v>
      </c>
      <c r="G53" s="180">
        <f>订货1!AF54</f>
        <v>0</v>
      </c>
      <c r="H53" s="180">
        <f>订货1!AG54</f>
        <v>0</v>
      </c>
      <c r="I53" s="180">
        <f>订货1!AH54</f>
        <v>0</v>
      </c>
      <c r="J53" s="180">
        <f>订货1!AI54</f>
        <v>0</v>
      </c>
      <c r="K53" s="180">
        <f>订货1!AJ54</f>
        <v>0</v>
      </c>
      <c r="L53" s="180">
        <f>订货1!AK54</f>
        <v>0</v>
      </c>
      <c r="M53" s="180">
        <f>订货1!AL54</f>
        <v>0</v>
      </c>
      <c r="N53" s="180">
        <f>订货1!AM54</f>
        <v>0</v>
      </c>
      <c r="O53" s="180">
        <f>订货1!AN54</f>
        <v>0</v>
      </c>
      <c r="P53" s="180">
        <f>订货1!AO54</f>
        <v>0</v>
      </c>
      <c r="Q53" s="180">
        <f>订货1!AP54</f>
        <v>0</v>
      </c>
      <c r="R53" s="180">
        <f>订货1!AQ54</f>
        <v>0</v>
      </c>
      <c r="S53" s="180">
        <f>订货1!AR54</f>
        <v>0</v>
      </c>
      <c r="T53" s="180">
        <f>订货1!AS54</f>
        <v>0</v>
      </c>
      <c r="U53" s="180">
        <f>订货1!AT54</f>
        <v>0</v>
      </c>
      <c r="V53" s="180">
        <f>订货1!AU54</f>
        <v>0</v>
      </c>
      <c r="W53" s="180">
        <f>订货1!AV54</f>
        <v>0</v>
      </c>
      <c r="X53" s="180">
        <f>订货1!AW54</f>
        <v>0</v>
      </c>
      <c r="Y53" s="180">
        <f>订货1!AX54</f>
        <v>0</v>
      </c>
      <c r="Z53" s="180">
        <f>订货1!AY54</f>
        <v>0</v>
      </c>
      <c r="AA53" s="180">
        <f>订货1!AZ54</f>
        <v>0</v>
      </c>
      <c r="AB53" s="180">
        <f>订货1!BA54</f>
        <v>0</v>
      </c>
      <c r="AC53" s="180">
        <f>订货1!BB54</f>
        <v>0</v>
      </c>
      <c r="AD53" s="180">
        <f>订货1!BC54</f>
        <v>0</v>
      </c>
      <c r="AE53" s="180">
        <f>订货1!BD54</f>
        <v>0</v>
      </c>
      <c r="AF53" s="180">
        <f>订货1!BE54</f>
        <v>0</v>
      </c>
      <c r="AG53" s="180">
        <f>订货1!BF54</f>
        <v>0</v>
      </c>
      <c r="AH53" s="176"/>
      <c r="AI53" s="178" t="e">
        <f>店铺收货台帐2!DE54</f>
        <v>#DIV/0!</v>
      </c>
    </row>
    <row r="54" spans="1:35" hidden="1">
      <c r="A54" s="37">
        <f>订货1!K55</f>
        <v>101594</v>
      </c>
      <c r="B54" s="37" t="str">
        <f>订货1!M55</f>
        <v>麻辣肉酱</v>
      </c>
      <c r="C54" s="180">
        <f>订货1!AB55</f>
        <v>0</v>
      </c>
      <c r="D54" s="180">
        <f>订货1!AC55</f>
        <v>0</v>
      </c>
      <c r="E54" s="180">
        <f>订货1!AD55</f>
        <v>0</v>
      </c>
      <c r="F54" s="180">
        <f>订货1!AE55</f>
        <v>0</v>
      </c>
      <c r="G54" s="180">
        <f>订货1!AF55</f>
        <v>1</v>
      </c>
      <c r="H54" s="180">
        <f>订货1!AG55</f>
        <v>0</v>
      </c>
      <c r="I54" s="180">
        <f>订货1!AH55</f>
        <v>0</v>
      </c>
      <c r="J54" s="180">
        <f>订货1!AI55</f>
        <v>1</v>
      </c>
      <c r="K54" s="180">
        <f>订货1!AJ55</f>
        <v>0</v>
      </c>
      <c r="L54" s="180">
        <f>订货1!AK55</f>
        <v>0</v>
      </c>
      <c r="M54" s="180">
        <f>订货1!AL55</f>
        <v>0</v>
      </c>
      <c r="N54" s="180">
        <f>订货1!AM55</f>
        <v>1</v>
      </c>
      <c r="O54" s="180">
        <f>订货1!AN55</f>
        <v>0</v>
      </c>
      <c r="P54" s="180">
        <f>订货1!AO55</f>
        <v>1</v>
      </c>
      <c r="Q54" s="180">
        <f>订货1!AP55</f>
        <v>0</v>
      </c>
      <c r="R54" s="180">
        <f>订货1!AQ55</f>
        <v>0</v>
      </c>
      <c r="S54" s="180">
        <f>订货1!AR55</f>
        <v>0</v>
      </c>
      <c r="T54" s="180">
        <f>订货1!AS55</f>
        <v>0</v>
      </c>
      <c r="U54" s="180">
        <f>订货1!AT55</f>
        <v>0</v>
      </c>
      <c r="V54" s="180">
        <f>订货1!AU55</f>
        <v>0</v>
      </c>
      <c r="W54" s="180">
        <f>订货1!AV55</f>
        <v>0</v>
      </c>
      <c r="X54" s="180">
        <f>订货1!AW55</f>
        <v>0</v>
      </c>
      <c r="Y54" s="180">
        <f>订货1!AX55</f>
        <v>0</v>
      </c>
      <c r="Z54" s="180">
        <f>订货1!AY55</f>
        <v>0</v>
      </c>
      <c r="AA54" s="180">
        <f>订货1!AZ55</f>
        <v>0</v>
      </c>
      <c r="AB54" s="180">
        <f>订货1!BA55</f>
        <v>0</v>
      </c>
      <c r="AC54" s="180">
        <f>订货1!BB55</f>
        <v>0</v>
      </c>
      <c r="AD54" s="180">
        <f>订货1!BC55</f>
        <v>0</v>
      </c>
      <c r="AE54" s="180">
        <f>订货1!BD55</f>
        <v>0</v>
      </c>
      <c r="AF54" s="180">
        <f>订货1!BE55</f>
        <v>0</v>
      </c>
      <c r="AG54" s="180">
        <f>订货1!BF55</f>
        <v>0</v>
      </c>
      <c r="AH54" s="176"/>
      <c r="AI54" s="178" t="e">
        <f>店铺收货台帐2!DE55</f>
        <v>#DIV/0!</v>
      </c>
    </row>
    <row r="55" spans="1:35" hidden="1">
      <c r="A55" s="37">
        <f>订货1!K56</f>
        <v>101642</v>
      </c>
      <c r="B55" s="37" t="str">
        <f>订货1!M56</f>
        <v>长粒香大米</v>
      </c>
      <c r="C55" s="180">
        <f>订货1!AB56</f>
        <v>0</v>
      </c>
      <c r="D55" s="180">
        <f>订货1!AC56</f>
        <v>0</v>
      </c>
      <c r="E55" s="180">
        <f>订货1!AD56</f>
        <v>0</v>
      </c>
      <c r="F55" s="180">
        <f>订货1!AE56</f>
        <v>0</v>
      </c>
      <c r="G55" s="180">
        <f>订货1!AF56</f>
        <v>0</v>
      </c>
      <c r="H55" s="180">
        <f>订货1!AG56</f>
        <v>0</v>
      </c>
      <c r="I55" s="180">
        <f>订货1!AH56</f>
        <v>0</v>
      </c>
      <c r="J55" s="180">
        <f>订货1!AI56</f>
        <v>0</v>
      </c>
      <c r="K55" s="180">
        <f>订货1!AJ56</f>
        <v>0</v>
      </c>
      <c r="L55" s="180">
        <f>订货1!AK56</f>
        <v>0</v>
      </c>
      <c r="M55" s="180">
        <f>订货1!AL56</f>
        <v>0</v>
      </c>
      <c r="N55" s="180">
        <f>订货1!AM56</f>
        <v>0</v>
      </c>
      <c r="O55" s="180">
        <f>订货1!AN56</f>
        <v>0</v>
      </c>
      <c r="P55" s="180">
        <f>订货1!AO56</f>
        <v>0</v>
      </c>
      <c r="Q55" s="180">
        <f>订货1!AP56</f>
        <v>0</v>
      </c>
      <c r="R55" s="180">
        <f>订货1!AQ56</f>
        <v>0</v>
      </c>
      <c r="S55" s="180">
        <f>订货1!AR56</f>
        <v>0</v>
      </c>
      <c r="T55" s="180">
        <f>订货1!AS56</f>
        <v>0</v>
      </c>
      <c r="U55" s="180">
        <f>订货1!AT56</f>
        <v>0</v>
      </c>
      <c r="V55" s="180">
        <f>订货1!AU56</f>
        <v>0</v>
      </c>
      <c r="W55" s="180">
        <f>订货1!AV56</f>
        <v>0</v>
      </c>
      <c r="X55" s="180">
        <f>订货1!AW56</f>
        <v>0</v>
      </c>
      <c r="Y55" s="180">
        <f>订货1!AX56</f>
        <v>0</v>
      </c>
      <c r="Z55" s="180">
        <f>订货1!AY56</f>
        <v>0</v>
      </c>
      <c r="AA55" s="180">
        <f>订货1!AZ56</f>
        <v>0</v>
      </c>
      <c r="AB55" s="180">
        <f>订货1!BA56</f>
        <v>0</v>
      </c>
      <c r="AC55" s="180">
        <f>订货1!BB56</f>
        <v>0</v>
      </c>
      <c r="AD55" s="180">
        <f>订货1!BC56</f>
        <v>0</v>
      </c>
      <c r="AE55" s="180">
        <f>订货1!BD56</f>
        <v>0</v>
      </c>
      <c r="AF55" s="180">
        <f>订货1!BE56</f>
        <v>0</v>
      </c>
      <c r="AG55" s="180">
        <f>订货1!BF56</f>
        <v>0</v>
      </c>
      <c r="AH55" s="176"/>
      <c r="AI55" s="178" t="e">
        <f>店铺收货台帐2!DE56</f>
        <v>#DIV/0!</v>
      </c>
    </row>
    <row r="56" spans="1:35" hidden="1">
      <c r="A56" s="37">
        <f>订货1!K57</f>
        <v>101015</v>
      </c>
      <c r="B56" s="37" t="str">
        <f>订货1!M57</f>
        <v>冻鱿鱼圈</v>
      </c>
      <c r="C56" s="180">
        <f>订货1!AB57</f>
        <v>0</v>
      </c>
      <c r="D56" s="180">
        <f>订货1!AC57</f>
        <v>0</v>
      </c>
      <c r="E56" s="180">
        <f>订货1!AD57</f>
        <v>0</v>
      </c>
      <c r="F56" s="180">
        <f>订货1!AE57</f>
        <v>0</v>
      </c>
      <c r="G56" s="180">
        <f>订货1!AF57</f>
        <v>0</v>
      </c>
      <c r="H56" s="180">
        <f>订货1!AG57</f>
        <v>0</v>
      </c>
      <c r="I56" s="180">
        <f>订货1!AH57</f>
        <v>0</v>
      </c>
      <c r="J56" s="180">
        <f>订货1!AI57</f>
        <v>0</v>
      </c>
      <c r="K56" s="180">
        <f>订货1!AJ57</f>
        <v>0</v>
      </c>
      <c r="L56" s="180">
        <f>订货1!AK57</f>
        <v>0</v>
      </c>
      <c r="M56" s="180">
        <f>订货1!AL57</f>
        <v>0</v>
      </c>
      <c r="N56" s="180">
        <f>订货1!AM57</f>
        <v>1</v>
      </c>
      <c r="O56" s="180">
        <f>订货1!AN57</f>
        <v>0</v>
      </c>
      <c r="P56" s="180">
        <f>订货1!AO57</f>
        <v>0</v>
      </c>
      <c r="Q56" s="180">
        <f>订货1!AP57</f>
        <v>0</v>
      </c>
      <c r="R56" s="180">
        <f>订货1!AQ57</f>
        <v>0</v>
      </c>
      <c r="S56" s="180">
        <f>订货1!AR57</f>
        <v>0</v>
      </c>
      <c r="T56" s="180">
        <f>订货1!AS57</f>
        <v>0</v>
      </c>
      <c r="U56" s="180">
        <f>订货1!AT57</f>
        <v>0</v>
      </c>
      <c r="V56" s="180">
        <f>订货1!AU57</f>
        <v>0</v>
      </c>
      <c r="W56" s="180">
        <f>订货1!AV57</f>
        <v>0</v>
      </c>
      <c r="X56" s="180">
        <f>订货1!AW57</f>
        <v>0</v>
      </c>
      <c r="Y56" s="180">
        <f>订货1!AX57</f>
        <v>0</v>
      </c>
      <c r="Z56" s="180">
        <f>订货1!AY57</f>
        <v>0</v>
      </c>
      <c r="AA56" s="180">
        <f>订货1!AZ57</f>
        <v>0</v>
      </c>
      <c r="AB56" s="180">
        <f>订货1!BA57</f>
        <v>0</v>
      </c>
      <c r="AC56" s="180">
        <f>订货1!BB57</f>
        <v>0</v>
      </c>
      <c r="AD56" s="180">
        <f>订货1!BC57</f>
        <v>0</v>
      </c>
      <c r="AE56" s="180">
        <f>订货1!BD57</f>
        <v>0</v>
      </c>
      <c r="AF56" s="180">
        <f>订货1!BE57</f>
        <v>0</v>
      </c>
      <c r="AG56" s="180">
        <f>订货1!BF57</f>
        <v>0</v>
      </c>
      <c r="AH56" s="176"/>
      <c r="AI56" s="178" t="e">
        <f>店铺收货台帐2!DE57</f>
        <v>#DIV/0!</v>
      </c>
    </row>
    <row r="57" spans="1:35" hidden="1">
      <c r="A57" s="37">
        <f>订货1!K58</f>
        <v>101040</v>
      </c>
      <c r="B57" s="37" t="str">
        <f>订货1!M58</f>
        <v>冻煮杂色蛤</v>
      </c>
      <c r="C57" s="180">
        <f>订货1!AB58</f>
        <v>0</v>
      </c>
      <c r="D57" s="180">
        <f>订货1!AC58</f>
        <v>2</v>
      </c>
      <c r="E57" s="180">
        <f>订货1!AD58</f>
        <v>0</v>
      </c>
      <c r="F57" s="180">
        <f>订货1!AE58</f>
        <v>1</v>
      </c>
      <c r="G57" s="180">
        <f>订货1!AF58</f>
        <v>2</v>
      </c>
      <c r="H57" s="180">
        <f>订货1!AG58</f>
        <v>2</v>
      </c>
      <c r="I57" s="180">
        <f>订货1!AH58</f>
        <v>1</v>
      </c>
      <c r="J57" s="180">
        <f>订货1!AI58</f>
        <v>1</v>
      </c>
      <c r="K57" s="180">
        <f>订货1!AJ58</f>
        <v>1</v>
      </c>
      <c r="L57" s="180">
        <f>订货1!AK58</f>
        <v>0</v>
      </c>
      <c r="M57" s="180">
        <f>订货1!AL58</f>
        <v>0</v>
      </c>
      <c r="N57" s="180">
        <f>订货1!AM58</f>
        <v>2</v>
      </c>
      <c r="O57" s="180">
        <f>订货1!AN58</f>
        <v>2</v>
      </c>
      <c r="P57" s="180">
        <f>订货1!AO58</f>
        <v>0</v>
      </c>
      <c r="Q57" s="180">
        <f>订货1!AP58</f>
        <v>0</v>
      </c>
      <c r="R57" s="180">
        <f>订货1!AQ58</f>
        <v>0</v>
      </c>
      <c r="S57" s="180">
        <f>订货1!AR58</f>
        <v>0</v>
      </c>
      <c r="T57" s="180">
        <f>订货1!AS58</f>
        <v>0</v>
      </c>
      <c r="U57" s="180">
        <f>订货1!AT58</f>
        <v>0</v>
      </c>
      <c r="V57" s="180">
        <f>订货1!AU58</f>
        <v>0</v>
      </c>
      <c r="W57" s="180">
        <f>订货1!AV58</f>
        <v>0</v>
      </c>
      <c r="X57" s="180">
        <f>订货1!AW58</f>
        <v>0</v>
      </c>
      <c r="Y57" s="180">
        <f>订货1!AX58</f>
        <v>0</v>
      </c>
      <c r="Z57" s="180">
        <f>订货1!AY58</f>
        <v>0</v>
      </c>
      <c r="AA57" s="180">
        <f>订货1!AZ58</f>
        <v>0</v>
      </c>
      <c r="AB57" s="180">
        <f>订货1!BA58</f>
        <v>0</v>
      </c>
      <c r="AC57" s="180">
        <f>订货1!BB58</f>
        <v>0</v>
      </c>
      <c r="AD57" s="180">
        <f>订货1!BC58</f>
        <v>0</v>
      </c>
      <c r="AE57" s="180">
        <f>订货1!BD58</f>
        <v>0</v>
      </c>
      <c r="AF57" s="180">
        <f>订货1!BE58</f>
        <v>0</v>
      </c>
      <c r="AG57" s="180">
        <f>订货1!BF58</f>
        <v>0</v>
      </c>
      <c r="AH57" s="176"/>
      <c r="AI57" s="178" t="e">
        <f>店铺收货台帐2!DE58</f>
        <v>#DIV/0!</v>
      </c>
    </row>
    <row r="58" spans="1:35" hidden="1">
      <c r="A58" s="37">
        <f>订货1!K59</f>
        <v>101726</v>
      </c>
      <c r="B58" s="37" t="str">
        <f>订货1!M59</f>
        <v>辣泡椒</v>
      </c>
      <c r="C58" s="180">
        <f>订货1!AB59</f>
        <v>0</v>
      </c>
      <c r="D58" s="180">
        <f>订货1!AC59</f>
        <v>0</v>
      </c>
      <c r="E58" s="180">
        <f>订货1!AD59</f>
        <v>0</v>
      </c>
      <c r="F58" s="180">
        <f>订货1!AE59</f>
        <v>0</v>
      </c>
      <c r="G58" s="180">
        <f>订货1!AF59</f>
        <v>0</v>
      </c>
      <c r="H58" s="180">
        <f>订货1!AG59</f>
        <v>0</v>
      </c>
      <c r="I58" s="180">
        <f>订货1!AH59</f>
        <v>0</v>
      </c>
      <c r="J58" s="180">
        <f>订货1!AI59</f>
        <v>0</v>
      </c>
      <c r="K58" s="180">
        <f>订货1!AJ59</f>
        <v>0</v>
      </c>
      <c r="L58" s="180">
        <f>订货1!AK59</f>
        <v>0</v>
      </c>
      <c r="M58" s="180">
        <f>订货1!AL59</f>
        <v>0</v>
      </c>
      <c r="N58" s="180">
        <f>订货1!AM59</f>
        <v>1</v>
      </c>
      <c r="O58" s="180">
        <f>订货1!AN59</f>
        <v>0</v>
      </c>
      <c r="P58" s="180">
        <f>订货1!AO59</f>
        <v>0</v>
      </c>
      <c r="Q58" s="180">
        <f>订货1!AP59</f>
        <v>0</v>
      </c>
      <c r="R58" s="180">
        <f>订货1!AQ59</f>
        <v>0</v>
      </c>
      <c r="S58" s="180">
        <f>订货1!AR59</f>
        <v>0</v>
      </c>
      <c r="T58" s="180">
        <f>订货1!AS59</f>
        <v>0</v>
      </c>
      <c r="U58" s="180">
        <f>订货1!AT59</f>
        <v>0</v>
      </c>
      <c r="V58" s="180">
        <f>订货1!AU59</f>
        <v>0</v>
      </c>
      <c r="W58" s="180">
        <f>订货1!AV59</f>
        <v>0</v>
      </c>
      <c r="X58" s="180">
        <f>订货1!AW59</f>
        <v>0</v>
      </c>
      <c r="Y58" s="180">
        <f>订货1!AX59</f>
        <v>0</v>
      </c>
      <c r="Z58" s="180">
        <f>订货1!AY59</f>
        <v>0</v>
      </c>
      <c r="AA58" s="180">
        <f>订货1!AZ59</f>
        <v>0</v>
      </c>
      <c r="AB58" s="180">
        <f>订货1!BA59</f>
        <v>0</v>
      </c>
      <c r="AC58" s="180">
        <f>订货1!BB59</f>
        <v>0</v>
      </c>
      <c r="AD58" s="180">
        <f>订货1!BC59</f>
        <v>0</v>
      </c>
      <c r="AE58" s="180">
        <f>订货1!BD59</f>
        <v>0</v>
      </c>
      <c r="AF58" s="180">
        <f>订货1!BE59</f>
        <v>0</v>
      </c>
      <c r="AG58" s="180">
        <f>订货1!BF59</f>
        <v>0</v>
      </c>
      <c r="AH58" s="176"/>
      <c r="AI58" s="178" t="e">
        <f>店铺收货台帐2!DE59</f>
        <v>#DIV/0!</v>
      </c>
    </row>
    <row r="59" spans="1:35" hidden="1">
      <c r="A59" s="37">
        <f>订货1!K60</f>
        <v>101590</v>
      </c>
      <c r="B59" s="37" t="str">
        <f>订货1!M60</f>
        <v>金牌巴西甜橙（糖浆）</v>
      </c>
      <c r="C59" s="180">
        <f>订货1!AB60</f>
        <v>0</v>
      </c>
      <c r="D59" s="180">
        <f>订货1!AC60</f>
        <v>0</v>
      </c>
      <c r="E59" s="180">
        <f>订货1!AD60</f>
        <v>0</v>
      </c>
      <c r="F59" s="180">
        <f>订货1!AE60</f>
        <v>0</v>
      </c>
      <c r="G59" s="180">
        <f>订货1!AF60</f>
        <v>0</v>
      </c>
      <c r="H59" s="180">
        <f>订货1!AG60</f>
        <v>0</v>
      </c>
      <c r="I59" s="180">
        <f>订货1!AH60</f>
        <v>0</v>
      </c>
      <c r="J59" s="180">
        <f>订货1!AI60</f>
        <v>0</v>
      </c>
      <c r="K59" s="180">
        <f>订货1!AJ60</f>
        <v>1</v>
      </c>
      <c r="L59" s="180">
        <f>订货1!AK60</f>
        <v>0</v>
      </c>
      <c r="M59" s="180">
        <f>订货1!AL60</f>
        <v>0</v>
      </c>
      <c r="N59" s="180">
        <f>订货1!AM60</f>
        <v>0</v>
      </c>
      <c r="O59" s="180">
        <f>订货1!AN60</f>
        <v>0</v>
      </c>
      <c r="P59" s="180">
        <f>订货1!AO60</f>
        <v>0</v>
      </c>
      <c r="Q59" s="180">
        <f>订货1!AP60</f>
        <v>0</v>
      </c>
      <c r="R59" s="180">
        <f>订货1!AQ60</f>
        <v>0</v>
      </c>
      <c r="S59" s="180">
        <f>订货1!AR60</f>
        <v>0</v>
      </c>
      <c r="T59" s="180">
        <f>订货1!AS60</f>
        <v>0</v>
      </c>
      <c r="U59" s="180">
        <f>订货1!AT60</f>
        <v>0</v>
      </c>
      <c r="V59" s="180">
        <f>订货1!AU60</f>
        <v>0</v>
      </c>
      <c r="W59" s="180">
        <f>订货1!AV60</f>
        <v>0</v>
      </c>
      <c r="X59" s="180">
        <f>订货1!AW60</f>
        <v>0</v>
      </c>
      <c r="Y59" s="180">
        <f>订货1!AX60</f>
        <v>0</v>
      </c>
      <c r="Z59" s="180">
        <f>订货1!AY60</f>
        <v>0</v>
      </c>
      <c r="AA59" s="180">
        <f>订货1!AZ60</f>
        <v>0</v>
      </c>
      <c r="AB59" s="180">
        <f>订货1!BA60</f>
        <v>0</v>
      </c>
      <c r="AC59" s="180">
        <f>订货1!BB60</f>
        <v>0</v>
      </c>
      <c r="AD59" s="180">
        <f>订货1!BC60</f>
        <v>0</v>
      </c>
      <c r="AE59" s="180">
        <f>订货1!BD60</f>
        <v>0</v>
      </c>
      <c r="AF59" s="180">
        <f>订货1!BE60</f>
        <v>0</v>
      </c>
      <c r="AG59" s="180">
        <f>订货1!BF60</f>
        <v>0</v>
      </c>
      <c r="AH59" s="176"/>
      <c r="AI59" s="178" t="e">
        <f>店铺收货台帐2!DE60</f>
        <v>#DIV/0!</v>
      </c>
    </row>
    <row r="60" spans="1:35" hidden="1">
      <c r="A60" s="37">
        <f>订货1!K61</f>
        <v>101767</v>
      </c>
      <c r="B60" s="37" t="str">
        <f>订货1!M61</f>
        <v>薄脆茄红烤翅</v>
      </c>
      <c r="C60" s="180">
        <f>订货1!AB61</f>
        <v>0</v>
      </c>
      <c r="D60" s="180">
        <f>订货1!AC61</f>
        <v>0</v>
      </c>
      <c r="E60" s="180">
        <f>订货1!AD61</f>
        <v>0</v>
      </c>
      <c r="F60" s="180">
        <f>订货1!AE61</f>
        <v>0</v>
      </c>
      <c r="G60" s="180">
        <f>订货1!AF61</f>
        <v>0</v>
      </c>
      <c r="H60" s="180">
        <f>订货1!AG61</f>
        <v>0</v>
      </c>
      <c r="I60" s="180">
        <f>订货1!AH61</f>
        <v>0</v>
      </c>
      <c r="J60" s="180">
        <f>订货1!AI61</f>
        <v>0</v>
      </c>
      <c r="K60" s="180">
        <f>订货1!AJ61</f>
        <v>0</v>
      </c>
      <c r="L60" s="180">
        <f>订货1!AK61</f>
        <v>0</v>
      </c>
      <c r="M60" s="180">
        <f>订货1!AL61</f>
        <v>0</v>
      </c>
      <c r="N60" s="180">
        <f>订货1!AM61</f>
        <v>0</v>
      </c>
      <c r="O60" s="180">
        <f>订货1!AN61</f>
        <v>0</v>
      </c>
      <c r="P60" s="180">
        <f>订货1!AO61</f>
        <v>0</v>
      </c>
      <c r="Q60" s="180">
        <f>订货1!AP61</f>
        <v>0</v>
      </c>
      <c r="R60" s="180">
        <f>订货1!AQ61</f>
        <v>0</v>
      </c>
      <c r="S60" s="180">
        <f>订货1!AR61</f>
        <v>0</v>
      </c>
      <c r="T60" s="180">
        <f>订货1!AS61</f>
        <v>0</v>
      </c>
      <c r="U60" s="180">
        <f>订货1!AT61</f>
        <v>0</v>
      </c>
      <c r="V60" s="180">
        <f>订货1!AU61</f>
        <v>0</v>
      </c>
      <c r="W60" s="180">
        <f>订货1!AV61</f>
        <v>0</v>
      </c>
      <c r="X60" s="180">
        <f>订货1!AW61</f>
        <v>0</v>
      </c>
      <c r="Y60" s="180">
        <f>订货1!AX61</f>
        <v>0</v>
      </c>
      <c r="Z60" s="180">
        <f>订货1!AY61</f>
        <v>0</v>
      </c>
      <c r="AA60" s="180">
        <f>订货1!AZ61</f>
        <v>0</v>
      </c>
      <c r="AB60" s="180">
        <f>订货1!BA61</f>
        <v>0</v>
      </c>
      <c r="AC60" s="180">
        <f>订货1!BB61</f>
        <v>0</v>
      </c>
      <c r="AD60" s="180">
        <f>订货1!BC61</f>
        <v>0</v>
      </c>
      <c r="AE60" s="180">
        <f>订货1!BD61</f>
        <v>0</v>
      </c>
      <c r="AF60" s="180">
        <f>订货1!BE61</f>
        <v>0</v>
      </c>
      <c r="AG60" s="180">
        <f>订货1!BF61</f>
        <v>0</v>
      </c>
      <c r="AH60" s="176"/>
      <c r="AI60" s="178" t="e">
        <f>店铺收货台帐2!DE61</f>
        <v>#DIV/0!</v>
      </c>
    </row>
    <row r="61" spans="1:35" hidden="1">
      <c r="A61" s="37">
        <f>订货1!K62</f>
        <v>101635</v>
      </c>
      <c r="B61" s="37" t="str">
        <f>订货1!M62</f>
        <v>萨莉亚冷冻小法棍600g</v>
      </c>
      <c r="C61" s="180">
        <f>订货1!AB62</f>
        <v>0</v>
      </c>
      <c r="D61" s="180">
        <f>订货1!AC62</f>
        <v>2</v>
      </c>
      <c r="E61" s="180">
        <f>订货1!AD62</f>
        <v>0</v>
      </c>
      <c r="F61" s="180">
        <f>订货1!AE62</f>
        <v>2</v>
      </c>
      <c r="G61" s="180">
        <f>订货1!AF62</f>
        <v>1</v>
      </c>
      <c r="H61" s="180">
        <f>订货1!AG62</f>
        <v>2</v>
      </c>
      <c r="I61" s="180">
        <f>订货1!AH62</f>
        <v>0</v>
      </c>
      <c r="J61" s="180">
        <f>订货1!AI62</f>
        <v>2</v>
      </c>
      <c r="K61" s="180">
        <f>订货1!AJ62</f>
        <v>1</v>
      </c>
      <c r="L61" s="180">
        <f>订货1!AK62</f>
        <v>0</v>
      </c>
      <c r="M61" s="180">
        <f>订货1!AL62</f>
        <v>0</v>
      </c>
      <c r="N61" s="180">
        <f>订货1!AM62</f>
        <v>3</v>
      </c>
      <c r="O61" s="180">
        <f>订货1!AN62</f>
        <v>1</v>
      </c>
      <c r="P61" s="180">
        <f>订货1!AO62</f>
        <v>1</v>
      </c>
      <c r="Q61" s="180">
        <f>订货1!AP62</f>
        <v>0</v>
      </c>
      <c r="R61" s="180">
        <f>订货1!AQ62</f>
        <v>0</v>
      </c>
      <c r="S61" s="180">
        <f>订货1!AR62</f>
        <v>0</v>
      </c>
      <c r="T61" s="180">
        <f>订货1!AS62</f>
        <v>0</v>
      </c>
      <c r="U61" s="180">
        <f>订货1!AT62</f>
        <v>0</v>
      </c>
      <c r="V61" s="180">
        <f>订货1!AU62</f>
        <v>0</v>
      </c>
      <c r="W61" s="180">
        <f>订货1!AV62</f>
        <v>0</v>
      </c>
      <c r="X61" s="180">
        <f>订货1!AW62</f>
        <v>0</v>
      </c>
      <c r="Y61" s="180">
        <f>订货1!AX62</f>
        <v>0</v>
      </c>
      <c r="Z61" s="180">
        <f>订货1!AY62</f>
        <v>0</v>
      </c>
      <c r="AA61" s="180">
        <f>订货1!AZ62</f>
        <v>0</v>
      </c>
      <c r="AB61" s="180">
        <f>订货1!BA62</f>
        <v>0</v>
      </c>
      <c r="AC61" s="180">
        <f>订货1!BB62</f>
        <v>0</v>
      </c>
      <c r="AD61" s="180">
        <f>订货1!BC62</f>
        <v>0</v>
      </c>
      <c r="AE61" s="180">
        <f>订货1!BD62</f>
        <v>0</v>
      </c>
      <c r="AF61" s="180">
        <f>订货1!BE62</f>
        <v>0</v>
      </c>
      <c r="AG61" s="180">
        <f>订货1!BF62</f>
        <v>0</v>
      </c>
      <c r="AH61" s="176"/>
      <c r="AI61" s="178" t="e">
        <f>店铺收货台帐2!DE62</f>
        <v>#DIV/0!</v>
      </c>
    </row>
    <row r="62" spans="1:35" hidden="1">
      <c r="A62" s="37">
        <f>订货1!K63</f>
        <v>101266</v>
      </c>
      <c r="B62" s="37" t="str">
        <f>订货1!M63</f>
        <v>辣西西里5#直条形意大利面</v>
      </c>
      <c r="C62" s="180">
        <f>订货1!AB63</f>
        <v>1</v>
      </c>
      <c r="D62" s="180">
        <f>订货1!AC63</f>
        <v>2</v>
      </c>
      <c r="E62" s="180">
        <f>订货1!AD63</f>
        <v>0</v>
      </c>
      <c r="F62" s="180">
        <f>订货1!AE63</f>
        <v>3</v>
      </c>
      <c r="G62" s="180">
        <f>订货1!AF63</f>
        <v>3</v>
      </c>
      <c r="H62" s="180">
        <f>订货1!AG63</f>
        <v>3</v>
      </c>
      <c r="I62" s="180">
        <f>订货1!AH63</f>
        <v>1</v>
      </c>
      <c r="J62" s="180">
        <f>订货1!AI63</f>
        <v>2</v>
      </c>
      <c r="K62" s="180">
        <f>订货1!AJ63</f>
        <v>2</v>
      </c>
      <c r="L62" s="180">
        <f>订货1!AK63</f>
        <v>0</v>
      </c>
      <c r="M62" s="180">
        <f>订货1!AL63</f>
        <v>0</v>
      </c>
      <c r="N62" s="180">
        <f>订货1!AM63</f>
        <v>5</v>
      </c>
      <c r="O62" s="180">
        <f>订货1!AN63</f>
        <v>3</v>
      </c>
      <c r="P62" s="180">
        <f>订货1!AO63</f>
        <v>3</v>
      </c>
      <c r="Q62" s="180">
        <f>订货1!AP63</f>
        <v>0</v>
      </c>
      <c r="R62" s="180">
        <f>订货1!AQ63</f>
        <v>0</v>
      </c>
      <c r="S62" s="180">
        <f>订货1!AR63</f>
        <v>0</v>
      </c>
      <c r="T62" s="180">
        <f>订货1!AS63</f>
        <v>0</v>
      </c>
      <c r="U62" s="180">
        <f>订货1!AT63</f>
        <v>0</v>
      </c>
      <c r="V62" s="180">
        <f>订货1!AU63</f>
        <v>0</v>
      </c>
      <c r="W62" s="180">
        <f>订货1!AV63</f>
        <v>0</v>
      </c>
      <c r="X62" s="180">
        <f>订货1!AW63</f>
        <v>0</v>
      </c>
      <c r="Y62" s="180">
        <f>订货1!AX63</f>
        <v>0</v>
      </c>
      <c r="Z62" s="180">
        <f>订货1!AY63</f>
        <v>0</v>
      </c>
      <c r="AA62" s="180">
        <f>订货1!AZ63</f>
        <v>0</v>
      </c>
      <c r="AB62" s="180">
        <f>订货1!BA63</f>
        <v>0</v>
      </c>
      <c r="AC62" s="180">
        <f>订货1!BB63</f>
        <v>0</v>
      </c>
      <c r="AD62" s="180">
        <f>订货1!BC63</f>
        <v>0</v>
      </c>
      <c r="AE62" s="180">
        <f>订货1!BD63</f>
        <v>0</v>
      </c>
      <c r="AF62" s="180">
        <f>订货1!BE63</f>
        <v>0</v>
      </c>
      <c r="AG62" s="180">
        <f>订货1!BF63</f>
        <v>0</v>
      </c>
      <c r="AH62" s="176"/>
      <c r="AI62" s="178" t="e">
        <f>店铺收货台帐2!DE63</f>
        <v>#DIV/0!</v>
      </c>
    </row>
    <row r="63" spans="1:35" hidden="1">
      <c r="A63" s="37">
        <f>订货1!K64</f>
        <v>101289</v>
      </c>
      <c r="B63" s="37" t="str">
        <f>订货1!M64</f>
        <v>辣西西里特级初榨橄榄油</v>
      </c>
      <c r="C63" s="180">
        <f>订货1!AB64</f>
        <v>0</v>
      </c>
      <c r="D63" s="180">
        <f>订货1!AC64</f>
        <v>0</v>
      </c>
      <c r="E63" s="180">
        <f>订货1!AD64</f>
        <v>0</v>
      </c>
      <c r="F63" s="180">
        <f>订货1!AE64</f>
        <v>0</v>
      </c>
      <c r="G63" s="180">
        <f>订货1!AF64</f>
        <v>0</v>
      </c>
      <c r="H63" s="180">
        <f>订货1!AG64</f>
        <v>0</v>
      </c>
      <c r="I63" s="180">
        <f>订货1!AH64</f>
        <v>0</v>
      </c>
      <c r="J63" s="180">
        <f>订货1!AI64</f>
        <v>0</v>
      </c>
      <c r="K63" s="180">
        <f>订货1!AJ64</f>
        <v>0</v>
      </c>
      <c r="L63" s="180">
        <f>订货1!AK64</f>
        <v>0</v>
      </c>
      <c r="M63" s="180">
        <f>订货1!AL64</f>
        <v>0</v>
      </c>
      <c r="N63" s="180">
        <f>订货1!AM64</f>
        <v>0</v>
      </c>
      <c r="O63" s="180">
        <f>订货1!AN64</f>
        <v>0</v>
      </c>
      <c r="P63" s="180">
        <f>订货1!AO64</f>
        <v>0</v>
      </c>
      <c r="Q63" s="180">
        <f>订货1!AP64</f>
        <v>0</v>
      </c>
      <c r="R63" s="180">
        <f>订货1!AQ64</f>
        <v>0</v>
      </c>
      <c r="S63" s="180">
        <f>订货1!AR64</f>
        <v>0</v>
      </c>
      <c r="T63" s="180">
        <f>订货1!AS64</f>
        <v>0</v>
      </c>
      <c r="U63" s="180">
        <f>订货1!AT64</f>
        <v>0</v>
      </c>
      <c r="V63" s="180">
        <f>订货1!AU64</f>
        <v>0</v>
      </c>
      <c r="W63" s="180">
        <f>订货1!AV64</f>
        <v>0</v>
      </c>
      <c r="X63" s="180">
        <f>订货1!AW64</f>
        <v>0</v>
      </c>
      <c r="Y63" s="180">
        <f>订货1!AX64</f>
        <v>0</v>
      </c>
      <c r="Z63" s="180">
        <f>订货1!AY64</f>
        <v>0</v>
      </c>
      <c r="AA63" s="180">
        <f>订货1!AZ64</f>
        <v>0</v>
      </c>
      <c r="AB63" s="180">
        <f>订货1!BA64</f>
        <v>0</v>
      </c>
      <c r="AC63" s="180">
        <f>订货1!BB64</f>
        <v>0</v>
      </c>
      <c r="AD63" s="180">
        <f>订货1!BC64</f>
        <v>0</v>
      </c>
      <c r="AE63" s="180">
        <f>订货1!BD64</f>
        <v>0</v>
      </c>
      <c r="AF63" s="180">
        <f>订货1!BE64</f>
        <v>0</v>
      </c>
      <c r="AG63" s="180">
        <f>订货1!BF64</f>
        <v>0</v>
      </c>
      <c r="AH63" s="176"/>
      <c r="AI63" s="178" t="e">
        <f>店铺收货台帐2!DE64</f>
        <v>#DIV/0!</v>
      </c>
    </row>
    <row r="64" spans="1:35" hidden="1">
      <c r="A64" s="37">
        <f>订货1!K65</f>
        <v>101359</v>
      </c>
      <c r="B64" s="37" t="str">
        <f>订货1!M65</f>
        <v>卡利酒庄蓝布鲁斯科低泡葡萄酒</v>
      </c>
      <c r="C64" s="180">
        <f>订货1!AB65</f>
        <v>1</v>
      </c>
      <c r="D64" s="180">
        <f>订货1!AC65</f>
        <v>0</v>
      </c>
      <c r="E64" s="180">
        <f>订货1!AD65</f>
        <v>0</v>
      </c>
      <c r="F64" s="180">
        <f>订货1!AE65</f>
        <v>1</v>
      </c>
      <c r="G64" s="180">
        <f>订货1!AF65</f>
        <v>0</v>
      </c>
      <c r="H64" s="180">
        <f>订货1!AG65</f>
        <v>0</v>
      </c>
      <c r="I64" s="180">
        <f>订货1!AH65</f>
        <v>0</v>
      </c>
      <c r="J64" s="180">
        <f>订货1!AI65</f>
        <v>0</v>
      </c>
      <c r="K64" s="180">
        <f>订货1!AJ65</f>
        <v>0</v>
      </c>
      <c r="L64" s="180">
        <f>订货1!AK65</f>
        <v>0</v>
      </c>
      <c r="M64" s="180">
        <f>订货1!AL65</f>
        <v>0</v>
      </c>
      <c r="N64" s="180">
        <f>订货1!AM65</f>
        <v>0</v>
      </c>
      <c r="O64" s="180">
        <f>订货1!AN65</f>
        <v>0</v>
      </c>
      <c r="P64" s="180">
        <f>订货1!AO65</f>
        <v>0</v>
      </c>
      <c r="Q64" s="180">
        <f>订货1!AP65</f>
        <v>0</v>
      </c>
      <c r="R64" s="180">
        <f>订货1!AQ65</f>
        <v>0</v>
      </c>
      <c r="S64" s="180">
        <f>订货1!AR65</f>
        <v>0</v>
      </c>
      <c r="T64" s="180">
        <f>订货1!AS65</f>
        <v>0</v>
      </c>
      <c r="U64" s="180">
        <f>订货1!AT65</f>
        <v>0</v>
      </c>
      <c r="V64" s="180">
        <f>订货1!AU65</f>
        <v>0</v>
      </c>
      <c r="W64" s="180">
        <f>订货1!AV65</f>
        <v>0</v>
      </c>
      <c r="X64" s="180">
        <f>订货1!AW65</f>
        <v>0</v>
      </c>
      <c r="Y64" s="180">
        <f>订货1!AX65</f>
        <v>0</v>
      </c>
      <c r="Z64" s="180">
        <f>订货1!AY65</f>
        <v>0</v>
      </c>
      <c r="AA64" s="180">
        <f>订货1!AZ65</f>
        <v>0</v>
      </c>
      <c r="AB64" s="180">
        <f>订货1!BA65</f>
        <v>0</v>
      </c>
      <c r="AC64" s="180">
        <f>订货1!BB65</f>
        <v>0</v>
      </c>
      <c r="AD64" s="180">
        <f>订货1!BC65</f>
        <v>0</v>
      </c>
      <c r="AE64" s="180">
        <f>订货1!BD65</f>
        <v>0</v>
      </c>
      <c r="AF64" s="180">
        <f>订货1!BE65</f>
        <v>0</v>
      </c>
      <c r="AG64" s="180">
        <f>订货1!BF65</f>
        <v>0</v>
      </c>
      <c r="AH64" s="176"/>
      <c r="AI64" s="178" t="e">
        <f>店铺收货台帐2!DE65</f>
        <v>#DIV/0!</v>
      </c>
    </row>
    <row r="65" spans="1:35" hidden="1">
      <c r="A65" s="37">
        <f>订货1!K66</f>
        <v>101362</v>
      </c>
      <c r="B65" s="37" t="str">
        <f>订货1!M66</f>
        <v>马塞研磨干酪粉</v>
      </c>
      <c r="C65" s="180">
        <f>订货1!AB66</f>
        <v>0</v>
      </c>
      <c r="D65" s="180">
        <f>订货1!AC66</f>
        <v>0</v>
      </c>
      <c r="E65" s="180">
        <f>订货1!AD66</f>
        <v>0</v>
      </c>
      <c r="F65" s="180">
        <f>订货1!AE66</f>
        <v>0</v>
      </c>
      <c r="G65" s="180">
        <f>订货1!AF66</f>
        <v>1</v>
      </c>
      <c r="H65" s="180">
        <f>订货1!AG66</f>
        <v>0</v>
      </c>
      <c r="I65" s="180">
        <f>订货1!AH66</f>
        <v>0</v>
      </c>
      <c r="J65" s="180">
        <f>订货1!AI66</f>
        <v>1</v>
      </c>
      <c r="K65" s="180">
        <f>订货1!AJ66</f>
        <v>0</v>
      </c>
      <c r="L65" s="180">
        <f>订货1!AK66</f>
        <v>0</v>
      </c>
      <c r="M65" s="180">
        <f>订货1!AL66</f>
        <v>0</v>
      </c>
      <c r="N65" s="180">
        <f>订货1!AM66</f>
        <v>0</v>
      </c>
      <c r="O65" s="180">
        <f>订货1!AN66</f>
        <v>1</v>
      </c>
      <c r="P65" s="180">
        <f>订货1!AO66</f>
        <v>0</v>
      </c>
      <c r="Q65" s="180">
        <f>订货1!AP66</f>
        <v>0</v>
      </c>
      <c r="R65" s="180">
        <f>订货1!AQ66</f>
        <v>0</v>
      </c>
      <c r="S65" s="180">
        <f>订货1!AR66</f>
        <v>0</v>
      </c>
      <c r="T65" s="180">
        <f>订货1!AS66</f>
        <v>0</v>
      </c>
      <c r="U65" s="180">
        <f>订货1!AT66</f>
        <v>0</v>
      </c>
      <c r="V65" s="180">
        <f>订货1!AU66</f>
        <v>0</v>
      </c>
      <c r="W65" s="180">
        <f>订货1!AV66</f>
        <v>0</v>
      </c>
      <c r="X65" s="180">
        <f>订货1!AW66</f>
        <v>0</v>
      </c>
      <c r="Y65" s="180">
        <f>订货1!AX66</f>
        <v>0</v>
      </c>
      <c r="Z65" s="180">
        <f>订货1!AY66</f>
        <v>0</v>
      </c>
      <c r="AA65" s="180">
        <f>订货1!AZ66</f>
        <v>0</v>
      </c>
      <c r="AB65" s="180">
        <f>订货1!BA66</f>
        <v>0</v>
      </c>
      <c r="AC65" s="180">
        <f>订货1!BB66</f>
        <v>0</v>
      </c>
      <c r="AD65" s="180">
        <f>订货1!BC66</f>
        <v>0</v>
      </c>
      <c r="AE65" s="180">
        <f>订货1!BD66</f>
        <v>0</v>
      </c>
      <c r="AF65" s="180">
        <f>订货1!BE66</f>
        <v>0</v>
      </c>
      <c r="AG65" s="180">
        <f>订货1!BF66</f>
        <v>0</v>
      </c>
      <c r="AH65" s="176"/>
      <c r="AI65" s="178" t="e">
        <f>店铺收货台帐2!DE66</f>
        <v>#DIV/0!</v>
      </c>
    </row>
    <row r="66" spans="1:35" hidden="1">
      <c r="A66" s="37">
        <f>订货1!K67</f>
        <v>101742</v>
      </c>
      <c r="B66" s="37" t="str">
        <f>订货1!M67</f>
        <v>牛肝菌菌菇调理包</v>
      </c>
      <c r="C66" s="180">
        <f>订货1!AB67</f>
        <v>0</v>
      </c>
      <c r="D66" s="180">
        <f>订货1!AC67</f>
        <v>0</v>
      </c>
      <c r="E66" s="180">
        <f>订货1!AD67</f>
        <v>0</v>
      </c>
      <c r="F66" s="180">
        <f>订货1!AE67</f>
        <v>0</v>
      </c>
      <c r="G66" s="180">
        <f>订货1!AF67</f>
        <v>1</v>
      </c>
      <c r="H66" s="180">
        <f>订货1!AG67</f>
        <v>0</v>
      </c>
      <c r="I66" s="180">
        <f>订货1!AH67</f>
        <v>0</v>
      </c>
      <c r="J66" s="180">
        <f>订货1!AI67</f>
        <v>0</v>
      </c>
      <c r="K66" s="180">
        <f>订货1!AJ67</f>
        <v>0</v>
      </c>
      <c r="L66" s="180">
        <f>订货1!AK67</f>
        <v>0</v>
      </c>
      <c r="M66" s="180">
        <f>订货1!AL67</f>
        <v>0</v>
      </c>
      <c r="N66" s="180">
        <f>订货1!AM67</f>
        <v>0</v>
      </c>
      <c r="O66" s="180">
        <f>订货1!AN67</f>
        <v>0</v>
      </c>
      <c r="P66" s="180">
        <f>订货1!AO67</f>
        <v>1</v>
      </c>
      <c r="Q66" s="180">
        <f>订货1!AP67</f>
        <v>0</v>
      </c>
      <c r="R66" s="180">
        <f>订货1!AQ67</f>
        <v>0</v>
      </c>
      <c r="S66" s="180">
        <f>订货1!AR67</f>
        <v>0</v>
      </c>
      <c r="T66" s="180">
        <f>订货1!AS67</f>
        <v>0</v>
      </c>
      <c r="U66" s="180">
        <f>订货1!AT67</f>
        <v>0</v>
      </c>
      <c r="V66" s="180">
        <f>订货1!AU67</f>
        <v>0</v>
      </c>
      <c r="W66" s="180">
        <f>订货1!AV67</f>
        <v>0</v>
      </c>
      <c r="X66" s="180">
        <f>订货1!AW67</f>
        <v>0</v>
      </c>
      <c r="Y66" s="180">
        <f>订货1!AX67</f>
        <v>0</v>
      </c>
      <c r="Z66" s="180">
        <f>订货1!AY67</f>
        <v>0</v>
      </c>
      <c r="AA66" s="180">
        <f>订货1!AZ67</f>
        <v>0</v>
      </c>
      <c r="AB66" s="180">
        <f>订货1!BA67</f>
        <v>0</v>
      </c>
      <c r="AC66" s="180">
        <f>订货1!BB67</f>
        <v>0</v>
      </c>
      <c r="AD66" s="180">
        <f>订货1!BC67</f>
        <v>0</v>
      </c>
      <c r="AE66" s="180">
        <f>订货1!BD67</f>
        <v>0</v>
      </c>
      <c r="AF66" s="180">
        <f>订货1!BE67</f>
        <v>0</v>
      </c>
      <c r="AG66" s="180">
        <f>订货1!BF67</f>
        <v>0</v>
      </c>
      <c r="AH66" s="176"/>
      <c r="AI66" s="178" t="e">
        <f>店铺收货台帐2!DE67</f>
        <v>#DIV/0!</v>
      </c>
    </row>
    <row r="67" spans="1:35" hidden="1">
      <c r="A67" s="37">
        <f>订货1!K68</f>
        <v>101708</v>
      </c>
      <c r="B67" s="37" t="str">
        <f>订货1!M68</f>
        <v>超薄脆比萨饼底</v>
      </c>
      <c r="C67" s="180">
        <f>订货1!AB68</f>
        <v>0</v>
      </c>
      <c r="D67" s="180">
        <f>订货1!AC68</f>
        <v>0</v>
      </c>
      <c r="E67" s="180">
        <f>订货1!AD68</f>
        <v>0</v>
      </c>
      <c r="F67" s="180">
        <f>订货1!AE68</f>
        <v>0</v>
      </c>
      <c r="G67" s="180">
        <f>订货1!AF68</f>
        <v>0</v>
      </c>
      <c r="H67" s="180">
        <f>订货1!AG68</f>
        <v>0</v>
      </c>
      <c r="I67" s="180">
        <f>订货1!AH68</f>
        <v>0</v>
      </c>
      <c r="J67" s="180">
        <f>订货1!AI68</f>
        <v>0</v>
      </c>
      <c r="K67" s="180">
        <f>订货1!AJ68</f>
        <v>0</v>
      </c>
      <c r="L67" s="180">
        <f>订货1!AK68</f>
        <v>0</v>
      </c>
      <c r="M67" s="180">
        <f>订货1!AL68</f>
        <v>0</v>
      </c>
      <c r="N67" s="180">
        <f>订货1!AM68</f>
        <v>0</v>
      </c>
      <c r="O67" s="180">
        <f>订货1!AN68</f>
        <v>0</v>
      </c>
      <c r="P67" s="180">
        <f>订货1!AO68</f>
        <v>0</v>
      </c>
      <c r="Q67" s="180">
        <f>订货1!AP68</f>
        <v>0</v>
      </c>
      <c r="R67" s="180">
        <f>订货1!AQ68</f>
        <v>0</v>
      </c>
      <c r="S67" s="180">
        <f>订货1!AR68</f>
        <v>0</v>
      </c>
      <c r="T67" s="180">
        <f>订货1!AS68</f>
        <v>0</v>
      </c>
      <c r="U67" s="180">
        <f>订货1!AT68</f>
        <v>0</v>
      </c>
      <c r="V67" s="180">
        <f>订货1!AU68</f>
        <v>0</v>
      </c>
      <c r="W67" s="180">
        <f>订货1!AV68</f>
        <v>0</v>
      </c>
      <c r="X67" s="180">
        <f>订货1!AW68</f>
        <v>0</v>
      </c>
      <c r="Y67" s="180">
        <f>订货1!AX68</f>
        <v>0</v>
      </c>
      <c r="Z67" s="180">
        <f>订货1!AY68</f>
        <v>0</v>
      </c>
      <c r="AA67" s="180">
        <f>订货1!AZ68</f>
        <v>0</v>
      </c>
      <c r="AB67" s="180">
        <f>订货1!BA68</f>
        <v>0</v>
      </c>
      <c r="AC67" s="180">
        <f>订货1!BB68</f>
        <v>0</v>
      </c>
      <c r="AD67" s="180">
        <f>订货1!BC68</f>
        <v>0</v>
      </c>
      <c r="AE67" s="180">
        <f>订货1!BD68</f>
        <v>0</v>
      </c>
      <c r="AF67" s="180">
        <f>订货1!BE68</f>
        <v>0</v>
      </c>
      <c r="AG67" s="180">
        <f>订货1!BF68</f>
        <v>0</v>
      </c>
      <c r="AH67" s="176"/>
      <c r="AI67" s="178" t="e">
        <f>店铺收货台帐2!DE68</f>
        <v>#DIV/0!</v>
      </c>
    </row>
    <row r="68" spans="1:35" hidden="1">
      <c r="A68" s="37">
        <f>订货1!K69</f>
        <v>101748</v>
      </c>
      <c r="B68" s="37" t="str">
        <f>订货1!M69</f>
        <v>酥皮蛋糕</v>
      </c>
      <c r="C68" s="180">
        <f>订货1!AB69</f>
        <v>0</v>
      </c>
      <c r="D68" s="180">
        <f>订货1!AC69</f>
        <v>0</v>
      </c>
      <c r="E68" s="180">
        <f>订货1!AD69</f>
        <v>0</v>
      </c>
      <c r="F68" s="180">
        <f>订货1!AE69</f>
        <v>0</v>
      </c>
      <c r="G68" s="180">
        <f>订货1!AF69</f>
        <v>0</v>
      </c>
      <c r="H68" s="180">
        <f>订货1!AG69</f>
        <v>0</v>
      </c>
      <c r="I68" s="180">
        <f>订货1!AH69</f>
        <v>0</v>
      </c>
      <c r="J68" s="180">
        <f>订货1!AI69</f>
        <v>0</v>
      </c>
      <c r="K68" s="180">
        <f>订货1!AJ69</f>
        <v>0</v>
      </c>
      <c r="L68" s="180">
        <f>订货1!AK69</f>
        <v>0</v>
      </c>
      <c r="M68" s="180">
        <f>订货1!AL69</f>
        <v>0</v>
      </c>
      <c r="N68" s="180">
        <f>订货1!AM69</f>
        <v>0</v>
      </c>
      <c r="O68" s="180">
        <f>订货1!AN69</f>
        <v>0</v>
      </c>
      <c r="P68" s="180">
        <f>订货1!AO69</f>
        <v>0</v>
      </c>
      <c r="Q68" s="180">
        <f>订货1!AP69</f>
        <v>0</v>
      </c>
      <c r="R68" s="180">
        <f>订货1!AQ69</f>
        <v>0</v>
      </c>
      <c r="S68" s="180">
        <f>订货1!AR69</f>
        <v>0</v>
      </c>
      <c r="T68" s="180">
        <f>订货1!AS69</f>
        <v>0</v>
      </c>
      <c r="U68" s="180">
        <f>订货1!AT69</f>
        <v>0</v>
      </c>
      <c r="V68" s="180">
        <f>订货1!AU69</f>
        <v>0</v>
      </c>
      <c r="W68" s="180">
        <f>订货1!AV69</f>
        <v>0</v>
      </c>
      <c r="X68" s="180">
        <f>订货1!AW69</f>
        <v>0</v>
      </c>
      <c r="Y68" s="180">
        <f>订货1!AX69</f>
        <v>0</v>
      </c>
      <c r="Z68" s="180">
        <f>订货1!AY69</f>
        <v>0</v>
      </c>
      <c r="AA68" s="180">
        <f>订货1!AZ69</f>
        <v>0</v>
      </c>
      <c r="AB68" s="180">
        <f>订货1!BA69</f>
        <v>0</v>
      </c>
      <c r="AC68" s="180">
        <f>订货1!BB69</f>
        <v>0</v>
      </c>
      <c r="AD68" s="180">
        <f>订货1!BC69</f>
        <v>0</v>
      </c>
      <c r="AE68" s="180">
        <f>订货1!BD69</f>
        <v>0</v>
      </c>
      <c r="AF68" s="180">
        <f>订货1!BE69</f>
        <v>0</v>
      </c>
      <c r="AG68" s="180">
        <f>订货1!BF69</f>
        <v>0</v>
      </c>
      <c r="AH68" s="176"/>
      <c r="AI68" s="178" t="e">
        <f>店铺收货台帐2!DE69</f>
        <v>#DIV/0!</v>
      </c>
    </row>
    <row r="69" spans="1:35" hidden="1">
      <c r="A69" s="37">
        <f>订货1!K70</f>
        <v>101554</v>
      </c>
      <c r="B69" s="37" t="str">
        <f>订货1!M70</f>
        <v>焦糖布丁蛋糕</v>
      </c>
      <c r="C69" s="180">
        <f>订货1!AB70</f>
        <v>1</v>
      </c>
      <c r="D69" s="180">
        <f>订货1!AC70</f>
        <v>0</v>
      </c>
      <c r="E69" s="180">
        <f>订货1!AD70</f>
        <v>0</v>
      </c>
      <c r="F69" s="180">
        <f>订货1!AE70</f>
        <v>1</v>
      </c>
      <c r="G69" s="180">
        <f>订货1!AF70</f>
        <v>2</v>
      </c>
      <c r="H69" s="180">
        <f>订货1!AG70</f>
        <v>3</v>
      </c>
      <c r="I69" s="180">
        <f>订货1!AH70</f>
        <v>0</v>
      </c>
      <c r="J69" s="180">
        <f>订货1!AI70</f>
        <v>0</v>
      </c>
      <c r="K69" s="180">
        <f>订货1!AJ70</f>
        <v>2</v>
      </c>
      <c r="L69" s="180">
        <f>订货1!AK70</f>
        <v>0</v>
      </c>
      <c r="M69" s="180">
        <f>订货1!AL70</f>
        <v>1</v>
      </c>
      <c r="N69" s="180">
        <f>订货1!AM70</f>
        <v>2</v>
      </c>
      <c r="O69" s="180">
        <f>订货1!AN70</f>
        <v>3</v>
      </c>
      <c r="P69" s="180">
        <f>订货1!AO70</f>
        <v>0</v>
      </c>
      <c r="Q69" s="180">
        <f>订货1!AP70</f>
        <v>0</v>
      </c>
      <c r="R69" s="180">
        <f>订货1!AQ70</f>
        <v>0</v>
      </c>
      <c r="S69" s="180">
        <f>订货1!AR70</f>
        <v>0</v>
      </c>
      <c r="T69" s="180">
        <f>订货1!AS70</f>
        <v>0</v>
      </c>
      <c r="U69" s="180">
        <f>订货1!AT70</f>
        <v>0</v>
      </c>
      <c r="V69" s="180">
        <f>订货1!AU70</f>
        <v>0</v>
      </c>
      <c r="W69" s="180">
        <f>订货1!AV70</f>
        <v>0</v>
      </c>
      <c r="X69" s="180">
        <f>订货1!AW70</f>
        <v>0</v>
      </c>
      <c r="Y69" s="180">
        <f>订货1!AX70</f>
        <v>0</v>
      </c>
      <c r="Z69" s="180">
        <f>订货1!AY70</f>
        <v>0</v>
      </c>
      <c r="AA69" s="180">
        <f>订货1!AZ70</f>
        <v>0</v>
      </c>
      <c r="AB69" s="180">
        <f>订货1!BA70</f>
        <v>0</v>
      </c>
      <c r="AC69" s="180">
        <f>订货1!BB70</f>
        <v>0</v>
      </c>
      <c r="AD69" s="180">
        <f>订货1!BC70</f>
        <v>0</v>
      </c>
      <c r="AE69" s="180">
        <f>订货1!BD70</f>
        <v>0</v>
      </c>
      <c r="AF69" s="180">
        <f>订货1!BE70</f>
        <v>0</v>
      </c>
      <c r="AG69" s="180">
        <f>订货1!BF70</f>
        <v>0</v>
      </c>
      <c r="AH69" s="176"/>
      <c r="AI69" s="178" t="e">
        <f>店铺收货台帐2!DE70</f>
        <v>#DIV/0!</v>
      </c>
    </row>
    <row r="70" spans="1:35" hidden="1">
      <c r="A70" s="37">
        <f>订货1!K71</f>
        <v>101587</v>
      </c>
      <c r="B70" s="37" t="str">
        <f>订货1!M71</f>
        <v>金牌印度阿方索芒果（糖浆）</v>
      </c>
      <c r="C70" s="180">
        <f>订货1!AB71</f>
        <v>0</v>
      </c>
      <c r="D70" s="180">
        <f>订货1!AC71</f>
        <v>0</v>
      </c>
      <c r="E70" s="180">
        <f>订货1!AD71</f>
        <v>0</v>
      </c>
      <c r="F70" s="180">
        <f>订货1!AE71</f>
        <v>0</v>
      </c>
      <c r="G70" s="180">
        <f>订货1!AF71</f>
        <v>0</v>
      </c>
      <c r="H70" s="180">
        <f>订货1!AG71</f>
        <v>0</v>
      </c>
      <c r="I70" s="180">
        <f>订货1!AH71</f>
        <v>0</v>
      </c>
      <c r="J70" s="180">
        <f>订货1!AI71</f>
        <v>1</v>
      </c>
      <c r="K70" s="180">
        <f>订货1!AJ71</f>
        <v>0</v>
      </c>
      <c r="L70" s="180">
        <f>订货1!AK71</f>
        <v>0</v>
      </c>
      <c r="M70" s="180">
        <f>订货1!AL71</f>
        <v>0</v>
      </c>
      <c r="N70" s="180">
        <f>订货1!AM71</f>
        <v>0</v>
      </c>
      <c r="O70" s="180">
        <f>订货1!AN71</f>
        <v>0</v>
      </c>
      <c r="P70" s="180">
        <f>订货1!AO71</f>
        <v>0</v>
      </c>
      <c r="Q70" s="180">
        <f>订货1!AP71</f>
        <v>0</v>
      </c>
      <c r="R70" s="180">
        <f>订货1!AQ71</f>
        <v>0</v>
      </c>
      <c r="S70" s="180">
        <f>订货1!AR71</f>
        <v>0</v>
      </c>
      <c r="T70" s="180">
        <f>订货1!AS71</f>
        <v>0</v>
      </c>
      <c r="U70" s="180">
        <f>订货1!AT71</f>
        <v>0</v>
      </c>
      <c r="V70" s="180">
        <f>订货1!AU71</f>
        <v>0</v>
      </c>
      <c r="W70" s="180">
        <f>订货1!AV71</f>
        <v>0</v>
      </c>
      <c r="X70" s="180">
        <f>订货1!AW71</f>
        <v>0</v>
      </c>
      <c r="Y70" s="180">
        <f>订货1!AX71</f>
        <v>0</v>
      </c>
      <c r="Z70" s="180">
        <f>订货1!AY71</f>
        <v>0</v>
      </c>
      <c r="AA70" s="180">
        <f>订货1!AZ71</f>
        <v>0</v>
      </c>
      <c r="AB70" s="180">
        <f>订货1!BA71</f>
        <v>0</v>
      </c>
      <c r="AC70" s="180">
        <f>订货1!BB71</f>
        <v>0</v>
      </c>
      <c r="AD70" s="180">
        <f>订货1!BC71</f>
        <v>0</v>
      </c>
      <c r="AE70" s="180">
        <f>订货1!BD71</f>
        <v>0</v>
      </c>
      <c r="AF70" s="180">
        <f>订货1!BE71</f>
        <v>0</v>
      </c>
      <c r="AG70" s="180">
        <f>订货1!BF71</f>
        <v>0</v>
      </c>
      <c r="AH70" s="176"/>
      <c r="AI70" s="178" t="e">
        <f>店铺收货台帐2!DE71</f>
        <v>#DIV/0!</v>
      </c>
    </row>
    <row r="71" spans="1:35" hidden="1">
      <c r="A71" s="37">
        <f>订货1!K72</f>
        <v>101286</v>
      </c>
      <c r="B71" s="37" t="str">
        <f>订货1!M72</f>
        <v>萨莉亚特制沙拉酱</v>
      </c>
      <c r="C71" s="180">
        <f>订货1!AB72</f>
        <v>0</v>
      </c>
      <c r="D71" s="180">
        <f>订货1!AC72</f>
        <v>0</v>
      </c>
      <c r="E71" s="180">
        <f>订货1!AD72</f>
        <v>0</v>
      </c>
      <c r="F71" s="180">
        <f>订货1!AE72</f>
        <v>0</v>
      </c>
      <c r="G71" s="180">
        <f>订货1!AF72</f>
        <v>0</v>
      </c>
      <c r="H71" s="180">
        <f>订货1!AG72</f>
        <v>0</v>
      </c>
      <c r="I71" s="180">
        <f>订货1!AH72</f>
        <v>0</v>
      </c>
      <c r="J71" s="180">
        <f>订货1!AI72</f>
        <v>0</v>
      </c>
      <c r="K71" s="180">
        <f>订货1!AJ72</f>
        <v>0</v>
      </c>
      <c r="L71" s="180">
        <f>订货1!AK72</f>
        <v>0</v>
      </c>
      <c r="M71" s="180">
        <f>订货1!AL72</f>
        <v>0</v>
      </c>
      <c r="N71" s="180">
        <f>订货1!AM72</f>
        <v>0</v>
      </c>
      <c r="O71" s="180">
        <f>订货1!AN72</f>
        <v>0</v>
      </c>
      <c r="P71" s="180">
        <f>订货1!AO72</f>
        <v>0</v>
      </c>
      <c r="Q71" s="180">
        <f>订货1!AP72</f>
        <v>0</v>
      </c>
      <c r="R71" s="180">
        <f>订货1!AQ72</f>
        <v>0</v>
      </c>
      <c r="S71" s="180">
        <f>订货1!AR72</f>
        <v>0</v>
      </c>
      <c r="T71" s="180">
        <f>订货1!AS72</f>
        <v>0</v>
      </c>
      <c r="U71" s="180">
        <f>订货1!AT72</f>
        <v>0</v>
      </c>
      <c r="V71" s="180">
        <f>订货1!AU72</f>
        <v>0</v>
      </c>
      <c r="W71" s="180">
        <f>订货1!AV72</f>
        <v>0</v>
      </c>
      <c r="X71" s="180">
        <f>订货1!AW72</f>
        <v>0</v>
      </c>
      <c r="Y71" s="180">
        <f>订货1!AX72</f>
        <v>0</v>
      </c>
      <c r="Z71" s="180">
        <f>订货1!AY72</f>
        <v>0</v>
      </c>
      <c r="AA71" s="180">
        <f>订货1!AZ72</f>
        <v>0</v>
      </c>
      <c r="AB71" s="180">
        <f>订货1!BA72</f>
        <v>0</v>
      </c>
      <c r="AC71" s="180">
        <f>订货1!BB72</f>
        <v>0</v>
      </c>
      <c r="AD71" s="180">
        <f>订货1!BC72</f>
        <v>0</v>
      </c>
      <c r="AE71" s="180">
        <f>订货1!BD72</f>
        <v>0</v>
      </c>
      <c r="AF71" s="180">
        <f>订货1!BE72</f>
        <v>0</v>
      </c>
      <c r="AG71" s="180">
        <f>订货1!BF72</f>
        <v>0</v>
      </c>
      <c r="AH71" s="176"/>
      <c r="AI71" s="178" t="e">
        <f>店铺收货台帐2!DE72</f>
        <v>#DIV/0!</v>
      </c>
    </row>
    <row r="72" spans="1:35" hidden="1">
      <c r="A72" s="37">
        <f>订货1!K73</f>
        <v>101588</v>
      </c>
      <c r="B72" s="37" t="str">
        <f>订货1!M73</f>
        <v>金牌红葡萄（糖浆）</v>
      </c>
      <c r="C72" s="180">
        <f>订货1!AB73</f>
        <v>0</v>
      </c>
      <c r="D72" s="180">
        <f>订货1!AC73</f>
        <v>1</v>
      </c>
      <c r="E72" s="180">
        <f>订货1!AD73</f>
        <v>0</v>
      </c>
      <c r="F72" s="180">
        <f>订货1!AE73</f>
        <v>0</v>
      </c>
      <c r="G72" s="180">
        <f>订货1!AF73</f>
        <v>0</v>
      </c>
      <c r="H72" s="180">
        <f>订货1!AG73</f>
        <v>0</v>
      </c>
      <c r="I72" s="180">
        <f>订货1!AH73</f>
        <v>0</v>
      </c>
      <c r="J72" s="180">
        <f>订货1!AI73</f>
        <v>0</v>
      </c>
      <c r="K72" s="180">
        <f>订货1!AJ73</f>
        <v>0</v>
      </c>
      <c r="L72" s="180">
        <f>订货1!AK73</f>
        <v>0</v>
      </c>
      <c r="M72" s="180">
        <f>订货1!AL73</f>
        <v>0</v>
      </c>
      <c r="N72" s="180">
        <f>订货1!AM73</f>
        <v>0</v>
      </c>
      <c r="O72" s="180">
        <f>订货1!AN73</f>
        <v>0</v>
      </c>
      <c r="P72" s="180">
        <f>订货1!AO73</f>
        <v>0</v>
      </c>
      <c r="Q72" s="180">
        <f>订货1!AP73</f>
        <v>0</v>
      </c>
      <c r="R72" s="180">
        <f>订货1!AQ73</f>
        <v>0</v>
      </c>
      <c r="S72" s="180">
        <f>订货1!AR73</f>
        <v>0</v>
      </c>
      <c r="T72" s="180">
        <f>订货1!AS73</f>
        <v>0</v>
      </c>
      <c r="U72" s="180">
        <f>订货1!AT73</f>
        <v>0</v>
      </c>
      <c r="V72" s="180">
        <f>订货1!AU73</f>
        <v>0</v>
      </c>
      <c r="W72" s="180">
        <f>订货1!AV73</f>
        <v>0</v>
      </c>
      <c r="X72" s="180">
        <f>订货1!AW73</f>
        <v>0</v>
      </c>
      <c r="Y72" s="180">
        <f>订货1!AX73</f>
        <v>0</v>
      </c>
      <c r="Z72" s="180">
        <f>订货1!AY73</f>
        <v>0</v>
      </c>
      <c r="AA72" s="180">
        <f>订货1!AZ73</f>
        <v>0</v>
      </c>
      <c r="AB72" s="180">
        <f>订货1!BA73</f>
        <v>0</v>
      </c>
      <c r="AC72" s="180">
        <f>订货1!BB73</f>
        <v>0</v>
      </c>
      <c r="AD72" s="180">
        <f>订货1!BC73</f>
        <v>0</v>
      </c>
      <c r="AE72" s="180">
        <f>订货1!BD73</f>
        <v>0</v>
      </c>
      <c r="AF72" s="180">
        <f>订货1!BE73</f>
        <v>0</v>
      </c>
      <c r="AG72" s="180">
        <f>订货1!BF73</f>
        <v>0</v>
      </c>
      <c r="AH72" s="176"/>
      <c r="AI72" s="178" t="e">
        <f>店铺收货台帐2!DE73</f>
        <v>#DIV/0!</v>
      </c>
    </row>
    <row r="73" spans="1:35" hidden="1">
      <c r="A73" s="37">
        <f>订货1!K74</f>
        <v>101768</v>
      </c>
      <c r="B73" s="37" t="str">
        <f>订货1!M74</f>
        <v>苹果派</v>
      </c>
      <c r="C73" s="180">
        <f>订货1!AB74</f>
        <v>0</v>
      </c>
      <c r="D73" s="180">
        <f>订货1!AC74</f>
        <v>0</v>
      </c>
      <c r="E73" s="180">
        <f>订货1!AD74</f>
        <v>0</v>
      </c>
      <c r="F73" s="180">
        <f>订货1!AE74</f>
        <v>0</v>
      </c>
      <c r="G73" s="180">
        <f>订货1!AF74</f>
        <v>0</v>
      </c>
      <c r="H73" s="180">
        <f>订货1!AG74</f>
        <v>0</v>
      </c>
      <c r="I73" s="180">
        <f>订货1!AH74</f>
        <v>0</v>
      </c>
      <c r="J73" s="180">
        <f>订货1!AI74</f>
        <v>0</v>
      </c>
      <c r="K73" s="180">
        <f>订货1!AJ74</f>
        <v>0</v>
      </c>
      <c r="L73" s="180">
        <f>订货1!AK74</f>
        <v>0</v>
      </c>
      <c r="M73" s="180">
        <f>订货1!AL74</f>
        <v>0</v>
      </c>
      <c r="N73" s="180">
        <f>订货1!AM74</f>
        <v>0</v>
      </c>
      <c r="O73" s="180">
        <f>订货1!AN74</f>
        <v>0</v>
      </c>
      <c r="P73" s="180">
        <f>订货1!AO74</f>
        <v>0</v>
      </c>
      <c r="Q73" s="180">
        <f>订货1!AP74</f>
        <v>0</v>
      </c>
      <c r="R73" s="180">
        <f>订货1!AQ74</f>
        <v>0</v>
      </c>
      <c r="S73" s="180">
        <f>订货1!AR74</f>
        <v>0</v>
      </c>
      <c r="T73" s="180">
        <f>订货1!AS74</f>
        <v>0</v>
      </c>
      <c r="U73" s="180">
        <f>订货1!AT74</f>
        <v>0</v>
      </c>
      <c r="V73" s="180">
        <f>订货1!AU74</f>
        <v>0</v>
      </c>
      <c r="W73" s="180">
        <f>订货1!AV74</f>
        <v>0</v>
      </c>
      <c r="X73" s="180">
        <f>订货1!AW74</f>
        <v>0</v>
      </c>
      <c r="Y73" s="180">
        <f>订货1!AX74</f>
        <v>0</v>
      </c>
      <c r="Z73" s="180">
        <f>订货1!AY74</f>
        <v>0</v>
      </c>
      <c r="AA73" s="180">
        <f>订货1!AZ74</f>
        <v>0</v>
      </c>
      <c r="AB73" s="180">
        <f>订货1!BA74</f>
        <v>0</v>
      </c>
      <c r="AC73" s="180">
        <f>订货1!BB74</f>
        <v>0</v>
      </c>
      <c r="AD73" s="180">
        <f>订货1!BC74</f>
        <v>0</v>
      </c>
      <c r="AE73" s="180">
        <f>订货1!BD74</f>
        <v>0</v>
      </c>
      <c r="AF73" s="180">
        <f>订货1!BE74</f>
        <v>0</v>
      </c>
      <c r="AG73" s="180">
        <f>订货1!BF74</f>
        <v>0</v>
      </c>
      <c r="AH73" s="176"/>
      <c r="AI73" s="178" t="e">
        <f>店铺收货台帐2!DE74</f>
        <v>#DIV/0!</v>
      </c>
    </row>
    <row r="74" spans="1:35" hidden="1">
      <c r="A74" s="37">
        <f>订货1!K75</f>
        <v>101669</v>
      </c>
      <c r="B74" s="37" t="str">
        <f>订货1!M75</f>
        <v>辣西西里摩德纳黑醋</v>
      </c>
      <c r="C74" s="180">
        <f>订货1!AB75</f>
        <v>0</v>
      </c>
      <c r="D74" s="180">
        <f>订货1!AC75</f>
        <v>0</v>
      </c>
      <c r="E74" s="180">
        <f>订货1!AD75</f>
        <v>0</v>
      </c>
      <c r="F74" s="180">
        <f>订货1!AE75</f>
        <v>0</v>
      </c>
      <c r="G74" s="180">
        <f>订货1!AF75</f>
        <v>0</v>
      </c>
      <c r="H74" s="180">
        <f>订货1!AG75</f>
        <v>0</v>
      </c>
      <c r="I74" s="180">
        <f>订货1!AH75</f>
        <v>0</v>
      </c>
      <c r="J74" s="180">
        <f>订货1!AI75</f>
        <v>0</v>
      </c>
      <c r="K74" s="180">
        <f>订货1!AJ75</f>
        <v>0</v>
      </c>
      <c r="L74" s="180">
        <f>订货1!AK75</f>
        <v>0</v>
      </c>
      <c r="M74" s="180">
        <f>订货1!AL75</f>
        <v>0</v>
      </c>
      <c r="N74" s="180">
        <f>订货1!AM75</f>
        <v>1</v>
      </c>
      <c r="O74" s="180">
        <f>订货1!AN75</f>
        <v>0</v>
      </c>
      <c r="P74" s="180">
        <f>订货1!AO75</f>
        <v>0</v>
      </c>
      <c r="Q74" s="180">
        <f>订货1!AP75</f>
        <v>0</v>
      </c>
      <c r="R74" s="180">
        <f>订货1!AQ75</f>
        <v>0</v>
      </c>
      <c r="S74" s="180">
        <f>订货1!AR75</f>
        <v>0</v>
      </c>
      <c r="T74" s="180">
        <f>订货1!AS75</f>
        <v>0</v>
      </c>
      <c r="U74" s="180">
        <f>订货1!AT75</f>
        <v>0</v>
      </c>
      <c r="V74" s="180">
        <f>订货1!AU75</f>
        <v>0</v>
      </c>
      <c r="W74" s="180">
        <f>订货1!AV75</f>
        <v>0</v>
      </c>
      <c r="X74" s="180">
        <f>订货1!AW75</f>
        <v>0</v>
      </c>
      <c r="Y74" s="180">
        <f>订货1!AX75</f>
        <v>0</v>
      </c>
      <c r="Z74" s="180">
        <f>订货1!AY75</f>
        <v>0</v>
      </c>
      <c r="AA74" s="180">
        <f>订货1!AZ75</f>
        <v>0</v>
      </c>
      <c r="AB74" s="180">
        <f>订货1!BA75</f>
        <v>0</v>
      </c>
      <c r="AC74" s="180">
        <f>订货1!BB75</f>
        <v>0</v>
      </c>
      <c r="AD74" s="180">
        <f>订货1!BC75</f>
        <v>0</v>
      </c>
      <c r="AE74" s="180">
        <f>订货1!BD75</f>
        <v>0</v>
      </c>
      <c r="AF74" s="180">
        <f>订货1!BE75</f>
        <v>0</v>
      </c>
      <c r="AG74" s="180">
        <f>订货1!BF75</f>
        <v>0</v>
      </c>
      <c r="AH74" s="176"/>
      <c r="AI74" s="178" t="e">
        <f>店铺收货台帐2!DE75</f>
        <v>#DIV/0!</v>
      </c>
    </row>
    <row r="75" spans="1:35" hidden="1">
      <c r="A75" s="37">
        <f>订货1!K76</f>
        <v>101709</v>
      </c>
      <c r="B75" s="37" t="str">
        <f>订货1!M76</f>
        <v>蒜蓉辣椒酱</v>
      </c>
      <c r="C75" s="180">
        <f>订货1!AB76</f>
        <v>0</v>
      </c>
      <c r="D75" s="180">
        <f>订货1!AC76</f>
        <v>0</v>
      </c>
      <c r="E75" s="180">
        <f>订货1!AD76</f>
        <v>0</v>
      </c>
      <c r="F75" s="180">
        <f>订货1!AE76</f>
        <v>0</v>
      </c>
      <c r="G75" s="180">
        <f>订货1!AF76</f>
        <v>0</v>
      </c>
      <c r="H75" s="180">
        <f>订货1!AG76</f>
        <v>0</v>
      </c>
      <c r="I75" s="180">
        <f>订货1!AH76</f>
        <v>0</v>
      </c>
      <c r="J75" s="180">
        <f>订货1!AI76</f>
        <v>0</v>
      </c>
      <c r="K75" s="180">
        <f>订货1!AJ76</f>
        <v>0</v>
      </c>
      <c r="L75" s="180">
        <f>订货1!AK76</f>
        <v>0</v>
      </c>
      <c r="M75" s="180">
        <f>订货1!AL76</f>
        <v>0</v>
      </c>
      <c r="N75" s="180">
        <f>订货1!AM76</f>
        <v>0</v>
      </c>
      <c r="O75" s="180">
        <f>订货1!AN76</f>
        <v>1</v>
      </c>
      <c r="P75" s="180">
        <f>订货1!AO76</f>
        <v>0</v>
      </c>
      <c r="Q75" s="180">
        <f>订货1!AP76</f>
        <v>0</v>
      </c>
      <c r="R75" s="180">
        <f>订货1!AQ76</f>
        <v>0</v>
      </c>
      <c r="S75" s="180">
        <f>订货1!AR76</f>
        <v>0</v>
      </c>
      <c r="T75" s="180">
        <f>订货1!AS76</f>
        <v>0</v>
      </c>
      <c r="U75" s="180">
        <f>订货1!AT76</f>
        <v>0</v>
      </c>
      <c r="V75" s="180">
        <f>订货1!AU76</f>
        <v>0</v>
      </c>
      <c r="W75" s="180">
        <f>订货1!AV76</f>
        <v>0</v>
      </c>
      <c r="X75" s="180">
        <f>订货1!AW76</f>
        <v>0</v>
      </c>
      <c r="Y75" s="180">
        <f>订货1!AX76</f>
        <v>0</v>
      </c>
      <c r="Z75" s="180">
        <f>订货1!AY76</f>
        <v>0</v>
      </c>
      <c r="AA75" s="180">
        <f>订货1!AZ76</f>
        <v>0</v>
      </c>
      <c r="AB75" s="180">
        <f>订货1!BA76</f>
        <v>0</v>
      </c>
      <c r="AC75" s="180">
        <f>订货1!BB76</f>
        <v>0</v>
      </c>
      <c r="AD75" s="180">
        <f>订货1!BC76</f>
        <v>0</v>
      </c>
      <c r="AE75" s="180">
        <f>订货1!BD76</f>
        <v>0</v>
      </c>
      <c r="AF75" s="180">
        <f>订货1!BE76</f>
        <v>0</v>
      </c>
      <c r="AG75" s="180">
        <f>订货1!BF76</f>
        <v>0</v>
      </c>
      <c r="AH75" s="176"/>
      <c r="AI75" s="178" t="e">
        <f>店铺收货台帐2!DE76</f>
        <v>#DIV/0!</v>
      </c>
    </row>
    <row r="76" spans="1:35" hidden="1">
      <c r="A76" s="37">
        <f>订货1!K77</f>
        <v>101710</v>
      </c>
      <c r="B76" s="37" t="str">
        <f>订货1!M77</f>
        <v>双层手指饼提拉米苏蛋糕</v>
      </c>
      <c r="C76" s="180">
        <f>订货1!AB77</f>
        <v>1</v>
      </c>
      <c r="D76" s="180">
        <f>订货1!AC77</f>
        <v>0</v>
      </c>
      <c r="E76" s="180">
        <f>订货1!AD77</f>
        <v>0</v>
      </c>
      <c r="F76" s="180">
        <f>订货1!AE77</f>
        <v>1</v>
      </c>
      <c r="G76" s="180">
        <f>订货1!AF77</f>
        <v>1</v>
      </c>
      <c r="H76" s="180">
        <f>订货1!AG77</f>
        <v>2</v>
      </c>
      <c r="I76" s="180">
        <f>订货1!AH77</f>
        <v>2</v>
      </c>
      <c r="J76" s="180">
        <f>订货1!AI77</f>
        <v>0</v>
      </c>
      <c r="K76" s="180">
        <f>订货1!AJ77</f>
        <v>2</v>
      </c>
      <c r="L76" s="180">
        <f>订货1!AK77</f>
        <v>0</v>
      </c>
      <c r="M76" s="180">
        <f>订货1!AL77</f>
        <v>0</v>
      </c>
      <c r="N76" s="180">
        <f>订货1!AM77</f>
        <v>2</v>
      </c>
      <c r="O76" s="180">
        <f>订货1!AN77</f>
        <v>1</v>
      </c>
      <c r="P76" s="180">
        <f>订货1!AO77</f>
        <v>1</v>
      </c>
      <c r="Q76" s="180">
        <f>订货1!AP77</f>
        <v>0</v>
      </c>
      <c r="R76" s="180">
        <f>订货1!AQ77</f>
        <v>0</v>
      </c>
      <c r="S76" s="180">
        <f>订货1!AR77</f>
        <v>0</v>
      </c>
      <c r="T76" s="180">
        <f>订货1!AS77</f>
        <v>0</v>
      </c>
      <c r="U76" s="180">
        <f>订货1!AT77</f>
        <v>0</v>
      </c>
      <c r="V76" s="180">
        <f>订货1!AU77</f>
        <v>0</v>
      </c>
      <c r="W76" s="180">
        <f>订货1!AV77</f>
        <v>0</v>
      </c>
      <c r="X76" s="180">
        <f>订货1!AW77</f>
        <v>0</v>
      </c>
      <c r="Y76" s="180">
        <f>订货1!AX77</f>
        <v>0</v>
      </c>
      <c r="Z76" s="180">
        <f>订货1!AY77</f>
        <v>0</v>
      </c>
      <c r="AA76" s="180">
        <f>订货1!AZ77</f>
        <v>0</v>
      </c>
      <c r="AB76" s="180">
        <f>订货1!BA77</f>
        <v>0</v>
      </c>
      <c r="AC76" s="180">
        <f>订货1!BB77</f>
        <v>0</v>
      </c>
      <c r="AD76" s="180">
        <f>订货1!BC77</f>
        <v>0</v>
      </c>
      <c r="AE76" s="180">
        <f>订货1!BD77</f>
        <v>0</v>
      </c>
      <c r="AF76" s="180">
        <f>订货1!BE77</f>
        <v>0</v>
      </c>
      <c r="AG76" s="180">
        <f>订货1!BF77</f>
        <v>0</v>
      </c>
      <c r="AH76" s="176"/>
      <c r="AI76" s="178" t="e">
        <f>店铺收货台帐2!DE77</f>
        <v>#DIV/0!</v>
      </c>
    </row>
    <row r="77" spans="1:35" hidden="1">
      <c r="A77" s="37">
        <f>订货1!K78</f>
        <v>101770</v>
      </c>
      <c r="B77" s="37" t="str">
        <f>订货1!M78</f>
        <v>辣西西-布拉塔干酪（迷你）</v>
      </c>
      <c r="C77" s="180">
        <f>订货1!AB78</f>
        <v>0</v>
      </c>
      <c r="D77" s="180">
        <f>订货1!AC78</f>
        <v>0</v>
      </c>
      <c r="E77" s="180">
        <f>订货1!AD78</f>
        <v>0</v>
      </c>
      <c r="F77" s="180">
        <f>订货1!AE78</f>
        <v>0</v>
      </c>
      <c r="G77" s="180">
        <f>订货1!AF78</f>
        <v>0</v>
      </c>
      <c r="H77" s="180">
        <f>订货1!AG78</f>
        <v>0</v>
      </c>
      <c r="I77" s="180">
        <f>订货1!AH78</f>
        <v>0</v>
      </c>
      <c r="J77" s="180">
        <f>订货1!AI78</f>
        <v>0</v>
      </c>
      <c r="K77" s="180">
        <f>订货1!AJ78</f>
        <v>0</v>
      </c>
      <c r="L77" s="180">
        <f>订货1!AK78</f>
        <v>0</v>
      </c>
      <c r="M77" s="180">
        <f>订货1!AL78</f>
        <v>0</v>
      </c>
      <c r="N77" s="180">
        <f>订货1!AM78</f>
        <v>0</v>
      </c>
      <c r="O77" s="180">
        <f>订货1!AN78</f>
        <v>0</v>
      </c>
      <c r="P77" s="180">
        <f>订货1!AO78</f>
        <v>0</v>
      </c>
      <c r="Q77" s="180">
        <f>订货1!AP78</f>
        <v>0</v>
      </c>
      <c r="R77" s="180">
        <f>订货1!AQ78</f>
        <v>0</v>
      </c>
      <c r="S77" s="180">
        <f>订货1!AR78</f>
        <v>0</v>
      </c>
      <c r="T77" s="180">
        <f>订货1!AS78</f>
        <v>0</v>
      </c>
      <c r="U77" s="180">
        <f>订货1!AT78</f>
        <v>0</v>
      </c>
      <c r="V77" s="180">
        <f>订货1!AU78</f>
        <v>0</v>
      </c>
      <c r="W77" s="180">
        <f>订货1!AV78</f>
        <v>0</v>
      </c>
      <c r="X77" s="180">
        <f>订货1!AW78</f>
        <v>0</v>
      </c>
      <c r="Y77" s="180">
        <f>订货1!AX78</f>
        <v>0</v>
      </c>
      <c r="Z77" s="180">
        <f>订货1!AY78</f>
        <v>0</v>
      </c>
      <c r="AA77" s="180">
        <f>订货1!AZ78</f>
        <v>0</v>
      </c>
      <c r="AB77" s="180">
        <f>订货1!BA78</f>
        <v>0</v>
      </c>
      <c r="AC77" s="180">
        <f>订货1!BB78</f>
        <v>0</v>
      </c>
      <c r="AD77" s="180">
        <f>订货1!BC78</f>
        <v>0</v>
      </c>
      <c r="AE77" s="180">
        <f>订货1!BD78</f>
        <v>0</v>
      </c>
      <c r="AF77" s="180">
        <f>订货1!BE78</f>
        <v>0</v>
      </c>
      <c r="AG77" s="180">
        <f>订货1!BF78</f>
        <v>0</v>
      </c>
      <c r="AH77" s="176"/>
      <c r="AI77" s="178" t="e">
        <f>店铺收货台帐2!DE78</f>
        <v>#DIV/0!</v>
      </c>
    </row>
    <row r="78" spans="1:35" hidden="1">
      <c r="A78" s="37">
        <f>订货1!K79</f>
        <v>101747</v>
      </c>
      <c r="B78" s="37" t="str">
        <f>订货1!M79</f>
        <v xml:space="preserve">8英寸薄脆比萨饼底 </v>
      </c>
      <c r="C78" s="180">
        <f>订货1!AB79</f>
        <v>0</v>
      </c>
      <c r="D78" s="180">
        <f>订货1!AC79</f>
        <v>1</v>
      </c>
      <c r="E78" s="180">
        <f>订货1!AD79</f>
        <v>0</v>
      </c>
      <c r="F78" s="180">
        <f>订货1!AE79</f>
        <v>0</v>
      </c>
      <c r="G78" s="180">
        <f>订货1!AF79</f>
        <v>1</v>
      </c>
      <c r="H78" s="180">
        <f>订货1!AG79</f>
        <v>2</v>
      </c>
      <c r="I78" s="180">
        <f>订货1!AH79</f>
        <v>0</v>
      </c>
      <c r="J78" s="180">
        <f>订货1!AI79</f>
        <v>2</v>
      </c>
      <c r="K78" s="180">
        <f>订货1!AJ79</f>
        <v>0</v>
      </c>
      <c r="L78" s="180">
        <f>订货1!AK79</f>
        <v>0</v>
      </c>
      <c r="M78" s="180">
        <f>订货1!AL79</f>
        <v>0</v>
      </c>
      <c r="N78" s="180">
        <f>订货1!AM79</f>
        <v>3</v>
      </c>
      <c r="O78" s="180">
        <f>订货1!AN79</f>
        <v>1</v>
      </c>
      <c r="P78" s="180">
        <f>订货1!AO79</f>
        <v>1</v>
      </c>
      <c r="Q78" s="180">
        <f>订货1!AP79</f>
        <v>0</v>
      </c>
      <c r="R78" s="180">
        <f>订货1!AQ79</f>
        <v>0</v>
      </c>
      <c r="S78" s="180">
        <f>订货1!AR79</f>
        <v>0</v>
      </c>
      <c r="T78" s="180">
        <f>订货1!AS79</f>
        <v>0</v>
      </c>
      <c r="U78" s="180">
        <f>订货1!AT79</f>
        <v>0</v>
      </c>
      <c r="V78" s="180">
        <f>订货1!AU79</f>
        <v>0</v>
      </c>
      <c r="W78" s="180">
        <f>订货1!AV79</f>
        <v>0</v>
      </c>
      <c r="X78" s="180">
        <f>订货1!AW79</f>
        <v>0</v>
      </c>
      <c r="Y78" s="180">
        <f>订货1!AX79</f>
        <v>0</v>
      </c>
      <c r="Z78" s="180">
        <f>订货1!AY79</f>
        <v>0</v>
      </c>
      <c r="AA78" s="180">
        <f>订货1!AZ79</f>
        <v>0</v>
      </c>
      <c r="AB78" s="180">
        <f>订货1!BA79</f>
        <v>0</v>
      </c>
      <c r="AC78" s="180">
        <f>订货1!BB79</f>
        <v>0</v>
      </c>
      <c r="AD78" s="180">
        <f>订货1!BC79</f>
        <v>0</v>
      </c>
      <c r="AE78" s="180">
        <f>订货1!BD79</f>
        <v>0</v>
      </c>
      <c r="AF78" s="180">
        <f>订货1!BE79</f>
        <v>0</v>
      </c>
      <c r="AG78" s="180">
        <f>订货1!BF79</f>
        <v>0</v>
      </c>
      <c r="AH78" s="176"/>
      <c r="AI78" s="178" t="e">
        <f>店铺收货台帐2!DE79</f>
        <v>#DIV/0!</v>
      </c>
    </row>
    <row r="79" spans="1:35" hidden="1">
      <c r="A79" s="37">
        <f>订货1!K80</f>
        <v>101682</v>
      </c>
      <c r="B79" s="37" t="str">
        <f>订货1!M80</f>
        <v>冷冻西兰花</v>
      </c>
      <c r="C79" s="180">
        <f>订货1!AB80</f>
        <v>0</v>
      </c>
      <c r="D79" s="180">
        <f>订货1!AC80</f>
        <v>1</v>
      </c>
      <c r="E79" s="180">
        <f>订货1!AD80</f>
        <v>0</v>
      </c>
      <c r="F79" s="180">
        <f>订货1!AE80</f>
        <v>0</v>
      </c>
      <c r="G79" s="180">
        <f>订货1!AF80</f>
        <v>1</v>
      </c>
      <c r="H79" s="180">
        <f>订货1!AG80</f>
        <v>0</v>
      </c>
      <c r="I79" s="180">
        <f>订货1!AH80</f>
        <v>0</v>
      </c>
      <c r="J79" s="180">
        <f>订货1!AI80</f>
        <v>1</v>
      </c>
      <c r="K79" s="180">
        <f>订货1!AJ80</f>
        <v>0</v>
      </c>
      <c r="L79" s="180">
        <f>订货1!AK80</f>
        <v>0</v>
      </c>
      <c r="M79" s="180">
        <f>订货1!AL80</f>
        <v>0</v>
      </c>
      <c r="N79" s="180">
        <f>订货1!AM80</f>
        <v>1</v>
      </c>
      <c r="O79" s="180">
        <f>订货1!AN80</f>
        <v>0</v>
      </c>
      <c r="P79" s="180">
        <f>订货1!AO80</f>
        <v>1</v>
      </c>
      <c r="Q79" s="180">
        <f>订货1!AP80</f>
        <v>0</v>
      </c>
      <c r="R79" s="180">
        <f>订货1!AQ80</f>
        <v>0</v>
      </c>
      <c r="S79" s="180">
        <f>订货1!AR80</f>
        <v>0</v>
      </c>
      <c r="T79" s="180">
        <f>订货1!AS80</f>
        <v>0</v>
      </c>
      <c r="U79" s="180">
        <f>订货1!AT80</f>
        <v>0</v>
      </c>
      <c r="V79" s="180">
        <f>订货1!AU80</f>
        <v>0</v>
      </c>
      <c r="W79" s="180">
        <f>订货1!AV80</f>
        <v>0</v>
      </c>
      <c r="X79" s="180">
        <f>订货1!AW80</f>
        <v>0</v>
      </c>
      <c r="Y79" s="180">
        <f>订货1!AX80</f>
        <v>0</v>
      </c>
      <c r="Z79" s="180">
        <f>订货1!AY80</f>
        <v>0</v>
      </c>
      <c r="AA79" s="180">
        <f>订货1!AZ80</f>
        <v>0</v>
      </c>
      <c r="AB79" s="180">
        <f>订货1!BA80</f>
        <v>0</v>
      </c>
      <c r="AC79" s="180">
        <f>订货1!BB80</f>
        <v>0</v>
      </c>
      <c r="AD79" s="180">
        <f>订货1!BC80</f>
        <v>0</v>
      </c>
      <c r="AE79" s="180">
        <f>订货1!BD80</f>
        <v>0</v>
      </c>
      <c r="AF79" s="180">
        <f>订货1!BE80</f>
        <v>0</v>
      </c>
      <c r="AG79" s="180">
        <f>订货1!BF80</f>
        <v>0</v>
      </c>
      <c r="AH79" s="176"/>
      <c r="AI79" s="178" t="e">
        <f>店铺收货台帐2!DE80</f>
        <v>#DIV/0!</v>
      </c>
    </row>
    <row r="80" spans="1:35" hidden="1">
      <c r="A80" s="37">
        <f>订货1!K81</f>
        <v>101073</v>
      </c>
      <c r="B80" s="37" t="str">
        <f>订货1!M81</f>
        <v>萨莉亚速冻蜗牛肉</v>
      </c>
      <c r="C80" s="180">
        <f>订货1!AB81</f>
        <v>0</v>
      </c>
      <c r="D80" s="180">
        <f>订货1!AC81</f>
        <v>0</v>
      </c>
      <c r="E80" s="180">
        <f>订货1!AD81</f>
        <v>0</v>
      </c>
      <c r="F80" s="180">
        <f>订货1!AE81</f>
        <v>0</v>
      </c>
      <c r="G80" s="180">
        <f>订货1!AF81</f>
        <v>1</v>
      </c>
      <c r="H80" s="180">
        <f>订货1!AG81</f>
        <v>0</v>
      </c>
      <c r="I80" s="180">
        <f>订货1!AH81</f>
        <v>0</v>
      </c>
      <c r="J80" s="180">
        <f>订货1!AI81</f>
        <v>0</v>
      </c>
      <c r="K80" s="180">
        <f>订货1!AJ81</f>
        <v>1</v>
      </c>
      <c r="L80" s="180">
        <f>订货1!AK81</f>
        <v>0</v>
      </c>
      <c r="M80" s="180">
        <f>订货1!AL81</f>
        <v>0</v>
      </c>
      <c r="N80" s="180">
        <f>订货1!AM81</f>
        <v>0</v>
      </c>
      <c r="O80" s="180">
        <f>订货1!AN81</f>
        <v>1</v>
      </c>
      <c r="P80" s="180">
        <f>订货1!AO81</f>
        <v>0</v>
      </c>
      <c r="Q80" s="180">
        <f>订货1!AP81</f>
        <v>0</v>
      </c>
      <c r="R80" s="180">
        <f>订货1!AQ81</f>
        <v>0</v>
      </c>
      <c r="S80" s="180">
        <f>订货1!AR81</f>
        <v>0</v>
      </c>
      <c r="T80" s="180">
        <f>订货1!AS81</f>
        <v>0</v>
      </c>
      <c r="U80" s="180">
        <f>订货1!AT81</f>
        <v>0</v>
      </c>
      <c r="V80" s="180">
        <f>订货1!AU81</f>
        <v>0</v>
      </c>
      <c r="W80" s="180">
        <f>订货1!AV81</f>
        <v>0</v>
      </c>
      <c r="X80" s="180">
        <f>订货1!AW81</f>
        <v>0</v>
      </c>
      <c r="Y80" s="180">
        <f>订货1!AX81</f>
        <v>0</v>
      </c>
      <c r="Z80" s="180">
        <f>订货1!AY81</f>
        <v>0</v>
      </c>
      <c r="AA80" s="180">
        <f>订货1!AZ81</f>
        <v>0</v>
      </c>
      <c r="AB80" s="180">
        <f>订货1!BA81</f>
        <v>0</v>
      </c>
      <c r="AC80" s="180">
        <f>订货1!BB81</f>
        <v>0</v>
      </c>
      <c r="AD80" s="180">
        <f>订货1!BC81</f>
        <v>0</v>
      </c>
      <c r="AE80" s="180">
        <f>订货1!BD81</f>
        <v>0</v>
      </c>
      <c r="AF80" s="180">
        <f>订货1!BE81</f>
        <v>0</v>
      </c>
      <c r="AG80" s="180">
        <f>订货1!BF81</f>
        <v>0</v>
      </c>
      <c r="AH80" s="176"/>
      <c r="AI80" s="178" t="e">
        <f>店铺收货台帐2!DE81</f>
        <v>#DIV/0!</v>
      </c>
    </row>
    <row r="81" spans="1:35" hidden="1">
      <c r="A81" s="37">
        <f>订货1!K82</f>
        <v>720003</v>
      </c>
      <c r="B81" s="37" t="str">
        <f>订货1!M82</f>
        <v>樱桃番茄</v>
      </c>
      <c r="C81" s="180">
        <f>订货1!AB82</f>
        <v>0</v>
      </c>
      <c r="D81" s="180">
        <f>订货1!AC82</f>
        <v>3</v>
      </c>
      <c r="E81" s="180">
        <f>订货1!AD82</f>
        <v>0</v>
      </c>
      <c r="F81" s="180">
        <f>订货1!AE82</f>
        <v>6</v>
      </c>
      <c r="G81" s="180">
        <f>订货1!AF82</f>
        <v>12</v>
      </c>
      <c r="H81" s="180">
        <f>订货1!AG82</f>
        <v>9</v>
      </c>
      <c r="I81" s="180">
        <f>订货1!AH82</f>
        <v>2</v>
      </c>
      <c r="J81" s="180">
        <f>订货1!AI82</f>
        <v>0</v>
      </c>
      <c r="K81" s="180">
        <f>订货1!AJ82</f>
        <v>8</v>
      </c>
      <c r="L81" s="180">
        <f>订货1!AK82</f>
        <v>0</v>
      </c>
      <c r="M81" s="180">
        <f>订货1!AL82</f>
        <v>1</v>
      </c>
      <c r="N81" s="180">
        <f>订货1!AM82</f>
        <v>8</v>
      </c>
      <c r="O81" s="180">
        <f>订货1!AN82</f>
        <v>11</v>
      </c>
      <c r="P81" s="180">
        <f>订货1!AO82</f>
        <v>4</v>
      </c>
      <c r="Q81" s="180">
        <f>订货1!AP82</f>
        <v>0</v>
      </c>
      <c r="R81" s="180">
        <f>订货1!AQ82</f>
        <v>0</v>
      </c>
      <c r="S81" s="180">
        <f>订货1!AR82</f>
        <v>0</v>
      </c>
      <c r="T81" s="180">
        <f>订货1!AS82</f>
        <v>0</v>
      </c>
      <c r="U81" s="180">
        <f>订货1!AT82</f>
        <v>0</v>
      </c>
      <c r="V81" s="180">
        <f>订货1!AU82</f>
        <v>0</v>
      </c>
      <c r="W81" s="180">
        <f>订货1!AV82</f>
        <v>0</v>
      </c>
      <c r="X81" s="180">
        <f>订货1!AW82</f>
        <v>0</v>
      </c>
      <c r="Y81" s="180">
        <f>订货1!AX82</f>
        <v>0</v>
      </c>
      <c r="Z81" s="180">
        <f>订货1!AY82</f>
        <v>0</v>
      </c>
      <c r="AA81" s="180">
        <f>订货1!AZ82</f>
        <v>0</v>
      </c>
      <c r="AB81" s="180">
        <f>订货1!BA82</f>
        <v>0</v>
      </c>
      <c r="AC81" s="180">
        <f>订货1!BB82</f>
        <v>0</v>
      </c>
      <c r="AD81" s="180">
        <f>订货1!BC82</f>
        <v>0</v>
      </c>
      <c r="AE81" s="180">
        <f>订货1!BD82</f>
        <v>0</v>
      </c>
      <c r="AF81" s="180">
        <f>订货1!BE82</f>
        <v>0</v>
      </c>
      <c r="AG81" s="180">
        <f>订货1!BF82</f>
        <v>0</v>
      </c>
      <c r="AH81" s="176"/>
      <c r="AI81" s="178" t="e">
        <f>店铺收货台帐2!DE82</f>
        <v>#DIV/0!</v>
      </c>
    </row>
    <row r="82" spans="1:35" hidden="1">
      <c r="A82" s="37">
        <f>订货1!K83</f>
        <v>720004</v>
      </c>
      <c r="B82" s="37" t="str">
        <f>订货1!M83</f>
        <v>彩椒丝</v>
      </c>
      <c r="C82" s="180">
        <f>订货1!AB83</f>
        <v>0</v>
      </c>
      <c r="D82" s="180">
        <f>订货1!AC83</f>
        <v>0</v>
      </c>
      <c r="E82" s="180">
        <f>订货1!AD83</f>
        <v>0</v>
      </c>
      <c r="F82" s="180">
        <f>订货1!AE83</f>
        <v>0</v>
      </c>
      <c r="G82" s="180">
        <f>订货1!AF83</f>
        <v>0</v>
      </c>
      <c r="H82" s="180">
        <f>订货1!AG83</f>
        <v>0</v>
      </c>
      <c r="I82" s="180">
        <f>订货1!AH83</f>
        <v>0</v>
      </c>
      <c r="J82" s="180">
        <f>订货1!AI83</f>
        <v>0</v>
      </c>
      <c r="K82" s="180">
        <f>订货1!AJ83</f>
        <v>0</v>
      </c>
      <c r="L82" s="180">
        <f>订货1!AK83</f>
        <v>0</v>
      </c>
      <c r="M82" s="180">
        <f>订货1!AL83</f>
        <v>0</v>
      </c>
      <c r="N82" s="180">
        <f>订货1!AM83</f>
        <v>0</v>
      </c>
      <c r="O82" s="180">
        <f>订货1!AN83</f>
        <v>0</v>
      </c>
      <c r="P82" s="180">
        <f>订货1!AO83</f>
        <v>0</v>
      </c>
      <c r="Q82" s="180">
        <f>订货1!AP83</f>
        <v>0</v>
      </c>
      <c r="R82" s="180">
        <f>订货1!AQ83</f>
        <v>0</v>
      </c>
      <c r="S82" s="180">
        <f>订货1!AR83</f>
        <v>0</v>
      </c>
      <c r="T82" s="180">
        <f>订货1!AS83</f>
        <v>0</v>
      </c>
      <c r="U82" s="180">
        <f>订货1!AT83</f>
        <v>0</v>
      </c>
      <c r="V82" s="180">
        <f>订货1!AU83</f>
        <v>0</v>
      </c>
      <c r="W82" s="180">
        <f>订货1!AV83</f>
        <v>0</v>
      </c>
      <c r="X82" s="180">
        <f>订货1!AW83</f>
        <v>0</v>
      </c>
      <c r="Y82" s="180">
        <f>订货1!AX83</f>
        <v>0</v>
      </c>
      <c r="Z82" s="180">
        <f>订货1!AY83</f>
        <v>0</v>
      </c>
      <c r="AA82" s="180">
        <f>订货1!AZ83</f>
        <v>0</v>
      </c>
      <c r="AB82" s="180">
        <f>订货1!BA83</f>
        <v>0</v>
      </c>
      <c r="AC82" s="180">
        <f>订货1!BB83</f>
        <v>0</v>
      </c>
      <c r="AD82" s="180">
        <f>订货1!BC83</f>
        <v>0</v>
      </c>
      <c r="AE82" s="180">
        <f>订货1!BD83</f>
        <v>0</v>
      </c>
      <c r="AF82" s="180">
        <f>订货1!BE83</f>
        <v>0</v>
      </c>
      <c r="AG82" s="180">
        <f>订货1!BF83</f>
        <v>0</v>
      </c>
      <c r="AH82" s="176"/>
      <c r="AI82" s="178" t="e">
        <f>店铺收货台帐2!DE83</f>
        <v>#DIV/0!</v>
      </c>
    </row>
    <row r="83" spans="1:35" hidden="1">
      <c r="A83" s="37">
        <f>订货1!K84</f>
        <v>720005</v>
      </c>
      <c r="B83" s="37" t="str">
        <f>订货1!M84</f>
        <v>蔬菜底料</v>
      </c>
      <c r="C83" s="180">
        <f>订货1!AB84</f>
        <v>3</v>
      </c>
      <c r="D83" s="180">
        <f>订货1!AC84</f>
        <v>1</v>
      </c>
      <c r="E83" s="180">
        <f>订货1!AD84</f>
        <v>0</v>
      </c>
      <c r="F83" s="180">
        <f>订货1!AE84</f>
        <v>3</v>
      </c>
      <c r="G83" s="180">
        <f>订货1!AF84</f>
        <v>3</v>
      </c>
      <c r="H83" s="180">
        <f>订货1!AG84</f>
        <v>3</v>
      </c>
      <c r="I83" s="180">
        <f>订货1!AH84</f>
        <v>1</v>
      </c>
      <c r="J83" s="180">
        <f>订货1!AI84</f>
        <v>2</v>
      </c>
      <c r="K83" s="180">
        <f>订货1!AJ84</f>
        <v>2</v>
      </c>
      <c r="L83" s="180">
        <f>订货1!AK84</f>
        <v>0</v>
      </c>
      <c r="M83" s="180">
        <f>订货1!AL84</f>
        <v>0</v>
      </c>
      <c r="N83" s="180">
        <f>订货1!AM84</f>
        <v>6</v>
      </c>
      <c r="O83" s="180">
        <f>订货1!AN84</f>
        <v>2</v>
      </c>
      <c r="P83" s="180">
        <f>订货1!AO84</f>
        <v>3</v>
      </c>
      <c r="Q83" s="180">
        <f>订货1!AP84</f>
        <v>0</v>
      </c>
      <c r="R83" s="180">
        <f>订货1!AQ84</f>
        <v>0</v>
      </c>
      <c r="S83" s="180">
        <f>订货1!AR84</f>
        <v>0</v>
      </c>
      <c r="T83" s="180">
        <f>订货1!AS84</f>
        <v>0</v>
      </c>
      <c r="U83" s="180">
        <f>订货1!AT84</f>
        <v>0</v>
      </c>
      <c r="V83" s="180">
        <f>订货1!AU84</f>
        <v>0</v>
      </c>
      <c r="W83" s="180">
        <f>订货1!AV84</f>
        <v>0</v>
      </c>
      <c r="X83" s="180">
        <f>订货1!AW84</f>
        <v>0</v>
      </c>
      <c r="Y83" s="180">
        <f>订货1!AX84</f>
        <v>0</v>
      </c>
      <c r="Z83" s="180">
        <f>订货1!AY84</f>
        <v>0</v>
      </c>
      <c r="AA83" s="180">
        <f>订货1!AZ84</f>
        <v>0</v>
      </c>
      <c r="AB83" s="180">
        <f>订货1!BA84</f>
        <v>0</v>
      </c>
      <c r="AC83" s="180">
        <f>订货1!BB84</f>
        <v>0</v>
      </c>
      <c r="AD83" s="180">
        <f>订货1!BC84</f>
        <v>0</v>
      </c>
      <c r="AE83" s="180">
        <f>订货1!BD84</f>
        <v>0</v>
      </c>
      <c r="AF83" s="180">
        <f>订货1!BE84</f>
        <v>0</v>
      </c>
      <c r="AG83" s="180">
        <f>订货1!BF84</f>
        <v>0</v>
      </c>
      <c r="AH83" s="176"/>
      <c r="AI83" s="178" t="e">
        <f>店铺收货台帐2!DE84</f>
        <v>#DIV/0!</v>
      </c>
    </row>
    <row r="84" spans="1:35" hidden="1">
      <c r="A84" s="37">
        <f>订货1!K85</f>
        <v>720006</v>
      </c>
      <c r="B84" s="37" t="str">
        <f>订货1!M85</f>
        <v>混合生菜</v>
      </c>
      <c r="C84" s="180">
        <f>订货1!AB85</f>
        <v>0</v>
      </c>
      <c r="D84" s="180">
        <f>订货1!AC85</f>
        <v>0</v>
      </c>
      <c r="E84" s="180">
        <f>订货1!AD85</f>
        <v>0</v>
      </c>
      <c r="F84" s="180">
        <f>订货1!AE85</f>
        <v>0</v>
      </c>
      <c r="G84" s="180">
        <f>订货1!AF85</f>
        <v>0</v>
      </c>
      <c r="H84" s="180">
        <f>订货1!AG85</f>
        <v>0</v>
      </c>
      <c r="I84" s="180">
        <f>订货1!AH85</f>
        <v>0</v>
      </c>
      <c r="J84" s="180">
        <f>订货1!AI85</f>
        <v>0</v>
      </c>
      <c r="K84" s="180">
        <f>订货1!AJ85</f>
        <v>0</v>
      </c>
      <c r="L84" s="180">
        <f>订货1!AK85</f>
        <v>0</v>
      </c>
      <c r="M84" s="180">
        <f>订货1!AL85</f>
        <v>0</v>
      </c>
      <c r="N84" s="180">
        <f>订货1!AM85</f>
        <v>0</v>
      </c>
      <c r="O84" s="180">
        <f>订货1!AN85</f>
        <v>0</v>
      </c>
      <c r="P84" s="180">
        <f>订货1!AO85</f>
        <v>0</v>
      </c>
      <c r="Q84" s="180">
        <f>订货1!AP85</f>
        <v>0</v>
      </c>
      <c r="R84" s="180">
        <f>订货1!AQ85</f>
        <v>0</v>
      </c>
      <c r="S84" s="180">
        <f>订货1!AR85</f>
        <v>0</v>
      </c>
      <c r="T84" s="180">
        <f>订货1!AS85</f>
        <v>0</v>
      </c>
      <c r="U84" s="180">
        <f>订货1!AT85</f>
        <v>0</v>
      </c>
      <c r="V84" s="180">
        <f>订货1!AU85</f>
        <v>0</v>
      </c>
      <c r="W84" s="180">
        <f>订货1!AV85</f>
        <v>0</v>
      </c>
      <c r="X84" s="180">
        <f>订货1!AW85</f>
        <v>0</v>
      </c>
      <c r="Y84" s="180">
        <f>订货1!AX85</f>
        <v>0</v>
      </c>
      <c r="Z84" s="180">
        <f>订货1!AY85</f>
        <v>0</v>
      </c>
      <c r="AA84" s="180">
        <f>订货1!AZ85</f>
        <v>0</v>
      </c>
      <c r="AB84" s="180">
        <f>订货1!BA85</f>
        <v>0</v>
      </c>
      <c r="AC84" s="180">
        <f>订货1!BB85</f>
        <v>0</v>
      </c>
      <c r="AD84" s="180">
        <f>订货1!BC85</f>
        <v>0</v>
      </c>
      <c r="AE84" s="180">
        <f>订货1!BD85</f>
        <v>0</v>
      </c>
      <c r="AF84" s="180">
        <f>订货1!BE85</f>
        <v>0</v>
      </c>
      <c r="AG84" s="180">
        <f>订货1!BF85</f>
        <v>0</v>
      </c>
      <c r="AH84" s="176"/>
      <c r="AI84" s="178" t="e">
        <f>店铺收货台帐2!DE85</f>
        <v>#DIV/0!</v>
      </c>
    </row>
    <row r="85" spans="1:35" hidden="1">
      <c r="A85" s="37">
        <f>订货1!K86</f>
        <v>720018</v>
      </c>
      <c r="B85" s="37" t="str">
        <f>订货1!M86</f>
        <v>小青菜</v>
      </c>
      <c r="C85" s="180">
        <f>订货1!AB86</f>
        <v>0</v>
      </c>
      <c r="D85" s="180">
        <f>订货1!AC86</f>
        <v>0</v>
      </c>
      <c r="E85" s="180">
        <f>订货1!AD86</f>
        <v>0</v>
      </c>
      <c r="F85" s="180">
        <f>订货1!AE86</f>
        <v>0</v>
      </c>
      <c r="G85" s="180">
        <f>订货1!AF86</f>
        <v>0</v>
      </c>
      <c r="H85" s="180">
        <f>订货1!AG86</f>
        <v>0</v>
      </c>
      <c r="I85" s="180">
        <f>订货1!AH86</f>
        <v>0</v>
      </c>
      <c r="J85" s="180">
        <f>订货1!AI86</f>
        <v>0</v>
      </c>
      <c r="K85" s="180">
        <f>订货1!AJ86</f>
        <v>0</v>
      </c>
      <c r="L85" s="180">
        <f>订货1!AK86</f>
        <v>0</v>
      </c>
      <c r="M85" s="180">
        <f>订货1!AL86</f>
        <v>0</v>
      </c>
      <c r="N85" s="180">
        <f>订货1!AM86</f>
        <v>0</v>
      </c>
      <c r="O85" s="180">
        <f>订货1!AN86</f>
        <v>0</v>
      </c>
      <c r="P85" s="180">
        <f>订货1!AO86</f>
        <v>0</v>
      </c>
      <c r="Q85" s="180">
        <f>订货1!AP86</f>
        <v>0</v>
      </c>
      <c r="R85" s="180">
        <f>订货1!AQ86</f>
        <v>0</v>
      </c>
      <c r="S85" s="180">
        <f>订货1!AR86</f>
        <v>0</v>
      </c>
      <c r="T85" s="180">
        <f>订货1!AS86</f>
        <v>0</v>
      </c>
      <c r="U85" s="180">
        <f>订货1!AT86</f>
        <v>0</v>
      </c>
      <c r="V85" s="180">
        <f>订货1!AU86</f>
        <v>0</v>
      </c>
      <c r="W85" s="180">
        <f>订货1!AV86</f>
        <v>0</v>
      </c>
      <c r="X85" s="180">
        <f>订货1!AW86</f>
        <v>0</v>
      </c>
      <c r="Y85" s="180">
        <f>订货1!AX86</f>
        <v>0</v>
      </c>
      <c r="Z85" s="180">
        <f>订货1!AY86</f>
        <v>0</v>
      </c>
      <c r="AA85" s="180">
        <f>订货1!AZ86</f>
        <v>0</v>
      </c>
      <c r="AB85" s="180">
        <f>订货1!BA86</f>
        <v>0</v>
      </c>
      <c r="AC85" s="180">
        <f>订货1!BB86</f>
        <v>0</v>
      </c>
      <c r="AD85" s="180">
        <f>订货1!BC86</f>
        <v>0</v>
      </c>
      <c r="AE85" s="180">
        <f>订货1!BD86</f>
        <v>0</v>
      </c>
      <c r="AF85" s="180">
        <f>订货1!BE86</f>
        <v>0</v>
      </c>
      <c r="AG85" s="180">
        <f>订货1!BF86</f>
        <v>0</v>
      </c>
      <c r="AH85" s="176"/>
      <c r="AI85" s="178" t="e">
        <f>店铺收货台帐2!DE86</f>
        <v>#DIV/0!</v>
      </c>
    </row>
    <row r="86" spans="1:35" hidden="1">
      <c r="A86" s="37">
        <f>订货1!K87</f>
        <v>720008</v>
      </c>
      <c r="B86" s="37" t="str">
        <f>订货1!M87</f>
        <v>猕猴桃</v>
      </c>
      <c r="C86" s="180">
        <f>订货1!AB87</f>
        <v>0</v>
      </c>
      <c r="D86" s="180">
        <f>订货1!AC87</f>
        <v>0</v>
      </c>
      <c r="E86" s="180">
        <f>订货1!AD87</f>
        <v>0</v>
      </c>
      <c r="F86" s="180">
        <f>订货1!AE87</f>
        <v>0</v>
      </c>
      <c r="G86" s="180">
        <f>订货1!AF87</f>
        <v>0</v>
      </c>
      <c r="H86" s="180">
        <f>订货1!AG87</f>
        <v>0</v>
      </c>
      <c r="I86" s="180">
        <f>订货1!AH87</f>
        <v>0</v>
      </c>
      <c r="J86" s="180">
        <f>订货1!AI87</f>
        <v>0</v>
      </c>
      <c r="K86" s="180">
        <f>订货1!AJ87</f>
        <v>0</v>
      </c>
      <c r="L86" s="180">
        <f>订货1!AK87</f>
        <v>0</v>
      </c>
      <c r="M86" s="180">
        <f>订货1!AL87</f>
        <v>0</v>
      </c>
      <c r="N86" s="180">
        <f>订货1!AM87</f>
        <v>0</v>
      </c>
      <c r="O86" s="180">
        <f>订货1!AN87</f>
        <v>0</v>
      </c>
      <c r="P86" s="180">
        <f>订货1!AO87</f>
        <v>0</v>
      </c>
      <c r="Q86" s="180">
        <f>订货1!AP87</f>
        <v>0</v>
      </c>
      <c r="R86" s="180">
        <f>订货1!AQ87</f>
        <v>0</v>
      </c>
      <c r="S86" s="180">
        <f>订货1!AR87</f>
        <v>0</v>
      </c>
      <c r="T86" s="180">
        <f>订货1!AS87</f>
        <v>0</v>
      </c>
      <c r="U86" s="180">
        <f>订货1!AT87</f>
        <v>0</v>
      </c>
      <c r="V86" s="180">
        <f>订货1!AU87</f>
        <v>0</v>
      </c>
      <c r="W86" s="180">
        <f>订货1!AV87</f>
        <v>0</v>
      </c>
      <c r="X86" s="180">
        <f>订货1!AW87</f>
        <v>0</v>
      </c>
      <c r="Y86" s="180">
        <f>订货1!AX87</f>
        <v>0</v>
      </c>
      <c r="Z86" s="180">
        <f>订货1!AY87</f>
        <v>0</v>
      </c>
      <c r="AA86" s="180">
        <f>订货1!AZ87</f>
        <v>0</v>
      </c>
      <c r="AB86" s="180">
        <f>订货1!BA87</f>
        <v>0</v>
      </c>
      <c r="AC86" s="180">
        <f>订货1!BB87</f>
        <v>0</v>
      </c>
      <c r="AD86" s="180">
        <f>订货1!BC87</f>
        <v>0</v>
      </c>
      <c r="AE86" s="180">
        <f>订货1!BD87</f>
        <v>0</v>
      </c>
      <c r="AF86" s="180">
        <f>订货1!BE87</f>
        <v>0</v>
      </c>
      <c r="AG86" s="180">
        <f>订货1!BF87</f>
        <v>0</v>
      </c>
      <c r="AH86" s="176"/>
      <c r="AI86" s="178" t="e">
        <f>店铺收货台帐2!DE87</f>
        <v>#DIV/0!</v>
      </c>
    </row>
    <row r="87" spans="1:35" hidden="1">
      <c r="A87" s="37">
        <f>订货1!K88</f>
        <v>720009</v>
      </c>
      <c r="B87" s="37" t="str">
        <f>订货1!M88</f>
        <v>大蒜</v>
      </c>
      <c r="C87" s="180">
        <f>订货1!AB88</f>
        <v>0</v>
      </c>
      <c r="D87" s="180">
        <f>订货1!AC88</f>
        <v>0</v>
      </c>
      <c r="E87" s="180">
        <f>订货1!AD88</f>
        <v>0</v>
      </c>
      <c r="F87" s="180">
        <f>订货1!AE88</f>
        <v>0</v>
      </c>
      <c r="G87" s="180">
        <f>订货1!AF88</f>
        <v>0</v>
      </c>
      <c r="H87" s="180">
        <f>订货1!AG88</f>
        <v>0</v>
      </c>
      <c r="I87" s="180">
        <f>订货1!AH88</f>
        <v>0</v>
      </c>
      <c r="J87" s="180">
        <f>订货1!AI88</f>
        <v>0</v>
      </c>
      <c r="K87" s="180">
        <f>订货1!AJ88</f>
        <v>0</v>
      </c>
      <c r="L87" s="180">
        <f>订货1!AK88</f>
        <v>0</v>
      </c>
      <c r="M87" s="180">
        <f>订货1!AL88</f>
        <v>0</v>
      </c>
      <c r="N87" s="180">
        <f>订货1!AM88</f>
        <v>0</v>
      </c>
      <c r="O87" s="180">
        <f>订货1!AN88</f>
        <v>0</v>
      </c>
      <c r="P87" s="180">
        <f>订货1!AO88</f>
        <v>0</v>
      </c>
      <c r="Q87" s="180">
        <f>订货1!AP88</f>
        <v>0</v>
      </c>
      <c r="R87" s="180">
        <f>订货1!AQ88</f>
        <v>0</v>
      </c>
      <c r="S87" s="180">
        <f>订货1!AR88</f>
        <v>0</v>
      </c>
      <c r="T87" s="180">
        <f>订货1!AS88</f>
        <v>0</v>
      </c>
      <c r="U87" s="180">
        <f>订货1!AT88</f>
        <v>0</v>
      </c>
      <c r="V87" s="180">
        <f>订货1!AU88</f>
        <v>0</v>
      </c>
      <c r="W87" s="180">
        <f>订货1!AV88</f>
        <v>0</v>
      </c>
      <c r="X87" s="180">
        <f>订货1!AW88</f>
        <v>0</v>
      </c>
      <c r="Y87" s="180">
        <f>订货1!AX88</f>
        <v>0</v>
      </c>
      <c r="Z87" s="180">
        <f>订货1!AY88</f>
        <v>0</v>
      </c>
      <c r="AA87" s="180">
        <f>订货1!AZ88</f>
        <v>0</v>
      </c>
      <c r="AB87" s="180">
        <f>订货1!BA88</f>
        <v>0</v>
      </c>
      <c r="AC87" s="180">
        <f>订货1!BB88</f>
        <v>0</v>
      </c>
      <c r="AD87" s="180">
        <f>订货1!BC88</f>
        <v>0</v>
      </c>
      <c r="AE87" s="180">
        <f>订货1!BD88</f>
        <v>0</v>
      </c>
      <c r="AF87" s="180">
        <f>订货1!BE88</f>
        <v>0</v>
      </c>
      <c r="AG87" s="180">
        <f>订货1!BF88</f>
        <v>0</v>
      </c>
      <c r="AH87" s="176"/>
      <c r="AI87" s="178" t="e">
        <f>店铺收货台帐2!DE88</f>
        <v>#DIV/0!</v>
      </c>
    </row>
    <row r="88" spans="1:35" hidden="1">
      <c r="A88" s="37">
        <f>订货1!K89</f>
        <v>720010</v>
      </c>
      <c r="B88" s="37" t="str">
        <f>订货1!M89</f>
        <v>番茄</v>
      </c>
      <c r="C88" s="180">
        <f>订货1!AB89</f>
        <v>0</v>
      </c>
      <c r="D88" s="180">
        <f>订货1!AC89</f>
        <v>0</v>
      </c>
      <c r="E88" s="180">
        <f>订货1!AD89</f>
        <v>0</v>
      </c>
      <c r="F88" s="180">
        <f>订货1!AE89</f>
        <v>0</v>
      </c>
      <c r="G88" s="180">
        <f>订货1!AF89</f>
        <v>0</v>
      </c>
      <c r="H88" s="180">
        <f>订货1!AG89</f>
        <v>0</v>
      </c>
      <c r="I88" s="180">
        <f>订货1!AH89</f>
        <v>0</v>
      </c>
      <c r="J88" s="180">
        <f>订货1!AI89</f>
        <v>0</v>
      </c>
      <c r="K88" s="180">
        <f>订货1!AJ89</f>
        <v>0</v>
      </c>
      <c r="L88" s="180">
        <f>订货1!AK89</f>
        <v>0</v>
      </c>
      <c r="M88" s="180">
        <f>订货1!AL89</f>
        <v>0</v>
      </c>
      <c r="N88" s="180">
        <f>订货1!AM89</f>
        <v>0</v>
      </c>
      <c r="O88" s="180">
        <f>订货1!AN89</f>
        <v>0</v>
      </c>
      <c r="P88" s="180">
        <f>订货1!AO89</f>
        <v>0</v>
      </c>
      <c r="Q88" s="180">
        <f>订货1!AP89</f>
        <v>0</v>
      </c>
      <c r="R88" s="180">
        <f>订货1!AQ89</f>
        <v>0</v>
      </c>
      <c r="S88" s="180">
        <f>订货1!AR89</f>
        <v>0</v>
      </c>
      <c r="T88" s="180">
        <f>订货1!AS89</f>
        <v>0</v>
      </c>
      <c r="U88" s="180">
        <f>订货1!AT89</f>
        <v>0</v>
      </c>
      <c r="V88" s="180">
        <f>订货1!AU89</f>
        <v>0</v>
      </c>
      <c r="W88" s="180">
        <f>订货1!AV89</f>
        <v>0</v>
      </c>
      <c r="X88" s="180">
        <f>订货1!AW89</f>
        <v>0</v>
      </c>
      <c r="Y88" s="180">
        <f>订货1!AX89</f>
        <v>0</v>
      </c>
      <c r="Z88" s="180">
        <f>订货1!AY89</f>
        <v>0</v>
      </c>
      <c r="AA88" s="180">
        <f>订货1!AZ89</f>
        <v>0</v>
      </c>
      <c r="AB88" s="180">
        <f>订货1!BA89</f>
        <v>0</v>
      </c>
      <c r="AC88" s="180">
        <f>订货1!BB89</f>
        <v>0</v>
      </c>
      <c r="AD88" s="180">
        <f>订货1!BC89</f>
        <v>0</v>
      </c>
      <c r="AE88" s="180">
        <f>订货1!BD89</f>
        <v>0</v>
      </c>
      <c r="AF88" s="180">
        <f>订货1!BE89</f>
        <v>0</v>
      </c>
      <c r="AG88" s="180">
        <f>订货1!BF89</f>
        <v>0</v>
      </c>
      <c r="AH88" s="176"/>
      <c r="AI88" s="178" t="e">
        <f>店铺收货台帐2!DE89</f>
        <v>#DIV/0!</v>
      </c>
    </row>
    <row r="89" spans="1:35" hidden="1">
      <c r="A89" s="37">
        <f>订货1!K90</f>
        <v>720011</v>
      </c>
      <c r="B89" s="37" t="str">
        <f>订货1!M90</f>
        <v>芝麻菜</v>
      </c>
      <c r="C89" s="180">
        <f>订货1!AB90</f>
        <v>1</v>
      </c>
      <c r="D89" s="180">
        <f>订货1!AC90</f>
        <v>2</v>
      </c>
      <c r="E89" s="180">
        <f>订货1!AD90</f>
        <v>0</v>
      </c>
      <c r="F89" s="180">
        <f>订货1!AE90</f>
        <v>1</v>
      </c>
      <c r="G89" s="180">
        <f>订货1!AF90</f>
        <v>3</v>
      </c>
      <c r="H89" s="180">
        <f>订货1!AG90</f>
        <v>4</v>
      </c>
      <c r="I89" s="180">
        <f>订货1!AH90</f>
        <v>1</v>
      </c>
      <c r="J89" s="180">
        <f>订货1!AI90</f>
        <v>1</v>
      </c>
      <c r="K89" s="180">
        <f>订货1!AJ90</f>
        <v>2</v>
      </c>
      <c r="L89" s="180">
        <f>订货1!AK90</f>
        <v>0</v>
      </c>
      <c r="M89" s="180">
        <f>订货1!AL90</f>
        <v>0</v>
      </c>
      <c r="N89" s="180">
        <f>订货1!AM90</f>
        <v>3</v>
      </c>
      <c r="O89" s="180">
        <f>订货1!AN90</f>
        <v>3</v>
      </c>
      <c r="P89" s="180">
        <f>订货1!AO90</f>
        <v>1</v>
      </c>
      <c r="Q89" s="180">
        <f>订货1!AP90</f>
        <v>0</v>
      </c>
      <c r="R89" s="180">
        <f>订货1!AQ90</f>
        <v>0</v>
      </c>
      <c r="S89" s="180">
        <f>订货1!AR90</f>
        <v>0</v>
      </c>
      <c r="T89" s="180">
        <f>订货1!AS90</f>
        <v>0</v>
      </c>
      <c r="U89" s="180">
        <f>订货1!AT90</f>
        <v>0</v>
      </c>
      <c r="V89" s="180">
        <f>订货1!AU90</f>
        <v>0</v>
      </c>
      <c r="W89" s="180">
        <f>订货1!AV90</f>
        <v>0</v>
      </c>
      <c r="X89" s="180">
        <f>订货1!AW90</f>
        <v>0</v>
      </c>
      <c r="Y89" s="180">
        <f>订货1!AX90</f>
        <v>0</v>
      </c>
      <c r="Z89" s="180">
        <f>订货1!AY90</f>
        <v>0</v>
      </c>
      <c r="AA89" s="180">
        <f>订货1!AZ90</f>
        <v>0</v>
      </c>
      <c r="AB89" s="180">
        <f>订货1!BA90</f>
        <v>0</v>
      </c>
      <c r="AC89" s="180">
        <f>订货1!BB90</f>
        <v>0</v>
      </c>
      <c r="AD89" s="180">
        <f>订货1!BC90</f>
        <v>0</v>
      </c>
      <c r="AE89" s="180">
        <f>订货1!BD90</f>
        <v>0</v>
      </c>
      <c r="AF89" s="180">
        <f>订货1!BE90</f>
        <v>0</v>
      </c>
      <c r="AG89" s="180">
        <f>订货1!BF90</f>
        <v>0</v>
      </c>
      <c r="AH89" s="176"/>
      <c r="AI89" s="178" t="e">
        <f>店铺收货台帐2!DE90</f>
        <v>#DIV/0!</v>
      </c>
    </row>
    <row r="90" spans="1:35" hidden="1">
      <c r="A90" s="37">
        <f>订货1!K91</f>
        <v>720012</v>
      </c>
      <c r="B90" s="37" t="str">
        <f>订货1!M91</f>
        <v>柠檬</v>
      </c>
      <c r="C90" s="180">
        <f>订货1!AB91</f>
        <v>0</v>
      </c>
      <c r="D90" s="180">
        <f>订货1!AC91</f>
        <v>0</v>
      </c>
      <c r="E90" s="180">
        <f>订货1!AD91</f>
        <v>0</v>
      </c>
      <c r="F90" s="180">
        <f>订货1!AE91</f>
        <v>0</v>
      </c>
      <c r="G90" s="180">
        <f>订货1!AF91</f>
        <v>0</v>
      </c>
      <c r="H90" s="180">
        <f>订货1!AG91</f>
        <v>0</v>
      </c>
      <c r="I90" s="180">
        <f>订货1!AH91</f>
        <v>0</v>
      </c>
      <c r="J90" s="180">
        <f>订货1!AI91</f>
        <v>0</v>
      </c>
      <c r="K90" s="180">
        <f>订货1!AJ91</f>
        <v>0</v>
      </c>
      <c r="L90" s="180">
        <f>订货1!AK91</f>
        <v>0</v>
      </c>
      <c r="M90" s="180">
        <f>订货1!AL91</f>
        <v>0</v>
      </c>
      <c r="N90" s="180">
        <f>订货1!AM91</f>
        <v>0</v>
      </c>
      <c r="O90" s="180">
        <f>订货1!AN91</f>
        <v>0</v>
      </c>
      <c r="P90" s="180">
        <f>订货1!AO91</f>
        <v>0</v>
      </c>
      <c r="Q90" s="180">
        <f>订货1!AP91</f>
        <v>0</v>
      </c>
      <c r="R90" s="180">
        <f>订货1!AQ91</f>
        <v>0</v>
      </c>
      <c r="S90" s="180">
        <f>订货1!AR91</f>
        <v>0</v>
      </c>
      <c r="T90" s="180">
        <f>订货1!AS91</f>
        <v>0</v>
      </c>
      <c r="U90" s="180">
        <f>订货1!AT91</f>
        <v>0</v>
      </c>
      <c r="V90" s="180">
        <f>订货1!AU91</f>
        <v>0</v>
      </c>
      <c r="W90" s="180">
        <f>订货1!AV91</f>
        <v>0</v>
      </c>
      <c r="X90" s="180">
        <f>订货1!AW91</f>
        <v>0</v>
      </c>
      <c r="Y90" s="180">
        <f>订货1!AX91</f>
        <v>0</v>
      </c>
      <c r="Z90" s="180">
        <f>订货1!AY91</f>
        <v>0</v>
      </c>
      <c r="AA90" s="180">
        <f>订货1!AZ91</f>
        <v>0</v>
      </c>
      <c r="AB90" s="180">
        <f>订货1!BA91</f>
        <v>0</v>
      </c>
      <c r="AC90" s="180">
        <f>订货1!BB91</f>
        <v>0</v>
      </c>
      <c r="AD90" s="180">
        <f>订货1!BC91</f>
        <v>0</v>
      </c>
      <c r="AE90" s="180">
        <f>订货1!BD91</f>
        <v>0</v>
      </c>
      <c r="AF90" s="180">
        <f>订货1!BE91</f>
        <v>0</v>
      </c>
      <c r="AG90" s="180">
        <f>订货1!BF91</f>
        <v>0</v>
      </c>
      <c r="AH90" s="176"/>
      <c r="AI90" s="178" t="e">
        <f>店铺收货台帐2!DE91</f>
        <v>#DIV/0!</v>
      </c>
    </row>
    <row r="91" spans="1:35" hidden="1">
      <c r="A91" s="37">
        <f>订货1!K92</f>
        <v>720013</v>
      </c>
      <c r="B91" s="37" t="str">
        <f>订货1!M92</f>
        <v>火龙果</v>
      </c>
      <c r="C91" s="180">
        <f>订货1!AB92</f>
        <v>0</v>
      </c>
      <c r="D91" s="180">
        <f>订货1!AC92</f>
        <v>0</v>
      </c>
      <c r="E91" s="180">
        <f>订货1!AD92</f>
        <v>0</v>
      </c>
      <c r="F91" s="180">
        <f>订货1!AE92</f>
        <v>0</v>
      </c>
      <c r="G91" s="180">
        <f>订货1!AF92</f>
        <v>0</v>
      </c>
      <c r="H91" s="180">
        <f>订货1!AG92</f>
        <v>0</v>
      </c>
      <c r="I91" s="180">
        <f>订货1!AH92</f>
        <v>0</v>
      </c>
      <c r="J91" s="180">
        <f>订货1!AI92</f>
        <v>0</v>
      </c>
      <c r="K91" s="180">
        <f>订货1!AJ92</f>
        <v>0</v>
      </c>
      <c r="L91" s="180">
        <f>订货1!AK92</f>
        <v>0</v>
      </c>
      <c r="M91" s="180">
        <f>订货1!AL92</f>
        <v>0</v>
      </c>
      <c r="N91" s="180">
        <f>订货1!AM92</f>
        <v>0</v>
      </c>
      <c r="O91" s="180">
        <f>订货1!AN92</f>
        <v>0</v>
      </c>
      <c r="P91" s="180">
        <f>订货1!AO92</f>
        <v>0</v>
      </c>
      <c r="Q91" s="180">
        <f>订货1!AP92</f>
        <v>0</v>
      </c>
      <c r="R91" s="180">
        <f>订货1!AQ92</f>
        <v>0</v>
      </c>
      <c r="S91" s="180">
        <f>订货1!AR92</f>
        <v>0</v>
      </c>
      <c r="T91" s="180">
        <f>订货1!AS92</f>
        <v>0</v>
      </c>
      <c r="U91" s="180">
        <f>订货1!AT92</f>
        <v>0</v>
      </c>
      <c r="V91" s="180">
        <f>订货1!AU92</f>
        <v>0</v>
      </c>
      <c r="W91" s="180">
        <f>订货1!AV92</f>
        <v>0</v>
      </c>
      <c r="X91" s="180">
        <f>订货1!AW92</f>
        <v>0</v>
      </c>
      <c r="Y91" s="180">
        <f>订货1!AX92</f>
        <v>0</v>
      </c>
      <c r="Z91" s="180">
        <f>订货1!AY92</f>
        <v>0</v>
      </c>
      <c r="AA91" s="180">
        <f>订货1!AZ92</f>
        <v>0</v>
      </c>
      <c r="AB91" s="180">
        <f>订货1!BA92</f>
        <v>0</v>
      </c>
      <c r="AC91" s="180">
        <f>订货1!BB92</f>
        <v>0</v>
      </c>
      <c r="AD91" s="180">
        <f>订货1!BC92</f>
        <v>0</v>
      </c>
      <c r="AE91" s="180">
        <f>订货1!BD92</f>
        <v>0</v>
      </c>
      <c r="AF91" s="180">
        <f>订货1!BE92</f>
        <v>0</v>
      </c>
      <c r="AG91" s="180">
        <f>订货1!BF92</f>
        <v>0</v>
      </c>
      <c r="AH91" s="176"/>
      <c r="AI91" s="178" t="e">
        <f>店铺收货台帐2!DE92</f>
        <v>#DIV/0!</v>
      </c>
    </row>
    <row r="92" spans="1:35" hidden="1">
      <c r="A92" s="37">
        <f>订货1!K93</f>
        <v>720014</v>
      </c>
      <c r="B92" s="37" t="str">
        <f>订货1!M93</f>
        <v>牛肚配菜(实验店铺用）</v>
      </c>
      <c r="C92" s="180">
        <f>订货1!AB93</f>
        <v>0</v>
      </c>
      <c r="D92" s="180">
        <f>订货1!AC93</f>
        <v>0</v>
      </c>
      <c r="E92" s="180">
        <f>订货1!AD93</f>
        <v>0</v>
      </c>
      <c r="F92" s="180">
        <f>订货1!AE93</f>
        <v>0</v>
      </c>
      <c r="G92" s="180">
        <f>订货1!AF93</f>
        <v>0</v>
      </c>
      <c r="H92" s="180">
        <f>订货1!AG93</f>
        <v>0</v>
      </c>
      <c r="I92" s="180">
        <f>订货1!AH93</f>
        <v>0</v>
      </c>
      <c r="J92" s="180">
        <f>订货1!AI93</f>
        <v>0</v>
      </c>
      <c r="K92" s="180">
        <f>订货1!AJ93</f>
        <v>0</v>
      </c>
      <c r="L92" s="180">
        <f>订货1!AK93</f>
        <v>0</v>
      </c>
      <c r="M92" s="180">
        <f>订货1!AL93</f>
        <v>0</v>
      </c>
      <c r="N92" s="180">
        <f>订货1!AM93</f>
        <v>0</v>
      </c>
      <c r="O92" s="180">
        <f>订货1!AN93</f>
        <v>0</v>
      </c>
      <c r="P92" s="180">
        <f>订货1!AO93</f>
        <v>0</v>
      </c>
      <c r="Q92" s="180">
        <f>订货1!AP93</f>
        <v>0</v>
      </c>
      <c r="R92" s="180">
        <f>订货1!AQ93</f>
        <v>0</v>
      </c>
      <c r="S92" s="180">
        <f>订货1!AR93</f>
        <v>0</v>
      </c>
      <c r="T92" s="180">
        <f>订货1!AS93</f>
        <v>0</v>
      </c>
      <c r="U92" s="180">
        <f>订货1!AT93</f>
        <v>0</v>
      </c>
      <c r="V92" s="180">
        <f>订货1!AU93</f>
        <v>0</v>
      </c>
      <c r="W92" s="180">
        <f>订货1!AV93</f>
        <v>0</v>
      </c>
      <c r="X92" s="180">
        <f>订货1!AW93</f>
        <v>0</v>
      </c>
      <c r="Y92" s="180">
        <f>订货1!AX93</f>
        <v>0</v>
      </c>
      <c r="Z92" s="180">
        <f>订货1!AY93</f>
        <v>0</v>
      </c>
      <c r="AA92" s="180">
        <f>订货1!AZ93</f>
        <v>0</v>
      </c>
      <c r="AB92" s="180">
        <f>订货1!BA93</f>
        <v>0</v>
      </c>
      <c r="AC92" s="180">
        <f>订货1!BB93</f>
        <v>0</v>
      </c>
      <c r="AD92" s="180">
        <f>订货1!BC93</f>
        <v>0</v>
      </c>
      <c r="AE92" s="180">
        <f>订货1!BD93</f>
        <v>0</v>
      </c>
      <c r="AF92" s="180">
        <f>订货1!BE93</f>
        <v>0</v>
      </c>
      <c r="AG92" s="180">
        <f>订货1!BF93</f>
        <v>0</v>
      </c>
      <c r="AH92" s="176"/>
      <c r="AI92" s="178" t="e">
        <f>店铺收货台帐2!DE93</f>
        <v>#DIV/0!</v>
      </c>
    </row>
    <row r="93" spans="1:35" hidden="1">
      <c r="A93" s="37">
        <f>订货1!K94</f>
        <v>720017</v>
      </c>
      <c r="B93" s="37" t="str">
        <f>订货1!M94</f>
        <v>混合色拉</v>
      </c>
      <c r="C93" s="180">
        <f>订货1!AB94</f>
        <v>0</v>
      </c>
      <c r="D93" s="180">
        <f>订货1!AC94</f>
        <v>5</v>
      </c>
      <c r="E93" s="180">
        <f>订货1!AD94</f>
        <v>0</v>
      </c>
      <c r="F93" s="180">
        <f>订货1!AE94</f>
        <v>8</v>
      </c>
      <c r="G93" s="180">
        <f>订货1!AF94</f>
        <v>14</v>
      </c>
      <c r="H93" s="180">
        <f>订货1!AG94</f>
        <v>10</v>
      </c>
      <c r="I93" s="180">
        <f>订货1!AH94</f>
        <v>1</v>
      </c>
      <c r="J93" s="180">
        <f>订货1!AI94</f>
        <v>3</v>
      </c>
      <c r="K93" s="180">
        <f>订货1!AJ94</f>
        <v>7</v>
      </c>
      <c r="L93" s="180">
        <f>订货1!AK94</f>
        <v>0</v>
      </c>
      <c r="M93" s="180">
        <f>订货1!AL94</f>
        <v>3</v>
      </c>
      <c r="N93" s="180">
        <f>订货1!AM94</f>
        <v>15</v>
      </c>
      <c r="O93" s="180">
        <f>订货1!AN94</f>
        <v>11</v>
      </c>
      <c r="P93" s="180">
        <f>订货1!AO94</f>
        <v>5</v>
      </c>
      <c r="Q93" s="180">
        <f>订货1!AP94</f>
        <v>0</v>
      </c>
      <c r="R93" s="180">
        <f>订货1!AQ94</f>
        <v>0</v>
      </c>
      <c r="S93" s="180">
        <f>订货1!AR94</f>
        <v>0</v>
      </c>
      <c r="T93" s="180">
        <f>订货1!AS94</f>
        <v>0</v>
      </c>
      <c r="U93" s="180">
        <f>订货1!AT94</f>
        <v>0</v>
      </c>
      <c r="V93" s="180">
        <f>订货1!AU94</f>
        <v>0</v>
      </c>
      <c r="W93" s="180">
        <f>订货1!AV94</f>
        <v>0</v>
      </c>
      <c r="X93" s="180">
        <f>订货1!AW94</f>
        <v>0</v>
      </c>
      <c r="Y93" s="180">
        <f>订货1!AX94</f>
        <v>0</v>
      </c>
      <c r="Z93" s="180">
        <f>订货1!AY94</f>
        <v>0</v>
      </c>
      <c r="AA93" s="180">
        <f>订货1!AZ94</f>
        <v>0</v>
      </c>
      <c r="AB93" s="180">
        <f>订货1!BA94</f>
        <v>0</v>
      </c>
      <c r="AC93" s="180">
        <f>订货1!BB94</f>
        <v>0</v>
      </c>
      <c r="AD93" s="180">
        <f>订货1!BC94</f>
        <v>0</v>
      </c>
      <c r="AE93" s="180">
        <f>订货1!BD94</f>
        <v>0</v>
      </c>
      <c r="AF93" s="180">
        <f>订货1!BE94</f>
        <v>0</v>
      </c>
      <c r="AG93" s="180">
        <f>订货1!BF94</f>
        <v>0</v>
      </c>
      <c r="AH93" s="176"/>
      <c r="AI93" s="178" t="e">
        <f>店铺收货台帐2!DE94</f>
        <v>#DIV/0!</v>
      </c>
    </row>
    <row r="94" spans="1:35" hidden="1">
      <c r="A94" s="37">
        <f>订货1!K95</f>
        <v>101332</v>
      </c>
      <c r="B94" s="37" t="str">
        <f>订货1!M95</f>
        <v>早餐培根1</v>
      </c>
      <c r="C94" s="180">
        <f>订货1!AB95</f>
        <v>0</v>
      </c>
      <c r="D94" s="180">
        <f>订货1!AC95</f>
        <v>0</v>
      </c>
      <c r="E94" s="180">
        <f>订货1!AD95</f>
        <v>0</v>
      </c>
      <c r="F94" s="180">
        <f>订货1!AE95</f>
        <v>0</v>
      </c>
      <c r="G94" s="180">
        <f>订货1!AF95</f>
        <v>0</v>
      </c>
      <c r="H94" s="180">
        <f>订货1!AG95</f>
        <v>1</v>
      </c>
      <c r="I94" s="180">
        <f>订货1!AH95</f>
        <v>0</v>
      </c>
      <c r="J94" s="180">
        <f>订货1!AI95</f>
        <v>0</v>
      </c>
      <c r="K94" s="180">
        <f>订货1!AJ95</f>
        <v>1</v>
      </c>
      <c r="L94" s="180">
        <f>订货1!AK95</f>
        <v>0</v>
      </c>
      <c r="M94" s="180">
        <f>订货1!AL95</f>
        <v>0</v>
      </c>
      <c r="N94" s="180">
        <f>订货1!AM95</f>
        <v>0</v>
      </c>
      <c r="O94" s="180">
        <f>订货1!AN95</f>
        <v>1</v>
      </c>
      <c r="P94" s="180">
        <f>订货1!AO95</f>
        <v>0</v>
      </c>
      <c r="Q94" s="180">
        <f>订货1!AP95</f>
        <v>0</v>
      </c>
      <c r="R94" s="180">
        <f>订货1!AQ95</f>
        <v>0</v>
      </c>
      <c r="S94" s="180">
        <f>订货1!AR95</f>
        <v>0</v>
      </c>
      <c r="T94" s="180">
        <f>订货1!AS95</f>
        <v>0</v>
      </c>
      <c r="U94" s="180">
        <f>订货1!AT95</f>
        <v>0</v>
      </c>
      <c r="V94" s="180">
        <f>订货1!AU95</f>
        <v>0</v>
      </c>
      <c r="W94" s="180">
        <f>订货1!AV95</f>
        <v>0</v>
      </c>
      <c r="X94" s="180">
        <f>订货1!AW95</f>
        <v>0</v>
      </c>
      <c r="Y94" s="180">
        <f>订货1!AX95</f>
        <v>0</v>
      </c>
      <c r="Z94" s="180">
        <f>订货1!AY95</f>
        <v>0</v>
      </c>
      <c r="AA94" s="180">
        <f>订货1!AZ95</f>
        <v>0</v>
      </c>
      <c r="AB94" s="180">
        <f>订货1!BA95</f>
        <v>0</v>
      </c>
      <c r="AC94" s="180">
        <f>订货1!BB95</f>
        <v>0</v>
      </c>
      <c r="AD94" s="180">
        <f>订货1!BC95</f>
        <v>0</v>
      </c>
      <c r="AE94" s="180">
        <f>订货1!BD95</f>
        <v>0</v>
      </c>
      <c r="AF94" s="180">
        <f>订货1!BE95</f>
        <v>0</v>
      </c>
      <c r="AG94" s="180">
        <f>订货1!BF95</f>
        <v>0</v>
      </c>
      <c r="AH94" s="176"/>
      <c r="AI94" s="178" t="e">
        <f>店铺收货台帐2!DE95</f>
        <v>#DIV/0!</v>
      </c>
    </row>
    <row r="95" spans="1:35" hidden="1">
      <c r="A95" s="37">
        <f>订货1!K96</f>
        <v>101745</v>
      </c>
      <c r="B95" s="37" t="str">
        <f>订货1!M96</f>
        <v>小可颂</v>
      </c>
      <c r="C95" s="180">
        <f>订货1!AB96</f>
        <v>0</v>
      </c>
      <c r="D95" s="180">
        <f>订货1!AC96</f>
        <v>1</v>
      </c>
      <c r="E95" s="180">
        <f>订货1!AD96</f>
        <v>0</v>
      </c>
      <c r="F95" s="180">
        <f>订货1!AE96</f>
        <v>0</v>
      </c>
      <c r="G95" s="180">
        <f>订货1!AF96</f>
        <v>0</v>
      </c>
      <c r="H95" s="180">
        <f>订货1!AG96</f>
        <v>0</v>
      </c>
      <c r="I95" s="180">
        <f>订货1!AH96</f>
        <v>0</v>
      </c>
      <c r="J95" s="180">
        <f>订货1!AI96</f>
        <v>0</v>
      </c>
      <c r="K95" s="180">
        <f>订货1!AJ96</f>
        <v>0</v>
      </c>
      <c r="L95" s="180">
        <f>订货1!AK96</f>
        <v>0</v>
      </c>
      <c r="M95" s="180">
        <f>订货1!AL96</f>
        <v>0</v>
      </c>
      <c r="N95" s="180">
        <f>订货1!AM96</f>
        <v>0</v>
      </c>
      <c r="O95" s="180">
        <f>订货1!AN96</f>
        <v>1</v>
      </c>
      <c r="P95" s="180">
        <f>订货1!AO96</f>
        <v>0</v>
      </c>
      <c r="Q95" s="180">
        <f>订货1!AP96</f>
        <v>0</v>
      </c>
      <c r="R95" s="180">
        <f>订货1!AQ96</f>
        <v>0</v>
      </c>
      <c r="S95" s="180">
        <f>订货1!AR96</f>
        <v>0</v>
      </c>
      <c r="T95" s="180">
        <f>订货1!AS96</f>
        <v>0</v>
      </c>
      <c r="U95" s="180">
        <f>订货1!AT96</f>
        <v>0</v>
      </c>
      <c r="V95" s="180">
        <f>订货1!AU96</f>
        <v>0</v>
      </c>
      <c r="W95" s="180">
        <f>订货1!AV96</f>
        <v>0</v>
      </c>
      <c r="X95" s="180">
        <f>订货1!AW96</f>
        <v>0</v>
      </c>
      <c r="Y95" s="180">
        <f>订货1!AX96</f>
        <v>0</v>
      </c>
      <c r="Z95" s="180">
        <f>订货1!AY96</f>
        <v>0</v>
      </c>
      <c r="AA95" s="180">
        <f>订货1!AZ96</f>
        <v>0</v>
      </c>
      <c r="AB95" s="180">
        <f>订货1!BA96</f>
        <v>0</v>
      </c>
      <c r="AC95" s="180">
        <f>订货1!BB96</f>
        <v>0</v>
      </c>
      <c r="AD95" s="180">
        <f>订货1!BC96</f>
        <v>0</v>
      </c>
      <c r="AE95" s="180">
        <f>订货1!BD96</f>
        <v>0</v>
      </c>
      <c r="AF95" s="180">
        <f>订货1!BE96</f>
        <v>0</v>
      </c>
      <c r="AG95" s="180">
        <f>订货1!BF96</f>
        <v>0</v>
      </c>
      <c r="AH95" s="176"/>
      <c r="AI95" s="178" t="e">
        <f>店铺收货台帐2!DE96</f>
        <v>#DIV/0!</v>
      </c>
    </row>
    <row r="96" spans="1:35" hidden="1">
      <c r="A96" s="37">
        <f>订货1!K97</f>
        <v>101589</v>
      </c>
      <c r="B96" s="37" t="str">
        <f>订货1!M97</f>
        <v>蓝莓（糖浆）</v>
      </c>
      <c r="C96" s="180">
        <f>订货1!AB97</f>
        <v>0</v>
      </c>
      <c r="D96" s="180">
        <f>订货1!AC97</f>
        <v>0</v>
      </c>
      <c r="E96" s="180">
        <f>订货1!AD97</f>
        <v>0</v>
      </c>
      <c r="F96" s="180">
        <f>订货1!AE97</f>
        <v>0</v>
      </c>
      <c r="G96" s="180">
        <f>订货1!AF97</f>
        <v>0</v>
      </c>
      <c r="H96" s="180">
        <f>订货1!AG97</f>
        <v>0</v>
      </c>
      <c r="I96" s="180">
        <f>订货1!AH97</f>
        <v>0</v>
      </c>
      <c r="J96" s="180">
        <f>订货1!AI97</f>
        <v>0</v>
      </c>
      <c r="K96" s="180">
        <f>订货1!AJ97</f>
        <v>0</v>
      </c>
      <c r="L96" s="180">
        <f>订货1!AK97</f>
        <v>0</v>
      </c>
      <c r="M96" s="180">
        <f>订货1!AL97</f>
        <v>0</v>
      </c>
      <c r="N96" s="180">
        <f>订货1!AM97</f>
        <v>0</v>
      </c>
      <c r="O96" s="180">
        <f>订货1!AN97</f>
        <v>0</v>
      </c>
      <c r="P96" s="180">
        <f>订货1!AO97</f>
        <v>0</v>
      </c>
      <c r="Q96" s="180">
        <f>订货1!AP97</f>
        <v>0</v>
      </c>
      <c r="R96" s="180">
        <f>订货1!AQ97</f>
        <v>0</v>
      </c>
      <c r="S96" s="180">
        <f>订货1!AR97</f>
        <v>0</v>
      </c>
      <c r="T96" s="180">
        <f>订货1!AS97</f>
        <v>0</v>
      </c>
      <c r="U96" s="180">
        <f>订货1!AT97</f>
        <v>0</v>
      </c>
      <c r="V96" s="180">
        <f>订货1!AU97</f>
        <v>0</v>
      </c>
      <c r="W96" s="180">
        <f>订货1!AV97</f>
        <v>0</v>
      </c>
      <c r="X96" s="180">
        <f>订货1!AW97</f>
        <v>0</v>
      </c>
      <c r="Y96" s="180">
        <f>订货1!AX97</f>
        <v>0</v>
      </c>
      <c r="Z96" s="180">
        <f>订货1!AY97</f>
        <v>0</v>
      </c>
      <c r="AA96" s="180">
        <f>订货1!AZ97</f>
        <v>0</v>
      </c>
      <c r="AB96" s="180">
        <f>订货1!BA97</f>
        <v>0</v>
      </c>
      <c r="AC96" s="180">
        <f>订货1!BB97</f>
        <v>0</v>
      </c>
      <c r="AD96" s="180">
        <f>订货1!BC97</f>
        <v>0</v>
      </c>
      <c r="AE96" s="180">
        <f>订货1!BD97</f>
        <v>0</v>
      </c>
      <c r="AF96" s="180">
        <f>订货1!BE97</f>
        <v>0</v>
      </c>
      <c r="AG96" s="180">
        <f>订货1!BF97</f>
        <v>0</v>
      </c>
      <c r="AH96" s="176"/>
      <c r="AI96" s="178" t="e">
        <f>店铺收货台帐2!DE97</f>
        <v>#DIV/0!</v>
      </c>
    </row>
    <row r="97" spans="1:35" hidden="1">
      <c r="A97" s="37">
        <f>订货1!K98</f>
        <v>710001</v>
      </c>
      <c r="B97" s="37" t="str">
        <f>订货1!M98</f>
        <v>可口可乐糖浆</v>
      </c>
      <c r="C97" s="180">
        <f>订货1!AB98</f>
        <v>0</v>
      </c>
      <c r="D97" s="180">
        <f>订货1!AC98</f>
        <v>0</v>
      </c>
      <c r="E97" s="180">
        <f>订货1!AD98</f>
        <v>0</v>
      </c>
      <c r="F97" s="180">
        <f>订货1!AE98</f>
        <v>0</v>
      </c>
      <c r="G97" s="180">
        <f>订货1!AF98</f>
        <v>0</v>
      </c>
      <c r="H97" s="180">
        <f>订货1!AG98</f>
        <v>0</v>
      </c>
      <c r="I97" s="180">
        <f>订货1!AH98</f>
        <v>0</v>
      </c>
      <c r="J97" s="180">
        <f>订货1!AI98</f>
        <v>0</v>
      </c>
      <c r="K97" s="180">
        <f>订货1!AJ98</f>
        <v>0</v>
      </c>
      <c r="L97" s="180">
        <f>订货1!AK98</f>
        <v>0</v>
      </c>
      <c r="M97" s="180">
        <f>订货1!AL98</f>
        <v>0</v>
      </c>
      <c r="N97" s="180">
        <f>订货1!AM98</f>
        <v>0</v>
      </c>
      <c r="O97" s="180">
        <f>订货1!AN98</f>
        <v>0</v>
      </c>
      <c r="P97" s="180">
        <f>订货1!AO98</f>
        <v>0</v>
      </c>
      <c r="Q97" s="180">
        <f>订货1!AP98</f>
        <v>0</v>
      </c>
      <c r="R97" s="180">
        <f>订货1!AQ98</f>
        <v>0</v>
      </c>
      <c r="S97" s="180">
        <f>订货1!AR98</f>
        <v>0</v>
      </c>
      <c r="T97" s="180">
        <f>订货1!AS98</f>
        <v>0</v>
      </c>
      <c r="U97" s="180">
        <f>订货1!AT98</f>
        <v>0</v>
      </c>
      <c r="V97" s="180">
        <f>订货1!AU98</f>
        <v>0</v>
      </c>
      <c r="W97" s="180">
        <f>订货1!AV98</f>
        <v>0</v>
      </c>
      <c r="X97" s="180">
        <f>订货1!AW98</f>
        <v>0</v>
      </c>
      <c r="Y97" s="180">
        <f>订货1!AX98</f>
        <v>0</v>
      </c>
      <c r="Z97" s="180">
        <f>订货1!AY98</f>
        <v>0</v>
      </c>
      <c r="AA97" s="180">
        <f>订货1!AZ98</f>
        <v>0</v>
      </c>
      <c r="AB97" s="180">
        <f>订货1!BA98</f>
        <v>0</v>
      </c>
      <c r="AC97" s="180">
        <f>订货1!BB98</f>
        <v>0</v>
      </c>
      <c r="AD97" s="180">
        <f>订货1!BC98</f>
        <v>0</v>
      </c>
      <c r="AE97" s="180">
        <f>订货1!BD98</f>
        <v>0</v>
      </c>
      <c r="AF97" s="180">
        <f>订货1!BE98</f>
        <v>0</v>
      </c>
      <c r="AG97" s="180">
        <f>订货1!BF98</f>
        <v>0</v>
      </c>
      <c r="AH97" s="176"/>
      <c r="AI97" s="178" t="e">
        <f>店铺收货台帐2!DE98</f>
        <v>#DIV/0!</v>
      </c>
    </row>
    <row r="98" spans="1:35" hidden="1">
      <c r="A98" s="37">
        <f>订货1!K99</f>
        <v>710002</v>
      </c>
      <c r="B98" s="37" t="str">
        <f>订货1!M99</f>
        <v>雪碧糖浆</v>
      </c>
      <c r="C98" s="180">
        <f>订货1!AB99</f>
        <v>0</v>
      </c>
      <c r="D98" s="180">
        <f>订货1!AC99</f>
        <v>0</v>
      </c>
      <c r="E98" s="180">
        <f>订货1!AD99</f>
        <v>0</v>
      </c>
      <c r="F98" s="180">
        <f>订货1!AE99</f>
        <v>0</v>
      </c>
      <c r="G98" s="180">
        <f>订货1!AF99</f>
        <v>0</v>
      </c>
      <c r="H98" s="180">
        <f>订货1!AG99</f>
        <v>0</v>
      </c>
      <c r="I98" s="180">
        <f>订货1!AH99</f>
        <v>0</v>
      </c>
      <c r="J98" s="180">
        <f>订货1!AI99</f>
        <v>0</v>
      </c>
      <c r="K98" s="180">
        <f>订货1!AJ99</f>
        <v>0</v>
      </c>
      <c r="L98" s="180">
        <f>订货1!AK99</f>
        <v>0</v>
      </c>
      <c r="M98" s="180">
        <f>订货1!AL99</f>
        <v>0</v>
      </c>
      <c r="N98" s="180">
        <f>订货1!AM99</f>
        <v>0</v>
      </c>
      <c r="O98" s="180">
        <f>订货1!AN99</f>
        <v>0</v>
      </c>
      <c r="P98" s="180">
        <f>订货1!AO99</f>
        <v>0</v>
      </c>
      <c r="Q98" s="180">
        <f>订货1!AP99</f>
        <v>0</v>
      </c>
      <c r="R98" s="180">
        <f>订货1!AQ99</f>
        <v>0</v>
      </c>
      <c r="S98" s="180">
        <f>订货1!AR99</f>
        <v>0</v>
      </c>
      <c r="T98" s="180">
        <f>订货1!AS99</f>
        <v>0</v>
      </c>
      <c r="U98" s="180">
        <f>订货1!AT99</f>
        <v>0</v>
      </c>
      <c r="V98" s="180">
        <f>订货1!AU99</f>
        <v>0</v>
      </c>
      <c r="W98" s="180">
        <f>订货1!AV99</f>
        <v>0</v>
      </c>
      <c r="X98" s="180">
        <f>订货1!AW99</f>
        <v>0</v>
      </c>
      <c r="Y98" s="180">
        <f>订货1!AX99</f>
        <v>0</v>
      </c>
      <c r="Z98" s="180">
        <f>订货1!AY99</f>
        <v>0</v>
      </c>
      <c r="AA98" s="180">
        <f>订货1!AZ99</f>
        <v>0</v>
      </c>
      <c r="AB98" s="180">
        <f>订货1!BA99</f>
        <v>0</v>
      </c>
      <c r="AC98" s="180">
        <f>订货1!BB99</f>
        <v>0</v>
      </c>
      <c r="AD98" s="180">
        <f>订货1!BC99</f>
        <v>0</v>
      </c>
      <c r="AE98" s="180">
        <f>订货1!BD99</f>
        <v>0</v>
      </c>
      <c r="AF98" s="180">
        <f>订货1!BE99</f>
        <v>0</v>
      </c>
      <c r="AG98" s="180">
        <f>订货1!BF99</f>
        <v>0</v>
      </c>
      <c r="AH98" s="176"/>
      <c r="AI98" s="178" t="e">
        <f>店铺收货台帐2!DE99</f>
        <v>#DIV/0!</v>
      </c>
    </row>
    <row r="99" spans="1:35" hidden="1">
      <c r="A99" s="37">
        <f>订货1!K100</f>
        <v>101771</v>
      </c>
      <c r="B99" s="37" t="str">
        <f>订货1!M100</f>
        <v>罗勒松子调味酱</v>
      </c>
      <c r="C99" s="180">
        <f>订货1!AB100</f>
        <v>0</v>
      </c>
      <c r="D99" s="180">
        <f>订货1!AC100</f>
        <v>0</v>
      </c>
      <c r="E99" s="180">
        <f>订货1!AD100</f>
        <v>0</v>
      </c>
      <c r="F99" s="180">
        <f>订货1!AE100</f>
        <v>0</v>
      </c>
      <c r="G99" s="180">
        <f>订货1!AF100</f>
        <v>0</v>
      </c>
      <c r="H99" s="180">
        <f>订货1!AG100</f>
        <v>0</v>
      </c>
      <c r="I99" s="180">
        <f>订货1!AH100</f>
        <v>0</v>
      </c>
      <c r="J99" s="180">
        <f>订货1!AI100</f>
        <v>0</v>
      </c>
      <c r="K99" s="180">
        <f>订货1!AJ100</f>
        <v>0</v>
      </c>
      <c r="L99" s="180">
        <f>订货1!AK100</f>
        <v>0</v>
      </c>
      <c r="M99" s="180">
        <f>订货1!AL100</f>
        <v>0</v>
      </c>
      <c r="N99" s="180">
        <f>订货1!AM100</f>
        <v>0</v>
      </c>
      <c r="O99" s="180">
        <f>订货1!AN100</f>
        <v>0</v>
      </c>
      <c r="P99" s="180">
        <f>订货1!AO100</f>
        <v>0</v>
      </c>
      <c r="Q99" s="180">
        <f>订货1!AP100</f>
        <v>0</v>
      </c>
      <c r="R99" s="180">
        <f>订货1!AQ100</f>
        <v>0</v>
      </c>
      <c r="S99" s="180">
        <f>订货1!AR100</f>
        <v>0</v>
      </c>
      <c r="T99" s="180">
        <f>订货1!AS100</f>
        <v>0</v>
      </c>
      <c r="U99" s="180">
        <f>订货1!AT100</f>
        <v>0</v>
      </c>
      <c r="V99" s="180">
        <f>订货1!AU100</f>
        <v>0</v>
      </c>
      <c r="W99" s="180">
        <f>订货1!AV100</f>
        <v>0</v>
      </c>
      <c r="X99" s="180">
        <f>订货1!AW100</f>
        <v>0</v>
      </c>
      <c r="Y99" s="180">
        <f>订货1!AX100</f>
        <v>0</v>
      </c>
      <c r="Z99" s="180">
        <f>订货1!AY100</f>
        <v>0</v>
      </c>
      <c r="AA99" s="180">
        <f>订货1!AZ100</f>
        <v>0</v>
      </c>
      <c r="AB99" s="180">
        <f>订货1!BA100</f>
        <v>0</v>
      </c>
      <c r="AC99" s="180">
        <f>订货1!BB100</f>
        <v>0</v>
      </c>
      <c r="AD99" s="180">
        <f>订货1!BC100</f>
        <v>0</v>
      </c>
      <c r="AE99" s="180">
        <f>订货1!BD100</f>
        <v>0</v>
      </c>
      <c r="AF99" s="180">
        <f>订货1!BE100</f>
        <v>0</v>
      </c>
      <c r="AG99" s="180">
        <f>订货1!BF100</f>
        <v>0</v>
      </c>
      <c r="AH99" s="176"/>
      <c r="AI99" s="178" t="e">
        <f>店铺收货台帐2!DE100</f>
        <v>#DIV/0!</v>
      </c>
    </row>
    <row r="100" spans="1:35" hidden="1">
      <c r="A100" s="37">
        <f>订货1!K101</f>
        <v>710003</v>
      </c>
      <c r="B100" s="37" t="str">
        <f>订货1!M101</f>
        <v>芬达橙汁糖浆</v>
      </c>
      <c r="C100" s="180">
        <f>订货1!AB101</f>
        <v>0</v>
      </c>
      <c r="D100" s="180">
        <f>订货1!AC101</f>
        <v>0</v>
      </c>
      <c r="E100" s="180">
        <f>订货1!AD101</f>
        <v>0</v>
      </c>
      <c r="F100" s="180">
        <f>订货1!AE101</f>
        <v>0</v>
      </c>
      <c r="G100" s="180">
        <f>订货1!AF101</f>
        <v>0</v>
      </c>
      <c r="H100" s="180">
        <f>订货1!AG101</f>
        <v>0</v>
      </c>
      <c r="I100" s="180">
        <f>订货1!AH101</f>
        <v>0</v>
      </c>
      <c r="J100" s="180">
        <f>订货1!AI101</f>
        <v>0</v>
      </c>
      <c r="K100" s="180">
        <f>订货1!AJ101</f>
        <v>0</v>
      </c>
      <c r="L100" s="180">
        <f>订货1!AK101</f>
        <v>0</v>
      </c>
      <c r="M100" s="180">
        <f>订货1!AL101</f>
        <v>0</v>
      </c>
      <c r="N100" s="180">
        <f>订货1!AM101</f>
        <v>0</v>
      </c>
      <c r="O100" s="180">
        <f>订货1!AN101</f>
        <v>0</v>
      </c>
      <c r="P100" s="180">
        <f>订货1!AO101</f>
        <v>0</v>
      </c>
      <c r="Q100" s="180">
        <f>订货1!AP101</f>
        <v>0</v>
      </c>
      <c r="R100" s="180">
        <f>订货1!AQ101</f>
        <v>0</v>
      </c>
      <c r="S100" s="180">
        <f>订货1!AR101</f>
        <v>0</v>
      </c>
      <c r="T100" s="180">
        <f>订货1!AS101</f>
        <v>0</v>
      </c>
      <c r="U100" s="180">
        <f>订货1!AT101</f>
        <v>0</v>
      </c>
      <c r="V100" s="180">
        <f>订货1!AU101</f>
        <v>0</v>
      </c>
      <c r="W100" s="180">
        <f>订货1!AV101</f>
        <v>0</v>
      </c>
      <c r="X100" s="180">
        <f>订货1!AW101</f>
        <v>0</v>
      </c>
      <c r="Y100" s="180">
        <f>订货1!AX101</f>
        <v>0</v>
      </c>
      <c r="Z100" s="180">
        <f>订货1!AY101</f>
        <v>0</v>
      </c>
      <c r="AA100" s="180">
        <f>订货1!AZ101</f>
        <v>0</v>
      </c>
      <c r="AB100" s="180">
        <f>订货1!BA101</f>
        <v>0</v>
      </c>
      <c r="AC100" s="180">
        <f>订货1!BB101</f>
        <v>0</v>
      </c>
      <c r="AD100" s="180">
        <f>订货1!BC101</f>
        <v>0</v>
      </c>
      <c r="AE100" s="180">
        <f>订货1!BD101</f>
        <v>0</v>
      </c>
      <c r="AF100" s="180">
        <f>订货1!BE101</f>
        <v>0</v>
      </c>
      <c r="AG100" s="180">
        <f>订货1!BF101</f>
        <v>0</v>
      </c>
      <c r="AH100" s="176"/>
      <c r="AI100" s="178" t="e">
        <f>店铺收货台帐2!DE101</f>
        <v>#DIV/0!</v>
      </c>
    </row>
    <row r="101" spans="1:35" hidden="1">
      <c r="A101" s="37">
        <f>订货1!K102</f>
        <v>710004</v>
      </c>
      <c r="B101" s="37" t="str">
        <f>订货1!M102</f>
        <v>飞想柠檬红茶</v>
      </c>
      <c r="C101" s="180">
        <f>订货1!AB102</f>
        <v>0</v>
      </c>
      <c r="D101" s="180">
        <f>订货1!AC102</f>
        <v>0</v>
      </c>
      <c r="E101" s="180">
        <f>订货1!AD102</f>
        <v>0</v>
      </c>
      <c r="F101" s="180">
        <f>订货1!AE102</f>
        <v>0</v>
      </c>
      <c r="G101" s="180">
        <f>订货1!AF102</f>
        <v>0</v>
      </c>
      <c r="H101" s="180">
        <f>订货1!AG102</f>
        <v>0</v>
      </c>
      <c r="I101" s="180">
        <f>订货1!AH102</f>
        <v>0</v>
      </c>
      <c r="J101" s="180">
        <f>订货1!AI102</f>
        <v>0</v>
      </c>
      <c r="K101" s="180">
        <f>订货1!AJ102</f>
        <v>0</v>
      </c>
      <c r="L101" s="180">
        <f>订货1!AK102</f>
        <v>0</v>
      </c>
      <c r="M101" s="180">
        <f>订货1!AL102</f>
        <v>0</v>
      </c>
      <c r="N101" s="180">
        <f>订货1!AM102</f>
        <v>0</v>
      </c>
      <c r="O101" s="180">
        <f>订货1!AN102</f>
        <v>0</v>
      </c>
      <c r="P101" s="180">
        <f>订货1!AO102</f>
        <v>0</v>
      </c>
      <c r="Q101" s="180">
        <f>订货1!AP102</f>
        <v>0</v>
      </c>
      <c r="R101" s="180">
        <f>订货1!AQ102</f>
        <v>0</v>
      </c>
      <c r="S101" s="180">
        <f>订货1!AR102</f>
        <v>0</v>
      </c>
      <c r="T101" s="180">
        <f>订货1!AS102</f>
        <v>0</v>
      </c>
      <c r="U101" s="180">
        <f>订货1!AT102</f>
        <v>0</v>
      </c>
      <c r="V101" s="180">
        <f>订货1!AU102</f>
        <v>0</v>
      </c>
      <c r="W101" s="180">
        <f>订货1!AV102</f>
        <v>0</v>
      </c>
      <c r="X101" s="180">
        <f>订货1!AW102</f>
        <v>0</v>
      </c>
      <c r="Y101" s="180">
        <f>订货1!AX102</f>
        <v>0</v>
      </c>
      <c r="Z101" s="180">
        <f>订货1!AY102</f>
        <v>0</v>
      </c>
      <c r="AA101" s="180">
        <f>订货1!AZ102</f>
        <v>0</v>
      </c>
      <c r="AB101" s="180">
        <f>订货1!BA102</f>
        <v>0</v>
      </c>
      <c r="AC101" s="180">
        <f>订货1!BB102</f>
        <v>0</v>
      </c>
      <c r="AD101" s="180">
        <f>订货1!BC102</f>
        <v>0</v>
      </c>
      <c r="AE101" s="180">
        <f>订货1!BD102</f>
        <v>0</v>
      </c>
      <c r="AF101" s="180">
        <f>订货1!BE102</f>
        <v>0</v>
      </c>
      <c r="AG101" s="180">
        <f>订货1!BF102</f>
        <v>0</v>
      </c>
      <c r="AH101" s="176"/>
      <c r="AI101" s="178" t="e">
        <f>店铺收货台帐2!DE102</f>
        <v>#DIV/0!</v>
      </c>
    </row>
    <row r="102" spans="1:35" hidden="1">
      <c r="A102" s="37">
        <f>订货1!K103</f>
        <v>101744</v>
      </c>
      <c r="B102" s="37" t="str">
        <f>订货1!M103</f>
        <v>黑椒牛肉片</v>
      </c>
      <c r="C102" s="180">
        <f>订货1!AB103</f>
        <v>0</v>
      </c>
      <c r="D102" s="180">
        <f>订货1!AC103</f>
        <v>0</v>
      </c>
      <c r="E102" s="180">
        <f>订货1!AD103</f>
        <v>0</v>
      </c>
      <c r="F102" s="180">
        <f>订货1!AE103</f>
        <v>0</v>
      </c>
      <c r="G102" s="180">
        <f>订货1!AF103</f>
        <v>0</v>
      </c>
      <c r="H102" s="180">
        <f>订货1!AG103</f>
        <v>0</v>
      </c>
      <c r="I102" s="180">
        <f>订货1!AH103</f>
        <v>0</v>
      </c>
      <c r="J102" s="180">
        <f>订货1!AI103</f>
        <v>0</v>
      </c>
      <c r="K102" s="180">
        <f>订货1!AJ103</f>
        <v>0</v>
      </c>
      <c r="L102" s="180">
        <f>订货1!AK103</f>
        <v>0</v>
      </c>
      <c r="M102" s="180">
        <f>订货1!AL103</f>
        <v>0</v>
      </c>
      <c r="N102" s="180">
        <f>订货1!AM103</f>
        <v>0</v>
      </c>
      <c r="O102" s="180">
        <f>订货1!AN103</f>
        <v>0</v>
      </c>
      <c r="P102" s="180">
        <f>订货1!AO103</f>
        <v>1</v>
      </c>
      <c r="Q102" s="180">
        <f>订货1!AP103</f>
        <v>0</v>
      </c>
      <c r="R102" s="180">
        <f>订货1!AQ103</f>
        <v>0</v>
      </c>
      <c r="S102" s="180">
        <f>订货1!AR103</f>
        <v>0</v>
      </c>
      <c r="T102" s="180">
        <f>订货1!AS103</f>
        <v>0</v>
      </c>
      <c r="U102" s="180">
        <f>订货1!AT103</f>
        <v>0</v>
      </c>
      <c r="V102" s="180">
        <f>订货1!AU103</f>
        <v>0</v>
      </c>
      <c r="W102" s="180">
        <f>订货1!AV103</f>
        <v>0</v>
      </c>
      <c r="X102" s="180">
        <f>订货1!AW103</f>
        <v>0</v>
      </c>
      <c r="Y102" s="180">
        <f>订货1!AX103</f>
        <v>0</v>
      </c>
      <c r="Z102" s="180">
        <f>订货1!AY103</f>
        <v>0</v>
      </c>
      <c r="AA102" s="180">
        <f>订货1!AZ103</f>
        <v>0</v>
      </c>
      <c r="AB102" s="180">
        <f>订货1!BA103</f>
        <v>0</v>
      </c>
      <c r="AC102" s="180">
        <f>订货1!BB103</f>
        <v>0</v>
      </c>
      <c r="AD102" s="180">
        <f>订货1!BC103</f>
        <v>0</v>
      </c>
      <c r="AE102" s="180">
        <f>订货1!BD103</f>
        <v>0</v>
      </c>
      <c r="AF102" s="180">
        <f>订货1!BE103</f>
        <v>0</v>
      </c>
      <c r="AG102" s="180">
        <f>订货1!BF103</f>
        <v>0</v>
      </c>
      <c r="AH102" s="176"/>
      <c r="AI102" s="178" t="e">
        <f>店铺收货台帐2!DE103</f>
        <v>#DIV/0!</v>
      </c>
    </row>
    <row r="103" spans="1:35" hidden="1">
      <c r="A103" s="37">
        <f>订货1!K104</f>
        <v>101740</v>
      </c>
      <c r="B103" s="37" t="str">
        <f>订货1!M104</f>
        <v>原味香肠（长）</v>
      </c>
      <c r="C103" s="180">
        <f>订货1!AB104</f>
        <v>0</v>
      </c>
      <c r="D103" s="180">
        <f>订货1!AC104</f>
        <v>0</v>
      </c>
      <c r="E103" s="180">
        <f>订货1!AD104</f>
        <v>0</v>
      </c>
      <c r="F103" s="180">
        <f>订货1!AE104</f>
        <v>0</v>
      </c>
      <c r="G103" s="180">
        <f>订货1!AF104</f>
        <v>0</v>
      </c>
      <c r="H103" s="180">
        <f>订货1!AG104</f>
        <v>0</v>
      </c>
      <c r="I103" s="180">
        <f>订货1!AH104</f>
        <v>0</v>
      </c>
      <c r="J103" s="180">
        <f>订货1!AI104</f>
        <v>0</v>
      </c>
      <c r="K103" s="180">
        <f>订货1!AJ104</f>
        <v>0</v>
      </c>
      <c r="L103" s="180">
        <f>订货1!AK104</f>
        <v>0</v>
      </c>
      <c r="M103" s="180">
        <f>订货1!AL104</f>
        <v>0</v>
      </c>
      <c r="N103" s="180">
        <f>订货1!AM104</f>
        <v>0</v>
      </c>
      <c r="O103" s="180">
        <f>订货1!AN104</f>
        <v>0</v>
      </c>
      <c r="P103" s="180">
        <f>订货1!AO104</f>
        <v>0</v>
      </c>
      <c r="Q103" s="180">
        <f>订货1!AP104</f>
        <v>0</v>
      </c>
      <c r="R103" s="180">
        <f>订货1!AQ104</f>
        <v>0</v>
      </c>
      <c r="S103" s="180">
        <f>订货1!AR104</f>
        <v>0</v>
      </c>
      <c r="T103" s="180">
        <f>订货1!AS104</f>
        <v>0</v>
      </c>
      <c r="U103" s="180">
        <f>订货1!AT104</f>
        <v>0</v>
      </c>
      <c r="V103" s="180">
        <f>订货1!AU104</f>
        <v>0</v>
      </c>
      <c r="W103" s="180">
        <f>订货1!AV104</f>
        <v>0</v>
      </c>
      <c r="X103" s="180">
        <f>订货1!AW104</f>
        <v>0</v>
      </c>
      <c r="Y103" s="180">
        <f>订货1!AX104</f>
        <v>0</v>
      </c>
      <c r="Z103" s="180">
        <f>订货1!AY104</f>
        <v>0</v>
      </c>
      <c r="AA103" s="180">
        <f>订货1!AZ104</f>
        <v>0</v>
      </c>
      <c r="AB103" s="180">
        <f>订货1!BA104</f>
        <v>0</v>
      </c>
      <c r="AC103" s="180">
        <f>订货1!BB104</f>
        <v>0</v>
      </c>
      <c r="AD103" s="180">
        <f>订货1!BC104</f>
        <v>0</v>
      </c>
      <c r="AE103" s="180">
        <f>订货1!BD104</f>
        <v>0</v>
      </c>
      <c r="AF103" s="180">
        <f>订货1!BE104</f>
        <v>0</v>
      </c>
      <c r="AG103" s="180">
        <f>订货1!BF104</f>
        <v>0</v>
      </c>
      <c r="AH103" s="176"/>
      <c r="AI103" s="178" t="e">
        <f>店铺收货台帐2!DE104</f>
        <v>#DIV/0!</v>
      </c>
    </row>
    <row r="104" spans="1:35" hidden="1">
      <c r="A104" s="37">
        <f>订货1!K105</f>
        <v>101741</v>
      </c>
      <c r="B104" s="37" t="str">
        <f>订货1!M105</f>
        <v>百瑞猪肉卷</v>
      </c>
      <c r="C104" s="180">
        <f>订货1!AB105</f>
        <v>0</v>
      </c>
      <c r="D104" s="180">
        <f>订货1!AC105</f>
        <v>0</v>
      </c>
      <c r="E104" s="180">
        <f>订货1!AD105</f>
        <v>0</v>
      </c>
      <c r="F104" s="180">
        <f>订货1!AE105</f>
        <v>0</v>
      </c>
      <c r="G104" s="180">
        <f>订货1!AF105</f>
        <v>0</v>
      </c>
      <c r="H104" s="180">
        <f>订货1!AG105</f>
        <v>0</v>
      </c>
      <c r="I104" s="180">
        <f>订货1!AH105</f>
        <v>0</v>
      </c>
      <c r="J104" s="180">
        <f>订货1!AI105</f>
        <v>0</v>
      </c>
      <c r="K104" s="180">
        <f>订货1!AJ105</f>
        <v>0</v>
      </c>
      <c r="L104" s="180">
        <f>订货1!AK105</f>
        <v>0</v>
      </c>
      <c r="M104" s="180">
        <f>订货1!AL105</f>
        <v>0</v>
      </c>
      <c r="N104" s="180">
        <f>订货1!AM105</f>
        <v>0</v>
      </c>
      <c r="O104" s="180">
        <f>订货1!AN105</f>
        <v>0</v>
      </c>
      <c r="P104" s="180">
        <f>订货1!AO105</f>
        <v>0</v>
      </c>
      <c r="Q104" s="180">
        <f>订货1!AP105</f>
        <v>0</v>
      </c>
      <c r="R104" s="180">
        <f>订货1!AQ105</f>
        <v>0</v>
      </c>
      <c r="S104" s="180">
        <f>订货1!AR105</f>
        <v>0</v>
      </c>
      <c r="T104" s="180">
        <f>订货1!AS105</f>
        <v>0</v>
      </c>
      <c r="U104" s="180">
        <f>订货1!AT105</f>
        <v>0</v>
      </c>
      <c r="V104" s="180">
        <f>订货1!AU105</f>
        <v>0</v>
      </c>
      <c r="W104" s="180">
        <f>订货1!AV105</f>
        <v>0</v>
      </c>
      <c r="X104" s="180">
        <f>订货1!AW105</f>
        <v>0</v>
      </c>
      <c r="Y104" s="180">
        <f>订货1!AX105</f>
        <v>0</v>
      </c>
      <c r="Z104" s="180">
        <f>订货1!AY105</f>
        <v>0</v>
      </c>
      <c r="AA104" s="180">
        <f>订货1!AZ105</f>
        <v>0</v>
      </c>
      <c r="AB104" s="180">
        <f>订货1!BA105</f>
        <v>0</v>
      </c>
      <c r="AC104" s="180">
        <f>订货1!BB105</f>
        <v>0</v>
      </c>
      <c r="AD104" s="180">
        <f>订货1!BC105</f>
        <v>0</v>
      </c>
      <c r="AE104" s="180">
        <f>订货1!BD105</f>
        <v>0</v>
      </c>
      <c r="AF104" s="180">
        <f>订货1!BE105</f>
        <v>0</v>
      </c>
      <c r="AG104" s="180">
        <f>订货1!BF105</f>
        <v>0</v>
      </c>
      <c r="AH104" s="176"/>
      <c r="AI104" s="178" t="e">
        <f>店铺收货台帐2!DE105</f>
        <v>#DIV/0!</v>
      </c>
    </row>
    <row r="105" spans="1:35" hidden="1">
      <c r="A105" s="37">
        <f>订货1!K106</f>
        <v>101716</v>
      </c>
      <c r="B105" s="37" t="str">
        <f>订货1!M106</f>
        <v>墨鱼复合调味汁</v>
      </c>
      <c r="C105" s="180">
        <f>订货1!AB106</f>
        <v>0</v>
      </c>
      <c r="D105" s="180">
        <f>订货1!AC106</f>
        <v>0</v>
      </c>
      <c r="E105" s="180">
        <f>订货1!AD106</f>
        <v>0</v>
      </c>
      <c r="F105" s="180">
        <f>订货1!AE106</f>
        <v>0</v>
      </c>
      <c r="G105" s="180">
        <f>订货1!AF106</f>
        <v>0</v>
      </c>
      <c r="H105" s="180">
        <f>订货1!AG106</f>
        <v>1</v>
      </c>
      <c r="I105" s="180">
        <f>订货1!AH106</f>
        <v>0</v>
      </c>
      <c r="J105" s="180">
        <f>订货1!AI106</f>
        <v>0</v>
      </c>
      <c r="K105" s="180">
        <f>订货1!AJ106</f>
        <v>0</v>
      </c>
      <c r="L105" s="180">
        <f>订货1!AK106</f>
        <v>0</v>
      </c>
      <c r="M105" s="180">
        <f>订货1!AL106</f>
        <v>0</v>
      </c>
      <c r="N105" s="180">
        <f>订货1!AM106</f>
        <v>0</v>
      </c>
      <c r="O105" s="180">
        <f>订货1!AN106</f>
        <v>0</v>
      </c>
      <c r="P105" s="180">
        <f>订货1!AO106</f>
        <v>0</v>
      </c>
      <c r="Q105" s="180">
        <f>订货1!AP106</f>
        <v>0</v>
      </c>
      <c r="R105" s="180">
        <f>订货1!AQ106</f>
        <v>0</v>
      </c>
      <c r="S105" s="180">
        <f>订货1!AR106</f>
        <v>0</v>
      </c>
      <c r="T105" s="180">
        <f>订货1!AS106</f>
        <v>0</v>
      </c>
      <c r="U105" s="180">
        <f>订货1!AT106</f>
        <v>0</v>
      </c>
      <c r="V105" s="180">
        <f>订货1!AU106</f>
        <v>0</v>
      </c>
      <c r="W105" s="180">
        <f>订货1!AV106</f>
        <v>0</v>
      </c>
      <c r="X105" s="180">
        <f>订货1!AW106</f>
        <v>0</v>
      </c>
      <c r="Y105" s="180">
        <f>订货1!AX106</f>
        <v>0</v>
      </c>
      <c r="Z105" s="180">
        <f>订货1!AY106</f>
        <v>0</v>
      </c>
      <c r="AA105" s="180">
        <f>订货1!AZ106</f>
        <v>0</v>
      </c>
      <c r="AB105" s="180">
        <f>订货1!BA106</f>
        <v>0</v>
      </c>
      <c r="AC105" s="180">
        <f>订货1!BB106</f>
        <v>0</v>
      </c>
      <c r="AD105" s="180">
        <f>订货1!BC106</f>
        <v>0</v>
      </c>
      <c r="AE105" s="180">
        <f>订货1!BD106</f>
        <v>0</v>
      </c>
      <c r="AF105" s="180">
        <f>订货1!BE106</f>
        <v>0</v>
      </c>
      <c r="AG105" s="180">
        <f>订货1!BF106</f>
        <v>0</v>
      </c>
      <c r="AH105" s="176"/>
      <c r="AI105" s="178" t="e">
        <f>店铺收货台帐2!DE106</f>
        <v>#DIV/0!</v>
      </c>
    </row>
    <row r="106" spans="1:35" hidden="1">
      <c r="A106" s="37">
        <f>订货1!K107</f>
        <v>101714</v>
      </c>
      <c r="B106" s="37" t="str">
        <f>订货1!M107</f>
        <v>贝贝罗尼意式萨拉米</v>
      </c>
      <c r="C106" s="180">
        <f>订货1!AB107</f>
        <v>0</v>
      </c>
      <c r="D106" s="180">
        <f>订货1!AC107</f>
        <v>0</v>
      </c>
      <c r="E106" s="180">
        <f>订货1!AD107</f>
        <v>0</v>
      </c>
      <c r="F106" s="180">
        <f>订货1!AE107</f>
        <v>0</v>
      </c>
      <c r="G106" s="180">
        <f>订货1!AF107</f>
        <v>0</v>
      </c>
      <c r="H106" s="180">
        <f>订货1!AG107</f>
        <v>0</v>
      </c>
      <c r="I106" s="180">
        <f>订货1!AH107</f>
        <v>0</v>
      </c>
      <c r="J106" s="180">
        <f>订货1!AI107</f>
        <v>0</v>
      </c>
      <c r="K106" s="180">
        <f>订货1!AJ107</f>
        <v>1</v>
      </c>
      <c r="L106" s="180">
        <f>订货1!AK107</f>
        <v>0</v>
      </c>
      <c r="M106" s="180">
        <f>订货1!AL107</f>
        <v>0</v>
      </c>
      <c r="N106" s="180">
        <f>订货1!AM107</f>
        <v>0</v>
      </c>
      <c r="O106" s="180">
        <f>订货1!AN107</f>
        <v>0</v>
      </c>
      <c r="P106" s="180">
        <f>订货1!AO107</f>
        <v>0</v>
      </c>
      <c r="Q106" s="180">
        <f>订货1!AP107</f>
        <v>0</v>
      </c>
      <c r="R106" s="180">
        <f>订货1!AQ107</f>
        <v>0</v>
      </c>
      <c r="S106" s="180">
        <f>订货1!AR107</f>
        <v>0</v>
      </c>
      <c r="T106" s="180">
        <f>订货1!AS107</f>
        <v>0</v>
      </c>
      <c r="U106" s="180">
        <f>订货1!AT107</f>
        <v>0</v>
      </c>
      <c r="V106" s="180">
        <f>订货1!AU107</f>
        <v>0</v>
      </c>
      <c r="W106" s="180">
        <f>订货1!AV107</f>
        <v>0</v>
      </c>
      <c r="X106" s="180">
        <f>订货1!AW107</f>
        <v>0</v>
      </c>
      <c r="Y106" s="180">
        <f>订货1!AX107</f>
        <v>0</v>
      </c>
      <c r="Z106" s="180">
        <f>订货1!AY107</f>
        <v>0</v>
      </c>
      <c r="AA106" s="180">
        <f>订货1!AZ107</f>
        <v>0</v>
      </c>
      <c r="AB106" s="180">
        <f>订货1!BA107</f>
        <v>0</v>
      </c>
      <c r="AC106" s="180">
        <f>订货1!BB107</f>
        <v>0</v>
      </c>
      <c r="AD106" s="180">
        <f>订货1!BC107</f>
        <v>0</v>
      </c>
      <c r="AE106" s="180">
        <f>订货1!BD107</f>
        <v>0</v>
      </c>
      <c r="AF106" s="180">
        <f>订货1!BE107</f>
        <v>0</v>
      </c>
      <c r="AG106" s="180">
        <f>订货1!BF107</f>
        <v>0</v>
      </c>
      <c r="AH106" s="176"/>
      <c r="AI106" s="178" t="e">
        <f>店铺收货台帐2!DE107</f>
        <v>#DIV/0!</v>
      </c>
    </row>
    <row r="107" spans="1:35" hidden="1">
      <c r="A107" s="37">
        <f>订货1!K108</f>
        <v>101394</v>
      </c>
      <c r="B107" s="37" t="str">
        <f>订货1!M108</f>
        <v>美滋乐玉米汁</v>
      </c>
      <c r="C107" s="180">
        <f>订货1!AB108</f>
        <v>0</v>
      </c>
      <c r="D107" s="180">
        <f>订货1!AC108</f>
        <v>0</v>
      </c>
      <c r="E107" s="180">
        <f>订货1!AD108</f>
        <v>0</v>
      </c>
      <c r="F107" s="180">
        <f>订货1!AE108</f>
        <v>0</v>
      </c>
      <c r="G107" s="180">
        <f>订货1!AF108</f>
        <v>0</v>
      </c>
      <c r="H107" s="180">
        <f>订货1!AG108</f>
        <v>0</v>
      </c>
      <c r="I107" s="180">
        <f>订货1!AH108</f>
        <v>0</v>
      </c>
      <c r="J107" s="180">
        <f>订货1!AI108</f>
        <v>0</v>
      </c>
      <c r="K107" s="180">
        <f>订货1!AJ108</f>
        <v>0</v>
      </c>
      <c r="L107" s="180">
        <f>订货1!AK108</f>
        <v>0</v>
      </c>
      <c r="M107" s="180">
        <f>订货1!AL108</f>
        <v>0</v>
      </c>
      <c r="N107" s="180">
        <f>订货1!AM108</f>
        <v>0</v>
      </c>
      <c r="O107" s="180">
        <f>订货1!AN108</f>
        <v>0</v>
      </c>
      <c r="P107" s="180">
        <f>订货1!AO108</f>
        <v>0</v>
      </c>
      <c r="Q107" s="180">
        <f>订货1!AP108</f>
        <v>0</v>
      </c>
      <c r="R107" s="180">
        <f>订货1!AQ108</f>
        <v>0</v>
      </c>
      <c r="S107" s="180">
        <f>订货1!AR108</f>
        <v>0</v>
      </c>
      <c r="T107" s="180">
        <f>订货1!AS108</f>
        <v>0</v>
      </c>
      <c r="U107" s="180">
        <f>订货1!AT108</f>
        <v>0</v>
      </c>
      <c r="V107" s="180">
        <f>订货1!AU108</f>
        <v>0</v>
      </c>
      <c r="W107" s="180">
        <f>订货1!AV108</f>
        <v>0</v>
      </c>
      <c r="X107" s="180">
        <f>订货1!AW108</f>
        <v>0</v>
      </c>
      <c r="Y107" s="180">
        <f>订货1!AX108</f>
        <v>0</v>
      </c>
      <c r="Z107" s="180">
        <f>订货1!AY108</f>
        <v>0</v>
      </c>
      <c r="AA107" s="180">
        <f>订货1!AZ108</f>
        <v>0</v>
      </c>
      <c r="AB107" s="180">
        <f>订货1!BA108</f>
        <v>0</v>
      </c>
      <c r="AC107" s="180">
        <f>订货1!BB108</f>
        <v>0</v>
      </c>
      <c r="AD107" s="180">
        <f>订货1!BC108</f>
        <v>0</v>
      </c>
      <c r="AE107" s="180">
        <f>订货1!BD108</f>
        <v>0</v>
      </c>
      <c r="AF107" s="180">
        <f>订货1!BE108</f>
        <v>0</v>
      </c>
      <c r="AG107" s="180">
        <f>订货1!BF108</f>
        <v>0</v>
      </c>
      <c r="AH107" s="176"/>
      <c r="AI107" s="178" t="e">
        <f>店铺收货台帐2!DE108</f>
        <v>#DIV/0!</v>
      </c>
    </row>
    <row r="108" spans="1:35" hidden="1">
      <c r="A108" s="37">
        <f>订货1!K109</f>
        <v>101712</v>
      </c>
      <c r="B108" s="37" t="str">
        <f>订货1!M109</f>
        <v xml:space="preserve">萨莉亚香酥鸡柳 </v>
      </c>
      <c r="C108" s="180">
        <f>订货1!AB109</f>
        <v>0</v>
      </c>
      <c r="D108" s="180">
        <f>订货1!AC109</f>
        <v>0</v>
      </c>
      <c r="E108" s="180">
        <f>订货1!AD109</f>
        <v>0</v>
      </c>
      <c r="F108" s="180">
        <f>订货1!AE109</f>
        <v>0</v>
      </c>
      <c r="G108" s="180">
        <f>订货1!AF109</f>
        <v>0</v>
      </c>
      <c r="H108" s="180">
        <f>订货1!AG109</f>
        <v>0</v>
      </c>
      <c r="I108" s="180">
        <f>订货1!AH109</f>
        <v>0</v>
      </c>
      <c r="J108" s="180">
        <f>订货1!AI109</f>
        <v>0</v>
      </c>
      <c r="K108" s="180">
        <f>订货1!AJ109</f>
        <v>0</v>
      </c>
      <c r="L108" s="180">
        <f>订货1!AK109</f>
        <v>0</v>
      </c>
      <c r="M108" s="180">
        <f>订货1!AL109</f>
        <v>0</v>
      </c>
      <c r="N108" s="180">
        <f>订货1!AM109</f>
        <v>0</v>
      </c>
      <c r="O108" s="180">
        <f>订货1!AN109</f>
        <v>0</v>
      </c>
      <c r="P108" s="180">
        <f>订货1!AO109</f>
        <v>0</v>
      </c>
      <c r="Q108" s="180">
        <f>订货1!AP109</f>
        <v>0</v>
      </c>
      <c r="R108" s="180">
        <f>订货1!AQ109</f>
        <v>0</v>
      </c>
      <c r="S108" s="180">
        <f>订货1!AR109</f>
        <v>0</v>
      </c>
      <c r="T108" s="180">
        <f>订货1!AS109</f>
        <v>0</v>
      </c>
      <c r="U108" s="180">
        <f>订货1!AT109</f>
        <v>0</v>
      </c>
      <c r="V108" s="180">
        <f>订货1!AU109</f>
        <v>0</v>
      </c>
      <c r="W108" s="180">
        <f>订货1!AV109</f>
        <v>0</v>
      </c>
      <c r="X108" s="180">
        <f>订货1!AW109</f>
        <v>0</v>
      </c>
      <c r="Y108" s="180">
        <f>订货1!AX109</f>
        <v>0</v>
      </c>
      <c r="Z108" s="180">
        <f>订货1!AY109</f>
        <v>0</v>
      </c>
      <c r="AA108" s="180">
        <f>订货1!AZ109</f>
        <v>0</v>
      </c>
      <c r="AB108" s="180">
        <f>订货1!BA109</f>
        <v>0</v>
      </c>
      <c r="AC108" s="180">
        <f>订货1!BB109</f>
        <v>0</v>
      </c>
      <c r="AD108" s="180">
        <f>订货1!BC109</f>
        <v>0</v>
      </c>
      <c r="AE108" s="180">
        <f>订货1!BD109</f>
        <v>0</v>
      </c>
      <c r="AF108" s="180">
        <f>订货1!BE109</f>
        <v>0</v>
      </c>
      <c r="AG108" s="180">
        <f>订货1!BF109</f>
        <v>0</v>
      </c>
      <c r="AH108" s="176"/>
      <c r="AI108" s="178" t="e">
        <f>店铺收货台帐2!DE109</f>
        <v>#DIV/0!</v>
      </c>
    </row>
    <row r="109" spans="1:35" hidden="1">
      <c r="A109" s="37">
        <f>订货1!K110</f>
        <v>101713</v>
      </c>
      <c r="B109" s="37" t="str">
        <f>订货1!M110</f>
        <v>蓝纹干酪制品酱</v>
      </c>
      <c r="C109" s="180">
        <f>订货1!AB110</f>
        <v>0</v>
      </c>
      <c r="D109" s="180">
        <f>订货1!AC110</f>
        <v>0</v>
      </c>
      <c r="E109" s="180">
        <f>订货1!AD110</f>
        <v>0</v>
      </c>
      <c r="F109" s="180">
        <f>订货1!AE110</f>
        <v>0</v>
      </c>
      <c r="G109" s="180">
        <f>订货1!AF110</f>
        <v>0</v>
      </c>
      <c r="H109" s="180">
        <f>订货1!AG110</f>
        <v>0</v>
      </c>
      <c r="I109" s="180">
        <f>订货1!AH110</f>
        <v>0</v>
      </c>
      <c r="J109" s="180">
        <f>订货1!AI110</f>
        <v>0</v>
      </c>
      <c r="K109" s="180">
        <f>订货1!AJ110</f>
        <v>0</v>
      </c>
      <c r="L109" s="180">
        <f>订货1!AK110</f>
        <v>0</v>
      </c>
      <c r="M109" s="180">
        <f>订货1!AL110</f>
        <v>0</v>
      </c>
      <c r="N109" s="180">
        <f>订货1!AM110</f>
        <v>0</v>
      </c>
      <c r="O109" s="180">
        <f>订货1!AN110</f>
        <v>0</v>
      </c>
      <c r="P109" s="180">
        <f>订货1!AO110</f>
        <v>0</v>
      </c>
      <c r="Q109" s="180">
        <f>订货1!AP110</f>
        <v>0</v>
      </c>
      <c r="R109" s="180">
        <f>订货1!AQ110</f>
        <v>0</v>
      </c>
      <c r="S109" s="180">
        <f>订货1!AR110</f>
        <v>0</v>
      </c>
      <c r="T109" s="180">
        <f>订货1!AS110</f>
        <v>0</v>
      </c>
      <c r="U109" s="180">
        <f>订货1!AT110</f>
        <v>0</v>
      </c>
      <c r="V109" s="180">
        <f>订货1!AU110</f>
        <v>0</v>
      </c>
      <c r="W109" s="180">
        <f>订货1!AV110</f>
        <v>0</v>
      </c>
      <c r="X109" s="180">
        <f>订货1!AW110</f>
        <v>0</v>
      </c>
      <c r="Y109" s="180">
        <f>订货1!AX110</f>
        <v>0</v>
      </c>
      <c r="Z109" s="180">
        <f>订货1!AY110</f>
        <v>0</v>
      </c>
      <c r="AA109" s="180">
        <f>订货1!AZ110</f>
        <v>0</v>
      </c>
      <c r="AB109" s="180">
        <f>订货1!BA110</f>
        <v>0</v>
      </c>
      <c r="AC109" s="180">
        <f>订货1!BB110</f>
        <v>0</v>
      </c>
      <c r="AD109" s="180">
        <f>订货1!BC110</f>
        <v>0</v>
      </c>
      <c r="AE109" s="180">
        <f>订货1!BD110</f>
        <v>0</v>
      </c>
      <c r="AF109" s="180">
        <f>订货1!BE110</f>
        <v>0</v>
      </c>
      <c r="AG109" s="180">
        <f>订货1!BF110</f>
        <v>0</v>
      </c>
      <c r="AH109" s="176"/>
      <c r="AI109" s="178" t="e">
        <f>店铺收货台帐2!DE110</f>
        <v>#DIV/0!</v>
      </c>
    </row>
    <row r="110" spans="1:35" hidden="1">
      <c r="A110" s="37">
        <f>订货1!K111</f>
        <v>710005</v>
      </c>
      <c r="B110" s="37" t="str">
        <f>订货1!M111</f>
        <v>零度可乐糖浆</v>
      </c>
      <c r="C110" s="180">
        <f>订货1!AB111</f>
        <v>0</v>
      </c>
      <c r="D110" s="180">
        <f>订货1!AC111</f>
        <v>0</v>
      </c>
      <c r="E110" s="180">
        <f>订货1!AD111</f>
        <v>0</v>
      </c>
      <c r="F110" s="180">
        <f>订货1!AE111</f>
        <v>0</v>
      </c>
      <c r="G110" s="180">
        <f>订货1!AF111</f>
        <v>0</v>
      </c>
      <c r="H110" s="180">
        <f>订货1!AG111</f>
        <v>0</v>
      </c>
      <c r="I110" s="180">
        <f>订货1!AH111</f>
        <v>0</v>
      </c>
      <c r="J110" s="180">
        <f>订货1!AI111</f>
        <v>0</v>
      </c>
      <c r="K110" s="180">
        <f>订货1!AJ111</f>
        <v>0</v>
      </c>
      <c r="L110" s="180">
        <f>订货1!AK111</f>
        <v>0</v>
      </c>
      <c r="M110" s="180">
        <f>订货1!AL111</f>
        <v>0</v>
      </c>
      <c r="N110" s="180">
        <f>订货1!AM111</f>
        <v>0</v>
      </c>
      <c r="O110" s="180">
        <f>订货1!AN111</f>
        <v>0</v>
      </c>
      <c r="P110" s="180">
        <f>订货1!AO111</f>
        <v>0</v>
      </c>
      <c r="Q110" s="180">
        <f>订货1!AP111</f>
        <v>0</v>
      </c>
      <c r="R110" s="180">
        <f>订货1!AQ111</f>
        <v>0</v>
      </c>
      <c r="S110" s="180">
        <f>订货1!AR111</f>
        <v>0</v>
      </c>
      <c r="T110" s="180">
        <f>订货1!AS111</f>
        <v>0</v>
      </c>
      <c r="U110" s="180">
        <f>订货1!AT111</f>
        <v>0</v>
      </c>
      <c r="V110" s="180">
        <f>订货1!AU111</f>
        <v>0</v>
      </c>
      <c r="W110" s="180">
        <f>订货1!AV111</f>
        <v>0</v>
      </c>
      <c r="X110" s="180">
        <f>订货1!AW111</f>
        <v>0</v>
      </c>
      <c r="Y110" s="180">
        <f>订货1!AX111</f>
        <v>0</v>
      </c>
      <c r="Z110" s="180">
        <f>订货1!AY111</f>
        <v>0</v>
      </c>
      <c r="AA110" s="180">
        <f>订货1!AZ111</f>
        <v>0</v>
      </c>
      <c r="AB110" s="180">
        <f>订货1!BA111</f>
        <v>0</v>
      </c>
      <c r="AC110" s="180">
        <f>订货1!BB111</f>
        <v>0</v>
      </c>
      <c r="AD110" s="180">
        <f>订货1!BC111</f>
        <v>0</v>
      </c>
      <c r="AE110" s="180">
        <f>订货1!BD111</f>
        <v>0</v>
      </c>
      <c r="AF110" s="180">
        <f>订货1!BE111</f>
        <v>0</v>
      </c>
      <c r="AG110" s="180">
        <f>订货1!BF111</f>
        <v>0</v>
      </c>
      <c r="AH110" s="176"/>
      <c r="AI110" s="178" t="e">
        <f>店铺收货台帐2!DE111</f>
        <v>#DIV/0!</v>
      </c>
    </row>
    <row r="111" spans="1:35" hidden="1">
      <c r="A111" s="37">
        <f>订货1!K112</f>
        <v>710006</v>
      </c>
      <c r="B111" s="37" t="str">
        <f>订货1!M112</f>
        <v>太古碳酸（仅限浙江店铺用）</v>
      </c>
      <c r="C111" s="180">
        <f>订货1!AB112</f>
        <v>0</v>
      </c>
      <c r="D111" s="180">
        <f>订货1!AC112</f>
        <v>0</v>
      </c>
      <c r="E111" s="180">
        <f>订货1!AD112</f>
        <v>0</v>
      </c>
      <c r="F111" s="180">
        <f>订货1!AE112</f>
        <v>0</v>
      </c>
      <c r="G111" s="180">
        <f>订货1!AF112</f>
        <v>0</v>
      </c>
      <c r="H111" s="180">
        <f>订货1!AG112</f>
        <v>0</v>
      </c>
      <c r="I111" s="180">
        <f>订货1!AH112</f>
        <v>0</v>
      </c>
      <c r="J111" s="180">
        <f>订货1!AI112</f>
        <v>0</v>
      </c>
      <c r="K111" s="180">
        <f>订货1!AJ112</f>
        <v>0</v>
      </c>
      <c r="L111" s="180">
        <f>订货1!AK112</f>
        <v>0</v>
      </c>
      <c r="M111" s="180">
        <f>订货1!AL112</f>
        <v>0</v>
      </c>
      <c r="N111" s="180">
        <f>订货1!AM112</f>
        <v>0</v>
      </c>
      <c r="O111" s="180">
        <f>订货1!AN112</f>
        <v>0</v>
      </c>
      <c r="P111" s="180">
        <f>订货1!AO112</f>
        <v>0</v>
      </c>
      <c r="Q111" s="180">
        <f>订货1!AP112</f>
        <v>0</v>
      </c>
      <c r="R111" s="180">
        <f>订货1!AQ112</f>
        <v>0</v>
      </c>
      <c r="S111" s="180">
        <f>订货1!AR112</f>
        <v>0</v>
      </c>
      <c r="T111" s="180">
        <f>订货1!AS112</f>
        <v>0</v>
      </c>
      <c r="U111" s="180">
        <f>订货1!AT112</f>
        <v>0</v>
      </c>
      <c r="V111" s="180">
        <f>订货1!AU112</f>
        <v>0</v>
      </c>
      <c r="W111" s="180">
        <f>订货1!AV112</f>
        <v>0</v>
      </c>
      <c r="X111" s="180">
        <f>订货1!AW112</f>
        <v>0</v>
      </c>
      <c r="Y111" s="180">
        <f>订货1!AX112</f>
        <v>0</v>
      </c>
      <c r="Z111" s="180">
        <f>订货1!AY112</f>
        <v>0</v>
      </c>
      <c r="AA111" s="180">
        <f>订货1!AZ112</f>
        <v>0</v>
      </c>
      <c r="AB111" s="180">
        <f>订货1!BA112</f>
        <v>0</v>
      </c>
      <c r="AC111" s="180">
        <f>订货1!BB112</f>
        <v>0</v>
      </c>
      <c r="AD111" s="180">
        <f>订货1!BC112</f>
        <v>0</v>
      </c>
      <c r="AE111" s="180">
        <f>订货1!BD112</f>
        <v>0</v>
      </c>
      <c r="AF111" s="180">
        <f>订货1!BE112</f>
        <v>0</v>
      </c>
      <c r="AG111" s="180">
        <f>订货1!BF112</f>
        <v>0</v>
      </c>
      <c r="AH111" s="176"/>
      <c r="AI111" s="178" t="e">
        <f>店铺收货台帐2!DE112</f>
        <v>#DIV/0!</v>
      </c>
    </row>
    <row r="112" spans="1:35" hidden="1">
      <c r="A112" s="37">
        <f>订货1!K113</f>
        <v>101717</v>
      </c>
      <c r="B112" s="37" t="str">
        <f>订货1!M113</f>
        <v>薄荷巧克力味冰淇淋</v>
      </c>
      <c r="C112" s="180">
        <f>订货1!AB113</f>
        <v>0</v>
      </c>
      <c r="D112" s="180">
        <f>订货1!AC113</f>
        <v>1</v>
      </c>
      <c r="E112" s="180">
        <f>订货1!AD113</f>
        <v>0</v>
      </c>
      <c r="F112" s="180">
        <f>订货1!AE113</f>
        <v>0</v>
      </c>
      <c r="G112" s="180">
        <f>订货1!AF113</f>
        <v>1</v>
      </c>
      <c r="H112" s="180">
        <f>订货1!AG113</f>
        <v>1</v>
      </c>
      <c r="I112" s="180">
        <f>订货1!AH113</f>
        <v>0</v>
      </c>
      <c r="J112" s="180">
        <f>订货1!AI113</f>
        <v>1</v>
      </c>
      <c r="K112" s="180">
        <f>订货1!AJ113</f>
        <v>0</v>
      </c>
      <c r="L112" s="180">
        <f>订货1!AK113</f>
        <v>0</v>
      </c>
      <c r="M112" s="180">
        <f>订货1!AL113</f>
        <v>0</v>
      </c>
      <c r="N112" s="180">
        <f>订货1!AM113</f>
        <v>0</v>
      </c>
      <c r="O112" s="180">
        <f>订货1!AN113</f>
        <v>1</v>
      </c>
      <c r="P112" s="180">
        <f>订货1!AO113</f>
        <v>0</v>
      </c>
      <c r="Q112" s="180">
        <f>订货1!AP113</f>
        <v>0</v>
      </c>
      <c r="R112" s="180">
        <f>订货1!AQ113</f>
        <v>0</v>
      </c>
      <c r="S112" s="180">
        <f>订货1!AR113</f>
        <v>0</v>
      </c>
      <c r="T112" s="180">
        <f>订货1!AS113</f>
        <v>0</v>
      </c>
      <c r="U112" s="180">
        <f>订货1!AT113</f>
        <v>0</v>
      </c>
      <c r="V112" s="180">
        <f>订货1!AU113</f>
        <v>0</v>
      </c>
      <c r="W112" s="180">
        <f>订货1!AV113</f>
        <v>0</v>
      </c>
      <c r="X112" s="180">
        <f>订货1!AW113</f>
        <v>0</v>
      </c>
      <c r="Y112" s="180">
        <f>订货1!AX113</f>
        <v>0</v>
      </c>
      <c r="Z112" s="180">
        <f>订货1!AY113</f>
        <v>0</v>
      </c>
      <c r="AA112" s="180">
        <f>订货1!AZ113</f>
        <v>0</v>
      </c>
      <c r="AB112" s="180">
        <f>订货1!BA113</f>
        <v>0</v>
      </c>
      <c r="AC112" s="180">
        <f>订货1!BB113</f>
        <v>0</v>
      </c>
      <c r="AD112" s="180">
        <f>订货1!BC113</f>
        <v>0</v>
      </c>
      <c r="AE112" s="180">
        <f>订货1!BD113</f>
        <v>0</v>
      </c>
      <c r="AF112" s="180">
        <f>订货1!BE113</f>
        <v>0</v>
      </c>
      <c r="AG112" s="180">
        <f>订货1!BF113</f>
        <v>0</v>
      </c>
      <c r="AH112" s="176"/>
      <c r="AI112" s="178" t="e">
        <f>店铺收货台帐2!DE113</f>
        <v>#DIV/0!</v>
      </c>
    </row>
    <row r="113" spans="1:35" hidden="1">
      <c r="A113" s="37">
        <f>订货1!K114</f>
        <v>101703</v>
      </c>
      <c r="B113" s="37" t="str">
        <f>订货1!M114</f>
        <v>油炸饭团</v>
      </c>
      <c r="C113" s="180">
        <f>订货1!AB114</f>
        <v>0</v>
      </c>
      <c r="D113" s="180">
        <f>订货1!AC114</f>
        <v>0</v>
      </c>
      <c r="E113" s="180">
        <f>订货1!AD114</f>
        <v>0</v>
      </c>
      <c r="F113" s="180">
        <f>订货1!AE114</f>
        <v>0</v>
      </c>
      <c r="G113" s="180">
        <f>订货1!AF114</f>
        <v>0</v>
      </c>
      <c r="H113" s="180">
        <f>订货1!AG114</f>
        <v>0</v>
      </c>
      <c r="I113" s="180">
        <f>订货1!AH114</f>
        <v>0</v>
      </c>
      <c r="J113" s="180">
        <f>订货1!AI114</f>
        <v>0</v>
      </c>
      <c r="K113" s="180">
        <f>订货1!AJ114</f>
        <v>0</v>
      </c>
      <c r="L113" s="180">
        <f>订货1!AK114</f>
        <v>0</v>
      </c>
      <c r="M113" s="180">
        <f>订货1!AL114</f>
        <v>0</v>
      </c>
      <c r="N113" s="180">
        <f>订货1!AM114</f>
        <v>0</v>
      </c>
      <c r="O113" s="180">
        <f>订货1!AN114</f>
        <v>0</v>
      </c>
      <c r="P113" s="180">
        <f>订货1!AO114</f>
        <v>0</v>
      </c>
      <c r="Q113" s="180">
        <f>订货1!AP114</f>
        <v>0</v>
      </c>
      <c r="R113" s="180">
        <f>订货1!AQ114</f>
        <v>0</v>
      </c>
      <c r="S113" s="180">
        <f>订货1!AR114</f>
        <v>0</v>
      </c>
      <c r="T113" s="180">
        <f>订货1!AS114</f>
        <v>0</v>
      </c>
      <c r="U113" s="180">
        <f>订货1!AT114</f>
        <v>0</v>
      </c>
      <c r="V113" s="180">
        <f>订货1!AU114</f>
        <v>0</v>
      </c>
      <c r="W113" s="180">
        <f>订货1!AV114</f>
        <v>0</v>
      </c>
      <c r="X113" s="180">
        <f>订货1!AW114</f>
        <v>0</v>
      </c>
      <c r="Y113" s="180">
        <f>订货1!AX114</f>
        <v>0</v>
      </c>
      <c r="Z113" s="180">
        <f>订货1!AY114</f>
        <v>0</v>
      </c>
      <c r="AA113" s="180">
        <f>订货1!AZ114</f>
        <v>0</v>
      </c>
      <c r="AB113" s="180">
        <f>订货1!BA114</f>
        <v>0</v>
      </c>
      <c r="AC113" s="180">
        <f>订货1!BB114</f>
        <v>0</v>
      </c>
      <c r="AD113" s="180">
        <f>订货1!BC114</f>
        <v>0</v>
      </c>
      <c r="AE113" s="180">
        <f>订货1!BD114</f>
        <v>0</v>
      </c>
      <c r="AF113" s="180">
        <f>订货1!BE114</f>
        <v>0</v>
      </c>
      <c r="AG113" s="180">
        <f>订货1!BF114</f>
        <v>0</v>
      </c>
      <c r="AH113" s="176"/>
      <c r="AI113" s="178" t="e">
        <f>店铺收货台帐2!DE114</f>
        <v>#DIV/0!</v>
      </c>
    </row>
    <row r="114" spans="1:35" hidden="1">
      <c r="A114" s="37">
        <f>订货1!K115</f>
        <v>101751</v>
      </c>
      <c r="B114" s="37" t="str">
        <f>订货1!M115</f>
        <v>明太子</v>
      </c>
      <c r="C114" s="180">
        <f>订货1!AB115</f>
        <v>0</v>
      </c>
      <c r="D114" s="180">
        <f>订货1!AC115</f>
        <v>0</v>
      </c>
      <c r="E114" s="180">
        <f>订货1!AD115</f>
        <v>0</v>
      </c>
      <c r="F114" s="180">
        <f>订货1!AE115</f>
        <v>0</v>
      </c>
      <c r="G114" s="180">
        <f>订货1!AF115</f>
        <v>0</v>
      </c>
      <c r="H114" s="180">
        <f>订货1!AG115</f>
        <v>0</v>
      </c>
      <c r="I114" s="180">
        <f>订货1!AH115</f>
        <v>0</v>
      </c>
      <c r="J114" s="180">
        <f>订货1!AI115</f>
        <v>0</v>
      </c>
      <c r="K114" s="180">
        <f>订货1!AJ115</f>
        <v>0</v>
      </c>
      <c r="L114" s="180">
        <f>订货1!AK115</f>
        <v>0</v>
      </c>
      <c r="M114" s="180">
        <f>订货1!AL115</f>
        <v>0</v>
      </c>
      <c r="N114" s="180">
        <f>订货1!AM115</f>
        <v>0</v>
      </c>
      <c r="O114" s="180">
        <f>订货1!AN115</f>
        <v>0</v>
      </c>
      <c r="P114" s="180">
        <f>订货1!AO115</f>
        <v>0</v>
      </c>
      <c r="Q114" s="180">
        <f>订货1!AP115</f>
        <v>0</v>
      </c>
      <c r="R114" s="180">
        <f>订货1!AQ115</f>
        <v>0</v>
      </c>
      <c r="S114" s="180">
        <f>订货1!AR115</f>
        <v>0</v>
      </c>
      <c r="T114" s="180">
        <f>订货1!AS115</f>
        <v>0</v>
      </c>
      <c r="U114" s="180">
        <f>订货1!AT115</f>
        <v>0</v>
      </c>
      <c r="V114" s="180">
        <f>订货1!AU115</f>
        <v>0</v>
      </c>
      <c r="W114" s="180">
        <f>订货1!AV115</f>
        <v>0</v>
      </c>
      <c r="X114" s="180">
        <f>订货1!AW115</f>
        <v>0</v>
      </c>
      <c r="Y114" s="180">
        <f>订货1!AX115</f>
        <v>0</v>
      </c>
      <c r="Z114" s="180">
        <f>订货1!AY115</f>
        <v>0</v>
      </c>
      <c r="AA114" s="180">
        <f>订货1!AZ115</f>
        <v>0</v>
      </c>
      <c r="AB114" s="180">
        <f>订货1!BA115</f>
        <v>0</v>
      </c>
      <c r="AC114" s="180">
        <f>订货1!BB115</f>
        <v>0</v>
      </c>
      <c r="AD114" s="180">
        <f>订货1!BC115</f>
        <v>0</v>
      </c>
      <c r="AE114" s="180">
        <f>订货1!BD115</f>
        <v>0</v>
      </c>
      <c r="AF114" s="180">
        <f>订货1!BE115</f>
        <v>0</v>
      </c>
      <c r="AG114" s="180">
        <f>订货1!BF115</f>
        <v>0</v>
      </c>
      <c r="AH114" s="176"/>
      <c r="AI114" s="178" t="e">
        <f>店铺收货台帐2!DE115</f>
        <v>#DIV/0!</v>
      </c>
    </row>
    <row r="115" spans="1:35" hidden="1">
      <c r="A115" s="37">
        <f>订货1!K116</f>
        <v>101754</v>
      </c>
      <c r="B115" s="37" t="str">
        <f>订货1!M116</f>
        <v>炸鱿鱼圈</v>
      </c>
      <c r="C115" s="180">
        <f>订货1!AB116</f>
        <v>0</v>
      </c>
      <c r="D115" s="180">
        <f>订货1!AC116</f>
        <v>1</v>
      </c>
      <c r="E115" s="180">
        <f>订货1!AD116</f>
        <v>0</v>
      </c>
      <c r="F115" s="180">
        <f>订货1!AE116</f>
        <v>0</v>
      </c>
      <c r="G115" s="180">
        <f>订货1!AF116</f>
        <v>1</v>
      </c>
      <c r="H115" s="180">
        <f>订货1!AG116</f>
        <v>0</v>
      </c>
      <c r="I115" s="180">
        <f>订货1!AH116</f>
        <v>1</v>
      </c>
      <c r="J115" s="180">
        <f>订货1!AI116</f>
        <v>0</v>
      </c>
      <c r="K115" s="180">
        <f>订货1!AJ116</f>
        <v>1</v>
      </c>
      <c r="L115" s="180">
        <f>订货1!AK116</f>
        <v>0</v>
      </c>
      <c r="M115" s="180">
        <f>订货1!AL116</f>
        <v>0</v>
      </c>
      <c r="N115" s="180">
        <f>订货1!AM116</f>
        <v>1</v>
      </c>
      <c r="O115" s="180">
        <f>订货1!AN116</f>
        <v>1</v>
      </c>
      <c r="P115" s="180">
        <f>订货1!AO116</f>
        <v>1</v>
      </c>
      <c r="Q115" s="180">
        <f>订货1!AP116</f>
        <v>0</v>
      </c>
      <c r="R115" s="180">
        <f>订货1!AQ116</f>
        <v>0</v>
      </c>
      <c r="S115" s="180">
        <f>订货1!AR116</f>
        <v>0</v>
      </c>
      <c r="T115" s="180">
        <f>订货1!AS116</f>
        <v>0</v>
      </c>
      <c r="U115" s="180">
        <f>订货1!AT116</f>
        <v>0</v>
      </c>
      <c r="V115" s="180">
        <f>订货1!AU116</f>
        <v>0</v>
      </c>
      <c r="W115" s="180">
        <f>订货1!AV116</f>
        <v>0</v>
      </c>
      <c r="X115" s="180">
        <f>订货1!AW116</f>
        <v>0</v>
      </c>
      <c r="Y115" s="180">
        <f>订货1!AX116</f>
        <v>0</v>
      </c>
      <c r="Z115" s="180">
        <f>订货1!AY116</f>
        <v>0</v>
      </c>
      <c r="AA115" s="180">
        <f>订货1!AZ116</f>
        <v>0</v>
      </c>
      <c r="AB115" s="180">
        <f>订货1!BA116</f>
        <v>0</v>
      </c>
      <c r="AC115" s="180">
        <f>订货1!BB116</f>
        <v>0</v>
      </c>
      <c r="AD115" s="180">
        <f>订货1!BC116</f>
        <v>0</v>
      </c>
      <c r="AE115" s="180">
        <f>订货1!BD116</f>
        <v>0</v>
      </c>
      <c r="AF115" s="180">
        <f>订货1!BE116</f>
        <v>0</v>
      </c>
      <c r="AG115" s="180">
        <f>订货1!BF116</f>
        <v>0</v>
      </c>
      <c r="AH115" s="176"/>
      <c r="AI115" s="178" t="e">
        <f>店铺收货台帐2!DE116</f>
        <v>#DIV/0!</v>
      </c>
    </row>
    <row r="116" spans="1:35" hidden="1">
      <c r="A116" s="37">
        <f>订货1!K117</f>
        <v>101755</v>
      </c>
      <c r="B116" s="37" t="str">
        <f>订货1!M117</f>
        <v>速冻甜青豆</v>
      </c>
      <c r="C116" s="180">
        <f>订货1!AB117</f>
        <v>0</v>
      </c>
      <c r="D116" s="180">
        <f>订货1!AC117</f>
        <v>0</v>
      </c>
      <c r="E116" s="180">
        <f>订货1!AD117</f>
        <v>0</v>
      </c>
      <c r="F116" s="180">
        <f>订货1!AE117</f>
        <v>1</v>
      </c>
      <c r="G116" s="180">
        <f>订货1!AF117</f>
        <v>0</v>
      </c>
      <c r="H116" s="180">
        <f>订货1!AG117</f>
        <v>0</v>
      </c>
      <c r="I116" s="180">
        <f>订货1!AH117</f>
        <v>0</v>
      </c>
      <c r="J116" s="180">
        <f>订货1!AI117</f>
        <v>1</v>
      </c>
      <c r="K116" s="180">
        <f>订货1!AJ117</f>
        <v>0</v>
      </c>
      <c r="L116" s="180">
        <f>订货1!AK117</f>
        <v>0</v>
      </c>
      <c r="M116" s="180">
        <f>订货1!AL117</f>
        <v>0</v>
      </c>
      <c r="N116" s="180">
        <f>订货1!AM117</f>
        <v>0</v>
      </c>
      <c r="O116" s="180">
        <f>订货1!AN117</f>
        <v>0</v>
      </c>
      <c r="P116" s="180">
        <f>订货1!AO117</f>
        <v>1</v>
      </c>
      <c r="Q116" s="180">
        <f>订货1!AP117</f>
        <v>0</v>
      </c>
      <c r="R116" s="180">
        <f>订货1!AQ117</f>
        <v>0</v>
      </c>
      <c r="S116" s="180">
        <f>订货1!AR117</f>
        <v>0</v>
      </c>
      <c r="T116" s="180">
        <f>订货1!AS117</f>
        <v>0</v>
      </c>
      <c r="U116" s="180">
        <f>订货1!AT117</f>
        <v>0</v>
      </c>
      <c r="V116" s="180">
        <f>订货1!AU117</f>
        <v>0</v>
      </c>
      <c r="W116" s="180">
        <f>订货1!AV117</f>
        <v>0</v>
      </c>
      <c r="X116" s="180">
        <f>订货1!AW117</f>
        <v>0</v>
      </c>
      <c r="Y116" s="180">
        <f>订货1!AX117</f>
        <v>0</v>
      </c>
      <c r="Z116" s="180">
        <f>订货1!AY117</f>
        <v>0</v>
      </c>
      <c r="AA116" s="180">
        <f>订货1!AZ117</f>
        <v>0</v>
      </c>
      <c r="AB116" s="180">
        <f>订货1!BA117</f>
        <v>0</v>
      </c>
      <c r="AC116" s="180">
        <f>订货1!BB117</f>
        <v>0</v>
      </c>
      <c r="AD116" s="180">
        <f>订货1!BC117</f>
        <v>0</v>
      </c>
      <c r="AE116" s="180">
        <f>订货1!BD117</f>
        <v>0</v>
      </c>
      <c r="AF116" s="180">
        <f>订货1!BE117</f>
        <v>0</v>
      </c>
      <c r="AG116" s="180">
        <f>订货1!BF117</f>
        <v>0</v>
      </c>
      <c r="AH116" s="176"/>
      <c r="AI116" s="178" t="e">
        <f>店铺收货台帐2!DE117</f>
        <v>#DIV/0!</v>
      </c>
    </row>
    <row r="117" spans="1:35" hidden="1">
      <c r="A117" s="37">
        <f>订货1!K118</f>
        <v>101756</v>
      </c>
      <c r="B117" s="37" t="str">
        <f>订货1!M118</f>
        <v>意式甜椒核桃酱</v>
      </c>
      <c r="C117" s="180">
        <f>订货1!AB118</f>
        <v>0</v>
      </c>
      <c r="D117" s="180">
        <f>订货1!AC118</f>
        <v>0</v>
      </c>
      <c r="E117" s="180">
        <f>订货1!AD118</f>
        <v>0</v>
      </c>
      <c r="F117" s="180">
        <f>订货1!AE118</f>
        <v>0</v>
      </c>
      <c r="G117" s="180">
        <f>订货1!AF118</f>
        <v>0</v>
      </c>
      <c r="H117" s="180">
        <f>订货1!AG118</f>
        <v>0</v>
      </c>
      <c r="I117" s="180">
        <f>订货1!AH118</f>
        <v>0</v>
      </c>
      <c r="J117" s="180">
        <f>订货1!AI118</f>
        <v>0</v>
      </c>
      <c r="K117" s="180">
        <f>订货1!AJ118</f>
        <v>0</v>
      </c>
      <c r="L117" s="180">
        <f>订货1!AK118</f>
        <v>0</v>
      </c>
      <c r="M117" s="180">
        <f>订货1!AL118</f>
        <v>0</v>
      </c>
      <c r="N117" s="180">
        <f>订货1!AM118</f>
        <v>0</v>
      </c>
      <c r="O117" s="180">
        <f>订货1!AN118</f>
        <v>0</v>
      </c>
      <c r="P117" s="180">
        <f>订货1!AO118</f>
        <v>0</v>
      </c>
      <c r="Q117" s="180">
        <f>订货1!AP118</f>
        <v>0</v>
      </c>
      <c r="R117" s="180">
        <f>订货1!AQ118</f>
        <v>0</v>
      </c>
      <c r="S117" s="180">
        <f>订货1!AR118</f>
        <v>0</v>
      </c>
      <c r="T117" s="180">
        <f>订货1!AS118</f>
        <v>0</v>
      </c>
      <c r="U117" s="180">
        <f>订货1!AT118</f>
        <v>0</v>
      </c>
      <c r="V117" s="180">
        <f>订货1!AU118</f>
        <v>0</v>
      </c>
      <c r="W117" s="180">
        <f>订货1!AV118</f>
        <v>0</v>
      </c>
      <c r="X117" s="180">
        <f>订货1!AW118</f>
        <v>0</v>
      </c>
      <c r="Y117" s="180">
        <f>订货1!AX118</f>
        <v>0</v>
      </c>
      <c r="Z117" s="180">
        <f>订货1!AY118</f>
        <v>0</v>
      </c>
      <c r="AA117" s="180">
        <f>订货1!AZ118</f>
        <v>0</v>
      </c>
      <c r="AB117" s="180">
        <f>订货1!BA118</f>
        <v>0</v>
      </c>
      <c r="AC117" s="180">
        <f>订货1!BB118</f>
        <v>0</v>
      </c>
      <c r="AD117" s="180">
        <f>订货1!BC118</f>
        <v>0</v>
      </c>
      <c r="AE117" s="180">
        <f>订货1!BD118</f>
        <v>0</v>
      </c>
      <c r="AF117" s="180">
        <f>订货1!BE118</f>
        <v>0</v>
      </c>
      <c r="AG117" s="180">
        <f>订货1!BF118</f>
        <v>0</v>
      </c>
      <c r="AH117" s="176"/>
      <c r="AI117" s="178" t="e">
        <f>店铺收货台帐2!DE118</f>
        <v>#DIV/0!</v>
      </c>
    </row>
    <row r="118" spans="1:35" hidden="1">
      <c r="A118" s="37">
        <f>订货1!K119</f>
        <v>101757</v>
      </c>
      <c r="B118" s="37" t="str">
        <f>订货1!M119</f>
        <v>海苔片2*35毫米</v>
      </c>
      <c r="C118" s="180">
        <f>订货1!AB119</f>
        <v>0</v>
      </c>
      <c r="D118" s="180">
        <f>订货1!AC119</f>
        <v>1</v>
      </c>
      <c r="E118" s="180">
        <f>订货1!AD119</f>
        <v>0</v>
      </c>
      <c r="F118" s="180">
        <f>订货1!AE119</f>
        <v>0</v>
      </c>
      <c r="G118" s="180">
        <f>订货1!AF119</f>
        <v>0</v>
      </c>
      <c r="H118" s="180">
        <f>订货1!AG119</f>
        <v>0</v>
      </c>
      <c r="I118" s="180">
        <f>订货1!AH119</f>
        <v>1</v>
      </c>
      <c r="J118" s="180">
        <f>订货1!AI119</f>
        <v>0</v>
      </c>
      <c r="K118" s="180">
        <f>订货1!AJ119</f>
        <v>1</v>
      </c>
      <c r="L118" s="180">
        <f>订货1!AK119</f>
        <v>0</v>
      </c>
      <c r="M118" s="180">
        <f>订货1!AL119</f>
        <v>1</v>
      </c>
      <c r="N118" s="180">
        <f>订货1!AM119</f>
        <v>0</v>
      </c>
      <c r="O118" s="180">
        <f>订货1!AN119</f>
        <v>1</v>
      </c>
      <c r="P118" s="180">
        <f>订货1!AO119</f>
        <v>0</v>
      </c>
      <c r="Q118" s="180">
        <f>订货1!AP119</f>
        <v>0</v>
      </c>
      <c r="R118" s="180">
        <f>订货1!AQ119</f>
        <v>0</v>
      </c>
      <c r="S118" s="180">
        <f>订货1!AR119</f>
        <v>0</v>
      </c>
      <c r="T118" s="180">
        <f>订货1!AS119</f>
        <v>0</v>
      </c>
      <c r="U118" s="180">
        <f>订货1!AT119</f>
        <v>0</v>
      </c>
      <c r="V118" s="180">
        <f>订货1!AU119</f>
        <v>0</v>
      </c>
      <c r="W118" s="180">
        <f>订货1!AV119</f>
        <v>0</v>
      </c>
      <c r="X118" s="180">
        <f>订货1!AW119</f>
        <v>0</v>
      </c>
      <c r="Y118" s="180">
        <f>订货1!AX119</f>
        <v>0</v>
      </c>
      <c r="Z118" s="180">
        <f>订货1!AY119</f>
        <v>0</v>
      </c>
      <c r="AA118" s="180">
        <f>订货1!AZ119</f>
        <v>0</v>
      </c>
      <c r="AB118" s="180">
        <f>订货1!BA119</f>
        <v>0</v>
      </c>
      <c r="AC118" s="180">
        <f>订货1!BB119</f>
        <v>0</v>
      </c>
      <c r="AD118" s="180">
        <f>订货1!BC119</f>
        <v>0</v>
      </c>
      <c r="AE118" s="180">
        <f>订货1!BD119</f>
        <v>0</v>
      </c>
      <c r="AF118" s="180">
        <f>订货1!BE119</f>
        <v>0</v>
      </c>
      <c r="AG118" s="180">
        <f>订货1!BF119</f>
        <v>0</v>
      </c>
      <c r="AH118" s="176"/>
      <c r="AI118" s="178" t="e">
        <f>店铺收货台帐2!DE119</f>
        <v>#DIV/0!</v>
      </c>
    </row>
    <row r="119" spans="1:35" hidden="1">
      <c r="A119" s="37">
        <f>订货1!K120</f>
        <v>101775</v>
      </c>
      <c r="B119" s="37" t="str">
        <f>订货1!M120</f>
        <v>双裕速冻甜玉米粒</v>
      </c>
      <c r="C119" s="180">
        <f>订货1!AB120</f>
        <v>0</v>
      </c>
      <c r="D119" s="180">
        <f>订货1!AC120</f>
        <v>0</v>
      </c>
      <c r="E119" s="180">
        <f>订货1!AD120</f>
        <v>0</v>
      </c>
      <c r="F119" s="180">
        <f>订货1!AE120</f>
        <v>0</v>
      </c>
      <c r="G119" s="180">
        <f>订货1!AF120</f>
        <v>0</v>
      </c>
      <c r="H119" s="180">
        <f>订货1!AG120</f>
        <v>0</v>
      </c>
      <c r="I119" s="180">
        <f>订货1!AH120</f>
        <v>0</v>
      </c>
      <c r="J119" s="180">
        <f>订货1!AI120</f>
        <v>0</v>
      </c>
      <c r="K119" s="180">
        <f>订货1!AJ120</f>
        <v>0</v>
      </c>
      <c r="L119" s="180">
        <f>订货1!AK120</f>
        <v>0</v>
      </c>
      <c r="M119" s="180">
        <f>订货1!AL120</f>
        <v>0</v>
      </c>
      <c r="N119" s="180">
        <f>订货1!AM120</f>
        <v>0</v>
      </c>
      <c r="O119" s="180">
        <f>订货1!AN120</f>
        <v>0</v>
      </c>
      <c r="P119" s="180">
        <f>订货1!AO120</f>
        <v>0</v>
      </c>
      <c r="Q119" s="180">
        <f>订货1!AP120</f>
        <v>0</v>
      </c>
      <c r="R119" s="180">
        <f>订货1!AQ120</f>
        <v>0</v>
      </c>
      <c r="S119" s="180">
        <f>订货1!AR120</f>
        <v>0</v>
      </c>
      <c r="T119" s="180">
        <f>订货1!AS120</f>
        <v>0</v>
      </c>
      <c r="U119" s="180">
        <f>订货1!AT120</f>
        <v>0</v>
      </c>
      <c r="V119" s="180">
        <f>订货1!AU120</f>
        <v>0</v>
      </c>
      <c r="W119" s="180">
        <f>订货1!AV120</f>
        <v>0</v>
      </c>
      <c r="X119" s="180">
        <f>订货1!AW120</f>
        <v>0</v>
      </c>
      <c r="Y119" s="180">
        <f>订货1!AX120</f>
        <v>0</v>
      </c>
      <c r="Z119" s="180">
        <f>订货1!AY120</f>
        <v>0</v>
      </c>
      <c r="AA119" s="180">
        <f>订货1!AZ120</f>
        <v>0</v>
      </c>
      <c r="AB119" s="180">
        <f>订货1!BA120</f>
        <v>0</v>
      </c>
      <c r="AC119" s="180">
        <f>订货1!BB120</f>
        <v>0</v>
      </c>
      <c r="AD119" s="180">
        <f>订货1!BC120</f>
        <v>0</v>
      </c>
      <c r="AE119" s="180">
        <f>订货1!BD120</f>
        <v>0</v>
      </c>
      <c r="AF119" s="180">
        <f>订货1!BE120</f>
        <v>0</v>
      </c>
      <c r="AG119" s="180">
        <f>订货1!BF120</f>
        <v>0</v>
      </c>
      <c r="AH119" s="176"/>
      <c r="AI119" s="178" t="e">
        <f>店铺收货台帐2!DE120</f>
        <v>#DIV/0!</v>
      </c>
    </row>
    <row r="120" spans="1:35" hidden="1">
      <c r="A120" s="37">
        <f>订货1!K121</f>
        <v>101559</v>
      </c>
      <c r="B120" s="37" t="str">
        <f>订货1!M121</f>
        <v>妃群果芳红葡萄果汁饮料浓浆</v>
      </c>
      <c r="C120" s="180">
        <f>订货1!AB121</f>
        <v>0</v>
      </c>
      <c r="D120" s="180">
        <f>订货1!AC121</f>
        <v>0</v>
      </c>
      <c r="E120" s="180">
        <f>订货1!AD121</f>
        <v>0</v>
      </c>
      <c r="F120" s="180">
        <f>订货1!AE121</f>
        <v>0</v>
      </c>
      <c r="G120" s="180">
        <f>订货1!AF121</f>
        <v>0</v>
      </c>
      <c r="H120" s="180">
        <f>订货1!AG121</f>
        <v>0</v>
      </c>
      <c r="I120" s="180">
        <f>订货1!AH121</f>
        <v>0</v>
      </c>
      <c r="J120" s="180">
        <f>订货1!AI121</f>
        <v>0</v>
      </c>
      <c r="K120" s="180">
        <f>订货1!AJ121</f>
        <v>0</v>
      </c>
      <c r="L120" s="180">
        <f>订货1!AK121</f>
        <v>0</v>
      </c>
      <c r="M120" s="180">
        <f>订货1!AL121</f>
        <v>0</v>
      </c>
      <c r="N120" s="180">
        <f>订货1!AM121</f>
        <v>0</v>
      </c>
      <c r="O120" s="180">
        <f>订货1!AN121</f>
        <v>0</v>
      </c>
      <c r="P120" s="180">
        <f>订货1!AO121</f>
        <v>0</v>
      </c>
      <c r="Q120" s="180">
        <f>订货1!AP121</f>
        <v>0</v>
      </c>
      <c r="R120" s="180">
        <f>订货1!AQ121</f>
        <v>0</v>
      </c>
      <c r="S120" s="180">
        <f>订货1!AR121</f>
        <v>0</v>
      </c>
      <c r="T120" s="180">
        <f>订货1!AS121</f>
        <v>0</v>
      </c>
      <c r="U120" s="180">
        <f>订货1!AT121</f>
        <v>0</v>
      </c>
      <c r="V120" s="180">
        <f>订货1!AU121</f>
        <v>0</v>
      </c>
      <c r="W120" s="180">
        <f>订货1!AV121</f>
        <v>0</v>
      </c>
      <c r="X120" s="180">
        <f>订货1!AW121</f>
        <v>0</v>
      </c>
      <c r="Y120" s="180">
        <f>订货1!AX121</f>
        <v>0</v>
      </c>
      <c r="Z120" s="180">
        <f>订货1!AY121</f>
        <v>0</v>
      </c>
      <c r="AA120" s="180">
        <f>订货1!AZ121</f>
        <v>0</v>
      </c>
      <c r="AB120" s="180">
        <f>订货1!BA121</f>
        <v>0</v>
      </c>
      <c r="AC120" s="180">
        <f>订货1!BB121</f>
        <v>0</v>
      </c>
      <c r="AD120" s="180">
        <f>订货1!BC121</f>
        <v>0</v>
      </c>
      <c r="AE120" s="180">
        <f>订货1!BD121</f>
        <v>0</v>
      </c>
      <c r="AF120" s="180">
        <f>订货1!BE121</f>
        <v>0</v>
      </c>
      <c r="AG120" s="180">
        <f>订货1!BF121</f>
        <v>0</v>
      </c>
      <c r="AH120" s="176"/>
      <c r="AI120" s="178" t="e">
        <f>店铺收货台帐2!DE121</f>
        <v>#DIV/0!</v>
      </c>
    </row>
    <row r="121" spans="1:35" hidden="1">
      <c r="A121" s="37">
        <f>订货1!K122</f>
        <v>101560</v>
      </c>
      <c r="B121" s="37" t="str">
        <f>订货1!M122</f>
        <v>妃群果芳蔓越莓果汁饮料浓浆</v>
      </c>
      <c r="C121" s="180">
        <f>订货1!AB122</f>
        <v>0</v>
      </c>
      <c r="D121" s="180">
        <f>订货1!AC122</f>
        <v>0</v>
      </c>
      <c r="E121" s="180">
        <f>订货1!AD122</f>
        <v>0</v>
      </c>
      <c r="F121" s="180">
        <f>订货1!AE122</f>
        <v>0</v>
      </c>
      <c r="G121" s="180">
        <f>订货1!AF122</f>
        <v>0</v>
      </c>
      <c r="H121" s="180">
        <f>订货1!AG122</f>
        <v>0</v>
      </c>
      <c r="I121" s="180">
        <f>订货1!AH122</f>
        <v>0</v>
      </c>
      <c r="J121" s="180">
        <f>订货1!AI122</f>
        <v>0</v>
      </c>
      <c r="K121" s="180">
        <f>订货1!AJ122</f>
        <v>0</v>
      </c>
      <c r="L121" s="180">
        <f>订货1!AK122</f>
        <v>0</v>
      </c>
      <c r="M121" s="180">
        <f>订货1!AL122</f>
        <v>0</v>
      </c>
      <c r="N121" s="180">
        <f>订货1!AM122</f>
        <v>0</v>
      </c>
      <c r="O121" s="180">
        <f>订货1!AN122</f>
        <v>0</v>
      </c>
      <c r="P121" s="180">
        <f>订货1!AO122</f>
        <v>0</v>
      </c>
      <c r="Q121" s="180">
        <f>订货1!AP122</f>
        <v>0</v>
      </c>
      <c r="R121" s="180">
        <f>订货1!AQ122</f>
        <v>0</v>
      </c>
      <c r="S121" s="180">
        <f>订货1!AR122</f>
        <v>0</v>
      </c>
      <c r="T121" s="180">
        <f>订货1!AS122</f>
        <v>0</v>
      </c>
      <c r="U121" s="180">
        <f>订货1!AT122</f>
        <v>0</v>
      </c>
      <c r="V121" s="180">
        <f>订货1!AU122</f>
        <v>0</v>
      </c>
      <c r="W121" s="180">
        <f>订货1!AV122</f>
        <v>0</v>
      </c>
      <c r="X121" s="180">
        <f>订货1!AW122</f>
        <v>0</v>
      </c>
      <c r="Y121" s="180">
        <f>订货1!AX122</f>
        <v>0</v>
      </c>
      <c r="Z121" s="180">
        <f>订货1!AY122</f>
        <v>0</v>
      </c>
      <c r="AA121" s="180">
        <f>订货1!AZ122</f>
        <v>0</v>
      </c>
      <c r="AB121" s="180">
        <f>订货1!BA122</f>
        <v>0</v>
      </c>
      <c r="AC121" s="180">
        <f>订货1!BB122</f>
        <v>0</v>
      </c>
      <c r="AD121" s="180">
        <f>订货1!BC122</f>
        <v>0</v>
      </c>
      <c r="AE121" s="180">
        <f>订货1!BD122</f>
        <v>0</v>
      </c>
      <c r="AF121" s="180">
        <f>订货1!BE122</f>
        <v>0</v>
      </c>
      <c r="AG121" s="180">
        <f>订货1!BF122</f>
        <v>0</v>
      </c>
      <c r="AH121" s="176"/>
      <c r="AI121" s="178" t="e">
        <f>店铺收货台帐2!DE122</f>
        <v>#DIV/0!</v>
      </c>
    </row>
    <row r="122" spans="1:35" hidden="1">
      <c r="A122" s="37">
        <f>订货1!K123</f>
        <v>101561</v>
      </c>
      <c r="B122" s="37" t="str">
        <f>订货1!M123</f>
        <v>妃群果芳芒果果汁饮料浓浆</v>
      </c>
      <c r="C122" s="180">
        <f>订货1!AB123</f>
        <v>0</v>
      </c>
      <c r="D122" s="180">
        <f>订货1!AC123</f>
        <v>0</v>
      </c>
      <c r="E122" s="180">
        <f>订货1!AD123</f>
        <v>0</v>
      </c>
      <c r="F122" s="180">
        <f>订货1!AE123</f>
        <v>0</v>
      </c>
      <c r="G122" s="180">
        <f>订货1!AF123</f>
        <v>0</v>
      </c>
      <c r="H122" s="180">
        <f>订货1!AG123</f>
        <v>0</v>
      </c>
      <c r="I122" s="180">
        <f>订货1!AH123</f>
        <v>0</v>
      </c>
      <c r="J122" s="180">
        <f>订货1!AI123</f>
        <v>0</v>
      </c>
      <c r="K122" s="180">
        <f>订货1!AJ123</f>
        <v>0</v>
      </c>
      <c r="L122" s="180">
        <f>订货1!AK123</f>
        <v>0</v>
      </c>
      <c r="M122" s="180">
        <f>订货1!AL123</f>
        <v>0</v>
      </c>
      <c r="N122" s="180">
        <f>订货1!AM123</f>
        <v>0</v>
      </c>
      <c r="O122" s="180">
        <f>订货1!AN123</f>
        <v>0</v>
      </c>
      <c r="P122" s="180">
        <f>订货1!AO123</f>
        <v>0</v>
      </c>
      <c r="Q122" s="180">
        <f>订货1!AP123</f>
        <v>0</v>
      </c>
      <c r="R122" s="180">
        <f>订货1!AQ123</f>
        <v>0</v>
      </c>
      <c r="S122" s="180">
        <f>订货1!AR123</f>
        <v>0</v>
      </c>
      <c r="T122" s="180">
        <f>订货1!AS123</f>
        <v>0</v>
      </c>
      <c r="U122" s="180">
        <f>订货1!AT123</f>
        <v>0</v>
      </c>
      <c r="V122" s="180">
        <f>订货1!AU123</f>
        <v>0</v>
      </c>
      <c r="W122" s="180">
        <f>订货1!AV123</f>
        <v>0</v>
      </c>
      <c r="X122" s="180">
        <f>订货1!AW123</f>
        <v>0</v>
      </c>
      <c r="Y122" s="180">
        <f>订货1!AX123</f>
        <v>0</v>
      </c>
      <c r="Z122" s="180">
        <f>订货1!AY123</f>
        <v>0</v>
      </c>
      <c r="AA122" s="180">
        <f>订货1!AZ123</f>
        <v>0</v>
      </c>
      <c r="AB122" s="180">
        <f>订货1!BA123</f>
        <v>0</v>
      </c>
      <c r="AC122" s="180">
        <f>订货1!BB123</f>
        <v>0</v>
      </c>
      <c r="AD122" s="180">
        <f>订货1!BC123</f>
        <v>0</v>
      </c>
      <c r="AE122" s="180">
        <f>订货1!BD123</f>
        <v>0</v>
      </c>
      <c r="AF122" s="180">
        <f>订货1!BE123</f>
        <v>0</v>
      </c>
      <c r="AG122" s="180">
        <f>订货1!BF123</f>
        <v>0</v>
      </c>
      <c r="AH122" s="176"/>
      <c r="AI122" s="178" t="e">
        <f>店铺收货台帐2!DE123</f>
        <v>#DIV/0!</v>
      </c>
    </row>
    <row r="123" spans="1:35" hidden="1">
      <c r="A123" s="37">
        <f>订货1!K124</f>
        <v>101562</v>
      </c>
      <c r="B123" s="37" t="str">
        <f>订货1!M124</f>
        <v>妃群果芳柳橙果汁饮料浓浆</v>
      </c>
      <c r="C123" s="180">
        <f>订货1!AB124</f>
        <v>0</v>
      </c>
      <c r="D123" s="180">
        <f>订货1!AC124</f>
        <v>0</v>
      </c>
      <c r="E123" s="180">
        <f>订货1!AD124</f>
        <v>0</v>
      </c>
      <c r="F123" s="180">
        <f>订货1!AE124</f>
        <v>0</v>
      </c>
      <c r="G123" s="180">
        <f>订货1!AF124</f>
        <v>0</v>
      </c>
      <c r="H123" s="180">
        <f>订货1!AG124</f>
        <v>0</v>
      </c>
      <c r="I123" s="180">
        <f>订货1!AH124</f>
        <v>0</v>
      </c>
      <c r="J123" s="180">
        <f>订货1!AI124</f>
        <v>0</v>
      </c>
      <c r="K123" s="180">
        <f>订货1!AJ124</f>
        <v>0</v>
      </c>
      <c r="L123" s="180">
        <f>订货1!AK124</f>
        <v>0</v>
      </c>
      <c r="M123" s="180">
        <f>订货1!AL124</f>
        <v>0</v>
      </c>
      <c r="N123" s="180">
        <f>订货1!AM124</f>
        <v>0</v>
      </c>
      <c r="O123" s="180">
        <f>订货1!AN124</f>
        <v>0</v>
      </c>
      <c r="P123" s="180">
        <f>订货1!AO124</f>
        <v>0</v>
      </c>
      <c r="Q123" s="180">
        <f>订货1!AP124</f>
        <v>0</v>
      </c>
      <c r="R123" s="180">
        <f>订货1!AQ124</f>
        <v>0</v>
      </c>
      <c r="S123" s="180">
        <f>订货1!AR124</f>
        <v>0</v>
      </c>
      <c r="T123" s="180">
        <f>订货1!AS124</f>
        <v>0</v>
      </c>
      <c r="U123" s="180">
        <f>订货1!AT124</f>
        <v>0</v>
      </c>
      <c r="V123" s="180">
        <f>订货1!AU124</f>
        <v>0</v>
      </c>
      <c r="W123" s="180">
        <f>订货1!AV124</f>
        <v>0</v>
      </c>
      <c r="X123" s="180">
        <f>订货1!AW124</f>
        <v>0</v>
      </c>
      <c r="Y123" s="180">
        <f>订货1!AX124</f>
        <v>0</v>
      </c>
      <c r="Z123" s="180">
        <f>订货1!AY124</f>
        <v>0</v>
      </c>
      <c r="AA123" s="180">
        <f>订货1!AZ124</f>
        <v>0</v>
      </c>
      <c r="AB123" s="180">
        <f>订货1!BA124</f>
        <v>0</v>
      </c>
      <c r="AC123" s="180">
        <f>订货1!BB124</f>
        <v>0</v>
      </c>
      <c r="AD123" s="180">
        <f>订货1!BC124</f>
        <v>0</v>
      </c>
      <c r="AE123" s="180">
        <f>订货1!BD124</f>
        <v>0</v>
      </c>
      <c r="AF123" s="180">
        <f>订货1!BE124</f>
        <v>0</v>
      </c>
      <c r="AG123" s="180">
        <f>订货1!BF124</f>
        <v>0</v>
      </c>
      <c r="AH123" s="176"/>
      <c r="AI123" s="178" t="e">
        <f>店铺收货台帐2!DE124</f>
        <v>#DIV/0!</v>
      </c>
    </row>
    <row r="124" spans="1:35" hidden="1">
      <c r="A124" s="37">
        <f>订货1!K125</f>
        <v>101749</v>
      </c>
      <c r="B124" s="37" t="str">
        <f>订货1!M125</f>
        <v>白桃乌龙（茶饮浓缩液）</v>
      </c>
      <c r="C124" s="180">
        <f>订货1!AB125</f>
        <v>0</v>
      </c>
      <c r="D124" s="180">
        <f>订货1!AC125</f>
        <v>0</v>
      </c>
      <c r="E124" s="180">
        <f>订货1!AD125</f>
        <v>0</v>
      </c>
      <c r="F124" s="180">
        <f>订货1!AE125</f>
        <v>0</v>
      </c>
      <c r="G124" s="180">
        <f>订货1!AF125</f>
        <v>0</v>
      </c>
      <c r="H124" s="180">
        <f>订货1!AG125</f>
        <v>0</v>
      </c>
      <c r="I124" s="180">
        <f>订货1!AH125</f>
        <v>0</v>
      </c>
      <c r="J124" s="180">
        <f>订货1!AI125</f>
        <v>0</v>
      </c>
      <c r="K124" s="180">
        <f>订货1!AJ125</f>
        <v>0</v>
      </c>
      <c r="L124" s="180">
        <f>订货1!AK125</f>
        <v>0</v>
      </c>
      <c r="M124" s="180">
        <f>订货1!AL125</f>
        <v>0</v>
      </c>
      <c r="N124" s="180">
        <f>订货1!AM125</f>
        <v>0</v>
      </c>
      <c r="O124" s="180">
        <f>订货1!AN125</f>
        <v>0</v>
      </c>
      <c r="P124" s="180">
        <f>订货1!AO125</f>
        <v>0</v>
      </c>
      <c r="Q124" s="180">
        <f>订货1!AP125</f>
        <v>0</v>
      </c>
      <c r="R124" s="180">
        <f>订货1!AQ125</f>
        <v>0</v>
      </c>
      <c r="S124" s="180">
        <f>订货1!AR125</f>
        <v>0</v>
      </c>
      <c r="T124" s="180">
        <f>订货1!AS125</f>
        <v>0</v>
      </c>
      <c r="U124" s="180">
        <f>订货1!AT125</f>
        <v>0</v>
      </c>
      <c r="V124" s="180">
        <f>订货1!AU125</f>
        <v>0</v>
      </c>
      <c r="W124" s="180">
        <f>订货1!AV125</f>
        <v>0</v>
      </c>
      <c r="X124" s="180">
        <f>订货1!AW125</f>
        <v>0</v>
      </c>
      <c r="Y124" s="180">
        <f>订货1!AX125</f>
        <v>0</v>
      </c>
      <c r="Z124" s="180">
        <f>订货1!AY125</f>
        <v>0</v>
      </c>
      <c r="AA124" s="180">
        <f>订货1!AZ125</f>
        <v>0</v>
      </c>
      <c r="AB124" s="180">
        <f>订货1!BA125</f>
        <v>0</v>
      </c>
      <c r="AC124" s="180">
        <f>订货1!BB125</f>
        <v>0</v>
      </c>
      <c r="AD124" s="180">
        <f>订货1!BC125</f>
        <v>0</v>
      </c>
      <c r="AE124" s="180">
        <f>订货1!BD125</f>
        <v>0</v>
      </c>
      <c r="AF124" s="180">
        <f>订货1!BE125</f>
        <v>0</v>
      </c>
      <c r="AG124" s="180">
        <f>订货1!BF125</f>
        <v>0</v>
      </c>
      <c r="AH124" s="176"/>
      <c r="AI124" s="178" t="e">
        <f>店铺收货台帐2!DE125</f>
        <v>#DIV/0!</v>
      </c>
    </row>
    <row r="125" spans="1:35" hidden="1">
      <c r="A125" s="37">
        <f>订货1!K126</f>
        <v>101592</v>
      </c>
      <c r="B125" s="37" t="str">
        <f>订货1!M126</f>
        <v>柯万特酒庄蒂安诺干红葡萄酒</v>
      </c>
      <c r="C125" s="180">
        <f>订货1!AB126</f>
        <v>0</v>
      </c>
      <c r="D125" s="180">
        <f>订货1!AC126</f>
        <v>0</v>
      </c>
      <c r="E125" s="180">
        <f>订货1!AD126</f>
        <v>0</v>
      </c>
      <c r="F125" s="180">
        <f>订货1!AE126</f>
        <v>0</v>
      </c>
      <c r="G125" s="180">
        <f>订货1!AF126</f>
        <v>0</v>
      </c>
      <c r="H125" s="180">
        <f>订货1!AG126</f>
        <v>0</v>
      </c>
      <c r="I125" s="180">
        <f>订货1!AH126</f>
        <v>0</v>
      </c>
      <c r="J125" s="180">
        <f>订货1!AI126</f>
        <v>0</v>
      </c>
      <c r="K125" s="180">
        <f>订货1!AJ126</f>
        <v>0</v>
      </c>
      <c r="L125" s="180">
        <f>订货1!AK126</f>
        <v>0</v>
      </c>
      <c r="M125" s="180">
        <f>订货1!AL126</f>
        <v>0</v>
      </c>
      <c r="N125" s="180">
        <f>订货1!AM126</f>
        <v>0</v>
      </c>
      <c r="O125" s="180">
        <f>订货1!AN126</f>
        <v>0</v>
      </c>
      <c r="P125" s="180">
        <f>订货1!AO126</f>
        <v>0</v>
      </c>
      <c r="Q125" s="180">
        <f>订货1!AP126</f>
        <v>0</v>
      </c>
      <c r="R125" s="180">
        <f>订货1!AQ126</f>
        <v>0</v>
      </c>
      <c r="S125" s="180">
        <f>订货1!AR126</f>
        <v>0</v>
      </c>
      <c r="T125" s="180">
        <f>订货1!AS126</f>
        <v>0</v>
      </c>
      <c r="U125" s="180">
        <f>订货1!AT126</f>
        <v>0</v>
      </c>
      <c r="V125" s="180">
        <f>订货1!AU126</f>
        <v>0</v>
      </c>
      <c r="W125" s="180">
        <f>订货1!AV126</f>
        <v>0</v>
      </c>
      <c r="X125" s="180">
        <f>订货1!AW126</f>
        <v>0</v>
      </c>
      <c r="Y125" s="180">
        <f>订货1!AX126</f>
        <v>0</v>
      </c>
      <c r="Z125" s="180">
        <f>订货1!AY126</f>
        <v>0</v>
      </c>
      <c r="AA125" s="180">
        <f>订货1!AZ126</f>
        <v>0</v>
      </c>
      <c r="AB125" s="180">
        <f>订货1!BA126</f>
        <v>0</v>
      </c>
      <c r="AC125" s="180">
        <f>订货1!BB126</f>
        <v>0</v>
      </c>
      <c r="AD125" s="180">
        <f>订货1!BC126</f>
        <v>0</v>
      </c>
      <c r="AE125" s="180">
        <f>订货1!BD126</f>
        <v>0</v>
      </c>
      <c r="AF125" s="180">
        <f>订货1!BE126</f>
        <v>0</v>
      </c>
      <c r="AG125" s="180">
        <f>订货1!BF126</f>
        <v>0</v>
      </c>
      <c r="AH125" s="176"/>
      <c r="AI125" s="178" t="e">
        <f>店铺收货台帐2!DE126</f>
        <v>#DIV/0!</v>
      </c>
    </row>
    <row r="126" spans="1:35" hidden="1">
      <c r="A126" s="37">
        <f>订货1!K127</f>
        <v>101598</v>
      </c>
      <c r="B126" s="37" t="str">
        <f>订货1!M127</f>
        <v>辣西西里-披萨调味酱</v>
      </c>
      <c r="C126" s="180">
        <f>订货1!AB127</f>
        <v>0</v>
      </c>
      <c r="D126" s="180">
        <f>订货1!AC127</f>
        <v>0</v>
      </c>
      <c r="E126" s="180">
        <f>订货1!AD127</f>
        <v>0</v>
      </c>
      <c r="F126" s="180">
        <f>订货1!AE127</f>
        <v>0</v>
      </c>
      <c r="G126" s="180">
        <f>订货1!AF127</f>
        <v>1</v>
      </c>
      <c r="H126" s="180">
        <f>订货1!AG127</f>
        <v>0</v>
      </c>
      <c r="I126" s="180">
        <f>订货1!AH127</f>
        <v>0</v>
      </c>
      <c r="J126" s="180">
        <f>订货1!AI127</f>
        <v>0</v>
      </c>
      <c r="K126" s="180">
        <f>订货1!AJ127</f>
        <v>0</v>
      </c>
      <c r="L126" s="180">
        <f>订货1!AK127</f>
        <v>0</v>
      </c>
      <c r="M126" s="180">
        <f>订货1!AL127</f>
        <v>0</v>
      </c>
      <c r="N126" s="180">
        <f>订货1!AM127</f>
        <v>0</v>
      </c>
      <c r="O126" s="180">
        <f>订货1!AN127</f>
        <v>0</v>
      </c>
      <c r="P126" s="180">
        <f>订货1!AO127</f>
        <v>1</v>
      </c>
      <c r="Q126" s="180">
        <f>订货1!AP127</f>
        <v>0</v>
      </c>
      <c r="R126" s="180">
        <f>订货1!AQ127</f>
        <v>0</v>
      </c>
      <c r="S126" s="180">
        <f>订货1!AR127</f>
        <v>0</v>
      </c>
      <c r="T126" s="180">
        <f>订货1!AS127</f>
        <v>0</v>
      </c>
      <c r="U126" s="180">
        <f>订货1!AT127</f>
        <v>0</v>
      </c>
      <c r="V126" s="180">
        <f>订货1!AU127</f>
        <v>0</v>
      </c>
      <c r="W126" s="180">
        <f>订货1!AV127</f>
        <v>0</v>
      </c>
      <c r="X126" s="180">
        <f>订货1!AW127</f>
        <v>0</v>
      </c>
      <c r="Y126" s="180">
        <f>订货1!AX127</f>
        <v>0</v>
      </c>
      <c r="Z126" s="180">
        <f>订货1!AY127</f>
        <v>0</v>
      </c>
      <c r="AA126" s="180">
        <f>订货1!AZ127</f>
        <v>0</v>
      </c>
      <c r="AB126" s="180">
        <f>订货1!BA127</f>
        <v>0</v>
      </c>
      <c r="AC126" s="180">
        <f>订货1!BB127</f>
        <v>0</v>
      </c>
      <c r="AD126" s="180">
        <f>订货1!BC127</f>
        <v>0</v>
      </c>
      <c r="AE126" s="180">
        <f>订货1!BD127</f>
        <v>0</v>
      </c>
      <c r="AF126" s="180">
        <f>订货1!BE127</f>
        <v>0</v>
      </c>
      <c r="AG126" s="180">
        <f>订货1!BF127</f>
        <v>0</v>
      </c>
      <c r="AH126" s="176"/>
      <c r="AI126" s="178" t="e">
        <f>店铺收货台帐2!DE127</f>
        <v>#DIV/0!</v>
      </c>
    </row>
    <row r="127" spans="1:35" hidden="1">
      <c r="A127" s="37">
        <f>订货1!K128</f>
        <v>101593</v>
      </c>
      <c r="B127" s="37" t="str">
        <f>订货1!M128</f>
        <v>城堡酒庄卡尔卡耐卡干白葡萄酒</v>
      </c>
      <c r="C127" s="180">
        <f>订货1!AB128</f>
        <v>0</v>
      </c>
      <c r="D127" s="180">
        <f>订货1!AC128</f>
        <v>0</v>
      </c>
      <c r="E127" s="180">
        <f>订货1!AD128</f>
        <v>0</v>
      </c>
      <c r="F127" s="180">
        <f>订货1!AE128</f>
        <v>0</v>
      </c>
      <c r="G127" s="180">
        <f>订货1!AF128</f>
        <v>0</v>
      </c>
      <c r="H127" s="180">
        <f>订货1!AG128</f>
        <v>0</v>
      </c>
      <c r="I127" s="180">
        <f>订货1!AH128</f>
        <v>0</v>
      </c>
      <c r="J127" s="180">
        <f>订货1!AI128</f>
        <v>0</v>
      </c>
      <c r="K127" s="180">
        <f>订货1!AJ128</f>
        <v>0</v>
      </c>
      <c r="L127" s="180">
        <f>订货1!AK128</f>
        <v>0</v>
      </c>
      <c r="M127" s="180">
        <f>订货1!AL128</f>
        <v>1</v>
      </c>
      <c r="N127" s="180">
        <f>订货1!AM128</f>
        <v>0</v>
      </c>
      <c r="O127" s="180">
        <f>订货1!AN128</f>
        <v>0</v>
      </c>
      <c r="P127" s="180">
        <f>订货1!AO128</f>
        <v>0</v>
      </c>
      <c r="Q127" s="180">
        <f>订货1!AP128</f>
        <v>0</v>
      </c>
      <c r="R127" s="180">
        <f>订货1!AQ128</f>
        <v>0</v>
      </c>
      <c r="S127" s="180">
        <f>订货1!AR128</f>
        <v>0</v>
      </c>
      <c r="T127" s="180">
        <f>订货1!AS128</f>
        <v>0</v>
      </c>
      <c r="U127" s="180">
        <f>订货1!AT128</f>
        <v>0</v>
      </c>
      <c r="V127" s="180">
        <f>订货1!AU128</f>
        <v>0</v>
      </c>
      <c r="W127" s="180">
        <f>订货1!AV128</f>
        <v>0</v>
      </c>
      <c r="X127" s="180">
        <f>订货1!AW128</f>
        <v>0</v>
      </c>
      <c r="Y127" s="180">
        <f>订货1!AX128</f>
        <v>0</v>
      </c>
      <c r="Z127" s="180">
        <f>订货1!AY128</f>
        <v>0</v>
      </c>
      <c r="AA127" s="180">
        <f>订货1!AZ128</f>
        <v>0</v>
      </c>
      <c r="AB127" s="180">
        <f>订货1!BA128</f>
        <v>0</v>
      </c>
      <c r="AC127" s="180">
        <f>订货1!BB128</f>
        <v>0</v>
      </c>
      <c r="AD127" s="180">
        <f>订货1!BC128</f>
        <v>0</v>
      </c>
      <c r="AE127" s="180">
        <f>订货1!BD128</f>
        <v>0</v>
      </c>
      <c r="AF127" s="180">
        <f>订货1!BE128</f>
        <v>0</v>
      </c>
      <c r="AG127" s="180">
        <f>订货1!BF128</f>
        <v>0</v>
      </c>
      <c r="AH127" s="176"/>
      <c r="AI127" s="178" t="e">
        <f>店铺收货台帐2!DE128</f>
        <v>#DIV/0!</v>
      </c>
    </row>
    <row r="128" spans="1:35" hidden="1">
      <c r="A128" s="37">
        <f>订货1!K129</f>
        <v>700001</v>
      </c>
      <c r="B128" s="37" t="str">
        <f>订货1!M129</f>
        <v>可口可乐糖浆</v>
      </c>
      <c r="C128" s="180">
        <f>订货1!AB129</f>
        <v>0</v>
      </c>
      <c r="D128" s="180">
        <f>订货1!AC129</f>
        <v>0</v>
      </c>
      <c r="E128" s="180">
        <f>订货1!AD129</f>
        <v>0</v>
      </c>
      <c r="F128" s="180">
        <f>订货1!AE129</f>
        <v>0</v>
      </c>
      <c r="G128" s="180">
        <f>订货1!AF129</f>
        <v>0</v>
      </c>
      <c r="H128" s="180">
        <f>订货1!AG129</f>
        <v>0</v>
      </c>
      <c r="I128" s="180">
        <f>订货1!AH129</f>
        <v>0</v>
      </c>
      <c r="J128" s="180">
        <f>订货1!AI129</f>
        <v>0</v>
      </c>
      <c r="K128" s="180">
        <f>订货1!AJ129</f>
        <v>0</v>
      </c>
      <c r="L128" s="180">
        <f>订货1!AK129</f>
        <v>0</v>
      </c>
      <c r="M128" s="180">
        <f>订货1!AL129</f>
        <v>0</v>
      </c>
      <c r="N128" s="180">
        <f>订货1!AM129</f>
        <v>0</v>
      </c>
      <c r="O128" s="180">
        <f>订货1!AN129</f>
        <v>0</v>
      </c>
      <c r="P128" s="180">
        <f>订货1!AO129</f>
        <v>0</v>
      </c>
      <c r="Q128" s="180">
        <f>订货1!AP129</f>
        <v>0</v>
      </c>
      <c r="R128" s="180">
        <f>订货1!AQ129</f>
        <v>0</v>
      </c>
      <c r="S128" s="180">
        <f>订货1!AR129</f>
        <v>0</v>
      </c>
      <c r="T128" s="180">
        <f>订货1!AS129</f>
        <v>0</v>
      </c>
      <c r="U128" s="180">
        <f>订货1!AT129</f>
        <v>0</v>
      </c>
      <c r="V128" s="180">
        <f>订货1!AU129</f>
        <v>0</v>
      </c>
      <c r="W128" s="180">
        <f>订货1!AV129</f>
        <v>0</v>
      </c>
      <c r="X128" s="180">
        <f>订货1!AW129</f>
        <v>0</v>
      </c>
      <c r="Y128" s="180">
        <f>订货1!AX129</f>
        <v>0</v>
      </c>
      <c r="Z128" s="180">
        <f>订货1!AY129</f>
        <v>0</v>
      </c>
      <c r="AA128" s="180">
        <f>订货1!AZ129</f>
        <v>0</v>
      </c>
      <c r="AB128" s="180">
        <f>订货1!BA129</f>
        <v>0</v>
      </c>
      <c r="AC128" s="180">
        <f>订货1!BB129</f>
        <v>0</v>
      </c>
      <c r="AD128" s="180">
        <f>订货1!BC129</f>
        <v>0</v>
      </c>
      <c r="AE128" s="180">
        <f>订货1!BD129</f>
        <v>0</v>
      </c>
      <c r="AF128" s="180">
        <f>订货1!BE129</f>
        <v>0</v>
      </c>
      <c r="AG128" s="180">
        <f>订货1!BF129</f>
        <v>0</v>
      </c>
      <c r="AH128" s="176"/>
      <c r="AI128" s="178" t="e">
        <f>店铺收货台帐2!DE129</f>
        <v>#DIV/0!</v>
      </c>
    </row>
    <row r="129" spans="1:35" hidden="1">
      <c r="A129" s="37">
        <f>订货1!K130</f>
        <v>700002</v>
      </c>
      <c r="B129" s="37" t="str">
        <f>订货1!M130</f>
        <v>雪碧糖浆</v>
      </c>
      <c r="C129" s="180">
        <f>订货1!AB130</f>
        <v>0</v>
      </c>
      <c r="D129" s="180">
        <f>订货1!AC130</f>
        <v>0</v>
      </c>
      <c r="E129" s="180">
        <f>订货1!AD130</f>
        <v>0</v>
      </c>
      <c r="F129" s="180">
        <f>订货1!AE130</f>
        <v>0</v>
      </c>
      <c r="G129" s="180">
        <f>订货1!AF130</f>
        <v>0</v>
      </c>
      <c r="H129" s="180">
        <f>订货1!AG130</f>
        <v>0</v>
      </c>
      <c r="I129" s="180">
        <f>订货1!AH130</f>
        <v>0</v>
      </c>
      <c r="J129" s="180">
        <f>订货1!AI130</f>
        <v>0</v>
      </c>
      <c r="K129" s="180">
        <f>订货1!AJ130</f>
        <v>0</v>
      </c>
      <c r="L129" s="180">
        <f>订货1!AK130</f>
        <v>0</v>
      </c>
      <c r="M129" s="180">
        <f>订货1!AL130</f>
        <v>0</v>
      </c>
      <c r="N129" s="180">
        <f>订货1!AM130</f>
        <v>0</v>
      </c>
      <c r="O129" s="180">
        <f>订货1!AN130</f>
        <v>0</v>
      </c>
      <c r="P129" s="180">
        <f>订货1!AO130</f>
        <v>0</v>
      </c>
      <c r="Q129" s="180">
        <f>订货1!AP130</f>
        <v>0</v>
      </c>
      <c r="R129" s="180">
        <f>订货1!AQ130</f>
        <v>0</v>
      </c>
      <c r="S129" s="180">
        <f>订货1!AR130</f>
        <v>0</v>
      </c>
      <c r="T129" s="180">
        <f>订货1!AS130</f>
        <v>0</v>
      </c>
      <c r="U129" s="180">
        <f>订货1!AT130</f>
        <v>0</v>
      </c>
      <c r="V129" s="180">
        <f>订货1!AU130</f>
        <v>0</v>
      </c>
      <c r="W129" s="180">
        <f>订货1!AV130</f>
        <v>0</v>
      </c>
      <c r="X129" s="180">
        <f>订货1!AW130</f>
        <v>0</v>
      </c>
      <c r="Y129" s="180">
        <f>订货1!AX130</f>
        <v>0</v>
      </c>
      <c r="Z129" s="180">
        <f>订货1!AY130</f>
        <v>0</v>
      </c>
      <c r="AA129" s="180">
        <f>订货1!AZ130</f>
        <v>0</v>
      </c>
      <c r="AB129" s="180">
        <f>订货1!BA130</f>
        <v>0</v>
      </c>
      <c r="AC129" s="180">
        <f>订货1!BB130</f>
        <v>0</v>
      </c>
      <c r="AD129" s="180">
        <f>订货1!BC130</f>
        <v>0</v>
      </c>
      <c r="AE129" s="180">
        <f>订货1!BD130</f>
        <v>0</v>
      </c>
      <c r="AF129" s="180">
        <f>订货1!BE130</f>
        <v>0</v>
      </c>
      <c r="AG129" s="180">
        <f>订货1!BF130</f>
        <v>0</v>
      </c>
      <c r="AH129" s="176"/>
      <c r="AI129" s="178" t="e">
        <f>店铺收货台帐2!DE130</f>
        <v>#DIV/0!</v>
      </c>
    </row>
    <row r="130" spans="1:35" hidden="1">
      <c r="A130" s="37">
        <f>订货1!K131</f>
        <v>700003</v>
      </c>
      <c r="B130" s="37" t="str">
        <f>订货1!M131</f>
        <v>芬达橙汁糖浆</v>
      </c>
      <c r="C130" s="180">
        <f>订货1!AB131</f>
        <v>0</v>
      </c>
      <c r="D130" s="180">
        <f>订货1!AC131</f>
        <v>0</v>
      </c>
      <c r="E130" s="180">
        <f>订货1!AD131</f>
        <v>0</v>
      </c>
      <c r="F130" s="180">
        <f>订货1!AE131</f>
        <v>0</v>
      </c>
      <c r="G130" s="180">
        <f>订货1!AF131</f>
        <v>0</v>
      </c>
      <c r="H130" s="180">
        <f>订货1!AG131</f>
        <v>0</v>
      </c>
      <c r="I130" s="180">
        <f>订货1!AH131</f>
        <v>0</v>
      </c>
      <c r="J130" s="180">
        <f>订货1!AI131</f>
        <v>0</v>
      </c>
      <c r="K130" s="180">
        <f>订货1!AJ131</f>
        <v>0</v>
      </c>
      <c r="L130" s="180">
        <f>订货1!AK131</f>
        <v>0</v>
      </c>
      <c r="M130" s="180">
        <f>订货1!AL131</f>
        <v>0</v>
      </c>
      <c r="N130" s="180">
        <f>订货1!AM131</f>
        <v>0</v>
      </c>
      <c r="O130" s="180">
        <f>订货1!AN131</f>
        <v>0</v>
      </c>
      <c r="P130" s="180">
        <f>订货1!AO131</f>
        <v>0</v>
      </c>
      <c r="Q130" s="180">
        <f>订货1!AP131</f>
        <v>0</v>
      </c>
      <c r="R130" s="180">
        <f>订货1!AQ131</f>
        <v>0</v>
      </c>
      <c r="S130" s="180">
        <f>订货1!AR131</f>
        <v>0</v>
      </c>
      <c r="T130" s="180">
        <f>订货1!AS131</f>
        <v>0</v>
      </c>
      <c r="U130" s="180">
        <f>订货1!AT131</f>
        <v>0</v>
      </c>
      <c r="V130" s="180">
        <f>订货1!AU131</f>
        <v>0</v>
      </c>
      <c r="W130" s="180">
        <f>订货1!AV131</f>
        <v>0</v>
      </c>
      <c r="X130" s="180">
        <f>订货1!AW131</f>
        <v>0</v>
      </c>
      <c r="Y130" s="180">
        <f>订货1!AX131</f>
        <v>0</v>
      </c>
      <c r="Z130" s="180">
        <f>订货1!AY131</f>
        <v>0</v>
      </c>
      <c r="AA130" s="180">
        <f>订货1!AZ131</f>
        <v>0</v>
      </c>
      <c r="AB130" s="180">
        <f>订货1!BA131</f>
        <v>0</v>
      </c>
      <c r="AC130" s="180">
        <f>订货1!BB131</f>
        <v>0</v>
      </c>
      <c r="AD130" s="180">
        <f>订货1!BC131</f>
        <v>0</v>
      </c>
      <c r="AE130" s="180">
        <f>订货1!BD131</f>
        <v>0</v>
      </c>
      <c r="AF130" s="180">
        <f>订货1!BE131</f>
        <v>0</v>
      </c>
      <c r="AG130" s="180">
        <f>订货1!BF131</f>
        <v>0</v>
      </c>
      <c r="AH130" s="176"/>
      <c r="AI130" s="178" t="e">
        <f>店铺收货台帐2!DE131</f>
        <v>#DIV/0!</v>
      </c>
    </row>
    <row r="131" spans="1:35" hidden="1">
      <c r="A131" s="37">
        <f>订货1!K132</f>
        <v>700004</v>
      </c>
      <c r="B131" s="37" t="str">
        <f>订货1!M132</f>
        <v>飞想柠檬红茶</v>
      </c>
      <c r="C131" s="180">
        <f>订货1!AB132</f>
        <v>0</v>
      </c>
      <c r="D131" s="180">
        <f>订货1!AC132</f>
        <v>0</v>
      </c>
      <c r="E131" s="180">
        <f>订货1!AD132</f>
        <v>0</v>
      </c>
      <c r="F131" s="180">
        <f>订货1!AE132</f>
        <v>0</v>
      </c>
      <c r="G131" s="180">
        <f>订货1!AF132</f>
        <v>0</v>
      </c>
      <c r="H131" s="180">
        <f>订货1!AG132</f>
        <v>0</v>
      </c>
      <c r="I131" s="180">
        <f>订货1!AH132</f>
        <v>0</v>
      </c>
      <c r="J131" s="180">
        <f>订货1!AI132</f>
        <v>0</v>
      </c>
      <c r="K131" s="180">
        <f>订货1!AJ132</f>
        <v>0</v>
      </c>
      <c r="L131" s="180">
        <f>订货1!AK132</f>
        <v>0</v>
      </c>
      <c r="M131" s="180">
        <f>订货1!AL132</f>
        <v>0</v>
      </c>
      <c r="N131" s="180">
        <f>订货1!AM132</f>
        <v>0</v>
      </c>
      <c r="O131" s="180">
        <f>订货1!AN132</f>
        <v>0</v>
      </c>
      <c r="P131" s="180">
        <f>订货1!AO132</f>
        <v>0</v>
      </c>
      <c r="Q131" s="180">
        <f>订货1!AP132</f>
        <v>0</v>
      </c>
      <c r="R131" s="180">
        <f>订货1!AQ132</f>
        <v>0</v>
      </c>
      <c r="S131" s="180">
        <f>订货1!AR132</f>
        <v>0</v>
      </c>
      <c r="T131" s="180">
        <f>订货1!AS132</f>
        <v>0</v>
      </c>
      <c r="U131" s="180">
        <f>订货1!AT132</f>
        <v>0</v>
      </c>
      <c r="V131" s="180">
        <f>订货1!AU132</f>
        <v>0</v>
      </c>
      <c r="W131" s="180">
        <f>订货1!AV132</f>
        <v>0</v>
      </c>
      <c r="X131" s="180">
        <f>订货1!AW132</f>
        <v>0</v>
      </c>
      <c r="Y131" s="180">
        <f>订货1!AX132</f>
        <v>0</v>
      </c>
      <c r="Z131" s="180">
        <f>订货1!AY132</f>
        <v>0</v>
      </c>
      <c r="AA131" s="180">
        <f>订货1!AZ132</f>
        <v>0</v>
      </c>
      <c r="AB131" s="180">
        <f>订货1!BA132</f>
        <v>0</v>
      </c>
      <c r="AC131" s="180">
        <f>订货1!BB132</f>
        <v>0</v>
      </c>
      <c r="AD131" s="180">
        <f>订货1!BC132</f>
        <v>0</v>
      </c>
      <c r="AE131" s="180">
        <f>订货1!BD132</f>
        <v>0</v>
      </c>
      <c r="AF131" s="180">
        <f>订货1!BE132</f>
        <v>0</v>
      </c>
      <c r="AG131" s="180">
        <f>订货1!BF132</f>
        <v>0</v>
      </c>
      <c r="AH131" s="176"/>
      <c r="AI131" s="178" t="e">
        <f>店铺收货台帐2!DE132</f>
        <v>#DIV/0!</v>
      </c>
    </row>
    <row r="132" spans="1:35" hidden="1">
      <c r="A132" s="37">
        <f>订货1!K133</f>
        <v>700006</v>
      </c>
      <c r="B132" s="37" t="str">
        <f>订货1!M133</f>
        <v>零度可乐糖浆</v>
      </c>
      <c r="C132" s="180">
        <f>订货1!AB133</f>
        <v>0</v>
      </c>
      <c r="D132" s="180">
        <f>订货1!AC133</f>
        <v>0</v>
      </c>
      <c r="E132" s="180">
        <f>订货1!AD133</f>
        <v>0</v>
      </c>
      <c r="F132" s="180">
        <f>订货1!AE133</f>
        <v>0</v>
      </c>
      <c r="G132" s="180">
        <f>订货1!AF133</f>
        <v>0</v>
      </c>
      <c r="H132" s="180">
        <f>订货1!AG133</f>
        <v>0</v>
      </c>
      <c r="I132" s="180">
        <f>订货1!AH133</f>
        <v>0</v>
      </c>
      <c r="J132" s="180">
        <f>订货1!AI133</f>
        <v>0</v>
      </c>
      <c r="K132" s="180">
        <f>订货1!AJ133</f>
        <v>0</v>
      </c>
      <c r="L132" s="180">
        <f>订货1!AK133</f>
        <v>0</v>
      </c>
      <c r="M132" s="180">
        <f>订货1!AL133</f>
        <v>0</v>
      </c>
      <c r="N132" s="180">
        <f>订货1!AM133</f>
        <v>0</v>
      </c>
      <c r="O132" s="180">
        <f>订货1!AN133</f>
        <v>0</v>
      </c>
      <c r="P132" s="180">
        <f>订货1!AO133</f>
        <v>0</v>
      </c>
      <c r="Q132" s="180">
        <f>订货1!AP133</f>
        <v>0</v>
      </c>
      <c r="R132" s="180">
        <f>订货1!AQ133</f>
        <v>0</v>
      </c>
      <c r="S132" s="180">
        <f>订货1!AR133</f>
        <v>0</v>
      </c>
      <c r="T132" s="180">
        <f>订货1!AS133</f>
        <v>0</v>
      </c>
      <c r="U132" s="180">
        <f>订货1!AT133</f>
        <v>0</v>
      </c>
      <c r="V132" s="180">
        <f>订货1!AU133</f>
        <v>0</v>
      </c>
      <c r="W132" s="180">
        <f>订货1!AV133</f>
        <v>0</v>
      </c>
      <c r="X132" s="180">
        <f>订货1!AW133</f>
        <v>0</v>
      </c>
      <c r="Y132" s="180">
        <f>订货1!AX133</f>
        <v>0</v>
      </c>
      <c r="Z132" s="180">
        <f>订货1!AY133</f>
        <v>0</v>
      </c>
      <c r="AA132" s="180">
        <f>订货1!AZ133</f>
        <v>0</v>
      </c>
      <c r="AB132" s="180">
        <f>订货1!BA133</f>
        <v>0</v>
      </c>
      <c r="AC132" s="180">
        <f>订货1!BB133</f>
        <v>0</v>
      </c>
      <c r="AD132" s="180">
        <f>订货1!BC133</f>
        <v>0</v>
      </c>
      <c r="AE132" s="180">
        <f>订货1!BD133</f>
        <v>0</v>
      </c>
      <c r="AF132" s="180">
        <f>订货1!BE133</f>
        <v>0</v>
      </c>
      <c r="AG132" s="180">
        <f>订货1!BF133</f>
        <v>0</v>
      </c>
      <c r="AH132" s="176"/>
      <c r="AI132" s="178" t="e">
        <f>店铺收货台帐2!DE133</f>
        <v>#DIV/0!</v>
      </c>
    </row>
    <row r="133" spans="1:35" hidden="1">
      <c r="A133" s="37">
        <f>订货1!K134</f>
        <v>700005</v>
      </c>
      <c r="B133" s="37" t="str">
        <f>订货1!M134</f>
        <v>中萃碳酸（仅限南京店用）</v>
      </c>
      <c r="C133" s="180">
        <f>订货1!AB134</f>
        <v>0</v>
      </c>
      <c r="D133" s="180">
        <f>订货1!AC134</f>
        <v>0</v>
      </c>
      <c r="E133" s="180">
        <f>订货1!AD134</f>
        <v>0</v>
      </c>
      <c r="F133" s="180">
        <f>订货1!AE134</f>
        <v>0</v>
      </c>
      <c r="G133" s="180">
        <f>订货1!AF134</f>
        <v>0</v>
      </c>
      <c r="H133" s="180">
        <f>订货1!AG134</f>
        <v>0</v>
      </c>
      <c r="I133" s="180">
        <f>订货1!AH134</f>
        <v>0</v>
      </c>
      <c r="J133" s="180">
        <f>订货1!AI134</f>
        <v>0</v>
      </c>
      <c r="K133" s="180">
        <f>订货1!AJ134</f>
        <v>0</v>
      </c>
      <c r="L133" s="180">
        <f>订货1!AK134</f>
        <v>0</v>
      </c>
      <c r="M133" s="180">
        <f>订货1!AL134</f>
        <v>0</v>
      </c>
      <c r="N133" s="180">
        <f>订货1!AM134</f>
        <v>0</v>
      </c>
      <c r="O133" s="180">
        <f>订货1!AN134</f>
        <v>0</v>
      </c>
      <c r="P133" s="180">
        <f>订货1!AO134</f>
        <v>0</v>
      </c>
      <c r="Q133" s="180">
        <f>订货1!AP134</f>
        <v>0</v>
      </c>
      <c r="R133" s="180">
        <f>订货1!AQ134</f>
        <v>0</v>
      </c>
      <c r="S133" s="180">
        <f>订货1!AR134</f>
        <v>0</v>
      </c>
      <c r="T133" s="180">
        <f>订货1!AS134</f>
        <v>0</v>
      </c>
      <c r="U133" s="180">
        <f>订货1!AT134</f>
        <v>0</v>
      </c>
      <c r="V133" s="180">
        <f>订货1!AU134</f>
        <v>0</v>
      </c>
      <c r="W133" s="180">
        <f>订货1!AV134</f>
        <v>0</v>
      </c>
      <c r="X133" s="180">
        <f>订货1!AW134</f>
        <v>0</v>
      </c>
      <c r="Y133" s="180">
        <f>订货1!AX134</f>
        <v>0</v>
      </c>
      <c r="Z133" s="180">
        <f>订货1!AY134</f>
        <v>0</v>
      </c>
      <c r="AA133" s="180">
        <f>订货1!AZ134</f>
        <v>0</v>
      </c>
      <c r="AB133" s="180">
        <f>订货1!BA134</f>
        <v>0</v>
      </c>
      <c r="AC133" s="180">
        <f>订货1!BB134</f>
        <v>0</v>
      </c>
      <c r="AD133" s="180">
        <f>订货1!BC134</f>
        <v>0</v>
      </c>
      <c r="AE133" s="180">
        <f>订货1!BD134</f>
        <v>0</v>
      </c>
      <c r="AF133" s="180">
        <f>订货1!BE134</f>
        <v>0</v>
      </c>
      <c r="AG133" s="180">
        <f>订货1!BF134</f>
        <v>0</v>
      </c>
      <c r="AH133" s="176"/>
      <c r="AI133" s="178" t="e">
        <f>店铺收货台帐2!DE134</f>
        <v>#DIV/0!</v>
      </c>
    </row>
    <row r="134" spans="1:35" hidden="1">
      <c r="A134" s="37">
        <f>订货1!K135</f>
        <v>101696</v>
      </c>
      <c r="B134" s="37" t="str">
        <f>订货1!M135</f>
        <v>凯达冷冻圆形薯饼</v>
      </c>
      <c r="C134" s="180">
        <f>订货1!AB135</f>
        <v>0</v>
      </c>
      <c r="D134" s="180">
        <f>订货1!AC135</f>
        <v>0</v>
      </c>
      <c r="E134" s="180">
        <f>订货1!AD135</f>
        <v>0</v>
      </c>
      <c r="F134" s="180">
        <f>订货1!AE135</f>
        <v>0</v>
      </c>
      <c r="G134" s="180">
        <f>订货1!AF135</f>
        <v>0</v>
      </c>
      <c r="H134" s="180">
        <f>订货1!AG135</f>
        <v>0</v>
      </c>
      <c r="I134" s="180">
        <f>订货1!AH135</f>
        <v>0</v>
      </c>
      <c r="J134" s="180">
        <f>订货1!AI135</f>
        <v>0</v>
      </c>
      <c r="K134" s="180">
        <f>订货1!AJ135</f>
        <v>0</v>
      </c>
      <c r="L134" s="180">
        <f>订货1!AK135</f>
        <v>0</v>
      </c>
      <c r="M134" s="180">
        <f>订货1!AL135</f>
        <v>0</v>
      </c>
      <c r="N134" s="180">
        <f>订货1!AM135</f>
        <v>0</v>
      </c>
      <c r="O134" s="180">
        <f>订货1!AN135</f>
        <v>0</v>
      </c>
      <c r="P134" s="180">
        <f>订货1!AO135</f>
        <v>0</v>
      </c>
      <c r="Q134" s="180">
        <f>订货1!AP135</f>
        <v>0</v>
      </c>
      <c r="R134" s="180">
        <f>订货1!AQ135</f>
        <v>0</v>
      </c>
      <c r="S134" s="180">
        <f>订货1!AR135</f>
        <v>0</v>
      </c>
      <c r="T134" s="180">
        <f>订货1!AS135</f>
        <v>0</v>
      </c>
      <c r="U134" s="180">
        <f>订货1!AT135</f>
        <v>0</v>
      </c>
      <c r="V134" s="180">
        <f>订货1!AU135</f>
        <v>0</v>
      </c>
      <c r="W134" s="180">
        <f>订货1!AV135</f>
        <v>0</v>
      </c>
      <c r="X134" s="180">
        <f>订货1!AW135</f>
        <v>0</v>
      </c>
      <c r="Y134" s="180">
        <f>订货1!AX135</f>
        <v>0</v>
      </c>
      <c r="Z134" s="180">
        <f>订货1!AY135</f>
        <v>0</v>
      </c>
      <c r="AA134" s="180">
        <f>订货1!AZ135</f>
        <v>0</v>
      </c>
      <c r="AB134" s="180">
        <f>订货1!BA135</f>
        <v>0</v>
      </c>
      <c r="AC134" s="180">
        <f>订货1!BB135</f>
        <v>0</v>
      </c>
      <c r="AD134" s="180">
        <f>订货1!BC135</f>
        <v>0</v>
      </c>
      <c r="AE134" s="180">
        <f>订货1!BD135</f>
        <v>0</v>
      </c>
      <c r="AF134" s="180">
        <f>订货1!BE135</f>
        <v>0</v>
      </c>
      <c r="AG134" s="180">
        <f>订货1!BF135</f>
        <v>0</v>
      </c>
      <c r="AH134" s="176"/>
      <c r="AI134" s="178" t="e">
        <f>店铺收货台帐2!DE135</f>
        <v>#DIV/0!</v>
      </c>
    </row>
    <row r="135" spans="1:35" hidden="1">
      <c r="A135" s="37">
        <f>订货1!K136</f>
        <v>101697</v>
      </c>
      <c r="B135" s="37" t="str">
        <f>订货1!M136</f>
        <v>半壳贻贝</v>
      </c>
      <c r="C135" s="180">
        <f>订货1!AB136</f>
        <v>0</v>
      </c>
      <c r="D135" s="180">
        <f>订货1!AC136</f>
        <v>1</v>
      </c>
      <c r="E135" s="180">
        <f>订货1!AD136</f>
        <v>0</v>
      </c>
      <c r="F135" s="180">
        <f>订货1!AE136</f>
        <v>0</v>
      </c>
      <c r="G135" s="180">
        <f>订货1!AF136</f>
        <v>0</v>
      </c>
      <c r="H135" s="180">
        <f>订货1!AG136</f>
        <v>0</v>
      </c>
      <c r="I135" s="180">
        <f>订货1!AH136</f>
        <v>0</v>
      </c>
      <c r="J135" s="180">
        <f>订货1!AI136</f>
        <v>1</v>
      </c>
      <c r="K135" s="180">
        <f>订货1!AJ136</f>
        <v>0</v>
      </c>
      <c r="L135" s="180">
        <f>订货1!AK136</f>
        <v>0</v>
      </c>
      <c r="M135" s="180">
        <f>订货1!AL136</f>
        <v>0</v>
      </c>
      <c r="N135" s="180">
        <f>订货1!AM136</f>
        <v>0</v>
      </c>
      <c r="O135" s="180">
        <f>订货1!AN136</f>
        <v>0</v>
      </c>
      <c r="P135" s="180">
        <f>订货1!AO136</f>
        <v>1</v>
      </c>
      <c r="Q135" s="180">
        <f>订货1!AP136</f>
        <v>0</v>
      </c>
      <c r="R135" s="180">
        <f>订货1!AQ136</f>
        <v>0</v>
      </c>
      <c r="S135" s="180">
        <f>订货1!AR136</f>
        <v>0</v>
      </c>
      <c r="T135" s="180">
        <f>订货1!AS136</f>
        <v>0</v>
      </c>
      <c r="U135" s="180">
        <f>订货1!AT136</f>
        <v>0</v>
      </c>
      <c r="V135" s="180">
        <f>订货1!AU136</f>
        <v>0</v>
      </c>
      <c r="W135" s="180">
        <f>订货1!AV136</f>
        <v>0</v>
      </c>
      <c r="X135" s="180">
        <f>订货1!AW136</f>
        <v>0</v>
      </c>
      <c r="Y135" s="180">
        <f>订货1!AX136</f>
        <v>0</v>
      </c>
      <c r="Z135" s="180">
        <f>订货1!AY136</f>
        <v>0</v>
      </c>
      <c r="AA135" s="180">
        <f>订货1!AZ136</f>
        <v>0</v>
      </c>
      <c r="AB135" s="180">
        <f>订货1!BA136</f>
        <v>0</v>
      </c>
      <c r="AC135" s="180">
        <f>订货1!BB136</f>
        <v>0</v>
      </c>
      <c r="AD135" s="180">
        <f>订货1!BC136</f>
        <v>0</v>
      </c>
      <c r="AE135" s="180">
        <f>订货1!BD136</f>
        <v>0</v>
      </c>
      <c r="AF135" s="180">
        <f>订货1!BE136</f>
        <v>0</v>
      </c>
      <c r="AG135" s="180">
        <f>订货1!BF136</f>
        <v>0</v>
      </c>
      <c r="AH135" s="176"/>
      <c r="AI135" s="178" t="e">
        <f>店铺收货台帐2!DE136</f>
        <v>#DIV/0!</v>
      </c>
    </row>
    <row r="136" spans="1:35" hidden="1">
      <c r="A136" s="37">
        <f>订货1!K137</f>
        <v>101149</v>
      </c>
      <c r="B136" s="37" t="str">
        <f>订货1!M137</f>
        <v>油浸金枪鱼</v>
      </c>
      <c r="C136" s="180">
        <f>订货1!AB137</f>
        <v>0</v>
      </c>
      <c r="D136" s="180">
        <f>订货1!AC137</f>
        <v>0</v>
      </c>
      <c r="E136" s="180">
        <f>订货1!AD137</f>
        <v>0</v>
      </c>
      <c r="F136" s="180">
        <f>订货1!AE137</f>
        <v>0</v>
      </c>
      <c r="G136" s="180">
        <f>订货1!AF137</f>
        <v>0</v>
      </c>
      <c r="H136" s="180">
        <f>订货1!AG137</f>
        <v>0</v>
      </c>
      <c r="I136" s="180">
        <f>订货1!AH137</f>
        <v>1</v>
      </c>
      <c r="J136" s="180">
        <f>订货1!AI137</f>
        <v>0</v>
      </c>
      <c r="K136" s="180">
        <f>订货1!AJ137</f>
        <v>0</v>
      </c>
      <c r="L136" s="180">
        <f>订货1!AK137</f>
        <v>0</v>
      </c>
      <c r="M136" s="180">
        <f>订货1!AL137</f>
        <v>0</v>
      </c>
      <c r="N136" s="180">
        <f>订货1!AM137</f>
        <v>0</v>
      </c>
      <c r="O136" s="180">
        <f>订货1!AN137</f>
        <v>0</v>
      </c>
      <c r="P136" s="180">
        <f>订货1!AO137</f>
        <v>0</v>
      </c>
      <c r="Q136" s="180">
        <f>订货1!AP137</f>
        <v>0</v>
      </c>
      <c r="R136" s="180">
        <f>订货1!AQ137</f>
        <v>0</v>
      </c>
      <c r="S136" s="180">
        <f>订货1!AR137</f>
        <v>0</v>
      </c>
      <c r="T136" s="180">
        <f>订货1!AS137</f>
        <v>0</v>
      </c>
      <c r="U136" s="180">
        <f>订货1!AT137</f>
        <v>0</v>
      </c>
      <c r="V136" s="180">
        <f>订货1!AU137</f>
        <v>0</v>
      </c>
      <c r="W136" s="180">
        <f>订货1!AV137</f>
        <v>0</v>
      </c>
      <c r="X136" s="180">
        <f>订货1!AW137</f>
        <v>0</v>
      </c>
      <c r="Y136" s="180">
        <f>订货1!AX137</f>
        <v>0</v>
      </c>
      <c r="Z136" s="180">
        <f>订货1!AY137</f>
        <v>0</v>
      </c>
      <c r="AA136" s="180">
        <f>订货1!AZ137</f>
        <v>0</v>
      </c>
      <c r="AB136" s="180">
        <f>订货1!BA137</f>
        <v>0</v>
      </c>
      <c r="AC136" s="180">
        <f>订货1!BB137</f>
        <v>0</v>
      </c>
      <c r="AD136" s="180">
        <f>订货1!BC137</f>
        <v>0</v>
      </c>
      <c r="AE136" s="180">
        <f>订货1!BD137</f>
        <v>0</v>
      </c>
      <c r="AF136" s="180">
        <f>订货1!BE137</f>
        <v>0</v>
      </c>
      <c r="AG136" s="180">
        <f>订货1!BF137</f>
        <v>0</v>
      </c>
      <c r="AH136" s="176"/>
      <c r="AI136" s="178" t="e">
        <f>店铺收货台帐2!DE137</f>
        <v>#DIV/0!</v>
      </c>
    </row>
    <row r="137" spans="1:35" hidden="1">
      <c r="A137" s="37">
        <f>订货1!K138</f>
        <v>101182</v>
      </c>
      <c r="B137" s="37" t="str">
        <f>订货1!M138</f>
        <v>意文全脂牛奶</v>
      </c>
      <c r="C137" s="180">
        <f>订货1!AB138</f>
        <v>0</v>
      </c>
      <c r="D137" s="180">
        <f>订货1!AC138</f>
        <v>0</v>
      </c>
      <c r="E137" s="180">
        <f>订货1!AD138</f>
        <v>0</v>
      </c>
      <c r="F137" s="180">
        <f>订货1!AE138</f>
        <v>0</v>
      </c>
      <c r="G137" s="180">
        <f>订货1!AF138</f>
        <v>0</v>
      </c>
      <c r="H137" s="180">
        <f>订货1!AG138</f>
        <v>0</v>
      </c>
      <c r="I137" s="180">
        <f>订货1!AH138</f>
        <v>0</v>
      </c>
      <c r="J137" s="180">
        <f>订货1!AI138</f>
        <v>0</v>
      </c>
      <c r="K137" s="180">
        <f>订货1!AJ138</f>
        <v>0</v>
      </c>
      <c r="L137" s="180">
        <f>订货1!AK138</f>
        <v>0</v>
      </c>
      <c r="M137" s="180">
        <f>订货1!AL138</f>
        <v>0</v>
      </c>
      <c r="N137" s="180">
        <f>订货1!AM138</f>
        <v>0</v>
      </c>
      <c r="O137" s="180">
        <f>订货1!AN138</f>
        <v>0</v>
      </c>
      <c r="P137" s="180">
        <f>订货1!AO138</f>
        <v>0</v>
      </c>
      <c r="Q137" s="180">
        <f>订货1!AP138</f>
        <v>0</v>
      </c>
      <c r="R137" s="180">
        <f>订货1!AQ138</f>
        <v>0</v>
      </c>
      <c r="S137" s="180">
        <f>订货1!AR138</f>
        <v>0</v>
      </c>
      <c r="T137" s="180">
        <f>订货1!AS138</f>
        <v>0</v>
      </c>
      <c r="U137" s="180">
        <f>订货1!AT138</f>
        <v>0</v>
      </c>
      <c r="V137" s="180">
        <f>订货1!AU138</f>
        <v>0</v>
      </c>
      <c r="W137" s="180">
        <f>订货1!AV138</f>
        <v>0</v>
      </c>
      <c r="X137" s="180">
        <f>订货1!AW138</f>
        <v>0</v>
      </c>
      <c r="Y137" s="180">
        <f>订货1!AX138</f>
        <v>0</v>
      </c>
      <c r="Z137" s="180">
        <f>订货1!AY138</f>
        <v>0</v>
      </c>
      <c r="AA137" s="180">
        <f>订货1!AZ138</f>
        <v>0</v>
      </c>
      <c r="AB137" s="180">
        <f>订货1!BA138</f>
        <v>0</v>
      </c>
      <c r="AC137" s="180">
        <f>订货1!BB138</f>
        <v>0</v>
      </c>
      <c r="AD137" s="180">
        <f>订货1!BC138</f>
        <v>0</v>
      </c>
      <c r="AE137" s="180">
        <f>订货1!BD138</f>
        <v>0</v>
      </c>
      <c r="AF137" s="180">
        <f>订货1!BE138</f>
        <v>0</v>
      </c>
      <c r="AG137" s="180">
        <f>订货1!BF138</f>
        <v>0</v>
      </c>
      <c r="AH137" s="176"/>
      <c r="AI137" s="178" t="e">
        <f>店铺收货台帐2!DE138</f>
        <v>#DIV/0!</v>
      </c>
    </row>
    <row r="138" spans="1:35" hidden="1">
      <c r="A138" s="37">
        <f>订货1!K139</f>
        <v>101603</v>
      </c>
      <c r="B138" s="37" t="str">
        <f>订货1!M139</f>
        <v>格益莎油浸金枪鱼袋包装</v>
      </c>
      <c r="C138" s="180">
        <f>订货1!AB139</f>
        <v>0</v>
      </c>
      <c r="D138" s="180">
        <f>订货1!AC139</f>
        <v>0</v>
      </c>
      <c r="E138" s="180">
        <f>订货1!AD139</f>
        <v>0</v>
      </c>
      <c r="F138" s="180">
        <f>订货1!AE139</f>
        <v>0</v>
      </c>
      <c r="G138" s="180">
        <f>订货1!AF139</f>
        <v>0</v>
      </c>
      <c r="H138" s="180">
        <f>订货1!AG139</f>
        <v>0</v>
      </c>
      <c r="I138" s="180">
        <f>订货1!AH139</f>
        <v>0</v>
      </c>
      <c r="J138" s="180">
        <f>订货1!AI139</f>
        <v>0</v>
      </c>
      <c r="K138" s="180">
        <f>订货1!AJ139</f>
        <v>0</v>
      </c>
      <c r="L138" s="180">
        <f>订货1!AK139</f>
        <v>0</v>
      </c>
      <c r="M138" s="180">
        <f>订货1!AL139</f>
        <v>0</v>
      </c>
      <c r="N138" s="180">
        <f>订货1!AM139</f>
        <v>0</v>
      </c>
      <c r="O138" s="180">
        <f>订货1!AN139</f>
        <v>0</v>
      </c>
      <c r="P138" s="180">
        <f>订货1!AO139</f>
        <v>0</v>
      </c>
      <c r="Q138" s="180">
        <f>订货1!AP139</f>
        <v>0</v>
      </c>
      <c r="R138" s="180">
        <f>订货1!AQ139</f>
        <v>0</v>
      </c>
      <c r="S138" s="180">
        <f>订货1!AR139</f>
        <v>0</v>
      </c>
      <c r="T138" s="180">
        <f>订货1!AS139</f>
        <v>0</v>
      </c>
      <c r="U138" s="180">
        <f>订货1!AT139</f>
        <v>0</v>
      </c>
      <c r="V138" s="180">
        <f>订货1!AU139</f>
        <v>0</v>
      </c>
      <c r="W138" s="180">
        <f>订货1!AV139</f>
        <v>0</v>
      </c>
      <c r="X138" s="180">
        <f>订货1!AW139</f>
        <v>0</v>
      </c>
      <c r="Y138" s="180">
        <f>订货1!AX139</f>
        <v>0</v>
      </c>
      <c r="Z138" s="180">
        <f>订货1!AY139</f>
        <v>0</v>
      </c>
      <c r="AA138" s="180">
        <f>订货1!AZ139</f>
        <v>0</v>
      </c>
      <c r="AB138" s="180">
        <f>订货1!BA139</f>
        <v>0</v>
      </c>
      <c r="AC138" s="180">
        <f>订货1!BB139</f>
        <v>0</v>
      </c>
      <c r="AD138" s="180">
        <f>订货1!BC139</f>
        <v>0</v>
      </c>
      <c r="AE138" s="180">
        <f>订货1!BD139</f>
        <v>0</v>
      </c>
      <c r="AF138" s="180">
        <f>订货1!BE139</f>
        <v>0</v>
      </c>
      <c r="AG138" s="180">
        <f>订货1!BF139</f>
        <v>0</v>
      </c>
      <c r="AH138" s="176"/>
      <c r="AI138" s="178" t="e">
        <f>店铺收货台帐2!DE139</f>
        <v>#DIV/0!</v>
      </c>
    </row>
    <row r="139" spans="1:35" hidden="1">
      <c r="A139" s="37">
        <f>订货1!K140</f>
        <v>101733</v>
      </c>
      <c r="B139" s="37" t="str">
        <f>订货1!M140</f>
        <v>香酥鸡柳</v>
      </c>
      <c r="C139" s="180">
        <f>订货1!AB140</f>
        <v>0</v>
      </c>
      <c r="D139" s="180">
        <f>订货1!AC140</f>
        <v>0</v>
      </c>
      <c r="E139" s="180">
        <f>订货1!AD140</f>
        <v>0</v>
      </c>
      <c r="F139" s="180">
        <f>订货1!AE140</f>
        <v>0</v>
      </c>
      <c r="G139" s="180">
        <f>订货1!AF140</f>
        <v>0</v>
      </c>
      <c r="H139" s="180">
        <f>订货1!AG140</f>
        <v>0</v>
      </c>
      <c r="I139" s="180">
        <f>订货1!AH140</f>
        <v>0</v>
      </c>
      <c r="J139" s="180">
        <f>订货1!AI140</f>
        <v>0</v>
      </c>
      <c r="K139" s="180">
        <f>订货1!AJ140</f>
        <v>0</v>
      </c>
      <c r="L139" s="180">
        <f>订货1!AK140</f>
        <v>0</v>
      </c>
      <c r="M139" s="180">
        <f>订货1!AL140</f>
        <v>0</v>
      </c>
      <c r="N139" s="180">
        <f>订货1!AM140</f>
        <v>0</v>
      </c>
      <c r="O139" s="180">
        <f>订货1!AN140</f>
        <v>0</v>
      </c>
      <c r="P139" s="180">
        <f>订货1!AO140</f>
        <v>0</v>
      </c>
      <c r="Q139" s="180">
        <f>订货1!AP140</f>
        <v>0</v>
      </c>
      <c r="R139" s="180">
        <f>订货1!AQ140</f>
        <v>0</v>
      </c>
      <c r="S139" s="180">
        <f>订货1!AR140</f>
        <v>0</v>
      </c>
      <c r="T139" s="180">
        <f>订货1!AS140</f>
        <v>0</v>
      </c>
      <c r="U139" s="180">
        <f>订货1!AT140</f>
        <v>0</v>
      </c>
      <c r="V139" s="180">
        <f>订货1!AU140</f>
        <v>0</v>
      </c>
      <c r="W139" s="180">
        <f>订货1!AV140</f>
        <v>0</v>
      </c>
      <c r="X139" s="180">
        <f>订货1!AW140</f>
        <v>0</v>
      </c>
      <c r="Y139" s="180">
        <f>订货1!AX140</f>
        <v>0</v>
      </c>
      <c r="Z139" s="180">
        <f>订货1!AY140</f>
        <v>0</v>
      </c>
      <c r="AA139" s="180">
        <f>订货1!AZ140</f>
        <v>0</v>
      </c>
      <c r="AB139" s="180">
        <f>订货1!BA140</f>
        <v>0</v>
      </c>
      <c r="AC139" s="180">
        <f>订货1!BB140</f>
        <v>0</v>
      </c>
      <c r="AD139" s="180">
        <f>订货1!BC140</f>
        <v>0</v>
      </c>
      <c r="AE139" s="180">
        <f>订货1!BD140</f>
        <v>0</v>
      </c>
      <c r="AF139" s="180">
        <f>订货1!BE140</f>
        <v>0</v>
      </c>
      <c r="AG139" s="180">
        <f>订货1!BF140</f>
        <v>0</v>
      </c>
      <c r="AH139" s="176"/>
      <c r="AI139" s="178" t="e">
        <f>店铺收货台帐2!DE140</f>
        <v>#DIV/0!</v>
      </c>
    </row>
    <row r="140" spans="1:35" hidden="1">
      <c r="A140" s="37">
        <f>订货1!K141</f>
        <v>101735</v>
      </c>
      <c r="B140" s="37" t="str">
        <f>订货1!M141</f>
        <v>香酥翅中</v>
      </c>
      <c r="C140" s="180">
        <f>订货1!AB141</f>
        <v>0</v>
      </c>
      <c r="D140" s="180">
        <f>订货1!AC141</f>
        <v>0</v>
      </c>
      <c r="E140" s="180">
        <f>订货1!AD141</f>
        <v>0</v>
      </c>
      <c r="F140" s="180">
        <f>订货1!AE141</f>
        <v>0</v>
      </c>
      <c r="G140" s="180">
        <f>订货1!AF141</f>
        <v>0</v>
      </c>
      <c r="H140" s="180">
        <f>订货1!AG141</f>
        <v>0</v>
      </c>
      <c r="I140" s="180">
        <f>订货1!AH141</f>
        <v>0</v>
      </c>
      <c r="J140" s="180">
        <f>订货1!AI141</f>
        <v>0</v>
      </c>
      <c r="K140" s="180">
        <f>订货1!AJ141</f>
        <v>0</v>
      </c>
      <c r="L140" s="180">
        <f>订货1!AK141</f>
        <v>0</v>
      </c>
      <c r="M140" s="180">
        <f>订货1!AL141</f>
        <v>0</v>
      </c>
      <c r="N140" s="180">
        <f>订货1!AM141</f>
        <v>0</v>
      </c>
      <c r="O140" s="180">
        <f>订货1!AN141</f>
        <v>0</v>
      </c>
      <c r="P140" s="180">
        <f>订货1!AO141</f>
        <v>0</v>
      </c>
      <c r="Q140" s="180">
        <f>订货1!AP141</f>
        <v>0</v>
      </c>
      <c r="R140" s="180">
        <f>订货1!AQ141</f>
        <v>0</v>
      </c>
      <c r="S140" s="180">
        <f>订货1!AR141</f>
        <v>0</v>
      </c>
      <c r="T140" s="180">
        <f>订货1!AS141</f>
        <v>0</v>
      </c>
      <c r="U140" s="180">
        <f>订货1!AT141</f>
        <v>0</v>
      </c>
      <c r="V140" s="180">
        <f>订货1!AU141</f>
        <v>0</v>
      </c>
      <c r="W140" s="180">
        <f>订货1!AV141</f>
        <v>0</v>
      </c>
      <c r="X140" s="180">
        <f>订货1!AW141</f>
        <v>0</v>
      </c>
      <c r="Y140" s="180">
        <f>订货1!AX141</f>
        <v>0</v>
      </c>
      <c r="Z140" s="180">
        <f>订货1!AY141</f>
        <v>0</v>
      </c>
      <c r="AA140" s="180">
        <f>订货1!AZ141</f>
        <v>0</v>
      </c>
      <c r="AB140" s="180">
        <f>订货1!BA141</f>
        <v>0</v>
      </c>
      <c r="AC140" s="180">
        <f>订货1!BB141</f>
        <v>0</v>
      </c>
      <c r="AD140" s="180">
        <f>订货1!BC141</f>
        <v>0</v>
      </c>
      <c r="AE140" s="180">
        <f>订货1!BD141</f>
        <v>0</v>
      </c>
      <c r="AF140" s="180">
        <f>订货1!BE141</f>
        <v>0</v>
      </c>
      <c r="AG140" s="180">
        <f>订货1!BF141</f>
        <v>0</v>
      </c>
      <c r="AH140" s="176"/>
      <c r="AI140" s="178" t="e">
        <f>店铺收货台帐2!DE141</f>
        <v>#DIV/0!</v>
      </c>
    </row>
    <row r="141" spans="1:35" hidden="1">
      <c r="A141" s="37">
        <f>订货1!K142</f>
        <v>101706</v>
      </c>
      <c r="B141" s="37" t="str">
        <f>订货1!M142</f>
        <v>意式风干火腿</v>
      </c>
      <c r="C141" s="180">
        <f>订货1!AB142</f>
        <v>0</v>
      </c>
      <c r="D141" s="180">
        <f>订货1!AC142</f>
        <v>0</v>
      </c>
      <c r="E141" s="180">
        <f>订货1!AD142</f>
        <v>0</v>
      </c>
      <c r="F141" s="180">
        <f>订货1!AE142</f>
        <v>0</v>
      </c>
      <c r="G141" s="180">
        <f>订货1!AF142</f>
        <v>0</v>
      </c>
      <c r="H141" s="180">
        <f>订货1!AG142</f>
        <v>0</v>
      </c>
      <c r="I141" s="180">
        <f>订货1!AH142</f>
        <v>0</v>
      </c>
      <c r="J141" s="180">
        <f>订货1!AI142</f>
        <v>0</v>
      </c>
      <c r="K141" s="180">
        <f>订货1!AJ142</f>
        <v>0</v>
      </c>
      <c r="L141" s="180">
        <f>订货1!AK142</f>
        <v>0</v>
      </c>
      <c r="M141" s="180">
        <f>订货1!AL142</f>
        <v>0</v>
      </c>
      <c r="N141" s="180">
        <f>订货1!AM142</f>
        <v>0</v>
      </c>
      <c r="O141" s="180">
        <f>订货1!AN142</f>
        <v>0</v>
      </c>
      <c r="P141" s="180">
        <f>订货1!AO142</f>
        <v>0</v>
      </c>
      <c r="Q141" s="180">
        <f>订货1!AP142</f>
        <v>0</v>
      </c>
      <c r="R141" s="180">
        <f>订货1!AQ142</f>
        <v>0</v>
      </c>
      <c r="S141" s="180">
        <f>订货1!AR142</f>
        <v>0</v>
      </c>
      <c r="T141" s="180">
        <f>订货1!AS142</f>
        <v>0</v>
      </c>
      <c r="U141" s="180">
        <f>订货1!AT142</f>
        <v>0</v>
      </c>
      <c r="V141" s="180">
        <f>订货1!AU142</f>
        <v>0</v>
      </c>
      <c r="W141" s="180">
        <f>订货1!AV142</f>
        <v>0</v>
      </c>
      <c r="X141" s="180">
        <f>订货1!AW142</f>
        <v>0</v>
      </c>
      <c r="Y141" s="180">
        <f>订货1!AX142</f>
        <v>0</v>
      </c>
      <c r="Z141" s="180">
        <f>订货1!AY142</f>
        <v>0</v>
      </c>
      <c r="AA141" s="180">
        <f>订货1!AZ142</f>
        <v>0</v>
      </c>
      <c r="AB141" s="180">
        <f>订货1!BA142</f>
        <v>0</v>
      </c>
      <c r="AC141" s="180">
        <f>订货1!BB142</f>
        <v>0</v>
      </c>
      <c r="AD141" s="180">
        <f>订货1!BC142</f>
        <v>0</v>
      </c>
      <c r="AE141" s="180">
        <f>订货1!BD142</f>
        <v>0</v>
      </c>
      <c r="AF141" s="180">
        <f>订货1!BE142</f>
        <v>0</v>
      </c>
      <c r="AG141" s="180">
        <f>订货1!BF142</f>
        <v>0</v>
      </c>
      <c r="AH141" s="176"/>
      <c r="AI141" s="178" t="e">
        <f>店铺收货台帐2!DE142</f>
        <v>#DIV/0!</v>
      </c>
    </row>
    <row r="142" spans="1:35" hidden="1">
      <c r="A142" s="37">
        <f>订货1!K143</f>
        <v>101608</v>
      </c>
      <c r="B142" s="37" t="str">
        <f>订货1!M143</f>
        <v>西冷牛排切片SA（新）</v>
      </c>
      <c r="C142" s="180">
        <f>订货1!AB143</f>
        <v>0</v>
      </c>
      <c r="D142" s="180">
        <f>订货1!AC143</f>
        <v>0</v>
      </c>
      <c r="E142" s="180">
        <f>订货1!AD143</f>
        <v>0</v>
      </c>
      <c r="F142" s="180">
        <f>订货1!AE143</f>
        <v>1</v>
      </c>
      <c r="G142" s="180">
        <f>订货1!AF143</f>
        <v>0</v>
      </c>
      <c r="H142" s="180">
        <f>订货1!AG143</f>
        <v>0</v>
      </c>
      <c r="I142" s="180">
        <f>订货1!AH143</f>
        <v>0</v>
      </c>
      <c r="J142" s="180">
        <f>订货1!AI143</f>
        <v>1</v>
      </c>
      <c r="K142" s="180">
        <f>订货1!AJ143</f>
        <v>0</v>
      </c>
      <c r="L142" s="180">
        <f>订货1!AK143</f>
        <v>0</v>
      </c>
      <c r="M142" s="180">
        <f>订货1!AL143</f>
        <v>0</v>
      </c>
      <c r="N142" s="180">
        <f>订货1!AM143</f>
        <v>1</v>
      </c>
      <c r="O142" s="180">
        <f>订货1!AN143</f>
        <v>1</v>
      </c>
      <c r="P142" s="180">
        <f>订货1!AO143</f>
        <v>0</v>
      </c>
      <c r="Q142" s="180">
        <f>订货1!AP143</f>
        <v>0</v>
      </c>
      <c r="R142" s="180">
        <f>订货1!AQ143</f>
        <v>0</v>
      </c>
      <c r="S142" s="180">
        <f>订货1!AR143</f>
        <v>0</v>
      </c>
      <c r="T142" s="180">
        <f>订货1!AS143</f>
        <v>0</v>
      </c>
      <c r="U142" s="180">
        <f>订货1!AT143</f>
        <v>0</v>
      </c>
      <c r="V142" s="180">
        <f>订货1!AU143</f>
        <v>0</v>
      </c>
      <c r="W142" s="180">
        <f>订货1!AV143</f>
        <v>0</v>
      </c>
      <c r="X142" s="180">
        <f>订货1!AW143</f>
        <v>0</v>
      </c>
      <c r="Y142" s="180">
        <f>订货1!AX143</f>
        <v>0</v>
      </c>
      <c r="Z142" s="180">
        <f>订货1!AY143</f>
        <v>0</v>
      </c>
      <c r="AA142" s="180">
        <f>订货1!AZ143</f>
        <v>0</v>
      </c>
      <c r="AB142" s="180">
        <f>订货1!BA143</f>
        <v>0</v>
      </c>
      <c r="AC142" s="180">
        <f>订货1!BB143</f>
        <v>0</v>
      </c>
      <c r="AD142" s="180">
        <f>订货1!BC143</f>
        <v>0</v>
      </c>
      <c r="AE142" s="180">
        <f>订货1!BD143</f>
        <v>0</v>
      </c>
      <c r="AF142" s="180">
        <f>订货1!BE143</f>
        <v>0</v>
      </c>
      <c r="AG142" s="180">
        <f>订货1!BF143</f>
        <v>0</v>
      </c>
      <c r="AH142" s="176"/>
      <c r="AI142" s="178" t="e">
        <f>店铺收货台帐2!DE143</f>
        <v>#DIV/0!</v>
      </c>
    </row>
    <row r="143" spans="1:35" hidden="1">
      <c r="A143" s="37">
        <f>订货1!K144</f>
        <v>101638</v>
      </c>
      <c r="B143" s="37" t="str">
        <f>订货1!M144</f>
        <v>新香烤翅中</v>
      </c>
      <c r="C143" s="180">
        <f>订货1!AB144</f>
        <v>0</v>
      </c>
      <c r="D143" s="180">
        <f>订货1!AC144</f>
        <v>1</v>
      </c>
      <c r="E143" s="180">
        <f>订货1!AD144</f>
        <v>0</v>
      </c>
      <c r="F143" s="180">
        <f>订货1!AE144</f>
        <v>1</v>
      </c>
      <c r="G143" s="180">
        <f>订货1!AF144</f>
        <v>0</v>
      </c>
      <c r="H143" s="180">
        <f>订货1!AG144</f>
        <v>1</v>
      </c>
      <c r="I143" s="180">
        <f>订货1!AH144</f>
        <v>0</v>
      </c>
      <c r="J143" s="180">
        <f>订货1!AI144</f>
        <v>1</v>
      </c>
      <c r="K143" s="180">
        <f>订货1!AJ144</f>
        <v>0</v>
      </c>
      <c r="L143" s="180">
        <f>订货1!AK144</f>
        <v>0</v>
      </c>
      <c r="M143" s="180">
        <f>订货1!AL144</f>
        <v>0</v>
      </c>
      <c r="N143" s="180">
        <f>订货1!AM144</f>
        <v>1</v>
      </c>
      <c r="O143" s="180">
        <f>订货1!AN144</f>
        <v>1</v>
      </c>
      <c r="P143" s="180">
        <f>订货1!AO144</f>
        <v>1</v>
      </c>
      <c r="Q143" s="180">
        <f>订货1!AP144</f>
        <v>0</v>
      </c>
      <c r="R143" s="180">
        <f>订货1!AQ144</f>
        <v>0</v>
      </c>
      <c r="S143" s="180">
        <f>订货1!AR144</f>
        <v>0</v>
      </c>
      <c r="T143" s="180">
        <f>订货1!AS144</f>
        <v>0</v>
      </c>
      <c r="U143" s="180">
        <f>订货1!AT144</f>
        <v>0</v>
      </c>
      <c r="V143" s="180">
        <f>订货1!AU144</f>
        <v>0</v>
      </c>
      <c r="W143" s="180">
        <f>订货1!AV144</f>
        <v>0</v>
      </c>
      <c r="X143" s="180">
        <f>订货1!AW144</f>
        <v>0</v>
      </c>
      <c r="Y143" s="180">
        <f>订货1!AX144</f>
        <v>0</v>
      </c>
      <c r="Z143" s="180">
        <f>订货1!AY144</f>
        <v>0</v>
      </c>
      <c r="AA143" s="180">
        <f>订货1!AZ144</f>
        <v>0</v>
      </c>
      <c r="AB143" s="180">
        <f>订货1!BA144</f>
        <v>0</v>
      </c>
      <c r="AC143" s="180">
        <f>订货1!BB144</f>
        <v>0</v>
      </c>
      <c r="AD143" s="180">
        <f>订货1!BC144</f>
        <v>0</v>
      </c>
      <c r="AE143" s="180">
        <f>订货1!BD144</f>
        <v>0</v>
      </c>
      <c r="AF143" s="180">
        <f>订货1!BE144</f>
        <v>0</v>
      </c>
      <c r="AG143" s="180">
        <f>订货1!BF144</f>
        <v>0</v>
      </c>
      <c r="AH143" s="176"/>
      <c r="AI143" s="178" t="e">
        <f>店铺收货台帐2!DE144</f>
        <v>#DIV/0!</v>
      </c>
    </row>
    <row r="144" spans="1:35" hidden="1">
      <c r="A144" s="37">
        <f>订货1!K145</f>
        <v>101610</v>
      </c>
      <c r="B144" s="37" t="str">
        <f>订货1!M145</f>
        <v>熟虾尾（新）</v>
      </c>
      <c r="C144" s="180">
        <f>订货1!AB145</f>
        <v>0</v>
      </c>
      <c r="D144" s="180">
        <f>订货1!AC145</f>
        <v>0</v>
      </c>
      <c r="E144" s="180">
        <f>订货1!AD145</f>
        <v>0</v>
      </c>
      <c r="F144" s="180">
        <f>订货1!AE145</f>
        <v>0</v>
      </c>
      <c r="G144" s="180">
        <f>订货1!AF145</f>
        <v>0</v>
      </c>
      <c r="H144" s="180">
        <f>订货1!AG145</f>
        <v>0</v>
      </c>
      <c r="I144" s="180">
        <f>订货1!AH145</f>
        <v>0</v>
      </c>
      <c r="J144" s="180">
        <f>订货1!AI145</f>
        <v>0</v>
      </c>
      <c r="K144" s="180">
        <f>订货1!AJ145</f>
        <v>0</v>
      </c>
      <c r="L144" s="180">
        <f>订货1!AK145</f>
        <v>0</v>
      </c>
      <c r="M144" s="180">
        <f>订货1!AL145</f>
        <v>0</v>
      </c>
      <c r="N144" s="180">
        <f>订货1!AM145</f>
        <v>0</v>
      </c>
      <c r="O144" s="180">
        <f>订货1!AN145</f>
        <v>0</v>
      </c>
      <c r="P144" s="180">
        <f>订货1!AO145</f>
        <v>0</v>
      </c>
      <c r="Q144" s="180">
        <f>订货1!AP145</f>
        <v>0</v>
      </c>
      <c r="R144" s="180">
        <f>订货1!AQ145</f>
        <v>0</v>
      </c>
      <c r="S144" s="180">
        <f>订货1!AR145</f>
        <v>0</v>
      </c>
      <c r="T144" s="180">
        <f>订货1!AS145</f>
        <v>0</v>
      </c>
      <c r="U144" s="180">
        <f>订货1!AT145</f>
        <v>0</v>
      </c>
      <c r="V144" s="180">
        <f>订货1!AU145</f>
        <v>0</v>
      </c>
      <c r="W144" s="180">
        <f>订货1!AV145</f>
        <v>0</v>
      </c>
      <c r="X144" s="180">
        <f>订货1!AW145</f>
        <v>0</v>
      </c>
      <c r="Y144" s="180">
        <f>订货1!AX145</f>
        <v>0</v>
      </c>
      <c r="Z144" s="180">
        <f>订货1!AY145</f>
        <v>0</v>
      </c>
      <c r="AA144" s="180">
        <f>订货1!AZ145</f>
        <v>0</v>
      </c>
      <c r="AB144" s="180">
        <f>订货1!BA145</f>
        <v>0</v>
      </c>
      <c r="AC144" s="180">
        <f>订货1!BB145</f>
        <v>0</v>
      </c>
      <c r="AD144" s="180">
        <f>订货1!BC145</f>
        <v>0</v>
      </c>
      <c r="AE144" s="180">
        <f>订货1!BD145</f>
        <v>0</v>
      </c>
      <c r="AF144" s="180">
        <f>订货1!BE145</f>
        <v>0</v>
      </c>
      <c r="AG144" s="180">
        <f>订货1!BF145</f>
        <v>0</v>
      </c>
      <c r="AH144" s="176"/>
      <c r="AI144" s="178" t="e">
        <f>店铺收货台帐2!DE145</f>
        <v>#DIV/0!</v>
      </c>
    </row>
    <row r="145" spans="1:35" hidden="1">
      <c r="A145" s="37">
        <f>订货1!K146</f>
        <v>101776</v>
      </c>
      <c r="B145" s="37" t="str">
        <f>订货1!M146</f>
        <v>速冻玉米粒（实验）</v>
      </c>
      <c r="C145" s="180">
        <f>订货1!AB146</f>
        <v>0</v>
      </c>
      <c r="D145" s="180">
        <f>订货1!AC146</f>
        <v>0</v>
      </c>
      <c r="E145" s="180">
        <f>订货1!AD146</f>
        <v>0</v>
      </c>
      <c r="F145" s="180">
        <f>订货1!AE146</f>
        <v>0</v>
      </c>
      <c r="G145" s="180">
        <f>订货1!AF146</f>
        <v>0</v>
      </c>
      <c r="H145" s="180">
        <f>订货1!AG146</f>
        <v>0</v>
      </c>
      <c r="I145" s="180">
        <f>订货1!AH146</f>
        <v>0</v>
      </c>
      <c r="J145" s="180">
        <f>订货1!AI146</f>
        <v>0</v>
      </c>
      <c r="K145" s="180">
        <f>订货1!AJ146</f>
        <v>0</v>
      </c>
      <c r="L145" s="180">
        <f>订货1!AK146</f>
        <v>0</v>
      </c>
      <c r="M145" s="180">
        <f>订货1!AL146</f>
        <v>0</v>
      </c>
      <c r="N145" s="180">
        <f>订货1!AM146</f>
        <v>0</v>
      </c>
      <c r="O145" s="180">
        <f>订货1!AN146</f>
        <v>0</v>
      </c>
      <c r="P145" s="180">
        <f>订货1!AO146</f>
        <v>0</v>
      </c>
      <c r="Q145" s="180">
        <f>订货1!AP146</f>
        <v>0</v>
      </c>
      <c r="R145" s="180">
        <f>订货1!AQ146</f>
        <v>0</v>
      </c>
      <c r="S145" s="180">
        <f>订货1!AR146</f>
        <v>0</v>
      </c>
      <c r="T145" s="180">
        <f>订货1!AS146</f>
        <v>0</v>
      </c>
      <c r="U145" s="180">
        <f>订货1!AT146</f>
        <v>0</v>
      </c>
      <c r="V145" s="180">
        <f>订货1!AU146</f>
        <v>0</v>
      </c>
      <c r="W145" s="180">
        <f>订货1!AV146</f>
        <v>0</v>
      </c>
      <c r="X145" s="180">
        <f>订货1!AW146</f>
        <v>0</v>
      </c>
      <c r="Y145" s="180">
        <f>订货1!AX146</f>
        <v>0</v>
      </c>
      <c r="Z145" s="180">
        <f>订货1!AY146</f>
        <v>0</v>
      </c>
      <c r="AA145" s="180">
        <f>订货1!AZ146</f>
        <v>0</v>
      </c>
      <c r="AB145" s="180">
        <f>订货1!BA146</f>
        <v>0</v>
      </c>
      <c r="AC145" s="180">
        <f>订货1!BB146</f>
        <v>0</v>
      </c>
      <c r="AD145" s="180">
        <f>订货1!BC146</f>
        <v>0</v>
      </c>
      <c r="AE145" s="180">
        <f>订货1!BD146</f>
        <v>0</v>
      </c>
      <c r="AF145" s="180">
        <f>订货1!BE146</f>
        <v>0</v>
      </c>
      <c r="AG145" s="180">
        <f>订货1!BF146</f>
        <v>0</v>
      </c>
      <c r="AH145" s="176"/>
      <c r="AI145" s="178" t="e">
        <f>店铺收货台帐2!DE146</f>
        <v>#DIV/0!</v>
      </c>
    </row>
    <row r="146" spans="1:35" hidden="1">
      <c r="A146" s="37">
        <f>订货1!K147</f>
        <v>101031</v>
      </c>
      <c r="B146" s="37" t="str">
        <f>订货1!M147</f>
        <v>原汤粉（YT）</v>
      </c>
      <c r="C146" s="180">
        <f>订货1!AB147</f>
        <v>1</v>
      </c>
      <c r="D146" s="180">
        <f>订货1!AC147</f>
        <v>0</v>
      </c>
      <c r="E146" s="180">
        <f>订货1!AD147</f>
        <v>0</v>
      </c>
      <c r="F146" s="180">
        <f>订货1!AE147</f>
        <v>0</v>
      </c>
      <c r="G146" s="180">
        <f>订货1!AF147</f>
        <v>0</v>
      </c>
      <c r="H146" s="180">
        <f>订货1!AG147</f>
        <v>0</v>
      </c>
      <c r="I146" s="180">
        <f>订货1!AH147</f>
        <v>0</v>
      </c>
      <c r="J146" s="180">
        <f>订货1!AI147</f>
        <v>0</v>
      </c>
      <c r="K146" s="180">
        <f>订货1!AJ147</f>
        <v>0</v>
      </c>
      <c r="L146" s="180">
        <f>订货1!AK147</f>
        <v>0</v>
      </c>
      <c r="M146" s="180">
        <f>订货1!AL147</f>
        <v>0</v>
      </c>
      <c r="N146" s="180">
        <f>订货1!AM147</f>
        <v>0</v>
      </c>
      <c r="O146" s="180">
        <f>订货1!AN147</f>
        <v>0</v>
      </c>
      <c r="P146" s="180">
        <f>订货1!AO147</f>
        <v>0</v>
      </c>
      <c r="Q146" s="180">
        <f>订货1!AP147</f>
        <v>0</v>
      </c>
      <c r="R146" s="180">
        <f>订货1!AQ147</f>
        <v>0</v>
      </c>
      <c r="S146" s="180">
        <f>订货1!AR147</f>
        <v>0</v>
      </c>
      <c r="T146" s="180">
        <f>订货1!AS147</f>
        <v>0</v>
      </c>
      <c r="U146" s="180">
        <f>订货1!AT147</f>
        <v>0</v>
      </c>
      <c r="V146" s="180">
        <f>订货1!AU147</f>
        <v>0</v>
      </c>
      <c r="W146" s="180">
        <f>订货1!AV147</f>
        <v>0</v>
      </c>
      <c r="X146" s="180">
        <f>订货1!AW147</f>
        <v>0</v>
      </c>
      <c r="Y146" s="180">
        <f>订货1!AX147</f>
        <v>0</v>
      </c>
      <c r="Z146" s="180">
        <f>订货1!AY147</f>
        <v>0</v>
      </c>
      <c r="AA146" s="180">
        <f>订货1!AZ147</f>
        <v>0</v>
      </c>
      <c r="AB146" s="180">
        <f>订货1!BA147</f>
        <v>0</v>
      </c>
      <c r="AC146" s="180">
        <f>订货1!BB147</f>
        <v>0</v>
      </c>
      <c r="AD146" s="180">
        <f>订货1!BC147</f>
        <v>0</v>
      </c>
      <c r="AE146" s="180">
        <f>订货1!BD147</f>
        <v>0</v>
      </c>
      <c r="AF146" s="180">
        <f>订货1!BE147</f>
        <v>0</v>
      </c>
      <c r="AG146" s="180">
        <f>订货1!BF147</f>
        <v>0</v>
      </c>
      <c r="AH146" s="176"/>
      <c r="AI146" s="178" t="e">
        <f>店铺收货台帐2!DE147</f>
        <v>#DIV/0!</v>
      </c>
    </row>
    <row r="147" spans="1:35" hidden="1">
      <c r="A147" s="37">
        <f>订货1!K148</f>
        <v>101034</v>
      </c>
      <c r="B147" s="37" t="str">
        <f>订货1!M148</f>
        <v>牛排粉NPF</v>
      </c>
      <c r="C147" s="180">
        <f>订货1!AB148</f>
        <v>0</v>
      </c>
      <c r="D147" s="180">
        <f>订货1!AC148</f>
        <v>1</v>
      </c>
      <c r="E147" s="180">
        <f>订货1!AD148</f>
        <v>0</v>
      </c>
      <c r="F147" s="180">
        <f>订货1!AE148</f>
        <v>0</v>
      </c>
      <c r="G147" s="180">
        <f>订货1!AF148</f>
        <v>1</v>
      </c>
      <c r="H147" s="180">
        <f>订货1!AG148</f>
        <v>0</v>
      </c>
      <c r="I147" s="180">
        <f>订货1!AH148</f>
        <v>1</v>
      </c>
      <c r="J147" s="180">
        <f>订货1!AI148</f>
        <v>0</v>
      </c>
      <c r="K147" s="180">
        <f>订货1!AJ148</f>
        <v>0</v>
      </c>
      <c r="L147" s="180">
        <f>订货1!AK148</f>
        <v>0</v>
      </c>
      <c r="M147" s="180">
        <f>订货1!AL148</f>
        <v>0</v>
      </c>
      <c r="N147" s="180">
        <f>订货1!AM148</f>
        <v>1</v>
      </c>
      <c r="O147" s="180">
        <f>订货1!AN148</f>
        <v>0</v>
      </c>
      <c r="P147" s="180">
        <f>订货1!AO148</f>
        <v>1</v>
      </c>
      <c r="Q147" s="180">
        <f>订货1!AP148</f>
        <v>0</v>
      </c>
      <c r="R147" s="180">
        <f>订货1!AQ148</f>
        <v>0</v>
      </c>
      <c r="S147" s="180">
        <f>订货1!AR148</f>
        <v>0</v>
      </c>
      <c r="T147" s="180">
        <f>订货1!AS148</f>
        <v>0</v>
      </c>
      <c r="U147" s="180">
        <f>订货1!AT148</f>
        <v>0</v>
      </c>
      <c r="V147" s="180">
        <f>订货1!AU148</f>
        <v>0</v>
      </c>
      <c r="W147" s="180">
        <f>订货1!AV148</f>
        <v>0</v>
      </c>
      <c r="X147" s="180">
        <f>订货1!AW148</f>
        <v>0</v>
      </c>
      <c r="Y147" s="180">
        <f>订货1!AX148</f>
        <v>0</v>
      </c>
      <c r="Z147" s="180">
        <f>订货1!AY148</f>
        <v>0</v>
      </c>
      <c r="AA147" s="180">
        <f>订货1!AZ148</f>
        <v>0</v>
      </c>
      <c r="AB147" s="180">
        <f>订货1!BA148</f>
        <v>0</v>
      </c>
      <c r="AC147" s="180">
        <f>订货1!BB148</f>
        <v>0</v>
      </c>
      <c r="AD147" s="180">
        <f>订货1!BC148</f>
        <v>0</v>
      </c>
      <c r="AE147" s="180">
        <f>订货1!BD148</f>
        <v>0</v>
      </c>
      <c r="AF147" s="180">
        <f>订货1!BE148</f>
        <v>0</v>
      </c>
      <c r="AG147" s="180">
        <f>订货1!BF148</f>
        <v>0</v>
      </c>
      <c r="AH147" s="176"/>
      <c r="AI147" s="178" t="e">
        <f>店铺收货台帐2!DE148</f>
        <v>#DIV/0!</v>
      </c>
    </row>
    <row r="148" spans="1:35" hidden="1">
      <c r="A148" s="37">
        <f>订货1!K149</f>
        <v>101718</v>
      </c>
      <c r="B148" s="37" t="str">
        <f>订货1!M149</f>
        <v>冷冻薯块</v>
      </c>
      <c r="C148" s="180">
        <f>订货1!AB149</f>
        <v>0</v>
      </c>
      <c r="D148" s="180">
        <f>订货1!AC149</f>
        <v>0</v>
      </c>
      <c r="E148" s="180">
        <f>订货1!AD149</f>
        <v>0</v>
      </c>
      <c r="F148" s="180">
        <f>订货1!AE149</f>
        <v>0</v>
      </c>
      <c r="G148" s="180">
        <f>订货1!AF149</f>
        <v>0</v>
      </c>
      <c r="H148" s="180">
        <f>订货1!AG149</f>
        <v>0</v>
      </c>
      <c r="I148" s="180">
        <f>订货1!AH149</f>
        <v>0</v>
      </c>
      <c r="J148" s="180">
        <f>订货1!AI149</f>
        <v>0</v>
      </c>
      <c r="K148" s="180">
        <f>订货1!AJ149</f>
        <v>0</v>
      </c>
      <c r="L148" s="180">
        <f>订货1!AK149</f>
        <v>0</v>
      </c>
      <c r="M148" s="180">
        <f>订货1!AL149</f>
        <v>0</v>
      </c>
      <c r="N148" s="180">
        <f>订货1!AM149</f>
        <v>0</v>
      </c>
      <c r="O148" s="180">
        <f>订货1!AN149</f>
        <v>0</v>
      </c>
      <c r="P148" s="180">
        <f>订货1!AO149</f>
        <v>0</v>
      </c>
      <c r="Q148" s="180">
        <f>订货1!AP149</f>
        <v>0</v>
      </c>
      <c r="R148" s="180">
        <f>订货1!AQ149</f>
        <v>0</v>
      </c>
      <c r="S148" s="180">
        <f>订货1!AR149</f>
        <v>0</v>
      </c>
      <c r="T148" s="180">
        <f>订货1!AS149</f>
        <v>0</v>
      </c>
      <c r="U148" s="180">
        <f>订货1!AT149</f>
        <v>0</v>
      </c>
      <c r="V148" s="180">
        <f>订货1!AU149</f>
        <v>0</v>
      </c>
      <c r="W148" s="180">
        <f>订货1!AV149</f>
        <v>0</v>
      </c>
      <c r="X148" s="180">
        <f>订货1!AW149</f>
        <v>0</v>
      </c>
      <c r="Y148" s="180">
        <f>订货1!AX149</f>
        <v>0</v>
      </c>
      <c r="Z148" s="180">
        <f>订货1!AY149</f>
        <v>0</v>
      </c>
      <c r="AA148" s="180">
        <f>订货1!AZ149</f>
        <v>0</v>
      </c>
      <c r="AB148" s="180">
        <f>订货1!BA149</f>
        <v>0</v>
      </c>
      <c r="AC148" s="180">
        <f>订货1!BB149</f>
        <v>0</v>
      </c>
      <c r="AD148" s="180">
        <f>订货1!BC149</f>
        <v>0</v>
      </c>
      <c r="AE148" s="180">
        <f>订货1!BD149</f>
        <v>0</v>
      </c>
      <c r="AF148" s="180">
        <f>订货1!BE149</f>
        <v>0</v>
      </c>
      <c r="AG148" s="180">
        <f>订货1!BF149</f>
        <v>0</v>
      </c>
      <c r="AH148" s="176"/>
      <c r="AI148" s="178" t="e">
        <f>店铺收货台帐2!DE149</f>
        <v>#DIV/0!</v>
      </c>
    </row>
    <row r="149" spans="1:35" hidden="1">
      <c r="A149" s="37">
        <f>订货1!K150</f>
        <v>101719</v>
      </c>
      <c r="B149" s="37" t="str">
        <f>订货1!M150</f>
        <v>经典辣肠</v>
      </c>
      <c r="C149" s="180">
        <f>订货1!AB150</f>
        <v>0</v>
      </c>
      <c r="D149" s="180">
        <f>订货1!AC150</f>
        <v>0</v>
      </c>
      <c r="E149" s="180">
        <f>订货1!AD150</f>
        <v>0</v>
      </c>
      <c r="F149" s="180">
        <f>订货1!AE150</f>
        <v>0</v>
      </c>
      <c r="G149" s="180">
        <f>订货1!AF150</f>
        <v>0</v>
      </c>
      <c r="H149" s="180">
        <f>订货1!AG150</f>
        <v>0</v>
      </c>
      <c r="I149" s="180">
        <f>订货1!AH150</f>
        <v>0</v>
      </c>
      <c r="J149" s="180">
        <f>订货1!AI150</f>
        <v>0</v>
      </c>
      <c r="K149" s="180">
        <f>订货1!AJ150</f>
        <v>0</v>
      </c>
      <c r="L149" s="180">
        <f>订货1!AK150</f>
        <v>0</v>
      </c>
      <c r="M149" s="180">
        <f>订货1!AL150</f>
        <v>0</v>
      </c>
      <c r="N149" s="180">
        <f>订货1!AM150</f>
        <v>0</v>
      </c>
      <c r="O149" s="180">
        <f>订货1!AN150</f>
        <v>0</v>
      </c>
      <c r="P149" s="180">
        <f>订货1!AO150</f>
        <v>0</v>
      </c>
      <c r="Q149" s="180">
        <f>订货1!AP150</f>
        <v>0</v>
      </c>
      <c r="R149" s="180">
        <f>订货1!AQ150</f>
        <v>0</v>
      </c>
      <c r="S149" s="180">
        <f>订货1!AR150</f>
        <v>0</v>
      </c>
      <c r="T149" s="180">
        <f>订货1!AS150</f>
        <v>0</v>
      </c>
      <c r="U149" s="180">
        <f>订货1!AT150</f>
        <v>0</v>
      </c>
      <c r="V149" s="180">
        <f>订货1!AU150</f>
        <v>0</v>
      </c>
      <c r="W149" s="180">
        <f>订货1!AV150</f>
        <v>0</v>
      </c>
      <c r="X149" s="180">
        <f>订货1!AW150</f>
        <v>0</v>
      </c>
      <c r="Y149" s="180">
        <f>订货1!AX150</f>
        <v>0</v>
      </c>
      <c r="Z149" s="180">
        <f>订货1!AY150</f>
        <v>0</v>
      </c>
      <c r="AA149" s="180">
        <f>订货1!AZ150</f>
        <v>0</v>
      </c>
      <c r="AB149" s="180">
        <f>订货1!BA150</f>
        <v>0</v>
      </c>
      <c r="AC149" s="180">
        <f>订货1!BB150</f>
        <v>0</v>
      </c>
      <c r="AD149" s="180">
        <f>订货1!BC150</f>
        <v>0</v>
      </c>
      <c r="AE149" s="180">
        <f>订货1!BD150</f>
        <v>0</v>
      </c>
      <c r="AF149" s="180">
        <f>订货1!BE150</f>
        <v>0</v>
      </c>
      <c r="AG149" s="180">
        <f>订货1!BF150</f>
        <v>0</v>
      </c>
      <c r="AH149" s="176"/>
      <c r="AI149" s="178" t="e">
        <f>店铺收货台帐2!DE150</f>
        <v>#DIV/0!</v>
      </c>
    </row>
    <row r="150" spans="1:35" hidden="1">
      <c r="A150" s="37">
        <f>订货1!K151</f>
        <v>101720</v>
      </c>
      <c r="B150" s="37" t="str">
        <f>订货1!M151</f>
        <v>黑松露风味酱</v>
      </c>
      <c r="C150" s="180">
        <f>订货1!AB151</f>
        <v>0</v>
      </c>
      <c r="D150" s="180">
        <f>订货1!AC151</f>
        <v>0</v>
      </c>
      <c r="E150" s="180">
        <f>订货1!AD151</f>
        <v>0</v>
      </c>
      <c r="F150" s="180">
        <f>订货1!AE151</f>
        <v>0</v>
      </c>
      <c r="G150" s="180">
        <f>订货1!AF151</f>
        <v>0</v>
      </c>
      <c r="H150" s="180">
        <f>订货1!AG151</f>
        <v>0</v>
      </c>
      <c r="I150" s="180">
        <f>订货1!AH151</f>
        <v>0</v>
      </c>
      <c r="J150" s="180">
        <f>订货1!AI151</f>
        <v>0</v>
      </c>
      <c r="K150" s="180">
        <f>订货1!AJ151</f>
        <v>0</v>
      </c>
      <c r="L150" s="180">
        <f>订货1!AK151</f>
        <v>0</v>
      </c>
      <c r="M150" s="180">
        <f>订货1!AL151</f>
        <v>0</v>
      </c>
      <c r="N150" s="180">
        <f>订货1!AM151</f>
        <v>0</v>
      </c>
      <c r="O150" s="180">
        <f>订货1!AN151</f>
        <v>0</v>
      </c>
      <c r="P150" s="180">
        <f>订货1!AO151</f>
        <v>0</v>
      </c>
      <c r="Q150" s="180">
        <f>订货1!AP151</f>
        <v>0</v>
      </c>
      <c r="R150" s="180">
        <f>订货1!AQ151</f>
        <v>0</v>
      </c>
      <c r="S150" s="180">
        <f>订货1!AR151</f>
        <v>0</v>
      </c>
      <c r="T150" s="180">
        <f>订货1!AS151</f>
        <v>0</v>
      </c>
      <c r="U150" s="180">
        <f>订货1!AT151</f>
        <v>0</v>
      </c>
      <c r="V150" s="180">
        <f>订货1!AU151</f>
        <v>0</v>
      </c>
      <c r="W150" s="180">
        <f>订货1!AV151</f>
        <v>0</v>
      </c>
      <c r="X150" s="180">
        <f>订货1!AW151</f>
        <v>0</v>
      </c>
      <c r="Y150" s="180">
        <f>订货1!AX151</f>
        <v>0</v>
      </c>
      <c r="Z150" s="180">
        <f>订货1!AY151</f>
        <v>0</v>
      </c>
      <c r="AA150" s="180">
        <f>订货1!AZ151</f>
        <v>0</v>
      </c>
      <c r="AB150" s="180">
        <f>订货1!BA151</f>
        <v>0</v>
      </c>
      <c r="AC150" s="180">
        <f>订货1!BB151</f>
        <v>0</v>
      </c>
      <c r="AD150" s="180">
        <f>订货1!BC151</f>
        <v>0</v>
      </c>
      <c r="AE150" s="180">
        <f>订货1!BD151</f>
        <v>0</v>
      </c>
      <c r="AF150" s="180">
        <f>订货1!BE151</f>
        <v>0</v>
      </c>
      <c r="AG150" s="180">
        <f>订货1!BF151</f>
        <v>0</v>
      </c>
      <c r="AH150" s="176"/>
      <c r="AI150" s="178" t="e">
        <f>店铺收货台帐2!DE151</f>
        <v>#DIV/0!</v>
      </c>
    </row>
    <row r="151" spans="1:35" hidden="1">
      <c r="A151" s="37">
        <f>订货1!K152</f>
        <v>101721</v>
      </c>
      <c r="B151" s="37" t="str">
        <f>订货1!M152</f>
        <v>土豆泥</v>
      </c>
      <c r="C151" s="180">
        <f>订货1!AB152</f>
        <v>1</v>
      </c>
      <c r="D151" s="180">
        <f>订货1!AC152</f>
        <v>0</v>
      </c>
      <c r="E151" s="180">
        <f>订货1!AD152</f>
        <v>0</v>
      </c>
      <c r="F151" s="180">
        <f>订货1!AE152</f>
        <v>0</v>
      </c>
      <c r="G151" s="180">
        <f>订货1!AF152</f>
        <v>1</v>
      </c>
      <c r="H151" s="180">
        <f>订货1!AG152</f>
        <v>0</v>
      </c>
      <c r="I151" s="180">
        <f>订货1!AH152</f>
        <v>1</v>
      </c>
      <c r="J151" s="180">
        <f>订货1!AI152</f>
        <v>0</v>
      </c>
      <c r="K151" s="180">
        <f>订货1!AJ152</f>
        <v>0</v>
      </c>
      <c r="L151" s="180">
        <f>订货1!AK152</f>
        <v>0</v>
      </c>
      <c r="M151" s="180">
        <f>订货1!AL152</f>
        <v>0</v>
      </c>
      <c r="N151" s="180">
        <f>订货1!AM152</f>
        <v>1</v>
      </c>
      <c r="O151" s="180">
        <f>订货1!AN152</f>
        <v>0</v>
      </c>
      <c r="P151" s="180">
        <f>订货1!AO152</f>
        <v>1</v>
      </c>
      <c r="Q151" s="180">
        <f>订货1!AP152</f>
        <v>0</v>
      </c>
      <c r="R151" s="180">
        <f>订货1!AQ152</f>
        <v>0</v>
      </c>
      <c r="S151" s="180">
        <f>订货1!AR152</f>
        <v>0</v>
      </c>
      <c r="T151" s="180">
        <f>订货1!AS152</f>
        <v>0</v>
      </c>
      <c r="U151" s="180">
        <f>订货1!AT152</f>
        <v>0</v>
      </c>
      <c r="V151" s="180">
        <f>订货1!AU152</f>
        <v>0</v>
      </c>
      <c r="W151" s="180">
        <f>订货1!AV152</f>
        <v>0</v>
      </c>
      <c r="X151" s="180">
        <f>订货1!AW152</f>
        <v>0</v>
      </c>
      <c r="Y151" s="180">
        <f>订货1!AX152</f>
        <v>0</v>
      </c>
      <c r="Z151" s="180">
        <f>订货1!AY152</f>
        <v>0</v>
      </c>
      <c r="AA151" s="180">
        <f>订货1!AZ152</f>
        <v>0</v>
      </c>
      <c r="AB151" s="180">
        <f>订货1!BA152</f>
        <v>0</v>
      </c>
      <c r="AC151" s="180">
        <f>订货1!BB152</f>
        <v>0</v>
      </c>
      <c r="AD151" s="180">
        <f>订货1!BC152</f>
        <v>0</v>
      </c>
      <c r="AE151" s="180">
        <f>订货1!BD152</f>
        <v>0</v>
      </c>
      <c r="AF151" s="180">
        <f>订货1!BE152</f>
        <v>0</v>
      </c>
      <c r="AG151" s="180">
        <f>订货1!BF152</f>
        <v>0</v>
      </c>
      <c r="AH151" s="176"/>
      <c r="AI151" s="178" t="e">
        <f>店铺收货台帐2!DE152</f>
        <v>#DIV/0!</v>
      </c>
    </row>
    <row r="152" spans="1:35" hidden="1">
      <c r="A152" s="37">
        <f>订货1!K153</f>
        <v>101143</v>
      </c>
      <c r="B152" s="37" t="str">
        <f>订货1!M153</f>
        <v>美国辣椒仔</v>
      </c>
      <c r="C152" s="180">
        <f>订货1!AB153</f>
        <v>0</v>
      </c>
      <c r="D152" s="180">
        <f>订货1!AC153</f>
        <v>1</v>
      </c>
      <c r="E152" s="180">
        <f>订货1!AD153</f>
        <v>0</v>
      </c>
      <c r="F152" s="180">
        <f>订货1!AE153</f>
        <v>0</v>
      </c>
      <c r="G152" s="180">
        <f>订货1!AF153</f>
        <v>0</v>
      </c>
      <c r="H152" s="180">
        <f>订货1!AG153</f>
        <v>0</v>
      </c>
      <c r="I152" s="180">
        <f>订货1!AH153</f>
        <v>0</v>
      </c>
      <c r="J152" s="180">
        <f>订货1!AI153</f>
        <v>0</v>
      </c>
      <c r="K152" s="180">
        <f>订货1!AJ153</f>
        <v>0</v>
      </c>
      <c r="L152" s="180">
        <f>订货1!AK153</f>
        <v>0</v>
      </c>
      <c r="M152" s="180">
        <f>订货1!AL153</f>
        <v>0</v>
      </c>
      <c r="N152" s="180">
        <f>订货1!AM153</f>
        <v>1</v>
      </c>
      <c r="O152" s="180">
        <f>订货1!AN153</f>
        <v>0</v>
      </c>
      <c r="P152" s="180">
        <f>订货1!AO153</f>
        <v>0</v>
      </c>
      <c r="Q152" s="180">
        <f>订货1!AP153</f>
        <v>0</v>
      </c>
      <c r="R152" s="180">
        <f>订货1!AQ153</f>
        <v>0</v>
      </c>
      <c r="S152" s="180">
        <f>订货1!AR153</f>
        <v>0</v>
      </c>
      <c r="T152" s="180">
        <f>订货1!AS153</f>
        <v>0</v>
      </c>
      <c r="U152" s="180">
        <f>订货1!AT153</f>
        <v>0</v>
      </c>
      <c r="V152" s="180">
        <f>订货1!AU153</f>
        <v>0</v>
      </c>
      <c r="W152" s="180">
        <f>订货1!AV153</f>
        <v>0</v>
      </c>
      <c r="X152" s="180">
        <f>订货1!AW153</f>
        <v>0</v>
      </c>
      <c r="Y152" s="180">
        <f>订货1!AX153</f>
        <v>0</v>
      </c>
      <c r="Z152" s="180">
        <f>订货1!AY153</f>
        <v>0</v>
      </c>
      <c r="AA152" s="180">
        <f>订货1!AZ153</f>
        <v>0</v>
      </c>
      <c r="AB152" s="180">
        <f>订货1!BA153</f>
        <v>0</v>
      </c>
      <c r="AC152" s="180">
        <f>订货1!BB153</f>
        <v>0</v>
      </c>
      <c r="AD152" s="180">
        <f>订货1!BC153</f>
        <v>0</v>
      </c>
      <c r="AE152" s="180">
        <f>订货1!BD153</f>
        <v>0</v>
      </c>
      <c r="AF152" s="180">
        <f>订货1!BE153</f>
        <v>0</v>
      </c>
      <c r="AG152" s="180">
        <f>订货1!BF153</f>
        <v>0</v>
      </c>
      <c r="AH152" s="176"/>
      <c r="AI152" s="178" t="e">
        <f>店铺收货台帐2!DE153</f>
        <v>#DIV/0!</v>
      </c>
    </row>
    <row r="153" spans="1:35" hidden="1">
      <c r="A153" s="37">
        <f>订货1!K154</f>
        <v>101778</v>
      </c>
      <c r="B153" s="37" t="str">
        <f>订货1!M154</f>
        <v>原切谷饲安格斯西冷牛排</v>
      </c>
      <c r="C153" s="180">
        <f>订货1!AB154</f>
        <v>0</v>
      </c>
      <c r="D153" s="180">
        <f>订货1!AC154</f>
        <v>0</v>
      </c>
      <c r="E153" s="180">
        <f>订货1!AD154</f>
        <v>0</v>
      </c>
      <c r="F153" s="180">
        <f>订货1!AE154</f>
        <v>0</v>
      </c>
      <c r="G153" s="180">
        <f>订货1!AF154</f>
        <v>0</v>
      </c>
      <c r="H153" s="180">
        <f>订货1!AG154</f>
        <v>0</v>
      </c>
      <c r="I153" s="180">
        <f>订货1!AH154</f>
        <v>0</v>
      </c>
      <c r="J153" s="180">
        <f>订货1!AI154</f>
        <v>0</v>
      </c>
      <c r="K153" s="180">
        <f>订货1!AJ154</f>
        <v>0</v>
      </c>
      <c r="L153" s="180">
        <f>订货1!AK154</f>
        <v>0</v>
      </c>
      <c r="M153" s="180">
        <f>订货1!AL154</f>
        <v>0</v>
      </c>
      <c r="N153" s="180">
        <f>订货1!AM154</f>
        <v>0</v>
      </c>
      <c r="O153" s="180">
        <f>订货1!AN154</f>
        <v>0</v>
      </c>
      <c r="P153" s="180">
        <f>订货1!AO154</f>
        <v>0</v>
      </c>
      <c r="Q153" s="180">
        <f>订货1!AP154</f>
        <v>0</v>
      </c>
      <c r="R153" s="180">
        <f>订货1!AQ154</f>
        <v>0</v>
      </c>
      <c r="S153" s="180">
        <f>订货1!AR154</f>
        <v>0</v>
      </c>
      <c r="T153" s="180">
        <f>订货1!AS154</f>
        <v>0</v>
      </c>
      <c r="U153" s="180">
        <f>订货1!AT154</f>
        <v>0</v>
      </c>
      <c r="V153" s="180">
        <f>订货1!AU154</f>
        <v>0</v>
      </c>
      <c r="W153" s="180">
        <f>订货1!AV154</f>
        <v>0</v>
      </c>
      <c r="X153" s="180">
        <f>订货1!AW154</f>
        <v>0</v>
      </c>
      <c r="Y153" s="180">
        <f>订货1!AX154</f>
        <v>0</v>
      </c>
      <c r="Z153" s="180">
        <f>订货1!AY154</f>
        <v>0</v>
      </c>
      <c r="AA153" s="180">
        <f>订货1!AZ154</f>
        <v>0</v>
      </c>
      <c r="AB153" s="180">
        <f>订货1!BA154</f>
        <v>0</v>
      </c>
      <c r="AC153" s="180">
        <f>订货1!BB154</f>
        <v>0</v>
      </c>
      <c r="AD153" s="180">
        <f>订货1!BC154</f>
        <v>0</v>
      </c>
      <c r="AE153" s="180">
        <f>订货1!BD154</f>
        <v>0</v>
      </c>
      <c r="AF153" s="180">
        <f>订货1!BE154</f>
        <v>0</v>
      </c>
      <c r="AG153" s="180">
        <f>订货1!BF154</f>
        <v>0</v>
      </c>
      <c r="AH153" s="176"/>
      <c r="AI153" s="178" t="e">
        <f>店铺收货台帐2!DE154</f>
        <v>#DIV/0!</v>
      </c>
    </row>
    <row r="154" spans="1:35" hidden="1">
      <c r="A154" s="37">
        <f>订货1!K155</f>
        <v>101640</v>
      </c>
      <c r="B154" s="37" t="str">
        <f>订货1!M155</f>
        <v>原味鸡腿排</v>
      </c>
      <c r="C154" s="180">
        <f>订货1!AB155</f>
        <v>0</v>
      </c>
      <c r="D154" s="180">
        <f>订货1!AC155</f>
        <v>1</v>
      </c>
      <c r="E154" s="180">
        <f>订货1!AD155</f>
        <v>0</v>
      </c>
      <c r="F154" s="180">
        <f>订货1!AE155</f>
        <v>1</v>
      </c>
      <c r="G154" s="180">
        <f>订货1!AF155</f>
        <v>0</v>
      </c>
      <c r="H154" s="180">
        <f>订货1!AG155</f>
        <v>1</v>
      </c>
      <c r="I154" s="180">
        <f>订货1!AH155</f>
        <v>0</v>
      </c>
      <c r="J154" s="180">
        <f>订货1!AI155</f>
        <v>0</v>
      </c>
      <c r="K154" s="180">
        <f>订货1!AJ155</f>
        <v>1</v>
      </c>
      <c r="L154" s="180">
        <f>订货1!AK155</f>
        <v>0</v>
      </c>
      <c r="M154" s="180">
        <f>订货1!AL155</f>
        <v>1</v>
      </c>
      <c r="N154" s="180">
        <f>订货1!AM155</f>
        <v>1</v>
      </c>
      <c r="O154" s="180">
        <f>订货1!AN155</f>
        <v>1</v>
      </c>
      <c r="P154" s="180">
        <f>订货1!AO155</f>
        <v>0</v>
      </c>
      <c r="Q154" s="180">
        <f>订货1!AP155</f>
        <v>0</v>
      </c>
      <c r="R154" s="180">
        <f>订货1!AQ155</f>
        <v>0</v>
      </c>
      <c r="S154" s="180">
        <f>订货1!AR155</f>
        <v>0</v>
      </c>
      <c r="T154" s="180">
        <f>订货1!AS155</f>
        <v>0</v>
      </c>
      <c r="U154" s="180">
        <f>订货1!AT155</f>
        <v>0</v>
      </c>
      <c r="V154" s="180">
        <f>订货1!AU155</f>
        <v>0</v>
      </c>
      <c r="W154" s="180">
        <f>订货1!AV155</f>
        <v>0</v>
      </c>
      <c r="X154" s="180">
        <f>订货1!AW155</f>
        <v>0</v>
      </c>
      <c r="Y154" s="180">
        <f>订货1!AX155</f>
        <v>0</v>
      </c>
      <c r="Z154" s="180">
        <f>订货1!AY155</f>
        <v>0</v>
      </c>
      <c r="AA154" s="180">
        <f>订货1!AZ155</f>
        <v>0</v>
      </c>
      <c r="AB154" s="180">
        <f>订货1!BA155</f>
        <v>0</v>
      </c>
      <c r="AC154" s="180">
        <f>订货1!BB155</f>
        <v>0</v>
      </c>
      <c r="AD154" s="180">
        <f>订货1!BC155</f>
        <v>0</v>
      </c>
      <c r="AE154" s="180">
        <f>订货1!BD155</f>
        <v>0</v>
      </c>
      <c r="AF154" s="180">
        <f>订货1!BE155</f>
        <v>0</v>
      </c>
      <c r="AG154" s="180">
        <f>订货1!BF155</f>
        <v>0</v>
      </c>
      <c r="AH154" s="176"/>
      <c r="AI154" s="178" t="e">
        <f>店铺收货台帐2!DE155</f>
        <v>#DIV/0!</v>
      </c>
    </row>
    <row r="155" spans="1:35" hidden="1">
      <c r="A155" s="37">
        <f>订货1!K156</f>
        <v>101641</v>
      </c>
      <c r="B155" s="37" t="str">
        <f>订货1!M156</f>
        <v>萨莉亚鸡排串</v>
      </c>
      <c r="C155" s="180">
        <f>订货1!AB156</f>
        <v>0</v>
      </c>
      <c r="D155" s="180">
        <f>订货1!AC156</f>
        <v>0</v>
      </c>
      <c r="E155" s="180">
        <f>订货1!AD156</f>
        <v>0</v>
      </c>
      <c r="F155" s="180">
        <f>订货1!AE156</f>
        <v>0</v>
      </c>
      <c r="G155" s="180">
        <f>订货1!AF156</f>
        <v>0</v>
      </c>
      <c r="H155" s="180">
        <f>订货1!AG156</f>
        <v>0</v>
      </c>
      <c r="I155" s="180">
        <f>订货1!AH156</f>
        <v>0</v>
      </c>
      <c r="J155" s="180">
        <f>订货1!AI156</f>
        <v>0</v>
      </c>
      <c r="K155" s="180">
        <f>订货1!AJ156</f>
        <v>0</v>
      </c>
      <c r="L155" s="180">
        <f>订货1!AK156</f>
        <v>0</v>
      </c>
      <c r="M155" s="180">
        <f>订货1!AL156</f>
        <v>0</v>
      </c>
      <c r="N155" s="180">
        <f>订货1!AM156</f>
        <v>0</v>
      </c>
      <c r="O155" s="180">
        <f>订货1!AN156</f>
        <v>0</v>
      </c>
      <c r="P155" s="180">
        <f>订货1!AO156</f>
        <v>0</v>
      </c>
      <c r="Q155" s="180">
        <f>订货1!AP156</f>
        <v>0</v>
      </c>
      <c r="R155" s="180">
        <f>订货1!AQ156</f>
        <v>0</v>
      </c>
      <c r="S155" s="180">
        <f>订货1!AR156</f>
        <v>0</v>
      </c>
      <c r="T155" s="180">
        <f>订货1!AS156</f>
        <v>0</v>
      </c>
      <c r="U155" s="180">
        <f>订货1!AT156</f>
        <v>0</v>
      </c>
      <c r="V155" s="180">
        <f>订货1!AU156</f>
        <v>0</v>
      </c>
      <c r="W155" s="180">
        <f>订货1!AV156</f>
        <v>0</v>
      </c>
      <c r="X155" s="180">
        <f>订货1!AW156</f>
        <v>0</v>
      </c>
      <c r="Y155" s="180">
        <f>订货1!AX156</f>
        <v>0</v>
      </c>
      <c r="Z155" s="180">
        <f>订货1!AY156</f>
        <v>0</v>
      </c>
      <c r="AA155" s="180">
        <f>订货1!AZ156</f>
        <v>0</v>
      </c>
      <c r="AB155" s="180">
        <f>订货1!BA156</f>
        <v>0</v>
      </c>
      <c r="AC155" s="180">
        <f>订货1!BB156</f>
        <v>0</v>
      </c>
      <c r="AD155" s="180">
        <f>订货1!BC156</f>
        <v>0</v>
      </c>
      <c r="AE155" s="180">
        <f>订货1!BD156</f>
        <v>0</v>
      </c>
      <c r="AF155" s="180">
        <f>订货1!BE156</f>
        <v>0</v>
      </c>
      <c r="AG155" s="180">
        <f>订货1!BF156</f>
        <v>0</v>
      </c>
      <c r="AH155" s="176"/>
      <c r="AI155" s="178" t="e">
        <f>店铺收货台帐2!DE156</f>
        <v>#DIV/0!</v>
      </c>
    </row>
    <row r="156" spans="1:35" hidden="1">
      <c r="A156" s="37">
        <f>订货1!K157</f>
        <v>201284</v>
      </c>
      <c r="B156" s="37" t="str">
        <f>订货1!M157</f>
        <v>面粉</v>
      </c>
      <c r="C156" s="180">
        <f>订货1!AB157</f>
        <v>0</v>
      </c>
      <c r="D156" s="180">
        <f>订货1!AC157</f>
        <v>0</v>
      </c>
      <c r="E156" s="180">
        <f>订货1!AD157</f>
        <v>0</v>
      </c>
      <c r="F156" s="180">
        <f>订货1!AE157</f>
        <v>0</v>
      </c>
      <c r="G156" s="180">
        <f>订货1!AF157</f>
        <v>0</v>
      </c>
      <c r="H156" s="180">
        <f>订货1!AG157</f>
        <v>0</v>
      </c>
      <c r="I156" s="180">
        <f>订货1!AH157</f>
        <v>0</v>
      </c>
      <c r="J156" s="180">
        <f>订货1!AI157</f>
        <v>0</v>
      </c>
      <c r="K156" s="180">
        <f>订货1!AJ157</f>
        <v>0</v>
      </c>
      <c r="L156" s="180">
        <f>订货1!AK157</f>
        <v>0</v>
      </c>
      <c r="M156" s="180">
        <f>订货1!AL157</f>
        <v>0</v>
      </c>
      <c r="N156" s="180">
        <f>订货1!AM157</f>
        <v>0</v>
      </c>
      <c r="O156" s="180">
        <f>订货1!AN157</f>
        <v>0</v>
      </c>
      <c r="P156" s="180">
        <f>订货1!AO157</f>
        <v>0</v>
      </c>
      <c r="Q156" s="180">
        <f>订货1!AP157</f>
        <v>0</v>
      </c>
      <c r="R156" s="180">
        <f>订货1!AQ157</f>
        <v>0</v>
      </c>
      <c r="S156" s="180">
        <f>订货1!AR157</f>
        <v>0</v>
      </c>
      <c r="T156" s="180">
        <f>订货1!AS157</f>
        <v>0</v>
      </c>
      <c r="U156" s="180">
        <f>订货1!AT157</f>
        <v>0</v>
      </c>
      <c r="V156" s="180">
        <f>订货1!AU157</f>
        <v>0</v>
      </c>
      <c r="W156" s="180">
        <f>订货1!AV157</f>
        <v>0</v>
      </c>
      <c r="X156" s="180">
        <f>订货1!AW157</f>
        <v>0</v>
      </c>
      <c r="Y156" s="180">
        <f>订货1!AX157</f>
        <v>0</v>
      </c>
      <c r="Z156" s="180">
        <f>订货1!AY157</f>
        <v>0</v>
      </c>
      <c r="AA156" s="180">
        <f>订货1!AZ157</f>
        <v>0</v>
      </c>
      <c r="AB156" s="180">
        <f>订货1!BA157</f>
        <v>0</v>
      </c>
      <c r="AC156" s="180">
        <f>订货1!BB157</f>
        <v>0</v>
      </c>
      <c r="AD156" s="180">
        <f>订货1!BC157</f>
        <v>0</v>
      </c>
      <c r="AE156" s="180">
        <f>订货1!BD157</f>
        <v>0</v>
      </c>
      <c r="AF156" s="180">
        <f>订货1!BE157</f>
        <v>0</v>
      </c>
      <c r="AG156" s="180">
        <f>订货1!BF157</f>
        <v>0</v>
      </c>
      <c r="AH156" s="176"/>
      <c r="AI156" s="178" t="e">
        <f>店铺收货台帐2!DE157</f>
        <v>#DIV/0!</v>
      </c>
    </row>
    <row r="157" spans="1:35" hidden="1">
      <c r="A157" s="37">
        <f>订货1!K158</f>
        <v>101671</v>
      </c>
      <c r="B157" s="37" t="str">
        <f>订货1!M158</f>
        <v>速冻菠菜段</v>
      </c>
      <c r="C157" s="180">
        <f>订货1!AB158</f>
        <v>1</v>
      </c>
      <c r="D157" s="180">
        <f>订货1!AC158</f>
        <v>1</v>
      </c>
      <c r="E157" s="180">
        <f>订货1!AD158</f>
        <v>0</v>
      </c>
      <c r="F157" s="180">
        <f>订货1!AE158</f>
        <v>2</v>
      </c>
      <c r="G157" s="180">
        <f>订货1!AF158</f>
        <v>1</v>
      </c>
      <c r="H157" s="180">
        <f>订货1!AG158</f>
        <v>2</v>
      </c>
      <c r="I157" s="180">
        <f>订货1!AH158</f>
        <v>0</v>
      </c>
      <c r="J157" s="180">
        <f>订货1!AI158</f>
        <v>1</v>
      </c>
      <c r="K157" s="180">
        <f>订货1!AJ158</f>
        <v>1</v>
      </c>
      <c r="L157" s="180">
        <f>订货1!AK158</f>
        <v>0</v>
      </c>
      <c r="M157" s="180">
        <f>订货1!AL158</f>
        <v>0</v>
      </c>
      <c r="N157" s="180">
        <f>订货1!AM158</f>
        <v>2</v>
      </c>
      <c r="O157" s="180">
        <f>订货1!AN158</f>
        <v>2</v>
      </c>
      <c r="P157" s="180">
        <f>订货1!AO158</f>
        <v>2</v>
      </c>
      <c r="Q157" s="180">
        <f>订货1!AP158</f>
        <v>0</v>
      </c>
      <c r="R157" s="180">
        <f>订货1!AQ158</f>
        <v>0</v>
      </c>
      <c r="S157" s="180">
        <f>订货1!AR158</f>
        <v>0</v>
      </c>
      <c r="T157" s="180">
        <f>订货1!AS158</f>
        <v>0</v>
      </c>
      <c r="U157" s="180">
        <f>订货1!AT158</f>
        <v>0</v>
      </c>
      <c r="V157" s="180">
        <f>订货1!AU158</f>
        <v>0</v>
      </c>
      <c r="W157" s="180">
        <f>订货1!AV158</f>
        <v>0</v>
      </c>
      <c r="X157" s="180">
        <f>订货1!AW158</f>
        <v>0</v>
      </c>
      <c r="Y157" s="180">
        <f>订货1!AX158</f>
        <v>0</v>
      </c>
      <c r="Z157" s="180">
        <f>订货1!AY158</f>
        <v>0</v>
      </c>
      <c r="AA157" s="180">
        <f>订货1!AZ158</f>
        <v>0</v>
      </c>
      <c r="AB157" s="180">
        <f>订货1!BA158</f>
        <v>0</v>
      </c>
      <c r="AC157" s="180">
        <f>订货1!BB158</f>
        <v>0</v>
      </c>
      <c r="AD157" s="180">
        <f>订货1!BC158</f>
        <v>0</v>
      </c>
      <c r="AE157" s="180">
        <f>订货1!BD158</f>
        <v>0</v>
      </c>
      <c r="AF157" s="180">
        <f>订货1!BE158</f>
        <v>0</v>
      </c>
      <c r="AG157" s="180">
        <f>订货1!BF158</f>
        <v>0</v>
      </c>
      <c r="AH157" s="176"/>
      <c r="AI157" s="178" t="e">
        <f>店铺收货台帐2!DE158</f>
        <v>#DIV/0!</v>
      </c>
    </row>
    <row r="158" spans="1:35" hidden="1">
      <c r="A158" s="37">
        <f>订货1!K159</f>
        <v>101672</v>
      </c>
      <c r="B158" s="37" t="str">
        <f>订货1!M159</f>
        <v>速冻甜玉米粒</v>
      </c>
      <c r="C158" s="180">
        <f>订货1!AB159</f>
        <v>0</v>
      </c>
      <c r="D158" s="180">
        <f>订货1!AC159</f>
        <v>1</v>
      </c>
      <c r="E158" s="180">
        <f>订货1!AD159</f>
        <v>0</v>
      </c>
      <c r="F158" s="180">
        <f>订货1!AE159</f>
        <v>1</v>
      </c>
      <c r="G158" s="180">
        <f>订货1!AF159</f>
        <v>1</v>
      </c>
      <c r="H158" s="180">
        <f>订货1!AG159</f>
        <v>2</v>
      </c>
      <c r="I158" s="180">
        <f>订货1!AH159</f>
        <v>0</v>
      </c>
      <c r="J158" s="180">
        <f>订货1!AI159</f>
        <v>1</v>
      </c>
      <c r="K158" s="180">
        <f>订货1!AJ159</f>
        <v>1</v>
      </c>
      <c r="L158" s="180">
        <f>订货1!AK159</f>
        <v>0</v>
      </c>
      <c r="M158" s="180">
        <f>订货1!AL159</f>
        <v>0</v>
      </c>
      <c r="N158" s="180">
        <f>订货1!AM159</f>
        <v>2</v>
      </c>
      <c r="O158" s="180">
        <f>订货1!AN159</f>
        <v>1</v>
      </c>
      <c r="P158" s="180">
        <f>订货1!AO159</f>
        <v>1</v>
      </c>
      <c r="Q158" s="180">
        <f>订货1!AP159</f>
        <v>0</v>
      </c>
      <c r="R158" s="180">
        <f>订货1!AQ159</f>
        <v>0</v>
      </c>
      <c r="S158" s="180">
        <f>订货1!AR159</f>
        <v>0</v>
      </c>
      <c r="T158" s="180">
        <f>订货1!AS159</f>
        <v>0</v>
      </c>
      <c r="U158" s="180">
        <f>订货1!AT159</f>
        <v>0</v>
      </c>
      <c r="V158" s="180">
        <f>订货1!AU159</f>
        <v>0</v>
      </c>
      <c r="W158" s="180">
        <f>订货1!AV159</f>
        <v>0</v>
      </c>
      <c r="X158" s="180">
        <f>订货1!AW159</f>
        <v>0</v>
      </c>
      <c r="Y158" s="180">
        <f>订货1!AX159</f>
        <v>0</v>
      </c>
      <c r="Z158" s="180">
        <f>订货1!AY159</f>
        <v>0</v>
      </c>
      <c r="AA158" s="180">
        <f>订货1!AZ159</f>
        <v>0</v>
      </c>
      <c r="AB158" s="180">
        <f>订货1!BA159</f>
        <v>0</v>
      </c>
      <c r="AC158" s="180">
        <f>订货1!BB159</f>
        <v>0</v>
      </c>
      <c r="AD158" s="180">
        <f>订货1!BC159</f>
        <v>0</v>
      </c>
      <c r="AE158" s="180">
        <f>订货1!BD159</f>
        <v>0</v>
      </c>
      <c r="AF158" s="180">
        <f>订货1!BE159</f>
        <v>0</v>
      </c>
      <c r="AG158" s="180">
        <f>订货1!BF159</f>
        <v>0</v>
      </c>
      <c r="AH158" s="176"/>
      <c r="AI158" s="178" t="e">
        <f>店铺收货台帐2!DE159</f>
        <v>#DIV/0!</v>
      </c>
    </row>
    <row r="159" spans="1:35" hidden="1">
      <c r="A159" s="37">
        <f>订货1!K160</f>
        <v>301374</v>
      </c>
      <c r="B159" s="37" t="str">
        <f>订货1!M160</f>
        <v>鑫阿拉红椰果罐头</v>
      </c>
      <c r="C159" s="180">
        <f>订货1!AB160</f>
        <v>0</v>
      </c>
      <c r="D159" s="180">
        <f>订货1!AC160</f>
        <v>0</v>
      </c>
      <c r="E159" s="180">
        <f>订货1!AD160</f>
        <v>0</v>
      </c>
      <c r="F159" s="180">
        <f>订货1!AE160</f>
        <v>0</v>
      </c>
      <c r="G159" s="180">
        <f>订货1!AF160</f>
        <v>0</v>
      </c>
      <c r="H159" s="180">
        <f>订货1!AG160</f>
        <v>0</v>
      </c>
      <c r="I159" s="180">
        <f>订货1!AH160</f>
        <v>0</v>
      </c>
      <c r="J159" s="180">
        <f>订货1!AI160</f>
        <v>0</v>
      </c>
      <c r="K159" s="180">
        <f>订货1!AJ160</f>
        <v>0</v>
      </c>
      <c r="L159" s="180">
        <f>订货1!AK160</f>
        <v>0</v>
      </c>
      <c r="M159" s="180">
        <f>订货1!AL160</f>
        <v>0</v>
      </c>
      <c r="N159" s="180">
        <f>订货1!AM160</f>
        <v>0</v>
      </c>
      <c r="O159" s="180">
        <f>订货1!AN160</f>
        <v>0</v>
      </c>
      <c r="P159" s="180">
        <f>订货1!AO160</f>
        <v>0</v>
      </c>
      <c r="Q159" s="180">
        <f>订货1!AP160</f>
        <v>0</v>
      </c>
      <c r="R159" s="180">
        <f>订货1!AQ160</f>
        <v>0</v>
      </c>
      <c r="S159" s="180">
        <f>订货1!AR160</f>
        <v>0</v>
      </c>
      <c r="T159" s="180">
        <f>订货1!AS160</f>
        <v>0</v>
      </c>
      <c r="U159" s="180">
        <f>订货1!AT160</f>
        <v>0</v>
      </c>
      <c r="V159" s="180">
        <f>订货1!AU160</f>
        <v>0</v>
      </c>
      <c r="W159" s="180">
        <f>订货1!AV160</f>
        <v>0</v>
      </c>
      <c r="X159" s="180">
        <f>订货1!AW160</f>
        <v>0</v>
      </c>
      <c r="Y159" s="180">
        <f>订货1!AX160</f>
        <v>0</v>
      </c>
      <c r="Z159" s="180">
        <f>订货1!AY160</f>
        <v>0</v>
      </c>
      <c r="AA159" s="180">
        <f>订货1!AZ160</f>
        <v>0</v>
      </c>
      <c r="AB159" s="180">
        <f>订货1!BA160</f>
        <v>0</v>
      </c>
      <c r="AC159" s="180">
        <f>订货1!BB160</f>
        <v>0</v>
      </c>
      <c r="AD159" s="180">
        <f>订货1!BC160</f>
        <v>0</v>
      </c>
      <c r="AE159" s="180">
        <f>订货1!BD160</f>
        <v>0</v>
      </c>
      <c r="AF159" s="180">
        <f>订货1!BE160</f>
        <v>0</v>
      </c>
      <c r="AG159" s="180">
        <f>订货1!BF160</f>
        <v>0</v>
      </c>
      <c r="AH159" s="176"/>
      <c r="AI159" s="178" t="e">
        <f>店铺收货台帐2!DE160</f>
        <v>#DIV/0!</v>
      </c>
    </row>
    <row r="160" spans="1:35" hidden="1">
      <c r="A160" s="37">
        <f>订货1!K161</f>
        <v>101605</v>
      </c>
      <c r="B160" s="37" t="str">
        <f>订货1!M161</f>
        <v>炸大蒜调味料（新）</v>
      </c>
      <c r="C160" s="180">
        <f>订货1!AB161</f>
        <v>0</v>
      </c>
      <c r="D160" s="180">
        <f>订货1!AC161</f>
        <v>0</v>
      </c>
      <c r="E160" s="180">
        <f>订货1!AD161</f>
        <v>0</v>
      </c>
      <c r="F160" s="180">
        <f>订货1!AE161</f>
        <v>0</v>
      </c>
      <c r="G160" s="180">
        <f>订货1!AF161</f>
        <v>0</v>
      </c>
      <c r="H160" s="180">
        <f>订货1!AG161</f>
        <v>0</v>
      </c>
      <c r="I160" s="180">
        <f>订货1!AH161</f>
        <v>0</v>
      </c>
      <c r="J160" s="180">
        <f>订货1!AI161</f>
        <v>0</v>
      </c>
      <c r="K160" s="180">
        <f>订货1!AJ161</f>
        <v>0</v>
      </c>
      <c r="L160" s="180">
        <f>订货1!AK161</f>
        <v>0</v>
      </c>
      <c r="M160" s="180">
        <f>订货1!AL161</f>
        <v>0</v>
      </c>
      <c r="N160" s="180">
        <f>订货1!AM161</f>
        <v>0</v>
      </c>
      <c r="O160" s="180">
        <f>订货1!AN161</f>
        <v>0</v>
      </c>
      <c r="P160" s="180">
        <f>订货1!AO161</f>
        <v>0</v>
      </c>
      <c r="Q160" s="180">
        <f>订货1!AP161</f>
        <v>0</v>
      </c>
      <c r="R160" s="180">
        <f>订货1!AQ161</f>
        <v>0</v>
      </c>
      <c r="S160" s="180">
        <f>订货1!AR161</f>
        <v>0</v>
      </c>
      <c r="T160" s="180">
        <f>订货1!AS161</f>
        <v>0</v>
      </c>
      <c r="U160" s="180">
        <f>订货1!AT161</f>
        <v>0</v>
      </c>
      <c r="V160" s="180">
        <f>订货1!AU161</f>
        <v>0</v>
      </c>
      <c r="W160" s="180">
        <f>订货1!AV161</f>
        <v>0</v>
      </c>
      <c r="X160" s="180">
        <f>订货1!AW161</f>
        <v>0</v>
      </c>
      <c r="Y160" s="180">
        <f>订货1!AX161</f>
        <v>0</v>
      </c>
      <c r="Z160" s="180">
        <f>订货1!AY161</f>
        <v>0</v>
      </c>
      <c r="AA160" s="180">
        <f>订货1!AZ161</f>
        <v>0</v>
      </c>
      <c r="AB160" s="180">
        <f>订货1!BA161</f>
        <v>0</v>
      </c>
      <c r="AC160" s="180">
        <f>订货1!BB161</f>
        <v>0</v>
      </c>
      <c r="AD160" s="180">
        <f>订货1!BC161</f>
        <v>0</v>
      </c>
      <c r="AE160" s="180">
        <f>订货1!BD161</f>
        <v>0</v>
      </c>
      <c r="AF160" s="180">
        <f>订货1!BE161</f>
        <v>0</v>
      </c>
      <c r="AG160" s="180">
        <f>订货1!BF161</f>
        <v>0</v>
      </c>
      <c r="AH160" s="176"/>
      <c r="AI160" s="178" t="e">
        <f>店铺收货台帐2!DE161</f>
        <v>#DIV/0!</v>
      </c>
    </row>
    <row r="161" spans="1:35" hidden="1">
      <c r="A161" s="37">
        <f>订货1!K162</f>
        <v>101606</v>
      </c>
      <c r="B161" s="37" t="str">
        <f>订货1!M162</f>
        <v>冷冻三文鱼块（新）</v>
      </c>
      <c r="C161" s="180">
        <f>订货1!AB162</f>
        <v>0</v>
      </c>
      <c r="D161" s="180">
        <f>订货1!AC162</f>
        <v>1</v>
      </c>
      <c r="E161" s="180">
        <f>订货1!AD162</f>
        <v>0</v>
      </c>
      <c r="F161" s="180">
        <f>订货1!AE162</f>
        <v>0</v>
      </c>
      <c r="G161" s="180">
        <f>订货1!AF162</f>
        <v>0</v>
      </c>
      <c r="H161" s="180">
        <f>订货1!AG162</f>
        <v>0</v>
      </c>
      <c r="I161" s="180">
        <f>订货1!AH162</f>
        <v>1</v>
      </c>
      <c r="J161" s="180">
        <f>订货1!AI162</f>
        <v>0</v>
      </c>
      <c r="K161" s="180">
        <f>订货1!AJ162</f>
        <v>0</v>
      </c>
      <c r="L161" s="180">
        <f>订货1!AK162</f>
        <v>0</v>
      </c>
      <c r="M161" s="180">
        <f>订货1!AL162</f>
        <v>0</v>
      </c>
      <c r="N161" s="180">
        <f>订货1!AM162</f>
        <v>0</v>
      </c>
      <c r="O161" s="180">
        <f>订货1!AN162</f>
        <v>0</v>
      </c>
      <c r="P161" s="180">
        <f>订货1!AO162</f>
        <v>1</v>
      </c>
      <c r="Q161" s="180">
        <f>订货1!AP162</f>
        <v>0</v>
      </c>
      <c r="R161" s="180">
        <f>订货1!AQ162</f>
        <v>0</v>
      </c>
      <c r="S161" s="180">
        <f>订货1!AR162</f>
        <v>0</v>
      </c>
      <c r="T161" s="180">
        <f>订货1!AS162</f>
        <v>0</v>
      </c>
      <c r="U161" s="180">
        <f>订货1!AT162</f>
        <v>0</v>
      </c>
      <c r="V161" s="180">
        <f>订货1!AU162</f>
        <v>0</v>
      </c>
      <c r="W161" s="180">
        <f>订货1!AV162</f>
        <v>0</v>
      </c>
      <c r="X161" s="180">
        <f>订货1!AW162</f>
        <v>0</v>
      </c>
      <c r="Y161" s="180">
        <f>订货1!AX162</f>
        <v>0</v>
      </c>
      <c r="Z161" s="180">
        <f>订货1!AY162</f>
        <v>0</v>
      </c>
      <c r="AA161" s="180">
        <f>订货1!AZ162</f>
        <v>0</v>
      </c>
      <c r="AB161" s="180">
        <f>订货1!BA162</f>
        <v>0</v>
      </c>
      <c r="AC161" s="180">
        <f>订货1!BB162</f>
        <v>0</v>
      </c>
      <c r="AD161" s="180">
        <f>订货1!BC162</f>
        <v>0</v>
      </c>
      <c r="AE161" s="180">
        <f>订货1!BD162</f>
        <v>0</v>
      </c>
      <c r="AF161" s="180">
        <f>订货1!BE162</f>
        <v>0</v>
      </c>
      <c r="AG161" s="180">
        <f>订货1!BF162</f>
        <v>0</v>
      </c>
      <c r="AH161" s="176"/>
      <c r="AI161" s="178" t="e">
        <f>店铺收货台帐2!DE162</f>
        <v>#DIV/0!</v>
      </c>
    </row>
    <row r="162" spans="1:35" hidden="1">
      <c r="A162" s="37">
        <f>订货1!K163</f>
        <v>101133</v>
      </c>
      <c r="B162" s="37" t="str">
        <f>订货1!M163</f>
        <v>丘比沙拉酱</v>
      </c>
      <c r="C162" s="180">
        <f>订货1!AB163</f>
        <v>1</v>
      </c>
      <c r="D162" s="180">
        <f>订货1!AC163</f>
        <v>0</v>
      </c>
      <c r="E162" s="180">
        <f>订货1!AD163</f>
        <v>0</v>
      </c>
      <c r="F162" s="180">
        <f>订货1!AE163</f>
        <v>0</v>
      </c>
      <c r="G162" s="180">
        <f>订货1!AF163</f>
        <v>0</v>
      </c>
      <c r="H162" s="180">
        <f>订货1!AG163</f>
        <v>0</v>
      </c>
      <c r="I162" s="180">
        <f>订货1!AH163</f>
        <v>0</v>
      </c>
      <c r="J162" s="180">
        <f>订货1!AI163</f>
        <v>0</v>
      </c>
      <c r="K162" s="180">
        <f>订货1!AJ163</f>
        <v>0</v>
      </c>
      <c r="L162" s="180">
        <f>订货1!AK163</f>
        <v>0</v>
      </c>
      <c r="M162" s="180">
        <f>订货1!AL163</f>
        <v>0</v>
      </c>
      <c r="N162" s="180">
        <f>订货1!AM163</f>
        <v>0</v>
      </c>
      <c r="O162" s="180">
        <f>订货1!AN163</f>
        <v>0</v>
      </c>
      <c r="P162" s="180">
        <f>订货1!AO163</f>
        <v>0</v>
      </c>
      <c r="Q162" s="180">
        <f>订货1!AP163</f>
        <v>0</v>
      </c>
      <c r="R162" s="180">
        <f>订货1!AQ163</f>
        <v>0</v>
      </c>
      <c r="S162" s="180">
        <f>订货1!AR163</f>
        <v>0</v>
      </c>
      <c r="T162" s="180">
        <f>订货1!AS163</f>
        <v>0</v>
      </c>
      <c r="U162" s="180">
        <f>订货1!AT163</f>
        <v>0</v>
      </c>
      <c r="V162" s="180">
        <f>订货1!AU163</f>
        <v>0</v>
      </c>
      <c r="W162" s="180">
        <f>订货1!AV163</f>
        <v>0</v>
      </c>
      <c r="X162" s="180">
        <f>订货1!AW163</f>
        <v>0</v>
      </c>
      <c r="Y162" s="180">
        <f>订货1!AX163</f>
        <v>0</v>
      </c>
      <c r="Z162" s="180">
        <f>订货1!AY163</f>
        <v>0</v>
      </c>
      <c r="AA162" s="180">
        <f>订货1!AZ163</f>
        <v>0</v>
      </c>
      <c r="AB162" s="180">
        <f>订货1!BA163</f>
        <v>0</v>
      </c>
      <c r="AC162" s="180">
        <f>订货1!BB163</f>
        <v>0</v>
      </c>
      <c r="AD162" s="180">
        <f>订货1!BC163</f>
        <v>0</v>
      </c>
      <c r="AE162" s="180">
        <f>订货1!BD163</f>
        <v>0</v>
      </c>
      <c r="AF162" s="180">
        <f>订货1!BE163</f>
        <v>0</v>
      </c>
      <c r="AG162" s="180">
        <f>订货1!BF163</f>
        <v>0</v>
      </c>
      <c r="AH162" s="176"/>
      <c r="AI162" s="178" t="e">
        <f>店铺收货台帐2!DE163</f>
        <v>#DIV/0!</v>
      </c>
    </row>
    <row r="163" spans="1:35" hidden="1">
      <c r="A163" s="37">
        <f>订货1!K164</f>
        <v>101655</v>
      </c>
      <c r="B163" s="37" t="str">
        <f>订货1!M164</f>
        <v>面包虾</v>
      </c>
      <c r="C163" s="180">
        <f>订货1!AB164</f>
        <v>0</v>
      </c>
      <c r="D163" s="180">
        <f>订货1!AC164</f>
        <v>0</v>
      </c>
      <c r="E163" s="180">
        <f>订货1!AD164</f>
        <v>0</v>
      </c>
      <c r="F163" s="180">
        <f>订货1!AE164</f>
        <v>1</v>
      </c>
      <c r="G163" s="180">
        <f>订货1!AF164</f>
        <v>0</v>
      </c>
      <c r="H163" s="180">
        <f>订货1!AG164</f>
        <v>0</v>
      </c>
      <c r="I163" s="180">
        <f>订货1!AH164</f>
        <v>0</v>
      </c>
      <c r="J163" s="180">
        <f>订货1!AI164</f>
        <v>0</v>
      </c>
      <c r="K163" s="180">
        <f>订货1!AJ164</f>
        <v>0</v>
      </c>
      <c r="L163" s="180">
        <f>订货1!AK164</f>
        <v>0</v>
      </c>
      <c r="M163" s="180">
        <f>订货1!AL164</f>
        <v>0</v>
      </c>
      <c r="N163" s="180">
        <f>订货1!AM164</f>
        <v>1</v>
      </c>
      <c r="O163" s="180">
        <f>订货1!AN164</f>
        <v>0</v>
      </c>
      <c r="P163" s="180">
        <f>订货1!AO164</f>
        <v>0</v>
      </c>
      <c r="Q163" s="180">
        <f>订货1!AP164</f>
        <v>0</v>
      </c>
      <c r="R163" s="180">
        <f>订货1!AQ164</f>
        <v>0</v>
      </c>
      <c r="S163" s="180">
        <f>订货1!AR164</f>
        <v>0</v>
      </c>
      <c r="T163" s="180">
        <f>订货1!AS164</f>
        <v>0</v>
      </c>
      <c r="U163" s="180">
        <f>订货1!AT164</f>
        <v>0</v>
      </c>
      <c r="V163" s="180">
        <f>订货1!AU164</f>
        <v>0</v>
      </c>
      <c r="W163" s="180">
        <f>订货1!AV164</f>
        <v>0</v>
      </c>
      <c r="X163" s="180">
        <f>订货1!AW164</f>
        <v>0</v>
      </c>
      <c r="Y163" s="180">
        <f>订货1!AX164</f>
        <v>0</v>
      </c>
      <c r="Z163" s="180">
        <f>订货1!AY164</f>
        <v>0</v>
      </c>
      <c r="AA163" s="180">
        <f>订货1!AZ164</f>
        <v>0</v>
      </c>
      <c r="AB163" s="180">
        <f>订货1!BA164</f>
        <v>0</v>
      </c>
      <c r="AC163" s="180">
        <f>订货1!BB164</f>
        <v>0</v>
      </c>
      <c r="AD163" s="180">
        <f>订货1!BC164</f>
        <v>0</v>
      </c>
      <c r="AE163" s="180">
        <f>订货1!BD164</f>
        <v>0</v>
      </c>
      <c r="AF163" s="180">
        <f>订货1!BE164</f>
        <v>0</v>
      </c>
      <c r="AG163" s="180">
        <f>订货1!BF164</f>
        <v>0</v>
      </c>
      <c r="AH163" s="176"/>
      <c r="AI163" s="178" t="e">
        <f>店铺收货台帐2!DE164</f>
        <v>#DIV/0!</v>
      </c>
    </row>
    <row r="164" spans="1:35" hidden="1">
      <c r="A164" s="37">
        <f>订货1!K165</f>
        <v>101145</v>
      </c>
      <c r="B164" s="37" t="str">
        <f>订货1!M165</f>
        <v>精制盐</v>
      </c>
      <c r="C164" s="180">
        <f>订货1!AB165</f>
        <v>0</v>
      </c>
      <c r="D164" s="180">
        <f>订货1!AC165</f>
        <v>0</v>
      </c>
      <c r="E164" s="180">
        <f>订货1!AD165</f>
        <v>0</v>
      </c>
      <c r="F164" s="180">
        <f>订货1!AE165</f>
        <v>0</v>
      </c>
      <c r="G164" s="180">
        <f>订货1!AF165</f>
        <v>0</v>
      </c>
      <c r="H164" s="180">
        <f>订货1!AG165</f>
        <v>0</v>
      </c>
      <c r="I164" s="180">
        <f>订货1!AH165</f>
        <v>0</v>
      </c>
      <c r="J164" s="180">
        <f>订货1!AI165</f>
        <v>0</v>
      </c>
      <c r="K164" s="180">
        <f>订货1!AJ165</f>
        <v>0</v>
      </c>
      <c r="L164" s="180">
        <f>订货1!AK165</f>
        <v>0</v>
      </c>
      <c r="M164" s="180">
        <f>订货1!AL165</f>
        <v>0</v>
      </c>
      <c r="N164" s="180">
        <f>订货1!AM165</f>
        <v>1</v>
      </c>
      <c r="O164" s="180">
        <f>订货1!AN165</f>
        <v>0</v>
      </c>
      <c r="P164" s="180">
        <f>订货1!AO165</f>
        <v>0</v>
      </c>
      <c r="Q164" s="180">
        <f>订货1!AP165</f>
        <v>0</v>
      </c>
      <c r="R164" s="180">
        <f>订货1!AQ165</f>
        <v>0</v>
      </c>
      <c r="S164" s="180">
        <f>订货1!AR165</f>
        <v>0</v>
      </c>
      <c r="T164" s="180">
        <f>订货1!AS165</f>
        <v>0</v>
      </c>
      <c r="U164" s="180">
        <f>订货1!AT165</f>
        <v>0</v>
      </c>
      <c r="V164" s="180">
        <f>订货1!AU165</f>
        <v>0</v>
      </c>
      <c r="W164" s="180">
        <f>订货1!AV165</f>
        <v>0</v>
      </c>
      <c r="X164" s="180">
        <f>订货1!AW165</f>
        <v>0</v>
      </c>
      <c r="Y164" s="180">
        <f>订货1!AX165</f>
        <v>0</v>
      </c>
      <c r="Z164" s="180">
        <f>订货1!AY165</f>
        <v>0</v>
      </c>
      <c r="AA164" s="180">
        <f>订货1!AZ165</f>
        <v>0</v>
      </c>
      <c r="AB164" s="180">
        <f>订货1!BA165</f>
        <v>0</v>
      </c>
      <c r="AC164" s="180">
        <f>订货1!BB165</f>
        <v>0</v>
      </c>
      <c r="AD164" s="180">
        <f>订货1!BC165</f>
        <v>0</v>
      </c>
      <c r="AE164" s="180">
        <f>订货1!BD165</f>
        <v>0</v>
      </c>
      <c r="AF164" s="180">
        <f>订货1!BE165</f>
        <v>0</v>
      </c>
      <c r="AG164" s="180">
        <f>订货1!BF165</f>
        <v>0</v>
      </c>
      <c r="AH164" s="176"/>
      <c r="AI164" s="178" t="e">
        <f>店铺收货台帐2!DE165</f>
        <v>#DIV/0!</v>
      </c>
    </row>
    <row r="165" spans="1:35" hidden="1">
      <c r="A165" s="37">
        <f>订货1!K166</f>
        <v>101731</v>
      </c>
      <c r="B165" s="37" t="str">
        <f>订货1!M166</f>
        <v>免浆罗非鱼片</v>
      </c>
      <c r="C165" s="180">
        <f>订货1!AB166</f>
        <v>0</v>
      </c>
      <c r="D165" s="180">
        <f>订货1!AC166</f>
        <v>1</v>
      </c>
      <c r="E165" s="180">
        <f>订货1!AD166</f>
        <v>0</v>
      </c>
      <c r="F165" s="180">
        <f>订货1!AE166</f>
        <v>0</v>
      </c>
      <c r="G165" s="180">
        <f>订货1!AF166</f>
        <v>0</v>
      </c>
      <c r="H165" s="180">
        <f>订货1!AG166</f>
        <v>0</v>
      </c>
      <c r="I165" s="180">
        <f>订货1!AH166</f>
        <v>1</v>
      </c>
      <c r="J165" s="180">
        <f>订货1!AI166</f>
        <v>0</v>
      </c>
      <c r="K165" s="180">
        <f>订货1!AJ166</f>
        <v>0</v>
      </c>
      <c r="L165" s="180">
        <f>订货1!AK166</f>
        <v>0</v>
      </c>
      <c r="M165" s="180">
        <f>订货1!AL166</f>
        <v>0</v>
      </c>
      <c r="N165" s="180">
        <f>订货1!AM166</f>
        <v>1</v>
      </c>
      <c r="O165" s="180">
        <f>订货1!AN166</f>
        <v>0</v>
      </c>
      <c r="P165" s="180">
        <f>订货1!AO166</f>
        <v>0</v>
      </c>
      <c r="Q165" s="180">
        <f>订货1!AP166</f>
        <v>0</v>
      </c>
      <c r="R165" s="180">
        <f>订货1!AQ166</f>
        <v>0</v>
      </c>
      <c r="S165" s="180">
        <f>订货1!AR166</f>
        <v>0</v>
      </c>
      <c r="T165" s="180">
        <f>订货1!AS166</f>
        <v>0</v>
      </c>
      <c r="U165" s="180">
        <f>订货1!AT166</f>
        <v>0</v>
      </c>
      <c r="V165" s="180">
        <f>订货1!AU166</f>
        <v>0</v>
      </c>
      <c r="W165" s="180">
        <f>订货1!AV166</f>
        <v>0</v>
      </c>
      <c r="X165" s="180">
        <f>订货1!AW166</f>
        <v>0</v>
      </c>
      <c r="Y165" s="180">
        <f>订货1!AX166</f>
        <v>0</v>
      </c>
      <c r="Z165" s="180">
        <f>订货1!AY166</f>
        <v>0</v>
      </c>
      <c r="AA165" s="180">
        <f>订货1!AZ166</f>
        <v>0</v>
      </c>
      <c r="AB165" s="180">
        <f>订货1!BA166</f>
        <v>0</v>
      </c>
      <c r="AC165" s="180">
        <f>订货1!BB166</f>
        <v>0</v>
      </c>
      <c r="AD165" s="180">
        <f>订货1!BC166</f>
        <v>0</v>
      </c>
      <c r="AE165" s="180">
        <f>订货1!BD166</f>
        <v>0</v>
      </c>
      <c r="AF165" s="180">
        <f>订货1!BE166</f>
        <v>0</v>
      </c>
      <c r="AG165" s="180">
        <f>订货1!BF166</f>
        <v>0</v>
      </c>
      <c r="AH165" s="176"/>
      <c r="AI165" s="178" t="e">
        <f>店铺收货台帐2!DE166</f>
        <v>#DIV/0!</v>
      </c>
    </row>
    <row r="166" spans="1:35" hidden="1">
      <c r="A166" s="37">
        <f>订货1!K167</f>
        <v>101782</v>
      </c>
      <c r="B166" s="37" t="str">
        <f>订货1!M167</f>
        <v>屯河番茄丁</v>
      </c>
      <c r="C166" s="180">
        <f>订货1!AB167</f>
        <v>0</v>
      </c>
      <c r="D166" s="180">
        <f>订货1!AC167</f>
        <v>0</v>
      </c>
      <c r="E166" s="180">
        <f>订货1!AD167</f>
        <v>0</v>
      </c>
      <c r="F166" s="180">
        <f>订货1!AE167</f>
        <v>0</v>
      </c>
      <c r="G166" s="180">
        <f>订货1!AF167</f>
        <v>0</v>
      </c>
      <c r="H166" s="180">
        <f>订货1!AG167</f>
        <v>0</v>
      </c>
      <c r="I166" s="180">
        <f>订货1!AH167</f>
        <v>0</v>
      </c>
      <c r="J166" s="180">
        <f>订货1!AI167</f>
        <v>0</v>
      </c>
      <c r="K166" s="180">
        <f>订货1!AJ167</f>
        <v>0</v>
      </c>
      <c r="L166" s="180">
        <f>订货1!AK167</f>
        <v>0</v>
      </c>
      <c r="M166" s="180">
        <f>订货1!AL167</f>
        <v>0</v>
      </c>
      <c r="N166" s="180">
        <f>订货1!AM167</f>
        <v>1</v>
      </c>
      <c r="O166" s="180">
        <f>订货1!AN167</f>
        <v>0</v>
      </c>
      <c r="P166" s="180">
        <f>订货1!AO167</f>
        <v>1</v>
      </c>
      <c r="Q166" s="180">
        <f>订货1!AP167</f>
        <v>0</v>
      </c>
      <c r="R166" s="180">
        <f>订货1!AQ167</f>
        <v>0</v>
      </c>
      <c r="S166" s="180">
        <f>订货1!AR167</f>
        <v>0</v>
      </c>
      <c r="T166" s="180">
        <f>订货1!AS167</f>
        <v>0</v>
      </c>
      <c r="U166" s="180">
        <f>订货1!AT167</f>
        <v>0</v>
      </c>
      <c r="V166" s="180">
        <f>订货1!AU167</f>
        <v>0</v>
      </c>
      <c r="W166" s="180">
        <f>订货1!AV167</f>
        <v>0</v>
      </c>
      <c r="X166" s="180">
        <f>订货1!AW167</f>
        <v>0</v>
      </c>
      <c r="Y166" s="180">
        <f>订货1!AX167</f>
        <v>0</v>
      </c>
      <c r="Z166" s="180">
        <f>订货1!AY167</f>
        <v>0</v>
      </c>
      <c r="AA166" s="180">
        <f>订货1!AZ167</f>
        <v>0</v>
      </c>
      <c r="AB166" s="180">
        <f>订货1!BA167</f>
        <v>0</v>
      </c>
      <c r="AC166" s="180">
        <f>订货1!BB167</f>
        <v>0</v>
      </c>
      <c r="AD166" s="180">
        <f>订货1!BC167</f>
        <v>0</v>
      </c>
      <c r="AE166" s="180">
        <f>订货1!BD167</f>
        <v>0</v>
      </c>
      <c r="AF166" s="180">
        <f>订货1!BE167</f>
        <v>0</v>
      </c>
      <c r="AG166" s="180">
        <f>订货1!BF167</f>
        <v>0</v>
      </c>
      <c r="AH166" s="176"/>
      <c r="AI166" s="178" t="e">
        <f>店铺收货台帐2!DE167</f>
        <v>#DIV/0!</v>
      </c>
    </row>
    <row r="167" spans="1:35" hidden="1">
      <c r="A167" s="37">
        <f>订货1!K168</f>
        <v>101258</v>
      </c>
      <c r="B167" s="37" t="str">
        <f>订货1!M168</f>
        <v>脱水欧芹片</v>
      </c>
      <c r="C167" s="180">
        <f>订货1!AB168</f>
        <v>0</v>
      </c>
      <c r="D167" s="180">
        <f>订货1!AC168</f>
        <v>0</v>
      </c>
      <c r="E167" s="180">
        <f>订货1!AD168</f>
        <v>0</v>
      </c>
      <c r="F167" s="180">
        <f>订货1!AE168</f>
        <v>0</v>
      </c>
      <c r="G167" s="180">
        <f>订货1!AF168</f>
        <v>0</v>
      </c>
      <c r="H167" s="180">
        <f>订货1!AG168</f>
        <v>0</v>
      </c>
      <c r="I167" s="180">
        <f>订货1!AH168</f>
        <v>0</v>
      </c>
      <c r="J167" s="180">
        <f>订货1!AI168</f>
        <v>0</v>
      </c>
      <c r="K167" s="180">
        <f>订货1!AJ168</f>
        <v>0</v>
      </c>
      <c r="L167" s="180">
        <f>订货1!AK168</f>
        <v>0</v>
      </c>
      <c r="M167" s="180">
        <f>订货1!AL168</f>
        <v>0</v>
      </c>
      <c r="N167" s="180">
        <f>订货1!AM168</f>
        <v>0</v>
      </c>
      <c r="O167" s="180">
        <f>订货1!AN168</f>
        <v>0</v>
      </c>
      <c r="P167" s="180">
        <f>订货1!AO168</f>
        <v>0</v>
      </c>
      <c r="Q167" s="180">
        <f>订货1!AP168</f>
        <v>0</v>
      </c>
      <c r="R167" s="180">
        <f>订货1!AQ168</f>
        <v>0</v>
      </c>
      <c r="S167" s="180">
        <f>订货1!AR168</f>
        <v>0</v>
      </c>
      <c r="T167" s="180">
        <f>订货1!AS168</f>
        <v>0</v>
      </c>
      <c r="U167" s="180">
        <f>订货1!AT168</f>
        <v>0</v>
      </c>
      <c r="V167" s="180">
        <f>订货1!AU168</f>
        <v>0</v>
      </c>
      <c r="W167" s="180">
        <f>订货1!AV168</f>
        <v>0</v>
      </c>
      <c r="X167" s="180">
        <f>订货1!AW168</f>
        <v>0</v>
      </c>
      <c r="Y167" s="180">
        <f>订货1!AX168</f>
        <v>0</v>
      </c>
      <c r="Z167" s="180">
        <f>订货1!AY168</f>
        <v>0</v>
      </c>
      <c r="AA167" s="180">
        <f>订货1!AZ168</f>
        <v>0</v>
      </c>
      <c r="AB167" s="180">
        <f>订货1!BA168</f>
        <v>0</v>
      </c>
      <c r="AC167" s="180">
        <f>订货1!BB168</f>
        <v>0</v>
      </c>
      <c r="AD167" s="180">
        <f>订货1!BC168</f>
        <v>0</v>
      </c>
      <c r="AE167" s="180">
        <f>订货1!BD168</f>
        <v>0</v>
      </c>
      <c r="AF167" s="180">
        <f>订货1!BE168</f>
        <v>0</v>
      </c>
      <c r="AG167" s="180">
        <f>订货1!BF168</f>
        <v>0</v>
      </c>
      <c r="AH167" s="176"/>
      <c r="AI167" s="178" t="e">
        <f>店铺收货台帐2!DE168</f>
        <v>#DIV/0!</v>
      </c>
    </row>
    <row r="168" spans="1:35" hidden="1">
      <c r="A168" s="37">
        <f>订货1!K169</f>
        <v>401018</v>
      </c>
      <c r="B168" s="37" t="str">
        <f>订货1!M169</f>
        <v>五目肠</v>
      </c>
      <c r="C168" s="180">
        <f>订货1!AB169</f>
        <v>0</v>
      </c>
      <c r="D168" s="180">
        <f>订货1!AC169</f>
        <v>0</v>
      </c>
      <c r="E168" s="180">
        <f>订货1!AD169</f>
        <v>0</v>
      </c>
      <c r="F168" s="180">
        <f>订货1!AE169</f>
        <v>0</v>
      </c>
      <c r="G168" s="180">
        <f>订货1!AF169</f>
        <v>0</v>
      </c>
      <c r="H168" s="180">
        <f>订货1!AG169</f>
        <v>0</v>
      </c>
      <c r="I168" s="180">
        <f>订货1!AH169</f>
        <v>0</v>
      </c>
      <c r="J168" s="180">
        <f>订货1!AI169</f>
        <v>0</v>
      </c>
      <c r="K168" s="180">
        <f>订货1!AJ169</f>
        <v>0</v>
      </c>
      <c r="L168" s="180">
        <f>订货1!AK169</f>
        <v>0</v>
      </c>
      <c r="M168" s="180">
        <f>订货1!AL169</f>
        <v>0</v>
      </c>
      <c r="N168" s="180">
        <f>订货1!AM169</f>
        <v>0</v>
      </c>
      <c r="O168" s="180">
        <f>订货1!AN169</f>
        <v>0</v>
      </c>
      <c r="P168" s="180">
        <f>订货1!AO169</f>
        <v>0</v>
      </c>
      <c r="Q168" s="180">
        <f>订货1!AP169</f>
        <v>0</v>
      </c>
      <c r="R168" s="180">
        <f>订货1!AQ169</f>
        <v>0</v>
      </c>
      <c r="S168" s="180">
        <f>订货1!AR169</f>
        <v>0</v>
      </c>
      <c r="T168" s="180">
        <f>订货1!AS169</f>
        <v>0</v>
      </c>
      <c r="U168" s="180">
        <f>订货1!AT169</f>
        <v>0</v>
      </c>
      <c r="V168" s="180">
        <f>订货1!AU169</f>
        <v>0</v>
      </c>
      <c r="W168" s="180">
        <f>订货1!AV169</f>
        <v>0</v>
      </c>
      <c r="X168" s="180">
        <f>订货1!AW169</f>
        <v>0</v>
      </c>
      <c r="Y168" s="180">
        <f>订货1!AX169</f>
        <v>0</v>
      </c>
      <c r="Z168" s="180">
        <f>订货1!AY169</f>
        <v>0</v>
      </c>
      <c r="AA168" s="180">
        <f>订货1!AZ169</f>
        <v>0</v>
      </c>
      <c r="AB168" s="180">
        <f>订货1!BA169</f>
        <v>0</v>
      </c>
      <c r="AC168" s="180">
        <f>订货1!BB169</f>
        <v>0</v>
      </c>
      <c r="AD168" s="180">
        <f>订货1!BC169</f>
        <v>0</v>
      </c>
      <c r="AE168" s="180">
        <f>订货1!BD169</f>
        <v>0</v>
      </c>
      <c r="AF168" s="180">
        <f>订货1!BE169</f>
        <v>0</v>
      </c>
      <c r="AG168" s="180">
        <f>订货1!BF169</f>
        <v>0</v>
      </c>
      <c r="AH168" s="176"/>
      <c r="AI168" s="178" t="e">
        <f>店铺收货台帐2!DE169</f>
        <v>#DIV/0!</v>
      </c>
    </row>
    <row r="169" spans="1:35" hidden="1">
      <c r="A169" s="37">
        <f>订货1!K170</f>
        <v>101632</v>
      </c>
      <c r="B169" s="37" t="str">
        <f>订货1!M170</f>
        <v>烟熏烤肠</v>
      </c>
      <c r="C169" s="180">
        <f>订货1!AB170</f>
        <v>0</v>
      </c>
      <c r="D169" s="180">
        <f>订货1!AC170</f>
        <v>0</v>
      </c>
      <c r="E169" s="180">
        <f>订货1!AD170</f>
        <v>0</v>
      </c>
      <c r="F169" s="180">
        <f>订货1!AE170</f>
        <v>0</v>
      </c>
      <c r="G169" s="180">
        <f>订货1!AF170</f>
        <v>0</v>
      </c>
      <c r="H169" s="180">
        <f>订货1!AG170</f>
        <v>0</v>
      </c>
      <c r="I169" s="180">
        <f>订货1!AH170</f>
        <v>0</v>
      </c>
      <c r="J169" s="180">
        <f>订货1!AI170</f>
        <v>0</v>
      </c>
      <c r="K169" s="180">
        <f>订货1!AJ170</f>
        <v>0</v>
      </c>
      <c r="L169" s="180">
        <f>订货1!AK170</f>
        <v>0</v>
      </c>
      <c r="M169" s="180">
        <f>订货1!AL170</f>
        <v>0</v>
      </c>
      <c r="N169" s="180">
        <f>订货1!AM170</f>
        <v>0</v>
      </c>
      <c r="O169" s="180">
        <f>订货1!AN170</f>
        <v>0</v>
      </c>
      <c r="P169" s="180">
        <f>订货1!AO170</f>
        <v>0</v>
      </c>
      <c r="Q169" s="180">
        <f>订货1!AP170</f>
        <v>0</v>
      </c>
      <c r="R169" s="180">
        <f>订货1!AQ170</f>
        <v>0</v>
      </c>
      <c r="S169" s="180">
        <f>订货1!AR170</f>
        <v>0</v>
      </c>
      <c r="T169" s="180">
        <f>订货1!AS170</f>
        <v>0</v>
      </c>
      <c r="U169" s="180">
        <f>订货1!AT170</f>
        <v>0</v>
      </c>
      <c r="V169" s="180">
        <f>订货1!AU170</f>
        <v>0</v>
      </c>
      <c r="W169" s="180">
        <f>订货1!AV170</f>
        <v>0</v>
      </c>
      <c r="X169" s="180">
        <f>订货1!AW170</f>
        <v>0</v>
      </c>
      <c r="Y169" s="180">
        <f>订货1!AX170</f>
        <v>0</v>
      </c>
      <c r="Z169" s="180">
        <f>订货1!AY170</f>
        <v>0</v>
      </c>
      <c r="AA169" s="180">
        <f>订货1!AZ170</f>
        <v>0</v>
      </c>
      <c r="AB169" s="180">
        <f>订货1!BA170</f>
        <v>0</v>
      </c>
      <c r="AC169" s="180">
        <f>订货1!BB170</f>
        <v>0</v>
      </c>
      <c r="AD169" s="180">
        <f>订货1!BC170</f>
        <v>0</v>
      </c>
      <c r="AE169" s="180">
        <f>订货1!BD170</f>
        <v>0</v>
      </c>
      <c r="AF169" s="180">
        <f>订货1!BE170</f>
        <v>0</v>
      </c>
      <c r="AG169" s="180">
        <f>订货1!BF170</f>
        <v>0</v>
      </c>
      <c r="AH169" s="176"/>
      <c r="AI169" s="178" t="e">
        <f>店铺收货台帐2!DE170</f>
        <v>#DIV/0!</v>
      </c>
    </row>
    <row r="170" spans="1:35" hidden="1">
      <c r="A170" s="37">
        <f>订货1!K171</f>
        <v>101633</v>
      </c>
      <c r="B170" s="37" t="str">
        <f>订货1!M171</f>
        <v>SLY烟熏香肠</v>
      </c>
      <c r="C170" s="180">
        <f>订货1!AB171</f>
        <v>0</v>
      </c>
      <c r="D170" s="180">
        <f>订货1!AC171</f>
        <v>0</v>
      </c>
      <c r="E170" s="180">
        <f>订货1!AD171</f>
        <v>0</v>
      </c>
      <c r="F170" s="180">
        <f>订货1!AE171</f>
        <v>0</v>
      </c>
      <c r="G170" s="180">
        <f>订货1!AF171</f>
        <v>0</v>
      </c>
      <c r="H170" s="180">
        <f>订货1!AG171</f>
        <v>0</v>
      </c>
      <c r="I170" s="180">
        <f>订货1!AH171</f>
        <v>0</v>
      </c>
      <c r="J170" s="180">
        <f>订货1!AI171</f>
        <v>0</v>
      </c>
      <c r="K170" s="180">
        <f>订货1!AJ171</f>
        <v>0</v>
      </c>
      <c r="L170" s="180">
        <f>订货1!AK171</f>
        <v>0</v>
      </c>
      <c r="M170" s="180">
        <f>订货1!AL171</f>
        <v>0</v>
      </c>
      <c r="N170" s="180">
        <f>订货1!AM171</f>
        <v>0</v>
      </c>
      <c r="O170" s="180">
        <f>订货1!AN171</f>
        <v>0</v>
      </c>
      <c r="P170" s="180">
        <f>订货1!AO171</f>
        <v>0</v>
      </c>
      <c r="Q170" s="180">
        <f>订货1!AP171</f>
        <v>0</v>
      </c>
      <c r="R170" s="180">
        <f>订货1!AQ171</f>
        <v>0</v>
      </c>
      <c r="S170" s="180">
        <f>订货1!AR171</f>
        <v>0</v>
      </c>
      <c r="T170" s="180">
        <f>订货1!AS171</f>
        <v>0</v>
      </c>
      <c r="U170" s="180">
        <f>订货1!AT171</f>
        <v>0</v>
      </c>
      <c r="V170" s="180">
        <f>订货1!AU171</f>
        <v>0</v>
      </c>
      <c r="W170" s="180">
        <f>订货1!AV171</f>
        <v>0</v>
      </c>
      <c r="X170" s="180">
        <f>订货1!AW171</f>
        <v>0</v>
      </c>
      <c r="Y170" s="180">
        <f>订货1!AX171</f>
        <v>0</v>
      </c>
      <c r="Z170" s="180">
        <f>订货1!AY171</f>
        <v>0</v>
      </c>
      <c r="AA170" s="180">
        <f>订货1!AZ171</f>
        <v>0</v>
      </c>
      <c r="AB170" s="180">
        <f>订货1!BA171</f>
        <v>0</v>
      </c>
      <c r="AC170" s="180">
        <f>订货1!BB171</f>
        <v>0</v>
      </c>
      <c r="AD170" s="180">
        <f>订货1!BC171</f>
        <v>0</v>
      </c>
      <c r="AE170" s="180">
        <f>订货1!BD171</f>
        <v>0</v>
      </c>
      <c r="AF170" s="180">
        <f>订货1!BE171</f>
        <v>0</v>
      </c>
      <c r="AG170" s="180">
        <f>订货1!BF171</f>
        <v>0</v>
      </c>
      <c r="AH170" s="176"/>
      <c r="AI170" s="178" t="e">
        <f>店铺收货台帐2!DE171</f>
        <v>#DIV/0!</v>
      </c>
    </row>
    <row r="171" spans="1:35" hidden="1">
      <c r="A171" s="37">
        <f>订货1!K172</f>
        <v>101586</v>
      </c>
      <c r="B171" s="37" t="str">
        <f>订货1!M172</f>
        <v>法式羊排</v>
      </c>
      <c r="C171" s="180">
        <f>订货1!AB172</f>
        <v>0</v>
      </c>
      <c r="D171" s="180">
        <f>订货1!AC172</f>
        <v>0</v>
      </c>
      <c r="E171" s="180">
        <f>订货1!AD172</f>
        <v>0</v>
      </c>
      <c r="F171" s="180">
        <f>订货1!AE172</f>
        <v>0</v>
      </c>
      <c r="G171" s="180">
        <f>订货1!AF172</f>
        <v>0</v>
      </c>
      <c r="H171" s="180">
        <f>订货1!AG172</f>
        <v>0</v>
      </c>
      <c r="I171" s="180">
        <f>订货1!AH172</f>
        <v>0</v>
      </c>
      <c r="J171" s="180">
        <f>订货1!AI172</f>
        <v>0</v>
      </c>
      <c r="K171" s="180">
        <f>订货1!AJ172</f>
        <v>0</v>
      </c>
      <c r="L171" s="180">
        <f>订货1!AK172</f>
        <v>0</v>
      </c>
      <c r="M171" s="180">
        <f>订货1!AL172</f>
        <v>0</v>
      </c>
      <c r="N171" s="180">
        <f>订货1!AM172</f>
        <v>0</v>
      </c>
      <c r="O171" s="180">
        <f>订货1!AN172</f>
        <v>0</v>
      </c>
      <c r="P171" s="180">
        <f>订货1!AO172</f>
        <v>0</v>
      </c>
      <c r="Q171" s="180">
        <f>订货1!AP172</f>
        <v>0</v>
      </c>
      <c r="R171" s="180">
        <f>订货1!AQ172</f>
        <v>0</v>
      </c>
      <c r="S171" s="180">
        <f>订货1!AR172</f>
        <v>0</v>
      </c>
      <c r="T171" s="180">
        <f>订货1!AS172</f>
        <v>0</v>
      </c>
      <c r="U171" s="180">
        <f>订货1!AT172</f>
        <v>0</v>
      </c>
      <c r="V171" s="180">
        <f>订货1!AU172</f>
        <v>0</v>
      </c>
      <c r="W171" s="180">
        <f>订货1!AV172</f>
        <v>0</v>
      </c>
      <c r="X171" s="180">
        <f>订货1!AW172</f>
        <v>0</v>
      </c>
      <c r="Y171" s="180">
        <f>订货1!AX172</f>
        <v>0</v>
      </c>
      <c r="Z171" s="180">
        <f>订货1!AY172</f>
        <v>0</v>
      </c>
      <c r="AA171" s="180">
        <f>订货1!AZ172</f>
        <v>0</v>
      </c>
      <c r="AB171" s="180">
        <f>订货1!BA172</f>
        <v>0</v>
      </c>
      <c r="AC171" s="180">
        <f>订货1!BB172</f>
        <v>0</v>
      </c>
      <c r="AD171" s="180">
        <f>订货1!BC172</f>
        <v>0</v>
      </c>
      <c r="AE171" s="180">
        <f>订货1!BD172</f>
        <v>0</v>
      </c>
      <c r="AF171" s="180">
        <f>订货1!BE172</f>
        <v>0</v>
      </c>
      <c r="AG171" s="180">
        <f>订货1!BF172</f>
        <v>0</v>
      </c>
      <c r="AH171" s="176"/>
      <c r="AI171" s="178" t="e">
        <f>店铺收货台帐2!DE172</f>
        <v>#DIV/0!</v>
      </c>
    </row>
    <row r="172" spans="1:35" hidden="1">
      <c r="A172" s="37">
        <f>订货1!K173</f>
        <v>101602</v>
      </c>
      <c r="B172" s="37" t="str">
        <f>订货1!M173</f>
        <v>爱味客原味土豆泥</v>
      </c>
      <c r="C172" s="180">
        <f>订货1!AB173</f>
        <v>0</v>
      </c>
      <c r="D172" s="180">
        <f>订货1!AC173</f>
        <v>0</v>
      </c>
      <c r="E172" s="180">
        <f>订货1!AD173</f>
        <v>0</v>
      </c>
      <c r="F172" s="180">
        <f>订货1!AE173</f>
        <v>0</v>
      </c>
      <c r="G172" s="180">
        <f>订货1!AF173</f>
        <v>0</v>
      </c>
      <c r="H172" s="180">
        <f>订货1!AG173</f>
        <v>0</v>
      </c>
      <c r="I172" s="180">
        <f>订货1!AH173</f>
        <v>0</v>
      </c>
      <c r="J172" s="180">
        <f>订货1!AI173</f>
        <v>0</v>
      </c>
      <c r="K172" s="180">
        <f>订货1!AJ173</f>
        <v>0</v>
      </c>
      <c r="L172" s="180">
        <f>订货1!AK173</f>
        <v>0</v>
      </c>
      <c r="M172" s="180">
        <f>订货1!AL173</f>
        <v>0</v>
      </c>
      <c r="N172" s="180">
        <f>订货1!AM173</f>
        <v>0</v>
      </c>
      <c r="O172" s="180">
        <f>订货1!AN173</f>
        <v>0</v>
      </c>
      <c r="P172" s="180">
        <f>订货1!AO173</f>
        <v>0</v>
      </c>
      <c r="Q172" s="180">
        <f>订货1!AP173</f>
        <v>0</v>
      </c>
      <c r="R172" s="180">
        <f>订货1!AQ173</f>
        <v>0</v>
      </c>
      <c r="S172" s="180">
        <f>订货1!AR173</f>
        <v>0</v>
      </c>
      <c r="T172" s="180">
        <f>订货1!AS173</f>
        <v>0</v>
      </c>
      <c r="U172" s="180">
        <f>订货1!AT173</f>
        <v>0</v>
      </c>
      <c r="V172" s="180">
        <f>订货1!AU173</f>
        <v>0</v>
      </c>
      <c r="W172" s="180">
        <f>订货1!AV173</f>
        <v>0</v>
      </c>
      <c r="X172" s="180">
        <f>订货1!AW173</f>
        <v>0</v>
      </c>
      <c r="Y172" s="180">
        <f>订货1!AX173</f>
        <v>0</v>
      </c>
      <c r="Z172" s="180">
        <f>订货1!AY173</f>
        <v>0</v>
      </c>
      <c r="AA172" s="180">
        <f>订货1!AZ173</f>
        <v>0</v>
      </c>
      <c r="AB172" s="180">
        <f>订货1!BA173</f>
        <v>0</v>
      </c>
      <c r="AC172" s="180">
        <f>订货1!BB173</f>
        <v>0</v>
      </c>
      <c r="AD172" s="180">
        <f>订货1!BC173</f>
        <v>0</v>
      </c>
      <c r="AE172" s="180">
        <f>订货1!BD173</f>
        <v>0</v>
      </c>
      <c r="AF172" s="180">
        <f>订货1!BE173</f>
        <v>0</v>
      </c>
      <c r="AG172" s="180">
        <f>订货1!BF173</f>
        <v>0</v>
      </c>
      <c r="AH172" s="176"/>
      <c r="AI172" s="178" t="e">
        <f>店铺收货台帐2!DE173</f>
        <v>#DIV/0!</v>
      </c>
    </row>
    <row r="173" spans="1:35" hidden="1">
      <c r="A173" s="37">
        <f>订货1!K174</f>
        <v>401286</v>
      </c>
      <c r="B173" s="37" t="str">
        <f>订货1!M174</f>
        <v>萨莉亚沙拉酱</v>
      </c>
      <c r="C173" s="180">
        <f>订货1!AB174</f>
        <v>0</v>
      </c>
      <c r="D173" s="180">
        <f>订货1!AC174</f>
        <v>0</v>
      </c>
      <c r="E173" s="180">
        <f>订货1!AD174</f>
        <v>0</v>
      </c>
      <c r="F173" s="180">
        <f>订货1!AE174</f>
        <v>1</v>
      </c>
      <c r="G173" s="180">
        <f>订货1!AF174</f>
        <v>0</v>
      </c>
      <c r="H173" s="180">
        <f>订货1!AG174</f>
        <v>0</v>
      </c>
      <c r="I173" s="180">
        <f>订货1!AH174</f>
        <v>0</v>
      </c>
      <c r="J173" s="180">
        <f>订货1!AI174</f>
        <v>1</v>
      </c>
      <c r="K173" s="180">
        <f>订货1!AJ174</f>
        <v>0</v>
      </c>
      <c r="L173" s="180">
        <f>订货1!AK174</f>
        <v>0</v>
      </c>
      <c r="M173" s="180">
        <f>订货1!AL174</f>
        <v>0</v>
      </c>
      <c r="N173" s="180">
        <f>订货1!AM174</f>
        <v>1</v>
      </c>
      <c r="O173" s="180">
        <f>订货1!AN174</f>
        <v>0</v>
      </c>
      <c r="P173" s="180">
        <f>订货1!AO174</f>
        <v>0</v>
      </c>
      <c r="Q173" s="180">
        <f>订货1!AP174</f>
        <v>0</v>
      </c>
      <c r="R173" s="180">
        <f>订货1!AQ174</f>
        <v>0</v>
      </c>
      <c r="S173" s="180">
        <f>订货1!AR174</f>
        <v>0</v>
      </c>
      <c r="T173" s="180">
        <f>订货1!AS174</f>
        <v>0</v>
      </c>
      <c r="U173" s="180">
        <f>订货1!AT174</f>
        <v>0</v>
      </c>
      <c r="V173" s="180">
        <f>订货1!AU174</f>
        <v>0</v>
      </c>
      <c r="W173" s="180">
        <f>订货1!AV174</f>
        <v>0</v>
      </c>
      <c r="X173" s="180">
        <f>订货1!AW174</f>
        <v>0</v>
      </c>
      <c r="Y173" s="180">
        <f>订货1!AX174</f>
        <v>0</v>
      </c>
      <c r="Z173" s="180">
        <f>订货1!AY174</f>
        <v>0</v>
      </c>
      <c r="AA173" s="180">
        <f>订货1!AZ174</f>
        <v>0</v>
      </c>
      <c r="AB173" s="180">
        <f>订货1!BA174</f>
        <v>0</v>
      </c>
      <c r="AC173" s="180">
        <f>订货1!BB174</f>
        <v>0</v>
      </c>
      <c r="AD173" s="180">
        <f>订货1!BC174</f>
        <v>0</v>
      </c>
      <c r="AE173" s="180">
        <f>订货1!BD174</f>
        <v>0</v>
      </c>
      <c r="AF173" s="180">
        <f>订货1!BE174</f>
        <v>0</v>
      </c>
      <c r="AG173" s="180">
        <f>订货1!BF174</f>
        <v>0</v>
      </c>
      <c r="AH173" s="176"/>
      <c r="AI173" s="178" t="e">
        <f>店铺收货台帐2!DE174</f>
        <v>#DIV/0!</v>
      </c>
    </row>
    <row r="174" spans="1:35" hidden="1">
      <c r="A174" s="37">
        <f>订货1!K175</f>
        <v>101624</v>
      </c>
      <c r="B174" s="37" t="str">
        <f>订货1!M175</f>
        <v>芝士粉</v>
      </c>
      <c r="C174" s="180">
        <f>订货1!AB175</f>
        <v>0</v>
      </c>
      <c r="D174" s="180">
        <f>订货1!AC175</f>
        <v>0</v>
      </c>
      <c r="E174" s="180">
        <f>订货1!AD175</f>
        <v>0</v>
      </c>
      <c r="F174" s="180">
        <f>订货1!AE175</f>
        <v>0</v>
      </c>
      <c r="G174" s="180">
        <f>订货1!AF175</f>
        <v>0</v>
      </c>
      <c r="H174" s="180">
        <f>订货1!AG175</f>
        <v>0</v>
      </c>
      <c r="I174" s="180">
        <f>订货1!AH175</f>
        <v>0</v>
      </c>
      <c r="J174" s="180">
        <f>订货1!AI175</f>
        <v>0</v>
      </c>
      <c r="K174" s="180">
        <f>订货1!AJ175</f>
        <v>0</v>
      </c>
      <c r="L174" s="180">
        <f>订货1!AK175</f>
        <v>0</v>
      </c>
      <c r="M174" s="180">
        <f>订货1!AL175</f>
        <v>0</v>
      </c>
      <c r="N174" s="180">
        <f>订货1!AM175</f>
        <v>0</v>
      </c>
      <c r="O174" s="180">
        <f>订货1!AN175</f>
        <v>0</v>
      </c>
      <c r="P174" s="180">
        <f>订货1!AO175</f>
        <v>0</v>
      </c>
      <c r="Q174" s="180">
        <f>订货1!AP175</f>
        <v>0</v>
      </c>
      <c r="R174" s="180">
        <f>订货1!AQ175</f>
        <v>0</v>
      </c>
      <c r="S174" s="180">
        <f>订货1!AR175</f>
        <v>0</v>
      </c>
      <c r="T174" s="180">
        <f>订货1!AS175</f>
        <v>0</v>
      </c>
      <c r="U174" s="180">
        <f>订货1!AT175</f>
        <v>0</v>
      </c>
      <c r="V174" s="180">
        <f>订货1!AU175</f>
        <v>0</v>
      </c>
      <c r="W174" s="180">
        <f>订货1!AV175</f>
        <v>0</v>
      </c>
      <c r="X174" s="180">
        <f>订货1!AW175</f>
        <v>0</v>
      </c>
      <c r="Y174" s="180">
        <f>订货1!AX175</f>
        <v>0</v>
      </c>
      <c r="Z174" s="180">
        <f>订货1!AY175</f>
        <v>0</v>
      </c>
      <c r="AA174" s="180">
        <f>订货1!AZ175</f>
        <v>0</v>
      </c>
      <c r="AB174" s="180">
        <f>订货1!BA175</f>
        <v>0</v>
      </c>
      <c r="AC174" s="180">
        <f>订货1!BB175</f>
        <v>0</v>
      </c>
      <c r="AD174" s="180">
        <f>订货1!BC175</f>
        <v>0</v>
      </c>
      <c r="AE174" s="180">
        <f>订货1!BD175</f>
        <v>0</v>
      </c>
      <c r="AF174" s="180">
        <f>订货1!BE175</f>
        <v>0</v>
      </c>
      <c r="AG174" s="180">
        <f>订货1!BF175</f>
        <v>0</v>
      </c>
      <c r="AH174" s="176"/>
      <c r="AI174" s="178" t="e">
        <f>店铺收货台帐2!DE175</f>
        <v>#DIV/0!</v>
      </c>
    </row>
    <row r="175" spans="1:35" hidden="1">
      <c r="A175" s="37">
        <f>订货1!K176</f>
        <v>101189</v>
      </c>
      <c r="B175" s="37" t="str">
        <f>订货1!M176</f>
        <v>法排小切</v>
      </c>
      <c r="C175" s="180">
        <f>订货1!AB176</f>
        <v>0</v>
      </c>
      <c r="D175" s="180">
        <f>订货1!AC176</f>
        <v>0</v>
      </c>
      <c r="E175" s="180">
        <f>订货1!AD176</f>
        <v>0</v>
      </c>
      <c r="F175" s="180">
        <f>订货1!AE176</f>
        <v>1</v>
      </c>
      <c r="G175" s="180">
        <f>订货1!AF176</f>
        <v>0</v>
      </c>
      <c r="H175" s="180">
        <f>订货1!AG176</f>
        <v>0</v>
      </c>
      <c r="I175" s="180">
        <f>订货1!AH176</f>
        <v>0</v>
      </c>
      <c r="J175" s="180">
        <f>订货1!AI176</f>
        <v>0</v>
      </c>
      <c r="K175" s="180">
        <f>订货1!AJ176</f>
        <v>0</v>
      </c>
      <c r="L175" s="180">
        <f>订货1!AK176</f>
        <v>0</v>
      </c>
      <c r="M175" s="180">
        <f>订货1!AL176</f>
        <v>1</v>
      </c>
      <c r="N175" s="180">
        <f>订货1!AM176</f>
        <v>0</v>
      </c>
      <c r="O175" s="180">
        <f>订货1!AN176</f>
        <v>0</v>
      </c>
      <c r="P175" s="180">
        <f>订货1!AO176</f>
        <v>0</v>
      </c>
      <c r="Q175" s="180">
        <f>订货1!AP176</f>
        <v>0</v>
      </c>
      <c r="R175" s="180">
        <f>订货1!AQ176</f>
        <v>0</v>
      </c>
      <c r="S175" s="180">
        <f>订货1!AR176</f>
        <v>0</v>
      </c>
      <c r="T175" s="180">
        <f>订货1!AS176</f>
        <v>0</v>
      </c>
      <c r="U175" s="180">
        <f>订货1!AT176</f>
        <v>0</v>
      </c>
      <c r="V175" s="180">
        <f>订货1!AU176</f>
        <v>0</v>
      </c>
      <c r="W175" s="180">
        <f>订货1!AV176</f>
        <v>0</v>
      </c>
      <c r="X175" s="180">
        <f>订货1!AW176</f>
        <v>0</v>
      </c>
      <c r="Y175" s="180">
        <f>订货1!AX176</f>
        <v>0</v>
      </c>
      <c r="Z175" s="180">
        <f>订货1!AY176</f>
        <v>0</v>
      </c>
      <c r="AA175" s="180">
        <f>订货1!AZ176</f>
        <v>0</v>
      </c>
      <c r="AB175" s="180">
        <f>订货1!BA176</f>
        <v>0</v>
      </c>
      <c r="AC175" s="180">
        <f>订货1!BB176</f>
        <v>0</v>
      </c>
      <c r="AD175" s="180">
        <f>订货1!BC176</f>
        <v>0</v>
      </c>
      <c r="AE175" s="180">
        <f>订货1!BD176</f>
        <v>0</v>
      </c>
      <c r="AF175" s="180">
        <f>订货1!BE176</f>
        <v>0</v>
      </c>
      <c r="AG175" s="180">
        <f>订货1!BF176</f>
        <v>0</v>
      </c>
      <c r="AH175" s="176"/>
      <c r="AI175" s="178" t="e">
        <f>店铺收货台帐2!DE176</f>
        <v>#DIV/0!</v>
      </c>
    </row>
    <row r="176" spans="1:35" hidden="1">
      <c r="A176" s="37">
        <f>订货1!K177</f>
        <v>101490</v>
      </c>
      <c r="B176" s="37" t="str">
        <f>订货1!M177</f>
        <v>超大熔岩蛋糕</v>
      </c>
      <c r="C176" s="180">
        <f>订货1!AB177</f>
        <v>0</v>
      </c>
      <c r="D176" s="180">
        <f>订货1!AC177</f>
        <v>0</v>
      </c>
      <c r="E176" s="180">
        <f>订货1!AD177</f>
        <v>0</v>
      </c>
      <c r="F176" s="180">
        <f>订货1!AE177</f>
        <v>1</v>
      </c>
      <c r="G176" s="180">
        <f>订货1!AF177</f>
        <v>0</v>
      </c>
      <c r="H176" s="180">
        <f>订货1!AG177</f>
        <v>0</v>
      </c>
      <c r="I176" s="180">
        <f>订货1!AH177</f>
        <v>0</v>
      </c>
      <c r="J176" s="180">
        <f>订货1!AI177</f>
        <v>1</v>
      </c>
      <c r="K176" s="180">
        <f>订货1!AJ177</f>
        <v>0</v>
      </c>
      <c r="L176" s="180">
        <f>订货1!AK177</f>
        <v>0</v>
      </c>
      <c r="M176" s="180">
        <f>订货1!AL177</f>
        <v>0</v>
      </c>
      <c r="N176" s="180">
        <f>订货1!AM177</f>
        <v>0</v>
      </c>
      <c r="O176" s="180">
        <f>订货1!AN177</f>
        <v>0</v>
      </c>
      <c r="P176" s="180">
        <f>订货1!AO177</f>
        <v>0</v>
      </c>
      <c r="Q176" s="180">
        <f>订货1!AP177</f>
        <v>0</v>
      </c>
      <c r="R176" s="180">
        <f>订货1!AQ177</f>
        <v>0</v>
      </c>
      <c r="S176" s="180">
        <f>订货1!AR177</f>
        <v>0</v>
      </c>
      <c r="T176" s="180">
        <f>订货1!AS177</f>
        <v>0</v>
      </c>
      <c r="U176" s="180">
        <f>订货1!AT177</f>
        <v>0</v>
      </c>
      <c r="V176" s="180">
        <f>订货1!AU177</f>
        <v>0</v>
      </c>
      <c r="W176" s="180">
        <f>订货1!AV177</f>
        <v>0</v>
      </c>
      <c r="X176" s="180">
        <f>订货1!AW177</f>
        <v>0</v>
      </c>
      <c r="Y176" s="180">
        <f>订货1!AX177</f>
        <v>0</v>
      </c>
      <c r="Z176" s="180">
        <f>订货1!AY177</f>
        <v>0</v>
      </c>
      <c r="AA176" s="180">
        <f>订货1!AZ177</f>
        <v>0</v>
      </c>
      <c r="AB176" s="180">
        <f>订货1!BA177</f>
        <v>0</v>
      </c>
      <c r="AC176" s="180">
        <f>订货1!BB177</f>
        <v>0</v>
      </c>
      <c r="AD176" s="180">
        <f>订货1!BC177</f>
        <v>0</v>
      </c>
      <c r="AE176" s="180">
        <f>订货1!BD177</f>
        <v>0</v>
      </c>
      <c r="AF176" s="180">
        <f>订货1!BE177</f>
        <v>0</v>
      </c>
      <c r="AG176" s="180">
        <f>订货1!BF177</f>
        <v>0</v>
      </c>
      <c r="AH176" s="176"/>
      <c r="AI176" s="178" t="e">
        <f>店铺收货台帐2!DE177</f>
        <v>#DIV/0!</v>
      </c>
    </row>
    <row r="177" spans="1:35" hidden="1">
      <c r="A177" s="37">
        <f>订货1!K178</f>
        <v>101723</v>
      </c>
      <c r="B177" s="37" t="str">
        <f>订货1!M178</f>
        <v>调理雪花牛肉粒</v>
      </c>
      <c r="C177" s="180">
        <f>订货1!AB178</f>
        <v>0</v>
      </c>
      <c r="D177" s="180">
        <f>订货1!AC178</f>
        <v>0</v>
      </c>
      <c r="E177" s="180">
        <f>订货1!AD178</f>
        <v>0</v>
      </c>
      <c r="F177" s="180">
        <f>订货1!AE178</f>
        <v>0</v>
      </c>
      <c r="G177" s="180">
        <f>订货1!AF178</f>
        <v>0</v>
      </c>
      <c r="H177" s="180">
        <f>订货1!AG178</f>
        <v>1</v>
      </c>
      <c r="I177" s="180">
        <f>订货1!AH178</f>
        <v>0</v>
      </c>
      <c r="J177" s="180">
        <f>订货1!AI178</f>
        <v>0</v>
      </c>
      <c r="K177" s="180">
        <f>订货1!AJ178</f>
        <v>0</v>
      </c>
      <c r="L177" s="180">
        <f>订货1!AK178</f>
        <v>0</v>
      </c>
      <c r="M177" s="180">
        <f>订货1!AL178</f>
        <v>0</v>
      </c>
      <c r="N177" s="180">
        <f>订货1!AM178</f>
        <v>0</v>
      </c>
      <c r="O177" s="180">
        <f>订货1!AN178</f>
        <v>1</v>
      </c>
      <c r="P177" s="180">
        <f>订货1!AO178</f>
        <v>0</v>
      </c>
      <c r="Q177" s="180">
        <f>订货1!AP178</f>
        <v>0</v>
      </c>
      <c r="R177" s="180">
        <f>订货1!AQ178</f>
        <v>0</v>
      </c>
      <c r="S177" s="180">
        <f>订货1!AR178</f>
        <v>0</v>
      </c>
      <c r="T177" s="180">
        <f>订货1!AS178</f>
        <v>0</v>
      </c>
      <c r="U177" s="180">
        <f>订货1!AT178</f>
        <v>0</v>
      </c>
      <c r="V177" s="180">
        <f>订货1!AU178</f>
        <v>0</v>
      </c>
      <c r="W177" s="180">
        <f>订货1!AV178</f>
        <v>0</v>
      </c>
      <c r="X177" s="180">
        <f>订货1!AW178</f>
        <v>0</v>
      </c>
      <c r="Y177" s="180">
        <f>订货1!AX178</f>
        <v>0</v>
      </c>
      <c r="Z177" s="180">
        <f>订货1!AY178</f>
        <v>0</v>
      </c>
      <c r="AA177" s="180">
        <f>订货1!AZ178</f>
        <v>0</v>
      </c>
      <c r="AB177" s="180">
        <f>订货1!BA178</f>
        <v>0</v>
      </c>
      <c r="AC177" s="180">
        <f>订货1!BB178</f>
        <v>0</v>
      </c>
      <c r="AD177" s="180">
        <f>订货1!BC178</f>
        <v>0</v>
      </c>
      <c r="AE177" s="180">
        <f>订货1!BD178</f>
        <v>0</v>
      </c>
      <c r="AF177" s="180">
        <f>订货1!BE178</f>
        <v>0</v>
      </c>
      <c r="AG177" s="180">
        <f>订货1!BF178</f>
        <v>0</v>
      </c>
      <c r="AH177" s="176"/>
      <c r="AI177" s="178" t="e">
        <f>店铺收货台帐2!DE178</f>
        <v>#DIV/0!</v>
      </c>
    </row>
    <row r="178" spans="1:35" hidden="1">
      <c r="A178" s="37">
        <f>订货1!K179</f>
        <v>101758</v>
      </c>
      <c r="B178" s="37" t="str">
        <f>订货1!M179</f>
        <v>萨莉亚原味鸡腿</v>
      </c>
      <c r="C178" s="180">
        <f>订货1!AB179</f>
        <v>0</v>
      </c>
      <c r="D178" s="180">
        <f>订货1!AC179</f>
        <v>0</v>
      </c>
      <c r="E178" s="180">
        <f>订货1!AD179</f>
        <v>0</v>
      </c>
      <c r="F178" s="180">
        <f>订货1!AE179</f>
        <v>0</v>
      </c>
      <c r="G178" s="180">
        <f>订货1!AF179</f>
        <v>0</v>
      </c>
      <c r="H178" s="180">
        <f>订货1!AG179</f>
        <v>0</v>
      </c>
      <c r="I178" s="180">
        <f>订货1!AH179</f>
        <v>0</v>
      </c>
      <c r="J178" s="180">
        <f>订货1!AI179</f>
        <v>0</v>
      </c>
      <c r="K178" s="180">
        <f>订货1!AJ179</f>
        <v>0</v>
      </c>
      <c r="L178" s="180">
        <f>订货1!AK179</f>
        <v>0</v>
      </c>
      <c r="M178" s="180">
        <f>订货1!AL179</f>
        <v>0</v>
      </c>
      <c r="N178" s="180">
        <f>订货1!AM179</f>
        <v>0</v>
      </c>
      <c r="O178" s="180">
        <f>订货1!AN179</f>
        <v>0</v>
      </c>
      <c r="P178" s="180">
        <f>订货1!AO179</f>
        <v>0</v>
      </c>
      <c r="Q178" s="180">
        <f>订货1!AP179</f>
        <v>0</v>
      </c>
      <c r="R178" s="180">
        <f>订货1!AQ179</f>
        <v>0</v>
      </c>
      <c r="S178" s="180">
        <f>订货1!AR179</f>
        <v>0</v>
      </c>
      <c r="T178" s="180">
        <f>订货1!AS179</f>
        <v>0</v>
      </c>
      <c r="U178" s="180">
        <f>订货1!AT179</f>
        <v>0</v>
      </c>
      <c r="V178" s="180">
        <f>订货1!AU179</f>
        <v>0</v>
      </c>
      <c r="W178" s="180">
        <f>订货1!AV179</f>
        <v>0</v>
      </c>
      <c r="X178" s="180">
        <f>订货1!AW179</f>
        <v>0</v>
      </c>
      <c r="Y178" s="180">
        <f>订货1!AX179</f>
        <v>0</v>
      </c>
      <c r="Z178" s="180">
        <f>订货1!AY179</f>
        <v>0</v>
      </c>
      <c r="AA178" s="180">
        <f>订货1!AZ179</f>
        <v>0</v>
      </c>
      <c r="AB178" s="180">
        <f>订货1!BA179</f>
        <v>0</v>
      </c>
      <c r="AC178" s="180">
        <f>订货1!BB179</f>
        <v>0</v>
      </c>
      <c r="AD178" s="180">
        <f>订货1!BC179</f>
        <v>0</v>
      </c>
      <c r="AE178" s="180">
        <f>订货1!BD179</f>
        <v>0</v>
      </c>
      <c r="AF178" s="180">
        <f>订货1!BE179</f>
        <v>0</v>
      </c>
      <c r="AG178" s="180">
        <f>订货1!BF179</f>
        <v>0</v>
      </c>
      <c r="AH178" s="176"/>
      <c r="AI178" s="178" t="e">
        <f>店铺收货台帐2!DE179</f>
        <v>#DIV/0!</v>
      </c>
    </row>
    <row r="179" spans="1:35" hidden="1">
      <c r="A179" s="37">
        <f>订货1!K180</f>
        <v>101759</v>
      </c>
      <c r="B179" s="37" t="str">
        <f>订货1!M180</f>
        <v>原味鸡胗串20g</v>
      </c>
      <c r="C179" s="180">
        <f>订货1!AB180</f>
        <v>0</v>
      </c>
      <c r="D179" s="180">
        <f>订货1!AC180</f>
        <v>0</v>
      </c>
      <c r="E179" s="180">
        <f>订货1!AD180</f>
        <v>0</v>
      </c>
      <c r="F179" s="180">
        <f>订货1!AE180</f>
        <v>0</v>
      </c>
      <c r="G179" s="180">
        <f>订货1!AF180</f>
        <v>0</v>
      </c>
      <c r="H179" s="180">
        <f>订货1!AG180</f>
        <v>0</v>
      </c>
      <c r="I179" s="180">
        <f>订货1!AH180</f>
        <v>0</v>
      </c>
      <c r="J179" s="180">
        <f>订货1!AI180</f>
        <v>0</v>
      </c>
      <c r="K179" s="180">
        <f>订货1!AJ180</f>
        <v>1</v>
      </c>
      <c r="L179" s="180">
        <f>订货1!AK180</f>
        <v>0</v>
      </c>
      <c r="M179" s="180">
        <f>订货1!AL180</f>
        <v>0</v>
      </c>
      <c r="N179" s="180">
        <f>订货1!AM180</f>
        <v>0</v>
      </c>
      <c r="O179" s="180">
        <f>订货1!AN180</f>
        <v>0</v>
      </c>
      <c r="P179" s="180">
        <f>订货1!AO180</f>
        <v>0</v>
      </c>
      <c r="Q179" s="180">
        <f>订货1!AP180</f>
        <v>0</v>
      </c>
      <c r="R179" s="180">
        <f>订货1!AQ180</f>
        <v>0</v>
      </c>
      <c r="S179" s="180">
        <f>订货1!AR180</f>
        <v>0</v>
      </c>
      <c r="T179" s="180">
        <f>订货1!AS180</f>
        <v>0</v>
      </c>
      <c r="U179" s="180">
        <f>订货1!AT180</f>
        <v>0</v>
      </c>
      <c r="V179" s="180">
        <f>订货1!AU180</f>
        <v>0</v>
      </c>
      <c r="W179" s="180">
        <f>订货1!AV180</f>
        <v>0</v>
      </c>
      <c r="X179" s="180">
        <f>订货1!AW180</f>
        <v>0</v>
      </c>
      <c r="Y179" s="180">
        <f>订货1!AX180</f>
        <v>0</v>
      </c>
      <c r="Z179" s="180">
        <f>订货1!AY180</f>
        <v>0</v>
      </c>
      <c r="AA179" s="180">
        <f>订货1!AZ180</f>
        <v>0</v>
      </c>
      <c r="AB179" s="180">
        <f>订货1!BA180</f>
        <v>0</v>
      </c>
      <c r="AC179" s="180">
        <f>订货1!BB180</f>
        <v>0</v>
      </c>
      <c r="AD179" s="180">
        <f>订货1!BC180</f>
        <v>0</v>
      </c>
      <c r="AE179" s="180">
        <f>订货1!BD180</f>
        <v>0</v>
      </c>
      <c r="AF179" s="180">
        <f>订货1!BE180</f>
        <v>0</v>
      </c>
      <c r="AG179" s="180">
        <f>订货1!BF180</f>
        <v>0</v>
      </c>
      <c r="AH179" s="176"/>
      <c r="AI179" s="178" t="e">
        <f>店铺收货台帐2!DE180</f>
        <v>#DIV/0!</v>
      </c>
    </row>
    <row r="180" spans="1:35" hidden="1">
      <c r="A180" s="37">
        <f>订货1!K181</f>
        <v>101760</v>
      </c>
      <c r="B180" s="37" t="str">
        <f>订货1!M181</f>
        <v>藤椒鸡胗串20g</v>
      </c>
      <c r="C180" s="180">
        <f>订货1!AB181</f>
        <v>0</v>
      </c>
      <c r="D180" s="180">
        <f>订货1!AC181</f>
        <v>0</v>
      </c>
      <c r="E180" s="180">
        <f>订货1!AD181</f>
        <v>0</v>
      </c>
      <c r="F180" s="180">
        <f>订货1!AE181</f>
        <v>0</v>
      </c>
      <c r="G180" s="180">
        <f>订货1!AF181</f>
        <v>0</v>
      </c>
      <c r="H180" s="180">
        <f>订货1!AG181</f>
        <v>0</v>
      </c>
      <c r="I180" s="180">
        <f>订货1!AH181</f>
        <v>0</v>
      </c>
      <c r="J180" s="180">
        <f>订货1!AI181</f>
        <v>0</v>
      </c>
      <c r="K180" s="180">
        <f>订货1!AJ181</f>
        <v>0</v>
      </c>
      <c r="L180" s="180">
        <f>订货1!AK181</f>
        <v>0</v>
      </c>
      <c r="M180" s="180">
        <f>订货1!AL181</f>
        <v>0</v>
      </c>
      <c r="N180" s="180">
        <f>订货1!AM181</f>
        <v>0</v>
      </c>
      <c r="O180" s="180">
        <f>订货1!AN181</f>
        <v>0</v>
      </c>
      <c r="P180" s="180">
        <f>订货1!AO181</f>
        <v>0</v>
      </c>
      <c r="Q180" s="180">
        <f>订货1!AP181</f>
        <v>0</v>
      </c>
      <c r="R180" s="180">
        <f>订货1!AQ181</f>
        <v>0</v>
      </c>
      <c r="S180" s="180">
        <f>订货1!AR181</f>
        <v>0</v>
      </c>
      <c r="T180" s="180">
        <f>订货1!AS181</f>
        <v>0</v>
      </c>
      <c r="U180" s="180">
        <f>订货1!AT181</f>
        <v>0</v>
      </c>
      <c r="V180" s="180">
        <f>订货1!AU181</f>
        <v>0</v>
      </c>
      <c r="W180" s="180">
        <f>订货1!AV181</f>
        <v>0</v>
      </c>
      <c r="X180" s="180">
        <f>订货1!AW181</f>
        <v>0</v>
      </c>
      <c r="Y180" s="180">
        <f>订货1!AX181</f>
        <v>0</v>
      </c>
      <c r="Z180" s="180">
        <f>订货1!AY181</f>
        <v>0</v>
      </c>
      <c r="AA180" s="180">
        <f>订货1!AZ181</f>
        <v>0</v>
      </c>
      <c r="AB180" s="180">
        <f>订货1!BA181</f>
        <v>0</v>
      </c>
      <c r="AC180" s="180">
        <f>订货1!BB181</f>
        <v>0</v>
      </c>
      <c r="AD180" s="180">
        <f>订货1!BC181</f>
        <v>0</v>
      </c>
      <c r="AE180" s="180">
        <f>订货1!BD181</f>
        <v>0</v>
      </c>
      <c r="AF180" s="180">
        <f>订货1!BE181</f>
        <v>0</v>
      </c>
      <c r="AG180" s="180">
        <f>订货1!BF181</f>
        <v>0</v>
      </c>
      <c r="AH180" s="176"/>
      <c r="AI180" s="178" t="e">
        <f>店铺收货台帐2!DE181</f>
        <v>#DIV/0!</v>
      </c>
    </row>
    <row r="181" spans="1:35" hidden="1">
      <c r="A181" s="37">
        <f>订货1!K182</f>
        <v>101674</v>
      </c>
      <c r="B181" s="37" t="str">
        <f>订货1!M182</f>
        <v xml:space="preserve">意大利面 </v>
      </c>
      <c r="C181" s="180">
        <f>订货1!AB182</f>
        <v>0</v>
      </c>
      <c r="D181" s="180">
        <f>订货1!AC182</f>
        <v>0</v>
      </c>
      <c r="E181" s="180">
        <f>订货1!AD182</f>
        <v>0</v>
      </c>
      <c r="F181" s="180">
        <f>订货1!AE182</f>
        <v>0</v>
      </c>
      <c r="G181" s="180">
        <f>订货1!AF182</f>
        <v>0</v>
      </c>
      <c r="H181" s="180">
        <f>订货1!AG182</f>
        <v>0</v>
      </c>
      <c r="I181" s="180">
        <f>订货1!AH182</f>
        <v>0</v>
      </c>
      <c r="J181" s="180">
        <f>订货1!AI182</f>
        <v>0</v>
      </c>
      <c r="K181" s="180">
        <f>订货1!AJ182</f>
        <v>0</v>
      </c>
      <c r="L181" s="180">
        <f>订货1!AK182</f>
        <v>0</v>
      </c>
      <c r="M181" s="180">
        <f>订货1!AL182</f>
        <v>0</v>
      </c>
      <c r="N181" s="180">
        <f>订货1!AM182</f>
        <v>0</v>
      </c>
      <c r="O181" s="180">
        <f>订货1!AN182</f>
        <v>0</v>
      </c>
      <c r="P181" s="180">
        <f>订货1!AO182</f>
        <v>0</v>
      </c>
      <c r="Q181" s="180">
        <f>订货1!AP182</f>
        <v>0</v>
      </c>
      <c r="R181" s="180">
        <f>订货1!AQ182</f>
        <v>0</v>
      </c>
      <c r="S181" s="180">
        <f>订货1!AR182</f>
        <v>0</v>
      </c>
      <c r="T181" s="180">
        <f>订货1!AS182</f>
        <v>0</v>
      </c>
      <c r="U181" s="180">
        <f>订货1!AT182</f>
        <v>0</v>
      </c>
      <c r="V181" s="180">
        <f>订货1!AU182</f>
        <v>0</v>
      </c>
      <c r="W181" s="180">
        <f>订货1!AV182</f>
        <v>0</v>
      </c>
      <c r="X181" s="180">
        <f>订货1!AW182</f>
        <v>0</v>
      </c>
      <c r="Y181" s="180">
        <f>订货1!AX182</f>
        <v>0</v>
      </c>
      <c r="Z181" s="180">
        <f>订货1!AY182</f>
        <v>0</v>
      </c>
      <c r="AA181" s="180">
        <f>订货1!AZ182</f>
        <v>0</v>
      </c>
      <c r="AB181" s="180">
        <f>订货1!BA182</f>
        <v>0</v>
      </c>
      <c r="AC181" s="180">
        <f>订货1!BB182</f>
        <v>0</v>
      </c>
      <c r="AD181" s="180">
        <f>订货1!BC182</f>
        <v>0</v>
      </c>
      <c r="AE181" s="180">
        <f>订货1!BD182</f>
        <v>0</v>
      </c>
      <c r="AF181" s="180">
        <f>订货1!BE182</f>
        <v>0</v>
      </c>
      <c r="AG181" s="180">
        <f>订货1!BF182</f>
        <v>0</v>
      </c>
      <c r="AH181" s="176"/>
      <c r="AI181" s="178" t="e">
        <f>店铺收货台帐2!DE182</f>
        <v>#DIV/0!</v>
      </c>
    </row>
    <row r="182" spans="1:35" hidden="1">
      <c r="A182" s="37">
        <f>订货1!K183</f>
        <v>101022</v>
      </c>
      <c r="B182" s="37" t="str">
        <f>订货1!M183</f>
        <v>萨莉亚鸡排</v>
      </c>
      <c r="C182" s="180">
        <f>订货1!AB183</f>
        <v>0</v>
      </c>
      <c r="D182" s="180">
        <f>订货1!AC183</f>
        <v>0</v>
      </c>
      <c r="E182" s="180">
        <f>订货1!AD183</f>
        <v>0</v>
      </c>
      <c r="F182" s="180">
        <f>订货1!AE183</f>
        <v>0</v>
      </c>
      <c r="G182" s="180">
        <f>订货1!AF183</f>
        <v>0</v>
      </c>
      <c r="H182" s="180">
        <f>订货1!AG183</f>
        <v>0</v>
      </c>
      <c r="I182" s="180">
        <f>订货1!AH183</f>
        <v>0</v>
      </c>
      <c r="J182" s="180">
        <f>订货1!AI183</f>
        <v>0</v>
      </c>
      <c r="K182" s="180">
        <f>订货1!AJ183</f>
        <v>0</v>
      </c>
      <c r="L182" s="180">
        <f>订货1!AK183</f>
        <v>0</v>
      </c>
      <c r="M182" s="180">
        <f>订货1!AL183</f>
        <v>0</v>
      </c>
      <c r="N182" s="180">
        <f>订货1!AM183</f>
        <v>0</v>
      </c>
      <c r="O182" s="180">
        <f>订货1!AN183</f>
        <v>0</v>
      </c>
      <c r="P182" s="180">
        <f>订货1!AO183</f>
        <v>0</v>
      </c>
      <c r="Q182" s="180">
        <f>订货1!AP183</f>
        <v>0</v>
      </c>
      <c r="R182" s="180">
        <f>订货1!AQ183</f>
        <v>0</v>
      </c>
      <c r="S182" s="180">
        <f>订货1!AR183</f>
        <v>0</v>
      </c>
      <c r="T182" s="180">
        <f>订货1!AS183</f>
        <v>0</v>
      </c>
      <c r="U182" s="180">
        <f>订货1!AT183</f>
        <v>0</v>
      </c>
      <c r="V182" s="180">
        <f>订货1!AU183</f>
        <v>0</v>
      </c>
      <c r="W182" s="180">
        <f>订货1!AV183</f>
        <v>0</v>
      </c>
      <c r="X182" s="180">
        <f>订货1!AW183</f>
        <v>0</v>
      </c>
      <c r="Y182" s="180">
        <f>订货1!AX183</f>
        <v>0</v>
      </c>
      <c r="Z182" s="180">
        <f>订货1!AY183</f>
        <v>0</v>
      </c>
      <c r="AA182" s="180">
        <f>订货1!AZ183</f>
        <v>0</v>
      </c>
      <c r="AB182" s="180">
        <f>订货1!BA183</f>
        <v>0</v>
      </c>
      <c r="AC182" s="180">
        <f>订货1!BB183</f>
        <v>0</v>
      </c>
      <c r="AD182" s="180">
        <f>订货1!BC183</f>
        <v>0</v>
      </c>
      <c r="AE182" s="180">
        <f>订货1!BD183</f>
        <v>0</v>
      </c>
      <c r="AF182" s="180">
        <f>订货1!BE183</f>
        <v>0</v>
      </c>
      <c r="AG182" s="180">
        <f>订货1!BF183</f>
        <v>0</v>
      </c>
      <c r="AH182" s="176"/>
      <c r="AI182" s="178" t="e">
        <f>店铺收货台帐2!DE183</f>
        <v>#DIV/0!</v>
      </c>
    </row>
    <row r="183" spans="1:35" hidden="1">
      <c r="A183" s="37">
        <f>订货1!K184</f>
        <v>101024</v>
      </c>
      <c r="B183" s="37" t="str">
        <f>订货1!M184</f>
        <v>萨莉亚翅中</v>
      </c>
      <c r="C183" s="180">
        <f>订货1!AB184</f>
        <v>0</v>
      </c>
      <c r="D183" s="180">
        <f>订货1!AC184</f>
        <v>0</v>
      </c>
      <c r="E183" s="180">
        <f>订货1!AD184</f>
        <v>0</v>
      </c>
      <c r="F183" s="180">
        <f>订货1!AE184</f>
        <v>0</v>
      </c>
      <c r="G183" s="180">
        <f>订货1!AF184</f>
        <v>0</v>
      </c>
      <c r="H183" s="180">
        <f>订货1!AG184</f>
        <v>0</v>
      </c>
      <c r="I183" s="180">
        <f>订货1!AH184</f>
        <v>0</v>
      </c>
      <c r="J183" s="180">
        <f>订货1!AI184</f>
        <v>0</v>
      </c>
      <c r="K183" s="180">
        <f>订货1!AJ184</f>
        <v>0</v>
      </c>
      <c r="L183" s="180">
        <f>订货1!AK184</f>
        <v>0</v>
      </c>
      <c r="M183" s="180">
        <f>订货1!AL184</f>
        <v>0</v>
      </c>
      <c r="N183" s="180">
        <f>订货1!AM184</f>
        <v>0</v>
      </c>
      <c r="O183" s="180">
        <f>订货1!AN184</f>
        <v>0</v>
      </c>
      <c r="P183" s="180">
        <f>订货1!AO184</f>
        <v>0</v>
      </c>
      <c r="Q183" s="180">
        <f>订货1!AP184</f>
        <v>0</v>
      </c>
      <c r="R183" s="180">
        <f>订货1!AQ184</f>
        <v>0</v>
      </c>
      <c r="S183" s="180">
        <f>订货1!AR184</f>
        <v>0</v>
      </c>
      <c r="T183" s="180">
        <f>订货1!AS184</f>
        <v>0</v>
      </c>
      <c r="U183" s="180">
        <f>订货1!AT184</f>
        <v>0</v>
      </c>
      <c r="V183" s="180">
        <f>订货1!AU184</f>
        <v>0</v>
      </c>
      <c r="W183" s="180">
        <f>订货1!AV184</f>
        <v>0</v>
      </c>
      <c r="X183" s="180">
        <f>订货1!AW184</f>
        <v>0</v>
      </c>
      <c r="Y183" s="180">
        <f>订货1!AX184</f>
        <v>0</v>
      </c>
      <c r="Z183" s="180">
        <f>订货1!AY184</f>
        <v>0</v>
      </c>
      <c r="AA183" s="180">
        <f>订货1!AZ184</f>
        <v>0</v>
      </c>
      <c r="AB183" s="180">
        <f>订货1!BA184</f>
        <v>0</v>
      </c>
      <c r="AC183" s="180">
        <f>订货1!BB184</f>
        <v>0</v>
      </c>
      <c r="AD183" s="180">
        <f>订货1!BC184</f>
        <v>0</v>
      </c>
      <c r="AE183" s="180">
        <f>订货1!BD184</f>
        <v>0</v>
      </c>
      <c r="AF183" s="180">
        <f>订货1!BE184</f>
        <v>0</v>
      </c>
      <c r="AG183" s="180">
        <f>订货1!BF184</f>
        <v>0</v>
      </c>
      <c r="AH183" s="176"/>
      <c r="AI183" s="178" t="e">
        <f>店铺收货台帐2!DE184</f>
        <v>#DIV/0!</v>
      </c>
    </row>
    <row r="184" spans="1:35" hidden="1">
      <c r="A184" s="37">
        <f>订货1!K185</f>
        <v>101058</v>
      </c>
      <c r="B184" s="37" t="str">
        <f>订货1!M185</f>
        <v>萨莉亚黑椒鸡腿</v>
      </c>
      <c r="C184" s="180">
        <f>订货1!AB185</f>
        <v>0</v>
      </c>
      <c r="D184" s="180">
        <f>订货1!AC185</f>
        <v>1</v>
      </c>
      <c r="E184" s="180">
        <f>订货1!AD185</f>
        <v>0</v>
      </c>
      <c r="F184" s="180">
        <f>订货1!AE185</f>
        <v>1</v>
      </c>
      <c r="G184" s="180">
        <f>订货1!AF185</f>
        <v>1</v>
      </c>
      <c r="H184" s="180">
        <f>订货1!AG185</f>
        <v>1</v>
      </c>
      <c r="I184" s="180">
        <f>订货1!AH185</f>
        <v>0</v>
      </c>
      <c r="J184" s="180">
        <f>订货1!AI185</f>
        <v>1</v>
      </c>
      <c r="K184" s="180">
        <f>订货1!AJ185</f>
        <v>0</v>
      </c>
      <c r="L184" s="180">
        <f>订货1!AK185</f>
        <v>0</v>
      </c>
      <c r="M184" s="180">
        <f>订货1!AL185</f>
        <v>0</v>
      </c>
      <c r="N184" s="180">
        <f>订货1!AM185</f>
        <v>2</v>
      </c>
      <c r="O184" s="180">
        <f>订货1!AN185</f>
        <v>1</v>
      </c>
      <c r="P184" s="180">
        <f>订货1!AO185</f>
        <v>1</v>
      </c>
      <c r="Q184" s="180">
        <f>订货1!AP185</f>
        <v>0</v>
      </c>
      <c r="R184" s="180">
        <f>订货1!AQ185</f>
        <v>0</v>
      </c>
      <c r="S184" s="180">
        <f>订货1!AR185</f>
        <v>0</v>
      </c>
      <c r="T184" s="180">
        <f>订货1!AS185</f>
        <v>0</v>
      </c>
      <c r="U184" s="180">
        <f>订货1!AT185</f>
        <v>0</v>
      </c>
      <c r="V184" s="180">
        <f>订货1!AU185</f>
        <v>0</v>
      </c>
      <c r="W184" s="180">
        <f>订货1!AV185</f>
        <v>0</v>
      </c>
      <c r="X184" s="180">
        <f>订货1!AW185</f>
        <v>0</v>
      </c>
      <c r="Y184" s="180">
        <f>订货1!AX185</f>
        <v>0</v>
      </c>
      <c r="Z184" s="180">
        <f>订货1!AY185</f>
        <v>0</v>
      </c>
      <c r="AA184" s="180">
        <f>订货1!AZ185</f>
        <v>0</v>
      </c>
      <c r="AB184" s="180">
        <f>订货1!BA185</f>
        <v>0</v>
      </c>
      <c r="AC184" s="180">
        <f>订货1!BB185</f>
        <v>0</v>
      </c>
      <c r="AD184" s="180">
        <f>订货1!BC185</f>
        <v>0</v>
      </c>
      <c r="AE184" s="180">
        <f>订货1!BD185</f>
        <v>0</v>
      </c>
      <c r="AF184" s="180">
        <f>订货1!BE185</f>
        <v>0</v>
      </c>
      <c r="AG184" s="180">
        <f>订货1!BF185</f>
        <v>0</v>
      </c>
      <c r="AH184" s="176"/>
      <c r="AI184" s="178" t="e">
        <f>店铺收货台帐2!DE185</f>
        <v>#DIV/0!</v>
      </c>
    </row>
    <row r="185" spans="1:35" hidden="1">
      <c r="A185" s="37">
        <f>订货1!K186</f>
        <v>101269</v>
      </c>
      <c r="B185" s="37" t="str">
        <f>订货1!M186</f>
        <v>香草鸡排串</v>
      </c>
      <c r="C185" s="180">
        <f>订货1!AB186</f>
        <v>0</v>
      </c>
      <c r="D185" s="180">
        <f>订货1!AC186</f>
        <v>0</v>
      </c>
      <c r="E185" s="180">
        <f>订货1!AD186</f>
        <v>0</v>
      </c>
      <c r="F185" s="180">
        <f>订货1!AE186</f>
        <v>1</v>
      </c>
      <c r="G185" s="180">
        <f>订货1!AF186</f>
        <v>0</v>
      </c>
      <c r="H185" s="180">
        <f>订货1!AG186</f>
        <v>1</v>
      </c>
      <c r="I185" s="180">
        <f>订货1!AH186</f>
        <v>0</v>
      </c>
      <c r="J185" s="180">
        <f>订货1!AI186</f>
        <v>0</v>
      </c>
      <c r="K185" s="180">
        <f>订货1!AJ186</f>
        <v>0</v>
      </c>
      <c r="L185" s="180">
        <f>订货1!AK186</f>
        <v>0</v>
      </c>
      <c r="M185" s="180">
        <f>订货1!AL186</f>
        <v>1</v>
      </c>
      <c r="N185" s="180">
        <f>订货1!AM186</f>
        <v>0</v>
      </c>
      <c r="O185" s="180">
        <f>订货1!AN186</f>
        <v>1</v>
      </c>
      <c r="P185" s="180">
        <f>订货1!AO186</f>
        <v>0</v>
      </c>
      <c r="Q185" s="180">
        <f>订货1!AP186</f>
        <v>0</v>
      </c>
      <c r="R185" s="180">
        <f>订货1!AQ186</f>
        <v>0</v>
      </c>
      <c r="S185" s="180">
        <f>订货1!AR186</f>
        <v>0</v>
      </c>
      <c r="T185" s="180">
        <f>订货1!AS186</f>
        <v>0</v>
      </c>
      <c r="U185" s="180">
        <f>订货1!AT186</f>
        <v>0</v>
      </c>
      <c r="V185" s="180">
        <f>订货1!AU186</f>
        <v>0</v>
      </c>
      <c r="W185" s="180">
        <f>订货1!AV186</f>
        <v>0</v>
      </c>
      <c r="X185" s="180">
        <f>订货1!AW186</f>
        <v>0</v>
      </c>
      <c r="Y185" s="180">
        <f>订货1!AX186</f>
        <v>0</v>
      </c>
      <c r="Z185" s="180">
        <f>订货1!AY186</f>
        <v>0</v>
      </c>
      <c r="AA185" s="180">
        <f>订货1!AZ186</f>
        <v>0</v>
      </c>
      <c r="AB185" s="180">
        <f>订货1!BA186</f>
        <v>0</v>
      </c>
      <c r="AC185" s="180">
        <f>订货1!BB186</f>
        <v>0</v>
      </c>
      <c r="AD185" s="180">
        <f>订货1!BC186</f>
        <v>0</v>
      </c>
      <c r="AE185" s="180">
        <f>订货1!BD186</f>
        <v>0</v>
      </c>
      <c r="AF185" s="180">
        <f>订货1!BE186</f>
        <v>0</v>
      </c>
      <c r="AG185" s="180">
        <f>订货1!BF186</f>
        <v>0</v>
      </c>
      <c r="AH185" s="176"/>
      <c r="AI185" s="178" t="e">
        <f>店铺收货台帐2!DE186</f>
        <v>#DIV/0!</v>
      </c>
    </row>
    <row r="186" spans="1:35" hidden="1">
      <c r="A186" s="37">
        <f>订货1!K187</f>
        <v>101699</v>
      </c>
      <c r="B186" s="37" t="str">
        <f>订货1!M187</f>
        <v>屯河番茄丁</v>
      </c>
      <c r="C186" s="180">
        <f>订货1!AB187</f>
        <v>0</v>
      </c>
      <c r="D186" s="180">
        <f>订货1!AC187</f>
        <v>0</v>
      </c>
      <c r="E186" s="180">
        <f>订货1!AD187</f>
        <v>0</v>
      </c>
      <c r="F186" s="180">
        <f>订货1!AE187</f>
        <v>0</v>
      </c>
      <c r="G186" s="180">
        <f>订货1!AF187</f>
        <v>0</v>
      </c>
      <c r="H186" s="180">
        <f>订货1!AG187</f>
        <v>1</v>
      </c>
      <c r="I186" s="180">
        <f>订货1!AH187</f>
        <v>0</v>
      </c>
      <c r="J186" s="180">
        <f>订货1!AI187</f>
        <v>1</v>
      </c>
      <c r="K186" s="180">
        <f>订货1!AJ187</f>
        <v>0</v>
      </c>
      <c r="L186" s="180">
        <f>订货1!AK187</f>
        <v>0</v>
      </c>
      <c r="M186" s="180">
        <f>订货1!AL187</f>
        <v>0</v>
      </c>
      <c r="N186" s="180">
        <f>订货1!AM187</f>
        <v>0</v>
      </c>
      <c r="O186" s="180">
        <f>订货1!AN187</f>
        <v>0</v>
      </c>
      <c r="P186" s="180">
        <f>订货1!AO187</f>
        <v>0</v>
      </c>
      <c r="Q186" s="180">
        <f>订货1!AP187</f>
        <v>0</v>
      </c>
      <c r="R186" s="180">
        <f>订货1!AQ187</f>
        <v>0</v>
      </c>
      <c r="S186" s="180">
        <f>订货1!AR187</f>
        <v>0</v>
      </c>
      <c r="T186" s="180">
        <f>订货1!AS187</f>
        <v>0</v>
      </c>
      <c r="U186" s="180">
        <f>订货1!AT187</f>
        <v>0</v>
      </c>
      <c r="V186" s="180">
        <f>订货1!AU187</f>
        <v>0</v>
      </c>
      <c r="W186" s="180">
        <f>订货1!AV187</f>
        <v>0</v>
      </c>
      <c r="X186" s="180">
        <f>订货1!AW187</f>
        <v>0</v>
      </c>
      <c r="Y186" s="180">
        <f>订货1!AX187</f>
        <v>0</v>
      </c>
      <c r="Z186" s="180">
        <f>订货1!AY187</f>
        <v>0</v>
      </c>
      <c r="AA186" s="180">
        <f>订货1!AZ187</f>
        <v>0</v>
      </c>
      <c r="AB186" s="180">
        <f>订货1!BA187</f>
        <v>0</v>
      </c>
      <c r="AC186" s="180">
        <f>订货1!BB187</f>
        <v>0</v>
      </c>
      <c r="AD186" s="180">
        <f>订货1!BC187</f>
        <v>0</v>
      </c>
      <c r="AE186" s="180">
        <f>订货1!BD187</f>
        <v>0</v>
      </c>
      <c r="AF186" s="180">
        <f>订货1!BE187</f>
        <v>0</v>
      </c>
      <c r="AG186" s="180">
        <f>订货1!BF187</f>
        <v>0</v>
      </c>
      <c r="AH186" s="176"/>
      <c r="AI186" s="178" t="e">
        <f>店铺收货台帐2!DE187</f>
        <v>#DIV/0!</v>
      </c>
    </row>
    <row r="187" spans="1:35" hidden="1">
      <c r="A187" s="37">
        <f>订货1!K188</f>
        <v>101576</v>
      </c>
      <c r="B187" s="37" t="str">
        <f>订货1!M188</f>
        <v>白沙司</v>
      </c>
      <c r="C187" s="180">
        <f>订货1!AB188</f>
        <v>0</v>
      </c>
      <c r="D187" s="180">
        <f>订货1!AC188</f>
        <v>0</v>
      </c>
      <c r="E187" s="180">
        <f>订货1!AD188</f>
        <v>0</v>
      </c>
      <c r="F187" s="180">
        <f>订货1!AE188</f>
        <v>1</v>
      </c>
      <c r="G187" s="180">
        <f>订货1!AF188</f>
        <v>0</v>
      </c>
      <c r="H187" s="180">
        <f>订货1!AG188</f>
        <v>2</v>
      </c>
      <c r="I187" s="180">
        <f>订货1!AH188</f>
        <v>0</v>
      </c>
      <c r="J187" s="180">
        <f>订货1!AI188</f>
        <v>0</v>
      </c>
      <c r="K187" s="180">
        <f>订货1!AJ188</f>
        <v>1</v>
      </c>
      <c r="L187" s="180">
        <f>订货1!AK188</f>
        <v>0</v>
      </c>
      <c r="M187" s="180">
        <f>订货1!AL188</f>
        <v>0</v>
      </c>
      <c r="N187" s="180">
        <f>订货1!AM188</f>
        <v>2</v>
      </c>
      <c r="O187" s="180">
        <f>订货1!AN188</f>
        <v>1</v>
      </c>
      <c r="P187" s="180">
        <f>订货1!AO188</f>
        <v>1</v>
      </c>
      <c r="Q187" s="180">
        <f>订货1!AP188</f>
        <v>0</v>
      </c>
      <c r="R187" s="180">
        <f>订货1!AQ188</f>
        <v>0</v>
      </c>
      <c r="S187" s="180">
        <f>订货1!AR188</f>
        <v>0</v>
      </c>
      <c r="T187" s="180">
        <f>订货1!AS188</f>
        <v>0</v>
      </c>
      <c r="U187" s="180">
        <f>订货1!AT188</f>
        <v>0</v>
      </c>
      <c r="V187" s="180">
        <f>订货1!AU188</f>
        <v>0</v>
      </c>
      <c r="W187" s="180">
        <f>订货1!AV188</f>
        <v>0</v>
      </c>
      <c r="X187" s="180">
        <f>订货1!AW188</f>
        <v>0</v>
      </c>
      <c r="Y187" s="180">
        <f>订货1!AX188</f>
        <v>0</v>
      </c>
      <c r="Z187" s="180">
        <f>订货1!AY188</f>
        <v>0</v>
      </c>
      <c r="AA187" s="180">
        <f>订货1!AZ188</f>
        <v>0</v>
      </c>
      <c r="AB187" s="180">
        <f>订货1!BA188</f>
        <v>0</v>
      </c>
      <c r="AC187" s="180">
        <f>订货1!BB188</f>
        <v>0</v>
      </c>
      <c r="AD187" s="180">
        <f>订货1!BC188</f>
        <v>0</v>
      </c>
      <c r="AE187" s="180">
        <f>订货1!BD188</f>
        <v>0</v>
      </c>
      <c r="AF187" s="180">
        <f>订货1!BE188</f>
        <v>0</v>
      </c>
      <c r="AG187" s="180">
        <f>订货1!BF188</f>
        <v>0</v>
      </c>
      <c r="AH187" s="176"/>
      <c r="AI187" s="178" t="e">
        <f>店铺收货台帐2!DE188</f>
        <v>#DIV/0!</v>
      </c>
    </row>
    <row r="188" spans="1:35" hidden="1">
      <c r="A188" s="37">
        <f>订货1!K189</f>
        <v>101063</v>
      </c>
      <c r="B188" s="37" t="str">
        <f>订货1!M189</f>
        <v>妙可蓝多马苏里拉奶酪</v>
      </c>
      <c r="C188" s="180">
        <f>订货1!AB189</f>
        <v>0</v>
      </c>
      <c r="D188" s="180">
        <f>订货1!AC189</f>
        <v>1</v>
      </c>
      <c r="E188" s="180">
        <f>订货1!AD189</f>
        <v>0</v>
      </c>
      <c r="F188" s="180">
        <f>订货1!AE189</f>
        <v>1</v>
      </c>
      <c r="G188" s="180">
        <f>订货1!AF189</f>
        <v>1</v>
      </c>
      <c r="H188" s="180">
        <f>订货1!AG189</f>
        <v>1</v>
      </c>
      <c r="I188" s="180">
        <f>订货1!AH189</f>
        <v>0</v>
      </c>
      <c r="J188" s="180">
        <f>订货1!AI189</f>
        <v>1</v>
      </c>
      <c r="K188" s="180">
        <f>订货1!AJ189</f>
        <v>0</v>
      </c>
      <c r="L188" s="180">
        <f>订货1!AK189</f>
        <v>0</v>
      </c>
      <c r="M188" s="180">
        <f>订货1!AL189</f>
        <v>0</v>
      </c>
      <c r="N188" s="180">
        <f>订货1!AM189</f>
        <v>2</v>
      </c>
      <c r="O188" s="180">
        <f>订货1!AN189</f>
        <v>2</v>
      </c>
      <c r="P188" s="180">
        <f>订货1!AO189</f>
        <v>0</v>
      </c>
      <c r="Q188" s="180">
        <f>订货1!AP189</f>
        <v>0</v>
      </c>
      <c r="R188" s="180">
        <f>订货1!AQ189</f>
        <v>0</v>
      </c>
      <c r="S188" s="180">
        <f>订货1!AR189</f>
        <v>0</v>
      </c>
      <c r="T188" s="180">
        <f>订货1!AS189</f>
        <v>0</v>
      </c>
      <c r="U188" s="180">
        <f>订货1!AT189</f>
        <v>0</v>
      </c>
      <c r="V188" s="180">
        <f>订货1!AU189</f>
        <v>0</v>
      </c>
      <c r="W188" s="180">
        <f>订货1!AV189</f>
        <v>0</v>
      </c>
      <c r="X188" s="180">
        <f>订货1!AW189</f>
        <v>0</v>
      </c>
      <c r="Y188" s="180">
        <f>订货1!AX189</f>
        <v>0</v>
      </c>
      <c r="Z188" s="180">
        <f>订货1!AY189</f>
        <v>0</v>
      </c>
      <c r="AA188" s="180">
        <f>订货1!AZ189</f>
        <v>0</v>
      </c>
      <c r="AB188" s="180">
        <f>订货1!BA189</f>
        <v>0</v>
      </c>
      <c r="AC188" s="180">
        <f>订货1!BB189</f>
        <v>0</v>
      </c>
      <c r="AD188" s="180">
        <f>订货1!BC189</f>
        <v>0</v>
      </c>
      <c r="AE188" s="180">
        <f>订货1!BD189</f>
        <v>0</v>
      </c>
      <c r="AF188" s="180">
        <f>订货1!BE189</f>
        <v>0</v>
      </c>
      <c r="AG188" s="180">
        <f>订货1!BF189</f>
        <v>0</v>
      </c>
      <c r="AH188" s="176"/>
      <c r="AI188" s="178" t="e">
        <f>店铺收货台帐2!DE189</f>
        <v>#DIV/0!</v>
      </c>
    </row>
    <row r="189" spans="1:35" hidden="1">
      <c r="A189" s="37">
        <f>订货1!K190</f>
        <v>101637</v>
      </c>
      <c r="B189" s="37" t="str">
        <f>订货1!M190</f>
        <v xml:space="preserve">朝一温泉蛋 </v>
      </c>
      <c r="C189" s="180">
        <f>订货1!AB190</f>
        <v>0</v>
      </c>
      <c r="D189" s="180">
        <f>订货1!AC190</f>
        <v>2</v>
      </c>
      <c r="E189" s="180">
        <f>订货1!AD190</f>
        <v>0</v>
      </c>
      <c r="F189" s="180">
        <f>订货1!AE190</f>
        <v>1</v>
      </c>
      <c r="G189" s="180">
        <f>订货1!AF190</f>
        <v>0</v>
      </c>
      <c r="H189" s="180">
        <f>订货1!AG190</f>
        <v>1</v>
      </c>
      <c r="I189" s="180">
        <f>订货1!AH190</f>
        <v>1</v>
      </c>
      <c r="J189" s="180">
        <f>订货1!AI190</f>
        <v>0</v>
      </c>
      <c r="K189" s="180">
        <f>订货1!AJ190</f>
        <v>1</v>
      </c>
      <c r="L189" s="180">
        <f>订货1!AK190</f>
        <v>0</v>
      </c>
      <c r="M189" s="180">
        <f>订货1!AL190</f>
        <v>1</v>
      </c>
      <c r="N189" s="180">
        <f>订货1!AM190</f>
        <v>2</v>
      </c>
      <c r="O189" s="180">
        <f>订货1!AN190</f>
        <v>1</v>
      </c>
      <c r="P189" s="180">
        <f>订货1!AO190</f>
        <v>1</v>
      </c>
      <c r="Q189" s="180">
        <f>订货1!AP190</f>
        <v>0</v>
      </c>
      <c r="R189" s="180">
        <f>订货1!AQ190</f>
        <v>0</v>
      </c>
      <c r="S189" s="180">
        <f>订货1!AR190</f>
        <v>0</v>
      </c>
      <c r="T189" s="180">
        <f>订货1!AS190</f>
        <v>0</v>
      </c>
      <c r="U189" s="180">
        <f>订货1!AT190</f>
        <v>0</v>
      </c>
      <c r="V189" s="180">
        <f>订货1!AU190</f>
        <v>0</v>
      </c>
      <c r="W189" s="180">
        <f>订货1!AV190</f>
        <v>0</v>
      </c>
      <c r="X189" s="180">
        <f>订货1!AW190</f>
        <v>0</v>
      </c>
      <c r="Y189" s="180">
        <f>订货1!AX190</f>
        <v>0</v>
      </c>
      <c r="Z189" s="180">
        <f>订货1!AY190</f>
        <v>0</v>
      </c>
      <c r="AA189" s="180">
        <f>订货1!AZ190</f>
        <v>0</v>
      </c>
      <c r="AB189" s="180">
        <f>订货1!BA190</f>
        <v>0</v>
      </c>
      <c r="AC189" s="180">
        <f>订货1!BB190</f>
        <v>0</v>
      </c>
      <c r="AD189" s="180">
        <f>订货1!BC190</f>
        <v>0</v>
      </c>
      <c r="AE189" s="180">
        <f>订货1!BD190</f>
        <v>0</v>
      </c>
      <c r="AF189" s="180">
        <f>订货1!BE190</f>
        <v>0</v>
      </c>
      <c r="AG189" s="180">
        <f>订货1!BF190</f>
        <v>0</v>
      </c>
      <c r="AH189" s="176"/>
      <c r="AI189" s="178" t="e">
        <f>店铺收货台帐2!DE190</f>
        <v>#DIV/0!</v>
      </c>
    </row>
    <row r="190" spans="1:35" hidden="1">
      <c r="A190" s="37">
        <f>订货1!K191</f>
        <v>101761</v>
      </c>
      <c r="B190" s="37" t="str">
        <f>订货1!M191</f>
        <v>原味香肠A</v>
      </c>
      <c r="C190" s="180">
        <f>订货1!AB191</f>
        <v>0</v>
      </c>
      <c r="D190" s="180">
        <f>订货1!AC191</f>
        <v>0</v>
      </c>
      <c r="E190" s="180">
        <f>订货1!AD191</f>
        <v>0</v>
      </c>
      <c r="F190" s="180">
        <f>订货1!AE191</f>
        <v>0</v>
      </c>
      <c r="G190" s="180">
        <f>订货1!AF191</f>
        <v>0</v>
      </c>
      <c r="H190" s="180">
        <f>订货1!AG191</f>
        <v>0</v>
      </c>
      <c r="I190" s="180">
        <f>订货1!AH191</f>
        <v>0</v>
      </c>
      <c r="J190" s="180">
        <f>订货1!AI191</f>
        <v>0</v>
      </c>
      <c r="K190" s="180">
        <f>订货1!AJ191</f>
        <v>0</v>
      </c>
      <c r="L190" s="180">
        <f>订货1!AK191</f>
        <v>0</v>
      </c>
      <c r="M190" s="180">
        <f>订货1!AL191</f>
        <v>0</v>
      </c>
      <c r="N190" s="180">
        <f>订货1!AM191</f>
        <v>0</v>
      </c>
      <c r="O190" s="180">
        <f>订货1!AN191</f>
        <v>0</v>
      </c>
      <c r="P190" s="180">
        <f>订货1!AO191</f>
        <v>0</v>
      </c>
      <c r="Q190" s="180">
        <f>订货1!AP191</f>
        <v>0</v>
      </c>
      <c r="R190" s="180">
        <f>订货1!AQ191</f>
        <v>0</v>
      </c>
      <c r="S190" s="180">
        <f>订货1!AR191</f>
        <v>0</v>
      </c>
      <c r="T190" s="180">
        <f>订货1!AS191</f>
        <v>0</v>
      </c>
      <c r="U190" s="180">
        <f>订货1!AT191</f>
        <v>0</v>
      </c>
      <c r="V190" s="180">
        <f>订货1!AU191</f>
        <v>0</v>
      </c>
      <c r="W190" s="180">
        <f>订货1!AV191</f>
        <v>0</v>
      </c>
      <c r="X190" s="180">
        <f>订货1!AW191</f>
        <v>0</v>
      </c>
      <c r="Y190" s="180">
        <f>订货1!AX191</f>
        <v>0</v>
      </c>
      <c r="Z190" s="180">
        <f>订货1!AY191</f>
        <v>0</v>
      </c>
      <c r="AA190" s="180">
        <f>订货1!AZ191</f>
        <v>0</v>
      </c>
      <c r="AB190" s="180">
        <f>订货1!BA191</f>
        <v>0</v>
      </c>
      <c r="AC190" s="180">
        <f>订货1!BB191</f>
        <v>0</v>
      </c>
      <c r="AD190" s="180">
        <f>订货1!BC191</f>
        <v>0</v>
      </c>
      <c r="AE190" s="180">
        <f>订货1!BD191</f>
        <v>0</v>
      </c>
      <c r="AF190" s="180">
        <f>订货1!BE191</f>
        <v>0</v>
      </c>
      <c r="AG190" s="180">
        <f>订货1!BF191</f>
        <v>0</v>
      </c>
      <c r="AH190" s="176"/>
      <c r="AI190" s="178" t="e">
        <f>店铺收货台帐2!DE191</f>
        <v>#DIV/0!</v>
      </c>
    </row>
    <row r="191" spans="1:35" hidden="1">
      <c r="A191" s="37">
        <f>订货1!K192</f>
        <v>101581</v>
      </c>
      <c r="B191" s="37" t="str">
        <f>订货1!M192</f>
        <v>意式肉酱</v>
      </c>
      <c r="C191" s="180">
        <f>订货1!AB192</f>
        <v>0</v>
      </c>
      <c r="D191" s="180">
        <f>订货1!AC192</f>
        <v>2</v>
      </c>
      <c r="E191" s="180">
        <f>订货1!AD192</f>
        <v>0</v>
      </c>
      <c r="F191" s="180">
        <f>订货1!AE192</f>
        <v>3</v>
      </c>
      <c r="G191" s="180">
        <f>订货1!AF192</f>
        <v>2</v>
      </c>
      <c r="H191" s="180">
        <f>订货1!AG192</f>
        <v>3</v>
      </c>
      <c r="I191" s="180">
        <f>订货1!AH192</f>
        <v>0</v>
      </c>
      <c r="J191" s="180">
        <f>订货1!AI192</f>
        <v>2</v>
      </c>
      <c r="K191" s="180">
        <f>订货1!AJ192</f>
        <v>1</v>
      </c>
      <c r="L191" s="180">
        <f>订货1!AK192</f>
        <v>0</v>
      </c>
      <c r="M191" s="180">
        <f>订货1!AL192</f>
        <v>0</v>
      </c>
      <c r="N191" s="180">
        <f>订货1!AM192</f>
        <v>4</v>
      </c>
      <c r="O191" s="180">
        <f>订货1!AN192</f>
        <v>2</v>
      </c>
      <c r="P191" s="180">
        <f>订货1!AO192</f>
        <v>2</v>
      </c>
      <c r="Q191" s="180">
        <f>订货1!AP192</f>
        <v>0</v>
      </c>
      <c r="R191" s="180">
        <f>订货1!AQ192</f>
        <v>0</v>
      </c>
      <c r="S191" s="180">
        <f>订货1!AR192</f>
        <v>0</v>
      </c>
      <c r="T191" s="180">
        <f>订货1!AS192</f>
        <v>0</v>
      </c>
      <c r="U191" s="180">
        <f>订货1!AT192</f>
        <v>0</v>
      </c>
      <c r="V191" s="180">
        <f>订货1!AU192</f>
        <v>0</v>
      </c>
      <c r="W191" s="180">
        <f>订货1!AV192</f>
        <v>0</v>
      </c>
      <c r="X191" s="180">
        <f>订货1!AW192</f>
        <v>0</v>
      </c>
      <c r="Y191" s="180">
        <f>订货1!AX192</f>
        <v>0</v>
      </c>
      <c r="Z191" s="180">
        <f>订货1!AY192</f>
        <v>0</v>
      </c>
      <c r="AA191" s="180">
        <f>订货1!AZ192</f>
        <v>0</v>
      </c>
      <c r="AB191" s="180">
        <f>订货1!BA192</f>
        <v>0</v>
      </c>
      <c r="AC191" s="180">
        <f>订货1!BB192</f>
        <v>0</v>
      </c>
      <c r="AD191" s="180">
        <f>订货1!BC192</f>
        <v>0</v>
      </c>
      <c r="AE191" s="180">
        <f>订货1!BD192</f>
        <v>0</v>
      </c>
      <c r="AF191" s="180">
        <f>订货1!BE192</f>
        <v>0</v>
      </c>
      <c r="AG191" s="180">
        <f>订货1!BF192</f>
        <v>0</v>
      </c>
      <c r="AH191" s="176"/>
      <c r="AI191" s="178" t="e">
        <f>店铺收货台帐2!DE192</f>
        <v>#DIV/0!</v>
      </c>
    </row>
    <row r="192" spans="1:35" hidden="1">
      <c r="A192" s="37">
        <f>订货1!K193</f>
        <v>101737</v>
      </c>
      <c r="B192" s="37" t="str">
        <f>订货1!M193</f>
        <v>披萨酱</v>
      </c>
      <c r="C192" s="180">
        <f>订货1!AB193</f>
        <v>0</v>
      </c>
      <c r="D192" s="180">
        <f>订货1!AC193</f>
        <v>0</v>
      </c>
      <c r="E192" s="180">
        <f>订货1!AD193</f>
        <v>0</v>
      </c>
      <c r="F192" s="180">
        <f>订货1!AE193</f>
        <v>0</v>
      </c>
      <c r="G192" s="180">
        <f>订货1!AF193</f>
        <v>0</v>
      </c>
      <c r="H192" s="180">
        <f>订货1!AG193</f>
        <v>0</v>
      </c>
      <c r="I192" s="180">
        <f>订货1!AH193</f>
        <v>0</v>
      </c>
      <c r="J192" s="180">
        <f>订货1!AI193</f>
        <v>0</v>
      </c>
      <c r="K192" s="180">
        <f>订货1!AJ193</f>
        <v>0</v>
      </c>
      <c r="L192" s="180">
        <f>订货1!AK193</f>
        <v>0</v>
      </c>
      <c r="M192" s="180">
        <f>订货1!AL193</f>
        <v>0</v>
      </c>
      <c r="N192" s="180">
        <f>订货1!AM193</f>
        <v>0</v>
      </c>
      <c r="O192" s="180">
        <f>订货1!AN193</f>
        <v>0</v>
      </c>
      <c r="P192" s="180">
        <f>订货1!AO193</f>
        <v>0</v>
      </c>
      <c r="Q192" s="180">
        <f>订货1!AP193</f>
        <v>0</v>
      </c>
      <c r="R192" s="180">
        <f>订货1!AQ193</f>
        <v>0</v>
      </c>
      <c r="S192" s="180">
        <f>订货1!AR193</f>
        <v>0</v>
      </c>
      <c r="T192" s="180">
        <f>订货1!AS193</f>
        <v>0</v>
      </c>
      <c r="U192" s="180">
        <f>订货1!AT193</f>
        <v>0</v>
      </c>
      <c r="V192" s="180">
        <f>订货1!AU193</f>
        <v>0</v>
      </c>
      <c r="W192" s="180">
        <f>订货1!AV193</f>
        <v>0</v>
      </c>
      <c r="X192" s="180">
        <f>订货1!AW193</f>
        <v>0</v>
      </c>
      <c r="Y192" s="180">
        <f>订货1!AX193</f>
        <v>0</v>
      </c>
      <c r="Z192" s="180">
        <f>订货1!AY193</f>
        <v>0</v>
      </c>
      <c r="AA192" s="180">
        <f>订货1!AZ193</f>
        <v>0</v>
      </c>
      <c r="AB192" s="180">
        <f>订货1!BA193</f>
        <v>0</v>
      </c>
      <c r="AC192" s="180">
        <f>订货1!BB193</f>
        <v>0</v>
      </c>
      <c r="AD192" s="180">
        <f>订货1!BC193</f>
        <v>0</v>
      </c>
      <c r="AE192" s="180">
        <f>订货1!BD193</f>
        <v>0</v>
      </c>
      <c r="AF192" s="180">
        <f>订货1!BE193</f>
        <v>0</v>
      </c>
      <c r="AG192" s="180">
        <f>订货1!BF193</f>
        <v>0</v>
      </c>
      <c r="AH192" s="176"/>
      <c r="AI192" s="178" t="e">
        <f>店铺收货台帐2!DE193</f>
        <v>#DIV/0!</v>
      </c>
    </row>
    <row r="193" spans="1:35" hidden="1">
      <c r="A193" s="37">
        <f>订货1!K194</f>
        <v>101075</v>
      </c>
      <c r="B193" s="37" t="str">
        <f>订货1!M194</f>
        <v>菠萝小扇块</v>
      </c>
      <c r="C193" s="180">
        <f>订货1!AB194</f>
        <v>0</v>
      </c>
      <c r="D193" s="180">
        <f>订货1!AC194</f>
        <v>0</v>
      </c>
      <c r="E193" s="180">
        <f>订货1!AD194</f>
        <v>0</v>
      </c>
      <c r="F193" s="180">
        <f>订货1!AE194</f>
        <v>0</v>
      </c>
      <c r="G193" s="180">
        <f>订货1!AF194</f>
        <v>0</v>
      </c>
      <c r="H193" s="180">
        <f>订货1!AG194</f>
        <v>0</v>
      </c>
      <c r="I193" s="180">
        <f>订货1!AH194</f>
        <v>0</v>
      </c>
      <c r="J193" s="180">
        <f>订货1!AI194</f>
        <v>0</v>
      </c>
      <c r="K193" s="180">
        <f>订货1!AJ194</f>
        <v>0</v>
      </c>
      <c r="L193" s="180">
        <f>订货1!AK194</f>
        <v>0</v>
      </c>
      <c r="M193" s="180">
        <f>订货1!AL194</f>
        <v>0</v>
      </c>
      <c r="N193" s="180">
        <f>订货1!AM194</f>
        <v>0</v>
      </c>
      <c r="O193" s="180">
        <f>订货1!AN194</f>
        <v>0</v>
      </c>
      <c r="P193" s="180">
        <f>订货1!AO194</f>
        <v>0</v>
      </c>
      <c r="Q193" s="180">
        <f>订货1!AP194</f>
        <v>0</v>
      </c>
      <c r="R193" s="180">
        <f>订货1!AQ194</f>
        <v>0</v>
      </c>
      <c r="S193" s="180">
        <f>订货1!AR194</f>
        <v>0</v>
      </c>
      <c r="T193" s="180">
        <f>订货1!AS194</f>
        <v>0</v>
      </c>
      <c r="U193" s="180">
        <f>订货1!AT194</f>
        <v>0</v>
      </c>
      <c r="V193" s="180">
        <f>订货1!AU194</f>
        <v>0</v>
      </c>
      <c r="W193" s="180">
        <f>订货1!AV194</f>
        <v>0</v>
      </c>
      <c r="X193" s="180">
        <f>订货1!AW194</f>
        <v>0</v>
      </c>
      <c r="Y193" s="180">
        <f>订货1!AX194</f>
        <v>0</v>
      </c>
      <c r="Z193" s="180">
        <f>订货1!AY194</f>
        <v>0</v>
      </c>
      <c r="AA193" s="180">
        <f>订货1!AZ194</f>
        <v>0</v>
      </c>
      <c r="AB193" s="180">
        <f>订货1!BA194</f>
        <v>0</v>
      </c>
      <c r="AC193" s="180">
        <f>订货1!BB194</f>
        <v>0</v>
      </c>
      <c r="AD193" s="180">
        <f>订货1!BC194</f>
        <v>0</v>
      </c>
      <c r="AE193" s="180">
        <f>订货1!BD194</f>
        <v>0</v>
      </c>
      <c r="AF193" s="180">
        <f>订货1!BE194</f>
        <v>0</v>
      </c>
      <c r="AG193" s="180">
        <f>订货1!BF194</f>
        <v>0</v>
      </c>
      <c r="AH193" s="176"/>
      <c r="AI193" s="178" t="e">
        <f>店铺收货台帐2!DE194</f>
        <v>#DIV/0!</v>
      </c>
    </row>
    <row r="194" spans="1:35" hidden="1">
      <c r="A194" s="37">
        <f>订货1!K195</f>
        <v>101753</v>
      </c>
      <c r="B194" s="37" t="str">
        <f>订货1!M195</f>
        <v>冷冻意式披萨</v>
      </c>
      <c r="C194" s="180">
        <f>订货1!AB195</f>
        <v>0</v>
      </c>
      <c r="D194" s="180">
        <f>订货1!AC195</f>
        <v>1</v>
      </c>
      <c r="E194" s="180">
        <f>订货1!AD195</f>
        <v>0</v>
      </c>
      <c r="F194" s="180">
        <f>订货1!AE195</f>
        <v>0</v>
      </c>
      <c r="G194" s="180">
        <f>订货1!AF195</f>
        <v>2</v>
      </c>
      <c r="H194" s="180">
        <f>订货1!AG195</f>
        <v>2</v>
      </c>
      <c r="I194" s="180">
        <f>订货1!AH195</f>
        <v>1</v>
      </c>
      <c r="J194" s="180">
        <f>订货1!AI195</f>
        <v>1</v>
      </c>
      <c r="K194" s="180">
        <f>订货1!AJ195</f>
        <v>1</v>
      </c>
      <c r="L194" s="180">
        <f>订货1!AK195</f>
        <v>0</v>
      </c>
      <c r="M194" s="180">
        <f>订货1!AL195</f>
        <v>0</v>
      </c>
      <c r="N194" s="180">
        <f>订货1!AM195</f>
        <v>2</v>
      </c>
      <c r="O194" s="180">
        <f>订货1!AN195</f>
        <v>3</v>
      </c>
      <c r="P194" s="180">
        <f>订货1!AO195</f>
        <v>0</v>
      </c>
      <c r="Q194" s="180">
        <f>订货1!AP195</f>
        <v>0</v>
      </c>
      <c r="R194" s="180">
        <f>订货1!AQ195</f>
        <v>0</v>
      </c>
      <c r="S194" s="180">
        <f>订货1!AR195</f>
        <v>0</v>
      </c>
      <c r="T194" s="180">
        <f>订货1!AS195</f>
        <v>0</v>
      </c>
      <c r="U194" s="180">
        <f>订货1!AT195</f>
        <v>0</v>
      </c>
      <c r="V194" s="180">
        <f>订货1!AU195</f>
        <v>0</v>
      </c>
      <c r="W194" s="180">
        <f>订货1!AV195</f>
        <v>0</v>
      </c>
      <c r="X194" s="180">
        <f>订货1!AW195</f>
        <v>0</v>
      </c>
      <c r="Y194" s="180">
        <f>订货1!AX195</f>
        <v>0</v>
      </c>
      <c r="Z194" s="180">
        <f>订货1!AY195</f>
        <v>0</v>
      </c>
      <c r="AA194" s="180">
        <f>订货1!AZ195</f>
        <v>0</v>
      </c>
      <c r="AB194" s="180">
        <f>订货1!BA195</f>
        <v>0</v>
      </c>
      <c r="AC194" s="180">
        <f>订货1!BB195</f>
        <v>0</v>
      </c>
      <c r="AD194" s="180">
        <f>订货1!BC195</f>
        <v>0</v>
      </c>
      <c r="AE194" s="180">
        <f>订货1!BD195</f>
        <v>0</v>
      </c>
      <c r="AF194" s="180">
        <f>订货1!BE195</f>
        <v>0</v>
      </c>
      <c r="AG194" s="180">
        <f>订货1!BF195</f>
        <v>0</v>
      </c>
      <c r="AH194" s="176"/>
      <c r="AI194" s="178" t="e">
        <f>店铺收货台帐2!DE195</f>
        <v>#DIV/0!</v>
      </c>
    </row>
    <row r="195" spans="1:35" hidden="1">
      <c r="A195" s="37">
        <f>订货1!K196</f>
        <v>101698</v>
      </c>
      <c r="B195" s="37" t="str">
        <f>订货1!M196</f>
        <v>蒜香黄油酱</v>
      </c>
      <c r="C195" s="180">
        <f>订货1!AB196</f>
        <v>1</v>
      </c>
      <c r="D195" s="180">
        <f>订货1!AC196</f>
        <v>0</v>
      </c>
      <c r="E195" s="180">
        <f>订货1!AD196</f>
        <v>0</v>
      </c>
      <c r="F195" s="180">
        <f>订货1!AE196</f>
        <v>0</v>
      </c>
      <c r="G195" s="180">
        <f>订货1!AF196</f>
        <v>0</v>
      </c>
      <c r="H195" s="180">
        <f>订货1!AG196</f>
        <v>1</v>
      </c>
      <c r="I195" s="180">
        <f>订货1!AH196</f>
        <v>0</v>
      </c>
      <c r="J195" s="180">
        <f>订货1!AI196</f>
        <v>1</v>
      </c>
      <c r="K195" s="180">
        <f>订货1!AJ196</f>
        <v>0</v>
      </c>
      <c r="L195" s="180">
        <f>订货1!AK196</f>
        <v>0</v>
      </c>
      <c r="M195" s="180">
        <f>订货1!AL196</f>
        <v>0</v>
      </c>
      <c r="N195" s="180">
        <f>订货1!AM196</f>
        <v>1</v>
      </c>
      <c r="O195" s="180">
        <f>订货1!AN196</f>
        <v>0</v>
      </c>
      <c r="P195" s="180">
        <f>订货1!AO196</f>
        <v>1</v>
      </c>
      <c r="Q195" s="180">
        <f>订货1!AP196</f>
        <v>0</v>
      </c>
      <c r="R195" s="180">
        <f>订货1!AQ196</f>
        <v>0</v>
      </c>
      <c r="S195" s="180">
        <f>订货1!AR196</f>
        <v>0</v>
      </c>
      <c r="T195" s="180">
        <f>订货1!AS196</f>
        <v>0</v>
      </c>
      <c r="U195" s="180">
        <f>订货1!AT196</f>
        <v>0</v>
      </c>
      <c r="V195" s="180">
        <f>订货1!AU196</f>
        <v>0</v>
      </c>
      <c r="W195" s="180">
        <f>订货1!AV196</f>
        <v>0</v>
      </c>
      <c r="X195" s="180">
        <f>订货1!AW196</f>
        <v>0</v>
      </c>
      <c r="Y195" s="180">
        <f>订货1!AX196</f>
        <v>0</v>
      </c>
      <c r="Z195" s="180">
        <f>订货1!AY196</f>
        <v>0</v>
      </c>
      <c r="AA195" s="180">
        <f>订货1!AZ196</f>
        <v>0</v>
      </c>
      <c r="AB195" s="180">
        <f>订货1!BA196</f>
        <v>0</v>
      </c>
      <c r="AC195" s="180">
        <f>订货1!BB196</f>
        <v>0</v>
      </c>
      <c r="AD195" s="180">
        <f>订货1!BC196</f>
        <v>0</v>
      </c>
      <c r="AE195" s="180">
        <f>订货1!BD196</f>
        <v>0</v>
      </c>
      <c r="AF195" s="180">
        <f>订货1!BE196</f>
        <v>0</v>
      </c>
      <c r="AG195" s="180">
        <f>订货1!BF196</f>
        <v>0</v>
      </c>
      <c r="AH195" s="176"/>
      <c r="AI195" s="178" t="e">
        <f>店铺收货台帐2!DE196</f>
        <v>#DIV/0!</v>
      </c>
    </row>
    <row r="196" spans="1:35" hidden="1">
      <c r="A196" s="37">
        <f>订货1!K197</f>
        <v>101329</v>
      </c>
      <c r="B196" s="37" t="str">
        <f>订货1!M197</f>
        <v>伊利冰淇淋（香草口味）</v>
      </c>
      <c r="C196" s="180">
        <f>订货1!AB197</f>
        <v>1</v>
      </c>
      <c r="D196" s="180">
        <f>订货1!AC197</f>
        <v>0</v>
      </c>
      <c r="E196" s="180">
        <f>订货1!AD197</f>
        <v>0</v>
      </c>
      <c r="F196" s="180">
        <f>订货1!AE197</f>
        <v>0</v>
      </c>
      <c r="G196" s="180">
        <f>订货1!AF197</f>
        <v>2</v>
      </c>
      <c r="H196" s="180">
        <f>订货1!AG197</f>
        <v>1</v>
      </c>
      <c r="I196" s="180">
        <f>订货1!AH197</f>
        <v>0</v>
      </c>
      <c r="J196" s="180">
        <f>订货1!AI197</f>
        <v>1</v>
      </c>
      <c r="K196" s="180">
        <f>订货1!AJ197</f>
        <v>0</v>
      </c>
      <c r="L196" s="180">
        <f>订货1!AK197</f>
        <v>0</v>
      </c>
      <c r="M196" s="180">
        <f>订货1!AL197</f>
        <v>0</v>
      </c>
      <c r="N196" s="180">
        <f>订货1!AM197</f>
        <v>2</v>
      </c>
      <c r="O196" s="180">
        <f>订货1!AN197</f>
        <v>1</v>
      </c>
      <c r="P196" s="180">
        <f>订货1!AO197</f>
        <v>1</v>
      </c>
      <c r="Q196" s="180">
        <f>订货1!AP197</f>
        <v>0</v>
      </c>
      <c r="R196" s="180">
        <f>订货1!AQ197</f>
        <v>0</v>
      </c>
      <c r="S196" s="180">
        <f>订货1!AR197</f>
        <v>0</v>
      </c>
      <c r="T196" s="180">
        <f>订货1!AS197</f>
        <v>0</v>
      </c>
      <c r="U196" s="180">
        <f>订货1!AT197</f>
        <v>0</v>
      </c>
      <c r="V196" s="180">
        <f>订货1!AU197</f>
        <v>0</v>
      </c>
      <c r="W196" s="180">
        <f>订货1!AV197</f>
        <v>0</v>
      </c>
      <c r="X196" s="180">
        <f>订货1!AW197</f>
        <v>0</v>
      </c>
      <c r="Y196" s="180">
        <f>订货1!AX197</f>
        <v>0</v>
      </c>
      <c r="Z196" s="180">
        <f>订货1!AY197</f>
        <v>0</v>
      </c>
      <c r="AA196" s="180">
        <f>订货1!AZ197</f>
        <v>0</v>
      </c>
      <c r="AB196" s="180">
        <f>订货1!BA197</f>
        <v>0</v>
      </c>
      <c r="AC196" s="180">
        <f>订货1!BB197</f>
        <v>0</v>
      </c>
      <c r="AD196" s="180">
        <f>订货1!BC197</f>
        <v>0</v>
      </c>
      <c r="AE196" s="180">
        <f>订货1!BD197</f>
        <v>0</v>
      </c>
      <c r="AF196" s="180">
        <f>订货1!BE197</f>
        <v>0</v>
      </c>
      <c r="AG196" s="180">
        <f>订货1!BF197</f>
        <v>0</v>
      </c>
      <c r="AH196" s="176"/>
      <c r="AI196" s="178" t="e">
        <f>店铺收货台帐2!DE197</f>
        <v>#DIV/0!</v>
      </c>
    </row>
    <row r="197" spans="1:35" hidden="1">
      <c r="A197" s="37">
        <f>订货1!K198</f>
        <v>101762</v>
      </c>
      <c r="B197" s="37" t="str">
        <f>订货1!M198</f>
        <v>原味香肠</v>
      </c>
      <c r="C197" s="180">
        <f>订货1!AB198</f>
        <v>0</v>
      </c>
      <c r="D197" s="180">
        <f>订货1!AC198</f>
        <v>1</v>
      </c>
      <c r="E197" s="180">
        <f>订货1!AD198</f>
        <v>0</v>
      </c>
      <c r="F197" s="180">
        <f>订货1!AE198</f>
        <v>0</v>
      </c>
      <c r="G197" s="180">
        <f>订货1!AF198</f>
        <v>1</v>
      </c>
      <c r="H197" s="180">
        <f>订货1!AG198</f>
        <v>0</v>
      </c>
      <c r="I197" s="180">
        <f>订货1!AH198</f>
        <v>0</v>
      </c>
      <c r="J197" s="180">
        <f>订货1!AI198</f>
        <v>1</v>
      </c>
      <c r="K197" s="180">
        <f>订货1!AJ198</f>
        <v>0</v>
      </c>
      <c r="L197" s="180">
        <f>订货1!AK198</f>
        <v>0</v>
      </c>
      <c r="M197" s="180">
        <f>订货1!AL198</f>
        <v>0</v>
      </c>
      <c r="N197" s="180">
        <f>订货1!AM198</f>
        <v>1</v>
      </c>
      <c r="O197" s="180">
        <f>订货1!AN198</f>
        <v>1</v>
      </c>
      <c r="P197" s="180">
        <f>订货1!AO198</f>
        <v>1</v>
      </c>
      <c r="Q197" s="180">
        <f>订货1!AP198</f>
        <v>0</v>
      </c>
      <c r="R197" s="180">
        <f>订货1!AQ198</f>
        <v>0</v>
      </c>
      <c r="S197" s="180">
        <f>订货1!AR198</f>
        <v>0</v>
      </c>
      <c r="T197" s="180">
        <f>订货1!AS198</f>
        <v>0</v>
      </c>
      <c r="U197" s="180">
        <f>订货1!AT198</f>
        <v>0</v>
      </c>
      <c r="V197" s="180">
        <f>订货1!AU198</f>
        <v>0</v>
      </c>
      <c r="W197" s="180">
        <f>订货1!AV198</f>
        <v>0</v>
      </c>
      <c r="X197" s="180">
        <f>订货1!AW198</f>
        <v>0</v>
      </c>
      <c r="Y197" s="180">
        <f>订货1!AX198</f>
        <v>0</v>
      </c>
      <c r="Z197" s="180">
        <f>订货1!AY198</f>
        <v>0</v>
      </c>
      <c r="AA197" s="180">
        <f>订货1!AZ198</f>
        <v>0</v>
      </c>
      <c r="AB197" s="180">
        <f>订货1!BA198</f>
        <v>0</v>
      </c>
      <c r="AC197" s="180">
        <f>订货1!BB198</f>
        <v>0</v>
      </c>
      <c r="AD197" s="180">
        <f>订货1!BC198</f>
        <v>0</v>
      </c>
      <c r="AE197" s="180">
        <f>订货1!BD198</f>
        <v>0</v>
      </c>
      <c r="AF197" s="180">
        <f>订货1!BE198</f>
        <v>0</v>
      </c>
      <c r="AG197" s="180">
        <f>订货1!BF198</f>
        <v>0</v>
      </c>
      <c r="AH197" s="176"/>
      <c r="AI197" s="178" t="e">
        <f>店铺收货台帐2!DE198</f>
        <v>#DIV/0!</v>
      </c>
    </row>
    <row r="198" spans="1:35" hidden="1">
      <c r="A198" s="37">
        <f>订货1!K199</f>
        <v>101722</v>
      </c>
      <c r="B198" s="37" t="str">
        <f>订货1!M199</f>
        <v>曼可顿面包干</v>
      </c>
      <c r="C198" s="180">
        <f>订货1!AB199</f>
        <v>0</v>
      </c>
      <c r="D198" s="180">
        <f>订货1!AC199</f>
        <v>0</v>
      </c>
      <c r="E198" s="180">
        <f>订货1!AD199</f>
        <v>0</v>
      </c>
      <c r="F198" s="180">
        <f>订货1!AE199</f>
        <v>0</v>
      </c>
      <c r="G198" s="180">
        <f>订货1!AF199</f>
        <v>0</v>
      </c>
      <c r="H198" s="180">
        <f>订货1!AG199</f>
        <v>0</v>
      </c>
      <c r="I198" s="180">
        <f>订货1!AH199</f>
        <v>0</v>
      </c>
      <c r="J198" s="180">
        <f>订货1!AI199</f>
        <v>1</v>
      </c>
      <c r="K198" s="180">
        <f>订货1!AJ199</f>
        <v>0</v>
      </c>
      <c r="L198" s="180">
        <f>订货1!AK199</f>
        <v>0</v>
      </c>
      <c r="M198" s="180">
        <f>订货1!AL199</f>
        <v>0</v>
      </c>
      <c r="N198" s="180">
        <f>订货1!AM199</f>
        <v>0</v>
      </c>
      <c r="O198" s="180">
        <f>订货1!AN199</f>
        <v>0</v>
      </c>
      <c r="P198" s="180">
        <f>订货1!AO199</f>
        <v>0</v>
      </c>
      <c r="Q198" s="180">
        <f>订货1!AP199</f>
        <v>0</v>
      </c>
      <c r="R198" s="180">
        <f>订货1!AQ199</f>
        <v>0</v>
      </c>
      <c r="S198" s="180">
        <f>订货1!AR199</f>
        <v>0</v>
      </c>
      <c r="T198" s="180">
        <f>订货1!AS199</f>
        <v>0</v>
      </c>
      <c r="U198" s="180">
        <f>订货1!AT199</f>
        <v>0</v>
      </c>
      <c r="V198" s="180">
        <f>订货1!AU199</f>
        <v>0</v>
      </c>
      <c r="W198" s="180">
        <f>订货1!AV199</f>
        <v>0</v>
      </c>
      <c r="X198" s="180">
        <f>订货1!AW199</f>
        <v>0</v>
      </c>
      <c r="Y198" s="180">
        <f>订货1!AX199</f>
        <v>0</v>
      </c>
      <c r="Z198" s="180">
        <f>订货1!AY199</f>
        <v>0</v>
      </c>
      <c r="AA198" s="180">
        <f>订货1!AZ199</f>
        <v>0</v>
      </c>
      <c r="AB198" s="180">
        <f>订货1!BA199</f>
        <v>0</v>
      </c>
      <c r="AC198" s="180">
        <f>订货1!BB199</f>
        <v>0</v>
      </c>
      <c r="AD198" s="180">
        <f>订货1!BC199</f>
        <v>0</v>
      </c>
      <c r="AE198" s="180">
        <f>订货1!BD199</f>
        <v>0</v>
      </c>
      <c r="AF198" s="180">
        <f>订货1!BE199</f>
        <v>0</v>
      </c>
      <c r="AG198" s="180">
        <f>订货1!BF199</f>
        <v>0</v>
      </c>
      <c r="AH198" s="176"/>
      <c r="AI198" s="178" t="e">
        <f>店铺收货台帐2!DE199</f>
        <v>#DIV/0!</v>
      </c>
    </row>
    <row r="199" spans="1:35" hidden="1">
      <c r="A199" s="37">
        <f>订货1!K200</f>
        <v>101725</v>
      </c>
      <c r="B199" s="37" t="str">
        <f>订货1!M200</f>
        <v>90g冷冻披萨面团</v>
      </c>
      <c r="C199" s="180">
        <f>订货1!AB200</f>
        <v>0</v>
      </c>
      <c r="D199" s="180">
        <f>订货1!AC200</f>
        <v>0</v>
      </c>
      <c r="E199" s="180">
        <f>订货1!AD200</f>
        <v>0</v>
      </c>
      <c r="F199" s="180">
        <f>订货1!AE200</f>
        <v>1</v>
      </c>
      <c r="G199" s="180">
        <f>订货1!AF200</f>
        <v>0</v>
      </c>
      <c r="H199" s="180">
        <f>订货1!AG200</f>
        <v>0</v>
      </c>
      <c r="I199" s="180">
        <f>订货1!AH200</f>
        <v>1</v>
      </c>
      <c r="J199" s="180">
        <f>订货1!AI200</f>
        <v>0</v>
      </c>
      <c r="K199" s="180">
        <f>订货1!AJ200</f>
        <v>0</v>
      </c>
      <c r="L199" s="180">
        <f>订货1!AK200</f>
        <v>0</v>
      </c>
      <c r="M199" s="180">
        <f>订货1!AL200</f>
        <v>0</v>
      </c>
      <c r="N199" s="180">
        <f>订货1!AM200</f>
        <v>1</v>
      </c>
      <c r="O199" s="180">
        <f>订货1!AN200</f>
        <v>0</v>
      </c>
      <c r="P199" s="180">
        <f>订货1!AO200</f>
        <v>0</v>
      </c>
      <c r="Q199" s="180">
        <f>订货1!AP200</f>
        <v>0</v>
      </c>
      <c r="R199" s="180">
        <f>订货1!AQ200</f>
        <v>0</v>
      </c>
      <c r="S199" s="180">
        <f>订货1!AR200</f>
        <v>0</v>
      </c>
      <c r="T199" s="180">
        <f>订货1!AS200</f>
        <v>0</v>
      </c>
      <c r="U199" s="180">
        <f>订货1!AT200</f>
        <v>0</v>
      </c>
      <c r="V199" s="180">
        <f>订货1!AU200</f>
        <v>0</v>
      </c>
      <c r="W199" s="180">
        <f>订货1!AV200</f>
        <v>0</v>
      </c>
      <c r="X199" s="180">
        <f>订货1!AW200</f>
        <v>0</v>
      </c>
      <c r="Y199" s="180">
        <f>订货1!AX200</f>
        <v>0</v>
      </c>
      <c r="Z199" s="180">
        <f>订货1!AY200</f>
        <v>0</v>
      </c>
      <c r="AA199" s="180">
        <f>订货1!AZ200</f>
        <v>0</v>
      </c>
      <c r="AB199" s="180">
        <f>订货1!BA200</f>
        <v>0</v>
      </c>
      <c r="AC199" s="180">
        <f>订货1!BB200</f>
        <v>0</v>
      </c>
      <c r="AD199" s="180">
        <f>订货1!BC200</f>
        <v>0</v>
      </c>
      <c r="AE199" s="180">
        <f>订货1!BD200</f>
        <v>0</v>
      </c>
      <c r="AF199" s="180">
        <f>订货1!BE200</f>
        <v>0</v>
      </c>
      <c r="AG199" s="180">
        <f>订货1!BF200</f>
        <v>0</v>
      </c>
      <c r="AH199" s="176"/>
      <c r="AI199" s="178" t="e">
        <f>店铺收货台帐2!DE200</f>
        <v>#DIV/0!</v>
      </c>
    </row>
    <row r="200" spans="1:35" hidden="1">
      <c r="A200" s="37">
        <f>订货1!K201</f>
        <v>101493</v>
      </c>
      <c r="B200" s="37" t="str">
        <f>订货1!M201</f>
        <v>好时巧克力浆</v>
      </c>
      <c r="C200" s="180">
        <f>订货1!AB201</f>
        <v>0</v>
      </c>
      <c r="D200" s="180">
        <f>订货1!AC201</f>
        <v>0</v>
      </c>
      <c r="E200" s="180">
        <f>订货1!AD201</f>
        <v>0</v>
      </c>
      <c r="F200" s="180">
        <f>订货1!AE201</f>
        <v>1</v>
      </c>
      <c r="G200" s="180">
        <f>订货1!AF201</f>
        <v>0</v>
      </c>
      <c r="H200" s="180">
        <f>订货1!AG201</f>
        <v>1</v>
      </c>
      <c r="I200" s="180">
        <f>订货1!AH201</f>
        <v>0</v>
      </c>
      <c r="J200" s="180">
        <f>订货1!AI201</f>
        <v>0</v>
      </c>
      <c r="K200" s="180">
        <f>订货1!AJ201</f>
        <v>0</v>
      </c>
      <c r="L200" s="180">
        <f>订货1!AK201</f>
        <v>0</v>
      </c>
      <c r="M200" s="180">
        <f>订货1!AL201</f>
        <v>0</v>
      </c>
      <c r="N200" s="180">
        <f>订货1!AM201</f>
        <v>0</v>
      </c>
      <c r="O200" s="180">
        <f>订货1!AN201</f>
        <v>1</v>
      </c>
      <c r="P200" s="180">
        <f>订货1!AO201</f>
        <v>0</v>
      </c>
      <c r="Q200" s="180">
        <f>订货1!AP201</f>
        <v>0</v>
      </c>
      <c r="R200" s="180">
        <f>订货1!AQ201</f>
        <v>0</v>
      </c>
      <c r="S200" s="180">
        <f>订货1!AR201</f>
        <v>0</v>
      </c>
      <c r="T200" s="180">
        <f>订货1!AS201</f>
        <v>0</v>
      </c>
      <c r="U200" s="180">
        <f>订货1!AT201</f>
        <v>0</v>
      </c>
      <c r="V200" s="180">
        <f>订货1!AU201</f>
        <v>0</v>
      </c>
      <c r="W200" s="180">
        <f>订货1!AV201</f>
        <v>0</v>
      </c>
      <c r="X200" s="180">
        <f>订货1!AW201</f>
        <v>0</v>
      </c>
      <c r="Y200" s="180">
        <f>订货1!AX201</f>
        <v>0</v>
      </c>
      <c r="Z200" s="180">
        <f>订货1!AY201</f>
        <v>0</v>
      </c>
      <c r="AA200" s="180">
        <f>订货1!AZ201</f>
        <v>0</v>
      </c>
      <c r="AB200" s="180">
        <f>订货1!BA201</f>
        <v>0</v>
      </c>
      <c r="AC200" s="180">
        <f>订货1!BB201</f>
        <v>0</v>
      </c>
      <c r="AD200" s="180">
        <f>订货1!BC201</f>
        <v>0</v>
      </c>
      <c r="AE200" s="180">
        <f>订货1!BD201</f>
        <v>0</v>
      </c>
      <c r="AF200" s="180">
        <f>订货1!BE201</f>
        <v>0</v>
      </c>
      <c r="AG200" s="180">
        <f>订货1!BF201</f>
        <v>0</v>
      </c>
      <c r="AH200" s="176"/>
      <c r="AI200" s="178" t="e">
        <f>店铺收货台帐2!DE201</f>
        <v>#DIV/0!</v>
      </c>
    </row>
    <row r="201" spans="1:35" hidden="1">
      <c r="A201" s="37">
        <f>订货1!K202</f>
        <v>101763</v>
      </c>
      <c r="B201" s="37" t="str">
        <f>订货1!M202</f>
        <v>酸汤鱼金汤料</v>
      </c>
      <c r="C201" s="180">
        <f>订货1!AB202</f>
        <v>0</v>
      </c>
      <c r="D201" s="180">
        <f>订货1!AC202</f>
        <v>0</v>
      </c>
      <c r="E201" s="180">
        <f>订货1!AD202</f>
        <v>0</v>
      </c>
      <c r="F201" s="180">
        <f>订货1!AE202</f>
        <v>0</v>
      </c>
      <c r="G201" s="180">
        <f>订货1!AF202</f>
        <v>0</v>
      </c>
      <c r="H201" s="180">
        <f>订货1!AG202</f>
        <v>0</v>
      </c>
      <c r="I201" s="180">
        <f>订货1!AH202</f>
        <v>0</v>
      </c>
      <c r="J201" s="180">
        <f>订货1!AI202</f>
        <v>0</v>
      </c>
      <c r="K201" s="180">
        <f>订货1!AJ202</f>
        <v>0</v>
      </c>
      <c r="L201" s="180">
        <f>订货1!AK202</f>
        <v>0</v>
      </c>
      <c r="M201" s="180">
        <f>订货1!AL202</f>
        <v>0</v>
      </c>
      <c r="N201" s="180">
        <f>订货1!AM202</f>
        <v>0</v>
      </c>
      <c r="O201" s="180">
        <f>订货1!AN202</f>
        <v>0</v>
      </c>
      <c r="P201" s="180">
        <f>订货1!AO202</f>
        <v>0</v>
      </c>
      <c r="Q201" s="180">
        <f>订货1!AP202</f>
        <v>0</v>
      </c>
      <c r="R201" s="180">
        <f>订货1!AQ202</f>
        <v>0</v>
      </c>
      <c r="S201" s="180">
        <f>订货1!AR202</f>
        <v>0</v>
      </c>
      <c r="T201" s="180">
        <f>订货1!AS202</f>
        <v>0</v>
      </c>
      <c r="U201" s="180">
        <f>订货1!AT202</f>
        <v>0</v>
      </c>
      <c r="V201" s="180">
        <f>订货1!AU202</f>
        <v>0</v>
      </c>
      <c r="W201" s="180">
        <f>订货1!AV202</f>
        <v>0</v>
      </c>
      <c r="X201" s="180">
        <f>订货1!AW202</f>
        <v>0</v>
      </c>
      <c r="Y201" s="180">
        <f>订货1!AX202</f>
        <v>0</v>
      </c>
      <c r="Z201" s="180">
        <f>订货1!AY202</f>
        <v>0</v>
      </c>
      <c r="AA201" s="180">
        <f>订货1!AZ202</f>
        <v>0</v>
      </c>
      <c r="AB201" s="180">
        <f>订货1!BA202</f>
        <v>0</v>
      </c>
      <c r="AC201" s="180">
        <f>订货1!BB202</f>
        <v>0</v>
      </c>
      <c r="AD201" s="180">
        <f>订货1!BC202</f>
        <v>0</v>
      </c>
      <c r="AE201" s="180">
        <f>订货1!BD202</f>
        <v>0</v>
      </c>
      <c r="AF201" s="180">
        <f>订货1!BE202</f>
        <v>0</v>
      </c>
      <c r="AG201" s="180">
        <f>订货1!BF202</f>
        <v>0</v>
      </c>
      <c r="AH201" s="176"/>
      <c r="AI201" s="178" t="e">
        <f>店铺收货台帐2!DE202</f>
        <v>#DIV/0!</v>
      </c>
    </row>
    <row r="202" spans="1:35" hidden="1">
      <c r="A202" s="37">
        <f>订货1!K203</f>
        <v>101647</v>
      </c>
      <c r="B202" s="37" t="str">
        <f>订货1!M203</f>
        <v>神明大米</v>
      </c>
      <c r="C202" s="180">
        <f>订货1!AB203</f>
        <v>0</v>
      </c>
      <c r="D202" s="180">
        <f>订货1!AC203</f>
        <v>0</v>
      </c>
      <c r="E202" s="180">
        <f>订货1!AD203</f>
        <v>0</v>
      </c>
      <c r="F202" s="180">
        <f>订货1!AE203</f>
        <v>0</v>
      </c>
      <c r="G202" s="180">
        <f>订货1!AF203</f>
        <v>0</v>
      </c>
      <c r="H202" s="180">
        <f>订货1!AG203</f>
        <v>1</v>
      </c>
      <c r="I202" s="180">
        <f>订货1!AH203</f>
        <v>0</v>
      </c>
      <c r="J202" s="180">
        <f>订货1!AI203</f>
        <v>0</v>
      </c>
      <c r="K202" s="180">
        <f>订货1!AJ203</f>
        <v>1</v>
      </c>
      <c r="L202" s="180">
        <f>订货1!AK203</f>
        <v>0</v>
      </c>
      <c r="M202" s="180">
        <f>订货1!AL203</f>
        <v>0</v>
      </c>
      <c r="N202" s="180">
        <f>订货1!AM203</f>
        <v>0</v>
      </c>
      <c r="O202" s="180">
        <f>订货1!AN203</f>
        <v>1</v>
      </c>
      <c r="P202" s="180">
        <f>订货1!AO203</f>
        <v>0</v>
      </c>
      <c r="Q202" s="180">
        <f>订货1!AP203</f>
        <v>0</v>
      </c>
      <c r="R202" s="180">
        <f>订货1!AQ203</f>
        <v>0</v>
      </c>
      <c r="S202" s="180">
        <f>订货1!AR203</f>
        <v>0</v>
      </c>
      <c r="T202" s="180">
        <f>订货1!AS203</f>
        <v>0</v>
      </c>
      <c r="U202" s="180">
        <f>订货1!AT203</f>
        <v>0</v>
      </c>
      <c r="V202" s="180">
        <f>订货1!AU203</f>
        <v>0</v>
      </c>
      <c r="W202" s="180">
        <f>订货1!AV203</f>
        <v>0</v>
      </c>
      <c r="X202" s="180">
        <f>订货1!AW203</f>
        <v>0</v>
      </c>
      <c r="Y202" s="180">
        <f>订货1!AX203</f>
        <v>0</v>
      </c>
      <c r="Z202" s="180">
        <f>订货1!AY203</f>
        <v>0</v>
      </c>
      <c r="AA202" s="180">
        <f>订货1!AZ203</f>
        <v>0</v>
      </c>
      <c r="AB202" s="180">
        <f>订货1!BA203</f>
        <v>0</v>
      </c>
      <c r="AC202" s="180">
        <f>订货1!BB203</f>
        <v>0</v>
      </c>
      <c r="AD202" s="180">
        <f>订货1!BC203</f>
        <v>0</v>
      </c>
      <c r="AE202" s="180">
        <f>订货1!BD203</f>
        <v>0</v>
      </c>
      <c r="AF202" s="180">
        <f>订货1!BE203</f>
        <v>0</v>
      </c>
      <c r="AG202" s="180">
        <f>订货1!BF203</f>
        <v>0</v>
      </c>
      <c r="AH202" s="176"/>
      <c r="AI202" s="178" t="e">
        <f>店铺收货台帐2!DE203</f>
        <v>#DIV/0!</v>
      </c>
    </row>
    <row r="203" spans="1:35" hidden="1">
      <c r="A203" s="37">
        <f>订货1!K204</f>
        <v>101557</v>
      </c>
      <c r="B203" s="37" t="str">
        <f>订货1!M204</f>
        <v>烘炒咖啡豆</v>
      </c>
      <c r="C203" s="180">
        <f>订货1!AB204</f>
        <v>0</v>
      </c>
      <c r="D203" s="180">
        <f>订货1!AC204</f>
        <v>0</v>
      </c>
      <c r="E203" s="180">
        <f>订货1!AD204</f>
        <v>0</v>
      </c>
      <c r="F203" s="180">
        <f>订货1!AE204</f>
        <v>0</v>
      </c>
      <c r="G203" s="180">
        <f>订货1!AF204</f>
        <v>0</v>
      </c>
      <c r="H203" s="180">
        <f>订货1!AG204</f>
        <v>0</v>
      </c>
      <c r="I203" s="180">
        <f>订货1!AH204</f>
        <v>0</v>
      </c>
      <c r="J203" s="180">
        <f>订货1!AI204</f>
        <v>0</v>
      </c>
      <c r="K203" s="180">
        <f>订货1!AJ204</f>
        <v>0</v>
      </c>
      <c r="L203" s="180">
        <f>订货1!AK204</f>
        <v>0</v>
      </c>
      <c r="M203" s="180">
        <f>订货1!AL204</f>
        <v>1</v>
      </c>
      <c r="N203" s="180">
        <f>订货1!AM204</f>
        <v>0</v>
      </c>
      <c r="O203" s="180">
        <f>订货1!AN204</f>
        <v>0</v>
      </c>
      <c r="P203" s="180">
        <f>订货1!AO204</f>
        <v>0</v>
      </c>
      <c r="Q203" s="180">
        <f>订货1!AP204</f>
        <v>0</v>
      </c>
      <c r="R203" s="180">
        <f>订货1!AQ204</f>
        <v>0</v>
      </c>
      <c r="S203" s="180">
        <f>订货1!AR204</f>
        <v>0</v>
      </c>
      <c r="T203" s="180">
        <f>订货1!AS204</f>
        <v>0</v>
      </c>
      <c r="U203" s="180">
        <f>订货1!AT204</f>
        <v>0</v>
      </c>
      <c r="V203" s="180">
        <f>订货1!AU204</f>
        <v>0</v>
      </c>
      <c r="W203" s="180">
        <f>订货1!AV204</f>
        <v>0</v>
      </c>
      <c r="X203" s="180">
        <f>订货1!AW204</f>
        <v>0</v>
      </c>
      <c r="Y203" s="180">
        <f>订货1!AX204</f>
        <v>0</v>
      </c>
      <c r="Z203" s="180">
        <f>订货1!AY204</f>
        <v>0</v>
      </c>
      <c r="AA203" s="180">
        <f>订货1!AZ204</f>
        <v>0</v>
      </c>
      <c r="AB203" s="180">
        <f>订货1!BA204</f>
        <v>0</v>
      </c>
      <c r="AC203" s="180">
        <f>订货1!BB204</f>
        <v>0</v>
      </c>
      <c r="AD203" s="180">
        <f>订货1!BC204</f>
        <v>0</v>
      </c>
      <c r="AE203" s="180">
        <f>订货1!BD204</f>
        <v>0</v>
      </c>
      <c r="AF203" s="180">
        <f>订货1!BE204</f>
        <v>0</v>
      </c>
      <c r="AG203" s="180">
        <f>订货1!BF204</f>
        <v>0</v>
      </c>
      <c r="AH203" s="176"/>
      <c r="AI203" s="178" t="e">
        <f>店铺收货台帐2!DE204</f>
        <v>#DIV/0!</v>
      </c>
    </row>
    <row r="204" spans="1:35" hidden="1">
      <c r="A204" s="37">
        <f>订货1!K205</f>
        <v>301115</v>
      </c>
      <c r="B204" s="37" t="str">
        <f>订货1!M205</f>
        <v>万家宴一级大豆油</v>
      </c>
      <c r="C204" s="180">
        <f>订货1!AB205</f>
        <v>0</v>
      </c>
      <c r="D204" s="180">
        <f>订货1!AC205</f>
        <v>0</v>
      </c>
      <c r="E204" s="180">
        <f>订货1!AD205</f>
        <v>0</v>
      </c>
      <c r="F204" s="180">
        <f>订货1!AE205</f>
        <v>0</v>
      </c>
      <c r="G204" s="180">
        <f>订货1!AF205</f>
        <v>1</v>
      </c>
      <c r="H204" s="180">
        <f>订货1!AG205</f>
        <v>0</v>
      </c>
      <c r="I204" s="180">
        <f>订货1!AH205</f>
        <v>0</v>
      </c>
      <c r="J204" s="180">
        <f>订货1!AI205</f>
        <v>0</v>
      </c>
      <c r="K204" s="180">
        <f>订货1!AJ205</f>
        <v>0</v>
      </c>
      <c r="L204" s="180">
        <f>订货1!AK205</f>
        <v>0</v>
      </c>
      <c r="M204" s="180">
        <f>订货1!AL205</f>
        <v>1</v>
      </c>
      <c r="N204" s="180">
        <f>订货1!AM205</f>
        <v>0</v>
      </c>
      <c r="O204" s="180">
        <f>订货1!AN205</f>
        <v>0</v>
      </c>
      <c r="P204" s="180">
        <f>订货1!AO205</f>
        <v>1</v>
      </c>
      <c r="Q204" s="180">
        <f>订货1!AP205</f>
        <v>0</v>
      </c>
      <c r="R204" s="180">
        <f>订货1!AQ205</f>
        <v>0</v>
      </c>
      <c r="S204" s="180">
        <f>订货1!AR205</f>
        <v>0</v>
      </c>
      <c r="T204" s="180">
        <f>订货1!AS205</f>
        <v>0</v>
      </c>
      <c r="U204" s="180">
        <f>订货1!AT205</f>
        <v>0</v>
      </c>
      <c r="V204" s="180">
        <f>订货1!AU205</f>
        <v>0</v>
      </c>
      <c r="W204" s="180">
        <f>订货1!AV205</f>
        <v>0</v>
      </c>
      <c r="X204" s="180">
        <f>订货1!AW205</f>
        <v>0</v>
      </c>
      <c r="Y204" s="180">
        <f>订货1!AX205</f>
        <v>0</v>
      </c>
      <c r="Z204" s="180">
        <f>订货1!AY205</f>
        <v>0</v>
      </c>
      <c r="AA204" s="180">
        <f>订货1!AZ205</f>
        <v>0</v>
      </c>
      <c r="AB204" s="180">
        <f>订货1!BA205</f>
        <v>0</v>
      </c>
      <c r="AC204" s="180">
        <f>订货1!BB205</f>
        <v>0</v>
      </c>
      <c r="AD204" s="180">
        <f>订货1!BC205</f>
        <v>0</v>
      </c>
      <c r="AE204" s="180">
        <f>订货1!BD205</f>
        <v>0</v>
      </c>
      <c r="AF204" s="180">
        <f>订货1!BE205</f>
        <v>0</v>
      </c>
      <c r="AG204" s="180">
        <f>订货1!BF205</f>
        <v>0</v>
      </c>
      <c r="AH204" s="176"/>
      <c r="AI204" s="178" t="e">
        <f>店铺收货台帐2!DE205</f>
        <v>#DIV/0!</v>
      </c>
    </row>
    <row r="205" spans="1:35" hidden="1">
      <c r="A205" s="37">
        <f>订货1!K206</f>
        <v>101656</v>
      </c>
      <c r="B205" s="37" t="str">
        <f>订货1!M206</f>
        <v>怡然洋菠萝扇块罐头</v>
      </c>
      <c r="C205" s="180">
        <f>订货1!AB206</f>
        <v>0</v>
      </c>
      <c r="D205" s="180">
        <f>订货1!AC206</f>
        <v>0</v>
      </c>
      <c r="E205" s="180">
        <f>订货1!AD206</f>
        <v>0</v>
      </c>
      <c r="F205" s="180">
        <f>订货1!AE206</f>
        <v>1</v>
      </c>
      <c r="G205" s="180">
        <f>订货1!AF206</f>
        <v>0</v>
      </c>
      <c r="H205" s="180">
        <f>订货1!AG206</f>
        <v>0</v>
      </c>
      <c r="I205" s="180">
        <f>订货1!AH206</f>
        <v>1</v>
      </c>
      <c r="J205" s="180">
        <f>订货1!AI206</f>
        <v>0</v>
      </c>
      <c r="K205" s="180">
        <f>订货1!AJ206</f>
        <v>1</v>
      </c>
      <c r="L205" s="180">
        <f>订货1!AK206</f>
        <v>0</v>
      </c>
      <c r="M205" s="180">
        <f>订货1!AL206</f>
        <v>1</v>
      </c>
      <c r="N205" s="180">
        <f>订货1!AM206</f>
        <v>0</v>
      </c>
      <c r="O205" s="180">
        <f>订货1!AN206</f>
        <v>0</v>
      </c>
      <c r="P205" s="180">
        <f>订货1!AO206</f>
        <v>1</v>
      </c>
      <c r="Q205" s="180">
        <f>订货1!AP206</f>
        <v>0</v>
      </c>
      <c r="R205" s="180">
        <f>订货1!AQ206</f>
        <v>0</v>
      </c>
      <c r="S205" s="180">
        <f>订货1!AR206</f>
        <v>0</v>
      </c>
      <c r="T205" s="180">
        <f>订货1!AS206</f>
        <v>0</v>
      </c>
      <c r="U205" s="180">
        <f>订货1!AT206</f>
        <v>0</v>
      </c>
      <c r="V205" s="180">
        <f>订货1!AU206</f>
        <v>0</v>
      </c>
      <c r="W205" s="180">
        <f>订货1!AV206</f>
        <v>0</v>
      </c>
      <c r="X205" s="180">
        <f>订货1!AW206</f>
        <v>0</v>
      </c>
      <c r="Y205" s="180">
        <f>订货1!AX206</f>
        <v>0</v>
      </c>
      <c r="Z205" s="180">
        <f>订货1!AY206</f>
        <v>0</v>
      </c>
      <c r="AA205" s="180">
        <f>订货1!AZ206</f>
        <v>0</v>
      </c>
      <c r="AB205" s="180">
        <f>订货1!BA206</f>
        <v>0</v>
      </c>
      <c r="AC205" s="180">
        <f>订货1!BB206</f>
        <v>0</v>
      </c>
      <c r="AD205" s="180">
        <f>订货1!BC206</f>
        <v>0</v>
      </c>
      <c r="AE205" s="180">
        <f>订货1!BD206</f>
        <v>0</v>
      </c>
      <c r="AF205" s="180">
        <f>订货1!BE206</f>
        <v>0</v>
      </c>
      <c r="AG205" s="180">
        <f>订货1!BF206</f>
        <v>0</v>
      </c>
      <c r="AH205" s="176"/>
      <c r="AI205" s="178" t="e">
        <f>店铺收货台帐2!DE206</f>
        <v>#DIV/0!</v>
      </c>
    </row>
    <row r="206" spans="1:35" hidden="1">
      <c r="A206" s="37">
        <f>订货1!K207</f>
        <v>101631</v>
      </c>
      <c r="B206" s="37" t="str">
        <f>订货1!M207</f>
        <v>喜力啤酒</v>
      </c>
      <c r="C206" s="180">
        <f>订货1!AB207</f>
        <v>0</v>
      </c>
      <c r="D206" s="180">
        <f>订货1!AC207</f>
        <v>0</v>
      </c>
      <c r="E206" s="180">
        <f>订货1!AD207</f>
        <v>0</v>
      </c>
      <c r="F206" s="180">
        <f>订货1!AE207</f>
        <v>0</v>
      </c>
      <c r="G206" s="180">
        <f>订货1!AF207</f>
        <v>0</v>
      </c>
      <c r="H206" s="180">
        <f>订货1!AG207</f>
        <v>0</v>
      </c>
      <c r="I206" s="180">
        <f>订货1!AH207</f>
        <v>0</v>
      </c>
      <c r="J206" s="180">
        <f>订货1!AI207</f>
        <v>0</v>
      </c>
      <c r="K206" s="180">
        <f>订货1!AJ207</f>
        <v>1</v>
      </c>
      <c r="L206" s="180">
        <f>订货1!AK207</f>
        <v>0</v>
      </c>
      <c r="M206" s="180">
        <f>订货1!AL207</f>
        <v>0</v>
      </c>
      <c r="N206" s="180">
        <f>订货1!AM207</f>
        <v>0</v>
      </c>
      <c r="O206" s="180">
        <f>订货1!AN207</f>
        <v>0</v>
      </c>
      <c r="P206" s="180">
        <f>订货1!AO207</f>
        <v>0</v>
      </c>
      <c r="Q206" s="180">
        <f>订货1!AP207</f>
        <v>0</v>
      </c>
      <c r="R206" s="180">
        <f>订货1!AQ207</f>
        <v>0</v>
      </c>
      <c r="S206" s="180">
        <f>订货1!AR207</f>
        <v>0</v>
      </c>
      <c r="T206" s="180">
        <f>订货1!AS207</f>
        <v>0</v>
      </c>
      <c r="U206" s="180">
        <f>订货1!AT207</f>
        <v>0</v>
      </c>
      <c r="V206" s="180">
        <f>订货1!AU207</f>
        <v>0</v>
      </c>
      <c r="W206" s="180">
        <f>订货1!AV207</f>
        <v>0</v>
      </c>
      <c r="X206" s="180">
        <f>订货1!AW207</f>
        <v>0</v>
      </c>
      <c r="Y206" s="180">
        <f>订货1!AX207</f>
        <v>0</v>
      </c>
      <c r="Z206" s="180">
        <f>订货1!AY207</f>
        <v>0</v>
      </c>
      <c r="AA206" s="180">
        <f>订货1!AZ207</f>
        <v>0</v>
      </c>
      <c r="AB206" s="180">
        <f>订货1!BA207</f>
        <v>0</v>
      </c>
      <c r="AC206" s="180">
        <f>订货1!BB207</f>
        <v>0</v>
      </c>
      <c r="AD206" s="180">
        <f>订货1!BC207</f>
        <v>0</v>
      </c>
      <c r="AE206" s="180">
        <f>订货1!BD207</f>
        <v>0</v>
      </c>
      <c r="AF206" s="180">
        <f>订货1!BE207</f>
        <v>0</v>
      </c>
      <c r="AG206" s="180">
        <f>订货1!BF207</f>
        <v>0</v>
      </c>
      <c r="AH206" s="176"/>
      <c r="AI206" s="178" t="e">
        <f>店铺收货台帐2!DE207</f>
        <v>#DIV/0!</v>
      </c>
    </row>
    <row r="207" spans="1:35" hidden="1">
      <c r="A207" s="37">
        <f>订货1!K208</f>
        <v>101764</v>
      </c>
      <c r="B207" s="37" t="str">
        <f>订货1!M208</f>
        <v>实验经典辣肠</v>
      </c>
      <c r="C207" s="180">
        <f>订货1!AB208</f>
        <v>0</v>
      </c>
      <c r="D207" s="180">
        <f>订货1!AC208</f>
        <v>0</v>
      </c>
      <c r="E207" s="180">
        <f>订货1!AD208</f>
        <v>0</v>
      </c>
      <c r="F207" s="180">
        <f>订货1!AE208</f>
        <v>0</v>
      </c>
      <c r="G207" s="180">
        <f>订货1!AF208</f>
        <v>0</v>
      </c>
      <c r="H207" s="180">
        <f>订货1!AG208</f>
        <v>0</v>
      </c>
      <c r="I207" s="180">
        <f>订货1!AH208</f>
        <v>0</v>
      </c>
      <c r="J207" s="180">
        <f>订货1!AI208</f>
        <v>0</v>
      </c>
      <c r="K207" s="180">
        <f>订货1!AJ208</f>
        <v>0</v>
      </c>
      <c r="L207" s="180">
        <f>订货1!AK208</f>
        <v>0</v>
      </c>
      <c r="M207" s="180">
        <f>订货1!AL208</f>
        <v>0</v>
      </c>
      <c r="N207" s="180">
        <f>订货1!AM208</f>
        <v>0</v>
      </c>
      <c r="O207" s="180">
        <f>订货1!AN208</f>
        <v>0</v>
      </c>
      <c r="P207" s="180">
        <f>订货1!AO208</f>
        <v>0</v>
      </c>
      <c r="Q207" s="180">
        <f>订货1!AP208</f>
        <v>0</v>
      </c>
      <c r="R207" s="180">
        <f>订货1!AQ208</f>
        <v>0</v>
      </c>
      <c r="S207" s="180">
        <f>订货1!AR208</f>
        <v>0</v>
      </c>
      <c r="T207" s="180">
        <f>订货1!AS208</f>
        <v>0</v>
      </c>
      <c r="U207" s="180">
        <f>订货1!AT208</f>
        <v>0</v>
      </c>
      <c r="V207" s="180">
        <f>订货1!AU208</f>
        <v>0</v>
      </c>
      <c r="W207" s="180">
        <f>订货1!AV208</f>
        <v>0</v>
      </c>
      <c r="X207" s="180">
        <f>订货1!AW208</f>
        <v>0</v>
      </c>
      <c r="Y207" s="180">
        <f>订货1!AX208</f>
        <v>0</v>
      </c>
      <c r="Z207" s="180">
        <f>订货1!AY208</f>
        <v>0</v>
      </c>
      <c r="AA207" s="180">
        <f>订货1!AZ208</f>
        <v>0</v>
      </c>
      <c r="AB207" s="180">
        <f>订货1!BA208</f>
        <v>0</v>
      </c>
      <c r="AC207" s="180">
        <f>订货1!BB208</f>
        <v>0</v>
      </c>
      <c r="AD207" s="180">
        <f>订货1!BC208</f>
        <v>0</v>
      </c>
      <c r="AE207" s="180">
        <f>订货1!BD208</f>
        <v>0</v>
      </c>
      <c r="AF207" s="180">
        <f>订货1!BE208</f>
        <v>0</v>
      </c>
      <c r="AG207" s="180">
        <f>订货1!BF208</f>
        <v>0</v>
      </c>
      <c r="AH207" s="176"/>
      <c r="AI207" s="178" t="e">
        <f>店铺收货台帐2!DE208</f>
        <v>#DIV/0!</v>
      </c>
    </row>
    <row r="208" spans="1:35" hidden="1">
      <c r="A208" s="37">
        <f>订货1!K209</f>
        <v>101765</v>
      </c>
      <c r="B208" s="37" t="str">
        <f>订货1!M209</f>
        <v>萨莉亚鸡米花</v>
      </c>
      <c r="C208" s="180">
        <f>订货1!AB209</f>
        <v>1</v>
      </c>
      <c r="D208" s="180">
        <f>订货1!AC209</f>
        <v>0</v>
      </c>
      <c r="E208" s="180">
        <f>订货1!AD209</f>
        <v>0</v>
      </c>
      <c r="F208" s="180">
        <f>订货1!AE209</f>
        <v>0</v>
      </c>
      <c r="G208" s="180">
        <f>订货1!AF209</f>
        <v>2</v>
      </c>
      <c r="H208" s="180">
        <f>订货1!AG209</f>
        <v>0</v>
      </c>
      <c r="I208" s="180">
        <f>订货1!AH209</f>
        <v>0</v>
      </c>
      <c r="J208" s="180">
        <f>订货1!AI209</f>
        <v>1</v>
      </c>
      <c r="K208" s="180">
        <f>订货1!AJ209</f>
        <v>1</v>
      </c>
      <c r="L208" s="180">
        <f>订货1!AK209</f>
        <v>0</v>
      </c>
      <c r="M208" s="180">
        <f>订货1!AL209</f>
        <v>0</v>
      </c>
      <c r="N208" s="180">
        <f>订货1!AM209</f>
        <v>0</v>
      </c>
      <c r="O208" s="180">
        <f>订货1!AN209</f>
        <v>1</v>
      </c>
      <c r="P208" s="180">
        <f>订货1!AO209</f>
        <v>1</v>
      </c>
      <c r="Q208" s="180">
        <f>订货1!AP209</f>
        <v>0</v>
      </c>
      <c r="R208" s="180">
        <f>订货1!AQ209</f>
        <v>0</v>
      </c>
      <c r="S208" s="180">
        <f>订货1!AR209</f>
        <v>0</v>
      </c>
      <c r="T208" s="180">
        <f>订货1!AS209</f>
        <v>0</v>
      </c>
      <c r="U208" s="180">
        <f>订货1!AT209</f>
        <v>0</v>
      </c>
      <c r="V208" s="180">
        <f>订货1!AU209</f>
        <v>0</v>
      </c>
      <c r="W208" s="180">
        <f>订货1!AV209</f>
        <v>0</v>
      </c>
      <c r="X208" s="180">
        <f>订货1!AW209</f>
        <v>0</v>
      </c>
      <c r="Y208" s="180">
        <f>订货1!AX209</f>
        <v>0</v>
      </c>
      <c r="Z208" s="180">
        <f>订货1!AY209</f>
        <v>0</v>
      </c>
      <c r="AA208" s="180">
        <f>订货1!AZ209</f>
        <v>0</v>
      </c>
      <c r="AB208" s="180">
        <f>订货1!BA209</f>
        <v>0</v>
      </c>
      <c r="AC208" s="180">
        <f>订货1!BB209</f>
        <v>0</v>
      </c>
      <c r="AD208" s="180">
        <f>订货1!BC209</f>
        <v>0</v>
      </c>
      <c r="AE208" s="180">
        <f>订货1!BD209</f>
        <v>0</v>
      </c>
      <c r="AF208" s="180">
        <f>订货1!BE209</f>
        <v>0</v>
      </c>
      <c r="AG208" s="180">
        <f>订货1!BF209</f>
        <v>0</v>
      </c>
      <c r="AH208" s="176"/>
      <c r="AI208" s="178" t="e">
        <f>店铺收货台帐2!DE209</f>
        <v>#DIV/0!</v>
      </c>
    </row>
    <row r="209" spans="1:35" hidden="1">
      <c r="A209" s="37">
        <f>订货1!K210</f>
        <v>101766</v>
      </c>
      <c r="B209" s="37" t="str">
        <f>订货1!M210</f>
        <v>博洛尼亚风味白肉酱</v>
      </c>
      <c r="C209" s="180">
        <f>订货1!AB210</f>
        <v>0</v>
      </c>
      <c r="D209" s="180">
        <f>订货1!AC210</f>
        <v>0</v>
      </c>
      <c r="E209" s="180">
        <f>订货1!AD210</f>
        <v>0</v>
      </c>
      <c r="F209" s="180">
        <f>订货1!AE210</f>
        <v>0</v>
      </c>
      <c r="G209" s="180">
        <f>订货1!AF210</f>
        <v>0</v>
      </c>
      <c r="H209" s="180">
        <f>订货1!AG210</f>
        <v>0</v>
      </c>
      <c r="I209" s="180">
        <f>订货1!AH210</f>
        <v>0</v>
      </c>
      <c r="J209" s="180">
        <f>订货1!AI210</f>
        <v>0</v>
      </c>
      <c r="K209" s="180">
        <f>订货1!AJ210</f>
        <v>0</v>
      </c>
      <c r="L209" s="180">
        <f>订货1!AK210</f>
        <v>0</v>
      </c>
      <c r="M209" s="180">
        <f>订货1!AL210</f>
        <v>0</v>
      </c>
      <c r="N209" s="180">
        <f>订货1!AM210</f>
        <v>0</v>
      </c>
      <c r="O209" s="180">
        <f>订货1!AN210</f>
        <v>0</v>
      </c>
      <c r="P209" s="180">
        <f>订货1!AO210</f>
        <v>0</v>
      </c>
      <c r="Q209" s="180">
        <f>订货1!AP210</f>
        <v>0</v>
      </c>
      <c r="R209" s="180">
        <f>订货1!AQ210</f>
        <v>0</v>
      </c>
      <c r="S209" s="180">
        <f>订货1!AR210</f>
        <v>0</v>
      </c>
      <c r="T209" s="180">
        <f>订货1!AS210</f>
        <v>0</v>
      </c>
      <c r="U209" s="180">
        <f>订货1!AT210</f>
        <v>0</v>
      </c>
      <c r="V209" s="180">
        <f>订货1!AU210</f>
        <v>0</v>
      </c>
      <c r="W209" s="180">
        <f>订货1!AV210</f>
        <v>0</v>
      </c>
      <c r="X209" s="180">
        <f>订货1!AW210</f>
        <v>0</v>
      </c>
      <c r="Y209" s="180">
        <f>订货1!AX210</f>
        <v>0</v>
      </c>
      <c r="Z209" s="180">
        <f>订货1!AY210</f>
        <v>0</v>
      </c>
      <c r="AA209" s="180">
        <f>订货1!AZ210</f>
        <v>0</v>
      </c>
      <c r="AB209" s="180">
        <f>订货1!BA210</f>
        <v>0</v>
      </c>
      <c r="AC209" s="180">
        <f>订货1!BB210</f>
        <v>0</v>
      </c>
      <c r="AD209" s="180">
        <f>订货1!BC210</f>
        <v>0</v>
      </c>
      <c r="AE209" s="180">
        <f>订货1!BD210</f>
        <v>0</v>
      </c>
      <c r="AF209" s="180">
        <f>订货1!BE210</f>
        <v>0</v>
      </c>
      <c r="AG209" s="180">
        <f>订货1!BF210</f>
        <v>0</v>
      </c>
      <c r="AH209" s="176"/>
      <c r="AI209" s="178" t="e">
        <f>店铺收货台帐2!DE210</f>
        <v>#DIV/0!</v>
      </c>
    </row>
    <row r="210" spans="1:35" hidden="1">
      <c r="A210" s="37">
        <f>订货1!K211</f>
        <v>991004</v>
      </c>
      <c r="B210" s="37" t="str">
        <f>订货1!M211</f>
        <v>环保打包盒（酱汁盒）1000套</v>
      </c>
      <c r="C210" s="180">
        <f>订货1!AB211</f>
        <v>0</v>
      </c>
      <c r="D210" s="180">
        <f>订货1!AC211</f>
        <v>0</v>
      </c>
      <c r="E210" s="180">
        <f>订货1!AD211</f>
        <v>0</v>
      </c>
      <c r="F210" s="180">
        <f>订货1!AE211</f>
        <v>0</v>
      </c>
      <c r="G210" s="180">
        <f>订货1!AF211</f>
        <v>0</v>
      </c>
      <c r="H210" s="180">
        <f>订货1!AG211</f>
        <v>0</v>
      </c>
      <c r="I210" s="180">
        <f>订货1!AH211</f>
        <v>0</v>
      </c>
      <c r="J210" s="180">
        <f>订货1!AI211</f>
        <v>0</v>
      </c>
      <c r="K210" s="180">
        <f>订货1!AJ211</f>
        <v>0</v>
      </c>
      <c r="L210" s="180">
        <f>订货1!AK211</f>
        <v>0</v>
      </c>
      <c r="M210" s="180">
        <f>订货1!AL211</f>
        <v>0</v>
      </c>
      <c r="N210" s="180">
        <f>订货1!AM211</f>
        <v>0</v>
      </c>
      <c r="O210" s="180">
        <f>订货1!AN211</f>
        <v>0</v>
      </c>
      <c r="P210" s="180">
        <f>订货1!AO211</f>
        <v>0</v>
      </c>
      <c r="Q210" s="180">
        <f>订货1!AP211</f>
        <v>0</v>
      </c>
      <c r="R210" s="180">
        <f>订货1!AQ211</f>
        <v>0</v>
      </c>
      <c r="S210" s="180">
        <f>订货1!AR211</f>
        <v>0</v>
      </c>
      <c r="T210" s="180">
        <f>订货1!AS211</f>
        <v>0</v>
      </c>
      <c r="U210" s="180">
        <f>订货1!AT211</f>
        <v>0</v>
      </c>
      <c r="V210" s="180">
        <f>订货1!AU211</f>
        <v>0</v>
      </c>
      <c r="W210" s="180">
        <f>订货1!AV211</f>
        <v>0</v>
      </c>
      <c r="X210" s="180">
        <f>订货1!AW211</f>
        <v>0</v>
      </c>
      <c r="Y210" s="180">
        <f>订货1!AX211</f>
        <v>0</v>
      </c>
      <c r="Z210" s="180">
        <f>订货1!AY211</f>
        <v>0</v>
      </c>
      <c r="AA210" s="180">
        <f>订货1!AZ211</f>
        <v>0</v>
      </c>
      <c r="AB210" s="180">
        <f>订货1!BA211</f>
        <v>0</v>
      </c>
      <c r="AC210" s="180">
        <f>订货1!BB211</f>
        <v>0</v>
      </c>
      <c r="AD210" s="180">
        <f>订货1!BC211</f>
        <v>0</v>
      </c>
      <c r="AE210" s="180">
        <f>订货1!BD211</f>
        <v>0</v>
      </c>
      <c r="AF210" s="180">
        <f>订货1!BE211</f>
        <v>0</v>
      </c>
      <c r="AG210" s="180">
        <f>订货1!BF211</f>
        <v>0</v>
      </c>
      <c r="AH210" s="176"/>
      <c r="AI210" s="178" t="e">
        <f>店铺收货台帐2!DE211</f>
        <v>#DIV/0!</v>
      </c>
    </row>
    <row r="211" spans="1:35" hidden="1">
      <c r="A211" s="37">
        <f>订货1!K212</f>
        <v>101677</v>
      </c>
      <c r="B211" s="37" t="str">
        <f>订货1!M212</f>
        <v>焦糖布丁</v>
      </c>
      <c r="C211" s="180">
        <f>订货1!AB212</f>
        <v>0</v>
      </c>
      <c r="D211" s="180">
        <f>订货1!AC212</f>
        <v>0</v>
      </c>
      <c r="E211" s="180">
        <f>订货1!AD212</f>
        <v>0</v>
      </c>
      <c r="F211" s="180">
        <f>订货1!AE212</f>
        <v>0</v>
      </c>
      <c r="G211" s="180">
        <f>订货1!AF212</f>
        <v>0</v>
      </c>
      <c r="H211" s="180">
        <f>订货1!AG212</f>
        <v>0</v>
      </c>
      <c r="I211" s="180">
        <f>订货1!AH212</f>
        <v>0</v>
      </c>
      <c r="J211" s="180">
        <f>订货1!AI212</f>
        <v>0</v>
      </c>
      <c r="K211" s="180">
        <f>订货1!AJ212</f>
        <v>0</v>
      </c>
      <c r="L211" s="180">
        <f>订货1!AK212</f>
        <v>0</v>
      </c>
      <c r="M211" s="180">
        <f>订货1!AL212</f>
        <v>0</v>
      </c>
      <c r="N211" s="180">
        <f>订货1!AM212</f>
        <v>0</v>
      </c>
      <c r="O211" s="180">
        <f>订货1!AN212</f>
        <v>0</v>
      </c>
      <c r="P211" s="180">
        <f>订货1!AO212</f>
        <v>0</v>
      </c>
      <c r="Q211" s="180">
        <f>订货1!AP212</f>
        <v>0</v>
      </c>
      <c r="R211" s="180">
        <f>订货1!AQ212</f>
        <v>0</v>
      </c>
      <c r="S211" s="180">
        <f>订货1!AR212</f>
        <v>0</v>
      </c>
      <c r="T211" s="180">
        <f>订货1!AS212</f>
        <v>0</v>
      </c>
      <c r="U211" s="180">
        <f>订货1!AT212</f>
        <v>0</v>
      </c>
      <c r="V211" s="180">
        <f>订货1!AU212</f>
        <v>0</v>
      </c>
      <c r="W211" s="180">
        <f>订货1!AV212</f>
        <v>0</v>
      </c>
      <c r="X211" s="180">
        <f>订货1!AW212</f>
        <v>0</v>
      </c>
      <c r="Y211" s="180">
        <f>订货1!AX212</f>
        <v>0</v>
      </c>
      <c r="Z211" s="180">
        <f>订货1!AY212</f>
        <v>0</v>
      </c>
      <c r="AA211" s="180">
        <f>订货1!AZ212</f>
        <v>0</v>
      </c>
      <c r="AB211" s="180">
        <f>订货1!BA212</f>
        <v>0</v>
      </c>
      <c r="AC211" s="180">
        <f>订货1!BB212</f>
        <v>0</v>
      </c>
      <c r="AD211" s="180">
        <f>订货1!BC212</f>
        <v>0</v>
      </c>
      <c r="AE211" s="180">
        <f>订货1!BD212</f>
        <v>0</v>
      </c>
      <c r="AF211" s="180">
        <f>订货1!BE212</f>
        <v>0</v>
      </c>
      <c r="AG211" s="180">
        <f>订货1!BF212</f>
        <v>0</v>
      </c>
      <c r="AH211" s="176"/>
      <c r="AI211" s="178" t="e">
        <f>店铺收货台帐2!DE212</f>
        <v>#DIV/0!</v>
      </c>
    </row>
    <row r="212" spans="1:35" hidden="1">
      <c r="A212" s="37">
        <f>订货1!K213</f>
        <v>101678</v>
      </c>
      <c r="B212" s="37" t="str">
        <f>订货1!M213</f>
        <v>菌菇调理包</v>
      </c>
      <c r="C212" s="180">
        <f>订货1!AB213</f>
        <v>0</v>
      </c>
      <c r="D212" s="180">
        <f>订货1!AC213</f>
        <v>0</v>
      </c>
      <c r="E212" s="180">
        <f>订货1!AD213</f>
        <v>0</v>
      </c>
      <c r="F212" s="180">
        <f>订货1!AE213</f>
        <v>0</v>
      </c>
      <c r="G212" s="180">
        <f>订货1!AF213</f>
        <v>0</v>
      </c>
      <c r="H212" s="180">
        <f>订货1!AG213</f>
        <v>0</v>
      </c>
      <c r="I212" s="180">
        <f>订货1!AH213</f>
        <v>0</v>
      </c>
      <c r="J212" s="180">
        <f>订货1!AI213</f>
        <v>0</v>
      </c>
      <c r="K212" s="180">
        <f>订货1!AJ213</f>
        <v>0</v>
      </c>
      <c r="L212" s="180">
        <f>订货1!AK213</f>
        <v>0</v>
      </c>
      <c r="M212" s="180">
        <f>订货1!AL213</f>
        <v>0</v>
      </c>
      <c r="N212" s="180">
        <f>订货1!AM213</f>
        <v>0</v>
      </c>
      <c r="O212" s="180">
        <f>订货1!AN213</f>
        <v>0</v>
      </c>
      <c r="P212" s="180">
        <f>订货1!AO213</f>
        <v>0</v>
      </c>
      <c r="Q212" s="180">
        <f>订货1!AP213</f>
        <v>0</v>
      </c>
      <c r="R212" s="180">
        <f>订货1!AQ213</f>
        <v>0</v>
      </c>
      <c r="S212" s="180">
        <f>订货1!AR213</f>
        <v>0</v>
      </c>
      <c r="T212" s="180">
        <f>订货1!AS213</f>
        <v>0</v>
      </c>
      <c r="U212" s="180">
        <f>订货1!AT213</f>
        <v>0</v>
      </c>
      <c r="V212" s="180">
        <f>订货1!AU213</f>
        <v>0</v>
      </c>
      <c r="W212" s="180">
        <f>订货1!AV213</f>
        <v>0</v>
      </c>
      <c r="X212" s="180">
        <f>订货1!AW213</f>
        <v>0</v>
      </c>
      <c r="Y212" s="180">
        <f>订货1!AX213</f>
        <v>0</v>
      </c>
      <c r="Z212" s="180">
        <f>订货1!AY213</f>
        <v>0</v>
      </c>
      <c r="AA212" s="180">
        <f>订货1!AZ213</f>
        <v>0</v>
      </c>
      <c r="AB212" s="180">
        <f>订货1!BA213</f>
        <v>0</v>
      </c>
      <c r="AC212" s="180">
        <f>订货1!BB213</f>
        <v>0</v>
      </c>
      <c r="AD212" s="180">
        <f>订货1!BC213</f>
        <v>0</v>
      </c>
      <c r="AE212" s="180">
        <f>订货1!BD213</f>
        <v>0</v>
      </c>
      <c r="AF212" s="180">
        <f>订货1!BE213</f>
        <v>0</v>
      </c>
      <c r="AG212" s="180">
        <f>订货1!BF213</f>
        <v>0</v>
      </c>
      <c r="AH212" s="176"/>
      <c r="AI212" s="178" t="e">
        <f>店铺收货台帐2!DE213</f>
        <v>#DIV/0!</v>
      </c>
    </row>
    <row r="213" spans="1:35" hidden="1">
      <c r="A213" s="37">
        <f>订货1!K214</f>
        <v>101701</v>
      </c>
      <c r="B213" s="37" t="str">
        <f>订货1!M214</f>
        <v>露恬纯牛奶</v>
      </c>
      <c r="C213" s="180">
        <f>订货1!AB214</f>
        <v>0</v>
      </c>
      <c r="D213" s="180">
        <f>订货1!AC214</f>
        <v>0</v>
      </c>
      <c r="E213" s="180">
        <f>订货1!AD214</f>
        <v>0</v>
      </c>
      <c r="F213" s="180">
        <f>订货1!AE214</f>
        <v>1</v>
      </c>
      <c r="G213" s="180">
        <f>订货1!AF214</f>
        <v>0</v>
      </c>
      <c r="H213" s="180">
        <f>订货1!AG214</f>
        <v>1</v>
      </c>
      <c r="I213" s="180">
        <f>订货1!AH214</f>
        <v>0</v>
      </c>
      <c r="J213" s="180">
        <f>订货1!AI214</f>
        <v>0</v>
      </c>
      <c r="K213" s="180">
        <f>订货1!AJ214</f>
        <v>0</v>
      </c>
      <c r="L213" s="180">
        <f>订货1!AK214</f>
        <v>0</v>
      </c>
      <c r="M213" s="180">
        <f>订货1!AL214</f>
        <v>0</v>
      </c>
      <c r="N213" s="180">
        <f>订货1!AM214</f>
        <v>1</v>
      </c>
      <c r="O213" s="180">
        <f>订货1!AN214</f>
        <v>0</v>
      </c>
      <c r="P213" s="180">
        <f>订货1!AO214</f>
        <v>1</v>
      </c>
      <c r="Q213" s="180">
        <f>订货1!AP214</f>
        <v>0</v>
      </c>
      <c r="R213" s="180">
        <f>订货1!AQ214</f>
        <v>0</v>
      </c>
      <c r="S213" s="180">
        <f>订货1!AR214</f>
        <v>0</v>
      </c>
      <c r="T213" s="180">
        <f>订货1!AS214</f>
        <v>0</v>
      </c>
      <c r="U213" s="180">
        <f>订货1!AT214</f>
        <v>0</v>
      </c>
      <c r="V213" s="180">
        <f>订货1!AU214</f>
        <v>0</v>
      </c>
      <c r="W213" s="180">
        <f>订货1!AV214</f>
        <v>0</v>
      </c>
      <c r="X213" s="180">
        <f>订货1!AW214</f>
        <v>0</v>
      </c>
      <c r="Y213" s="180">
        <f>订货1!AX214</f>
        <v>0</v>
      </c>
      <c r="Z213" s="180">
        <f>订货1!AY214</f>
        <v>0</v>
      </c>
      <c r="AA213" s="180">
        <f>订货1!AZ214</f>
        <v>0</v>
      </c>
      <c r="AB213" s="180">
        <f>订货1!BA214</f>
        <v>0</v>
      </c>
      <c r="AC213" s="180">
        <f>订货1!BB214</f>
        <v>0</v>
      </c>
      <c r="AD213" s="180">
        <f>订货1!BC214</f>
        <v>0</v>
      </c>
      <c r="AE213" s="180">
        <f>订货1!BD214</f>
        <v>0</v>
      </c>
      <c r="AF213" s="180">
        <f>订货1!BE214</f>
        <v>0</v>
      </c>
      <c r="AG213" s="180">
        <f>订货1!BF214</f>
        <v>0</v>
      </c>
      <c r="AH213" s="176"/>
      <c r="AI213" s="178" t="e">
        <f>店铺收货台帐2!DE214</f>
        <v>#DIV/0!</v>
      </c>
    </row>
    <row r="214" spans="1:35" hidden="1">
      <c r="A214" s="37">
        <f>订货1!K215</f>
        <v>101663</v>
      </c>
      <c r="B214" s="37" t="str">
        <f>订货1!M215</f>
        <v>肉桂风味调味粉</v>
      </c>
      <c r="C214" s="180">
        <f>订货1!AB215</f>
        <v>0</v>
      </c>
      <c r="D214" s="180">
        <f>订货1!AC215</f>
        <v>0</v>
      </c>
      <c r="E214" s="180">
        <f>订货1!AD215</f>
        <v>0</v>
      </c>
      <c r="F214" s="180">
        <f>订货1!AE215</f>
        <v>0</v>
      </c>
      <c r="G214" s="180">
        <f>订货1!AF215</f>
        <v>0</v>
      </c>
      <c r="H214" s="180">
        <f>订货1!AG215</f>
        <v>0</v>
      </c>
      <c r="I214" s="180">
        <f>订货1!AH215</f>
        <v>0</v>
      </c>
      <c r="J214" s="180">
        <f>订货1!AI215</f>
        <v>0</v>
      </c>
      <c r="K214" s="180">
        <f>订货1!AJ215</f>
        <v>0</v>
      </c>
      <c r="L214" s="180">
        <f>订货1!AK215</f>
        <v>0</v>
      </c>
      <c r="M214" s="180">
        <f>订货1!AL215</f>
        <v>0</v>
      </c>
      <c r="N214" s="180">
        <f>订货1!AM215</f>
        <v>0</v>
      </c>
      <c r="O214" s="180">
        <f>订货1!AN215</f>
        <v>0</v>
      </c>
      <c r="P214" s="180">
        <f>订货1!AO215</f>
        <v>0</v>
      </c>
      <c r="Q214" s="180">
        <f>订货1!AP215</f>
        <v>0</v>
      </c>
      <c r="R214" s="180">
        <f>订货1!AQ215</f>
        <v>0</v>
      </c>
      <c r="S214" s="180">
        <f>订货1!AR215</f>
        <v>0</v>
      </c>
      <c r="T214" s="180">
        <f>订货1!AS215</f>
        <v>0</v>
      </c>
      <c r="U214" s="180">
        <f>订货1!AT215</f>
        <v>0</v>
      </c>
      <c r="V214" s="180">
        <f>订货1!AU215</f>
        <v>0</v>
      </c>
      <c r="W214" s="180">
        <f>订货1!AV215</f>
        <v>0</v>
      </c>
      <c r="X214" s="180">
        <f>订货1!AW215</f>
        <v>0</v>
      </c>
      <c r="Y214" s="180">
        <f>订货1!AX215</f>
        <v>0</v>
      </c>
      <c r="Z214" s="180">
        <f>订货1!AY215</f>
        <v>0</v>
      </c>
      <c r="AA214" s="180">
        <f>订货1!AZ215</f>
        <v>0</v>
      </c>
      <c r="AB214" s="180">
        <f>订货1!BA215</f>
        <v>0</v>
      </c>
      <c r="AC214" s="180">
        <f>订货1!BB215</f>
        <v>0</v>
      </c>
      <c r="AD214" s="180">
        <f>订货1!BC215</f>
        <v>0</v>
      </c>
      <c r="AE214" s="180">
        <f>订货1!BD215</f>
        <v>0</v>
      </c>
      <c r="AF214" s="180">
        <f>订货1!BE215</f>
        <v>0</v>
      </c>
      <c r="AG214" s="180">
        <f>订货1!BF215</f>
        <v>0</v>
      </c>
      <c r="AH214" s="176"/>
      <c r="AI214" s="178" t="e">
        <f>店铺收货台帐2!DE215</f>
        <v>#DIV/0!</v>
      </c>
    </row>
    <row r="215" spans="1:35" hidden="1">
      <c r="A215" s="37">
        <f>订货1!K216</f>
        <v>101664</v>
      </c>
      <c r="B215" s="37" t="str">
        <f>订货1!M216</f>
        <v>法式羊排</v>
      </c>
      <c r="C215" s="180">
        <f>订货1!AB216</f>
        <v>0</v>
      </c>
      <c r="D215" s="180">
        <f>订货1!AC216</f>
        <v>0</v>
      </c>
      <c r="E215" s="180">
        <f>订货1!AD216</f>
        <v>0</v>
      </c>
      <c r="F215" s="180">
        <f>订货1!AE216</f>
        <v>0</v>
      </c>
      <c r="G215" s="180">
        <f>订货1!AF216</f>
        <v>0</v>
      </c>
      <c r="H215" s="180">
        <f>订货1!AG216</f>
        <v>0</v>
      </c>
      <c r="I215" s="180">
        <f>订货1!AH216</f>
        <v>0</v>
      </c>
      <c r="J215" s="180">
        <f>订货1!AI216</f>
        <v>0</v>
      </c>
      <c r="K215" s="180">
        <f>订货1!AJ216</f>
        <v>0</v>
      </c>
      <c r="L215" s="180">
        <f>订货1!AK216</f>
        <v>0</v>
      </c>
      <c r="M215" s="180">
        <f>订货1!AL216</f>
        <v>0</v>
      </c>
      <c r="N215" s="180">
        <f>订货1!AM216</f>
        <v>0</v>
      </c>
      <c r="O215" s="180">
        <f>订货1!AN216</f>
        <v>0</v>
      </c>
      <c r="P215" s="180">
        <f>订货1!AO216</f>
        <v>0</v>
      </c>
      <c r="Q215" s="180">
        <f>订货1!AP216</f>
        <v>0</v>
      </c>
      <c r="R215" s="180">
        <f>订货1!AQ216</f>
        <v>0</v>
      </c>
      <c r="S215" s="180">
        <f>订货1!AR216</f>
        <v>0</v>
      </c>
      <c r="T215" s="180">
        <f>订货1!AS216</f>
        <v>0</v>
      </c>
      <c r="U215" s="180">
        <f>订货1!AT216</f>
        <v>0</v>
      </c>
      <c r="V215" s="180">
        <f>订货1!AU216</f>
        <v>0</v>
      </c>
      <c r="W215" s="180">
        <f>订货1!AV216</f>
        <v>0</v>
      </c>
      <c r="X215" s="180">
        <f>订货1!AW216</f>
        <v>0</v>
      </c>
      <c r="Y215" s="180">
        <f>订货1!AX216</f>
        <v>0</v>
      </c>
      <c r="Z215" s="180">
        <f>订货1!AY216</f>
        <v>0</v>
      </c>
      <c r="AA215" s="180">
        <f>订货1!AZ216</f>
        <v>0</v>
      </c>
      <c r="AB215" s="180">
        <f>订货1!BA216</f>
        <v>0</v>
      </c>
      <c r="AC215" s="180">
        <f>订货1!BB216</f>
        <v>0</v>
      </c>
      <c r="AD215" s="180">
        <f>订货1!BC216</f>
        <v>0</v>
      </c>
      <c r="AE215" s="180">
        <f>订货1!BD216</f>
        <v>0</v>
      </c>
      <c r="AF215" s="180">
        <f>订货1!BE216</f>
        <v>0</v>
      </c>
      <c r="AG215" s="180">
        <f>订货1!BF216</f>
        <v>0</v>
      </c>
      <c r="AH215" s="176"/>
      <c r="AI215" s="178" t="e">
        <f>店铺收货台帐2!DE216</f>
        <v>#DIV/0!</v>
      </c>
    </row>
    <row r="216" spans="1:35" hidden="1">
      <c r="A216" s="37">
        <f>订货1!K217</f>
        <v>992027</v>
      </c>
      <c r="B216" s="37" t="str">
        <f>订货1!M217</f>
        <v>萨莉亚餐巾纸</v>
      </c>
      <c r="C216" s="180">
        <f>订货1!AB217</f>
        <v>0</v>
      </c>
      <c r="D216" s="180">
        <f>订货1!AC217</f>
        <v>0</v>
      </c>
      <c r="E216" s="180">
        <f>订货1!AD217</f>
        <v>0</v>
      </c>
      <c r="F216" s="180">
        <f>订货1!AE217</f>
        <v>0</v>
      </c>
      <c r="G216" s="180">
        <f>订货1!AF217</f>
        <v>0</v>
      </c>
      <c r="H216" s="180">
        <f>订货1!AG217</f>
        <v>0</v>
      </c>
      <c r="I216" s="180">
        <f>订货1!AH217</f>
        <v>0</v>
      </c>
      <c r="J216" s="180">
        <f>订货1!AI217</f>
        <v>0</v>
      </c>
      <c r="K216" s="180">
        <f>订货1!AJ217</f>
        <v>0</v>
      </c>
      <c r="L216" s="180">
        <f>订货1!AK217</f>
        <v>0</v>
      </c>
      <c r="M216" s="180">
        <f>订货1!AL217</f>
        <v>0</v>
      </c>
      <c r="N216" s="180">
        <f>订货1!AM217</f>
        <v>0</v>
      </c>
      <c r="O216" s="180">
        <f>订货1!AN217</f>
        <v>0</v>
      </c>
      <c r="P216" s="180">
        <f>订货1!AO217</f>
        <v>0</v>
      </c>
      <c r="Q216" s="180">
        <f>订货1!AP217</f>
        <v>0</v>
      </c>
      <c r="R216" s="180">
        <f>订货1!AQ217</f>
        <v>0</v>
      </c>
      <c r="S216" s="180">
        <f>订货1!AR217</f>
        <v>0</v>
      </c>
      <c r="T216" s="180">
        <f>订货1!AS217</f>
        <v>0</v>
      </c>
      <c r="U216" s="180">
        <f>订货1!AT217</f>
        <v>0</v>
      </c>
      <c r="V216" s="180">
        <f>订货1!AU217</f>
        <v>0</v>
      </c>
      <c r="W216" s="180">
        <f>订货1!AV217</f>
        <v>0</v>
      </c>
      <c r="X216" s="180">
        <f>订货1!AW217</f>
        <v>0</v>
      </c>
      <c r="Y216" s="180">
        <f>订货1!AX217</f>
        <v>0</v>
      </c>
      <c r="Z216" s="180">
        <f>订货1!AY217</f>
        <v>0</v>
      </c>
      <c r="AA216" s="180">
        <f>订货1!AZ217</f>
        <v>0</v>
      </c>
      <c r="AB216" s="180">
        <f>订货1!BA217</f>
        <v>0</v>
      </c>
      <c r="AC216" s="180">
        <f>订货1!BB217</f>
        <v>0</v>
      </c>
      <c r="AD216" s="180">
        <f>订货1!BC217</f>
        <v>0</v>
      </c>
      <c r="AE216" s="180">
        <f>订货1!BD217</f>
        <v>0</v>
      </c>
      <c r="AF216" s="180">
        <f>订货1!BE217</f>
        <v>0</v>
      </c>
      <c r="AG216" s="180">
        <f>订货1!BF217</f>
        <v>0</v>
      </c>
      <c r="AH216" s="176"/>
      <c r="AI216" s="178" t="e">
        <f>店铺收货台帐2!DE217</f>
        <v>#DIV/0!</v>
      </c>
    </row>
    <row r="217" spans="1:35" hidden="1">
      <c r="A217" s="37">
        <f>订货1!K218</f>
        <v>101679</v>
      </c>
      <c r="B217" s="37" t="str">
        <f>订货1!M218</f>
        <v>泛泰番茄丁</v>
      </c>
      <c r="C217" s="180">
        <f>订货1!AB218</f>
        <v>0</v>
      </c>
      <c r="D217" s="180">
        <f>订货1!AC218</f>
        <v>0</v>
      </c>
      <c r="E217" s="180">
        <f>订货1!AD218</f>
        <v>0</v>
      </c>
      <c r="F217" s="180">
        <f>订货1!AE218</f>
        <v>0</v>
      </c>
      <c r="G217" s="180">
        <f>订货1!AF218</f>
        <v>0</v>
      </c>
      <c r="H217" s="180">
        <f>订货1!AG218</f>
        <v>0</v>
      </c>
      <c r="I217" s="180">
        <f>订货1!AH218</f>
        <v>0</v>
      </c>
      <c r="J217" s="180">
        <f>订货1!AI218</f>
        <v>0</v>
      </c>
      <c r="K217" s="180">
        <f>订货1!AJ218</f>
        <v>0</v>
      </c>
      <c r="L217" s="180">
        <f>订货1!AK218</f>
        <v>0</v>
      </c>
      <c r="M217" s="180">
        <f>订货1!AL218</f>
        <v>0</v>
      </c>
      <c r="N217" s="180">
        <f>订货1!AM218</f>
        <v>0</v>
      </c>
      <c r="O217" s="180">
        <f>订货1!AN218</f>
        <v>0</v>
      </c>
      <c r="P217" s="180">
        <f>订货1!AO218</f>
        <v>0</v>
      </c>
      <c r="Q217" s="180">
        <f>订货1!AP218</f>
        <v>0</v>
      </c>
      <c r="R217" s="180">
        <f>订货1!AQ218</f>
        <v>0</v>
      </c>
      <c r="S217" s="180">
        <f>订货1!AR218</f>
        <v>0</v>
      </c>
      <c r="T217" s="180">
        <f>订货1!AS218</f>
        <v>0</v>
      </c>
      <c r="U217" s="180">
        <f>订货1!AT218</f>
        <v>0</v>
      </c>
      <c r="V217" s="180">
        <f>订货1!AU218</f>
        <v>0</v>
      </c>
      <c r="W217" s="180">
        <f>订货1!AV218</f>
        <v>0</v>
      </c>
      <c r="X217" s="180">
        <f>订货1!AW218</f>
        <v>0</v>
      </c>
      <c r="Y217" s="180">
        <f>订货1!AX218</f>
        <v>0</v>
      </c>
      <c r="Z217" s="180">
        <f>订货1!AY218</f>
        <v>0</v>
      </c>
      <c r="AA217" s="180">
        <f>订货1!AZ218</f>
        <v>0</v>
      </c>
      <c r="AB217" s="180">
        <f>订货1!BA218</f>
        <v>0</v>
      </c>
      <c r="AC217" s="180">
        <f>订货1!BB218</f>
        <v>0</v>
      </c>
      <c r="AD217" s="180">
        <f>订货1!BC218</f>
        <v>0</v>
      </c>
      <c r="AE217" s="180">
        <f>订货1!BD218</f>
        <v>0</v>
      </c>
      <c r="AF217" s="180">
        <f>订货1!BE218</f>
        <v>0</v>
      </c>
      <c r="AG217" s="180">
        <f>订货1!BF218</f>
        <v>0</v>
      </c>
      <c r="AH217" s="176"/>
      <c r="AI217" s="178" t="e">
        <f>店铺收货台帐2!DE218</f>
        <v>#DIV/0!</v>
      </c>
    </row>
    <row r="218" spans="1:35" hidden="1">
      <c r="A218" s="37">
        <f>订货1!K219</f>
        <v>101680</v>
      </c>
      <c r="B218" s="37" t="str">
        <f>订货1!M219</f>
        <v xml:space="preserve">玉米浓汤 </v>
      </c>
      <c r="C218" s="180">
        <f>订货1!AB219</f>
        <v>0</v>
      </c>
      <c r="D218" s="180">
        <f>订货1!AC219</f>
        <v>1</v>
      </c>
      <c r="E218" s="180">
        <f>订货1!AD219</f>
        <v>0</v>
      </c>
      <c r="F218" s="180">
        <f>订货1!AE219</f>
        <v>0</v>
      </c>
      <c r="G218" s="180">
        <f>订货1!AF219</f>
        <v>0</v>
      </c>
      <c r="H218" s="180">
        <f>订货1!AG219</f>
        <v>1</v>
      </c>
      <c r="I218" s="180">
        <f>订货1!AH219</f>
        <v>0</v>
      </c>
      <c r="J218" s="180">
        <f>订货1!AI219</f>
        <v>0</v>
      </c>
      <c r="K218" s="180">
        <f>订货1!AJ219</f>
        <v>0</v>
      </c>
      <c r="L218" s="180">
        <f>订货1!AK219</f>
        <v>0</v>
      </c>
      <c r="M218" s="180">
        <f>订货1!AL219</f>
        <v>0</v>
      </c>
      <c r="N218" s="180">
        <f>订货1!AM219</f>
        <v>1</v>
      </c>
      <c r="O218" s="180">
        <f>订货1!AN219</f>
        <v>0</v>
      </c>
      <c r="P218" s="180">
        <f>订货1!AO219</f>
        <v>0</v>
      </c>
      <c r="Q218" s="180">
        <f>订货1!AP219</f>
        <v>0</v>
      </c>
      <c r="R218" s="180">
        <f>订货1!AQ219</f>
        <v>0</v>
      </c>
      <c r="S218" s="180">
        <f>订货1!AR219</f>
        <v>0</v>
      </c>
      <c r="T218" s="180">
        <f>订货1!AS219</f>
        <v>0</v>
      </c>
      <c r="U218" s="180">
        <f>订货1!AT219</f>
        <v>0</v>
      </c>
      <c r="V218" s="180">
        <f>订货1!AU219</f>
        <v>0</v>
      </c>
      <c r="W218" s="180">
        <f>订货1!AV219</f>
        <v>0</v>
      </c>
      <c r="X218" s="180">
        <f>订货1!AW219</f>
        <v>0</v>
      </c>
      <c r="Y218" s="180">
        <f>订货1!AX219</f>
        <v>0</v>
      </c>
      <c r="Z218" s="180">
        <f>订货1!AY219</f>
        <v>0</v>
      </c>
      <c r="AA218" s="180">
        <f>订货1!AZ219</f>
        <v>0</v>
      </c>
      <c r="AB218" s="180">
        <f>订货1!BA219</f>
        <v>0</v>
      </c>
      <c r="AC218" s="180">
        <f>订货1!BB219</f>
        <v>0</v>
      </c>
      <c r="AD218" s="180">
        <f>订货1!BC219</f>
        <v>0</v>
      </c>
      <c r="AE218" s="180">
        <f>订货1!BD219</f>
        <v>0</v>
      </c>
      <c r="AF218" s="180">
        <f>订货1!BE219</f>
        <v>0</v>
      </c>
      <c r="AG218" s="180">
        <f>订货1!BF219</f>
        <v>0</v>
      </c>
      <c r="AH218" s="176"/>
      <c r="AI218" s="178" t="e">
        <f>店铺收货台帐2!DE219</f>
        <v>#DIV/0!</v>
      </c>
    </row>
    <row r="219" spans="1:35" hidden="1">
      <c r="A219" s="37">
        <f>订货1!K220</f>
        <v>992025</v>
      </c>
      <c r="B219" s="37" t="str">
        <f>订货1!M220</f>
        <v>萨莉亚LOGO牛皮纸拎袋（小）</v>
      </c>
      <c r="C219" s="180">
        <f>订货1!AB220</f>
        <v>1</v>
      </c>
      <c r="D219" s="180">
        <f>订货1!AC220</f>
        <v>0</v>
      </c>
      <c r="E219" s="180">
        <f>订货1!AD220</f>
        <v>0</v>
      </c>
      <c r="F219" s="180">
        <f>订货1!AE220</f>
        <v>0</v>
      </c>
      <c r="G219" s="180">
        <f>订货1!AF220</f>
        <v>0</v>
      </c>
      <c r="H219" s="180">
        <f>订货1!AG220</f>
        <v>0</v>
      </c>
      <c r="I219" s="180">
        <f>订货1!AH220</f>
        <v>0</v>
      </c>
      <c r="J219" s="180">
        <f>订货1!AI220</f>
        <v>0</v>
      </c>
      <c r="K219" s="180">
        <f>订货1!AJ220</f>
        <v>0</v>
      </c>
      <c r="L219" s="180">
        <f>订货1!AK220</f>
        <v>0</v>
      </c>
      <c r="M219" s="180">
        <f>订货1!AL220</f>
        <v>1</v>
      </c>
      <c r="N219" s="180">
        <f>订货1!AM220</f>
        <v>0</v>
      </c>
      <c r="O219" s="180">
        <f>订货1!AN220</f>
        <v>0</v>
      </c>
      <c r="P219" s="180">
        <f>订货1!AO220</f>
        <v>0</v>
      </c>
      <c r="Q219" s="180">
        <f>订货1!AP220</f>
        <v>0</v>
      </c>
      <c r="R219" s="180">
        <f>订货1!AQ220</f>
        <v>0</v>
      </c>
      <c r="S219" s="180">
        <f>订货1!AR220</f>
        <v>0</v>
      </c>
      <c r="T219" s="180">
        <f>订货1!AS220</f>
        <v>0</v>
      </c>
      <c r="U219" s="180">
        <f>订货1!AT220</f>
        <v>0</v>
      </c>
      <c r="V219" s="180">
        <f>订货1!AU220</f>
        <v>0</v>
      </c>
      <c r="W219" s="180">
        <f>订货1!AV220</f>
        <v>0</v>
      </c>
      <c r="X219" s="180">
        <f>订货1!AW220</f>
        <v>0</v>
      </c>
      <c r="Y219" s="180">
        <f>订货1!AX220</f>
        <v>0</v>
      </c>
      <c r="Z219" s="180">
        <f>订货1!AY220</f>
        <v>0</v>
      </c>
      <c r="AA219" s="180">
        <f>订货1!AZ220</f>
        <v>0</v>
      </c>
      <c r="AB219" s="180">
        <f>订货1!BA220</f>
        <v>0</v>
      </c>
      <c r="AC219" s="180">
        <f>订货1!BB220</f>
        <v>0</v>
      </c>
      <c r="AD219" s="180">
        <f>订货1!BC220</f>
        <v>0</v>
      </c>
      <c r="AE219" s="180">
        <f>订货1!BD220</f>
        <v>0</v>
      </c>
      <c r="AF219" s="180">
        <f>订货1!BE220</f>
        <v>0</v>
      </c>
      <c r="AG219" s="180">
        <f>订货1!BF220</f>
        <v>0</v>
      </c>
      <c r="AH219" s="176"/>
      <c r="AI219" s="178" t="e">
        <f>店铺收货台帐2!DE220</f>
        <v>#DIV/0!</v>
      </c>
    </row>
    <row r="220" spans="1:35" hidden="1">
      <c r="A220" s="37">
        <f>订货1!K221</f>
        <v>101773</v>
      </c>
      <c r="B220" s="37" t="str">
        <f>订货1!M221</f>
        <v>意式红烩鸡肉块</v>
      </c>
      <c r="C220" s="180">
        <f>订货1!AB221</f>
        <v>0</v>
      </c>
      <c r="D220" s="180">
        <f>订货1!AC221</f>
        <v>0</v>
      </c>
      <c r="E220" s="180">
        <f>订货1!AD221</f>
        <v>0</v>
      </c>
      <c r="F220" s="180">
        <f>订货1!AE221</f>
        <v>0</v>
      </c>
      <c r="G220" s="180">
        <f>订货1!AF221</f>
        <v>0</v>
      </c>
      <c r="H220" s="180">
        <f>订货1!AG221</f>
        <v>0</v>
      </c>
      <c r="I220" s="180">
        <f>订货1!AH221</f>
        <v>0</v>
      </c>
      <c r="J220" s="180">
        <f>订货1!AI221</f>
        <v>0</v>
      </c>
      <c r="K220" s="180">
        <f>订货1!AJ221</f>
        <v>0</v>
      </c>
      <c r="L220" s="180">
        <f>订货1!AK221</f>
        <v>0</v>
      </c>
      <c r="M220" s="180">
        <f>订货1!AL221</f>
        <v>0</v>
      </c>
      <c r="N220" s="180">
        <f>订货1!AM221</f>
        <v>1</v>
      </c>
      <c r="O220" s="180">
        <f>订货1!AN221</f>
        <v>0</v>
      </c>
      <c r="P220" s="180">
        <f>订货1!AO221</f>
        <v>0</v>
      </c>
      <c r="Q220" s="180">
        <f>订货1!AP221</f>
        <v>0</v>
      </c>
      <c r="R220" s="180">
        <f>订货1!AQ221</f>
        <v>0</v>
      </c>
      <c r="S220" s="180">
        <f>订货1!AR221</f>
        <v>0</v>
      </c>
      <c r="T220" s="180">
        <f>订货1!AS221</f>
        <v>0</v>
      </c>
      <c r="U220" s="180">
        <f>订货1!AT221</f>
        <v>0</v>
      </c>
      <c r="V220" s="180">
        <f>订货1!AU221</f>
        <v>0</v>
      </c>
      <c r="W220" s="180">
        <f>订货1!AV221</f>
        <v>0</v>
      </c>
      <c r="X220" s="180">
        <f>订货1!AW221</f>
        <v>0</v>
      </c>
      <c r="Y220" s="180">
        <f>订货1!AX221</f>
        <v>0</v>
      </c>
      <c r="Z220" s="180">
        <f>订货1!AY221</f>
        <v>0</v>
      </c>
      <c r="AA220" s="180">
        <f>订货1!AZ221</f>
        <v>0</v>
      </c>
      <c r="AB220" s="180">
        <f>订货1!BA221</f>
        <v>0</v>
      </c>
      <c r="AC220" s="180">
        <f>订货1!BB221</f>
        <v>0</v>
      </c>
      <c r="AD220" s="180">
        <f>订货1!BC221</f>
        <v>0</v>
      </c>
      <c r="AE220" s="180">
        <f>订货1!BD221</f>
        <v>0</v>
      </c>
      <c r="AF220" s="180">
        <f>订货1!BE221</f>
        <v>0</v>
      </c>
      <c r="AG220" s="180">
        <f>订货1!BF221</f>
        <v>0</v>
      </c>
      <c r="AH220" s="176"/>
      <c r="AI220" s="178"/>
    </row>
    <row r="221" spans="1:35" hidden="1">
      <c r="A221" s="37">
        <f>订货1!K222</f>
        <v>101774</v>
      </c>
      <c r="B221" s="37" t="str">
        <f>订货1!M222</f>
        <v>赛罗牌黑甜醋调味酱</v>
      </c>
      <c r="C221" s="180">
        <f>订货1!AB222</f>
        <v>0</v>
      </c>
      <c r="D221" s="180">
        <f>订货1!AC222</f>
        <v>0</v>
      </c>
      <c r="E221" s="180">
        <f>订货1!AD222</f>
        <v>0</v>
      </c>
      <c r="F221" s="180">
        <f>订货1!AE222</f>
        <v>0</v>
      </c>
      <c r="G221" s="180">
        <f>订货1!AF222</f>
        <v>0</v>
      </c>
      <c r="H221" s="180">
        <f>订货1!AG222</f>
        <v>0</v>
      </c>
      <c r="I221" s="180">
        <f>订货1!AH222</f>
        <v>0</v>
      </c>
      <c r="J221" s="180">
        <f>订货1!AI222</f>
        <v>0</v>
      </c>
      <c r="K221" s="180">
        <f>订货1!AJ222</f>
        <v>0</v>
      </c>
      <c r="L221" s="180">
        <f>订货1!AK222</f>
        <v>0</v>
      </c>
      <c r="M221" s="180">
        <f>订货1!AL222</f>
        <v>0</v>
      </c>
      <c r="N221" s="180">
        <f>订货1!AM222</f>
        <v>0</v>
      </c>
      <c r="O221" s="180">
        <f>订货1!AN222</f>
        <v>0</v>
      </c>
      <c r="P221" s="180">
        <f>订货1!AO222</f>
        <v>0</v>
      </c>
      <c r="Q221" s="180">
        <f>订货1!AP222</f>
        <v>0</v>
      </c>
      <c r="R221" s="180">
        <f>订货1!AQ222</f>
        <v>0</v>
      </c>
      <c r="S221" s="180">
        <f>订货1!AR222</f>
        <v>0</v>
      </c>
      <c r="T221" s="180">
        <f>订货1!AS222</f>
        <v>0</v>
      </c>
      <c r="U221" s="180">
        <f>订货1!AT222</f>
        <v>0</v>
      </c>
      <c r="V221" s="180">
        <f>订货1!AU222</f>
        <v>0</v>
      </c>
      <c r="W221" s="180">
        <f>订货1!AV222</f>
        <v>0</v>
      </c>
      <c r="X221" s="180">
        <f>订货1!AW222</f>
        <v>0</v>
      </c>
      <c r="Y221" s="180">
        <f>订货1!AX222</f>
        <v>0</v>
      </c>
      <c r="Z221" s="180">
        <f>订货1!AY222</f>
        <v>0</v>
      </c>
      <c r="AA221" s="180">
        <f>订货1!AZ222</f>
        <v>0</v>
      </c>
      <c r="AB221" s="180">
        <f>订货1!BA222</f>
        <v>0</v>
      </c>
      <c r="AC221" s="180">
        <f>订货1!BB222</f>
        <v>0</v>
      </c>
      <c r="AD221" s="180">
        <f>订货1!BC222</f>
        <v>0</v>
      </c>
      <c r="AE221" s="180">
        <f>订货1!BD222</f>
        <v>0</v>
      </c>
      <c r="AF221" s="180">
        <f>订货1!BE222</f>
        <v>0</v>
      </c>
      <c r="AG221" s="180">
        <f>订货1!BF222</f>
        <v>0</v>
      </c>
      <c r="AH221" s="176"/>
      <c r="AI221" s="178"/>
    </row>
    <row r="222" spans="1:35" hidden="1">
      <c r="A222" s="37">
        <f>订货1!K223</f>
        <v>101772</v>
      </c>
      <c r="B222" s="37" t="str">
        <f>订货1!M223</f>
        <v>凯达薯业冷冻小方形薯饼</v>
      </c>
      <c r="C222" s="180">
        <f>订货1!AB223</f>
        <v>0</v>
      </c>
      <c r="D222" s="180">
        <f>订货1!AC223</f>
        <v>1</v>
      </c>
      <c r="E222" s="180">
        <f>订货1!AD223</f>
        <v>0</v>
      </c>
      <c r="F222" s="180">
        <f>订货1!AE223</f>
        <v>0</v>
      </c>
      <c r="G222" s="180">
        <f>订货1!AF223</f>
        <v>2</v>
      </c>
      <c r="H222" s="180">
        <f>订货1!AG223</f>
        <v>1</v>
      </c>
      <c r="I222" s="180">
        <f>订货1!AH223</f>
        <v>1</v>
      </c>
      <c r="J222" s="180">
        <f>订货1!AI223</f>
        <v>0</v>
      </c>
      <c r="K222" s="180">
        <f>订货1!AJ223</f>
        <v>1</v>
      </c>
      <c r="L222" s="180">
        <f>订货1!AK223</f>
        <v>0</v>
      </c>
      <c r="M222" s="180">
        <f>订货1!AL223</f>
        <v>1</v>
      </c>
      <c r="N222" s="180">
        <f>订货1!AM223</f>
        <v>0</v>
      </c>
      <c r="O222" s="180">
        <f>订货1!AN223</f>
        <v>2</v>
      </c>
      <c r="P222" s="180">
        <f>订货1!AO223</f>
        <v>1</v>
      </c>
      <c r="Q222" s="180">
        <f>订货1!AP223</f>
        <v>0</v>
      </c>
      <c r="R222" s="180">
        <f>订货1!AQ223</f>
        <v>0</v>
      </c>
      <c r="S222" s="180">
        <f>订货1!AR223</f>
        <v>0</v>
      </c>
      <c r="T222" s="180">
        <f>订货1!AS223</f>
        <v>0</v>
      </c>
      <c r="U222" s="180">
        <f>订货1!AT223</f>
        <v>0</v>
      </c>
      <c r="V222" s="180">
        <f>订货1!AU223</f>
        <v>0</v>
      </c>
      <c r="W222" s="180">
        <f>订货1!AV223</f>
        <v>0</v>
      </c>
      <c r="X222" s="180">
        <f>订货1!AW223</f>
        <v>0</v>
      </c>
      <c r="Y222" s="180">
        <f>订货1!AX223</f>
        <v>0</v>
      </c>
      <c r="Z222" s="180">
        <f>订货1!AY223</f>
        <v>0</v>
      </c>
      <c r="AA222" s="180">
        <f>订货1!AZ223</f>
        <v>0</v>
      </c>
      <c r="AB222" s="180">
        <f>订货1!BA223</f>
        <v>0</v>
      </c>
      <c r="AC222" s="180">
        <f>订货1!BB223</f>
        <v>0</v>
      </c>
      <c r="AD222" s="180">
        <f>订货1!BC223</f>
        <v>0</v>
      </c>
      <c r="AE222" s="180">
        <f>订货1!BD223</f>
        <v>0</v>
      </c>
      <c r="AF222" s="180">
        <f>订货1!BE223</f>
        <v>0</v>
      </c>
      <c r="AG222" s="180">
        <f>订货1!BF223</f>
        <v>0</v>
      </c>
      <c r="AH222" s="176"/>
      <c r="AI222" s="178"/>
    </row>
    <row r="223" spans="1:35" hidden="1">
      <c r="A223" s="37">
        <f>订货1!K224</f>
        <v>101777</v>
      </c>
      <c r="B223" s="37" t="str">
        <f>订货1!M224</f>
        <v>多趣乐-巧克力碎牛奶冰激凌</v>
      </c>
      <c r="C223" s="180">
        <f>订货1!AB224</f>
        <v>0</v>
      </c>
      <c r="D223" s="180">
        <f>订货1!AC224</f>
        <v>0</v>
      </c>
      <c r="E223" s="180">
        <f>订货1!AD224</f>
        <v>0</v>
      </c>
      <c r="F223" s="180">
        <f>订货1!AE224</f>
        <v>0</v>
      </c>
      <c r="G223" s="180">
        <f>订货1!AF224</f>
        <v>0</v>
      </c>
      <c r="H223" s="180">
        <f>订货1!AG224</f>
        <v>0</v>
      </c>
      <c r="I223" s="180">
        <f>订货1!AH224</f>
        <v>0</v>
      </c>
      <c r="J223" s="180">
        <f>订货1!AI224</f>
        <v>0</v>
      </c>
      <c r="K223" s="180">
        <f>订货1!AJ224</f>
        <v>0</v>
      </c>
      <c r="L223" s="180">
        <f>订货1!AK224</f>
        <v>0</v>
      </c>
      <c r="M223" s="180">
        <f>订货1!AL224</f>
        <v>0</v>
      </c>
      <c r="N223" s="180">
        <f>订货1!AM224</f>
        <v>0</v>
      </c>
      <c r="O223" s="180">
        <f>订货1!AN224</f>
        <v>0</v>
      </c>
      <c r="P223" s="180">
        <f>订货1!AO224</f>
        <v>0</v>
      </c>
      <c r="Q223" s="180">
        <f>订货1!AP224</f>
        <v>0</v>
      </c>
      <c r="R223" s="180">
        <f>订货1!AQ224</f>
        <v>0</v>
      </c>
      <c r="S223" s="180">
        <f>订货1!AR224</f>
        <v>0</v>
      </c>
      <c r="T223" s="180">
        <f>订货1!AS224</f>
        <v>0</v>
      </c>
      <c r="U223" s="180">
        <f>订货1!AT224</f>
        <v>0</v>
      </c>
      <c r="V223" s="180">
        <f>订货1!AU224</f>
        <v>0</v>
      </c>
      <c r="W223" s="180">
        <f>订货1!AV224</f>
        <v>0</v>
      </c>
      <c r="X223" s="180">
        <f>订货1!AW224</f>
        <v>0</v>
      </c>
      <c r="Y223" s="180">
        <f>订货1!AX224</f>
        <v>0</v>
      </c>
      <c r="Z223" s="180">
        <f>订货1!AY224</f>
        <v>0</v>
      </c>
      <c r="AA223" s="180">
        <f>订货1!AZ224</f>
        <v>0</v>
      </c>
      <c r="AB223" s="180">
        <f>订货1!BA224</f>
        <v>0</v>
      </c>
      <c r="AC223" s="180">
        <f>订货1!BB224</f>
        <v>0</v>
      </c>
      <c r="AD223" s="180">
        <f>订货1!BC224</f>
        <v>0</v>
      </c>
      <c r="AE223" s="180">
        <f>订货1!BD224</f>
        <v>0</v>
      </c>
      <c r="AF223" s="180">
        <f>订货1!BE224</f>
        <v>0</v>
      </c>
      <c r="AG223" s="180">
        <f>订货1!BF224</f>
        <v>0</v>
      </c>
      <c r="AH223" s="176"/>
      <c r="AI223" s="178"/>
    </row>
    <row r="224" spans="1:35" hidden="1">
      <c r="A224" s="37">
        <f>订货1!K225</f>
        <v>992003</v>
      </c>
      <c r="B224" s="37" t="str">
        <f>订货1!M225</f>
        <v>匹萨托盘（烤盘盖）</v>
      </c>
      <c r="C224" s="180">
        <f>订货1!AB225</f>
        <v>0</v>
      </c>
      <c r="D224" s="180">
        <f>订货1!AC225</f>
        <v>0</v>
      </c>
      <c r="E224" s="180">
        <f>订货1!AD225</f>
        <v>0</v>
      </c>
      <c r="F224" s="180">
        <f>订货1!AE225</f>
        <v>0</v>
      </c>
      <c r="G224" s="180">
        <f>订货1!AF225</f>
        <v>0</v>
      </c>
      <c r="H224" s="180">
        <f>订货1!AG225</f>
        <v>0</v>
      </c>
      <c r="I224" s="180">
        <f>订货1!AH225</f>
        <v>0</v>
      </c>
      <c r="J224" s="180">
        <f>订货1!AI225</f>
        <v>0</v>
      </c>
      <c r="K224" s="180">
        <f>订货1!AJ225</f>
        <v>0</v>
      </c>
      <c r="L224" s="180">
        <f>订货1!AK225</f>
        <v>0</v>
      </c>
      <c r="M224" s="180">
        <f>订货1!AL225</f>
        <v>0</v>
      </c>
      <c r="N224" s="180">
        <f>订货1!AM225</f>
        <v>0</v>
      </c>
      <c r="O224" s="180">
        <f>订货1!AN225</f>
        <v>0</v>
      </c>
      <c r="P224" s="180">
        <f>订货1!AO225</f>
        <v>0</v>
      </c>
      <c r="Q224" s="180">
        <f>订货1!AP225</f>
        <v>0</v>
      </c>
      <c r="R224" s="180">
        <f>订货1!AQ225</f>
        <v>0</v>
      </c>
      <c r="S224" s="180">
        <f>订货1!AR225</f>
        <v>0</v>
      </c>
      <c r="T224" s="180">
        <f>订货1!AS225</f>
        <v>0</v>
      </c>
      <c r="U224" s="180">
        <f>订货1!AT225</f>
        <v>0</v>
      </c>
      <c r="V224" s="180">
        <f>订货1!AU225</f>
        <v>0</v>
      </c>
      <c r="W224" s="180">
        <f>订货1!AV225</f>
        <v>0</v>
      </c>
      <c r="X224" s="180">
        <f>订货1!AW225</f>
        <v>0</v>
      </c>
      <c r="Y224" s="180">
        <f>订货1!AX225</f>
        <v>0</v>
      </c>
      <c r="Z224" s="180">
        <f>订货1!AY225</f>
        <v>0</v>
      </c>
      <c r="AA224" s="180">
        <f>订货1!AZ225</f>
        <v>0</v>
      </c>
      <c r="AB224" s="180">
        <f>订货1!BA225</f>
        <v>0</v>
      </c>
      <c r="AC224" s="180">
        <f>订货1!BB225</f>
        <v>0</v>
      </c>
      <c r="AD224" s="180">
        <f>订货1!BC225</f>
        <v>0</v>
      </c>
      <c r="AE224" s="180">
        <f>订货1!BD225</f>
        <v>0</v>
      </c>
      <c r="AF224" s="180">
        <f>订货1!BE225</f>
        <v>0</v>
      </c>
      <c r="AG224" s="180">
        <f>订货1!BF225</f>
        <v>0</v>
      </c>
      <c r="AH224" s="176"/>
      <c r="AI224" s="178"/>
    </row>
    <row r="225" spans="1:35" hidden="1">
      <c r="A225" s="37">
        <f>订货1!K226</f>
        <v>992004</v>
      </c>
      <c r="B225" s="37" t="str">
        <f>订货1!M226</f>
        <v>石纹水杯</v>
      </c>
      <c r="C225" s="180">
        <f>订货1!AB226</f>
        <v>0</v>
      </c>
      <c r="D225" s="180">
        <f>订货1!AC226</f>
        <v>0</v>
      </c>
      <c r="E225" s="180">
        <f>订货1!AD226</f>
        <v>0</v>
      </c>
      <c r="F225" s="180">
        <f>订货1!AE226</f>
        <v>0</v>
      </c>
      <c r="G225" s="180">
        <f>订货1!AF226</f>
        <v>0</v>
      </c>
      <c r="H225" s="180">
        <f>订货1!AG226</f>
        <v>0</v>
      </c>
      <c r="I225" s="180">
        <f>订货1!AH226</f>
        <v>0</v>
      </c>
      <c r="J225" s="180">
        <f>订货1!AI226</f>
        <v>0</v>
      </c>
      <c r="K225" s="180">
        <f>订货1!AJ226</f>
        <v>0</v>
      </c>
      <c r="L225" s="180">
        <f>订货1!AK226</f>
        <v>0</v>
      </c>
      <c r="M225" s="180">
        <f>订货1!AL226</f>
        <v>0</v>
      </c>
      <c r="N225" s="180">
        <f>订货1!AM226</f>
        <v>0</v>
      </c>
      <c r="O225" s="180">
        <f>订货1!AN226</f>
        <v>0</v>
      </c>
      <c r="P225" s="180">
        <f>订货1!AO226</f>
        <v>0</v>
      </c>
      <c r="Q225" s="180">
        <f>订货1!AP226</f>
        <v>0</v>
      </c>
      <c r="R225" s="180">
        <f>订货1!AQ226</f>
        <v>0</v>
      </c>
      <c r="S225" s="180">
        <f>订货1!AR226</f>
        <v>0</v>
      </c>
      <c r="T225" s="180">
        <f>订货1!AS226</f>
        <v>0</v>
      </c>
      <c r="U225" s="180">
        <f>订货1!AT226</f>
        <v>0</v>
      </c>
      <c r="V225" s="180">
        <f>订货1!AU226</f>
        <v>0</v>
      </c>
      <c r="W225" s="180">
        <f>订货1!AV226</f>
        <v>0</v>
      </c>
      <c r="X225" s="180">
        <f>订货1!AW226</f>
        <v>0</v>
      </c>
      <c r="Y225" s="180">
        <f>订货1!AX226</f>
        <v>0</v>
      </c>
      <c r="Z225" s="180">
        <f>订货1!AY226</f>
        <v>0</v>
      </c>
      <c r="AA225" s="180">
        <f>订货1!AZ226</f>
        <v>0</v>
      </c>
      <c r="AB225" s="180">
        <f>订货1!BA226</f>
        <v>0</v>
      </c>
      <c r="AC225" s="180">
        <f>订货1!BB226</f>
        <v>0</v>
      </c>
      <c r="AD225" s="180">
        <f>订货1!BC226</f>
        <v>0</v>
      </c>
      <c r="AE225" s="180">
        <f>订货1!BD226</f>
        <v>0</v>
      </c>
      <c r="AF225" s="180">
        <f>订货1!BE226</f>
        <v>0</v>
      </c>
      <c r="AG225" s="180">
        <f>订货1!BF226</f>
        <v>0</v>
      </c>
      <c r="AH225" s="176"/>
      <c r="AI225" s="178"/>
    </row>
    <row r="226" spans="1:35" hidden="1">
      <c r="A226" s="37">
        <f>订货1!K227</f>
        <v>992005</v>
      </c>
      <c r="B226" s="37" t="str">
        <f>订货1!M227</f>
        <v>圆碟（咖啡色边）</v>
      </c>
      <c r="C226" s="180">
        <f>订货1!AB227</f>
        <v>0</v>
      </c>
      <c r="D226" s="180">
        <f>订货1!AC227</f>
        <v>0</v>
      </c>
      <c r="E226" s="180">
        <f>订货1!AD227</f>
        <v>0</v>
      </c>
      <c r="F226" s="180">
        <f>订货1!AE227</f>
        <v>0</v>
      </c>
      <c r="G226" s="180">
        <f>订货1!AF227</f>
        <v>0</v>
      </c>
      <c r="H226" s="180">
        <f>订货1!AG227</f>
        <v>0</v>
      </c>
      <c r="I226" s="180">
        <f>订货1!AH227</f>
        <v>0</v>
      </c>
      <c r="J226" s="180">
        <f>订货1!AI227</f>
        <v>0</v>
      </c>
      <c r="K226" s="180">
        <f>订货1!AJ227</f>
        <v>0</v>
      </c>
      <c r="L226" s="180">
        <f>订货1!AK227</f>
        <v>0</v>
      </c>
      <c r="M226" s="180">
        <f>订货1!AL227</f>
        <v>0</v>
      </c>
      <c r="N226" s="180">
        <f>订货1!AM227</f>
        <v>0</v>
      </c>
      <c r="O226" s="180">
        <f>订货1!AN227</f>
        <v>0</v>
      </c>
      <c r="P226" s="180">
        <f>订货1!AO227</f>
        <v>0</v>
      </c>
      <c r="Q226" s="180">
        <f>订货1!AP227</f>
        <v>0</v>
      </c>
      <c r="R226" s="180">
        <f>订货1!AQ227</f>
        <v>0</v>
      </c>
      <c r="S226" s="180">
        <f>订货1!AR227</f>
        <v>0</v>
      </c>
      <c r="T226" s="180">
        <f>订货1!AS227</f>
        <v>0</v>
      </c>
      <c r="U226" s="180">
        <f>订货1!AT227</f>
        <v>0</v>
      </c>
      <c r="V226" s="180">
        <f>订货1!AU227</f>
        <v>0</v>
      </c>
      <c r="W226" s="180">
        <f>订货1!AV227</f>
        <v>0</v>
      </c>
      <c r="X226" s="180">
        <f>订货1!AW227</f>
        <v>0</v>
      </c>
      <c r="Y226" s="180">
        <f>订货1!AX227</f>
        <v>0</v>
      </c>
      <c r="Z226" s="180">
        <f>订货1!AY227</f>
        <v>0</v>
      </c>
      <c r="AA226" s="180">
        <f>订货1!AZ227</f>
        <v>0</v>
      </c>
      <c r="AB226" s="180">
        <f>订货1!BA227</f>
        <v>0</v>
      </c>
      <c r="AC226" s="180">
        <f>订货1!BB227</f>
        <v>0</v>
      </c>
      <c r="AD226" s="180">
        <f>订货1!BC227</f>
        <v>0</v>
      </c>
      <c r="AE226" s="180">
        <f>订货1!BD227</f>
        <v>0</v>
      </c>
      <c r="AF226" s="180">
        <f>订货1!BE227</f>
        <v>0</v>
      </c>
      <c r="AG226" s="180">
        <f>订货1!BF227</f>
        <v>0</v>
      </c>
      <c r="AH226" s="176"/>
      <c r="AI226" s="178"/>
    </row>
    <row r="227" spans="1:35" hidden="1">
      <c r="A227" s="37">
        <f>订货1!K228</f>
        <v>992006</v>
      </c>
      <c r="B227" s="37" t="str">
        <f>订货1!M228</f>
        <v>刀叉盒60只/箱（绿色）</v>
      </c>
      <c r="C227" s="180">
        <f>订货1!AB228</f>
        <v>0</v>
      </c>
      <c r="D227" s="180">
        <f>订货1!AC228</f>
        <v>0</v>
      </c>
      <c r="E227" s="180">
        <f>订货1!AD228</f>
        <v>0</v>
      </c>
      <c r="F227" s="180">
        <f>订货1!AE228</f>
        <v>0</v>
      </c>
      <c r="G227" s="180">
        <f>订货1!AF228</f>
        <v>0</v>
      </c>
      <c r="H227" s="180">
        <f>订货1!AG228</f>
        <v>0</v>
      </c>
      <c r="I227" s="180">
        <f>订货1!AH228</f>
        <v>0</v>
      </c>
      <c r="J227" s="180">
        <f>订货1!AI228</f>
        <v>0</v>
      </c>
      <c r="K227" s="180">
        <f>订货1!AJ228</f>
        <v>0</v>
      </c>
      <c r="L227" s="180">
        <f>订货1!AK228</f>
        <v>0</v>
      </c>
      <c r="M227" s="180">
        <f>订货1!AL228</f>
        <v>0</v>
      </c>
      <c r="N227" s="180">
        <f>订货1!AM228</f>
        <v>0</v>
      </c>
      <c r="O227" s="180">
        <f>订货1!AN228</f>
        <v>0</v>
      </c>
      <c r="P227" s="180">
        <f>订货1!AO228</f>
        <v>0</v>
      </c>
      <c r="Q227" s="180">
        <f>订货1!AP228</f>
        <v>0</v>
      </c>
      <c r="R227" s="180">
        <f>订货1!AQ228</f>
        <v>0</v>
      </c>
      <c r="S227" s="180">
        <f>订货1!AR228</f>
        <v>0</v>
      </c>
      <c r="T227" s="180">
        <f>订货1!AS228</f>
        <v>0</v>
      </c>
      <c r="U227" s="180">
        <f>订货1!AT228</f>
        <v>0</v>
      </c>
      <c r="V227" s="180">
        <f>订货1!AU228</f>
        <v>0</v>
      </c>
      <c r="W227" s="180">
        <f>订货1!AV228</f>
        <v>0</v>
      </c>
      <c r="X227" s="180">
        <f>订货1!AW228</f>
        <v>0</v>
      </c>
      <c r="Y227" s="180">
        <f>订货1!AX228</f>
        <v>0</v>
      </c>
      <c r="Z227" s="180">
        <f>订货1!AY228</f>
        <v>0</v>
      </c>
      <c r="AA227" s="180">
        <f>订货1!AZ228</f>
        <v>0</v>
      </c>
      <c r="AB227" s="180">
        <f>订货1!BA228</f>
        <v>0</v>
      </c>
      <c r="AC227" s="180">
        <f>订货1!BB228</f>
        <v>0</v>
      </c>
      <c r="AD227" s="180">
        <f>订货1!BC228</f>
        <v>0</v>
      </c>
      <c r="AE227" s="180">
        <f>订货1!BD228</f>
        <v>0</v>
      </c>
      <c r="AF227" s="180">
        <f>订货1!BE228</f>
        <v>0</v>
      </c>
      <c r="AG227" s="180">
        <f>订货1!BF228</f>
        <v>0</v>
      </c>
      <c r="AH227" s="176"/>
      <c r="AI227" s="178"/>
    </row>
    <row r="228" spans="1:35" hidden="1">
      <c r="A228" s="37">
        <f>订货1!K229</f>
        <v>992007</v>
      </c>
      <c r="B228" s="37" t="str">
        <f>订货1!M229</f>
        <v>刀叉盒（咖啡色）</v>
      </c>
      <c r="C228" s="180">
        <f>订货1!AB229</f>
        <v>0</v>
      </c>
      <c r="D228" s="180">
        <f>订货1!AC229</f>
        <v>0</v>
      </c>
      <c r="E228" s="180">
        <f>订货1!AD229</f>
        <v>0</v>
      </c>
      <c r="F228" s="180">
        <f>订货1!AE229</f>
        <v>0</v>
      </c>
      <c r="G228" s="180">
        <f>订货1!AF229</f>
        <v>0</v>
      </c>
      <c r="H228" s="180">
        <f>订货1!AG229</f>
        <v>0</v>
      </c>
      <c r="I228" s="180">
        <f>订货1!AH229</f>
        <v>0</v>
      </c>
      <c r="J228" s="180">
        <f>订货1!AI229</f>
        <v>0</v>
      </c>
      <c r="K228" s="180">
        <f>订货1!AJ229</f>
        <v>0</v>
      </c>
      <c r="L228" s="180">
        <f>订货1!AK229</f>
        <v>0</v>
      </c>
      <c r="M228" s="180">
        <f>订货1!AL229</f>
        <v>0</v>
      </c>
      <c r="N228" s="180">
        <f>订货1!AM229</f>
        <v>0</v>
      </c>
      <c r="O228" s="180">
        <f>订货1!AN229</f>
        <v>0</v>
      </c>
      <c r="P228" s="180">
        <f>订货1!AO229</f>
        <v>0</v>
      </c>
      <c r="Q228" s="180">
        <f>订货1!AP229</f>
        <v>0</v>
      </c>
      <c r="R228" s="180">
        <f>订货1!AQ229</f>
        <v>0</v>
      </c>
      <c r="S228" s="180">
        <f>订货1!AR229</f>
        <v>0</v>
      </c>
      <c r="T228" s="180">
        <f>订货1!AS229</f>
        <v>0</v>
      </c>
      <c r="U228" s="180">
        <f>订货1!AT229</f>
        <v>0</v>
      </c>
      <c r="V228" s="180">
        <f>订货1!AU229</f>
        <v>0</v>
      </c>
      <c r="W228" s="180">
        <f>订货1!AV229</f>
        <v>0</v>
      </c>
      <c r="X228" s="180">
        <f>订货1!AW229</f>
        <v>0</v>
      </c>
      <c r="Y228" s="180">
        <f>订货1!AX229</f>
        <v>0</v>
      </c>
      <c r="Z228" s="180">
        <f>订货1!AY229</f>
        <v>0</v>
      </c>
      <c r="AA228" s="180">
        <f>订货1!AZ229</f>
        <v>0</v>
      </c>
      <c r="AB228" s="180">
        <f>订货1!BA229</f>
        <v>0</v>
      </c>
      <c r="AC228" s="180">
        <f>订货1!BB229</f>
        <v>0</v>
      </c>
      <c r="AD228" s="180">
        <f>订货1!BC229</f>
        <v>0</v>
      </c>
      <c r="AE228" s="180">
        <f>订货1!BD229</f>
        <v>0</v>
      </c>
      <c r="AF228" s="180">
        <f>订货1!BE229</f>
        <v>0</v>
      </c>
      <c r="AG228" s="180">
        <f>订货1!BF229</f>
        <v>0</v>
      </c>
      <c r="AH228" s="176"/>
      <c r="AI228" s="178"/>
    </row>
    <row r="229" spans="1:35" hidden="1">
      <c r="A229" s="37">
        <f>订货1!K230</f>
        <v>992008</v>
      </c>
      <c r="B229" s="37" t="str">
        <f>订货1!M230</f>
        <v>密胺骨盘（白边）</v>
      </c>
      <c r="C229" s="180">
        <f>订货1!AB230</f>
        <v>0</v>
      </c>
      <c r="D229" s="180">
        <f>订货1!AC230</f>
        <v>0</v>
      </c>
      <c r="E229" s="180">
        <f>订货1!AD230</f>
        <v>0</v>
      </c>
      <c r="F229" s="180">
        <f>订货1!AE230</f>
        <v>0</v>
      </c>
      <c r="G229" s="180">
        <f>订货1!AF230</f>
        <v>0</v>
      </c>
      <c r="H229" s="180">
        <f>订货1!AG230</f>
        <v>0</v>
      </c>
      <c r="I229" s="180">
        <f>订货1!AH230</f>
        <v>0</v>
      </c>
      <c r="J229" s="180">
        <f>订货1!AI230</f>
        <v>0</v>
      </c>
      <c r="K229" s="180">
        <f>订货1!AJ230</f>
        <v>0</v>
      </c>
      <c r="L229" s="180">
        <f>订货1!AK230</f>
        <v>0</v>
      </c>
      <c r="M229" s="180">
        <f>订货1!AL230</f>
        <v>0</v>
      </c>
      <c r="N229" s="180">
        <f>订货1!AM230</f>
        <v>0</v>
      </c>
      <c r="O229" s="180">
        <f>订货1!AN230</f>
        <v>0</v>
      </c>
      <c r="P229" s="180">
        <f>订货1!AO230</f>
        <v>0</v>
      </c>
      <c r="Q229" s="180">
        <f>订货1!AP230</f>
        <v>0</v>
      </c>
      <c r="R229" s="180">
        <f>订货1!AQ230</f>
        <v>0</v>
      </c>
      <c r="S229" s="180">
        <f>订货1!AR230</f>
        <v>0</v>
      </c>
      <c r="T229" s="180">
        <f>订货1!AS230</f>
        <v>0</v>
      </c>
      <c r="U229" s="180">
        <f>订货1!AT230</f>
        <v>0</v>
      </c>
      <c r="V229" s="180">
        <f>订货1!AU230</f>
        <v>0</v>
      </c>
      <c r="W229" s="180">
        <f>订货1!AV230</f>
        <v>0</v>
      </c>
      <c r="X229" s="180">
        <f>订货1!AW230</f>
        <v>0</v>
      </c>
      <c r="Y229" s="180">
        <f>订货1!AX230</f>
        <v>0</v>
      </c>
      <c r="Z229" s="180">
        <f>订货1!AY230</f>
        <v>0</v>
      </c>
      <c r="AA229" s="180">
        <f>订货1!AZ230</f>
        <v>0</v>
      </c>
      <c r="AB229" s="180">
        <f>订货1!BA230</f>
        <v>0</v>
      </c>
      <c r="AC229" s="180">
        <f>订货1!BB230</f>
        <v>0</v>
      </c>
      <c r="AD229" s="180">
        <f>订货1!BC230</f>
        <v>0</v>
      </c>
      <c r="AE229" s="180">
        <f>订货1!BD230</f>
        <v>0</v>
      </c>
      <c r="AF229" s="180">
        <f>订货1!BE230</f>
        <v>0</v>
      </c>
      <c r="AG229" s="180">
        <f>订货1!BF230</f>
        <v>0</v>
      </c>
      <c r="AH229" s="176"/>
      <c r="AI229" s="178"/>
    </row>
    <row r="230" spans="1:35" hidden="1">
      <c r="A230" s="37">
        <f>订货1!K231</f>
        <v>992009</v>
      </c>
      <c r="B230" s="37" t="str">
        <f>订货1!M231</f>
        <v>色拉架（单价低）</v>
      </c>
      <c r="C230" s="180">
        <f>订货1!AB231</f>
        <v>0</v>
      </c>
      <c r="D230" s="180">
        <f>订货1!AC231</f>
        <v>0</v>
      </c>
      <c r="E230" s="180">
        <f>订货1!AD231</f>
        <v>0</v>
      </c>
      <c r="F230" s="180">
        <f>订货1!AE231</f>
        <v>0</v>
      </c>
      <c r="G230" s="180">
        <f>订货1!AF231</f>
        <v>0</v>
      </c>
      <c r="H230" s="180">
        <f>订货1!AG231</f>
        <v>0</v>
      </c>
      <c r="I230" s="180">
        <f>订货1!AH231</f>
        <v>0</v>
      </c>
      <c r="J230" s="180">
        <f>订货1!AI231</f>
        <v>0</v>
      </c>
      <c r="K230" s="180">
        <f>订货1!AJ231</f>
        <v>0</v>
      </c>
      <c r="L230" s="180">
        <f>订货1!AK231</f>
        <v>0</v>
      </c>
      <c r="M230" s="180">
        <f>订货1!AL231</f>
        <v>0</v>
      </c>
      <c r="N230" s="180">
        <f>订货1!AM231</f>
        <v>0</v>
      </c>
      <c r="O230" s="180">
        <f>订货1!AN231</f>
        <v>0</v>
      </c>
      <c r="P230" s="180">
        <f>订货1!AO231</f>
        <v>0</v>
      </c>
      <c r="Q230" s="180">
        <f>订货1!AP231</f>
        <v>0</v>
      </c>
      <c r="R230" s="180">
        <f>订货1!AQ231</f>
        <v>0</v>
      </c>
      <c r="S230" s="180">
        <f>订货1!AR231</f>
        <v>0</v>
      </c>
      <c r="T230" s="180">
        <f>订货1!AS231</f>
        <v>0</v>
      </c>
      <c r="U230" s="180">
        <f>订货1!AT231</f>
        <v>0</v>
      </c>
      <c r="V230" s="180">
        <f>订货1!AU231</f>
        <v>0</v>
      </c>
      <c r="W230" s="180">
        <f>订货1!AV231</f>
        <v>0</v>
      </c>
      <c r="X230" s="180">
        <f>订货1!AW231</f>
        <v>0</v>
      </c>
      <c r="Y230" s="180">
        <f>订货1!AX231</f>
        <v>0</v>
      </c>
      <c r="Z230" s="180">
        <f>订货1!AY231</f>
        <v>0</v>
      </c>
      <c r="AA230" s="180">
        <f>订货1!AZ231</f>
        <v>0</v>
      </c>
      <c r="AB230" s="180">
        <f>订货1!BA231</f>
        <v>0</v>
      </c>
      <c r="AC230" s="180">
        <f>订货1!BB231</f>
        <v>0</v>
      </c>
      <c r="AD230" s="180">
        <f>订货1!BC231</f>
        <v>0</v>
      </c>
      <c r="AE230" s="180">
        <f>订货1!BD231</f>
        <v>0</v>
      </c>
      <c r="AF230" s="180">
        <f>订货1!BE231</f>
        <v>0</v>
      </c>
      <c r="AG230" s="180">
        <f>订货1!BF231</f>
        <v>0</v>
      </c>
      <c r="AH230" s="176"/>
      <c r="AI230" s="178"/>
    </row>
    <row r="231" spans="1:35" hidden="1">
      <c r="A231" s="37">
        <f>订货1!K232</f>
        <v>992010</v>
      </c>
      <c r="B231" s="37" t="str">
        <f>订货1!M232</f>
        <v>色拉架（单价高）</v>
      </c>
      <c r="C231" s="180">
        <f>订货1!AB232</f>
        <v>0</v>
      </c>
      <c r="D231" s="180">
        <f>订货1!AC232</f>
        <v>0</v>
      </c>
      <c r="E231" s="180">
        <f>订货1!AD232</f>
        <v>0</v>
      </c>
      <c r="F231" s="180">
        <f>订货1!AE232</f>
        <v>0</v>
      </c>
      <c r="G231" s="180">
        <f>订货1!AF232</f>
        <v>0</v>
      </c>
      <c r="H231" s="180">
        <f>订货1!AG232</f>
        <v>0</v>
      </c>
      <c r="I231" s="180">
        <f>订货1!AH232</f>
        <v>0</v>
      </c>
      <c r="J231" s="180">
        <f>订货1!AI232</f>
        <v>0</v>
      </c>
      <c r="K231" s="180">
        <f>订货1!AJ232</f>
        <v>0</v>
      </c>
      <c r="L231" s="180">
        <f>订货1!AK232</f>
        <v>0</v>
      </c>
      <c r="M231" s="180">
        <f>订货1!AL232</f>
        <v>0</v>
      </c>
      <c r="N231" s="180">
        <f>订货1!AM232</f>
        <v>0</v>
      </c>
      <c r="O231" s="180">
        <f>订货1!AN232</f>
        <v>0</v>
      </c>
      <c r="P231" s="180">
        <f>订货1!AO232</f>
        <v>0</v>
      </c>
      <c r="Q231" s="180">
        <f>订货1!AP232</f>
        <v>0</v>
      </c>
      <c r="R231" s="180">
        <f>订货1!AQ232</f>
        <v>0</v>
      </c>
      <c r="S231" s="180">
        <f>订货1!AR232</f>
        <v>0</v>
      </c>
      <c r="T231" s="180">
        <f>订货1!AS232</f>
        <v>0</v>
      </c>
      <c r="U231" s="180">
        <f>订货1!AT232</f>
        <v>0</v>
      </c>
      <c r="V231" s="180">
        <f>订货1!AU232</f>
        <v>0</v>
      </c>
      <c r="W231" s="180">
        <f>订货1!AV232</f>
        <v>0</v>
      </c>
      <c r="X231" s="180">
        <f>订货1!AW232</f>
        <v>0</v>
      </c>
      <c r="Y231" s="180">
        <f>订货1!AX232</f>
        <v>0</v>
      </c>
      <c r="Z231" s="180">
        <f>订货1!AY232</f>
        <v>0</v>
      </c>
      <c r="AA231" s="180">
        <f>订货1!AZ232</f>
        <v>0</v>
      </c>
      <c r="AB231" s="180">
        <f>订货1!BA232</f>
        <v>0</v>
      </c>
      <c r="AC231" s="180">
        <f>订货1!BB232</f>
        <v>0</v>
      </c>
      <c r="AD231" s="180">
        <f>订货1!BC232</f>
        <v>0</v>
      </c>
      <c r="AE231" s="180">
        <f>订货1!BD232</f>
        <v>0</v>
      </c>
      <c r="AF231" s="180">
        <f>订货1!BE232</f>
        <v>0</v>
      </c>
      <c r="AG231" s="180">
        <f>订货1!BF232</f>
        <v>0</v>
      </c>
      <c r="AH231" s="176"/>
      <c r="AI231" s="178"/>
    </row>
    <row r="232" spans="1:35" hidden="1">
      <c r="A232" s="37">
        <f>订货1!K233</f>
        <v>992015</v>
      </c>
      <c r="B232" s="37" t="str">
        <f>订货1!M233</f>
        <v>圆碟（白色）</v>
      </c>
      <c r="C232" s="180">
        <f>订货1!AB233</f>
        <v>0</v>
      </c>
      <c r="D232" s="180">
        <f>订货1!AC233</f>
        <v>0</v>
      </c>
      <c r="E232" s="180">
        <f>订货1!AD233</f>
        <v>0</v>
      </c>
      <c r="F232" s="180">
        <f>订货1!AE233</f>
        <v>0</v>
      </c>
      <c r="G232" s="180">
        <f>订货1!AF233</f>
        <v>0</v>
      </c>
      <c r="H232" s="180">
        <f>订货1!AG233</f>
        <v>0</v>
      </c>
      <c r="I232" s="180">
        <f>订货1!AH233</f>
        <v>0</v>
      </c>
      <c r="J232" s="180">
        <f>订货1!AI233</f>
        <v>0</v>
      </c>
      <c r="K232" s="180">
        <f>订货1!AJ233</f>
        <v>0</v>
      </c>
      <c r="L232" s="180">
        <f>订货1!AK233</f>
        <v>0</v>
      </c>
      <c r="M232" s="180">
        <f>订货1!AL233</f>
        <v>0</v>
      </c>
      <c r="N232" s="180">
        <f>订货1!AM233</f>
        <v>0</v>
      </c>
      <c r="O232" s="180">
        <f>订货1!AN233</f>
        <v>0</v>
      </c>
      <c r="P232" s="180">
        <f>订货1!AO233</f>
        <v>0</v>
      </c>
      <c r="Q232" s="180">
        <f>订货1!AP233</f>
        <v>0</v>
      </c>
      <c r="R232" s="180">
        <f>订货1!AQ233</f>
        <v>0</v>
      </c>
      <c r="S232" s="180">
        <f>订货1!AR233</f>
        <v>0</v>
      </c>
      <c r="T232" s="180">
        <f>订货1!AS233</f>
        <v>0</v>
      </c>
      <c r="U232" s="180">
        <f>订货1!AT233</f>
        <v>0</v>
      </c>
      <c r="V232" s="180">
        <f>订货1!AU233</f>
        <v>0</v>
      </c>
      <c r="W232" s="180">
        <f>订货1!AV233</f>
        <v>0</v>
      </c>
      <c r="X232" s="180">
        <f>订货1!AW233</f>
        <v>0</v>
      </c>
      <c r="Y232" s="180">
        <f>订货1!AX233</f>
        <v>0</v>
      </c>
      <c r="Z232" s="180">
        <f>订货1!AY233</f>
        <v>0</v>
      </c>
      <c r="AA232" s="180">
        <f>订货1!AZ233</f>
        <v>0</v>
      </c>
      <c r="AB232" s="180">
        <f>订货1!BA233</f>
        <v>0</v>
      </c>
      <c r="AC232" s="180">
        <f>订货1!BB233</f>
        <v>0</v>
      </c>
      <c r="AD232" s="180">
        <f>订货1!BC233</f>
        <v>0</v>
      </c>
      <c r="AE232" s="180">
        <f>订货1!BD233</f>
        <v>0</v>
      </c>
      <c r="AF232" s="180">
        <f>订货1!BE233</f>
        <v>0</v>
      </c>
      <c r="AG232" s="180">
        <f>订货1!BF233</f>
        <v>0</v>
      </c>
      <c r="AH232" s="176"/>
      <c r="AI232" s="178"/>
    </row>
    <row r="233" spans="1:35" hidden="1">
      <c r="A233" s="37">
        <f>订货1!K234</f>
        <v>992035</v>
      </c>
      <c r="B233" s="37" t="str">
        <f>订货1!M234</f>
        <v>酱料碟</v>
      </c>
      <c r="C233" s="180">
        <f>订货1!AB234</f>
        <v>0</v>
      </c>
      <c r="D233" s="180">
        <f>订货1!AC234</f>
        <v>0</v>
      </c>
      <c r="E233" s="180">
        <f>订货1!AD234</f>
        <v>0</v>
      </c>
      <c r="F233" s="180">
        <f>订货1!AE234</f>
        <v>0</v>
      </c>
      <c r="G233" s="180">
        <f>订货1!AF234</f>
        <v>0</v>
      </c>
      <c r="H233" s="180">
        <f>订货1!AG234</f>
        <v>0</v>
      </c>
      <c r="I233" s="180">
        <f>订货1!AH234</f>
        <v>0</v>
      </c>
      <c r="J233" s="180">
        <f>订货1!AI234</f>
        <v>0</v>
      </c>
      <c r="K233" s="180">
        <f>订货1!AJ234</f>
        <v>0</v>
      </c>
      <c r="L233" s="180">
        <f>订货1!AK234</f>
        <v>0</v>
      </c>
      <c r="M233" s="180">
        <f>订货1!AL234</f>
        <v>0</v>
      </c>
      <c r="N233" s="180">
        <f>订货1!AM234</f>
        <v>0</v>
      </c>
      <c r="O233" s="180">
        <f>订货1!AN234</f>
        <v>0</v>
      </c>
      <c r="P233" s="180">
        <f>订货1!AO234</f>
        <v>0</v>
      </c>
      <c r="Q233" s="180">
        <f>订货1!AP234</f>
        <v>0</v>
      </c>
      <c r="R233" s="180">
        <f>订货1!AQ234</f>
        <v>0</v>
      </c>
      <c r="S233" s="180">
        <f>订货1!AR234</f>
        <v>0</v>
      </c>
      <c r="T233" s="180">
        <f>订货1!AS234</f>
        <v>0</v>
      </c>
      <c r="U233" s="180">
        <f>订货1!AT234</f>
        <v>0</v>
      </c>
      <c r="V233" s="180">
        <f>订货1!AU234</f>
        <v>0</v>
      </c>
      <c r="W233" s="180">
        <f>订货1!AV234</f>
        <v>0</v>
      </c>
      <c r="X233" s="180">
        <f>订货1!AW234</f>
        <v>0</v>
      </c>
      <c r="Y233" s="180">
        <f>订货1!AX234</f>
        <v>0</v>
      </c>
      <c r="Z233" s="180">
        <f>订货1!AY234</f>
        <v>0</v>
      </c>
      <c r="AA233" s="180">
        <f>订货1!AZ234</f>
        <v>0</v>
      </c>
      <c r="AB233" s="180">
        <f>订货1!BA234</f>
        <v>0</v>
      </c>
      <c r="AC233" s="180">
        <f>订货1!BB234</f>
        <v>0</v>
      </c>
      <c r="AD233" s="180">
        <f>订货1!BC234</f>
        <v>0</v>
      </c>
      <c r="AE233" s="180">
        <f>订货1!BD234</f>
        <v>0</v>
      </c>
      <c r="AF233" s="180">
        <f>订货1!BE234</f>
        <v>0</v>
      </c>
      <c r="AG233" s="180">
        <f>订货1!BF234</f>
        <v>0</v>
      </c>
      <c r="AH233" s="176"/>
      <c r="AI233" s="178"/>
    </row>
    <row r="234" spans="1:35" hidden="1">
      <c r="A234" s="37">
        <f>订货1!K235</f>
        <v>992019</v>
      </c>
      <c r="B234" s="37" t="str">
        <f>订货1!M235</f>
        <v>萨莉亚logo牛皮纸拎袋</v>
      </c>
      <c r="C234" s="180">
        <f>订货1!AB235</f>
        <v>1</v>
      </c>
      <c r="D234" s="180">
        <f>订货1!AC235</f>
        <v>0</v>
      </c>
      <c r="E234" s="180">
        <f>订货1!AD235</f>
        <v>0</v>
      </c>
      <c r="F234" s="180">
        <f>订货1!AE235</f>
        <v>0</v>
      </c>
      <c r="G234" s="180">
        <f>订货1!AF235</f>
        <v>0</v>
      </c>
      <c r="H234" s="180">
        <f>订货1!AG235</f>
        <v>0</v>
      </c>
      <c r="I234" s="180">
        <f>订货1!AH235</f>
        <v>0</v>
      </c>
      <c r="J234" s="180">
        <f>订货1!AI235</f>
        <v>0</v>
      </c>
      <c r="K234" s="180">
        <f>订货1!AJ235</f>
        <v>0</v>
      </c>
      <c r="L234" s="180">
        <f>订货1!AK235</f>
        <v>0</v>
      </c>
      <c r="M234" s="180">
        <f>订货1!AL235</f>
        <v>0</v>
      </c>
      <c r="N234" s="180">
        <f>订货1!AM235</f>
        <v>0</v>
      </c>
      <c r="O234" s="180">
        <f>订货1!AN235</f>
        <v>0</v>
      </c>
      <c r="P234" s="180">
        <f>订货1!AO235</f>
        <v>0</v>
      </c>
      <c r="Q234" s="180">
        <f>订货1!AP235</f>
        <v>0</v>
      </c>
      <c r="R234" s="180">
        <f>订货1!AQ235</f>
        <v>0</v>
      </c>
      <c r="S234" s="180">
        <f>订货1!AR235</f>
        <v>0</v>
      </c>
      <c r="T234" s="180">
        <f>订货1!AS235</f>
        <v>0</v>
      </c>
      <c r="U234" s="180">
        <f>订货1!AT235</f>
        <v>0</v>
      </c>
      <c r="V234" s="180">
        <f>订货1!AU235</f>
        <v>0</v>
      </c>
      <c r="W234" s="180">
        <f>订货1!AV235</f>
        <v>0</v>
      </c>
      <c r="X234" s="180">
        <f>订货1!AW235</f>
        <v>0</v>
      </c>
      <c r="Y234" s="180">
        <f>订货1!AX235</f>
        <v>0</v>
      </c>
      <c r="Z234" s="180">
        <f>订货1!AY235</f>
        <v>0</v>
      </c>
      <c r="AA234" s="180">
        <f>订货1!AZ235</f>
        <v>0</v>
      </c>
      <c r="AB234" s="180">
        <f>订货1!BA235</f>
        <v>0</v>
      </c>
      <c r="AC234" s="180">
        <f>订货1!BB235</f>
        <v>0</v>
      </c>
      <c r="AD234" s="180">
        <f>订货1!BC235</f>
        <v>0</v>
      </c>
      <c r="AE234" s="180">
        <f>订货1!BD235</f>
        <v>0</v>
      </c>
      <c r="AF234" s="180">
        <f>订货1!BE235</f>
        <v>0</v>
      </c>
      <c r="AG234" s="180">
        <f>订货1!BF235</f>
        <v>0</v>
      </c>
      <c r="AH234" s="176"/>
      <c r="AI234" s="178"/>
    </row>
    <row r="235" spans="1:35" hidden="1">
      <c r="A235" s="37">
        <f>订货1!K236</f>
        <v>992020</v>
      </c>
      <c r="B235" s="37" t="str">
        <f>订货1!M236</f>
        <v>萨莉亚logo匹萨打包盒</v>
      </c>
      <c r="C235" s="180">
        <f>订货1!AB236</f>
        <v>0</v>
      </c>
      <c r="D235" s="180">
        <f>订货1!AC236</f>
        <v>0</v>
      </c>
      <c r="E235" s="180">
        <f>订货1!AD236</f>
        <v>0</v>
      </c>
      <c r="F235" s="180">
        <f>订货1!AE236</f>
        <v>0</v>
      </c>
      <c r="G235" s="180">
        <f>订货1!AF236</f>
        <v>0</v>
      </c>
      <c r="H235" s="180">
        <f>订货1!AG236</f>
        <v>0</v>
      </c>
      <c r="I235" s="180">
        <f>订货1!AH236</f>
        <v>0</v>
      </c>
      <c r="J235" s="180">
        <f>订货1!AI236</f>
        <v>0</v>
      </c>
      <c r="K235" s="180">
        <f>订货1!AJ236</f>
        <v>0</v>
      </c>
      <c r="L235" s="180">
        <f>订货1!AK236</f>
        <v>0</v>
      </c>
      <c r="M235" s="180">
        <f>订货1!AL236</f>
        <v>0</v>
      </c>
      <c r="N235" s="180">
        <f>订货1!AM236</f>
        <v>0</v>
      </c>
      <c r="O235" s="180">
        <f>订货1!AN236</f>
        <v>0</v>
      </c>
      <c r="P235" s="180">
        <f>订货1!AO236</f>
        <v>0</v>
      </c>
      <c r="Q235" s="180">
        <f>订货1!AP236</f>
        <v>0</v>
      </c>
      <c r="R235" s="180">
        <f>订货1!AQ236</f>
        <v>0</v>
      </c>
      <c r="S235" s="180">
        <f>订货1!AR236</f>
        <v>0</v>
      </c>
      <c r="T235" s="180">
        <f>订货1!AS236</f>
        <v>0</v>
      </c>
      <c r="U235" s="180">
        <f>订货1!AT236</f>
        <v>0</v>
      </c>
      <c r="V235" s="180">
        <f>订货1!AU236</f>
        <v>0</v>
      </c>
      <c r="W235" s="180">
        <f>订货1!AV236</f>
        <v>0</v>
      </c>
      <c r="X235" s="180">
        <f>订货1!AW236</f>
        <v>0</v>
      </c>
      <c r="Y235" s="180">
        <f>订货1!AX236</f>
        <v>0</v>
      </c>
      <c r="Z235" s="180">
        <f>订货1!AY236</f>
        <v>0</v>
      </c>
      <c r="AA235" s="180">
        <f>订货1!AZ236</f>
        <v>0</v>
      </c>
      <c r="AB235" s="180">
        <f>订货1!BA236</f>
        <v>0</v>
      </c>
      <c r="AC235" s="180">
        <f>订货1!BB236</f>
        <v>0</v>
      </c>
      <c r="AD235" s="180">
        <f>订货1!BC236</f>
        <v>0</v>
      </c>
      <c r="AE235" s="180">
        <f>订货1!BD236</f>
        <v>0</v>
      </c>
      <c r="AF235" s="180">
        <f>订货1!BE236</f>
        <v>0</v>
      </c>
      <c r="AG235" s="180">
        <f>订货1!BF236</f>
        <v>0</v>
      </c>
      <c r="AH235" s="176"/>
      <c r="AI235" s="178"/>
    </row>
    <row r="236" spans="1:35" hidden="1">
      <c r="A236" s="37">
        <f>订货1!K237</f>
        <v>992021</v>
      </c>
      <c r="B236" s="37" t="str">
        <f>订货1!M237</f>
        <v>萨莉亚logo椭圆打包盒</v>
      </c>
      <c r="C236" s="180">
        <f>订货1!AB237</f>
        <v>1</v>
      </c>
      <c r="D236" s="180">
        <f>订货1!AC237</f>
        <v>0</v>
      </c>
      <c r="E236" s="180">
        <f>订货1!AD237</f>
        <v>0</v>
      </c>
      <c r="F236" s="180">
        <f>订货1!AE237</f>
        <v>0</v>
      </c>
      <c r="G236" s="180">
        <f>订货1!AF237</f>
        <v>1</v>
      </c>
      <c r="H236" s="180">
        <f>订货1!AG237</f>
        <v>0</v>
      </c>
      <c r="I236" s="180">
        <f>订货1!AH237</f>
        <v>0</v>
      </c>
      <c r="J236" s="180">
        <f>订货1!AI237</f>
        <v>0</v>
      </c>
      <c r="K236" s="180">
        <f>订货1!AJ237</f>
        <v>0</v>
      </c>
      <c r="L236" s="180">
        <f>订货1!AK237</f>
        <v>0</v>
      </c>
      <c r="M236" s="180">
        <f>订货1!AL237</f>
        <v>1</v>
      </c>
      <c r="N236" s="180">
        <f>订货1!AM237</f>
        <v>0</v>
      </c>
      <c r="O236" s="180">
        <f>订货1!AN237</f>
        <v>0</v>
      </c>
      <c r="P236" s="180">
        <f>订货1!AO237</f>
        <v>0</v>
      </c>
      <c r="Q236" s="180">
        <f>订货1!AP237</f>
        <v>0</v>
      </c>
      <c r="R236" s="180">
        <f>订货1!AQ237</f>
        <v>0</v>
      </c>
      <c r="S236" s="180">
        <f>订货1!AR237</f>
        <v>0</v>
      </c>
      <c r="T236" s="180">
        <f>订货1!AS237</f>
        <v>0</v>
      </c>
      <c r="U236" s="180">
        <f>订货1!AT237</f>
        <v>0</v>
      </c>
      <c r="V236" s="180">
        <f>订货1!AU237</f>
        <v>0</v>
      </c>
      <c r="W236" s="180">
        <f>订货1!AV237</f>
        <v>0</v>
      </c>
      <c r="X236" s="180">
        <f>订货1!AW237</f>
        <v>0</v>
      </c>
      <c r="Y236" s="180">
        <f>订货1!AX237</f>
        <v>0</v>
      </c>
      <c r="Z236" s="180">
        <f>订货1!AY237</f>
        <v>0</v>
      </c>
      <c r="AA236" s="180">
        <f>订货1!AZ237</f>
        <v>0</v>
      </c>
      <c r="AB236" s="180">
        <f>订货1!BA237</f>
        <v>0</v>
      </c>
      <c r="AC236" s="180">
        <f>订货1!BB237</f>
        <v>0</v>
      </c>
      <c r="AD236" s="180">
        <f>订货1!BC237</f>
        <v>0</v>
      </c>
      <c r="AE236" s="180">
        <f>订货1!BD237</f>
        <v>0</v>
      </c>
      <c r="AF236" s="180">
        <f>订货1!BE237</f>
        <v>0</v>
      </c>
      <c r="AG236" s="180">
        <f>订货1!BF237</f>
        <v>0</v>
      </c>
      <c r="AH236" s="176"/>
      <c r="AI236" s="178"/>
    </row>
    <row r="237" spans="1:35" hidden="1">
      <c r="A237" s="37">
        <f>订货1!K238</f>
        <v>992022</v>
      </c>
      <c r="B237" s="37" t="str">
        <f>订货1!M238</f>
        <v>锡纸打包盒</v>
      </c>
      <c r="C237" s="180">
        <f>订货1!AB238</f>
        <v>0</v>
      </c>
      <c r="D237" s="180">
        <f>订货1!AC238</f>
        <v>0</v>
      </c>
      <c r="E237" s="180">
        <f>订货1!AD238</f>
        <v>0</v>
      </c>
      <c r="F237" s="180">
        <f>订货1!AE238</f>
        <v>0</v>
      </c>
      <c r="G237" s="180">
        <f>订货1!AF238</f>
        <v>0</v>
      </c>
      <c r="H237" s="180">
        <f>订货1!AG238</f>
        <v>0</v>
      </c>
      <c r="I237" s="180">
        <f>订货1!AH238</f>
        <v>0</v>
      </c>
      <c r="J237" s="180">
        <f>订货1!AI238</f>
        <v>0</v>
      </c>
      <c r="K237" s="180">
        <f>订货1!AJ238</f>
        <v>0</v>
      </c>
      <c r="L237" s="180">
        <f>订货1!AK238</f>
        <v>0</v>
      </c>
      <c r="M237" s="180">
        <f>订货1!AL238</f>
        <v>0</v>
      </c>
      <c r="N237" s="180">
        <f>订货1!AM238</f>
        <v>0</v>
      </c>
      <c r="O237" s="180">
        <f>订货1!AN238</f>
        <v>0</v>
      </c>
      <c r="P237" s="180">
        <f>订货1!AO238</f>
        <v>0</v>
      </c>
      <c r="Q237" s="180">
        <f>订货1!AP238</f>
        <v>0</v>
      </c>
      <c r="R237" s="180">
        <f>订货1!AQ238</f>
        <v>0</v>
      </c>
      <c r="S237" s="180">
        <f>订货1!AR238</f>
        <v>0</v>
      </c>
      <c r="T237" s="180">
        <f>订货1!AS238</f>
        <v>0</v>
      </c>
      <c r="U237" s="180">
        <f>订货1!AT238</f>
        <v>0</v>
      </c>
      <c r="V237" s="180">
        <f>订货1!AU238</f>
        <v>0</v>
      </c>
      <c r="W237" s="180">
        <f>订货1!AV238</f>
        <v>0</v>
      </c>
      <c r="X237" s="180">
        <f>订货1!AW238</f>
        <v>0</v>
      </c>
      <c r="Y237" s="180">
        <f>订货1!AX238</f>
        <v>0</v>
      </c>
      <c r="Z237" s="180">
        <f>订货1!AY238</f>
        <v>0</v>
      </c>
      <c r="AA237" s="180">
        <f>订货1!AZ238</f>
        <v>0</v>
      </c>
      <c r="AB237" s="180">
        <f>订货1!BA238</f>
        <v>0</v>
      </c>
      <c r="AC237" s="180">
        <f>订货1!BB238</f>
        <v>0</v>
      </c>
      <c r="AD237" s="180">
        <f>订货1!BC238</f>
        <v>0</v>
      </c>
      <c r="AE237" s="180">
        <f>订货1!BD238</f>
        <v>0</v>
      </c>
      <c r="AF237" s="180">
        <f>订货1!BE238</f>
        <v>0</v>
      </c>
      <c r="AG237" s="180">
        <f>订货1!BF238</f>
        <v>0</v>
      </c>
      <c r="AH237" s="176"/>
      <c r="AI237" s="178"/>
    </row>
    <row r="238" spans="1:35" hidden="1">
      <c r="A238" s="37">
        <f>订货1!K239</f>
        <v>992023</v>
      </c>
      <c r="B238" s="37" t="str">
        <f>订货1!M239</f>
        <v>萨莉亚logo刀叉组</v>
      </c>
      <c r="C238" s="180">
        <f>订货1!AB239</f>
        <v>0</v>
      </c>
      <c r="D238" s="180">
        <f>订货1!AC239</f>
        <v>0</v>
      </c>
      <c r="E238" s="180">
        <f>订货1!AD239</f>
        <v>0</v>
      </c>
      <c r="F238" s="180">
        <f>订货1!AE239</f>
        <v>0</v>
      </c>
      <c r="G238" s="180">
        <f>订货1!AF239</f>
        <v>0</v>
      </c>
      <c r="H238" s="180">
        <f>订货1!AG239</f>
        <v>0</v>
      </c>
      <c r="I238" s="180">
        <f>订货1!AH239</f>
        <v>0</v>
      </c>
      <c r="J238" s="180">
        <f>订货1!AI239</f>
        <v>0</v>
      </c>
      <c r="K238" s="180">
        <f>订货1!AJ239</f>
        <v>0</v>
      </c>
      <c r="L238" s="180">
        <f>订货1!AK239</f>
        <v>0</v>
      </c>
      <c r="M238" s="180">
        <f>订货1!AL239</f>
        <v>0</v>
      </c>
      <c r="N238" s="180">
        <f>订货1!AM239</f>
        <v>0</v>
      </c>
      <c r="O238" s="180">
        <f>订货1!AN239</f>
        <v>0</v>
      </c>
      <c r="P238" s="180">
        <f>订货1!AO239</f>
        <v>0</v>
      </c>
      <c r="Q238" s="180">
        <f>订货1!AP239</f>
        <v>0</v>
      </c>
      <c r="R238" s="180">
        <f>订货1!AQ239</f>
        <v>0</v>
      </c>
      <c r="S238" s="180">
        <f>订货1!AR239</f>
        <v>0</v>
      </c>
      <c r="T238" s="180">
        <f>订货1!AS239</f>
        <v>0</v>
      </c>
      <c r="U238" s="180">
        <f>订货1!AT239</f>
        <v>0</v>
      </c>
      <c r="V238" s="180">
        <f>订货1!AU239</f>
        <v>0</v>
      </c>
      <c r="W238" s="180">
        <f>订货1!AV239</f>
        <v>0</v>
      </c>
      <c r="X238" s="180">
        <f>订货1!AW239</f>
        <v>0</v>
      </c>
      <c r="Y238" s="180">
        <f>订货1!AX239</f>
        <v>0</v>
      </c>
      <c r="Z238" s="180">
        <f>订货1!AY239</f>
        <v>0</v>
      </c>
      <c r="AA238" s="180">
        <f>订货1!AZ239</f>
        <v>0</v>
      </c>
      <c r="AB238" s="180">
        <f>订货1!BA239</f>
        <v>0</v>
      </c>
      <c r="AC238" s="180">
        <f>订货1!BB239</f>
        <v>0</v>
      </c>
      <c r="AD238" s="180">
        <f>订货1!BC239</f>
        <v>0</v>
      </c>
      <c r="AE238" s="180">
        <f>订货1!BD239</f>
        <v>0</v>
      </c>
      <c r="AF238" s="180">
        <f>订货1!BE239</f>
        <v>0</v>
      </c>
      <c r="AG238" s="180">
        <f>订货1!BF239</f>
        <v>0</v>
      </c>
      <c r="AH238" s="176"/>
      <c r="AI238" s="178"/>
    </row>
    <row r="239" spans="1:35">
      <c r="A239" s="37">
        <f>订货1!K240</f>
        <v>992024</v>
      </c>
      <c r="B239" s="37" t="str">
        <f>订货1!M240</f>
        <v>“幸福阳光”纸手帕</v>
      </c>
      <c r="C239" s="180">
        <f>订货1!AB240</f>
        <v>0</v>
      </c>
      <c r="D239" s="180">
        <f>订货1!AC240</f>
        <v>0</v>
      </c>
      <c r="E239" s="180">
        <f>订货1!AD240</f>
        <v>0</v>
      </c>
      <c r="F239" s="180">
        <f>订货1!AE240</f>
        <v>0</v>
      </c>
      <c r="G239" s="180">
        <f>订货1!AF240</f>
        <v>0</v>
      </c>
      <c r="H239" s="180">
        <f>订货1!AG240</f>
        <v>0</v>
      </c>
      <c r="I239" s="180">
        <f>订货1!AH240</f>
        <v>0</v>
      </c>
      <c r="J239" s="180">
        <f>订货1!AI240</f>
        <v>0</v>
      </c>
      <c r="K239" s="180">
        <f>订货1!AJ240</f>
        <v>0</v>
      </c>
      <c r="L239" s="180">
        <f>订货1!AK240</f>
        <v>0</v>
      </c>
      <c r="M239" s="180">
        <f>订货1!AL240</f>
        <v>1</v>
      </c>
      <c r="N239" s="180">
        <f>订货1!AM240</f>
        <v>0</v>
      </c>
      <c r="O239" s="180">
        <f>订货1!AN240</f>
        <v>0</v>
      </c>
      <c r="P239" s="180">
        <f>订货1!AO240</f>
        <v>0</v>
      </c>
      <c r="Q239" s="180">
        <f>订货1!AP240</f>
        <v>0</v>
      </c>
      <c r="R239" s="180">
        <f>订货1!AQ240</f>
        <v>0</v>
      </c>
      <c r="S239" s="180">
        <f>订货1!AR240</f>
        <v>0</v>
      </c>
      <c r="T239" s="180">
        <f>订货1!AS240</f>
        <v>0</v>
      </c>
      <c r="U239" s="180">
        <f>订货1!AT240</f>
        <v>0</v>
      </c>
      <c r="V239" s="180">
        <f>订货1!AU240</f>
        <v>0</v>
      </c>
      <c r="W239" s="180">
        <f>订货1!AV240</f>
        <v>0</v>
      </c>
      <c r="X239" s="180">
        <f>订货1!AW240</f>
        <v>0</v>
      </c>
      <c r="Y239" s="180">
        <f>订货1!AX240</f>
        <v>0</v>
      </c>
      <c r="Z239" s="180">
        <f>订货1!AY240</f>
        <v>0</v>
      </c>
      <c r="AA239" s="180">
        <f>订货1!AZ240</f>
        <v>0</v>
      </c>
      <c r="AB239" s="180">
        <f>订货1!BA240</f>
        <v>0</v>
      </c>
      <c r="AC239" s="180">
        <f>订货1!BB240</f>
        <v>0</v>
      </c>
      <c r="AD239" s="180">
        <f>订货1!BC240</f>
        <v>0</v>
      </c>
      <c r="AE239" s="180">
        <f>订货1!BD240</f>
        <v>0</v>
      </c>
      <c r="AF239" s="180">
        <f>订货1!BE240</f>
        <v>0</v>
      </c>
      <c r="AG239" s="180">
        <f>订货1!BF240</f>
        <v>0</v>
      </c>
      <c r="AH239" s="176"/>
      <c r="AI239" s="178"/>
    </row>
    <row r="240" spans="1:35">
      <c r="A240" s="37">
        <f>订货1!K241</f>
        <v>0</v>
      </c>
      <c r="C240" s="16">
        <f>SUM(C3:C239)</f>
        <v>22</v>
      </c>
      <c r="D240" s="16">
        <f t="shared" ref="D240:AG240" si="0">SUM(D3:D239)</f>
        <v>46</v>
      </c>
      <c r="E240" s="16">
        <f t="shared" si="0"/>
        <v>0</v>
      </c>
      <c r="F240" s="16">
        <f t="shared" si="0"/>
        <v>54</v>
      </c>
      <c r="G240" s="16">
        <f t="shared" si="0"/>
        <v>75</v>
      </c>
      <c r="H240" s="16">
        <f t="shared" si="0"/>
        <v>79</v>
      </c>
      <c r="I240" s="16">
        <f t="shared" si="0"/>
        <v>23</v>
      </c>
      <c r="J240" s="16">
        <f t="shared" si="0"/>
        <v>41</v>
      </c>
      <c r="K240" s="16">
        <f t="shared" si="0"/>
        <v>50</v>
      </c>
      <c r="L240" s="16">
        <f t="shared" si="0"/>
        <v>0</v>
      </c>
      <c r="M240" s="16">
        <f t="shared" si="0"/>
        <v>19</v>
      </c>
      <c r="N240" s="16">
        <f t="shared" si="0"/>
        <v>105</v>
      </c>
      <c r="O240" s="16">
        <f t="shared" si="0"/>
        <v>77</v>
      </c>
      <c r="P240" s="16">
        <f t="shared" si="0"/>
        <v>52</v>
      </c>
      <c r="Q240" s="16">
        <f t="shared" si="0"/>
        <v>0</v>
      </c>
      <c r="R240" s="16">
        <f t="shared" si="0"/>
        <v>0</v>
      </c>
      <c r="S240" s="16">
        <f t="shared" si="0"/>
        <v>0</v>
      </c>
      <c r="T240" s="16">
        <f t="shared" si="0"/>
        <v>0</v>
      </c>
      <c r="U240" s="16">
        <f t="shared" si="0"/>
        <v>0</v>
      </c>
      <c r="V240" s="16">
        <f t="shared" si="0"/>
        <v>0</v>
      </c>
      <c r="W240" s="16">
        <f t="shared" si="0"/>
        <v>0</v>
      </c>
      <c r="X240" s="16">
        <f t="shared" si="0"/>
        <v>0</v>
      </c>
      <c r="Y240" s="16">
        <f t="shared" si="0"/>
        <v>0</v>
      </c>
      <c r="Z240" s="16">
        <f t="shared" si="0"/>
        <v>0</v>
      </c>
      <c r="AA240" s="16">
        <f t="shared" si="0"/>
        <v>0</v>
      </c>
      <c r="AB240" s="16">
        <f t="shared" si="0"/>
        <v>0</v>
      </c>
      <c r="AC240" s="16">
        <f t="shared" si="0"/>
        <v>0</v>
      </c>
      <c r="AD240" s="16">
        <f t="shared" si="0"/>
        <v>0</v>
      </c>
      <c r="AE240" s="16">
        <f t="shared" si="0"/>
        <v>0</v>
      </c>
      <c r="AF240" s="16">
        <f t="shared" si="0"/>
        <v>0</v>
      </c>
      <c r="AG240" s="16">
        <f t="shared" si="0"/>
        <v>0</v>
      </c>
      <c r="AI240" t="e">
        <f>SUM(AI3:AI239)</f>
        <v>#DIV/0!</v>
      </c>
    </row>
    <row r="241" spans="2:33" s="19" customFormat="1" ht="12">
      <c r="B241" s="38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</row>
  </sheetData>
  <sheetProtection password="C118" sheet="1" objects="1" scenarios="1"/>
  <phoneticPr fontId="4" type="noConversion"/>
  <conditionalFormatting sqref="B241:AH241 AJ241:XFD241">
    <cfRule type="cellIs" dxfId="3" priority="9" operator="greaterThan">
      <formula>1</formula>
    </cfRule>
  </conditionalFormatting>
  <conditionalFormatting sqref="B240:AH240 AJ240:XFD240">
    <cfRule type="cellIs" dxfId="2" priority="4" operator="greaterThan">
      <formula>0</formula>
    </cfRule>
  </conditionalFormatting>
  <conditionalFormatting sqref="AI241">
    <cfRule type="cellIs" dxfId="1" priority="3" operator="greaterThan">
      <formula>1</formula>
    </cfRule>
  </conditionalFormatting>
  <conditionalFormatting sqref="AI240">
    <cfRule type="cellIs" dxfId="0" priority="1" operator="greater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订货1</vt:lpstr>
      <vt:lpstr>店铺收货台帐2</vt:lpstr>
      <vt:lpstr>预估营业额3</vt:lpstr>
      <vt:lpstr>导出4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(上海)000陈永伟</dc:creator>
  <cp:lastModifiedBy>pos</cp:lastModifiedBy>
  <cp:lastPrinted>2018-11-20T08:36:49Z</cp:lastPrinted>
  <dcterms:created xsi:type="dcterms:W3CDTF">1996-12-17T01:32:00Z</dcterms:created>
  <dcterms:modified xsi:type="dcterms:W3CDTF">2025-11-17T02:55:25Z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  <property fmtid="{D5CDD505-2E9C-101B-9397-08002B2CF9AE}" pid="3" name="WorkbookGuid">
    <vt:lpwstr>a142e5c9-3ef4-4cfd-b71c-160a2dc8b9be</vt:lpwstr>
  </property>
</Properties>
</file>