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00" windowHeight="8805"/>
  </bookViews>
  <sheets>
    <sheet name="Sheet1" sheetId="4" r:id="rId1"/>
    <sheet name="Sheet2" sheetId="5" r:id="rId2"/>
    <sheet name="Sheet3" sheetId="6" r:id="rId3"/>
  </sheets>
  <externalReferences>
    <externalReference r:id="rId4"/>
  </externalReferences>
  <definedNames>
    <definedName name="_xlnm._FilterDatabase" localSheetId="0" hidden="1">Sheet1!$A$2:$G$177</definedName>
    <definedName name="产品名称">OFFSET([1]产品信息!$A$2,,,SUMPRODUCT(N(LEN([1]产品信息!$A:$A)&gt;0)),)</definedName>
    <definedName name="大类">[1]Sheet1!$A$1:$L$1</definedName>
    <definedName name="供货单位名称">[1]供货者!$A$2:$A$99</definedName>
  </definedNames>
  <calcPr calcId="152511"/>
</workbook>
</file>

<file path=xl/calcChain.xml><?xml version="1.0" encoding="utf-8"?>
<calcChain xmlns="http://schemas.openxmlformats.org/spreadsheetml/2006/main">
  <c r="F25" i="4" l="1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B4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95" i="4"/>
  <c r="C95" i="4"/>
  <c r="B96" i="4"/>
  <c r="C96" i="4"/>
  <c r="B97" i="4"/>
  <c r="C97" i="4"/>
  <c r="B98" i="4"/>
  <c r="C98" i="4"/>
  <c r="B99" i="4"/>
  <c r="C99" i="4"/>
  <c r="B100" i="4"/>
  <c r="C100" i="4"/>
  <c r="B101" i="4"/>
  <c r="C101" i="4"/>
  <c r="B102" i="4"/>
  <c r="C102" i="4"/>
  <c r="B104" i="4"/>
  <c r="C104" i="4"/>
  <c r="B105" i="4"/>
  <c r="C105" i="4"/>
  <c r="B106" i="4"/>
  <c r="C106" i="4"/>
  <c r="B107" i="4"/>
  <c r="C107" i="4"/>
  <c r="B108" i="4"/>
  <c r="C108" i="4"/>
  <c r="B109" i="4"/>
  <c r="C109" i="4"/>
  <c r="B110" i="4"/>
  <c r="C110" i="4"/>
  <c r="B111" i="4"/>
  <c r="C111" i="4"/>
  <c r="B112" i="4"/>
  <c r="C112" i="4"/>
  <c r="B113" i="4"/>
  <c r="C113" i="4"/>
  <c r="B114" i="4"/>
  <c r="C114" i="4"/>
  <c r="B115" i="4"/>
  <c r="C115" i="4"/>
  <c r="B116" i="4"/>
  <c r="C116" i="4"/>
  <c r="B117" i="4"/>
  <c r="C117" i="4"/>
  <c r="B118" i="4"/>
  <c r="C118" i="4"/>
  <c r="B119" i="4"/>
  <c r="C119" i="4"/>
  <c r="B120" i="4"/>
  <c r="C120" i="4"/>
  <c r="B121" i="4"/>
  <c r="C121" i="4"/>
  <c r="B122" i="4"/>
  <c r="C122" i="4"/>
  <c r="B123" i="4"/>
  <c r="C123" i="4"/>
  <c r="B124" i="4"/>
  <c r="C124" i="4"/>
  <c r="B125" i="4"/>
  <c r="C125" i="4"/>
  <c r="B126" i="4"/>
  <c r="C126" i="4"/>
  <c r="B127" i="4"/>
  <c r="C127" i="4"/>
  <c r="B128" i="4"/>
  <c r="C128" i="4"/>
  <c r="B129" i="4"/>
  <c r="C129" i="4"/>
  <c r="B130" i="4"/>
  <c r="C130" i="4"/>
  <c r="B131" i="4"/>
  <c r="C131" i="4"/>
  <c r="B132" i="4"/>
  <c r="C132" i="4"/>
  <c r="B133" i="4"/>
  <c r="C133" i="4"/>
  <c r="B134" i="4"/>
  <c r="C134" i="4"/>
  <c r="B135" i="4"/>
  <c r="C135" i="4"/>
  <c r="B136" i="4"/>
  <c r="C136" i="4"/>
  <c r="B137" i="4"/>
  <c r="C137" i="4"/>
  <c r="B138" i="4"/>
  <c r="C138" i="4"/>
  <c r="B139" i="4"/>
  <c r="C139" i="4"/>
  <c r="B140" i="4"/>
  <c r="C140" i="4"/>
  <c r="B141" i="4"/>
  <c r="C141" i="4"/>
  <c r="B142" i="4"/>
  <c r="C142" i="4"/>
  <c r="B143" i="4"/>
  <c r="C143" i="4"/>
  <c r="B144" i="4"/>
  <c r="C144" i="4"/>
  <c r="B145" i="4"/>
  <c r="C145" i="4"/>
  <c r="B146" i="4"/>
  <c r="C146" i="4"/>
  <c r="B147" i="4"/>
  <c r="C147" i="4"/>
  <c r="B148" i="4"/>
  <c r="C148" i="4"/>
  <c r="B149" i="4"/>
  <c r="C149" i="4"/>
  <c r="B150" i="4"/>
  <c r="C150" i="4"/>
  <c r="B151" i="4"/>
  <c r="C151" i="4"/>
  <c r="B152" i="4"/>
  <c r="C152" i="4"/>
  <c r="B153" i="4"/>
  <c r="C153" i="4"/>
  <c r="B154" i="4"/>
  <c r="C154" i="4"/>
  <c r="B155" i="4"/>
  <c r="C155" i="4"/>
  <c r="B156" i="4"/>
  <c r="C156" i="4"/>
  <c r="B157" i="4"/>
  <c r="C157" i="4"/>
  <c r="B158" i="4"/>
  <c r="C158" i="4"/>
  <c r="B159" i="4"/>
  <c r="C159" i="4"/>
  <c r="B160" i="4"/>
  <c r="C160" i="4"/>
  <c r="B161" i="4"/>
  <c r="C161" i="4"/>
  <c r="B162" i="4"/>
  <c r="C162" i="4"/>
  <c r="B163" i="4"/>
  <c r="C163" i="4"/>
  <c r="B164" i="4"/>
  <c r="C164" i="4"/>
  <c r="B165" i="4"/>
  <c r="C165" i="4"/>
  <c r="B166" i="4"/>
  <c r="C166" i="4"/>
  <c r="B167" i="4"/>
  <c r="C167" i="4"/>
  <c r="B168" i="4"/>
  <c r="C168" i="4"/>
  <c r="B169" i="4"/>
  <c r="C169" i="4"/>
  <c r="B170" i="4"/>
  <c r="C170" i="4"/>
  <c r="B171" i="4"/>
  <c r="C171" i="4"/>
  <c r="B172" i="4"/>
  <c r="C172" i="4"/>
  <c r="B173" i="4"/>
  <c r="C173" i="4"/>
  <c r="B174" i="4"/>
  <c r="C174" i="4"/>
  <c r="B175" i="4"/>
  <c r="C175" i="4"/>
  <c r="B176" i="4"/>
  <c r="C176" i="4"/>
  <c r="B177" i="4"/>
  <c r="C177" i="4"/>
  <c r="B178" i="4"/>
  <c r="C178" i="4"/>
  <c r="B179" i="4"/>
  <c r="C179" i="4"/>
  <c r="B180" i="4"/>
  <c r="C180" i="4"/>
  <c r="B181" i="4"/>
  <c r="C181" i="4"/>
  <c r="B182" i="4"/>
  <c r="C182" i="4"/>
  <c r="B183" i="4"/>
  <c r="C183" i="4"/>
  <c r="B184" i="4"/>
  <c r="C184" i="4"/>
  <c r="B185" i="4"/>
  <c r="C185" i="4"/>
  <c r="B186" i="4"/>
  <c r="C186" i="4"/>
  <c r="B187" i="4"/>
  <c r="C187" i="4"/>
  <c r="B188" i="4"/>
  <c r="C188" i="4"/>
  <c r="C3" i="4" l="1"/>
  <c r="B3" i="4" l="1"/>
  <c r="F7" i="4" l="1"/>
  <c r="F4" i="4" l="1"/>
  <c r="F5" i="4"/>
  <c r="F6" i="4"/>
  <c r="F8" i="4"/>
  <c r="F9" i="4"/>
  <c r="F10" i="4"/>
  <c r="F11" i="4"/>
  <c r="F12" i="4"/>
  <c r="F13" i="4"/>
  <c r="F14" i="4"/>
  <c r="F15" i="4"/>
  <c r="F16" i="4"/>
  <c r="F18" i="4"/>
  <c r="F19" i="4"/>
  <c r="F20" i="4"/>
  <c r="F21" i="4"/>
  <c r="F22" i="4"/>
  <c r="F23" i="4"/>
  <c r="F24" i="4"/>
  <c r="F3" i="4"/>
</calcChain>
</file>

<file path=xl/sharedStrings.xml><?xml version="1.0" encoding="utf-8"?>
<sst xmlns="http://schemas.openxmlformats.org/spreadsheetml/2006/main" count="1297" uniqueCount="481">
  <si>
    <t>产品名称</t>
  </si>
  <si>
    <t>产品代码</t>
  </si>
  <si>
    <t>采购数量</t>
  </si>
  <si>
    <t>数量单位</t>
  </si>
  <si>
    <t>冻鱿鱼圈</t>
  </si>
  <si>
    <t>千克</t>
  </si>
  <si>
    <t>萨莉亚鸡排</t>
  </si>
  <si>
    <t>萨莉亚翅中</t>
  </si>
  <si>
    <t>大蒜黄油</t>
  </si>
  <si>
    <t>酱蒜汁</t>
  </si>
  <si>
    <t>海鲜味调味汁</t>
  </si>
  <si>
    <t>冻煮杂色蛤</t>
  </si>
  <si>
    <t>蔬菜汤</t>
  </si>
  <si>
    <t>妙可蓝多马苏里拉奶酪</t>
  </si>
  <si>
    <t>萨莉亚速冻蜗牛肉</t>
  </si>
  <si>
    <t>法排小切</t>
  </si>
  <si>
    <t>香草鸡排串</t>
  </si>
  <si>
    <t>伊利冰淇淋（香草口味）</t>
  </si>
  <si>
    <t>早餐培根1</t>
  </si>
  <si>
    <t>超大熔岩蛋糕</t>
  </si>
  <si>
    <t>肉酱</t>
  </si>
  <si>
    <t>9寸实验饼底</t>
  </si>
  <si>
    <t>焦糖布丁蛋糕</t>
  </si>
  <si>
    <t>白沙司</t>
  </si>
  <si>
    <t>萨莉亚意式肉丸</t>
  </si>
  <si>
    <t>意式肉酱</t>
  </si>
  <si>
    <t>麻辣肉酱</t>
  </si>
  <si>
    <t>罗勒松子酱</t>
  </si>
  <si>
    <t>黑胡椒酱</t>
  </si>
  <si>
    <t>冷冻三文鱼块</t>
  </si>
  <si>
    <t>西冷牛排切片SA</t>
  </si>
  <si>
    <t>熟虾尾</t>
  </si>
  <si>
    <t>冻鱿鱼</t>
  </si>
  <si>
    <t>芝士粉</t>
  </si>
  <si>
    <t>萨莉亚冷冻小法棍600g</t>
  </si>
  <si>
    <t>新香烤翅中</t>
  </si>
  <si>
    <t>原味鸡腿排</t>
  </si>
  <si>
    <t>萨莉亚鸡排串</t>
  </si>
  <si>
    <t>奶油蘑菇汤</t>
  </si>
  <si>
    <t>萨莉亚专用白沙司</t>
  </si>
  <si>
    <t>焦糖布丁</t>
  </si>
  <si>
    <t>法式羊排</t>
  </si>
  <si>
    <t>速冻菠菜段</t>
    <rPh sb="0" eb="2">
      <t>ﾂｲｶ</t>
    </rPh>
    <phoneticPr fontId="2" type="noConversion"/>
  </si>
  <si>
    <t>速冻甜玉米粒</t>
  </si>
  <si>
    <t>萨莉亚特制沙拉酱</t>
  </si>
  <si>
    <t>马塞研磨干酪粉</t>
  </si>
  <si>
    <t xml:space="preserve">朝一温泉蛋 </t>
  </si>
  <si>
    <t>百蒂凯-樱桃番茄</t>
  </si>
  <si>
    <t>百蒂凯-蔬菜底料</t>
  </si>
  <si>
    <t>百蒂凯-火龙果</t>
  </si>
  <si>
    <t>百蒂凯-混合色拉</t>
  </si>
  <si>
    <t>原汤粉（YT）</t>
  </si>
  <si>
    <t>牛排粉NPF</t>
  </si>
  <si>
    <t>菠萝小扇块</t>
  </si>
  <si>
    <t>亨氏番茄调味酱</t>
  </si>
  <si>
    <t>丘比沙拉酱</t>
  </si>
  <si>
    <t>美国辣椒仔</t>
  </si>
  <si>
    <t>精制盐</t>
  </si>
  <si>
    <t>油浸金枪鱼</t>
  </si>
  <si>
    <t>意文全脂牛奶</t>
  </si>
  <si>
    <t>升</t>
  </si>
  <si>
    <t>脱水欧芹片</t>
  </si>
  <si>
    <t>辣西西里5#直条形意大利面</t>
  </si>
  <si>
    <t>白砂糖</t>
  </si>
  <si>
    <t>辣西西里特级初榨橄榄油</t>
  </si>
  <si>
    <t>黑胡椒碎</t>
  </si>
  <si>
    <t>雪碧糖浆</t>
  </si>
  <si>
    <t>飞想茶糖浆</t>
  </si>
  <si>
    <t>可乐糖浆</t>
  </si>
  <si>
    <t>芬达糖浆</t>
  </si>
  <si>
    <t>卡利酒庄蓝布鲁斯科低泡葡萄酒</t>
  </si>
  <si>
    <t>好日子红茶</t>
  </si>
  <si>
    <t>好日子绿茶</t>
  </si>
  <si>
    <t>好日子茉莉花茶</t>
  </si>
  <si>
    <t>柠檬+C糖浆</t>
  </si>
  <si>
    <t>好时巧克力浆</t>
  </si>
  <si>
    <t>烘炒咖啡豆</t>
  </si>
  <si>
    <t>妃群果芳红葡萄果汁饮料浓浆</t>
  </si>
  <si>
    <t>妃群果芳蔓越莓果汁饮料浓浆</t>
  </si>
  <si>
    <t>妃群果芳芒果果汁饮料浓浆</t>
  </si>
  <si>
    <t>妃群果芳柳橙果汁饮料浓浆</t>
  </si>
  <si>
    <t>金牌印度阿方索芒果（糖浆）</t>
  </si>
  <si>
    <t>金牌紫葡萄（糖浆）</t>
  </si>
  <si>
    <t>蓝莓（糖浆）</t>
  </si>
  <si>
    <t>金牌巴西甜橙（糖浆）</t>
  </si>
  <si>
    <t>柯万特酒庄蒂安诺干红葡萄酒</t>
  </si>
  <si>
    <t>城堡酒庄卡尔卡耐卡干白葡萄酒</t>
  </si>
  <si>
    <t>辣西西里-披萨调味酱</t>
  </si>
  <si>
    <t>喜力啤酒</t>
  </si>
  <si>
    <t>长粒香大米</t>
  </si>
  <si>
    <t>神明大米</t>
  </si>
  <si>
    <t>干辣椒段</t>
  </si>
  <si>
    <t>怡然洋菠萝扇块罐头</t>
  </si>
  <si>
    <t>肉桂风味调味粉</t>
  </si>
  <si>
    <t>辣西西里摩德纳黑醋</t>
  </si>
  <si>
    <t xml:space="preserve">意大利面 </t>
  </si>
  <si>
    <t>白糖包</t>
  </si>
  <si>
    <t>万家宴一级大豆油</t>
  </si>
  <si>
    <t>萨莉亚沙拉酱</t>
  </si>
  <si>
    <t>可口可乐糖浆</t>
  </si>
  <si>
    <t>芬达橙汁糖浆</t>
  </si>
  <si>
    <t>飞想柠檬红茶</t>
  </si>
  <si>
    <t>零度可乐糖浆</t>
  </si>
  <si>
    <t>规格</t>
  </si>
  <si>
    <t>10L</t>
  </si>
  <si>
    <t>0.6kg</t>
  </si>
  <si>
    <t>0.5kg</t>
  </si>
  <si>
    <t>1kg</t>
  </si>
  <si>
    <t>1kg*10pkt</t>
  </si>
  <si>
    <t>60pc</t>
  </si>
  <si>
    <t>3kg*4pc</t>
  </si>
  <si>
    <t>0.75l*6本</t>
  </si>
  <si>
    <t>1kg*6</t>
  </si>
  <si>
    <t>4.1kg*3pc</t>
  </si>
  <si>
    <t>0.1kg*9pc</t>
  </si>
  <si>
    <t>0.75l*6btl</t>
  </si>
  <si>
    <t>0.750l*6btl</t>
  </si>
  <si>
    <t>1kg*12pc</t>
  </si>
  <si>
    <t>0.5kg*10pkt</t>
  </si>
  <si>
    <t>0.15kg*8枚*10pc</t>
  </si>
  <si>
    <t>0.16kg*60pc</t>
  </si>
  <si>
    <t>1kg*12</t>
  </si>
  <si>
    <t>1kg*6pc</t>
  </si>
  <si>
    <t>2kg*5pc</t>
  </si>
  <si>
    <t>1kg*10pc</t>
  </si>
  <si>
    <t>0.23kg*5pkt*18pc</t>
  </si>
  <si>
    <t>2kg*6pc</t>
  </si>
  <si>
    <t>3kg*6can</t>
  </si>
  <si>
    <t>3.5kg</t>
  </si>
  <si>
    <t>0.5l</t>
  </si>
  <si>
    <t>0.623kg</t>
  </si>
  <si>
    <t>0.096kg*50pc</t>
  </si>
  <si>
    <t>9.8kg</t>
  </si>
  <si>
    <t>11kg</t>
  </si>
  <si>
    <t>5kg*4pc</t>
  </si>
  <si>
    <t>20L</t>
  </si>
  <si>
    <t>5L*4pc</t>
  </si>
  <si>
    <t>0.009kg*600pc</t>
  </si>
  <si>
    <t>0.007g*250pc</t>
  </si>
  <si>
    <t>0.002kg*100pc</t>
  </si>
  <si>
    <t>1kg*20pc</t>
  </si>
  <si>
    <t>5L*4btl</t>
  </si>
  <si>
    <t>0.07kg</t>
  </si>
  <si>
    <t>0.9kg*14pc</t>
  </si>
  <si>
    <t>0.06l*12btl</t>
  </si>
  <si>
    <t>0.12kg*50pc</t>
  </si>
  <si>
    <t>0.09kg*18pc</t>
  </si>
  <si>
    <t>0.15kg</t>
  </si>
  <si>
    <t>0.5kg*40pc</t>
  </si>
  <si>
    <t>1L*12pc</t>
  </si>
  <si>
    <t>0.15kg*100pc</t>
  </si>
  <si>
    <t>330ml*24btl</t>
  </si>
  <si>
    <t>0.6kg*6pkt</t>
  </si>
  <si>
    <t>1.1kg*20</t>
  </si>
  <si>
    <t>1.08kg*12pkt</t>
  </si>
  <si>
    <t>面包虾</t>
  </si>
  <si>
    <t>0.5kg*16pc</t>
  </si>
  <si>
    <t>0.1kg*6pc</t>
  </si>
  <si>
    <t>换算千克数</t>
  </si>
  <si>
    <t>进货单位千克数</t>
    <phoneticPr fontId="1" type="noConversion"/>
  </si>
  <si>
    <t>↓复制此列数据
（公式勿动，仅复制）</t>
    <phoneticPr fontId="1" type="noConversion"/>
  </si>
  <si>
    <r>
      <rPr>
        <sz val="11"/>
        <color theme="1"/>
        <rFont val="宋体"/>
        <family val="3"/>
        <charset val="134"/>
      </rPr>
      <t>↓</t>
    </r>
    <r>
      <rPr>
        <sz val="11"/>
        <color theme="1"/>
        <rFont val="宋体"/>
        <family val="2"/>
        <scheme val="minor"/>
      </rPr>
      <t>此列输入
进货数量</t>
    </r>
    <phoneticPr fontId="1" type="noConversion"/>
  </si>
  <si>
    <t>菌菇调理包</t>
  </si>
  <si>
    <t>玉米浓汤</t>
  </si>
  <si>
    <t>冷冻西兰花</t>
  </si>
  <si>
    <t>2.85kg*6can</t>
  </si>
  <si>
    <t>0.16kg*50pc</t>
  </si>
  <si>
    <t>半壳贻贝</t>
  </si>
  <si>
    <t>蒜香黄油酱</t>
  </si>
  <si>
    <t>0.5kg*20pkt</t>
  </si>
  <si>
    <t>茄汁千层面</t>
  </si>
  <si>
    <t>油炸饭团</t>
  </si>
  <si>
    <t>0.1kg*64pc</t>
  </si>
  <si>
    <t>0.4kg*20pc</t>
  </si>
  <si>
    <t>屯河番茄丁</t>
  </si>
  <si>
    <t>露恬纯牛奶</t>
  </si>
  <si>
    <t>升</t>
    <phoneticPr fontId="1" type="noConversion"/>
  </si>
  <si>
    <t>芝士肠</t>
  </si>
  <si>
    <t>照烧汉堡肉饼</t>
  </si>
  <si>
    <t>超薄脆比萨饼底</t>
  </si>
  <si>
    <t>蒜蓉辣椒酱</t>
  </si>
  <si>
    <t>双层手指饼提拉米苏蛋糕</t>
  </si>
  <si>
    <t>1.04kg*10pc</t>
  </si>
  <si>
    <t>0.15kg*50pc</t>
  </si>
  <si>
    <t>0.0723kg*15*4pc</t>
  </si>
  <si>
    <t>43g*9个/盒</t>
  </si>
  <si>
    <t>意式风干火腿</t>
  </si>
  <si>
    <t>0.04kg</t>
  </si>
  <si>
    <t>冷冻芦笋</t>
  </si>
  <si>
    <t xml:space="preserve">萨莉亚香酥鸡柳 </t>
  </si>
  <si>
    <t>墨鱼复合调味汁</t>
  </si>
  <si>
    <t>薄荷巧克力味冰淇淋</t>
  </si>
  <si>
    <t>冷冻薯块</t>
  </si>
  <si>
    <t>经典辣肠</t>
  </si>
  <si>
    <t>黑松露风味酱</t>
  </si>
  <si>
    <t>土豆泥</t>
  </si>
  <si>
    <t>调理雪花牛肉粒</t>
  </si>
  <si>
    <t>90g冷冻披萨面团 </t>
  </si>
  <si>
    <t>200g*45袋</t>
  </si>
  <si>
    <t>85g*9</t>
  </si>
  <si>
    <t>1kg*10</t>
  </si>
  <si>
    <t>0.2kg*20pc</t>
  </si>
  <si>
    <t>0.15kg*80pc</t>
  </si>
  <si>
    <t>0.09kg*100pc</t>
  </si>
  <si>
    <t>贝贝罗尼意式萨拉米</t>
  </si>
  <si>
    <t>曼可顿面包干</t>
  </si>
  <si>
    <t>辣泡椒</t>
  </si>
  <si>
    <t>650g*4</t>
  </si>
  <si>
    <t>0.5kg*30pc</t>
  </si>
  <si>
    <t>千克</t>
    <phoneticPr fontId="1" type="noConversion"/>
  </si>
  <si>
    <t>赛沛弗-混合色拉</t>
  </si>
  <si>
    <t>赛沛弗-樱桃番茄</t>
  </si>
  <si>
    <t>赛沛弗-蔬菜底料</t>
  </si>
  <si>
    <t>赛沛弗-火龙果</t>
  </si>
  <si>
    <t>赛沛弗-芝麻菜</t>
  </si>
  <si>
    <t>百蒂凯-芝麻菜</t>
  </si>
  <si>
    <t>0.2kg</t>
  </si>
  <si>
    <t>101015</t>
  </si>
  <si>
    <t>101022</t>
  </si>
  <si>
    <t>101024</t>
  </si>
  <si>
    <t>101025</t>
  </si>
  <si>
    <t>101030</t>
  </si>
  <si>
    <t>101040</t>
  </si>
  <si>
    <t>101055</t>
  </si>
  <si>
    <t>101063</t>
  </si>
  <si>
    <t>101073</t>
  </si>
  <si>
    <t>101189</t>
  </si>
  <si>
    <t>101269</t>
  </si>
  <si>
    <t>101329</t>
  </si>
  <si>
    <t>101332</t>
  </si>
  <si>
    <t>101490</t>
  </si>
  <si>
    <t>101508</t>
  </si>
  <si>
    <t>101543</t>
  </si>
  <si>
    <t>101554</t>
  </si>
  <si>
    <t>101576</t>
  </si>
  <si>
    <t>101577</t>
  </si>
  <si>
    <t>101581</t>
  </si>
  <si>
    <t>101594</t>
  </si>
  <si>
    <t>101595</t>
  </si>
  <si>
    <t>101597</t>
  </si>
  <si>
    <t>101606</t>
  </si>
  <si>
    <t>101608</t>
  </si>
  <si>
    <t>101610</t>
  </si>
  <si>
    <t>101617</t>
  </si>
  <si>
    <t>101624</t>
  </si>
  <si>
    <t>101635</t>
  </si>
  <si>
    <t>101638</t>
  </si>
  <si>
    <t>101640</t>
  </si>
  <si>
    <t>101641</t>
  </si>
  <si>
    <t>101652</t>
  </si>
  <si>
    <t>101655</t>
  </si>
  <si>
    <t>101664</t>
  </si>
  <si>
    <t>速冻菠菜段</t>
    <rPh sb="0" eb="2">
      <t>ﾂｲｶ</t>
    </rPh>
    <phoneticPr fontId="0" type="noConversion"/>
  </si>
  <si>
    <t>101671</t>
  </si>
  <si>
    <t>101672</t>
  </si>
  <si>
    <t>101677</t>
  </si>
  <si>
    <t>101678</t>
  </si>
  <si>
    <t>101680</t>
  </si>
  <si>
    <t>101682</t>
  </si>
  <si>
    <t>101688</t>
  </si>
  <si>
    <t>101697</t>
  </si>
  <si>
    <t>101698</t>
  </si>
  <si>
    <t>101702</t>
  </si>
  <si>
    <t>101703</t>
  </si>
  <si>
    <t>101705</t>
  </si>
  <si>
    <t>101707</t>
  </si>
  <si>
    <t>101708</t>
  </si>
  <si>
    <t>101709</t>
  </si>
  <si>
    <t>101710</t>
  </si>
  <si>
    <t>101711</t>
  </si>
  <si>
    <t>101712</t>
  </si>
  <si>
    <t>101716</t>
  </si>
  <si>
    <t>101717</t>
  </si>
  <si>
    <t>101718</t>
  </si>
  <si>
    <t>101719</t>
  </si>
  <si>
    <t>101720</t>
  </si>
  <si>
    <t>101721</t>
  </si>
  <si>
    <t>101723</t>
  </si>
  <si>
    <t>101725</t>
  </si>
  <si>
    <t>101027</t>
  </si>
  <si>
    <t>101133</t>
  </si>
  <si>
    <t>101286</t>
  </si>
  <si>
    <t>101359</t>
  </si>
  <si>
    <t>101362</t>
  </si>
  <si>
    <t>101592</t>
  </si>
  <si>
    <t>101593</t>
  </si>
  <si>
    <t>101637</t>
  </si>
  <si>
    <t>101706</t>
  </si>
  <si>
    <t>101714</t>
  </si>
  <si>
    <t>720003</t>
  </si>
  <si>
    <t>720005</t>
  </si>
  <si>
    <t>720013</t>
  </si>
  <si>
    <t>720017</t>
  </si>
  <si>
    <t>730017</t>
  </si>
  <si>
    <t>730003</t>
  </si>
  <si>
    <t>730005</t>
  </si>
  <si>
    <t>730013</t>
  </si>
  <si>
    <t>730011</t>
  </si>
  <si>
    <t>720011</t>
  </si>
  <si>
    <t>101031</t>
  </si>
  <si>
    <t>101034</t>
  </si>
  <si>
    <t>101075</t>
  </si>
  <si>
    <t>101112</t>
  </si>
  <si>
    <t>101143</t>
  </si>
  <si>
    <t>101145</t>
  </si>
  <si>
    <t>101149</t>
  </si>
  <si>
    <t>101182</t>
  </si>
  <si>
    <t>101258</t>
  </si>
  <si>
    <t>101266</t>
  </si>
  <si>
    <t>101280</t>
  </si>
  <si>
    <t>101289</t>
  </si>
  <si>
    <t>101290</t>
  </si>
  <si>
    <t>700002</t>
  </si>
  <si>
    <t>101348</t>
  </si>
  <si>
    <t>101355</t>
  </si>
  <si>
    <t>101356</t>
  </si>
  <si>
    <t>101398</t>
  </si>
  <si>
    <t>101399</t>
  </si>
  <si>
    <t>101400</t>
  </si>
  <si>
    <t>101483</t>
  </si>
  <si>
    <t>101493</t>
  </si>
  <si>
    <t>101557</t>
  </si>
  <si>
    <t>101559</t>
  </si>
  <si>
    <t>101560</t>
  </si>
  <si>
    <t>101561</t>
  </si>
  <si>
    <t>101562</t>
  </si>
  <si>
    <t>101587</t>
  </si>
  <si>
    <t>101588</t>
  </si>
  <si>
    <t>101589</t>
  </si>
  <si>
    <t>101590</t>
  </si>
  <si>
    <t>101598</t>
  </si>
  <si>
    <t>101631</t>
  </si>
  <si>
    <t>101642</t>
  </si>
  <si>
    <t>101647</t>
  </si>
  <si>
    <t>101650</t>
  </si>
  <si>
    <t>101656</t>
  </si>
  <si>
    <t>101663</t>
  </si>
  <si>
    <t>101669</t>
  </si>
  <si>
    <t>101674</t>
  </si>
  <si>
    <t>101699</t>
  </si>
  <si>
    <t>101701</t>
  </si>
  <si>
    <t>101722</t>
  </si>
  <si>
    <t>101726</t>
  </si>
  <si>
    <t>201276</t>
  </si>
  <si>
    <t>301115</t>
  </si>
  <si>
    <t>401286</t>
  </si>
  <si>
    <t>700001</t>
  </si>
  <si>
    <t>700003</t>
  </si>
  <si>
    <t>700004</t>
  </si>
  <si>
    <t>700006</t>
  </si>
  <si>
    <t>太古碳酸（仅限杭州店铺用）</t>
  </si>
  <si>
    <t>710006</t>
  </si>
  <si>
    <t>椰果罐头（850g）</t>
  </si>
  <si>
    <t>可可粉</t>
  </si>
  <si>
    <t>101729</t>
  </si>
  <si>
    <t>利梭多粉</t>
  </si>
  <si>
    <t>榴莲果肉</t>
  </si>
  <si>
    <t>香酥鸡柳</t>
  </si>
  <si>
    <t>匹萨饼</t>
  </si>
  <si>
    <t>披萨酱</t>
  </si>
  <si>
    <t>巴氏杀菌冰全蛋</t>
  </si>
  <si>
    <t>华美裹粉鸡胗</t>
  </si>
  <si>
    <t>百瑞猪肉卷</t>
  </si>
  <si>
    <t>黑椒牛肉片</t>
  </si>
  <si>
    <t>小可颂</t>
  </si>
  <si>
    <t>稀奶油</t>
  </si>
  <si>
    <t xml:space="preserve">8英寸薄脆比萨饼底 </t>
  </si>
  <si>
    <t>天使蛋糕</t>
  </si>
  <si>
    <t>白桃乌龙（茶饮浓缩液）</t>
  </si>
  <si>
    <t>明太子</t>
  </si>
  <si>
    <t>33g*20包*20袋/箱</t>
  </si>
  <si>
    <t>110g*6*12pc</t>
  </si>
  <si>
    <t>500g*20袋</t>
  </si>
  <si>
    <t>970g*6</t>
  </si>
  <si>
    <t>40g*20*12pc</t>
  </si>
  <si>
    <t>55g*16*10pc</t>
  </si>
  <si>
    <t>600g*9</t>
  </si>
  <si>
    <t>0.4kg*30</t>
  </si>
  <si>
    <t>20g*50</t>
  </si>
  <si>
    <t>1L*12</t>
  </si>
  <si>
    <t>5.58kg</t>
  </si>
  <si>
    <t>60g*4*4</t>
  </si>
  <si>
    <t>500g*10 袋/箱</t>
  </si>
  <si>
    <t>原味香肠（长）</t>
  </si>
  <si>
    <t>牛肝菌菌菇调理包</t>
  </si>
  <si>
    <t>冷冻意面</t>
  </si>
  <si>
    <t>101727</t>
  </si>
  <si>
    <t>冷冻意式披萨</t>
  </si>
  <si>
    <t>赛沛弗-彩椒丝</t>
  </si>
  <si>
    <t>百蒂凯-彩椒丝</t>
  </si>
  <si>
    <t>炸鱿鱼圈</t>
  </si>
  <si>
    <t>速冻甜青豆</t>
  </si>
  <si>
    <t>意式甜椒核桃酱</t>
  </si>
  <si>
    <t>海苔片2*35毫米</t>
  </si>
  <si>
    <t>萨莉亚黑椒鸡腿</t>
  </si>
  <si>
    <t>萨莉亚原味鸡腿</t>
  </si>
  <si>
    <t>原味鸡胗串20g</t>
  </si>
  <si>
    <t>藤椒鸡胗串20g</t>
  </si>
  <si>
    <t>原味香肠A</t>
  </si>
  <si>
    <t>原味香肠</t>
  </si>
  <si>
    <t>酸汤鱼金汤料</t>
  </si>
  <si>
    <t>实验经典辣肠</t>
  </si>
  <si>
    <t>萨莉亚鸡米花</t>
  </si>
  <si>
    <t>博洛尼亚风味白肉酱</t>
  </si>
  <si>
    <t>薄脆茄红烤翅</t>
  </si>
  <si>
    <t>扁可颂面包</t>
  </si>
  <si>
    <t>101732</t>
  </si>
  <si>
    <t>101733</t>
  </si>
  <si>
    <t>101736</t>
  </si>
  <si>
    <t>101737</t>
  </si>
  <si>
    <t>101738</t>
  </si>
  <si>
    <t>101739</t>
  </si>
  <si>
    <t>101740</t>
  </si>
  <si>
    <t>101741</t>
  </si>
  <si>
    <t>101742</t>
  </si>
  <si>
    <t>101744</t>
  </si>
  <si>
    <t>101745</t>
  </si>
  <si>
    <t>101747</t>
  </si>
  <si>
    <t>101748</t>
  </si>
  <si>
    <t>101751</t>
  </si>
  <si>
    <t>101753</t>
  </si>
  <si>
    <t>101754</t>
  </si>
  <si>
    <t>101755</t>
  </si>
  <si>
    <t>101756</t>
  </si>
  <si>
    <t>101058</t>
  </si>
  <si>
    <t>101758</t>
  </si>
  <si>
    <t>101759</t>
  </si>
  <si>
    <t>101760</t>
  </si>
  <si>
    <t>101761</t>
  </si>
  <si>
    <t>101762</t>
  </si>
  <si>
    <t>101764</t>
  </si>
  <si>
    <t>101765</t>
  </si>
  <si>
    <t>101766</t>
  </si>
  <si>
    <t>101767</t>
  </si>
  <si>
    <t>720004</t>
  </si>
  <si>
    <t>730004</t>
  </si>
  <si>
    <t>桶</t>
  </si>
  <si>
    <t>0.25kg</t>
  </si>
  <si>
    <t>0.85kg*12can</t>
  </si>
  <si>
    <t>3l*4pc</t>
  </si>
  <si>
    <t>1.1kg*12pkt</t>
  </si>
  <si>
    <t>200g*30</t>
  </si>
  <si>
    <t>110g*60pc</t>
  </si>
  <si>
    <t>200g</t>
  </si>
  <si>
    <t>500g*10pc</t>
  </si>
  <si>
    <t>1kg*4pc</t>
  </si>
  <si>
    <t>200g*20pc</t>
  </si>
  <si>
    <t>4pc*15</t>
  </si>
  <si>
    <t>220g/枚*12枚/包*4包/箱</t>
  </si>
  <si>
    <t>20g/串*20串/袋*24袋/箱</t>
  </si>
  <si>
    <t>500g*18</t>
  </si>
  <si>
    <t>25g*40*10pc</t>
  </si>
  <si>
    <t>500g*20pc</t>
  </si>
  <si>
    <t>1ｋｇ*12ｐｃ</t>
  </si>
  <si>
    <t>20g*50pc</t>
  </si>
  <si>
    <t>千克</t>
    <phoneticPr fontId="1" type="noConversion"/>
  </si>
  <si>
    <t>苹果派</t>
  </si>
  <si>
    <t>冷冻土豆泥</t>
  </si>
  <si>
    <t>辣西西-布拉塔干酪（迷你）</t>
  </si>
  <si>
    <t>罗勒松子调味酱</t>
  </si>
  <si>
    <t>凯达薯业冷冻小方形薯饼</t>
  </si>
  <si>
    <t>意式红烩鸡肉块</t>
  </si>
  <si>
    <t>双裕速冻甜玉米粒</t>
  </si>
  <si>
    <t>速冻玉米粒（实验）</t>
  </si>
  <si>
    <t>多趣乐-巧克力碎牛奶冰激凌</t>
  </si>
  <si>
    <t>原切谷饲安格斯西冷牛排</t>
  </si>
  <si>
    <t>斯查彻特拉奶酪</t>
  </si>
  <si>
    <t>黑椒调味酱</t>
  </si>
  <si>
    <t>76g*7*4pc</t>
  </si>
  <si>
    <t>200g*8盒</t>
  </si>
  <si>
    <t>2KG*5包</t>
  </si>
  <si>
    <t>250g*48pc</t>
  </si>
  <si>
    <t>3KG×4 袋</t>
  </si>
  <si>
    <t>65g*12</t>
  </si>
  <si>
    <t>150g*100pc</t>
  </si>
  <si>
    <t>250g*20</t>
  </si>
  <si>
    <t>千克</t>
    <phoneticPr fontId="1" type="noConversion"/>
  </si>
  <si>
    <t>升</t>
    <phoneticPr fontId="1" type="noConversion"/>
  </si>
  <si>
    <t>1L*12瓶</t>
    <phoneticPr fontId="1" type="noConversion"/>
  </si>
  <si>
    <t>千克</t>
    <phoneticPr fontId="1" type="noConversion"/>
  </si>
  <si>
    <t>100g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</si>
</sst>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NumberFormat="1" applyBorder="1"/>
    <xf numFmtId="0" fontId="0" fillId="0" borderId="1" xfId="0" applyFill="1" applyBorder="1"/>
    <xf numFmtId="0" fontId="0" fillId="0" borderId="1" xfId="0" applyNumberFormat="1" applyFill="1" applyBorder="1"/>
    <xf numFmtId="0" fontId="0" fillId="0" borderId="1" xfId="0" applyFill="1" applyBorder="1" applyAlignment="1">
      <alignment horizontal="center"/>
    </xf>
    <xf numFmtId="0" fontId="0" fillId="0" borderId="0" xfId="0" applyFill="1"/>
    <xf numFmtId="0" fontId="0" fillId="3" borderId="1" xfId="0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NumberFormat="1"/>
    <xf numFmtId="0" fontId="0" fillId="0" borderId="0" xfId="0" applyNumberFormat="1" applyAlignment="1">
      <alignment horizontal="center"/>
    </xf>
    <xf numFmtId="176" fontId="0" fillId="0" borderId="0" xfId="0" applyNumberFormat="1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os\Desktop\&#19978;&#28023;&#33832;&#33673;&#20122;&#39184;&#39278;&#26377;&#38480;&#20844;&#21496;&#27494;&#23041;&#36335;&#24215;_&#39184;&#39278;_202304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使用说明"/>
      <sheetName val="产品信息"/>
      <sheetName val="供货者"/>
      <sheetName val="购货者"/>
      <sheetName val="进货"/>
      <sheetName val="配送"/>
      <sheetName val="产地库查询表"/>
      <sheetName val="Sheet1"/>
      <sheetName val="系统数据"/>
      <sheetName val="版本说明"/>
    </sheetNames>
    <sheetDataSet>
      <sheetData sheetId="0"/>
      <sheetData sheetId="1">
        <row r="1">
          <cell r="A1" t="str">
            <v>产品名称</v>
          </cell>
        </row>
        <row r="2">
          <cell r="A2" t="str">
            <v>可口可乐糖浆</v>
          </cell>
        </row>
        <row r="3">
          <cell r="A3" t="str">
            <v>雪碧糖浆</v>
          </cell>
        </row>
        <row r="4">
          <cell r="A4" t="str">
            <v>芬达橙汁糖浆</v>
          </cell>
        </row>
        <row r="5">
          <cell r="A5" t="str">
            <v>飞想柠檬红茶</v>
          </cell>
        </row>
        <row r="6">
          <cell r="A6" t="str">
            <v>零度可乐糖浆</v>
          </cell>
        </row>
        <row r="7">
          <cell r="A7" t="str">
            <v>亚太-混合色拉</v>
          </cell>
        </row>
        <row r="8">
          <cell r="A8" t="str">
            <v>亚太-樱桃番茄</v>
          </cell>
        </row>
        <row r="9">
          <cell r="A9" t="str">
            <v>亚太-蔬菜底料</v>
          </cell>
        </row>
        <row r="10">
          <cell r="A10" t="str">
            <v>亚太-脆爽沙拉</v>
          </cell>
        </row>
        <row r="11">
          <cell r="A11" t="str">
            <v>亚太-小青菜</v>
          </cell>
        </row>
        <row r="12">
          <cell r="A12" t="str">
            <v>亚太-火龙果</v>
          </cell>
        </row>
        <row r="13">
          <cell r="A13" t="str">
            <v>百蒂凯-樱桃番茄</v>
          </cell>
        </row>
        <row r="14">
          <cell r="A14" t="str">
            <v>百蒂凯-蔬菜底料</v>
          </cell>
        </row>
        <row r="15">
          <cell r="A15" t="str">
            <v>百蒂凯-混合生菜</v>
          </cell>
        </row>
        <row r="16">
          <cell r="A16" t="str">
            <v>百蒂凯-小青菜</v>
          </cell>
        </row>
        <row r="17">
          <cell r="A17" t="str">
            <v>百蒂凯-混合色拉</v>
          </cell>
        </row>
        <row r="18">
          <cell r="A18" t="str">
            <v>百蒂凯-火龙果</v>
          </cell>
        </row>
        <row r="19">
          <cell r="A19" t="str">
            <v>意式肉酱</v>
          </cell>
        </row>
        <row r="20">
          <cell r="A20" t="str">
            <v xml:space="preserve">朝一温泉蛋 </v>
          </cell>
        </row>
        <row r="21">
          <cell r="A21" t="str">
            <v>辣西西里5#直条形意大利面</v>
          </cell>
        </row>
        <row r="22">
          <cell r="A22" t="str">
            <v>辣西西里特级初榨橄榄油</v>
          </cell>
        </row>
        <row r="23">
          <cell r="A23" t="str">
            <v>卡利酒庄蓝布鲁斯科低泡葡萄酒</v>
          </cell>
        </row>
        <row r="24">
          <cell r="A24" t="str">
            <v>马塞研磨干酪粉</v>
          </cell>
        </row>
        <row r="25">
          <cell r="A25" t="str">
            <v>辣西西里-披萨调味酱</v>
          </cell>
        </row>
        <row r="26">
          <cell r="A26" t="str">
            <v>辣西西里马苏里拉奶酪小球</v>
          </cell>
        </row>
        <row r="27">
          <cell r="A27" t="str">
            <v>提拉米苏</v>
          </cell>
        </row>
        <row r="28">
          <cell r="A28" t="str">
            <v>多趣乐榛子蛋糕</v>
          </cell>
        </row>
        <row r="29">
          <cell r="A29" t="str">
            <v>焦糖布丁蛋糕</v>
          </cell>
        </row>
        <row r="30">
          <cell r="A30" t="str">
            <v>柯万特酒庄蒂安诺干红葡萄酒</v>
          </cell>
        </row>
        <row r="31">
          <cell r="A31" t="str">
            <v>辣西西里去皮番茄碎罐头</v>
          </cell>
        </row>
        <row r="32">
          <cell r="A32" t="str">
            <v>辣西西里-风味马苏里拉干酪碎</v>
          </cell>
        </row>
        <row r="33">
          <cell r="A33" t="str">
            <v>城堡酒庄卡尔卡耐卡干白葡萄酒</v>
          </cell>
        </row>
        <row r="34">
          <cell r="A34" t="str">
            <v>新香烤翅中</v>
          </cell>
        </row>
        <row r="35">
          <cell r="A35" t="str">
            <v>美味唐扬块</v>
          </cell>
        </row>
        <row r="36">
          <cell r="A36" t="str">
            <v>萨莉亚手枪腿</v>
          </cell>
        </row>
        <row r="37">
          <cell r="A37" t="str">
            <v>萨莉亚意式肉丸</v>
          </cell>
        </row>
        <row r="38">
          <cell r="A38" t="str">
            <v>带皮全腿肉 （萨莉亚定制）</v>
          </cell>
        </row>
        <row r="39">
          <cell r="A39" t="str">
            <v>原味鸡腿排</v>
          </cell>
        </row>
        <row r="40">
          <cell r="A40" t="str">
            <v>披萨专用面团</v>
          </cell>
        </row>
        <row r="41">
          <cell r="A41" t="str">
            <v>9寸实验饼底</v>
          </cell>
        </row>
        <row r="42">
          <cell r="A42" t="str">
            <v>萨莉亚鸡排</v>
          </cell>
        </row>
        <row r="43">
          <cell r="A43" t="str">
            <v>萨莉亚翅中</v>
          </cell>
        </row>
        <row r="44">
          <cell r="A44" t="str">
            <v>萨莉亚鸡腿</v>
          </cell>
        </row>
        <row r="45">
          <cell r="A45" t="str">
            <v>香草鸡排串</v>
          </cell>
        </row>
        <row r="46">
          <cell r="A46" t="str">
            <v>大蒜黄油</v>
          </cell>
        </row>
        <row r="47">
          <cell r="A47" t="str">
            <v>酱蒜汁</v>
          </cell>
        </row>
        <row r="48">
          <cell r="A48" t="str">
            <v>炸大蒜调味料（新）</v>
          </cell>
        </row>
        <row r="49">
          <cell r="A49" t="str">
            <v>海鲜味调味汁</v>
          </cell>
        </row>
        <row r="50">
          <cell r="A50" t="str">
            <v>麻辣肉酱</v>
          </cell>
        </row>
        <row r="51">
          <cell r="A51" t="str">
            <v>罗勒松子酱</v>
          </cell>
        </row>
        <row r="52">
          <cell r="A52" t="str">
            <v>黑胡椒酱</v>
          </cell>
        </row>
        <row r="53">
          <cell r="A53" t="str">
            <v>蔬菜汤</v>
          </cell>
        </row>
        <row r="54">
          <cell r="A54" t="str">
            <v>玉米沙司</v>
          </cell>
        </row>
        <row r="55">
          <cell r="A55" t="str">
            <v>肉酱</v>
          </cell>
        </row>
        <row r="56">
          <cell r="A56" t="str">
            <v>萨莉亚专用白沙司</v>
          </cell>
        </row>
        <row r="57">
          <cell r="A57" t="str">
            <v>原汤粉（YT）</v>
          </cell>
        </row>
        <row r="58">
          <cell r="A58" t="str">
            <v>牛排粉NPF</v>
          </cell>
        </row>
        <row r="59">
          <cell r="A59" t="str">
            <v>干辣椒段</v>
          </cell>
        </row>
        <row r="60">
          <cell r="A60" t="str">
            <v>格益莎油浸金枪鱼袋包装</v>
          </cell>
        </row>
        <row r="61">
          <cell r="A61" t="str">
            <v>格益莎混合水果袋包装</v>
          </cell>
        </row>
        <row r="62">
          <cell r="A62" t="str">
            <v>调味明太子</v>
          </cell>
        </row>
        <row r="63">
          <cell r="A63" t="str">
            <v>泛泰冷冻榴莲泥</v>
          </cell>
        </row>
        <row r="64">
          <cell r="A64" t="str">
            <v>辛普劳玲珑金元薯饼</v>
          </cell>
        </row>
        <row r="65">
          <cell r="A65" t="str">
            <v>芝士粉</v>
          </cell>
        </row>
        <row r="66">
          <cell r="A66" t="str">
            <v>菠萝小扇块</v>
          </cell>
        </row>
        <row r="67">
          <cell r="A67" t="str">
            <v>黄桃丁</v>
          </cell>
        </row>
        <row r="68">
          <cell r="A68" t="str">
            <v>伊利冰淇淋（香草口味）</v>
          </cell>
        </row>
        <row r="69">
          <cell r="A69" t="str">
            <v>卡萨芮娜迪 摩德纳黑醋</v>
          </cell>
        </row>
        <row r="70">
          <cell r="A70" t="str">
            <v>椰果罐头</v>
          </cell>
        </row>
        <row r="71">
          <cell r="A71" t="str">
            <v>好时巧克力浆</v>
          </cell>
        </row>
        <row r="72">
          <cell r="A72" t="str">
            <v>马苏里拉芝士球（国产）</v>
          </cell>
        </row>
        <row r="73">
          <cell r="A73" t="str">
            <v>冻鱿鱼圈</v>
          </cell>
        </row>
        <row r="74">
          <cell r="A74" t="str">
            <v>冻煮杂色蛤</v>
          </cell>
        </row>
        <row r="75">
          <cell r="A75" t="str">
            <v>冻鱿鱼</v>
          </cell>
        </row>
        <row r="76">
          <cell r="A76" t="str">
            <v>冻蘑菇</v>
          </cell>
        </row>
        <row r="77">
          <cell r="A77" t="str">
            <v>萨莉亚速冻蜗牛肉</v>
          </cell>
        </row>
        <row r="78">
          <cell r="A78" t="str">
            <v>长粒香大米</v>
          </cell>
        </row>
        <row r="79">
          <cell r="A79" t="str">
            <v>荷兰旗牌纯牛奶</v>
          </cell>
        </row>
        <row r="80">
          <cell r="A80" t="str">
            <v>妙可蓝多马苏里拉奶酪</v>
          </cell>
        </row>
        <row r="81">
          <cell r="A81" t="str">
            <v>冷冻甜玉米</v>
          </cell>
        </row>
        <row r="82">
          <cell r="A82" t="str">
            <v>金牌印度阿方索芒果（糖浆）</v>
          </cell>
        </row>
        <row r="83">
          <cell r="A83" t="str">
            <v>金牌紫葡萄（糖浆）</v>
          </cell>
        </row>
        <row r="84">
          <cell r="A84" t="str">
            <v>蓝莓（糖浆）</v>
          </cell>
        </row>
        <row r="85">
          <cell r="A85" t="str">
            <v>美滋乐原味奶茶</v>
          </cell>
        </row>
        <row r="86">
          <cell r="A86" t="str">
            <v>美滋乐椰奶</v>
          </cell>
        </row>
        <row r="87">
          <cell r="A87" t="str">
            <v>美滋乐巧克力</v>
          </cell>
        </row>
        <row r="88">
          <cell r="A88" t="str">
            <v>美滋乐三合一咖啡</v>
          </cell>
        </row>
        <row r="89">
          <cell r="A89" t="str">
            <v>美滋乐炭烧咖啡</v>
          </cell>
        </row>
        <row r="90">
          <cell r="A90" t="str">
            <v>美滋乐玉米汁</v>
          </cell>
        </row>
        <row r="91">
          <cell r="A91" t="str">
            <v>美滋乐红豆紫薯</v>
          </cell>
        </row>
        <row r="92">
          <cell r="A92" t="str">
            <v>美滋乐豆浆</v>
          </cell>
        </row>
        <row r="93">
          <cell r="A93" t="str">
            <v>纽麦福餐饮装全脂纯牛奶</v>
          </cell>
        </row>
        <row r="94">
          <cell r="A94" t="str">
            <v>金牌巴西甜橙（糖浆）</v>
          </cell>
        </row>
        <row r="95">
          <cell r="A95" t="str">
            <v>美滋乐紫薯燕麦羹</v>
          </cell>
        </row>
        <row r="96">
          <cell r="A96" t="str">
            <v>可乐糖浆</v>
          </cell>
        </row>
        <row r="97">
          <cell r="A97" t="str">
            <v>芬达糖浆</v>
          </cell>
        </row>
        <row r="98">
          <cell r="A98" t="str">
            <v>飞想茶糖浆</v>
          </cell>
        </row>
        <row r="99">
          <cell r="A99" t="str">
            <v>雪碧糖浆</v>
          </cell>
        </row>
        <row r="100">
          <cell r="A100" t="str">
            <v>柠檬+C糖浆</v>
          </cell>
        </row>
        <row r="101">
          <cell r="A101" t="str">
            <v>雀巢原味奶茶</v>
          </cell>
        </row>
        <row r="102">
          <cell r="A102" t="str">
            <v>雀巢芒果c</v>
          </cell>
        </row>
        <row r="103">
          <cell r="A103" t="str">
            <v>雀巢朱克力粉</v>
          </cell>
        </row>
        <row r="104">
          <cell r="A104" t="str">
            <v>雀巢果维C黑加仑</v>
          </cell>
        </row>
        <row r="105">
          <cell r="A105" t="str">
            <v>雀巢天天甜奶粉</v>
          </cell>
        </row>
        <row r="106">
          <cell r="A106" t="str">
            <v>妃群果芳红葡萄果汁饮料浓浆</v>
          </cell>
        </row>
        <row r="107">
          <cell r="A107" t="str">
            <v>妃群果芳蔓越莓果汁饮料浓浆</v>
          </cell>
        </row>
        <row r="108">
          <cell r="A108" t="str">
            <v>妃群果芳芒果果汁饮料浓浆</v>
          </cell>
        </row>
        <row r="109">
          <cell r="A109" t="str">
            <v>妃群果芳柳橙果汁饮料浓浆</v>
          </cell>
        </row>
        <row r="110">
          <cell r="A110" t="str">
            <v>及翔100%阿拉比卡咖啡豆</v>
          </cell>
        </row>
        <row r="111">
          <cell r="A111" t="str">
            <v>雀巢1+2咖啡</v>
          </cell>
        </row>
        <row r="112">
          <cell r="A112" t="str">
            <v>黑胡椒碎</v>
          </cell>
        </row>
        <row r="113">
          <cell r="A113" t="str">
            <v>亨氏番茄沙司</v>
          </cell>
        </row>
        <row r="114">
          <cell r="A114" t="str">
            <v>亨氏番茄调味酱</v>
          </cell>
        </row>
        <row r="115">
          <cell r="A115" t="str">
            <v>白糖包</v>
          </cell>
        </row>
        <row r="116">
          <cell r="A116" t="str">
            <v>好日子红茶</v>
          </cell>
        </row>
        <row r="117">
          <cell r="A117" t="str">
            <v>好日子绿茶</v>
          </cell>
        </row>
        <row r="118">
          <cell r="A118" t="str">
            <v>好日子茉莉花茶</v>
          </cell>
        </row>
        <row r="119">
          <cell r="A119" t="str">
            <v>白砂糖</v>
          </cell>
        </row>
        <row r="120">
          <cell r="A120" t="str">
            <v>小米辣</v>
          </cell>
        </row>
        <row r="121">
          <cell r="A121" t="str">
            <v>万家宴一级大豆油</v>
          </cell>
        </row>
        <row r="122">
          <cell r="A122" t="str">
            <v>早餐培根1</v>
          </cell>
        </row>
        <row r="123">
          <cell r="A123" t="str">
            <v>卡萨莫迪意大利风干火腿</v>
          </cell>
        </row>
        <row r="124">
          <cell r="A124" t="str">
            <v>烟熏烤肠</v>
          </cell>
        </row>
        <row r="125">
          <cell r="A125" t="str">
            <v>五目肠</v>
          </cell>
        </row>
        <row r="126">
          <cell r="A126" t="str">
            <v>法排小切</v>
          </cell>
        </row>
        <row r="127">
          <cell r="A127" t="str">
            <v>鑫阿拉红糖水820g黄桃丁罐头</v>
          </cell>
        </row>
        <row r="128">
          <cell r="A128" t="str">
            <v>鑫阿拉红椰果罐头</v>
          </cell>
        </row>
        <row r="129">
          <cell r="A129" t="str">
            <v>美国辣椒仔</v>
          </cell>
        </row>
        <row r="130">
          <cell r="A130" t="str">
            <v>鑫阿拉红糖水黄桃丁罐头</v>
          </cell>
        </row>
        <row r="131">
          <cell r="A131" t="str">
            <v>鑫阿拉红糖水菠萝罐头</v>
          </cell>
        </row>
        <row r="132">
          <cell r="A132" t="str">
            <v>面粉</v>
          </cell>
        </row>
        <row r="133">
          <cell r="A133" t="str">
            <v>鑫阿拉红杂果罐头</v>
          </cell>
        </row>
        <row r="134">
          <cell r="A134" t="str">
            <v>爱味客原味土豆泥</v>
          </cell>
        </row>
        <row r="135">
          <cell r="A135" t="str">
            <v>墨鱼汁酱</v>
          </cell>
        </row>
        <row r="136">
          <cell r="A136" t="str">
            <v>蓝顿旭美圆薯饼</v>
          </cell>
        </row>
        <row r="137">
          <cell r="A137" t="str">
            <v>冷冻三文鱼块</v>
          </cell>
        </row>
        <row r="138">
          <cell r="A138" t="str">
            <v>烟熏胸肉丁</v>
          </cell>
        </row>
        <row r="139">
          <cell r="A139" t="str">
            <v>奶油蘑菇汤</v>
          </cell>
        </row>
        <row r="140">
          <cell r="A140" t="str">
            <v>奶油海鲜汤</v>
          </cell>
        </row>
        <row r="141">
          <cell r="A141" t="str">
            <v>特制玉米浓汤</v>
          </cell>
        </row>
        <row r="142">
          <cell r="A142" t="str">
            <v>烘炒咖啡豆</v>
          </cell>
        </row>
        <row r="143">
          <cell r="A143" t="str">
            <v>超大熔岩蛋糕</v>
          </cell>
        </row>
        <row r="144">
          <cell r="A144" t="str">
            <v>SLY五目香肠A</v>
          </cell>
        </row>
        <row r="145">
          <cell r="A145" t="str">
            <v>SLY烟熏香肠</v>
          </cell>
        </row>
        <row r="146">
          <cell r="A146" t="str">
            <v>萨莉亚特制沙拉酱</v>
          </cell>
        </row>
        <row r="147">
          <cell r="A147" t="str">
            <v>冷冻菠菜</v>
          </cell>
        </row>
        <row r="148">
          <cell r="A148" t="str">
            <v>萨莉亚沙拉酱</v>
          </cell>
        </row>
        <row r="149">
          <cell r="A149" t="str">
            <v>脱水欧芹片</v>
          </cell>
        </row>
        <row r="150">
          <cell r="A150" t="str">
            <v>精制盐</v>
          </cell>
        </row>
        <row r="151">
          <cell r="A151" t="str">
            <v>味精</v>
          </cell>
        </row>
        <row r="152">
          <cell r="A152" t="str">
            <v>丘比沙拉酱</v>
          </cell>
        </row>
        <row r="153">
          <cell r="A153" t="str">
            <v>白沙司</v>
          </cell>
        </row>
        <row r="154">
          <cell r="A154" t="str">
            <v>意文全脂牛奶</v>
          </cell>
        </row>
        <row r="155">
          <cell r="A155" t="str">
            <v>油浸金枪鱼</v>
          </cell>
        </row>
        <row r="156">
          <cell r="A156" t="str">
            <v>熟虾尾</v>
          </cell>
        </row>
        <row r="157">
          <cell r="A157" t="str">
            <v>冷冻小法棍面包</v>
          </cell>
        </row>
        <row r="158">
          <cell r="A158" t="str">
            <v>西冷牛排切片SA</v>
          </cell>
        </row>
        <row r="159">
          <cell r="A159" t="str">
            <v>香酥鸡米花</v>
          </cell>
        </row>
        <row r="160">
          <cell r="A160" t="str">
            <v>萨莉亚鸡排串</v>
          </cell>
        </row>
        <row r="161">
          <cell r="A161" t="str">
            <v>可口可乐糖浆</v>
          </cell>
        </row>
        <row r="162">
          <cell r="A162" t="str">
            <v>雪碧糖浆</v>
          </cell>
        </row>
        <row r="163">
          <cell r="A163" t="str">
            <v>芬达橙汁糖浆</v>
          </cell>
        </row>
        <row r="164">
          <cell r="A164" t="str">
            <v>飞想柠檬红茶</v>
          </cell>
        </row>
        <row r="165">
          <cell r="A165" t="str">
            <v>零度可乐糖浆</v>
          </cell>
        </row>
        <row r="166">
          <cell r="A166" t="str">
            <v>太古碳酸（仅限杭州店铺用）</v>
          </cell>
        </row>
        <row r="167">
          <cell r="A167" t="str">
            <v>雀巢烹调淡奶油</v>
          </cell>
        </row>
        <row r="168">
          <cell r="A168" t="str">
            <v>喜力啤酒</v>
          </cell>
        </row>
        <row r="169">
          <cell r="A169" t="str">
            <v>萨莉亚冷冻小法棍600g</v>
          </cell>
        </row>
        <row r="170">
          <cell r="A170" t="str">
            <v>提拉米苏蛋糕</v>
          </cell>
        </row>
        <row r="171">
          <cell r="A171" t="str">
            <v>原味芝士蛋糕</v>
          </cell>
        </row>
        <row r="172">
          <cell r="A172" t="str">
            <v>神明大米</v>
          </cell>
        </row>
        <row r="173">
          <cell r="A173" t="str">
            <v>萨莉亚专用白沙司</v>
          </cell>
        </row>
        <row r="174">
          <cell r="A174" t="str">
            <v>怡然洋菠萝扇块罐头</v>
          </cell>
        </row>
        <row r="175">
          <cell r="A175" t="str">
            <v>弗里生纯牛奶</v>
          </cell>
        </row>
        <row r="176">
          <cell r="A176" t="str">
            <v>肉桂风味调味粉</v>
          </cell>
        </row>
        <row r="177">
          <cell r="A177" t="str">
            <v>法式羊排</v>
          </cell>
        </row>
        <row r="178">
          <cell r="A178" t="str">
            <v>辣西西里摩德纳黑醋</v>
          </cell>
        </row>
        <row r="179">
          <cell r="A179" t="str">
            <v>面包虾</v>
          </cell>
        </row>
        <row r="180">
          <cell r="A180" t="str">
            <v>番茄沙司</v>
          </cell>
        </row>
        <row r="181">
          <cell r="A181" t="str">
            <v>圣农盐酥鸡米花（萨莉亚）</v>
          </cell>
        </row>
        <row r="182">
          <cell r="A182" t="str">
            <v>番茄沙司</v>
          </cell>
        </row>
        <row r="183">
          <cell r="A183" t="str">
            <v>速冻菠菜段</v>
          </cell>
        </row>
        <row r="184">
          <cell r="A184" t="str">
            <v>速冻甜玉米粒</v>
          </cell>
        </row>
        <row r="185">
          <cell r="A185" t="str">
            <v>油浸洋蓟叶</v>
          </cell>
        </row>
        <row r="186">
          <cell r="A186" t="str">
            <v xml:space="preserve">意大利面 </v>
          </cell>
        </row>
        <row r="187">
          <cell r="A187" t="str">
            <v>裹粉汉堡排</v>
          </cell>
        </row>
        <row r="188">
          <cell r="A188" t="str">
            <v>匹萨饼底78g</v>
          </cell>
        </row>
        <row r="189">
          <cell r="A189" t="str">
            <v>焦糖布丁</v>
          </cell>
        </row>
      </sheetData>
      <sheetData sheetId="2">
        <row r="2">
          <cell r="A2" t="str">
            <v>北京爱必思福国际贸易有限公司</v>
          </cell>
        </row>
        <row r="3">
          <cell r="A3" t="str">
            <v>上海百蒂凯蔬果种植专业合作社</v>
          </cell>
        </row>
        <row r="4">
          <cell r="A4" t="str">
            <v>朝一蛋品（上海）有限公司</v>
          </cell>
        </row>
        <row r="5">
          <cell r="A5" t="str">
            <v>成都荣町食品有限公司上海分公司</v>
          </cell>
        </row>
        <row r="6">
          <cell r="A6" t="str">
            <v>承武贸易（上海）有限公司</v>
          </cell>
        </row>
        <row r="7">
          <cell r="A7" t="str">
            <v>川商（大連）貿易有限公司</v>
          </cell>
        </row>
        <row r="8">
          <cell r="A8" t="str">
            <v>浙江大菱海洋食品有限公司</v>
          </cell>
        </row>
        <row r="9">
          <cell r="A9" t="str">
            <v>丹东永明食品有限公司</v>
          </cell>
        </row>
        <row r="10">
          <cell r="A10" t="str">
            <v>福建圣农食品有限公司</v>
          </cell>
        </row>
        <row r="11">
          <cell r="A11" t="str">
            <v>广州奥昆食品有限公司</v>
          </cell>
        </row>
        <row r="12">
          <cell r="A12" t="str">
            <v>广州京业食品有限公司</v>
          </cell>
        </row>
        <row r="13">
          <cell r="A13" t="str">
            <v>上海瀚而普国际贸易有限公司</v>
          </cell>
        </row>
        <row r="14">
          <cell r="A14" t="str">
            <v>嘉兴铃吉食品有限公司</v>
          </cell>
        </row>
        <row r="15">
          <cell r="A15" t="str">
            <v>嘉兴市潜鑫食品有限公司</v>
          </cell>
        </row>
        <row r="16">
          <cell r="A16" t="str">
            <v>江苏太古可口可乐饮料有限公司</v>
          </cell>
        </row>
        <row r="17">
          <cell r="A17" t="str">
            <v>辣西西里（北京）国际贸易有限公司</v>
          </cell>
        </row>
        <row r="18">
          <cell r="A18" t="str">
            <v>连云港绿禾食品有限公司</v>
          </cell>
        </row>
        <row r="19">
          <cell r="A19" t="str">
            <v>上海良龙粮油发展有限公司</v>
          </cell>
        </row>
        <row r="20">
          <cell r="A20" t="str">
            <v>上海亮珠米业有限公司</v>
          </cell>
        </row>
        <row r="21">
          <cell r="A21" t="str">
            <v>曼可顿（上海）实业有限公司</v>
          </cell>
        </row>
        <row r="22">
          <cell r="A22" t="str">
            <v>上海妙可蓝多食品科技股份有限公司</v>
          </cell>
        </row>
        <row r="23">
          <cell r="A23" t="str">
            <v>上海铭欣咖啡有限公司</v>
          </cell>
        </row>
        <row r="24">
          <cell r="A24" t="str">
            <v>娜米克食品（昆山）有限公司</v>
          </cell>
        </row>
        <row r="25">
          <cell r="A25" t="str">
            <v>青岛国辉食品有限公司</v>
          </cell>
        </row>
        <row r="26">
          <cell r="A26" t="str">
            <v>日邦食品（上海）有限公司</v>
          </cell>
        </row>
        <row r="27">
          <cell r="A27" t="str">
            <v>日冷食品贸易（上海）有限公司</v>
          </cell>
        </row>
        <row r="28">
          <cell r="A28" t="str">
            <v>融滋合味（上海）科技有限公司</v>
          </cell>
        </row>
        <row r="29">
          <cell r="A29" t="str">
            <v>上海宝立食品科技股份有限公司</v>
          </cell>
        </row>
        <row r="30">
          <cell r="A30" t="str">
            <v>上海宝浓食品股份有限公司</v>
          </cell>
        </row>
        <row r="31">
          <cell r="A31" t="str">
            <v>上海浩圣食品有限公司</v>
          </cell>
        </row>
        <row r="32">
          <cell r="A32" t="str">
            <v>上海盒成食品有限公司</v>
          </cell>
        </row>
        <row r="33">
          <cell r="A33" t="str">
            <v>上海捷仪经贸有限公司</v>
          </cell>
        </row>
        <row r="34">
          <cell r="A34" t="str">
            <v>上海蓬澜食品有限公司</v>
          </cell>
        </row>
        <row r="35">
          <cell r="A35" t="str">
            <v>上海潜深实业有限公司</v>
          </cell>
        </row>
        <row r="36">
          <cell r="A36" t="str">
            <v>上海申美饮料食品有限公司</v>
          </cell>
        </row>
        <row r="37">
          <cell r="A37" t="str">
            <v>上海煦臻实业有限公司</v>
          </cell>
        </row>
        <row r="38">
          <cell r="A38" t="str">
            <v>上海亚太国际蔬菜有限公司</v>
          </cell>
        </row>
        <row r="39">
          <cell r="A39" t="str">
            <v>上海意文食品科技有限公司</v>
          </cell>
        </row>
        <row r="40">
          <cell r="A40" t="str">
            <v>上海煜晟贸易有限公司</v>
          </cell>
        </row>
        <row r="41">
          <cell r="A41" t="str">
            <v>沈阳华美食品有限公司</v>
          </cell>
        </row>
        <row r="42">
          <cell r="A42" t="str">
            <v>仙波食品（浙江）有限公司</v>
          </cell>
        </row>
        <row r="43">
          <cell r="A43" t="str">
            <v>上海香尚香食品有限公司</v>
          </cell>
        </row>
        <row r="44">
          <cell r="A44" t="str">
            <v>福建鑫美臣食品有限公司</v>
          </cell>
        </row>
        <row r="45">
          <cell r="A45" t="str">
            <v>熠沣实业（上海）有限公司</v>
          </cell>
        </row>
        <row r="46">
          <cell r="A46" t="str">
            <v>浙江太古可口可乐饮料有限公司</v>
          </cell>
        </row>
        <row r="47">
          <cell r="A47" t="str">
            <v>诸城尽美进出口有限公司</v>
          </cell>
        </row>
        <row r="48">
          <cell r="A48" t="str">
            <v>卓典食品香料（江苏）有限公司</v>
          </cell>
        </row>
        <row r="49">
          <cell r="A49" t="str">
            <v>湛江怡然庄食品有限公司</v>
          </cell>
        </row>
        <row r="50">
          <cell r="A50" t="str">
            <v>安丘福华食品有限公司</v>
          </cell>
        </row>
        <row r="51">
          <cell r="A51" t="str">
            <v>山东三涛食品有限公司</v>
          </cell>
        </row>
        <row r="52">
          <cell r="A52" t="str">
            <v>湛江国联水产开发股份有限公司</v>
          </cell>
        </row>
        <row r="53">
          <cell r="A53" t="str">
            <v>广州萨莉亚食品有限公司</v>
          </cell>
        </row>
        <row r="54">
          <cell r="A54" t="str">
            <v>上海长濑贸易有限公司</v>
          </cell>
        </row>
        <row r="55">
          <cell r="A55" t="str">
            <v>上海萨莉亚餐饮有限公司</v>
          </cell>
        </row>
        <row r="56">
          <cell r="A56" t="str">
            <v>上海迎田食品限公司</v>
          </cell>
        </row>
        <row r="57">
          <cell r="A57" t="str">
            <v>广东立高食品营销有限公司</v>
          </cell>
        </row>
      </sheetData>
      <sheetData sheetId="3"/>
      <sheetData sheetId="4"/>
      <sheetData sheetId="5"/>
      <sheetData sheetId="6"/>
      <sheetData sheetId="7">
        <row r="1">
          <cell r="A1" t="str">
            <v>粮食及其制品</v>
          </cell>
          <cell r="B1" t="str">
            <v>畜产品及其制品</v>
          </cell>
          <cell r="C1" t="str">
            <v>禽及其产品、制品</v>
          </cell>
          <cell r="D1" t="str">
            <v>蔬菜</v>
          </cell>
          <cell r="E1" t="str">
            <v>水果</v>
          </cell>
          <cell r="F1" t="str">
            <v>水产品</v>
          </cell>
          <cell r="G1" t="str">
            <v>豆制品</v>
          </cell>
          <cell r="H1" t="str">
            <v>乳品</v>
          </cell>
          <cell r="I1" t="str">
            <v>食用油</v>
          </cell>
          <cell r="J1" t="str">
            <v>酒类</v>
          </cell>
          <cell r="K1" t="str">
            <v>特殊食品</v>
          </cell>
          <cell r="L1" t="str">
            <v>其他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8"/>
  <sheetViews>
    <sheetView tabSelected="1" topLeftCell="A169" workbookViewId="0">
      <selection activeCell="E22" sqref="E22"/>
    </sheetView>
  </sheetViews>
  <sheetFormatPr defaultRowHeight="13.5" x14ac:dyDescent="0.15"/>
  <cols>
    <col min="1" max="1" width="22.625" style="20" customWidth="1"/>
    <col min="2" max="2" width="8.75" style="2"/>
    <col min="3" max="3" width="23.5" customWidth="1"/>
    <col min="4" max="4" width="15.125" style="2" bestFit="1" customWidth="1"/>
    <col min="5" max="5" width="12.875" style="2" customWidth="1"/>
    <col min="6" max="6" width="21.5" style="1" customWidth="1"/>
    <col min="7" max="7" width="9" style="2"/>
  </cols>
  <sheetData>
    <row r="1" spans="1:9" ht="27.75" customHeight="1" x14ac:dyDescent="0.15">
      <c r="E1" s="16" t="s">
        <v>161</v>
      </c>
      <c r="F1" s="15" t="s">
        <v>160</v>
      </c>
    </row>
    <row r="2" spans="1:9" x14ac:dyDescent="0.15">
      <c r="A2" s="21" t="s">
        <v>0</v>
      </c>
      <c r="B2" s="4" t="s">
        <v>1</v>
      </c>
      <c r="C2" s="3" t="s">
        <v>103</v>
      </c>
      <c r="D2" s="4" t="s">
        <v>159</v>
      </c>
      <c r="E2" s="4" t="s">
        <v>2</v>
      </c>
      <c r="F2" s="5" t="s">
        <v>158</v>
      </c>
      <c r="G2" s="4" t="s">
        <v>3</v>
      </c>
    </row>
    <row r="3" spans="1:9" x14ac:dyDescent="0.15">
      <c r="A3" s="22" t="s">
        <v>4</v>
      </c>
      <c r="B3" s="7">
        <f>VLOOKUP(A3,Sheet3!$A:$B,2,0)</f>
        <v>101015</v>
      </c>
      <c r="C3" s="7" t="str">
        <f>VLOOKUP(A3,Sheet3!$A:$C,3,0)</f>
        <v>1kg*10pc</v>
      </c>
      <c r="D3" s="7">
        <v>10</v>
      </c>
      <c r="E3" s="13"/>
      <c r="F3" s="14">
        <f>D3*E3</f>
        <v>0</v>
      </c>
      <c r="G3" s="7" t="s">
        <v>5</v>
      </c>
      <c r="I3" s="17"/>
    </row>
    <row r="4" spans="1:9" x14ac:dyDescent="0.15">
      <c r="A4" s="22" t="s">
        <v>6</v>
      </c>
      <c r="B4" s="7">
        <f>VLOOKUP(A4,Sheet3!$A:$B,2,0)</f>
        <v>101022</v>
      </c>
      <c r="C4" s="7" t="str">
        <f>VLOOKUP(A4,Sheet3!$A:$C,3,0)</f>
        <v>0.15kg*8枚*10pc</v>
      </c>
      <c r="D4" s="7">
        <v>12</v>
      </c>
      <c r="E4" s="13"/>
      <c r="F4" s="14">
        <f t="shared" ref="F4:F67" si="0">D4*E4</f>
        <v>0</v>
      </c>
      <c r="G4" s="7" t="s">
        <v>5</v>
      </c>
      <c r="I4" s="17"/>
    </row>
    <row r="5" spans="1:9" x14ac:dyDescent="0.15">
      <c r="A5" s="22" t="s">
        <v>7</v>
      </c>
      <c r="B5" s="7">
        <f>VLOOKUP(A5,Sheet3!$A:$B,2,0)</f>
        <v>101024</v>
      </c>
      <c r="C5" s="7" t="str">
        <f>VLOOKUP(A5,Sheet3!$A:$C,3,0)</f>
        <v>1kg*12pc</v>
      </c>
      <c r="D5" s="7">
        <v>12</v>
      </c>
      <c r="E5" s="13"/>
      <c r="F5" s="14">
        <f t="shared" si="0"/>
        <v>0</v>
      </c>
      <c r="G5" s="7" t="s">
        <v>5</v>
      </c>
      <c r="I5" s="17"/>
    </row>
    <row r="6" spans="1:9" x14ac:dyDescent="0.15">
      <c r="A6" s="22" t="s">
        <v>8</v>
      </c>
      <c r="B6" s="7">
        <f>VLOOKUP(A6,Sheet3!$A:$B,2,0)</f>
        <v>101025</v>
      </c>
      <c r="C6" s="7" t="str">
        <f>VLOOKUP(A6,Sheet3!$A:$C,3,0)</f>
        <v>3kg*4pc</v>
      </c>
      <c r="D6" s="7">
        <v>12</v>
      </c>
      <c r="E6" s="13"/>
      <c r="F6" s="14">
        <f t="shared" si="0"/>
        <v>0</v>
      </c>
      <c r="G6" s="7" t="s">
        <v>5</v>
      </c>
      <c r="I6" s="17"/>
    </row>
    <row r="7" spans="1:9" x14ac:dyDescent="0.15">
      <c r="A7" s="22" t="s">
        <v>10</v>
      </c>
      <c r="B7" s="7">
        <f>VLOOKUP(A7,Sheet3!$A:$B,2,0)</f>
        <v>101030</v>
      </c>
      <c r="C7" s="7" t="str">
        <f>VLOOKUP(A7,Sheet3!$A:$C,3,0)</f>
        <v>2kg*5pc</v>
      </c>
      <c r="D7" s="7">
        <v>10</v>
      </c>
      <c r="E7" s="13"/>
      <c r="F7" s="14">
        <f t="shared" si="0"/>
        <v>0</v>
      </c>
      <c r="G7" s="7" t="s">
        <v>5</v>
      </c>
      <c r="I7" s="17"/>
    </row>
    <row r="8" spans="1:9" x14ac:dyDescent="0.15">
      <c r="A8" s="22" t="s">
        <v>11</v>
      </c>
      <c r="B8" s="7">
        <f>VLOOKUP(A8,Sheet3!$A:$B,2,0)</f>
        <v>101040</v>
      </c>
      <c r="C8" s="7" t="str">
        <f>VLOOKUP(A8,Sheet3!$A:$C,3,0)</f>
        <v>0.096kg*50pc</v>
      </c>
      <c r="D8" s="7">
        <v>4.8</v>
      </c>
      <c r="E8" s="13">
        <v>1</v>
      </c>
      <c r="F8" s="14">
        <f t="shared" si="0"/>
        <v>4.8</v>
      </c>
      <c r="G8" s="7" t="s">
        <v>5</v>
      </c>
      <c r="I8" s="17"/>
    </row>
    <row r="9" spans="1:9" x14ac:dyDescent="0.15">
      <c r="A9" s="22" t="s">
        <v>12</v>
      </c>
      <c r="B9" s="7">
        <f>VLOOKUP(A9,Sheet3!$A:$B,2,0)</f>
        <v>101055</v>
      </c>
      <c r="C9" s="7" t="str">
        <f>VLOOKUP(A9,Sheet3!$A:$C,3,0)</f>
        <v>1kg*10pc</v>
      </c>
      <c r="D9" s="7">
        <v>10</v>
      </c>
      <c r="E9" s="13"/>
      <c r="F9" s="14">
        <f t="shared" si="0"/>
        <v>0</v>
      </c>
      <c r="G9" s="7" t="s">
        <v>5</v>
      </c>
      <c r="I9" s="17"/>
    </row>
    <row r="10" spans="1:9" x14ac:dyDescent="0.15">
      <c r="A10" s="22" t="s">
        <v>13</v>
      </c>
      <c r="B10" s="7">
        <f>VLOOKUP(A10,Sheet3!$A:$B,2,0)</f>
        <v>101063</v>
      </c>
      <c r="C10" s="7" t="str">
        <f>VLOOKUP(A10,Sheet3!$A:$C,3,0)</f>
        <v>3kg*4pc</v>
      </c>
      <c r="D10" s="7">
        <v>12</v>
      </c>
      <c r="E10" s="13">
        <v>1</v>
      </c>
      <c r="F10" s="14">
        <f t="shared" si="0"/>
        <v>12</v>
      </c>
      <c r="G10" s="7" t="s">
        <v>5</v>
      </c>
      <c r="I10" s="17"/>
    </row>
    <row r="11" spans="1:9" x14ac:dyDescent="0.15">
      <c r="A11" s="22" t="s">
        <v>14</v>
      </c>
      <c r="B11" s="7">
        <f>VLOOKUP(A11,Sheet3!$A:$B,2,0)</f>
        <v>101073</v>
      </c>
      <c r="C11" s="7" t="str">
        <f>VLOOKUP(A11,Sheet3!$A:$C,3,0)</f>
        <v>1kg*12pc</v>
      </c>
      <c r="D11" s="7">
        <v>12</v>
      </c>
      <c r="E11" s="13">
        <v>1</v>
      </c>
      <c r="F11" s="14">
        <f t="shared" si="0"/>
        <v>12</v>
      </c>
      <c r="G11" s="7" t="s">
        <v>5</v>
      </c>
      <c r="I11" s="17"/>
    </row>
    <row r="12" spans="1:9" x14ac:dyDescent="0.15">
      <c r="A12" s="22" t="s">
        <v>15</v>
      </c>
      <c r="B12" s="7">
        <f>VLOOKUP(A12,Sheet3!$A:$B,2,0)</f>
        <v>101189</v>
      </c>
      <c r="C12" s="7" t="str">
        <f>VLOOKUP(A12,Sheet3!$A:$C,3,0)</f>
        <v>0.9kg*14pc</v>
      </c>
      <c r="D12" s="7">
        <v>12.6</v>
      </c>
      <c r="E12" s="13"/>
      <c r="F12" s="14">
        <f t="shared" si="0"/>
        <v>0</v>
      </c>
      <c r="G12" s="7" t="s">
        <v>5</v>
      </c>
      <c r="I12" s="17"/>
    </row>
    <row r="13" spans="1:9" x14ac:dyDescent="0.15">
      <c r="A13" s="22" t="s">
        <v>16</v>
      </c>
      <c r="B13" s="7">
        <f>VLOOKUP(A13,Sheet3!$A:$B,2,0)</f>
        <v>101269</v>
      </c>
      <c r="C13" s="7" t="str">
        <f>VLOOKUP(A13,Sheet3!$A:$C,3,0)</f>
        <v>1kg*12</v>
      </c>
      <c r="D13" s="7">
        <v>12</v>
      </c>
      <c r="E13" s="13"/>
      <c r="F13" s="14">
        <f t="shared" si="0"/>
        <v>0</v>
      </c>
      <c r="G13" s="7" t="s">
        <v>5</v>
      </c>
      <c r="I13" s="17"/>
    </row>
    <row r="14" spans="1:9" x14ac:dyDescent="0.15">
      <c r="A14" s="22" t="s">
        <v>17</v>
      </c>
      <c r="B14" s="7">
        <f>VLOOKUP(A14,Sheet3!$A:$B,2,0)</f>
        <v>101329</v>
      </c>
      <c r="C14" s="7" t="str">
        <f>VLOOKUP(A14,Sheet3!$A:$C,3,0)</f>
        <v>3.5kg</v>
      </c>
      <c r="D14" s="7">
        <v>3.5</v>
      </c>
      <c r="E14" s="13"/>
      <c r="F14" s="14">
        <f t="shared" si="0"/>
        <v>0</v>
      </c>
      <c r="G14" s="7" t="s">
        <v>5</v>
      </c>
      <c r="I14" s="17"/>
    </row>
    <row r="15" spans="1:9" x14ac:dyDescent="0.15">
      <c r="A15" s="22" t="s">
        <v>18</v>
      </c>
      <c r="B15" s="7">
        <f>VLOOKUP(A15,Sheet3!$A:$B,2,0)</f>
        <v>101332</v>
      </c>
      <c r="C15" s="7" t="str">
        <f>VLOOKUP(A15,Sheet3!$A:$C,3,0)</f>
        <v>1kg*12pc</v>
      </c>
      <c r="D15" s="7">
        <v>12</v>
      </c>
      <c r="E15" s="13"/>
      <c r="F15" s="14">
        <f t="shared" si="0"/>
        <v>0</v>
      </c>
      <c r="G15" s="7" t="s">
        <v>5</v>
      </c>
      <c r="I15" s="17"/>
    </row>
    <row r="16" spans="1:9" x14ac:dyDescent="0.15">
      <c r="A16" s="22" t="s">
        <v>19</v>
      </c>
      <c r="B16" s="7">
        <f>VLOOKUP(A16,Sheet3!$A:$B,2,0)</f>
        <v>101490</v>
      </c>
      <c r="C16" s="7" t="str">
        <f>VLOOKUP(A16,Sheet3!$A:$C,3,0)</f>
        <v>0.09kg*18pc</v>
      </c>
      <c r="D16" s="7">
        <v>1.6199999999999999</v>
      </c>
      <c r="E16" s="13">
        <v>1</v>
      </c>
      <c r="F16" s="14">
        <f t="shared" si="0"/>
        <v>1.6199999999999999</v>
      </c>
      <c r="G16" s="7" t="s">
        <v>5</v>
      </c>
      <c r="I16" s="17"/>
    </row>
    <row r="17" spans="1:9" x14ac:dyDescent="0.15">
      <c r="A17" s="22" t="s">
        <v>20</v>
      </c>
      <c r="B17" s="7">
        <f>VLOOKUP(A17,Sheet3!$A:$B,2,0)</f>
        <v>101508</v>
      </c>
      <c r="C17" s="7" t="str">
        <f>VLOOKUP(A17,Sheet3!$A:$C,3,0)</f>
        <v>1kg*10pkt</v>
      </c>
      <c r="D17" s="7">
        <v>10</v>
      </c>
      <c r="E17" s="13"/>
      <c r="F17" s="14">
        <v>0</v>
      </c>
      <c r="G17" s="7" t="s">
        <v>5</v>
      </c>
      <c r="I17" s="17"/>
    </row>
    <row r="18" spans="1:9" x14ac:dyDescent="0.15">
      <c r="A18" s="22" t="s">
        <v>21</v>
      </c>
      <c r="B18" s="7">
        <f>VLOOKUP(A18,Sheet3!$A:$B,2,0)</f>
        <v>101543</v>
      </c>
      <c r="C18" s="7" t="str">
        <f>VLOOKUP(A18,Sheet3!$A:$C,3,0)</f>
        <v>0.16kg*60pc</v>
      </c>
      <c r="D18" s="7">
        <v>9.6</v>
      </c>
      <c r="E18" s="13"/>
      <c r="F18" s="14">
        <f t="shared" si="0"/>
        <v>0</v>
      </c>
      <c r="G18" s="7" t="s">
        <v>5</v>
      </c>
      <c r="I18" s="17"/>
    </row>
    <row r="19" spans="1:9" x14ac:dyDescent="0.15">
      <c r="A19" s="22" t="s">
        <v>22</v>
      </c>
      <c r="B19" s="7">
        <f>VLOOKUP(A19,Sheet3!$A:$B,2,0)</f>
        <v>101554</v>
      </c>
      <c r="C19" s="7" t="str">
        <f>VLOOKUP(A19,Sheet3!$A:$C,3,0)</f>
        <v>0.1kg*9pc</v>
      </c>
      <c r="D19" s="7">
        <v>0.9</v>
      </c>
      <c r="E19" s="13">
        <v>4</v>
      </c>
      <c r="F19" s="14">
        <f t="shared" si="0"/>
        <v>3.6</v>
      </c>
      <c r="G19" s="7" t="s">
        <v>5</v>
      </c>
      <c r="I19" s="17"/>
    </row>
    <row r="20" spans="1:9" x14ac:dyDescent="0.15">
      <c r="A20" s="22" t="s">
        <v>23</v>
      </c>
      <c r="B20" s="7">
        <f>VLOOKUP(A20,Sheet3!$A:$B,2,0)</f>
        <v>101576</v>
      </c>
      <c r="C20" s="7" t="str">
        <f>VLOOKUP(A20,Sheet3!$A:$C,3,0)</f>
        <v>1kg*12</v>
      </c>
      <c r="D20" s="7">
        <v>12</v>
      </c>
      <c r="E20" s="13"/>
      <c r="F20" s="14">
        <f t="shared" si="0"/>
        <v>0</v>
      </c>
      <c r="G20" s="7" t="s">
        <v>5</v>
      </c>
      <c r="I20" s="17"/>
    </row>
    <row r="21" spans="1:9" x14ac:dyDescent="0.15">
      <c r="A21" s="22" t="s">
        <v>25</v>
      </c>
      <c r="B21" s="7">
        <f>VLOOKUP(A21,Sheet3!$A:$B,2,0)</f>
        <v>101581</v>
      </c>
      <c r="C21" s="7" t="str">
        <f>VLOOKUP(A21,Sheet3!$A:$C,3,0)</f>
        <v>1kg*10pkt</v>
      </c>
      <c r="D21" s="7">
        <v>10</v>
      </c>
      <c r="E21" s="13">
        <v>1</v>
      </c>
      <c r="F21" s="14">
        <f t="shared" si="0"/>
        <v>10</v>
      </c>
      <c r="G21" s="7" t="s">
        <v>5</v>
      </c>
      <c r="I21" s="17"/>
    </row>
    <row r="22" spans="1:9" x14ac:dyDescent="0.15">
      <c r="A22" s="22" t="s">
        <v>26</v>
      </c>
      <c r="B22" s="7">
        <f>VLOOKUP(A22,Sheet3!$A:$B,2,0)</f>
        <v>101594</v>
      </c>
      <c r="C22" s="7" t="str">
        <f>VLOOKUP(A22,Sheet3!$A:$C,3,0)</f>
        <v>1kg*10pc</v>
      </c>
      <c r="D22" s="7">
        <v>10</v>
      </c>
      <c r="E22" s="13"/>
      <c r="F22" s="14">
        <f t="shared" si="0"/>
        <v>0</v>
      </c>
      <c r="G22" s="7" t="s">
        <v>5</v>
      </c>
      <c r="I22" s="17"/>
    </row>
    <row r="23" spans="1:9" x14ac:dyDescent="0.15">
      <c r="A23" s="22" t="s">
        <v>27</v>
      </c>
      <c r="B23" s="7">
        <f>VLOOKUP(A23,Sheet3!$A:$B,2,0)</f>
        <v>101595</v>
      </c>
      <c r="C23" s="7" t="str">
        <f>VLOOKUP(A23,Sheet3!$A:$C,3,0)</f>
        <v>1kg*10pc</v>
      </c>
      <c r="D23" s="7">
        <v>10</v>
      </c>
      <c r="E23" s="13"/>
      <c r="F23" s="14">
        <f t="shared" si="0"/>
        <v>0</v>
      </c>
      <c r="G23" s="7" t="s">
        <v>5</v>
      </c>
      <c r="I23" s="17"/>
    </row>
    <row r="24" spans="1:9" x14ac:dyDescent="0.15">
      <c r="A24" s="22" t="s">
        <v>28</v>
      </c>
      <c r="B24" s="7">
        <f>VLOOKUP(A24,Sheet3!$A:$B,2,0)</f>
        <v>101597</v>
      </c>
      <c r="C24" s="7" t="str">
        <f>VLOOKUP(A24,Sheet3!$A:$C,3,0)</f>
        <v>1kg*10pc</v>
      </c>
      <c r="D24" s="7">
        <v>10</v>
      </c>
      <c r="E24" s="13">
        <v>1</v>
      </c>
      <c r="F24" s="14">
        <f t="shared" si="0"/>
        <v>10</v>
      </c>
      <c r="G24" s="7" t="s">
        <v>5</v>
      </c>
      <c r="I24" s="17"/>
    </row>
    <row r="25" spans="1:9" x14ac:dyDescent="0.15">
      <c r="A25" s="22" t="s">
        <v>29</v>
      </c>
      <c r="B25" s="7">
        <f>VLOOKUP(A25,Sheet3!$A:$B,2,0)</f>
        <v>101606</v>
      </c>
      <c r="C25" s="7" t="str">
        <f>VLOOKUP(A25,Sheet3!$A:$C,3,0)</f>
        <v>0.12kg*50pc</v>
      </c>
      <c r="D25" s="7">
        <v>6</v>
      </c>
      <c r="E25" s="13"/>
      <c r="F25" s="14">
        <f t="shared" si="0"/>
        <v>0</v>
      </c>
      <c r="G25" s="7" t="s">
        <v>5</v>
      </c>
      <c r="I25" s="17"/>
    </row>
    <row r="26" spans="1:9" x14ac:dyDescent="0.15">
      <c r="A26" s="22" t="s">
        <v>30</v>
      </c>
      <c r="B26" s="7">
        <f>VLOOKUP(A26,Sheet3!$A:$B,2,0)</f>
        <v>101608</v>
      </c>
      <c r="C26" s="7" t="str">
        <f>VLOOKUP(A26,Sheet3!$A:$C,3,0)</f>
        <v>0.15kg*100pc</v>
      </c>
      <c r="D26" s="7">
        <v>15</v>
      </c>
      <c r="E26" s="13">
        <v>1</v>
      </c>
      <c r="F26" s="14">
        <f t="shared" si="0"/>
        <v>15</v>
      </c>
      <c r="G26" s="7" t="s">
        <v>5</v>
      </c>
      <c r="I26" s="17"/>
    </row>
    <row r="27" spans="1:9" x14ac:dyDescent="0.15">
      <c r="A27" s="22" t="s">
        <v>31</v>
      </c>
      <c r="B27" s="7">
        <f>VLOOKUP(A27,Sheet3!$A:$B,2,0)</f>
        <v>101610</v>
      </c>
      <c r="C27" s="7" t="str">
        <f>VLOOKUP(A27,Sheet3!$A:$C,3,0)</f>
        <v>1kg*10pkt</v>
      </c>
      <c r="D27" s="7">
        <v>10</v>
      </c>
      <c r="E27" s="13"/>
      <c r="F27" s="14">
        <f t="shared" si="0"/>
        <v>0</v>
      </c>
      <c r="G27" s="7" t="s">
        <v>5</v>
      </c>
      <c r="I27" s="17"/>
    </row>
    <row r="28" spans="1:9" x14ac:dyDescent="0.15">
      <c r="A28" s="22" t="s">
        <v>32</v>
      </c>
      <c r="B28" s="7">
        <f>VLOOKUP(A28,Sheet3!$A:$B,2,0)</f>
        <v>101617</v>
      </c>
      <c r="C28" s="7" t="str">
        <f>VLOOKUP(A28,Sheet3!$A:$C,3,0)</f>
        <v>9.8kg</v>
      </c>
      <c r="D28" s="7">
        <v>9.8000000000000007</v>
      </c>
      <c r="E28" s="13"/>
      <c r="F28" s="14">
        <f t="shared" si="0"/>
        <v>0</v>
      </c>
      <c r="G28" s="7" t="s">
        <v>5</v>
      </c>
      <c r="I28" s="17"/>
    </row>
    <row r="29" spans="1:9" x14ac:dyDescent="0.15">
      <c r="A29" s="22" t="s">
        <v>33</v>
      </c>
      <c r="B29" s="7">
        <f>VLOOKUP(A29,Sheet3!$A:$B,2,0)</f>
        <v>101624</v>
      </c>
      <c r="C29" s="7" t="str">
        <f>VLOOKUP(A29,Sheet3!$A:$C,3,0)</f>
        <v>1kg*10pkt</v>
      </c>
      <c r="D29" s="7">
        <v>10</v>
      </c>
      <c r="E29" s="13"/>
      <c r="F29" s="14">
        <f t="shared" si="0"/>
        <v>0</v>
      </c>
      <c r="G29" s="7" t="s">
        <v>5</v>
      </c>
      <c r="I29" s="17"/>
    </row>
    <row r="30" spans="1:9" x14ac:dyDescent="0.15">
      <c r="A30" s="22" t="s">
        <v>34</v>
      </c>
      <c r="B30" s="7">
        <f>VLOOKUP(A30,Sheet3!$A:$B,2,0)</f>
        <v>101635</v>
      </c>
      <c r="C30" s="7" t="str">
        <f>VLOOKUP(A30,Sheet3!$A:$C,3,0)</f>
        <v>0.6kg*6pkt</v>
      </c>
      <c r="D30" s="7">
        <v>3.5999999999999996</v>
      </c>
      <c r="E30" s="13">
        <v>1</v>
      </c>
      <c r="F30" s="14">
        <f t="shared" si="0"/>
        <v>3.5999999999999996</v>
      </c>
      <c r="G30" s="7" t="s">
        <v>5</v>
      </c>
      <c r="I30" s="17"/>
    </row>
    <row r="31" spans="1:9" x14ac:dyDescent="0.15">
      <c r="A31" s="22" t="s">
        <v>35</v>
      </c>
      <c r="B31" s="7">
        <f>VLOOKUP(A31,Sheet3!$A:$B,2,0)</f>
        <v>101638</v>
      </c>
      <c r="C31" s="7" t="str">
        <f>VLOOKUP(A31,Sheet3!$A:$C,3,0)</f>
        <v>1kg*12pc</v>
      </c>
      <c r="D31" s="7">
        <v>12</v>
      </c>
      <c r="E31" s="13"/>
      <c r="F31" s="14">
        <f t="shared" si="0"/>
        <v>0</v>
      </c>
      <c r="G31" s="7" t="s">
        <v>5</v>
      </c>
      <c r="I31" s="17"/>
    </row>
    <row r="32" spans="1:9" x14ac:dyDescent="0.15">
      <c r="A32" s="22" t="s">
        <v>36</v>
      </c>
      <c r="B32" s="7">
        <f>VLOOKUP(A32,Sheet3!$A:$B,2,0)</f>
        <v>101640</v>
      </c>
      <c r="C32" s="7" t="str">
        <f>VLOOKUP(A32,Sheet3!$A:$C,3,0)</f>
        <v>0.15kg*8枚*10pc</v>
      </c>
      <c r="D32" s="7">
        <v>12</v>
      </c>
      <c r="E32" s="13"/>
      <c r="F32" s="14">
        <f t="shared" si="0"/>
        <v>0</v>
      </c>
      <c r="G32" s="7" t="s">
        <v>5</v>
      </c>
      <c r="I32" s="17"/>
    </row>
    <row r="33" spans="1:9" x14ac:dyDescent="0.15">
      <c r="A33" s="22" t="s">
        <v>37</v>
      </c>
      <c r="B33" s="7">
        <f>VLOOKUP(A33,Sheet3!$A:$B,2,0)</f>
        <v>101641</v>
      </c>
      <c r="C33" s="7" t="str">
        <f>VLOOKUP(A33,Sheet3!$A:$C,3,0)</f>
        <v>1kg*12</v>
      </c>
      <c r="D33" s="7">
        <v>12</v>
      </c>
      <c r="E33" s="13"/>
      <c r="F33" s="14">
        <f t="shared" si="0"/>
        <v>0</v>
      </c>
      <c r="G33" s="7" t="s">
        <v>5</v>
      </c>
      <c r="I33" s="17"/>
    </row>
    <row r="34" spans="1:9" x14ac:dyDescent="0.15">
      <c r="A34" s="22" t="s">
        <v>39</v>
      </c>
      <c r="B34" s="7">
        <f>VLOOKUP(A34,Sheet3!$A:$B,2,0)</f>
        <v>101652</v>
      </c>
      <c r="C34" s="7" t="str">
        <f>VLOOKUP(A34,Sheet3!$A:$C,3,0)</f>
        <v>1kg*12pc</v>
      </c>
      <c r="D34" s="7">
        <v>12</v>
      </c>
      <c r="E34" s="13"/>
      <c r="F34" s="14">
        <f t="shared" si="0"/>
        <v>0</v>
      </c>
      <c r="G34" s="7" t="s">
        <v>5</v>
      </c>
      <c r="I34" s="17"/>
    </row>
    <row r="35" spans="1:9" x14ac:dyDescent="0.15">
      <c r="A35" s="22" t="s">
        <v>155</v>
      </c>
      <c r="B35" s="7">
        <f>VLOOKUP(A35,Sheet3!$A:$B,2,0)</f>
        <v>101655</v>
      </c>
      <c r="C35" s="7" t="str">
        <f>VLOOKUP(A35,Sheet3!$A:$C,3,0)</f>
        <v>0.5kg*16pc</v>
      </c>
      <c r="D35" s="7">
        <v>8</v>
      </c>
      <c r="E35" s="13"/>
      <c r="F35" s="14">
        <f t="shared" si="0"/>
        <v>0</v>
      </c>
      <c r="G35" s="7" t="s">
        <v>5</v>
      </c>
      <c r="I35" s="17"/>
    </row>
    <row r="36" spans="1:9" x14ac:dyDescent="0.15">
      <c r="A36" s="22" t="s">
        <v>41</v>
      </c>
      <c r="B36" s="7">
        <f>VLOOKUP(A36,Sheet3!$A:$B,2,0)</f>
        <v>101664</v>
      </c>
      <c r="C36" s="7" t="str">
        <f>VLOOKUP(A36,Sheet3!$A:$C,3,0)</f>
        <v>1.08kg*12pkt</v>
      </c>
      <c r="D36" s="7">
        <v>12.96</v>
      </c>
      <c r="E36" s="13"/>
      <c r="F36" s="14">
        <f t="shared" si="0"/>
        <v>0</v>
      </c>
      <c r="G36" s="7" t="s">
        <v>5</v>
      </c>
      <c r="I36" s="17"/>
    </row>
    <row r="37" spans="1:9" x14ac:dyDescent="0.15">
      <c r="A37" s="22" t="s">
        <v>252</v>
      </c>
      <c r="B37" s="7">
        <f>VLOOKUP(A37,Sheet3!$A:$B,2,0)</f>
        <v>101671</v>
      </c>
      <c r="C37" s="7" t="str">
        <f>VLOOKUP(A37,Sheet3!$A:$C,3,0)</f>
        <v>2kg*6pc</v>
      </c>
      <c r="D37" s="7">
        <v>12</v>
      </c>
      <c r="E37" s="13">
        <v>1</v>
      </c>
      <c r="F37" s="14">
        <f t="shared" si="0"/>
        <v>12</v>
      </c>
      <c r="G37" s="7" t="s">
        <v>5</v>
      </c>
      <c r="I37" s="17"/>
    </row>
    <row r="38" spans="1:9" x14ac:dyDescent="0.15">
      <c r="A38" s="22" t="s">
        <v>43</v>
      </c>
      <c r="B38" s="7">
        <f>VLOOKUP(A38,Sheet3!$A:$B,2,0)</f>
        <v>101672</v>
      </c>
      <c r="C38" s="7" t="str">
        <f>VLOOKUP(A38,Sheet3!$A:$C,3,0)</f>
        <v>3kg*4pc</v>
      </c>
      <c r="D38" s="7">
        <v>12</v>
      </c>
      <c r="E38" s="13"/>
      <c r="F38" s="14">
        <f t="shared" si="0"/>
        <v>0</v>
      </c>
      <c r="G38" s="7" t="s">
        <v>5</v>
      </c>
      <c r="I38" s="17"/>
    </row>
    <row r="39" spans="1:9" x14ac:dyDescent="0.15">
      <c r="A39" s="22" t="s">
        <v>40</v>
      </c>
      <c r="B39" s="7">
        <f>VLOOKUP(A39,Sheet3!$A:$B,2,0)</f>
        <v>101677</v>
      </c>
      <c r="C39" s="7" t="str">
        <f>VLOOKUP(A39,Sheet3!$A:$C,3,0)</f>
        <v>0.1kg*6pc</v>
      </c>
      <c r="D39" s="7">
        <v>0.60000000000000009</v>
      </c>
      <c r="E39" s="13"/>
      <c r="F39" s="14">
        <f t="shared" si="0"/>
        <v>0</v>
      </c>
      <c r="G39" s="7" t="s">
        <v>5</v>
      </c>
      <c r="I39" s="17"/>
    </row>
    <row r="40" spans="1:9" x14ac:dyDescent="0.15">
      <c r="A40" s="22" t="s">
        <v>162</v>
      </c>
      <c r="B40" s="7">
        <f>VLOOKUP(A40,Sheet3!$A:$B,2,0)</f>
        <v>101678</v>
      </c>
      <c r="C40" s="7" t="str">
        <f>VLOOKUP(A40,Sheet3!$A:$C,3,0)</f>
        <v>1kg*10pc</v>
      </c>
      <c r="D40" s="11">
        <v>10</v>
      </c>
      <c r="E40" s="13"/>
      <c r="F40" s="14">
        <f t="shared" si="0"/>
        <v>0</v>
      </c>
      <c r="G40" s="7" t="s">
        <v>5</v>
      </c>
      <c r="I40" s="17"/>
    </row>
    <row r="41" spans="1:9" x14ac:dyDescent="0.15">
      <c r="A41" s="22" t="s">
        <v>163</v>
      </c>
      <c r="B41" s="7">
        <f>VLOOKUP(A41,Sheet3!$A:$B,2,0)</f>
        <v>101680</v>
      </c>
      <c r="C41" s="7" t="str">
        <f>VLOOKUP(A41,Sheet3!$A:$C,3,0)</f>
        <v>0.16kg*50pc</v>
      </c>
      <c r="D41" s="11">
        <v>8</v>
      </c>
      <c r="E41" s="13">
        <v>1</v>
      </c>
      <c r="F41" s="14">
        <f t="shared" si="0"/>
        <v>8</v>
      </c>
      <c r="G41" s="7" t="s">
        <v>5</v>
      </c>
      <c r="I41" s="17"/>
    </row>
    <row r="42" spans="1:9" x14ac:dyDescent="0.15">
      <c r="A42" s="22" t="s">
        <v>164</v>
      </c>
      <c r="B42" s="7">
        <f>VLOOKUP(A42,Sheet3!$A:$B,2,0)</f>
        <v>101682</v>
      </c>
      <c r="C42" s="7" t="str">
        <f>VLOOKUP(A42,Sheet3!$A:$C,3,0)</f>
        <v>1kg*6pc</v>
      </c>
      <c r="D42" s="11">
        <v>6</v>
      </c>
      <c r="E42" s="13"/>
      <c r="F42" s="14">
        <f t="shared" si="0"/>
        <v>0</v>
      </c>
      <c r="G42" s="7" t="s">
        <v>5</v>
      </c>
      <c r="I42" s="17"/>
    </row>
    <row r="43" spans="1:9" x14ac:dyDescent="0.15">
      <c r="A43" s="22" t="s">
        <v>38</v>
      </c>
      <c r="B43" s="7">
        <f>VLOOKUP(A43,Sheet3!$A:$B,2,0)</f>
        <v>101688</v>
      </c>
      <c r="C43" s="7" t="str">
        <f>VLOOKUP(A43,Sheet3!$A:$C,3,0)</f>
        <v>0.16kg*50pc</v>
      </c>
      <c r="D43" s="11">
        <v>8</v>
      </c>
      <c r="E43" s="13"/>
      <c r="F43" s="14">
        <f t="shared" si="0"/>
        <v>0</v>
      </c>
      <c r="G43" s="7" t="s">
        <v>5</v>
      </c>
      <c r="I43" s="17"/>
    </row>
    <row r="44" spans="1:9" x14ac:dyDescent="0.15">
      <c r="A44" s="22" t="s">
        <v>167</v>
      </c>
      <c r="B44" s="7">
        <f>VLOOKUP(A44,Sheet3!$A:$B,2,0)</f>
        <v>101697</v>
      </c>
      <c r="C44" s="7" t="str">
        <f>VLOOKUP(A44,Sheet3!$A:$C,3,0)</f>
        <v>0.5kg*20pkt</v>
      </c>
      <c r="D44" s="11">
        <v>10</v>
      </c>
      <c r="E44" s="13"/>
      <c r="F44" s="14">
        <f t="shared" si="0"/>
        <v>0</v>
      </c>
      <c r="G44" s="7" t="s">
        <v>5</v>
      </c>
      <c r="I44" s="17"/>
    </row>
    <row r="45" spans="1:9" x14ac:dyDescent="0.15">
      <c r="A45" s="22" t="s">
        <v>168</v>
      </c>
      <c r="B45" s="7">
        <f>VLOOKUP(A45,Sheet3!$A:$B,2,0)</f>
        <v>101698</v>
      </c>
      <c r="C45" s="7" t="str">
        <f>VLOOKUP(A45,Sheet3!$A:$C,3,0)</f>
        <v>1kg*10pkt</v>
      </c>
      <c r="D45" s="11">
        <v>10</v>
      </c>
      <c r="E45" s="13"/>
      <c r="F45" s="14">
        <f t="shared" si="0"/>
        <v>0</v>
      </c>
      <c r="G45" s="7" t="s">
        <v>5</v>
      </c>
      <c r="I45" s="17"/>
    </row>
    <row r="46" spans="1:9" x14ac:dyDescent="0.15">
      <c r="A46" s="22" t="s">
        <v>170</v>
      </c>
      <c r="B46" s="7">
        <f>VLOOKUP(A46,Sheet3!$A:$B,2,0)</f>
        <v>101702</v>
      </c>
      <c r="C46" s="7" t="str">
        <f>VLOOKUP(A46,Sheet3!$A:$C,3,0)</f>
        <v>0.1kg*64pc</v>
      </c>
      <c r="D46" s="11">
        <v>6.4</v>
      </c>
      <c r="E46" s="13"/>
      <c r="F46" s="14">
        <f t="shared" si="0"/>
        <v>0</v>
      </c>
      <c r="G46" s="7" t="s">
        <v>5</v>
      </c>
      <c r="I46" s="17"/>
    </row>
    <row r="47" spans="1:9" x14ac:dyDescent="0.15">
      <c r="A47" s="22" t="s">
        <v>171</v>
      </c>
      <c r="B47" s="7">
        <f>VLOOKUP(A47,Sheet3!$A:$B,2,0)</f>
        <v>101703</v>
      </c>
      <c r="C47" s="7" t="str">
        <f>VLOOKUP(A47,Sheet3!$A:$C,3,0)</f>
        <v>0.4kg*20pc</v>
      </c>
      <c r="D47" s="11">
        <v>8</v>
      </c>
      <c r="E47" s="13"/>
      <c r="F47" s="14">
        <f t="shared" si="0"/>
        <v>0</v>
      </c>
      <c r="G47" s="7" t="s">
        <v>5</v>
      </c>
      <c r="I47" s="17"/>
    </row>
    <row r="48" spans="1:9" x14ac:dyDescent="0.15">
      <c r="A48" s="22" t="s">
        <v>177</v>
      </c>
      <c r="B48" s="7">
        <f>VLOOKUP(A48,Sheet3!$A:$B,2,0)</f>
        <v>101705</v>
      </c>
      <c r="C48" s="7" t="str">
        <f>VLOOKUP(A48,Sheet3!$A:$C,3,0)</f>
        <v>1.04kg*10pc</v>
      </c>
      <c r="D48" s="11">
        <v>10.4</v>
      </c>
      <c r="E48" s="13"/>
      <c r="F48" s="14">
        <f t="shared" si="0"/>
        <v>0</v>
      </c>
      <c r="G48" s="7" t="s">
        <v>5</v>
      </c>
      <c r="I48" s="17"/>
    </row>
    <row r="49" spans="1:9" x14ac:dyDescent="0.15">
      <c r="A49" s="22" t="s">
        <v>179</v>
      </c>
      <c r="B49" s="7">
        <f>VLOOKUP(A49,Sheet3!$A:$B,2,0)</f>
        <v>101708</v>
      </c>
      <c r="C49" s="7" t="str">
        <f>VLOOKUP(A49,Sheet3!$A:$C,3,0)</f>
        <v>0.0723kg*15*4pc</v>
      </c>
      <c r="D49" s="11">
        <v>4.3380000000000001</v>
      </c>
      <c r="E49" s="13"/>
      <c r="F49" s="14">
        <f t="shared" si="0"/>
        <v>0</v>
      </c>
      <c r="G49" s="7" t="s">
        <v>5</v>
      </c>
      <c r="I49" s="17"/>
    </row>
    <row r="50" spans="1:9" x14ac:dyDescent="0.15">
      <c r="A50" s="22" t="s">
        <v>180</v>
      </c>
      <c r="B50" s="7">
        <f>VLOOKUP(A50,Sheet3!$A:$B,2,0)</f>
        <v>101709</v>
      </c>
      <c r="C50" s="7" t="str">
        <f>VLOOKUP(A50,Sheet3!$A:$C,3,0)</f>
        <v>1kg*10pc</v>
      </c>
      <c r="D50" s="11">
        <v>10</v>
      </c>
      <c r="E50" s="13"/>
      <c r="F50" s="14">
        <f t="shared" si="0"/>
        <v>0</v>
      </c>
      <c r="G50" s="7" t="s">
        <v>5</v>
      </c>
      <c r="I50" s="17"/>
    </row>
    <row r="51" spans="1:9" x14ac:dyDescent="0.15">
      <c r="A51" s="22" t="s">
        <v>181</v>
      </c>
      <c r="B51" s="7">
        <f>VLOOKUP(A51,Sheet3!$A:$B,2,0)</f>
        <v>101710</v>
      </c>
      <c r="C51" s="7" t="str">
        <f>VLOOKUP(A51,Sheet3!$A:$C,3,0)</f>
        <v>43g*9个/盒</v>
      </c>
      <c r="D51" s="11">
        <v>0.38700000000000001</v>
      </c>
      <c r="E51" s="13">
        <v>2</v>
      </c>
      <c r="F51" s="14">
        <f t="shared" si="0"/>
        <v>0.77400000000000002</v>
      </c>
      <c r="G51" s="7" t="s">
        <v>5</v>
      </c>
      <c r="I51" s="17"/>
    </row>
    <row r="52" spans="1:9" x14ac:dyDescent="0.15">
      <c r="A52" s="22" t="s">
        <v>188</v>
      </c>
      <c r="B52" s="7">
        <f>VLOOKUP(A52,Sheet3!$A:$B,2,0)</f>
        <v>101711</v>
      </c>
      <c r="C52" s="7" t="str">
        <f>VLOOKUP(A52,Sheet3!$A:$C,3,0)</f>
        <v>1kg*6pc</v>
      </c>
      <c r="D52" s="11">
        <v>6</v>
      </c>
      <c r="E52" s="13"/>
      <c r="F52" s="14">
        <f t="shared" si="0"/>
        <v>0</v>
      </c>
      <c r="G52" s="7" t="s">
        <v>5</v>
      </c>
      <c r="I52" s="17"/>
    </row>
    <row r="53" spans="1:9" x14ac:dyDescent="0.15">
      <c r="A53" s="22" t="s">
        <v>189</v>
      </c>
      <c r="B53" s="7">
        <f>VLOOKUP(A53,Sheet3!$A:$B,2,0)</f>
        <v>101712</v>
      </c>
      <c r="C53" s="7" t="str">
        <f>VLOOKUP(A53,Sheet3!$A:$C,3,0)</f>
        <v>1kg*12pc</v>
      </c>
      <c r="D53" s="11">
        <v>12</v>
      </c>
      <c r="E53" s="13"/>
      <c r="F53" s="14">
        <f t="shared" si="0"/>
        <v>0</v>
      </c>
      <c r="G53" s="7" t="s">
        <v>5</v>
      </c>
      <c r="I53" s="17"/>
    </row>
    <row r="54" spans="1:9" x14ac:dyDescent="0.15">
      <c r="A54" s="22" t="s">
        <v>190</v>
      </c>
      <c r="B54" s="7">
        <f>VLOOKUP(A54,Sheet3!$A:$B,2,0)</f>
        <v>101716</v>
      </c>
      <c r="C54" s="7" t="str">
        <f>VLOOKUP(A54,Sheet3!$A:$C,3,0)</f>
        <v>200g*45袋</v>
      </c>
      <c r="D54" s="11">
        <v>9</v>
      </c>
      <c r="E54" s="13"/>
      <c r="F54" s="14">
        <f t="shared" si="0"/>
        <v>0</v>
      </c>
      <c r="G54" s="7" t="s">
        <v>5</v>
      </c>
      <c r="I54" s="17"/>
    </row>
    <row r="55" spans="1:9" x14ac:dyDescent="0.15">
      <c r="A55" s="22" t="s">
        <v>191</v>
      </c>
      <c r="B55" s="7">
        <f>VLOOKUP(A55,Sheet3!$A:$B,2,0)</f>
        <v>101717</v>
      </c>
      <c r="C55" s="7" t="str">
        <f>VLOOKUP(A55,Sheet3!$A:$C,3,0)</f>
        <v>85g*9</v>
      </c>
      <c r="D55" s="11">
        <v>0.76500000000000001</v>
      </c>
      <c r="E55" s="13">
        <v>1</v>
      </c>
      <c r="F55" s="14">
        <f t="shared" si="0"/>
        <v>0.76500000000000001</v>
      </c>
      <c r="G55" s="7" t="s">
        <v>5</v>
      </c>
      <c r="I55" s="17"/>
    </row>
    <row r="56" spans="1:9" x14ac:dyDescent="0.15">
      <c r="A56" s="22" t="s">
        <v>192</v>
      </c>
      <c r="B56" s="7">
        <f>VLOOKUP(A56,Sheet3!$A:$B,2,0)</f>
        <v>101718</v>
      </c>
      <c r="C56" s="7" t="str">
        <f>VLOOKUP(A56,Sheet3!$A:$C,3,0)</f>
        <v>1kg*10pc</v>
      </c>
      <c r="D56" s="11">
        <v>10</v>
      </c>
      <c r="E56" s="13"/>
      <c r="F56" s="14">
        <f t="shared" si="0"/>
        <v>0</v>
      </c>
      <c r="G56" s="7" t="s">
        <v>5</v>
      </c>
      <c r="I56" s="17"/>
    </row>
    <row r="57" spans="1:9" x14ac:dyDescent="0.15">
      <c r="A57" s="22" t="s">
        <v>193</v>
      </c>
      <c r="B57" s="7">
        <f>VLOOKUP(A57,Sheet3!$A:$B,2,0)</f>
        <v>101719</v>
      </c>
      <c r="C57" s="7" t="str">
        <f>VLOOKUP(A57,Sheet3!$A:$C,3,0)</f>
        <v>1kg*10</v>
      </c>
      <c r="D57" s="11">
        <v>10</v>
      </c>
      <c r="E57" s="13"/>
      <c r="F57" s="14">
        <f t="shared" si="0"/>
        <v>0</v>
      </c>
      <c r="G57" s="7" t="s">
        <v>5</v>
      </c>
      <c r="I57" s="17"/>
    </row>
    <row r="58" spans="1:9" x14ac:dyDescent="0.15">
      <c r="A58" s="22" t="s">
        <v>194</v>
      </c>
      <c r="B58" s="7">
        <f>VLOOKUP(A58,Sheet3!$A:$B,2,0)</f>
        <v>101720</v>
      </c>
      <c r="C58" s="7" t="str">
        <f>VLOOKUP(A58,Sheet3!$A:$C,3,0)</f>
        <v>0.2kg*20pc</v>
      </c>
      <c r="D58" s="11">
        <v>4</v>
      </c>
      <c r="E58" s="13"/>
      <c r="F58" s="14">
        <f t="shared" si="0"/>
        <v>0</v>
      </c>
      <c r="G58" s="7" t="s">
        <v>5</v>
      </c>
      <c r="I58" s="17"/>
    </row>
    <row r="59" spans="1:9" x14ac:dyDescent="0.15">
      <c r="A59" s="22" t="s">
        <v>195</v>
      </c>
      <c r="B59" s="7">
        <f>VLOOKUP(A59,Sheet3!$A:$B,2,0)</f>
        <v>101721</v>
      </c>
      <c r="C59" s="7" t="str">
        <f>VLOOKUP(A59,Sheet3!$A:$C,3,0)</f>
        <v>1kg*12pc</v>
      </c>
      <c r="D59" s="11">
        <v>12</v>
      </c>
      <c r="E59" s="13"/>
      <c r="F59" s="14">
        <f t="shared" si="0"/>
        <v>0</v>
      </c>
      <c r="G59" s="7" t="s">
        <v>5</v>
      </c>
      <c r="I59" s="17"/>
    </row>
    <row r="60" spans="1:9" x14ac:dyDescent="0.15">
      <c r="A60" s="22" t="s">
        <v>196</v>
      </c>
      <c r="B60" s="7">
        <f>VLOOKUP(A60,Sheet3!$A:$B,2,0)</f>
        <v>101723</v>
      </c>
      <c r="C60" s="7" t="str">
        <f>VLOOKUP(A60,Sheet3!$A:$C,3,0)</f>
        <v>0.15kg*80pc</v>
      </c>
      <c r="D60" s="11">
        <v>12</v>
      </c>
      <c r="E60" s="13"/>
      <c r="F60" s="14">
        <f t="shared" si="0"/>
        <v>0</v>
      </c>
      <c r="G60" s="7" t="s">
        <v>5</v>
      </c>
      <c r="I60" s="17"/>
    </row>
    <row r="61" spans="1:9" x14ac:dyDescent="0.15">
      <c r="A61" s="22" t="s">
        <v>197</v>
      </c>
      <c r="B61" s="7">
        <f>VLOOKUP(A61,Sheet3!$A:$B,2,0)</f>
        <v>101725</v>
      </c>
      <c r="C61" s="7" t="str">
        <f>VLOOKUP(A61,Sheet3!$A:$C,3,0)</f>
        <v>0.09kg*100pc</v>
      </c>
      <c r="D61" s="11">
        <v>9</v>
      </c>
      <c r="E61" s="13"/>
      <c r="F61" s="14">
        <f t="shared" si="0"/>
        <v>0</v>
      </c>
      <c r="G61" s="7" t="s">
        <v>5</v>
      </c>
      <c r="I61" s="17"/>
    </row>
    <row r="62" spans="1:9" x14ac:dyDescent="0.15">
      <c r="A62" s="22" t="s">
        <v>385</v>
      </c>
      <c r="B62" s="7">
        <f>VLOOKUP(A62,Sheet3!$A:$B,2,0)</f>
        <v>101727</v>
      </c>
      <c r="C62" s="7" t="str">
        <f>VLOOKUP(A62,Sheet3!$A:$C,3,0)</f>
        <v>200g*30</v>
      </c>
      <c r="D62" s="11">
        <v>6</v>
      </c>
      <c r="E62" s="13"/>
      <c r="F62" s="14">
        <f t="shared" si="0"/>
        <v>0</v>
      </c>
      <c r="G62" s="7" t="s">
        <v>5</v>
      </c>
      <c r="I62" s="17"/>
    </row>
    <row r="63" spans="1:9" x14ac:dyDescent="0.15">
      <c r="A63" s="22" t="s">
        <v>356</v>
      </c>
      <c r="B63" s="7">
        <f>VLOOKUP(A63,Sheet3!$A:$B,2,0)</f>
        <v>101732</v>
      </c>
      <c r="C63" s="7" t="str">
        <f>VLOOKUP(A63,Sheet3!$A:$C,3,0)</f>
        <v>1kg*10pkt</v>
      </c>
      <c r="D63" s="11">
        <v>10</v>
      </c>
      <c r="E63" s="13">
        <v>4</v>
      </c>
      <c r="F63" s="14">
        <f t="shared" si="0"/>
        <v>40</v>
      </c>
      <c r="G63" s="7" t="s">
        <v>5</v>
      </c>
      <c r="I63" s="17"/>
    </row>
    <row r="64" spans="1:9" x14ac:dyDescent="0.15">
      <c r="A64" s="22" t="s">
        <v>357</v>
      </c>
      <c r="B64" s="7">
        <f>VLOOKUP(A64,Sheet3!$A:$B,2,0)</f>
        <v>101733</v>
      </c>
      <c r="C64" s="7" t="str">
        <f>VLOOKUP(A64,Sheet3!$A:$C,3,0)</f>
        <v>1kg*10pc</v>
      </c>
      <c r="D64" s="11">
        <v>10</v>
      </c>
      <c r="E64" s="13"/>
      <c r="F64" s="14">
        <f t="shared" si="0"/>
        <v>0</v>
      </c>
      <c r="G64" s="7" t="s">
        <v>455</v>
      </c>
      <c r="I64" s="17"/>
    </row>
    <row r="65" spans="1:9" x14ac:dyDescent="0.15">
      <c r="A65" s="22" t="s">
        <v>358</v>
      </c>
      <c r="B65" s="7">
        <f>VLOOKUP(A65,Sheet3!$A:$B,2,0)</f>
        <v>101736</v>
      </c>
      <c r="C65" s="7" t="str">
        <f>VLOOKUP(A65,Sheet3!$A:$C,3,0)</f>
        <v>110g*6*12pc</v>
      </c>
      <c r="D65" s="11">
        <v>7.92</v>
      </c>
      <c r="E65" s="13"/>
      <c r="F65" s="14">
        <f t="shared" si="0"/>
        <v>0</v>
      </c>
      <c r="G65" s="7" t="s">
        <v>5</v>
      </c>
      <c r="I65" s="17"/>
    </row>
    <row r="66" spans="1:9" x14ac:dyDescent="0.15">
      <c r="A66" s="22" t="s">
        <v>359</v>
      </c>
      <c r="B66" s="7">
        <f>VLOOKUP(A66,Sheet3!$A:$B,2,0)</f>
        <v>101737</v>
      </c>
      <c r="C66" s="7" t="str">
        <f>VLOOKUP(A66,Sheet3!$A:$C,3,0)</f>
        <v>500g*20袋</v>
      </c>
      <c r="D66" s="11">
        <v>10</v>
      </c>
      <c r="E66" s="13"/>
      <c r="F66" s="14">
        <f t="shared" si="0"/>
        <v>0</v>
      </c>
      <c r="G66" s="7" t="s">
        <v>5</v>
      </c>
      <c r="I66" s="17"/>
    </row>
    <row r="67" spans="1:9" x14ac:dyDescent="0.15">
      <c r="A67" s="22" t="s">
        <v>360</v>
      </c>
      <c r="B67" s="7">
        <f>VLOOKUP(A67,Sheet3!$A:$B,2,0)</f>
        <v>101738</v>
      </c>
      <c r="C67" s="7" t="str">
        <f>VLOOKUP(A67,Sheet3!$A:$C,3,0)</f>
        <v>970g*6</v>
      </c>
      <c r="D67" s="11">
        <v>5.82</v>
      </c>
      <c r="E67" s="13"/>
      <c r="F67" s="14">
        <f t="shared" si="0"/>
        <v>0</v>
      </c>
      <c r="G67" s="7" t="s">
        <v>5</v>
      </c>
      <c r="I67" s="17"/>
    </row>
    <row r="68" spans="1:9" x14ac:dyDescent="0.15">
      <c r="A68" s="22" t="s">
        <v>361</v>
      </c>
      <c r="B68" s="7">
        <f>VLOOKUP(A68,Sheet3!$A:$B,2,0)</f>
        <v>101739</v>
      </c>
      <c r="C68" s="7" t="str">
        <f>VLOOKUP(A68,Sheet3!$A:$C,3,0)</f>
        <v>40g*20*12pc</v>
      </c>
      <c r="D68" s="11">
        <v>9.6</v>
      </c>
      <c r="E68" s="13"/>
      <c r="F68" s="14">
        <f t="shared" ref="F68:F130" si="1">D68*E68</f>
        <v>0</v>
      </c>
      <c r="G68" s="7" t="s">
        <v>5</v>
      </c>
      <c r="I68" s="17"/>
    </row>
    <row r="69" spans="1:9" x14ac:dyDescent="0.15">
      <c r="A69" s="22" t="s">
        <v>383</v>
      </c>
      <c r="B69" s="7">
        <f>VLOOKUP(A69,Sheet3!$A:$B,2,0)</f>
        <v>101740</v>
      </c>
      <c r="C69" s="7" t="str">
        <f>VLOOKUP(A69,Sheet3!$A:$C,3,0)</f>
        <v>55g*16*10pc</v>
      </c>
      <c r="D69" s="11">
        <v>8.8000000000000007</v>
      </c>
      <c r="E69" s="13"/>
      <c r="F69" s="14">
        <f t="shared" si="1"/>
        <v>0</v>
      </c>
      <c r="G69" s="7" t="s">
        <v>5</v>
      </c>
      <c r="I69" s="17"/>
    </row>
    <row r="70" spans="1:9" x14ac:dyDescent="0.15">
      <c r="A70" s="22" t="s">
        <v>384</v>
      </c>
      <c r="B70" s="7">
        <f>VLOOKUP(A70,Sheet3!$A:$B,2,0)</f>
        <v>101742</v>
      </c>
      <c r="C70" s="7" t="str">
        <f>VLOOKUP(A70,Sheet3!$A:$C,3,0)</f>
        <v>1kg*10pc</v>
      </c>
      <c r="D70" s="11">
        <v>10</v>
      </c>
      <c r="E70" s="13"/>
      <c r="F70" s="14">
        <f t="shared" si="1"/>
        <v>0</v>
      </c>
      <c r="G70" s="7" t="s">
        <v>5</v>
      </c>
      <c r="I70" s="17"/>
    </row>
    <row r="71" spans="1:9" x14ac:dyDescent="0.15">
      <c r="A71" s="22" t="s">
        <v>363</v>
      </c>
      <c r="B71" s="7">
        <f>VLOOKUP(A71,Sheet3!$A:$B,2,0)</f>
        <v>101744</v>
      </c>
      <c r="C71" s="7" t="str">
        <f>VLOOKUP(A71,Sheet3!$A:$C,3,0)</f>
        <v>0.4kg*30</v>
      </c>
      <c r="D71" s="11">
        <v>12</v>
      </c>
      <c r="E71" s="13"/>
      <c r="F71" s="14">
        <f t="shared" si="1"/>
        <v>0</v>
      </c>
      <c r="G71" s="7" t="s">
        <v>5</v>
      </c>
      <c r="I71" s="17"/>
    </row>
    <row r="72" spans="1:9" x14ac:dyDescent="0.15">
      <c r="A72" s="22" t="s">
        <v>364</v>
      </c>
      <c r="B72" s="7">
        <f>VLOOKUP(A72,Sheet3!$A:$B,2,0)</f>
        <v>101745</v>
      </c>
      <c r="C72" s="7" t="str">
        <f>VLOOKUP(A72,Sheet3!$A:$C,3,0)</f>
        <v>20g*50</v>
      </c>
      <c r="D72" s="11">
        <v>1</v>
      </c>
      <c r="E72" s="13"/>
      <c r="F72" s="14">
        <f t="shared" si="1"/>
        <v>0</v>
      </c>
      <c r="G72" s="7" t="s">
        <v>5</v>
      </c>
      <c r="I72" s="17"/>
    </row>
    <row r="73" spans="1:9" x14ac:dyDescent="0.15">
      <c r="A73" s="22" t="s">
        <v>366</v>
      </c>
      <c r="B73" s="7">
        <f>VLOOKUP(A73,Sheet3!$A:$B,2,0)</f>
        <v>101747</v>
      </c>
      <c r="C73" s="7" t="str">
        <f>VLOOKUP(A73,Sheet3!$A:$C,3,0)</f>
        <v>5.58kg</v>
      </c>
      <c r="D73" s="11">
        <v>5.58</v>
      </c>
      <c r="E73" s="13">
        <v>1</v>
      </c>
      <c r="F73" s="14">
        <f t="shared" si="1"/>
        <v>5.58</v>
      </c>
      <c r="G73" s="7" t="s">
        <v>5</v>
      </c>
      <c r="I73" s="17"/>
    </row>
    <row r="74" spans="1:9" x14ac:dyDescent="0.15">
      <c r="A74" s="22" t="s">
        <v>367</v>
      </c>
      <c r="B74" s="7">
        <f>VLOOKUP(A74,Sheet3!$A:$B,2,0)</f>
        <v>101748</v>
      </c>
      <c r="C74" s="7" t="str">
        <f>VLOOKUP(A74,Sheet3!$A:$C,3,0)</f>
        <v>60g*4*4</v>
      </c>
      <c r="D74" s="11">
        <v>0.96</v>
      </c>
      <c r="E74" s="13"/>
      <c r="F74" s="14">
        <f t="shared" si="1"/>
        <v>0</v>
      </c>
      <c r="G74" s="7" t="s">
        <v>5</v>
      </c>
      <c r="I74" s="17"/>
    </row>
    <row r="75" spans="1:9" x14ac:dyDescent="0.15">
      <c r="A75" s="22" t="s">
        <v>369</v>
      </c>
      <c r="B75" s="7">
        <f>VLOOKUP(A75,Sheet3!$A:$B,2,0)</f>
        <v>101751</v>
      </c>
      <c r="C75" s="7" t="str">
        <f>VLOOKUP(A75,Sheet3!$A:$C,3,0)</f>
        <v>500g*10 袋/箱</v>
      </c>
      <c r="D75" s="11">
        <v>5</v>
      </c>
      <c r="E75" s="13"/>
      <c r="F75" s="14">
        <f t="shared" si="1"/>
        <v>0</v>
      </c>
      <c r="G75" s="7" t="s">
        <v>5</v>
      </c>
      <c r="I75" s="17"/>
    </row>
    <row r="76" spans="1:9" x14ac:dyDescent="0.15">
      <c r="A76" s="22" t="s">
        <v>457</v>
      </c>
      <c r="B76" s="7">
        <f>VLOOKUP(A76,Sheet3!$A:$B,2,0)</f>
        <v>101752</v>
      </c>
      <c r="C76" s="7" t="str">
        <f>VLOOKUP(A76,Sheet3!$A:$C,3,0)</f>
        <v>1kg*10pc</v>
      </c>
      <c r="D76" s="11">
        <v>10</v>
      </c>
      <c r="E76" s="13"/>
      <c r="F76" s="14">
        <f t="shared" si="1"/>
        <v>0</v>
      </c>
      <c r="G76" s="7" t="s">
        <v>5</v>
      </c>
      <c r="I76" s="17"/>
    </row>
    <row r="77" spans="1:9" x14ac:dyDescent="0.15">
      <c r="A77" s="22" t="s">
        <v>387</v>
      </c>
      <c r="B77" s="7">
        <f>VLOOKUP(A77,Sheet3!$A:$B,2,0)</f>
        <v>101753</v>
      </c>
      <c r="C77" s="7" t="str">
        <f>VLOOKUP(A77,Sheet3!$A:$C,3,0)</f>
        <v>110g*60pc</v>
      </c>
      <c r="D77" s="11">
        <v>6.6</v>
      </c>
      <c r="E77" s="13">
        <v>1</v>
      </c>
      <c r="F77" s="14">
        <f t="shared" si="1"/>
        <v>6.6</v>
      </c>
      <c r="G77" s="7" t="s">
        <v>5</v>
      </c>
      <c r="I77" s="17"/>
    </row>
    <row r="78" spans="1:9" x14ac:dyDescent="0.15">
      <c r="A78" s="22" t="s">
        <v>390</v>
      </c>
      <c r="B78" s="7">
        <f>VLOOKUP(A78,Sheet3!$A:$B,2,0)</f>
        <v>101754</v>
      </c>
      <c r="C78" s="7" t="str">
        <f>VLOOKUP(A78,Sheet3!$A:$C,3,0)</f>
        <v>500g*10pc</v>
      </c>
      <c r="D78" s="11">
        <v>5</v>
      </c>
      <c r="E78" s="13">
        <v>1</v>
      </c>
      <c r="F78" s="14">
        <f t="shared" si="1"/>
        <v>5</v>
      </c>
      <c r="G78" s="7" t="s">
        <v>5</v>
      </c>
      <c r="I78" s="17"/>
    </row>
    <row r="79" spans="1:9" x14ac:dyDescent="0.15">
      <c r="A79" s="22" t="s">
        <v>391</v>
      </c>
      <c r="B79" s="7">
        <f>VLOOKUP(A79,Sheet3!$A:$B,2,0)</f>
        <v>101755</v>
      </c>
      <c r="C79" s="7" t="str">
        <f>VLOOKUP(A79,Sheet3!$A:$C,3,0)</f>
        <v>1kg*4pc</v>
      </c>
      <c r="D79" s="11">
        <v>4</v>
      </c>
      <c r="E79" s="13"/>
      <c r="F79" s="14">
        <f t="shared" si="1"/>
        <v>0</v>
      </c>
      <c r="G79" s="7" t="s">
        <v>5</v>
      </c>
      <c r="I79" s="17"/>
    </row>
    <row r="80" spans="1:9" x14ac:dyDescent="0.15">
      <c r="A80" s="22" t="s">
        <v>392</v>
      </c>
      <c r="B80" s="7">
        <f>VLOOKUP(A80,Sheet3!$A:$B,2,0)</f>
        <v>101756</v>
      </c>
      <c r="C80" s="7" t="str">
        <f>VLOOKUP(A80,Sheet3!$A:$C,3,0)</f>
        <v>200g*20pc</v>
      </c>
      <c r="D80" s="11">
        <v>4</v>
      </c>
      <c r="E80" s="13"/>
      <c r="F80" s="14">
        <f t="shared" si="1"/>
        <v>0</v>
      </c>
      <c r="G80" s="7" t="s">
        <v>5</v>
      </c>
      <c r="I80" s="17"/>
    </row>
    <row r="81" spans="1:9" x14ac:dyDescent="0.15">
      <c r="A81" s="22" t="s">
        <v>366</v>
      </c>
      <c r="B81" s="7">
        <f>VLOOKUP(A81,Sheet3!$A:$B,2,0)</f>
        <v>101747</v>
      </c>
      <c r="C81" s="7" t="str">
        <f>VLOOKUP(A81,Sheet3!$A:$C,3,0)</f>
        <v>5.58kg</v>
      </c>
      <c r="D81" s="11">
        <v>5.58</v>
      </c>
      <c r="E81" s="13"/>
      <c r="F81" s="14">
        <f t="shared" si="1"/>
        <v>0</v>
      </c>
      <c r="G81" s="7" t="s">
        <v>5</v>
      </c>
      <c r="I81" s="17"/>
    </row>
    <row r="82" spans="1:9" x14ac:dyDescent="0.15">
      <c r="A82" s="22" t="s">
        <v>394</v>
      </c>
      <c r="B82" s="7">
        <f>VLOOKUP(A82,Sheet3!$A:$B,2,0)</f>
        <v>101058</v>
      </c>
      <c r="C82" s="7" t="str">
        <f>VLOOKUP(A82,Sheet3!$A:$C,3,0)</f>
        <v>220g/枚*12枚/包*4包/箱</v>
      </c>
      <c r="D82" s="11">
        <v>10.56</v>
      </c>
      <c r="E82" s="13">
        <v>1</v>
      </c>
      <c r="F82" s="14">
        <f t="shared" si="1"/>
        <v>10.56</v>
      </c>
      <c r="G82" s="7" t="s">
        <v>5</v>
      </c>
      <c r="I82" s="17"/>
    </row>
    <row r="83" spans="1:9" x14ac:dyDescent="0.15">
      <c r="A83" s="22" t="s">
        <v>395</v>
      </c>
      <c r="B83" s="7">
        <f>VLOOKUP(A83,Sheet3!$A:$B,2,0)</f>
        <v>101758</v>
      </c>
      <c r="C83" s="7" t="str">
        <f>VLOOKUP(A83,Sheet3!$A:$C,3,0)</f>
        <v>220g/枚*12枚/包*4包/箱</v>
      </c>
      <c r="D83" s="11">
        <v>10.56</v>
      </c>
      <c r="E83" s="13"/>
      <c r="F83" s="14">
        <f t="shared" si="1"/>
        <v>0</v>
      </c>
      <c r="G83" s="7" t="s">
        <v>5</v>
      </c>
      <c r="I83" s="17"/>
    </row>
    <row r="84" spans="1:9" x14ac:dyDescent="0.15">
      <c r="A84" s="22" t="s">
        <v>396</v>
      </c>
      <c r="B84" s="7">
        <f>VLOOKUP(A84,Sheet3!$A:$B,2,0)</f>
        <v>101759</v>
      </c>
      <c r="C84" s="7" t="str">
        <f>VLOOKUP(A84,Sheet3!$A:$C,3,0)</f>
        <v>20g/串*20串/袋*24袋/箱</v>
      </c>
      <c r="D84" s="11">
        <v>9.6</v>
      </c>
      <c r="E84" s="13"/>
      <c r="F84" s="14">
        <f t="shared" si="1"/>
        <v>0</v>
      </c>
      <c r="G84" s="7" t="s">
        <v>5</v>
      </c>
      <c r="I84" s="17"/>
    </row>
    <row r="85" spans="1:9" x14ac:dyDescent="0.15">
      <c r="A85" s="22" t="s">
        <v>397</v>
      </c>
      <c r="B85" s="7">
        <f>VLOOKUP(A85,Sheet3!$A:$B,2,0)</f>
        <v>101760</v>
      </c>
      <c r="C85" s="7" t="str">
        <f>VLOOKUP(A85,Sheet3!$A:$C,3,0)</f>
        <v>20g/串*20串/袋*24袋/箱</v>
      </c>
      <c r="D85" s="11">
        <v>9.6</v>
      </c>
      <c r="E85" s="13"/>
      <c r="F85" s="14">
        <f t="shared" si="1"/>
        <v>0</v>
      </c>
      <c r="G85" s="7" t="s">
        <v>5</v>
      </c>
      <c r="I85" s="17"/>
    </row>
    <row r="86" spans="1:9" x14ac:dyDescent="0.15">
      <c r="A86" s="22" t="s">
        <v>398</v>
      </c>
      <c r="B86" s="7">
        <f>VLOOKUP(A86,Sheet3!$A:$B,2,0)</f>
        <v>101761</v>
      </c>
      <c r="C86" s="7" t="str">
        <f>VLOOKUP(A86,Sheet3!$A:$C,3,0)</f>
        <v>500g*18</v>
      </c>
      <c r="D86" s="11">
        <v>9</v>
      </c>
      <c r="E86" s="13"/>
      <c r="F86" s="14">
        <f t="shared" si="1"/>
        <v>0</v>
      </c>
      <c r="G86" s="7" t="s">
        <v>5</v>
      </c>
      <c r="I86" s="17"/>
    </row>
    <row r="87" spans="1:9" x14ac:dyDescent="0.15">
      <c r="A87" s="22" t="s">
        <v>399</v>
      </c>
      <c r="B87" s="7">
        <f>VLOOKUP(A87,Sheet3!$A:$B,2,0)</f>
        <v>101762</v>
      </c>
      <c r="C87" s="7" t="str">
        <f>VLOOKUP(A87,Sheet3!$A:$C,3,0)</f>
        <v>25g*40*10pc</v>
      </c>
      <c r="D87" s="11">
        <v>10</v>
      </c>
      <c r="E87" s="13"/>
      <c r="F87" s="14">
        <f t="shared" si="1"/>
        <v>0</v>
      </c>
      <c r="G87" s="7" t="s">
        <v>5</v>
      </c>
      <c r="I87" s="17"/>
    </row>
    <row r="88" spans="1:9" x14ac:dyDescent="0.15">
      <c r="A88" s="22" t="s">
        <v>401</v>
      </c>
      <c r="B88" s="7">
        <f>VLOOKUP(A88,Sheet3!$A:$B,2,0)</f>
        <v>101764</v>
      </c>
      <c r="C88" s="7" t="str">
        <f>VLOOKUP(A88,Sheet3!$A:$C,3,0)</f>
        <v>25g*40*10pc</v>
      </c>
      <c r="D88" s="11">
        <v>10</v>
      </c>
      <c r="E88" s="13"/>
      <c r="F88" s="14">
        <f t="shared" si="1"/>
        <v>0</v>
      </c>
      <c r="G88" s="7" t="s">
        <v>5</v>
      </c>
      <c r="I88" s="17"/>
    </row>
    <row r="89" spans="1:9" x14ac:dyDescent="0.15">
      <c r="A89" s="22" t="s">
        <v>402</v>
      </c>
      <c r="B89" s="7">
        <f>VLOOKUP(A89,Sheet3!$A:$B,2,0)</f>
        <v>101765</v>
      </c>
      <c r="C89" s="7" t="str">
        <f>VLOOKUP(A89,Sheet3!$A:$C,3,0)</f>
        <v>1kg*12pc</v>
      </c>
      <c r="D89" s="11">
        <v>12</v>
      </c>
      <c r="E89" s="13">
        <v>1</v>
      </c>
      <c r="F89" s="14">
        <f t="shared" si="1"/>
        <v>12</v>
      </c>
      <c r="G89" s="7" t="s">
        <v>5</v>
      </c>
      <c r="I89" s="17"/>
    </row>
    <row r="90" spans="1:9" x14ac:dyDescent="0.15">
      <c r="A90" s="22" t="s">
        <v>403</v>
      </c>
      <c r="B90" s="7">
        <f>VLOOKUP(A90,Sheet3!$A:$B,2,0)</f>
        <v>101766</v>
      </c>
      <c r="C90" s="7" t="str">
        <f>VLOOKUP(A90,Sheet3!$A:$C,3,0)</f>
        <v>500g*20pc</v>
      </c>
      <c r="D90" s="11">
        <v>10</v>
      </c>
      <c r="E90" s="13"/>
      <c r="F90" s="14">
        <f t="shared" si="1"/>
        <v>0</v>
      </c>
      <c r="G90" s="7" t="s">
        <v>5</v>
      </c>
      <c r="I90" s="17"/>
    </row>
    <row r="91" spans="1:9" x14ac:dyDescent="0.15">
      <c r="A91" s="22" t="s">
        <v>404</v>
      </c>
      <c r="B91" s="7">
        <f>VLOOKUP(A91,Sheet3!$A:$B,2,0)</f>
        <v>101767</v>
      </c>
      <c r="C91" s="7" t="str">
        <f>VLOOKUP(A91,Sheet3!$A:$C,3,0)</f>
        <v>1ｋｇ*12ｐｃ</v>
      </c>
      <c r="D91" s="11">
        <v>12</v>
      </c>
      <c r="E91" s="13"/>
      <c r="F91" s="14">
        <f t="shared" si="1"/>
        <v>0</v>
      </c>
      <c r="G91" s="7" t="s">
        <v>5</v>
      </c>
      <c r="I91" s="17"/>
    </row>
    <row r="92" spans="1:9" x14ac:dyDescent="0.15">
      <c r="A92" s="22" t="s">
        <v>456</v>
      </c>
      <c r="B92" s="7">
        <f>VLOOKUP(A92,Sheet3!$A:$B,2,0)</f>
        <v>101768</v>
      </c>
      <c r="C92" s="7" t="str">
        <f>VLOOKUP(A92,Sheet3!$A:$C,3,0)</f>
        <v>76g*7*4pc</v>
      </c>
      <c r="D92" s="11">
        <v>2.1280000000000001</v>
      </c>
      <c r="E92" s="13"/>
      <c r="F92" s="14">
        <f t="shared" si="1"/>
        <v>0</v>
      </c>
      <c r="G92" s="7" t="s">
        <v>5</v>
      </c>
      <c r="I92" s="17"/>
    </row>
    <row r="93" spans="1:9" x14ac:dyDescent="0.15">
      <c r="A93" s="22" t="s">
        <v>458</v>
      </c>
      <c r="B93" s="7">
        <f>VLOOKUP(A93,Sheet3!$A:$B,2,0)</f>
        <v>101770</v>
      </c>
      <c r="C93" s="7" t="str">
        <f>VLOOKUP(A93,Sheet3!$A:$C,3,0)</f>
        <v>200g*8盒</v>
      </c>
      <c r="D93" s="7">
        <v>1.6</v>
      </c>
      <c r="E93" s="13"/>
      <c r="F93" s="14">
        <f t="shared" si="1"/>
        <v>0</v>
      </c>
      <c r="G93" s="7" t="s">
        <v>5</v>
      </c>
      <c r="I93" s="17"/>
    </row>
    <row r="94" spans="1:9" x14ac:dyDescent="0.15">
      <c r="A94" s="22" t="s">
        <v>459</v>
      </c>
      <c r="B94" s="7">
        <f>VLOOKUP(A94,Sheet3!$A:$B,2,0)</f>
        <v>101771</v>
      </c>
      <c r="C94" s="7" t="str">
        <f>VLOOKUP(A94,Sheet3!$A:$C,3,0)</f>
        <v>500g*20pc</v>
      </c>
      <c r="D94" s="7">
        <v>10</v>
      </c>
      <c r="E94" s="13"/>
      <c r="F94" s="14">
        <f t="shared" si="1"/>
        <v>0</v>
      </c>
      <c r="G94" s="7" t="s">
        <v>5</v>
      </c>
      <c r="I94" s="17"/>
    </row>
    <row r="95" spans="1:9" x14ac:dyDescent="0.15">
      <c r="A95" s="22" t="s">
        <v>460</v>
      </c>
      <c r="B95" s="7">
        <f>VLOOKUP(A95,Sheet3!$A:$B,2,0)</f>
        <v>101772</v>
      </c>
      <c r="C95" s="7" t="str">
        <f>VLOOKUP(A95,Sheet3!$A:$C,3,0)</f>
        <v>2KG*5包</v>
      </c>
      <c r="D95" s="7">
        <v>10</v>
      </c>
      <c r="E95" s="13">
        <v>1</v>
      </c>
      <c r="F95" s="14">
        <f t="shared" si="1"/>
        <v>10</v>
      </c>
      <c r="G95" s="7" t="s">
        <v>5</v>
      </c>
      <c r="I95" s="17"/>
    </row>
    <row r="96" spans="1:9" x14ac:dyDescent="0.15">
      <c r="A96" s="22" t="s">
        <v>461</v>
      </c>
      <c r="B96" s="7">
        <f>VLOOKUP(A96,Sheet3!$A:$B,2,0)</f>
        <v>101773</v>
      </c>
      <c r="C96" s="7" t="str">
        <f>VLOOKUP(A96,Sheet3!$A:$C,3,0)</f>
        <v>250g*48pc</v>
      </c>
      <c r="D96" s="7">
        <v>12</v>
      </c>
      <c r="E96" s="13"/>
      <c r="F96" s="14">
        <f t="shared" si="1"/>
        <v>0</v>
      </c>
      <c r="G96" s="7" t="s">
        <v>5</v>
      </c>
      <c r="I96" s="17"/>
    </row>
    <row r="97" spans="1:10" x14ac:dyDescent="0.15">
      <c r="A97" s="22" t="s">
        <v>462</v>
      </c>
      <c r="B97" s="7">
        <f>VLOOKUP(A97,Sheet3!$A:$B,2,0)</f>
        <v>101775</v>
      </c>
      <c r="C97" s="7" t="str">
        <f>VLOOKUP(A97,Sheet3!$A:$C,3,0)</f>
        <v>3KG×4 袋</v>
      </c>
      <c r="D97" s="7">
        <v>12</v>
      </c>
      <c r="E97" s="13"/>
      <c r="F97" s="14">
        <f t="shared" si="1"/>
        <v>0</v>
      </c>
      <c r="G97" s="7" t="s">
        <v>5</v>
      </c>
      <c r="I97" s="17"/>
    </row>
    <row r="98" spans="1:10" x14ac:dyDescent="0.15">
      <c r="A98" s="22" t="s">
        <v>463</v>
      </c>
      <c r="B98" s="7">
        <f>VLOOKUP(A98,Sheet3!$A:$B,2,0)</f>
        <v>101776</v>
      </c>
      <c r="C98" s="7" t="str">
        <f>VLOOKUP(A98,Sheet3!$A:$C,3,0)</f>
        <v>1kg*10pc</v>
      </c>
      <c r="D98" s="7">
        <v>10</v>
      </c>
      <c r="E98" s="13"/>
      <c r="F98" s="14">
        <f t="shared" si="1"/>
        <v>0</v>
      </c>
      <c r="G98" s="7" t="s">
        <v>5</v>
      </c>
      <c r="I98" s="17"/>
    </row>
    <row r="99" spans="1:10" x14ac:dyDescent="0.15">
      <c r="A99" s="22" t="s">
        <v>464</v>
      </c>
      <c r="B99" s="7">
        <f>VLOOKUP(A99,Sheet3!$A:$B,2,0)</f>
        <v>101777</v>
      </c>
      <c r="C99" s="7" t="str">
        <f>VLOOKUP(A99,Sheet3!$A:$C,3,0)</f>
        <v>65g*12</v>
      </c>
      <c r="D99" s="7">
        <v>0.78</v>
      </c>
      <c r="E99" s="13"/>
      <c r="F99" s="14">
        <f t="shared" si="1"/>
        <v>0</v>
      </c>
      <c r="G99" s="7" t="s">
        <v>5</v>
      </c>
      <c r="I99" s="17"/>
    </row>
    <row r="100" spans="1:10" x14ac:dyDescent="0.15">
      <c r="A100" s="22" t="s">
        <v>465</v>
      </c>
      <c r="B100" s="7">
        <f>VLOOKUP(A100,Sheet3!$A:$B,2,0)</f>
        <v>101778</v>
      </c>
      <c r="C100" s="7" t="str">
        <f>VLOOKUP(A100,Sheet3!$A:$C,3,0)</f>
        <v>150g*100pc</v>
      </c>
      <c r="D100" s="7">
        <v>15</v>
      </c>
      <c r="E100" s="13"/>
      <c r="F100" s="14">
        <f t="shared" si="1"/>
        <v>0</v>
      </c>
      <c r="G100" s="7" t="s">
        <v>5</v>
      </c>
      <c r="I100" s="17"/>
    </row>
    <row r="101" spans="1:10" x14ac:dyDescent="0.15">
      <c r="A101" s="22" t="s">
        <v>466</v>
      </c>
      <c r="B101" s="7">
        <f>VLOOKUP(A101,Sheet3!$A:$B,2,0)</f>
        <v>101779</v>
      </c>
      <c r="C101" s="7" t="str">
        <f>VLOOKUP(A101,Sheet3!$A:$C,3,0)</f>
        <v>250g*20</v>
      </c>
      <c r="D101" s="7">
        <v>5</v>
      </c>
      <c r="E101" s="13"/>
      <c r="F101" s="14">
        <f t="shared" si="1"/>
        <v>0</v>
      </c>
      <c r="G101" s="7" t="s">
        <v>5</v>
      </c>
      <c r="I101" s="17"/>
    </row>
    <row r="102" spans="1:10" x14ac:dyDescent="0.15">
      <c r="A102" s="22" t="s">
        <v>467</v>
      </c>
      <c r="B102" s="7">
        <f>VLOOKUP(A102,Sheet3!$A:$B,2,0)</f>
        <v>101780</v>
      </c>
      <c r="C102" s="7" t="str">
        <f>VLOOKUP(A102,Sheet3!$A:$C,3,0)</f>
        <v>1kg*10pc</v>
      </c>
      <c r="D102" s="7">
        <v>10</v>
      </c>
      <c r="E102" s="13"/>
      <c r="F102" s="14">
        <f t="shared" si="1"/>
        <v>0</v>
      </c>
      <c r="G102" s="7" t="s">
        <v>5</v>
      </c>
      <c r="I102" s="17"/>
    </row>
    <row r="103" spans="1:10" x14ac:dyDescent="0.15">
      <c r="A103" s="22" t="s">
        <v>9</v>
      </c>
      <c r="B103" s="7">
        <v>101781</v>
      </c>
      <c r="C103" s="7" t="s">
        <v>124</v>
      </c>
      <c r="D103" s="7">
        <v>10</v>
      </c>
      <c r="E103" s="13"/>
      <c r="F103" s="14">
        <f t="shared" si="1"/>
        <v>0</v>
      </c>
      <c r="G103" s="7" t="s">
        <v>5</v>
      </c>
      <c r="I103" s="17"/>
    </row>
    <row r="104" spans="1:10" x14ac:dyDescent="0.15">
      <c r="A104" s="22" t="s">
        <v>9</v>
      </c>
      <c r="B104" s="7">
        <f>VLOOKUP(A104,Sheet3!$A:$B,2,0)</f>
        <v>101027</v>
      </c>
      <c r="C104" s="7" t="str">
        <f>VLOOKUP(A104,Sheet3!$A:$C,3,0)</f>
        <v>1kg*6pc</v>
      </c>
      <c r="D104" s="7">
        <v>6</v>
      </c>
      <c r="E104" s="13"/>
      <c r="F104" s="14">
        <f t="shared" si="1"/>
        <v>0</v>
      </c>
      <c r="G104" s="7" t="s">
        <v>5</v>
      </c>
      <c r="I104" s="17"/>
    </row>
    <row r="105" spans="1:10" s="12" customFormat="1" x14ac:dyDescent="0.15">
      <c r="A105" s="22" t="s">
        <v>55</v>
      </c>
      <c r="B105" s="7">
        <f>VLOOKUP(A105,Sheet3!$A:$B,2,0)</f>
        <v>101133</v>
      </c>
      <c r="C105" s="7" t="str">
        <f>VLOOKUP(A105,Sheet3!$A:$C,3,0)</f>
        <v>1kg*10pc</v>
      </c>
      <c r="D105" s="7">
        <v>10</v>
      </c>
      <c r="E105" s="13"/>
      <c r="F105" s="14">
        <f t="shared" si="1"/>
        <v>0</v>
      </c>
      <c r="G105" s="7" t="s">
        <v>5</v>
      </c>
      <c r="H105"/>
      <c r="I105" s="17"/>
      <c r="J105"/>
    </row>
    <row r="106" spans="1:10" s="12" customFormat="1" x14ac:dyDescent="0.15">
      <c r="A106" s="22" t="s">
        <v>44</v>
      </c>
      <c r="B106" s="7">
        <f>VLOOKUP(A106,Sheet3!$A:$B,2,0)</f>
        <v>101286</v>
      </c>
      <c r="C106" s="7" t="str">
        <f>VLOOKUP(A106,Sheet3!$A:$C,3,0)</f>
        <v>1kg*10pc</v>
      </c>
      <c r="D106" s="7">
        <v>10</v>
      </c>
      <c r="E106" s="13"/>
      <c r="F106" s="14">
        <f t="shared" si="1"/>
        <v>0</v>
      </c>
      <c r="G106" s="7" t="s">
        <v>5</v>
      </c>
      <c r="H106"/>
      <c r="I106" s="17"/>
      <c r="J106"/>
    </row>
    <row r="107" spans="1:10" s="12" customFormat="1" x14ac:dyDescent="0.15">
      <c r="A107" s="22" t="s">
        <v>70</v>
      </c>
      <c r="B107" s="7">
        <f>VLOOKUP(A107,Sheet3!$A:$B,2,0)</f>
        <v>101359</v>
      </c>
      <c r="C107" s="7" t="str">
        <f>VLOOKUP(A107,Sheet3!$A:$C,3,0)</f>
        <v>0.75l*6本</v>
      </c>
      <c r="D107" s="7">
        <v>4.5</v>
      </c>
      <c r="E107" s="13"/>
      <c r="F107" s="14">
        <f t="shared" si="1"/>
        <v>0</v>
      </c>
      <c r="G107" s="7" t="s">
        <v>5</v>
      </c>
      <c r="H107"/>
      <c r="I107" s="17"/>
      <c r="J107"/>
    </row>
    <row r="108" spans="1:10" s="12" customFormat="1" x14ac:dyDescent="0.15">
      <c r="A108" s="22" t="s">
        <v>45</v>
      </c>
      <c r="B108" s="7">
        <f>VLOOKUP(A108,Sheet3!$A:$B,2,0)</f>
        <v>101362</v>
      </c>
      <c r="C108" s="7" t="str">
        <f>VLOOKUP(A108,Sheet3!$A:$C,3,0)</f>
        <v>1kg*6</v>
      </c>
      <c r="D108" s="7">
        <v>6</v>
      </c>
      <c r="E108" s="13"/>
      <c r="F108" s="14">
        <f t="shared" si="1"/>
        <v>0</v>
      </c>
      <c r="G108" s="7" t="s">
        <v>5</v>
      </c>
      <c r="I108" s="17"/>
      <c r="J108"/>
    </row>
    <row r="109" spans="1:10" s="12" customFormat="1" x14ac:dyDescent="0.15">
      <c r="A109" s="22" t="s">
        <v>85</v>
      </c>
      <c r="B109" s="7">
        <f>VLOOKUP(A109,Sheet3!$A:$B,2,0)</f>
        <v>101592</v>
      </c>
      <c r="C109" s="7" t="str">
        <f>VLOOKUP(A109,Sheet3!$A:$C,3,0)</f>
        <v>0.75l*6btl</v>
      </c>
      <c r="D109" s="7">
        <v>4.5</v>
      </c>
      <c r="E109" s="13"/>
      <c r="F109" s="14">
        <f t="shared" si="1"/>
        <v>0</v>
      </c>
      <c r="G109" s="7" t="s">
        <v>5</v>
      </c>
      <c r="I109" s="17"/>
      <c r="J109"/>
    </row>
    <row r="110" spans="1:10" s="12" customFormat="1" x14ac:dyDescent="0.15">
      <c r="A110" s="22" t="s">
        <v>86</v>
      </c>
      <c r="B110" s="7">
        <f>VLOOKUP(A110,Sheet3!$A:$B,2,0)</f>
        <v>101593</v>
      </c>
      <c r="C110" s="7" t="str">
        <f>VLOOKUP(A110,Sheet3!$A:$C,3,0)</f>
        <v>0.750l*6btl</v>
      </c>
      <c r="D110" s="7">
        <v>4.5</v>
      </c>
      <c r="E110" s="13"/>
      <c r="F110" s="14">
        <f t="shared" si="1"/>
        <v>0</v>
      </c>
      <c r="G110" s="7" t="s">
        <v>5</v>
      </c>
      <c r="I110" s="17"/>
      <c r="J110"/>
    </row>
    <row r="111" spans="1:10" s="12" customFormat="1" x14ac:dyDescent="0.15">
      <c r="A111" s="22" t="s">
        <v>46</v>
      </c>
      <c r="B111" s="7">
        <f>VLOOKUP(A111,Sheet3!$A:$B,2,0)</f>
        <v>101637</v>
      </c>
      <c r="C111" s="7" t="str">
        <f>VLOOKUP(A111,Sheet3!$A:$C,3,0)</f>
        <v>60pc</v>
      </c>
      <c r="D111" s="7">
        <v>3</v>
      </c>
      <c r="E111" s="13"/>
      <c r="F111" s="14">
        <f t="shared" si="1"/>
        <v>0</v>
      </c>
      <c r="G111" s="7" t="s">
        <v>5</v>
      </c>
      <c r="I111" s="17"/>
      <c r="J111"/>
    </row>
    <row r="112" spans="1:10" s="12" customFormat="1" x14ac:dyDescent="0.15">
      <c r="A112" s="22" t="s">
        <v>204</v>
      </c>
      <c r="B112" s="7">
        <f>VLOOKUP(A112,Sheet3!$A:$B,2,0)</f>
        <v>101714</v>
      </c>
      <c r="C112" s="7" t="str">
        <f>VLOOKUP(A112,Sheet3!$A:$C,3,0)</f>
        <v>0.07kg</v>
      </c>
      <c r="D112" s="7">
        <v>7.0000000000000007E-2</v>
      </c>
      <c r="E112" s="13"/>
      <c r="F112" s="14">
        <f t="shared" si="1"/>
        <v>0</v>
      </c>
      <c r="G112" s="7" t="s">
        <v>5</v>
      </c>
      <c r="I112" s="17"/>
      <c r="J112"/>
    </row>
    <row r="113" spans="1:10" s="12" customFormat="1" x14ac:dyDescent="0.15">
      <c r="A113" s="22" t="s">
        <v>365</v>
      </c>
      <c r="B113" s="7">
        <f>VLOOKUP(A113,Sheet3!$A:$B,2,0)</f>
        <v>101746</v>
      </c>
      <c r="C113" s="7" t="str">
        <f>VLOOKUP(A113,Sheet3!$A:$C,3,0)</f>
        <v>1L*12</v>
      </c>
      <c r="D113" s="7">
        <v>12</v>
      </c>
      <c r="E113" s="13"/>
      <c r="F113" s="14">
        <f t="shared" si="1"/>
        <v>0</v>
      </c>
      <c r="G113" s="7" t="s">
        <v>5</v>
      </c>
      <c r="I113" s="17"/>
      <c r="J113"/>
    </row>
    <row r="114" spans="1:10" s="12" customFormat="1" x14ac:dyDescent="0.15">
      <c r="A114" s="22" t="s">
        <v>47</v>
      </c>
      <c r="B114" s="7">
        <f>VLOOKUP(A114,Sheet3!$A:$B,2,0)</f>
        <v>720003</v>
      </c>
      <c r="C114" s="7" t="str">
        <f>VLOOKUP(A114,Sheet3!$A:$C,3,0)</f>
        <v>0.5kg</v>
      </c>
      <c r="D114" s="7">
        <v>0.5</v>
      </c>
      <c r="E114" s="13">
        <v>2</v>
      </c>
      <c r="F114" s="14">
        <f t="shared" si="1"/>
        <v>1</v>
      </c>
      <c r="G114" s="7" t="s">
        <v>5</v>
      </c>
      <c r="I114" s="17"/>
      <c r="J114"/>
    </row>
    <row r="115" spans="1:10" s="12" customFormat="1" x14ac:dyDescent="0.15">
      <c r="A115" s="22" t="s">
        <v>389</v>
      </c>
      <c r="B115" s="7">
        <f>VLOOKUP(A115,Sheet3!$A:$B,2,0)</f>
        <v>720004</v>
      </c>
      <c r="C115" s="7" t="str">
        <f>VLOOKUP(A115,Sheet3!$A:$C,3,0)</f>
        <v>200g</v>
      </c>
      <c r="D115" s="7">
        <v>0.2</v>
      </c>
      <c r="E115" s="13"/>
      <c r="F115" s="14">
        <f t="shared" si="1"/>
        <v>0</v>
      </c>
      <c r="G115" s="7" t="s">
        <v>5</v>
      </c>
      <c r="I115" s="17"/>
      <c r="J115"/>
    </row>
    <row r="116" spans="1:10" x14ac:dyDescent="0.15">
      <c r="A116" s="22" t="s">
        <v>48</v>
      </c>
      <c r="B116" s="7">
        <f>VLOOKUP(A116,Sheet3!$A:$B,2,0)</f>
        <v>720005</v>
      </c>
      <c r="C116" s="7" t="str">
        <f>VLOOKUP(A116,Sheet3!$A:$C,3,0)</f>
        <v>1kg</v>
      </c>
      <c r="D116" s="7">
        <v>1</v>
      </c>
      <c r="E116" s="13">
        <v>1</v>
      </c>
      <c r="F116" s="14">
        <f t="shared" si="1"/>
        <v>1</v>
      </c>
      <c r="G116" s="7" t="s">
        <v>5</v>
      </c>
      <c r="H116" s="12"/>
      <c r="I116" s="17"/>
    </row>
    <row r="117" spans="1:10" x14ac:dyDescent="0.15">
      <c r="A117" s="22" t="s">
        <v>49</v>
      </c>
      <c r="B117" s="7">
        <f>VLOOKUP(A117,Sheet3!$A:$B,2,0)</f>
        <v>720013</v>
      </c>
      <c r="C117" s="7" t="str">
        <f>VLOOKUP(A117,Sheet3!$A:$C,3,0)</f>
        <v>0.6kg</v>
      </c>
      <c r="D117" s="7">
        <v>0.6</v>
      </c>
      <c r="E117" s="13"/>
      <c r="F117" s="14">
        <f t="shared" si="1"/>
        <v>0</v>
      </c>
      <c r="G117" s="7" t="s">
        <v>5</v>
      </c>
      <c r="H117" s="12"/>
      <c r="I117" s="17"/>
    </row>
    <row r="118" spans="1:10" x14ac:dyDescent="0.15">
      <c r="A118" s="22" t="s">
        <v>50</v>
      </c>
      <c r="B118" s="7">
        <f>VLOOKUP(A118,Sheet3!$A:$B,2,0)</f>
        <v>720017</v>
      </c>
      <c r="C118" s="7" t="str">
        <f>VLOOKUP(A118,Sheet3!$A:$C,3,0)</f>
        <v>0.6kg</v>
      </c>
      <c r="D118" s="7">
        <v>0.6</v>
      </c>
      <c r="E118" s="13">
        <v>4</v>
      </c>
      <c r="F118" s="14">
        <f t="shared" si="1"/>
        <v>2.4</v>
      </c>
      <c r="G118" s="7" t="s">
        <v>5</v>
      </c>
      <c r="H118" s="12"/>
      <c r="I118" s="17"/>
    </row>
    <row r="119" spans="1:10" x14ac:dyDescent="0.15">
      <c r="A119" s="22" t="s">
        <v>210</v>
      </c>
      <c r="B119" s="7">
        <f>VLOOKUP(A119,Sheet3!$A:$B,2,0)</f>
        <v>730017</v>
      </c>
      <c r="C119" s="7" t="str">
        <f>VLOOKUP(A119,Sheet3!$A:$C,3,0)</f>
        <v>0.6kg</v>
      </c>
      <c r="D119" s="7">
        <v>0.5</v>
      </c>
      <c r="E119" s="13"/>
      <c r="F119" s="14">
        <f t="shared" si="1"/>
        <v>0</v>
      </c>
      <c r="G119" s="7" t="s">
        <v>5</v>
      </c>
      <c r="I119" s="17"/>
    </row>
    <row r="120" spans="1:10" x14ac:dyDescent="0.15">
      <c r="A120" s="22" t="s">
        <v>211</v>
      </c>
      <c r="B120" s="7">
        <f>VLOOKUP(A120,Sheet3!$A:$B,2,0)</f>
        <v>730003</v>
      </c>
      <c r="C120" s="7" t="str">
        <f>VLOOKUP(A120,Sheet3!$A:$C,3,0)</f>
        <v>0.5kg</v>
      </c>
      <c r="D120" s="7">
        <v>1</v>
      </c>
      <c r="E120" s="13"/>
      <c r="F120" s="14">
        <f t="shared" si="1"/>
        <v>0</v>
      </c>
      <c r="G120" s="7" t="s">
        <v>5</v>
      </c>
      <c r="I120" s="17"/>
    </row>
    <row r="121" spans="1:10" x14ac:dyDescent="0.15">
      <c r="A121" s="22" t="s">
        <v>388</v>
      </c>
      <c r="B121" s="7">
        <f>VLOOKUP(A121,Sheet3!$A:$B,2,0)</f>
        <v>730004</v>
      </c>
      <c r="C121" s="7" t="str">
        <f>VLOOKUP(A121,Sheet3!$A:$C,3,0)</f>
        <v>200g</v>
      </c>
      <c r="D121" s="7">
        <v>0.2</v>
      </c>
      <c r="E121" s="13"/>
      <c r="F121" s="14">
        <f t="shared" si="1"/>
        <v>0</v>
      </c>
      <c r="G121" s="7" t="s">
        <v>5</v>
      </c>
      <c r="I121" s="17"/>
    </row>
    <row r="122" spans="1:10" x14ac:dyDescent="0.15">
      <c r="A122" s="22" t="s">
        <v>212</v>
      </c>
      <c r="B122" s="7">
        <f>VLOOKUP(A122,Sheet3!$A:$B,2,0)</f>
        <v>730005</v>
      </c>
      <c r="C122" s="7" t="str">
        <f>VLOOKUP(A122,Sheet3!$A:$C,3,0)</f>
        <v>1kg</v>
      </c>
      <c r="D122" s="7">
        <v>0.6</v>
      </c>
      <c r="E122" s="13"/>
      <c r="F122" s="14">
        <f t="shared" si="1"/>
        <v>0</v>
      </c>
      <c r="G122" s="7" t="s">
        <v>5</v>
      </c>
      <c r="I122" s="17"/>
    </row>
    <row r="123" spans="1:10" x14ac:dyDescent="0.15">
      <c r="A123" s="22" t="s">
        <v>213</v>
      </c>
      <c r="B123" s="7">
        <f>VLOOKUP(A123,Sheet3!$A:$B,2,0)</f>
        <v>730013</v>
      </c>
      <c r="C123" s="7" t="str">
        <f>VLOOKUP(A123,Sheet3!$A:$C,3,0)</f>
        <v>0.6kg</v>
      </c>
      <c r="D123" s="7">
        <v>0.6</v>
      </c>
      <c r="E123" s="13"/>
      <c r="F123" s="14">
        <f t="shared" si="1"/>
        <v>0</v>
      </c>
      <c r="G123" s="7" t="s">
        <v>5</v>
      </c>
      <c r="I123" s="17"/>
    </row>
    <row r="124" spans="1:10" x14ac:dyDescent="0.15">
      <c r="A124" s="22" t="s">
        <v>214</v>
      </c>
      <c r="B124" s="7">
        <f>VLOOKUP(A124,Sheet3!$A:$B,2,0)</f>
        <v>730011</v>
      </c>
      <c r="C124" s="7" t="str">
        <f>VLOOKUP(A124,Sheet3!$A:$C,3,0)</f>
        <v>0.2kg</v>
      </c>
      <c r="D124" s="7">
        <v>0.2</v>
      </c>
      <c r="E124" s="13"/>
      <c r="F124" s="14">
        <f t="shared" si="1"/>
        <v>0</v>
      </c>
      <c r="G124" s="7" t="s">
        <v>5</v>
      </c>
      <c r="I124" s="17"/>
    </row>
    <row r="125" spans="1:10" x14ac:dyDescent="0.15">
      <c r="A125" s="22" t="s">
        <v>215</v>
      </c>
      <c r="B125" s="7">
        <f>VLOOKUP(A125,Sheet3!$A:$B,2,0)</f>
        <v>720011</v>
      </c>
      <c r="C125" s="7" t="str">
        <f>VLOOKUP(A125,Sheet3!$A:$C,3,0)</f>
        <v>0.2kg</v>
      </c>
      <c r="D125" s="7">
        <v>0.2</v>
      </c>
      <c r="E125" s="13">
        <v>1</v>
      </c>
      <c r="F125" s="14">
        <f t="shared" si="1"/>
        <v>0.2</v>
      </c>
      <c r="G125" s="7" t="s">
        <v>5</v>
      </c>
      <c r="I125" s="17"/>
    </row>
    <row r="126" spans="1:10" x14ac:dyDescent="0.15">
      <c r="A126" s="22" t="s">
        <v>51</v>
      </c>
      <c r="B126" s="7">
        <f>VLOOKUP(A126,Sheet3!$A:$B,2,0)</f>
        <v>101031</v>
      </c>
      <c r="C126" s="7" t="str">
        <f>VLOOKUP(A126,Sheet3!$A:$C,3,0)</f>
        <v>0.23kg*5pkt*18pc</v>
      </c>
      <c r="D126" s="7">
        <v>20.700000000000003</v>
      </c>
      <c r="E126" s="13"/>
      <c r="F126" s="14">
        <f t="shared" si="1"/>
        <v>0</v>
      </c>
      <c r="G126" s="7" t="s">
        <v>5</v>
      </c>
      <c r="I126" s="17"/>
    </row>
    <row r="127" spans="1:10" x14ac:dyDescent="0.15">
      <c r="A127" s="22" t="s">
        <v>52</v>
      </c>
      <c r="B127" s="7">
        <f>VLOOKUP(A127,Sheet3!$A:$B,2,0)</f>
        <v>101034</v>
      </c>
      <c r="C127" s="7" t="str">
        <f>VLOOKUP(A127,Sheet3!$A:$C,3,0)</f>
        <v>1kg</v>
      </c>
      <c r="D127" s="7">
        <v>1</v>
      </c>
      <c r="E127" s="13"/>
      <c r="F127" s="14">
        <f t="shared" si="1"/>
        <v>0</v>
      </c>
      <c r="G127" s="7" t="s">
        <v>5</v>
      </c>
      <c r="I127" s="17"/>
    </row>
    <row r="128" spans="1:10" x14ac:dyDescent="0.15">
      <c r="A128" s="22" t="s">
        <v>53</v>
      </c>
      <c r="B128" s="7">
        <f>VLOOKUP(A128,Sheet3!$A:$B,2,0)</f>
        <v>101075</v>
      </c>
      <c r="C128" s="7" t="str">
        <f>VLOOKUP(A128,Sheet3!$A:$C,3,0)</f>
        <v>3kg*6can</v>
      </c>
      <c r="D128" s="7">
        <v>18</v>
      </c>
      <c r="E128" s="13"/>
      <c r="F128" s="14">
        <f t="shared" si="1"/>
        <v>0</v>
      </c>
      <c r="G128" s="7" t="s">
        <v>5</v>
      </c>
      <c r="I128" s="17"/>
    </row>
    <row r="129" spans="1:9" x14ac:dyDescent="0.15">
      <c r="A129" s="22" t="s">
        <v>54</v>
      </c>
      <c r="B129" s="7">
        <f>VLOOKUP(A129,Sheet3!$A:$B,2,0)</f>
        <v>101112</v>
      </c>
      <c r="C129" s="7" t="str">
        <f>VLOOKUP(A129,Sheet3!$A:$C,3,0)</f>
        <v>0.009kg*600pc</v>
      </c>
      <c r="D129" s="7">
        <v>5.3999999999999995</v>
      </c>
      <c r="E129" s="13"/>
      <c r="F129" s="14">
        <f t="shared" si="1"/>
        <v>0</v>
      </c>
      <c r="G129" s="7" t="s">
        <v>5</v>
      </c>
      <c r="I129" s="17"/>
    </row>
    <row r="130" spans="1:9" x14ac:dyDescent="0.15">
      <c r="A130" s="22" t="s">
        <v>56</v>
      </c>
      <c r="B130" s="7">
        <f>VLOOKUP(A130,Sheet3!$A:$B,2,0)</f>
        <v>101143</v>
      </c>
      <c r="C130" s="7" t="str">
        <f>VLOOKUP(A130,Sheet3!$A:$C,3,0)</f>
        <v>0.06l*12btl</v>
      </c>
      <c r="D130" s="7">
        <v>0.72</v>
      </c>
      <c r="E130" s="13"/>
      <c r="F130" s="14">
        <f t="shared" si="1"/>
        <v>0</v>
      </c>
      <c r="G130" s="7" t="s">
        <v>5</v>
      </c>
      <c r="I130" s="17"/>
    </row>
    <row r="131" spans="1:9" x14ac:dyDescent="0.15">
      <c r="A131" s="22" t="s">
        <v>57</v>
      </c>
      <c r="B131" s="7">
        <f>VLOOKUP(A131,Sheet3!$A:$B,2,0)</f>
        <v>101145</v>
      </c>
      <c r="C131" s="7" t="str">
        <f>VLOOKUP(A131,Sheet3!$A:$C,3,0)</f>
        <v>0.5kg*40pc</v>
      </c>
      <c r="D131" s="7">
        <v>20</v>
      </c>
      <c r="E131" s="13"/>
      <c r="F131" s="14">
        <f t="shared" ref="F131:F188" si="2">D131*E131</f>
        <v>0</v>
      </c>
      <c r="G131" s="7" t="s">
        <v>5</v>
      </c>
      <c r="I131" s="17"/>
    </row>
    <row r="132" spans="1:9" x14ac:dyDescent="0.15">
      <c r="A132" s="22" t="s">
        <v>58</v>
      </c>
      <c r="B132" s="7">
        <f>VLOOKUP(A132,Sheet3!$A:$B,2,0)</f>
        <v>101149</v>
      </c>
      <c r="C132" s="7" t="str">
        <f>VLOOKUP(A132,Sheet3!$A:$C,3,0)</f>
        <v>1kg*12</v>
      </c>
      <c r="D132" s="7">
        <v>12</v>
      </c>
      <c r="E132" s="13"/>
      <c r="F132" s="14">
        <f t="shared" si="2"/>
        <v>0</v>
      </c>
      <c r="G132" s="7" t="s">
        <v>5</v>
      </c>
      <c r="I132" s="17"/>
    </row>
    <row r="133" spans="1:9" x14ac:dyDescent="0.15">
      <c r="A133" s="22" t="s">
        <v>59</v>
      </c>
      <c r="B133" s="7">
        <f>VLOOKUP(A133,Sheet3!$A:$B,2,0)</f>
        <v>101182</v>
      </c>
      <c r="C133" s="7" t="str">
        <f>VLOOKUP(A133,Sheet3!$A:$C,3,0)</f>
        <v>1L*12pc</v>
      </c>
      <c r="D133" s="7">
        <v>12</v>
      </c>
      <c r="E133" s="13"/>
      <c r="F133" s="14">
        <f t="shared" si="2"/>
        <v>0</v>
      </c>
      <c r="G133" s="7" t="s">
        <v>5</v>
      </c>
      <c r="I133" s="17"/>
    </row>
    <row r="134" spans="1:9" x14ac:dyDescent="0.15">
      <c r="A134" s="22" t="s">
        <v>61</v>
      </c>
      <c r="B134" s="7">
        <f>VLOOKUP(A134,Sheet3!$A:$B,2,0)</f>
        <v>101258</v>
      </c>
      <c r="C134" s="7" t="str">
        <f>VLOOKUP(A134,Sheet3!$A:$C,3,0)</f>
        <v>0.15kg</v>
      </c>
      <c r="D134" s="7">
        <v>0.15</v>
      </c>
      <c r="E134" s="13"/>
      <c r="F134" s="14">
        <f t="shared" si="2"/>
        <v>0</v>
      </c>
      <c r="G134" s="7" t="s">
        <v>5</v>
      </c>
      <c r="I134" s="17"/>
    </row>
    <row r="135" spans="1:9" x14ac:dyDescent="0.15">
      <c r="A135" s="22" t="s">
        <v>62</v>
      </c>
      <c r="B135" s="7">
        <f>VLOOKUP(A135,Sheet3!$A:$B,2,0)</f>
        <v>101266</v>
      </c>
      <c r="C135" s="7" t="str">
        <f>VLOOKUP(A135,Sheet3!$A:$C,3,0)</f>
        <v>3kg*4pc</v>
      </c>
      <c r="D135" s="7">
        <v>12</v>
      </c>
      <c r="E135" s="13">
        <v>1</v>
      </c>
      <c r="F135" s="14">
        <f t="shared" si="2"/>
        <v>12</v>
      </c>
      <c r="G135" s="7" t="s">
        <v>5</v>
      </c>
      <c r="I135" s="17"/>
    </row>
    <row r="136" spans="1:9" x14ac:dyDescent="0.15">
      <c r="A136" s="22" t="s">
        <v>63</v>
      </c>
      <c r="B136" s="7">
        <f>VLOOKUP(A136,Sheet3!$A:$B,2,0)</f>
        <v>101280</v>
      </c>
      <c r="C136" s="7" t="str">
        <f>VLOOKUP(A136,Sheet3!$A:$C,3,0)</f>
        <v>1kg*20pc</v>
      </c>
      <c r="D136" s="7">
        <v>20</v>
      </c>
      <c r="E136" s="13"/>
      <c r="F136" s="14">
        <f t="shared" si="2"/>
        <v>0</v>
      </c>
      <c r="G136" s="7" t="s">
        <v>5</v>
      </c>
      <c r="I136" s="17"/>
    </row>
    <row r="137" spans="1:9" x14ac:dyDescent="0.15">
      <c r="A137" s="22" t="s">
        <v>64</v>
      </c>
      <c r="B137" s="7">
        <f>VLOOKUP(A137,Sheet3!$A:$B,2,0)</f>
        <v>101289</v>
      </c>
      <c r="C137" s="7" t="str">
        <f>VLOOKUP(A137,Sheet3!$A:$C,3,0)</f>
        <v>1L*12瓶</v>
      </c>
      <c r="D137" s="7">
        <v>12</v>
      </c>
      <c r="E137" s="13"/>
      <c r="F137" s="14">
        <f t="shared" si="2"/>
        <v>0</v>
      </c>
      <c r="G137" s="7" t="s">
        <v>477</v>
      </c>
      <c r="I137" s="17"/>
    </row>
    <row r="138" spans="1:9" x14ac:dyDescent="0.15">
      <c r="A138" s="22" t="s">
        <v>65</v>
      </c>
      <c r="B138" s="7">
        <f>VLOOKUP(A138,Sheet3!$A:$B,2,0)</f>
        <v>101290</v>
      </c>
      <c r="C138" s="7" t="str">
        <f>VLOOKUP(A138,Sheet3!$A:$C,3,0)</f>
        <v>1kg</v>
      </c>
      <c r="D138" s="7">
        <v>1</v>
      </c>
      <c r="E138" s="13"/>
      <c r="F138" s="14">
        <f t="shared" si="2"/>
        <v>0</v>
      </c>
      <c r="G138" s="7" t="s">
        <v>5</v>
      </c>
      <c r="I138" s="17"/>
    </row>
    <row r="139" spans="1:9" x14ac:dyDescent="0.15">
      <c r="A139" s="22" t="s">
        <v>66</v>
      </c>
      <c r="B139" s="7">
        <f>VLOOKUP(A139,Sheet3!$A:$B,2,0)</f>
        <v>700002</v>
      </c>
      <c r="C139" s="7" t="str">
        <f>VLOOKUP(A139,Sheet3!$A:$C,3,0)</f>
        <v>10L</v>
      </c>
      <c r="D139" s="7">
        <v>10</v>
      </c>
      <c r="E139" s="13"/>
      <c r="F139" s="14">
        <f t="shared" si="2"/>
        <v>0</v>
      </c>
      <c r="G139" s="7" t="s">
        <v>60</v>
      </c>
      <c r="I139" s="17"/>
    </row>
    <row r="140" spans="1:9" x14ac:dyDescent="0.15">
      <c r="A140" s="22" t="s">
        <v>67</v>
      </c>
      <c r="B140" s="7">
        <f>VLOOKUP(A140,Sheet3!$A:$B,2,0)</f>
        <v>101348</v>
      </c>
      <c r="C140" s="7" t="str">
        <f>VLOOKUP(A140,Sheet3!$A:$C,3,0)</f>
        <v>10L</v>
      </c>
      <c r="D140" s="7">
        <v>10</v>
      </c>
      <c r="E140" s="13"/>
      <c r="F140" s="14">
        <f t="shared" si="2"/>
        <v>0</v>
      </c>
      <c r="G140" s="7" t="s">
        <v>60</v>
      </c>
      <c r="I140" s="17"/>
    </row>
    <row r="141" spans="1:9" x14ac:dyDescent="0.15">
      <c r="A141" s="22" t="s">
        <v>68</v>
      </c>
      <c r="B141" s="7">
        <f>VLOOKUP(A141,Sheet3!$A:$B,2,0)</f>
        <v>101355</v>
      </c>
      <c r="C141" s="7" t="str">
        <f>VLOOKUP(A141,Sheet3!$A:$C,3,0)</f>
        <v>20L</v>
      </c>
      <c r="D141" s="7">
        <v>20</v>
      </c>
      <c r="E141" s="13"/>
      <c r="F141" s="14">
        <f t="shared" si="2"/>
        <v>0</v>
      </c>
      <c r="G141" s="7" t="s">
        <v>60</v>
      </c>
      <c r="I141" s="17"/>
    </row>
    <row r="142" spans="1:9" x14ac:dyDescent="0.15">
      <c r="A142" s="22" t="s">
        <v>69</v>
      </c>
      <c r="B142" s="7">
        <f>VLOOKUP(A142,Sheet3!$A:$B,2,0)</f>
        <v>101356</v>
      </c>
      <c r="C142" s="7" t="str">
        <f>VLOOKUP(A142,Sheet3!$A:$C,3,0)</f>
        <v>10L</v>
      </c>
      <c r="D142" s="7">
        <v>10</v>
      </c>
      <c r="E142" s="13"/>
      <c r="F142" s="14">
        <f t="shared" si="2"/>
        <v>0</v>
      </c>
      <c r="G142" s="7" t="s">
        <v>60</v>
      </c>
      <c r="I142" s="17"/>
    </row>
    <row r="143" spans="1:9" x14ac:dyDescent="0.15">
      <c r="A143" s="22" t="s">
        <v>71</v>
      </c>
      <c r="B143" s="7">
        <f>VLOOKUP(A143,Sheet3!$A:$B,2,0)</f>
        <v>101398</v>
      </c>
      <c r="C143" s="7" t="str">
        <f>VLOOKUP(A143,Sheet3!$A:$C,3,0)</f>
        <v>0.002kg*100pc</v>
      </c>
      <c r="D143" s="7">
        <v>0.2</v>
      </c>
      <c r="E143" s="13"/>
      <c r="F143" s="14">
        <f t="shared" si="2"/>
        <v>0</v>
      </c>
      <c r="G143" s="7" t="s">
        <v>60</v>
      </c>
      <c r="I143" s="17"/>
    </row>
    <row r="144" spans="1:9" x14ac:dyDescent="0.15">
      <c r="A144" s="22" t="s">
        <v>72</v>
      </c>
      <c r="B144" s="7">
        <f>VLOOKUP(A144,Sheet3!$A:$B,2,0)</f>
        <v>101399</v>
      </c>
      <c r="C144" s="7" t="str">
        <f>VLOOKUP(A144,Sheet3!$A:$C,3,0)</f>
        <v>0.002kg*100pc</v>
      </c>
      <c r="D144" s="7">
        <v>0.2</v>
      </c>
      <c r="E144" s="13"/>
      <c r="F144" s="14">
        <f t="shared" si="2"/>
        <v>0</v>
      </c>
      <c r="G144" s="7" t="s">
        <v>60</v>
      </c>
      <c r="I144" s="17"/>
    </row>
    <row r="145" spans="1:9" x14ac:dyDescent="0.15">
      <c r="A145" s="22" t="s">
        <v>73</v>
      </c>
      <c r="B145" s="7">
        <f>VLOOKUP(A145,Sheet3!$A:$B,2,0)</f>
        <v>101400</v>
      </c>
      <c r="C145" s="7" t="str">
        <f>VLOOKUP(A145,Sheet3!$A:$C,3,0)</f>
        <v>0.002kg*100pc</v>
      </c>
      <c r="D145" s="7">
        <v>0.2</v>
      </c>
      <c r="E145" s="13"/>
      <c r="F145" s="14">
        <f t="shared" si="2"/>
        <v>0</v>
      </c>
      <c r="G145" s="7" t="s">
        <v>60</v>
      </c>
      <c r="I145" s="17"/>
    </row>
    <row r="146" spans="1:9" x14ac:dyDescent="0.15">
      <c r="A146" s="22" t="s">
        <v>74</v>
      </c>
      <c r="B146" s="7">
        <f>VLOOKUP(A146,Sheet3!$A:$B,2,0)</f>
        <v>101483</v>
      </c>
      <c r="C146" s="7" t="str">
        <f>VLOOKUP(A146,Sheet3!$A:$C,3,0)</f>
        <v>10L</v>
      </c>
      <c r="D146" s="7">
        <v>10</v>
      </c>
      <c r="E146" s="13"/>
      <c r="F146" s="14">
        <f t="shared" si="2"/>
        <v>0</v>
      </c>
      <c r="G146" s="7" t="s">
        <v>60</v>
      </c>
      <c r="I146" s="17"/>
    </row>
    <row r="147" spans="1:9" x14ac:dyDescent="0.15">
      <c r="A147" s="22" t="s">
        <v>75</v>
      </c>
      <c r="B147" s="7">
        <f>VLOOKUP(A147,Sheet3!$A:$B,2,0)</f>
        <v>101493</v>
      </c>
      <c r="C147" s="7" t="str">
        <f>VLOOKUP(A147,Sheet3!$A:$C,3,0)</f>
        <v>0.623kg</v>
      </c>
      <c r="D147" s="7">
        <v>0.623</v>
      </c>
      <c r="E147" s="13"/>
      <c r="F147" s="14">
        <f t="shared" si="2"/>
        <v>0</v>
      </c>
      <c r="G147" s="7" t="s">
        <v>5</v>
      </c>
      <c r="I147" s="17"/>
    </row>
    <row r="148" spans="1:9" x14ac:dyDescent="0.15">
      <c r="A148" s="22" t="s">
        <v>76</v>
      </c>
      <c r="B148" s="7">
        <f>VLOOKUP(A148,Sheet3!$A:$B,2,0)</f>
        <v>101557</v>
      </c>
      <c r="C148" s="7" t="str">
        <f>VLOOKUP(A148,Sheet3!$A:$C,3,0)</f>
        <v>1kg*10pc</v>
      </c>
      <c r="D148" s="7">
        <v>10</v>
      </c>
      <c r="E148" s="13"/>
      <c r="F148" s="14">
        <f t="shared" si="2"/>
        <v>0</v>
      </c>
      <c r="G148" s="7" t="s">
        <v>5</v>
      </c>
      <c r="I148" s="17"/>
    </row>
    <row r="149" spans="1:9" x14ac:dyDescent="0.15">
      <c r="A149" s="22" t="s">
        <v>77</v>
      </c>
      <c r="B149" s="7">
        <f>VLOOKUP(A149,Sheet3!$A:$B,2,0)</f>
        <v>101559</v>
      </c>
      <c r="C149" s="7" t="str">
        <f>VLOOKUP(A149,Sheet3!$A:$C,3,0)</f>
        <v>5L*4pc</v>
      </c>
      <c r="D149" s="7">
        <v>20</v>
      </c>
      <c r="E149" s="13"/>
      <c r="F149" s="14">
        <f t="shared" si="2"/>
        <v>0</v>
      </c>
      <c r="G149" s="7" t="s">
        <v>5</v>
      </c>
      <c r="I149" s="17"/>
    </row>
    <row r="150" spans="1:9" x14ac:dyDescent="0.15">
      <c r="A150" s="22" t="s">
        <v>78</v>
      </c>
      <c r="B150" s="7">
        <f>VLOOKUP(A150,Sheet3!$A:$B,2,0)</f>
        <v>101560</v>
      </c>
      <c r="C150" s="7" t="str">
        <f>VLOOKUP(A150,Sheet3!$A:$C,3,0)</f>
        <v>5L*4pc</v>
      </c>
      <c r="D150" s="7">
        <v>20</v>
      </c>
      <c r="E150" s="13"/>
      <c r="F150" s="14">
        <f t="shared" si="2"/>
        <v>0</v>
      </c>
      <c r="G150" s="7" t="s">
        <v>5</v>
      </c>
      <c r="I150" s="17"/>
    </row>
    <row r="151" spans="1:9" x14ac:dyDescent="0.15">
      <c r="A151" s="22" t="s">
        <v>79</v>
      </c>
      <c r="B151" s="7">
        <f>VLOOKUP(A151,Sheet3!$A:$B,2,0)</f>
        <v>101561</v>
      </c>
      <c r="C151" s="7" t="str">
        <f>VLOOKUP(A151,Sheet3!$A:$C,3,0)</f>
        <v>5L*4pc</v>
      </c>
      <c r="D151" s="7">
        <v>20</v>
      </c>
      <c r="E151" s="13"/>
      <c r="F151" s="14">
        <f t="shared" si="2"/>
        <v>0</v>
      </c>
      <c r="G151" s="7" t="s">
        <v>5</v>
      </c>
      <c r="I151" s="17"/>
    </row>
    <row r="152" spans="1:9" x14ac:dyDescent="0.15">
      <c r="A152" s="22" t="s">
        <v>80</v>
      </c>
      <c r="B152" s="7">
        <f>VLOOKUP(A152,Sheet3!$A:$B,2,0)</f>
        <v>101562</v>
      </c>
      <c r="C152" s="7" t="str">
        <f>VLOOKUP(A152,Sheet3!$A:$C,3,0)</f>
        <v>5L*4pc</v>
      </c>
      <c r="D152" s="7">
        <v>20</v>
      </c>
      <c r="E152" s="13"/>
      <c r="F152" s="14">
        <f t="shared" si="2"/>
        <v>0</v>
      </c>
      <c r="G152" s="7" t="s">
        <v>5</v>
      </c>
      <c r="I152" s="17"/>
    </row>
    <row r="153" spans="1:9" x14ac:dyDescent="0.15">
      <c r="A153" s="22" t="s">
        <v>81</v>
      </c>
      <c r="B153" s="7">
        <f>VLOOKUP(A153,Sheet3!$A:$B,2,0)</f>
        <v>101587</v>
      </c>
      <c r="C153" s="7" t="str">
        <f>VLOOKUP(A153,Sheet3!$A:$C,3,0)</f>
        <v>5kg*4pc</v>
      </c>
      <c r="D153" s="7">
        <v>20</v>
      </c>
      <c r="E153" s="13"/>
      <c r="F153" s="14">
        <f t="shared" si="2"/>
        <v>0</v>
      </c>
      <c r="G153" s="7" t="s">
        <v>5</v>
      </c>
      <c r="I153" s="17"/>
    </row>
    <row r="154" spans="1:9" x14ac:dyDescent="0.15">
      <c r="A154" s="22" t="s">
        <v>82</v>
      </c>
      <c r="B154" s="7">
        <f>VLOOKUP(A154,Sheet3!$A:$B,2,0)</f>
        <v>101588</v>
      </c>
      <c r="C154" s="7" t="str">
        <f>VLOOKUP(A154,Sheet3!$A:$C,3,0)</f>
        <v>5kg*4pc</v>
      </c>
      <c r="D154" s="7">
        <v>20</v>
      </c>
      <c r="E154" s="13">
        <v>1</v>
      </c>
      <c r="F154" s="14">
        <f t="shared" si="2"/>
        <v>20</v>
      </c>
      <c r="G154" s="7" t="s">
        <v>60</v>
      </c>
      <c r="I154" s="17"/>
    </row>
    <row r="155" spans="1:9" x14ac:dyDescent="0.15">
      <c r="A155" s="22" t="s">
        <v>83</v>
      </c>
      <c r="B155" s="7">
        <f>VLOOKUP(A155,Sheet3!$A:$B,2,0)</f>
        <v>101589</v>
      </c>
      <c r="C155" s="7" t="str">
        <f>VLOOKUP(A155,Sheet3!$A:$C,3,0)</f>
        <v>5kg*4pc</v>
      </c>
      <c r="D155" s="7">
        <v>20</v>
      </c>
      <c r="E155" s="13"/>
      <c r="F155" s="14">
        <f t="shared" si="2"/>
        <v>0</v>
      </c>
      <c r="G155" s="7" t="s">
        <v>5</v>
      </c>
      <c r="I155" s="17"/>
    </row>
    <row r="156" spans="1:9" x14ac:dyDescent="0.15">
      <c r="A156" s="22" t="s">
        <v>84</v>
      </c>
      <c r="B156" s="7">
        <f>VLOOKUP(A156,Sheet3!$A:$B,2,0)</f>
        <v>101590</v>
      </c>
      <c r="C156" s="7" t="str">
        <f>VLOOKUP(A156,Sheet3!$A:$C,3,0)</f>
        <v>5kg*4pc</v>
      </c>
      <c r="D156" s="7">
        <v>20</v>
      </c>
      <c r="E156" s="13"/>
      <c r="F156" s="14">
        <f t="shared" si="2"/>
        <v>0</v>
      </c>
      <c r="G156" s="7" t="s">
        <v>5</v>
      </c>
      <c r="I156" s="17"/>
    </row>
    <row r="157" spans="1:9" x14ac:dyDescent="0.15">
      <c r="A157" s="22" t="s">
        <v>87</v>
      </c>
      <c r="B157" s="7">
        <f>VLOOKUP(A157,Sheet3!$A:$B,2,0)</f>
        <v>101598</v>
      </c>
      <c r="C157" s="7" t="str">
        <f>VLOOKUP(A157,Sheet3!$A:$C,3,0)</f>
        <v>4.1kg*3pc</v>
      </c>
      <c r="D157" s="7">
        <v>12.299999999999999</v>
      </c>
      <c r="E157" s="13"/>
      <c r="F157" s="14">
        <f t="shared" si="2"/>
        <v>0</v>
      </c>
      <c r="G157" s="7" t="s">
        <v>476</v>
      </c>
      <c r="I157" s="17"/>
    </row>
    <row r="158" spans="1:9" x14ac:dyDescent="0.15">
      <c r="A158" s="22" t="s">
        <v>88</v>
      </c>
      <c r="B158" s="7">
        <f>VLOOKUP(A158,Sheet3!$A:$B,2,0)</f>
        <v>101631</v>
      </c>
      <c r="C158" s="7" t="str">
        <f>VLOOKUP(A158,Sheet3!$A:$C,3,0)</f>
        <v>330ml*24btl</v>
      </c>
      <c r="D158" s="7">
        <v>7.92</v>
      </c>
      <c r="E158" s="13"/>
      <c r="F158" s="14">
        <f t="shared" si="2"/>
        <v>0</v>
      </c>
      <c r="G158" s="7" t="s">
        <v>176</v>
      </c>
      <c r="I158" s="17"/>
    </row>
    <row r="159" spans="1:9" x14ac:dyDescent="0.15">
      <c r="A159" s="22" t="s">
        <v>89</v>
      </c>
      <c r="B159" s="7">
        <f>VLOOKUP(A159,Sheet3!$A:$B,2,0)</f>
        <v>101642</v>
      </c>
      <c r="C159" s="7" t="str">
        <f>VLOOKUP(A159,Sheet3!$A:$C,3,0)</f>
        <v>11kg</v>
      </c>
      <c r="D159" s="7">
        <v>11</v>
      </c>
      <c r="E159" s="13"/>
      <c r="F159" s="14">
        <f t="shared" si="2"/>
        <v>0</v>
      </c>
      <c r="G159" s="7" t="s">
        <v>209</v>
      </c>
      <c r="I159" s="17"/>
    </row>
    <row r="160" spans="1:9" x14ac:dyDescent="0.15">
      <c r="A160" s="22" t="s">
        <v>90</v>
      </c>
      <c r="B160" s="7">
        <f>VLOOKUP(A160,Sheet3!$A:$B,2,0)</f>
        <v>101647</v>
      </c>
      <c r="C160" s="7" t="str">
        <f>VLOOKUP(A160,Sheet3!$A:$C,3,0)</f>
        <v>1.1kg*20</v>
      </c>
      <c r="D160" s="7">
        <v>22</v>
      </c>
      <c r="E160" s="13"/>
      <c r="F160" s="14">
        <f t="shared" si="2"/>
        <v>0</v>
      </c>
      <c r="G160" s="7" t="s">
        <v>209</v>
      </c>
      <c r="I160" s="17"/>
    </row>
    <row r="161" spans="1:9" x14ac:dyDescent="0.15">
      <c r="A161" s="22" t="s">
        <v>91</v>
      </c>
      <c r="B161" s="7">
        <f>VLOOKUP(A161,Sheet3!$A:$B,2,0)</f>
        <v>101650</v>
      </c>
      <c r="C161" s="7" t="str">
        <f>VLOOKUP(A161,Sheet3!$A:$C,3,0)</f>
        <v>1kg</v>
      </c>
      <c r="D161" s="7">
        <v>1</v>
      </c>
      <c r="E161" s="13"/>
      <c r="F161" s="14">
        <f t="shared" si="2"/>
        <v>0</v>
      </c>
      <c r="G161" s="7" t="s">
        <v>209</v>
      </c>
      <c r="I161" s="17"/>
    </row>
    <row r="162" spans="1:9" x14ac:dyDescent="0.15">
      <c r="A162" s="22" t="s">
        <v>92</v>
      </c>
      <c r="B162" s="7">
        <f>VLOOKUP(A162,Sheet3!$A:$B,2,0)</f>
        <v>101656</v>
      </c>
      <c r="C162" s="7" t="str">
        <f>VLOOKUP(A162,Sheet3!$A:$C,3,0)</f>
        <v>3kg*6can</v>
      </c>
      <c r="D162" s="7">
        <v>18</v>
      </c>
      <c r="E162" s="13"/>
      <c r="F162" s="14">
        <f t="shared" si="2"/>
        <v>0</v>
      </c>
      <c r="G162" s="7" t="s">
        <v>209</v>
      </c>
      <c r="I162" s="17"/>
    </row>
    <row r="163" spans="1:9" x14ac:dyDescent="0.15">
      <c r="A163" s="22" t="s">
        <v>93</v>
      </c>
      <c r="B163" s="7">
        <f>VLOOKUP(A163,Sheet3!$A:$B,2,0)</f>
        <v>101663</v>
      </c>
      <c r="C163" s="7" t="str">
        <f>VLOOKUP(A163,Sheet3!$A:$C,3,0)</f>
        <v>0.25kg</v>
      </c>
      <c r="D163" s="7">
        <v>0.25</v>
      </c>
      <c r="E163" s="13"/>
      <c r="F163" s="14">
        <f t="shared" si="2"/>
        <v>0</v>
      </c>
      <c r="G163" s="7" t="s">
        <v>209</v>
      </c>
      <c r="I163" s="17"/>
    </row>
    <row r="164" spans="1:9" x14ac:dyDescent="0.15">
      <c r="A164" s="22" t="s">
        <v>94</v>
      </c>
      <c r="B164" s="7">
        <f>VLOOKUP(A164,Sheet3!$A:$B,2,0)</f>
        <v>101669</v>
      </c>
      <c r="C164" s="7" t="str">
        <f>VLOOKUP(A164,Sheet3!$A:$C,3,0)</f>
        <v>0.5l</v>
      </c>
      <c r="D164" s="7">
        <v>0.5</v>
      </c>
      <c r="E164" s="13"/>
      <c r="F164" s="14">
        <f t="shared" si="2"/>
        <v>0</v>
      </c>
      <c r="G164" s="7" t="s">
        <v>209</v>
      </c>
      <c r="I164" s="17"/>
    </row>
    <row r="165" spans="1:9" x14ac:dyDescent="0.15">
      <c r="A165" s="22" t="s">
        <v>95</v>
      </c>
      <c r="B165" s="7">
        <f>VLOOKUP(A165,Sheet3!$A:$B,2,0)</f>
        <v>101674</v>
      </c>
      <c r="C165" s="7" t="str">
        <f>VLOOKUP(A165,Sheet3!$A:$C,3,0)</f>
        <v>3kg*4pc</v>
      </c>
      <c r="D165" s="7">
        <v>12</v>
      </c>
      <c r="E165" s="13"/>
      <c r="F165" s="14">
        <f t="shared" si="2"/>
        <v>0</v>
      </c>
      <c r="G165" s="7" t="s">
        <v>5</v>
      </c>
      <c r="I165" s="17"/>
    </row>
    <row r="166" spans="1:9" x14ac:dyDescent="0.15">
      <c r="A166" s="22" t="s">
        <v>174</v>
      </c>
      <c r="B166" s="7">
        <f>VLOOKUP(A166,Sheet3!$A:$B,2,0)</f>
        <v>101699</v>
      </c>
      <c r="C166" s="7" t="str">
        <f>VLOOKUP(A166,Sheet3!$A:$C,3,0)</f>
        <v>2.85kg*6can</v>
      </c>
      <c r="D166" s="7">
        <v>17.100000000000001</v>
      </c>
      <c r="E166" s="13"/>
      <c r="F166" s="14">
        <f t="shared" si="2"/>
        <v>0</v>
      </c>
      <c r="G166" s="7" t="s">
        <v>5</v>
      </c>
      <c r="I166" s="17"/>
    </row>
    <row r="167" spans="1:9" x14ac:dyDescent="0.15">
      <c r="A167" s="22" t="s">
        <v>175</v>
      </c>
      <c r="B167" s="7">
        <f>VLOOKUP(A167,Sheet3!$A:$B,2,0)</f>
        <v>101701</v>
      </c>
      <c r="C167" s="7" t="str">
        <f>VLOOKUP(A167,Sheet3!$A:$C,3,0)</f>
        <v>1L*12pc</v>
      </c>
      <c r="D167" s="7">
        <v>12</v>
      </c>
      <c r="E167" s="13"/>
      <c r="F167" s="14">
        <f t="shared" si="2"/>
        <v>0</v>
      </c>
      <c r="G167" s="7" t="s">
        <v>477</v>
      </c>
      <c r="I167" s="17"/>
    </row>
    <row r="168" spans="1:9" x14ac:dyDescent="0.15">
      <c r="A168" s="22" t="s">
        <v>205</v>
      </c>
      <c r="B168" s="7">
        <f>VLOOKUP(A168,Sheet3!$A:$B,2,0)</f>
        <v>101722</v>
      </c>
      <c r="C168" s="7" t="str">
        <f>VLOOKUP(A168,Sheet3!$A:$C,3,0)</f>
        <v>650g*4</v>
      </c>
      <c r="D168" s="7">
        <v>2.6</v>
      </c>
      <c r="E168" s="13"/>
      <c r="F168" s="14">
        <f t="shared" si="2"/>
        <v>0</v>
      </c>
      <c r="G168" s="7" t="s">
        <v>479</v>
      </c>
      <c r="I168" s="17"/>
    </row>
    <row r="169" spans="1:9" x14ac:dyDescent="0.15">
      <c r="A169" s="22" t="s">
        <v>206</v>
      </c>
      <c r="B169" s="7">
        <f>VLOOKUP(A169,Sheet3!$A:$B,2,0)</f>
        <v>101726</v>
      </c>
      <c r="C169" s="7" t="str">
        <f>VLOOKUP(A169,Sheet3!$A:$C,3,0)</f>
        <v>0.5kg*30pc</v>
      </c>
      <c r="D169" s="7">
        <v>15</v>
      </c>
      <c r="E169" s="13"/>
      <c r="F169" s="14">
        <f t="shared" si="2"/>
        <v>0</v>
      </c>
      <c r="G169" s="7" t="s">
        <v>479</v>
      </c>
      <c r="I169" s="17"/>
    </row>
    <row r="170" spans="1:9" x14ac:dyDescent="0.15">
      <c r="A170" s="22" t="s">
        <v>353</v>
      </c>
      <c r="B170" s="7">
        <f>VLOOKUP(A170,Sheet3!$A:$B,2,0)</f>
        <v>101729</v>
      </c>
      <c r="C170" s="7" t="str">
        <f>VLOOKUP(A170,Sheet3!$A:$C,3,0)</f>
        <v>0.5kg</v>
      </c>
      <c r="D170" s="7">
        <v>0.5</v>
      </c>
      <c r="E170" s="13"/>
      <c r="F170" s="14">
        <f t="shared" si="2"/>
        <v>0</v>
      </c>
      <c r="G170" s="7" t="s">
        <v>479</v>
      </c>
      <c r="I170" s="17"/>
    </row>
    <row r="171" spans="1:9" x14ac:dyDescent="0.15">
      <c r="A171" s="22" t="s">
        <v>355</v>
      </c>
      <c r="B171" s="7">
        <f>VLOOKUP(A171,Sheet3!$A:$B,2,0)</f>
        <v>101730</v>
      </c>
      <c r="C171" s="7" t="str">
        <f>VLOOKUP(A171,Sheet3!$A:$C,3,0)</f>
        <v>33g*20包*20袋/箱</v>
      </c>
      <c r="D171" s="7">
        <v>13.2</v>
      </c>
      <c r="E171" s="13"/>
      <c r="F171" s="14">
        <f t="shared" si="2"/>
        <v>0</v>
      </c>
      <c r="G171" s="7" t="s">
        <v>479</v>
      </c>
      <c r="I171" s="17"/>
    </row>
    <row r="172" spans="1:9" x14ac:dyDescent="0.15">
      <c r="A172" s="22" t="s">
        <v>393</v>
      </c>
      <c r="B172" s="7">
        <f>VLOOKUP(A172,Sheet3!$A:$B,2,0)</f>
        <v>101757</v>
      </c>
      <c r="C172" s="7" t="str">
        <f>VLOOKUP(A172,Sheet3!$A:$C,3,0)</f>
        <v>100g</v>
      </c>
      <c r="D172" s="7">
        <v>0.1</v>
      </c>
      <c r="E172" s="13">
        <v>1</v>
      </c>
      <c r="F172" s="14">
        <f t="shared" si="2"/>
        <v>0.1</v>
      </c>
      <c r="G172" s="7" t="s">
        <v>479</v>
      </c>
      <c r="I172" s="17"/>
    </row>
    <row r="173" spans="1:9" x14ac:dyDescent="0.15">
      <c r="A173" s="22" t="s">
        <v>400</v>
      </c>
      <c r="B173" s="7">
        <f>VLOOKUP(A173,Sheet3!$A:$B,2,0)</f>
        <v>101763</v>
      </c>
      <c r="C173" s="7" t="str">
        <f>VLOOKUP(A173,Sheet3!$A:$C,3,0)</f>
        <v>1kg*20pc</v>
      </c>
      <c r="D173" s="7">
        <v>20</v>
      </c>
      <c r="E173" s="13"/>
      <c r="F173" s="14">
        <f t="shared" si="2"/>
        <v>0</v>
      </c>
      <c r="G173" s="7" t="s">
        <v>479</v>
      </c>
      <c r="I173" s="17"/>
    </row>
    <row r="174" spans="1:9" x14ac:dyDescent="0.15">
      <c r="A174" s="22" t="s">
        <v>405</v>
      </c>
      <c r="B174" s="7">
        <f>VLOOKUP(A174,Sheet3!$A:$B,2,0)</f>
        <v>101769</v>
      </c>
      <c r="C174" s="7" t="str">
        <f>VLOOKUP(A174,Sheet3!$A:$C,3,0)</f>
        <v>20g*50pc</v>
      </c>
      <c r="D174" s="7">
        <v>1</v>
      </c>
      <c r="E174" s="13"/>
      <c r="F174" s="14">
        <f t="shared" si="2"/>
        <v>0</v>
      </c>
      <c r="G174" s="7" t="s">
        <v>479</v>
      </c>
      <c r="I174" s="17"/>
    </row>
    <row r="175" spans="1:9" x14ac:dyDescent="0.15">
      <c r="A175" s="22" t="s">
        <v>174</v>
      </c>
      <c r="B175" s="7">
        <f>VLOOKUP(A175,Sheet3!$A:$B,2,0)</f>
        <v>101699</v>
      </c>
      <c r="C175" s="7" t="str">
        <f>VLOOKUP(A175,Sheet3!$A:$C,3,0)</f>
        <v>2.85kg*6can</v>
      </c>
      <c r="D175" s="7">
        <v>17.100000000000001</v>
      </c>
      <c r="E175" s="13"/>
      <c r="F175" s="14">
        <f t="shared" si="2"/>
        <v>0</v>
      </c>
      <c r="G175" s="7" t="s">
        <v>479</v>
      </c>
      <c r="I175" s="17"/>
    </row>
    <row r="176" spans="1:9" x14ac:dyDescent="0.15">
      <c r="A176" s="22" t="s">
        <v>96</v>
      </c>
      <c r="B176" s="7">
        <f>VLOOKUP(A176,Sheet3!$A:$B,2,0)</f>
        <v>201276</v>
      </c>
      <c r="C176" s="7" t="str">
        <f>VLOOKUP(A176,Sheet3!$A:$C,3,0)</f>
        <v>0.007g*250pc</v>
      </c>
      <c r="D176" s="7">
        <v>1.75</v>
      </c>
      <c r="E176" s="13"/>
      <c r="F176" s="14">
        <f t="shared" si="2"/>
        <v>0</v>
      </c>
      <c r="G176" s="7" t="s">
        <v>479</v>
      </c>
      <c r="I176" s="17"/>
    </row>
    <row r="177" spans="1:9" x14ac:dyDescent="0.15">
      <c r="A177" s="22" t="s">
        <v>97</v>
      </c>
      <c r="B177" s="7">
        <f>VLOOKUP(A177,Sheet3!$A:$B,2,0)</f>
        <v>301115</v>
      </c>
      <c r="C177" s="7" t="str">
        <f>VLOOKUP(A177,Sheet3!$A:$C,3,0)</f>
        <v>5L*4btl</v>
      </c>
      <c r="D177" s="7">
        <v>20</v>
      </c>
      <c r="E177" s="13"/>
      <c r="F177" s="14">
        <f t="shared" si="2"/>
        <v>0</v>
      </c>
      <c r="G177" s="7" t="s">
        <v>60</v>
      </c>
      <c r="I177" s="17"/>
    </row>
    <row r="178" spans="1:9" x14ac:dyDescent="0.15">
      <c r="A178" s="22" t="s">
        <v>98</v>
      </c>
      <c r="B178" s="7">
        <f>VLOOKUP(A178,Sheet3!$A:$B,2,0)</f>
        <v>401286</v>
      </c>
      <c r="C178" s="7" t="str">
        <f>VLOOKUP(A178,Sheet3!$A:$C,3,0)</f>
        <v>1kg*10pc</v>
      </c>
      <c r="D178" s="7">
        <v>10</v>
      </c>
      <c r="E178" s="13"/>
      <c r="F178" s="14">
        <f t="shared" si="2"/>
        <v>0</v>
      </c>
      <c r="G178" s="7" t="s">
        <v>479</v>
      </c>
      <c r="I178" s="17"/>
    </row>
    <row r="179" spans="1:9" x14ac:dyDescent="0.15">
      <c r="A179" s="22" t="s">
        <v>99</v>
      </c>
      <c r="B179" s="7">
        <f>VLOOKUP(A179,Sheet3!$A:$B,2,0)</f>
        <v>700001</v>
      </c>
      <c r="C179" s="7" t="str">
        <f>VLOOKUP(A179,Sheet3!$A:$C,3,0)</f>
        <v>10L</v>
      </c>
      <c r="D179" s="7">
        <v>10</v>
      </c>
      <c r="E179" s="13"/>
      <c r="F179" s="14">
        <f t="shared" si="2"/>
        <v>0</v>
      </c>
      <c r="G179" s="7" t="s">
        <v>60</v>
      </c>
    </row>
    <row r="180" spans="1:9" x14ac:dyDescent="0.15">
      <c r="A180" s="22" t="s">
        <v>66</v>
      </c>
      <c r="B180" s="7">
        <f>VLOOKUP(A180,Sheet3!$A:$B,2,0)</f>
        <v>700002</v>
      </c>
      <c r="C180" s="7" t="str">
        <f>VLOOKUP(A180,Sheet3!$A:$C,3,0)</f>
        <v>10L</v>
      </c>
      <c r="D180" s="7">
        <v>10</v>
      </c>
      <c r="E180" s="13"/>
      <c r="F180" s="14">
        <f t="shared" si="2"/>
        <v>0</v>
      </c>
      <c r="G180" s="7" t="s">
        <v>60</v>
      </c>
    </row>
    <row r="181" spans="1:9" x14ac:dyDescent="0.15">
      <c r="A181" s="22" t="s">
        <v>100</v>
      </c>
      <c r="B181" s="7">
        <f>VLOOKUP(A181,Sheet3!$A:$B,2,0)</f>
        <v>700003</v>
      </c>
      <c r="C181" s="7" t="str">
        <f>VLOOKUP(A181,Sheet3!$A:$C,3,0)</f>
        <v>10L</v>
      </c>
      <c r="D181" s="7">
        <v>10</v>
      </c>
      <c r="E181" s="13"/>
      <c r="F181" s="14">
        <f t="shared" si="2"/>
        <v>0</v>
      </c>
      <c r="G181" s="7" t="s">
        <v>60</v>
      </c>
    </row>
    <row r="182" spans="1:9" x14ac:dyDescent="0.15">
      <c r="A182" s="22" t="s">
        <v>101</v>
      </c>
      <c r="B182" s="7">
        <f>VLOOKUP(A182,Sheet3!$A:$B,2,0)</f>
        <v>700004</v>
      </c>
      <c r="C182" s="7" t="str">
        <f>VLOOKUP(A182,Sheet3!$A:$C,3,0)</f>
        <v>10L</v>
      </c>
      <c r="D182" s="7">
        <v>10</v>
      </c>
      <c r="E182" s="13"/>
      <c r="F182" s="14">
        <f t="shared" si="2"/>
        <v>0</v>
      </c>
      <c r="G182" s="7" t="s">
        <v>60</v>
      </c>
    </row>
    <row r="183" spans="1:9" x14ac:dyDescent="0.15">
      <c r="A183" s="22" t="s">
        <v>102</v>
      </c>
      <c r="B183" s="7">
        <f>VLOOKUP(A183,Sheet3!$A:$B,2,0)</f>
        <v>700006</v>
      </c>
      <c r="C183" s="7" t="str">
        <f>VLOOKUP(A183,Sheet3!$A:$C,3,0)</f>
        <v>10L</v>
      </c>
      <c r="D183" s="7">
        <v>10</v>
      </c>
      <c r="E183" s="13"/>
      <c r="F183" s="14">
        <f t="shared" si="2"/>
        <v>0</v>
      </c>
      <c r="G183" s="7" t="s">
        <v>60</v>
      </c>
    </row>
    <row r="184" spans="1:9" x14ac:dyDescent="0.15">
      <c r="A184" s="22" t="s">
        <v>99</v>
      </c>
      <c r="B184" s="7">
        <f>VLOOKUP(A184,Sheet3!$A:$B,2,0)</f>
        <v>700001</v>
      </c>
      <c r="C184" s="7" t="str">
        <f>VLOOKUP(A184,Sheet3!$A:$C,3,0)</f>
        <v>10L</v>
      </c>
      <c r="D184" s="7">
        <v>10</v>
      </c>
      <c r="E184" s="13"/>
      <c r="F184" s="14">
        <f t="shared" si="2"/>
        <v>0</v>
      </c>
      <c r="G184" s="7" t="s">
        <v>60</v>
      </c>
    </row>
    <row r="185" spans="1:9" x14ac:dyDescent="0.15">
      <c r="A185" s="22" t="s">
        <v>66</v>
      </c>
      <c r="B185" s="7">
        <f>VLOOKUP(A185,Sheet3!$A:$B,2,0)</f>
        <v>700002</v>
      </c>
      <c r="C185" s="7" t="str">
        <f>VLOOKUP(A185,Sheet3!$A:$C,3,0)</f>
        <v>10L</v>
      </c>
      <c r="D185" s="7">
        <v>10</v>
      </c>
      <c r="E185" s="13"/>
      <c r="F185" s="14">
        <f t="shared" si="2"/>
        <v>0</v>
      </c>
      <c r="G185" s="7" t="s">
        <v>60</v>
      </c>
    </row>
    <row r="186" spans="1:9" x14ac:dyDescent="0.15">
      <c r="A186" s="22" t="s">
        <v>100</v>
      </c>
      <c r="B186" s="7">
        <f>VLOOKUP(A186,Sheet3!$A:$B,2,0)</f>
        <v>700003</v>
      </c>
      <c r="C186" s="7" t="str">
        <f>VLOOKUP(A186,Sheet3!$A:$C,3,0)</f>
        <v>10L</v>
      </c>
      <c r="D186" s="7">
        <v>10</v>
      </c>
      <c r="E186" s="13"/>
      <c r="F186" s="14">
        <f t="shared" si="2"/>
        <v>0</v>
      </c>
      <c r="G186" s="7" t="s">
        <v>60</v>
      </c>
    </row>
    <row r="187" spans="1:9" x14ac:dyDescent="0.15">
      <c r="A187" s="22" t="s">
        <v>101</v>
      </c>
      <c r="B187" s="7">
        <f>VLOOKUP(A187,Sheet3!$A:$B,2,0)</f>
        <v>700004</v>
      </c>
      <c r="C187" s="7" t="str">
        <f>VLOOKUP(A187,Sheet3!$A:$C,3,0)</f>
        <v>10L</v>
      </c>
      <c r="D187" s="7">
        <v>10</v>
      </c>
      <c r="E187" s="13"/>
      <c r="F187" s="14">
        <f t="shared" si="2"/>
        <v>0</v>
      </c>
      <c r="G187" s="7" t="s">
        <v>60</v>
      </c>
    </row>
    <row r="188" spans="1:9" x14ac:dyDescent="0.15">
      <c r="A188" s="22" t="s">
        <v>102</v>
      </c>
      <c r="B188" s="7">
        <f>VLOOKUP(A188,Sheet3!$A:$B,2,0)</f>
        <v>700006</v>
      </c>
      <c r="C188" s="7" t="str">
        <f>VLOOKUP(A188,Sheet3!$A:$C,3,0)</f>
        <v>10L</v>
      </c>
      <c r="D188" s="7">
        <v>10</v>
      </c>
      <c r="E188" s="13"/>
      <c r="F188" s="14">
        <f t="shared" si="2"/>
        <v>0</v>
      </c>
      <c r="G188" s="7" t="s">
        <v>60</v>
      </c>
    </row>
  </sheetData>
  <sheetProtection selectLockedCells="1"/>
  <autoFilter ref="A2:G177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77"/>
  <sheetViews>
    <sheetView workbookViewId="0">
      <selection activeCell="E2" sqref="E2"/>
    </sheetView>
  </sheetViews>
  <sheetFormatPr defaultRowHeight="13.5" x14ac:dyDescent="0.15"/>
  <cols>
    <col min="3" max="3" width="8.75" style="19"/>
    <col min="5" max="5" width="16.5" customWidth="1"/>
  </cols>
  <sheetData>
    <row r="1" spans="2:6" x14ac:dyDescent="0.15">
      <c r="B1" t="s">
        <v>4</v>
      </c>
      <c r="C1" s="17">
        <v>101015</v>
      </c>
      <c r="E1" s="6" t="s">
        <v>4</v>
      </c>
      <c r="F1" s="6" t="s">
        <v>217</v>
      </c>
    </row>
    <row r="2" spans="2:6" x14ac:dyDescent="0.15">
      <c r="B2" t="s">
        <v>6</v>
      </c>
      <c r="C2" s="17">
        <v>101022</v>
      </c>
      <c r="E2" s="6" t="s">
        <v>6</v>
      </c>
      <c r="F2" s="8" t="s">
        <v>218</v>
      </c>
    </row>
    <row r="3" spans="2:6" x14ac:dyDescent="0.15">
      <c r="B3" t="s">
        <v>7</v>
      </c>
      <c r="C3" s="17">
        <v>101024</v>
      </c>
      <c r="E3" s="6" t="s">
        <v>7</v>
      </c>
      <c r="F3" s="8" t="s">
        <v>219</v>
      </c>
    </row>
    <row r="4" spans="2:6" x14ac:dyDescent="0.15">
      <c r="B4" t="s">
        <v>8</v>
      </c>
      <c r="C4" s="17">
        <v>101025</v>
      </c>
      <c r="E4" s="6" t="s">
        <v>8</v>
      </c>
      <c r="F4" s="8" t="s">
        <v>220</v>
      </c>
    </row>
    <row r="5" spans="2:6" x14ac:dyDescent="0.15">
      <c r="B5" t="s">
        <v>10</v>
      </c>
      <c r="C5" s="17">
        <v>101030</v>
      </c>
      <c r="E5" s="6" t="s">
        <v>10</v>
      </c>
      <c r="F5" s="8" t="s">
        <v>221</v>
      </c>
    </row>
    <row r="6" spans="2:6" x14ac:dyDescent="0.15">
      <c r="B6" t="s">
        <v>11</v>
      </c>
      <c r="C6" s="17">
        <v>101040</v>
      </c>
      <c r="E6" s="6" t="s">
        <v>11</v>
      </c>
      <c r="F6" s="8" t="s">
        <v>222</v>
      </c>
    </row>
    <row r="7" spans="2:6" x14ac:dyDescent="0.15">
      <c r="B7" t="s">
        <v>12</v>
      </c>
      <c r="C7" s="17">
        <v>101055</v>
      </c>
      <c r="E7" s="6" t="s">
        <v>12</v>
      </c>
      <c r="F7" s="8" t="s">
        <v>223</v>
      </c>
    </row>
    <row r="8" spans="2:6" x14ac:dyDescent="0.15">
      <c r="B8" t="s">
        <v>13</v>
      </c>
      <c r="C8" s="17">
        <v>101063</v>
      </c>
      <c r="E8" s="6" t="s">
        <v>13</v>
      </c>
      <c r="F8" s="8" t="s">
        <v>224</v>
      </c>
    </row>
    <row r="9" spans="2:6" x14ac:dyDescent="0.15">
      <c r="B9" t="s">
        <v>14</v>
      </c>
      <c r="C9" s="17">
        <v>101073</v>
      </c>
      <c r="E9" s="6" t="s">
        <v>14</v>
      </c>
      <c r="F9" s="8" t="s">
        <v>225</v>
      </c>
    </row>
    <row r="10" spans="2:6" x14ac:dyDescent="0.15">
      <c r="B10" t="s">
        <v>15</v>
      </c>
      <c r="C10" s="17">
        <v>101189</v>
      </c>
      <c r="E10" s="6" t="s">
        <v>15</v>
      </c>
      <c r="F10" s="8" t="s">
        <v>226</v>
      </c>
    </row>
    <row r="11" spans="2:6" x14ac:dyDescent="0.15">
      <c r="B11" t="s">
        <v>16</v>
      </c>
      <c r="C11" s="17">
        <v>101269</v>
      </c>
      <c r="E11" s="6" t="s">
        <v>16</v>
      </c>
      <c r="F11" s="8" t="s">
        <v>227</v>
      </c>
    </row>
    <row r="12" spans="2:6" x14ac:dyDescent="0.15">
      <c r="B12" t="s">
        <v>17</v>
      </c>
      <c r="C12" s="17">
        <v>101329</v>
      </c>
      <c r="E12" s="6" t="s">
        <v>17</v>
      </c>
      <c r="F12" s="8" t="s">
        <v>228</v>
      </c>
    </row>
    <row r="13" spans="2:6" x14ac:dyDescent="0.15">
      <c r="B13" t="s">
        <v>18</v>
      </c>
      <c r="C13" s="17">
        <v>101332</v>
      </c>
      <c r="E13" s="6" t="s">
        <v>18</v>
      </c>
      <c r="F13" s="8" t="s">
        <v>229</v>
      </c>
    </row>
    <row r="14" spans="2:6" x14ac:dyDescent="0.15">
      <c r="B14" t="s">
        <v>19</v>
      </c>
      <c r="C14" s="17">
        <v>101490</v>
      </c>
      <c r="E14" s="6" t="s">
        <v>19</v>
      </c>
      <c r="F14" s="8" t="s">
        <v>230</v>
      </c>
    </row>
    <row r="15" spans="2:6" x14ac:dyDescent="0.15">
      <c r="B15" t="s">
        <v>20</v>
      </c>
      <c r="C15" s="17">
        <v>101508</v>
      </c>
      <c r="E15" s="6" t="s">
        <v>20</v>
      </c>
      <c r="F15" s="8" t="s">
        <v>231</v>
      </c>
    </row>
    <row r="16" spans="2:6" x14ac:dyDescent="0.15">
      <c r="B16" t="s">
        <v>21</v>
      </c>
      <c r="C16" s="17">
        <v>101543</v>
      </c>
      <c r="E16" s="6" t="s">
        <v>21</v>
      </c>
      <c r="F16" s="8" t="s">
        <v>232</v>
      </c>
    </row>
    <row r="17" spans="2:6" x14ac:dyDescent="0.15">
      <c r="B17" t="s">
        <v>22</v>
      </c>
      <c r="C17" s="17">
        <v>101554</v>
      </c>
      <c r="E17" s="6" t="s">
        <v>22</v>
      </c>
      <c r="F17" s="8" t="s">
        <v>233</v>
      </c>
    </row>
    <row r="18" spans="2:6" x14ac:dyDescent="0.15">
      <c r="B18" t="s">
        <v>23</v>
      </c>
      <c r="C18" s="17">
        <v>101576</v>
      </c>
      <c r="E18" s="6" t="s">
        <v>23</v>
      </c>
      <c r="F18" s="8" t="s">
        <v>234</v>
      </c>
    </row>
    <row r="19" spans="2:6" x14ac:dyDescent="0.15">
      <c r="B19" t="s">
        <v>24</v>
      </c>
      <c r="C19" s="17">
        <v>101577</v>
      </c>
      <c r="E19" s="6" t="s">
        <v>24</v>
      </c>
      <c r="F19" s="8" t="s">
        <v>235</v>
      </c>
    </row>
    <row r="20" spans="2:6" x14ac:dyDescent="0.15">
      <c r="B20" t="s">
        <v>25</v>
      </c>
      <c r="C20" s="17">
        <v>101581</v>
      </c>
      <c r="E20" s="6" t="s">
        <v>25</v>
      </c>
      <c r="F20" s="8" t="s">
        <v>236</v>
      </c>
    </row>
    <row r="21" spans="2:6" x14ac:dyDescent="0.15">
      <c r="B21" t="s">
        <v>26</v>
      </c>
      <c r="C21" s="17">
        <v>101594</v>
      </c>
      <c r="E21" s="6" t="s">
        <v>26</v>
      </c>
      <c r="F21" s="8" t="s">
        <v>237</v>
      </c>
    </row>
    <row r="22" spans="2:6" x14ac:dyDescent="0.15">
      <c r="B22" t="s">
        <v>27</v>
      </c>
      <c r="C22" s="17">
        <v>101595</v>
      </c>
      <c r="E22" s="6" t="s">
        <v>27</v>
      </c>
      <c r="F22" s="8" t="s">
        <v>238</v>
      </c>
    </row>
    <row r="23" spans="2:6" x14ac:dyDescent="0.15">
      <c r="B23" t="s">
        <v>28</v>
      </c>
      <c r="C23" s="17">
        <v>101597</v>
      </c>
      <c r="E23" s="6" t="s">
        <v>28</v>
      </c>
      <c r="F23" s="8" t="s">
        <v>239</v>
      </c>
    </row>
    <row r="24" spans="2:6" x14ac:dyDescent="0.15">
      <c r="B24" t="s">
        <v>29</v>
      </c>
      <c r="C24" s="17">
        <v>101606</v>
      </c>
      <c r="E24" s="6" t="s">
        <v>29</v>
      </c>
      <c r="F24" s="8" t="s">
        <v>240</v>
      </c>
    </row>
    <row r="25" spans="2:6" x14ac:dyDescent="0.15">
      <c r="B25" t="s">
        <v>30</v>
      </c>
      <c r="C25" s="17">
        <v>101608</v>
      </c>
      <c r="E25" s="6" t="s">
        <v>30</v>
      </c>
      <c r="F25" s="8" t="s">
        <v>241</v>
      </c>
    </row>
    <row r="26" spans="2:6" x14ac:dyDescent="0.15">
      <c r="B26" t="s">
        <v>31</v>
      </c>
      <c r="C26" s="17">
        <v>101610</v>
      </c>
      <c r="E26" s="6" t="s">
        <v>31</v>
      </c>
      <c r="F26" s="8" t="s">
        <v>242</v>
      </c>
    </row>
    <row r="27" spans="2:6" x14ac:dyDescent="0.15">
      <c r="B27" t="s">
        <v>32</v>
      </c>
      <c r="C27" s="17">
        <v>101617</v>
      </c>
      <c r="E27" s="6" t="s">
        <v>32</v>
      </c>
      <c r="F27" s="8" t="s">
        <v>243</v>
      </c>
    </row>
    <row r="28" spans="2:6" x14ac:dyDescent="0.15">
      <c r="B28" t="s">
        <v>33</v>
      </c>
      <c r="C28" s="17">
        <v>101624</v>
      </c>
      <c r="E28" s="6" t="s">
        <v>33</v>
      </c>
      <c r="F28" s="8" t="s">
        <v>244</v>
      </c>
    </row>
    <row r="29" spans="2:6" x14ac:dyDescent="0.15">
      <c r="B29" t="s">
        <v>34</v>
      </c>
      <c r="C29" s="17">
        <v>101635</v>
      </c>
      <c r="E29" s="6" t="s">
        <v>34</v>
      </c>
      <c r="F29" s="8" t="s">
        <v>245</v>
      </c>
    </row>
    <row r="30" spans="2:6" x14ac:dyDescent="0.15">
      <c r="B30" t="s">
        <v>35</v>
      </c>
      <c r="C30" s="17">
        <v>101638</v>
      </c>
      <c r="E30" s="6" t="s">
        <v>35</v>
      </c>
      <c r="F30" s="8" t="s">
        <v>246</v>
      </c>
    </row>
    <row r="31" spans="2:6" x14ac:dyDescent="0.15">
      <c r="B31" t="s">
        <v>36</v>
      </c>
      <c r="C31" s="17">
        <v>101640</v>
      </c>
      <c r="E31" s="6" t="s">
        <v>36</v>
      </c>
      <c r="F31" s="8" t="s">
        <v>247</v>
      </c>
    </row>
    <row r="32" spans="2:6" x14ac:dyDescent="0.15">
      <c r="B32" t="s">
        <v>37</v>
      </c>
      <c r="C32" s="17">
        <v>101641</v>
      </c>
      <c r="E32" s="6" t="s">
        <v>37</v>
      </c>
      <c r="F32" s="8" t="s">
        <v>248</v>
      </c>
    </row>
    <row r="33" spans="2:6" x14ac:dyDescent="0.15">
      <c r="B33" t="s">
        <v>39</v>
      </c>
      <c r="C33" s="17">
        <v>101652</v>
      </c>
      <c r="E33" s="6" t="s">
        <v>39</v>
      </c>
      <c r="F33" s="8" t="s">
        <v>249</v>
      </c>
    </row>
    <row r="34" spans="2:6" x14ac:dyDescent="0.15">
      <c r="B34" t="s">
        <v>155</v>
      </c>
      <c r="C34" s="17">
        <v>101655</v>
      </c>
      <c r="E34" s="6" t="s">
        <v>155</v>
      </c>
      <c r="F34" s="8" t="s">
        <v>250</v>
      </c>
    </row>
    <row r="35" spans="2:6" x14ac:dyDescent="0.15">
      <c r="B35" t="s">
        <v>41</v>
      </c>
      <c r="C35" s="17">
        <v>101664</v>
      </c>
      <c r="E35" s="6" t="s">
        <v>41</v>
      </c>
      <c r="F35" s="8" t="s">
        <v>251</v>
      </c>
    </row>
    <row r="36" spans="2:6" x14ac:dyDescent="0.15">
      <c r="B36" t="s">
        <v>42</v>
      </c>
      <c r="C36" s="17">
        <v>101671</v>
      </c>
      <c r="E36" s="6" t="s">
        <v>252</v>
      </c>
      <c r="F36" s="8" t="s">
        <v>253</v>
      </c>
    </row>
    <row r="37" spans="2:6" x14ac:dyDescent="0.15">
      <c r="B37" t="s">
        <v>43</v>
      </c>
      <c r="C37" s="17">
        <v>101672</v>
      </c>
      <c r="E37" s="6" t="s">
        <v>43</v>
      </c>
      <c r="F37" s="8" t="s">
        <v>254</v>
      </c>
    </row>
    <row r="38" spans="2:6" x14ac:dyDescent="0.15">
      <c r="B38" t="s">
        <v>40</v>
      </c>
      <c r="C38" s="17">
        <v>101677</v>
      </c>
      <c r="E38" s="6" t="s">
        <v>40</v>
      </c>
      <c r="F38" s="8" t="s">
        <v>255</v>
      </c>
    </row>
    <row r="39" spans="2:6" x14ac:dyDescent="0.15">
      <c r="B39" t="s">
        <v>162</v>
      </c>
      <c r="C39" s="17">
        <v>101678</v>
      </c>
      <c r="E39" s="6" t="s">
        <v>162</v>
      </c>
      <c r="F39" s="8" t="s">
        <v>256</v>
      </c>
    </row>
    <row r="40" spans="2:6" x14ac:dyDescent="0.15">
      <c r="B40" t="s">
        <v>163</v>
      </c>
      <c r="C40" s="17">
        <v>101680</v>
      </c>
      <c r="E40" s="6" t="s">
        <v>163</v>
      </c>
      <c r="F40" s="8" t="s">
        <v>257</v>
      </c>
    </row>
    <row r="41" spans="2:6" x14ac:dyDescent="0.15">
      <c r="B41" t="s">
        <v>164</v>
      </c>
      <c r="C41" s="17">
        <v>101682</v>
      </c>
      <c r="E41" s="6" t="s">
        <v>164</v>
      </c>
      <c r="F41" s="8" t="s">
        <v>258</v>
      </c>
    </row>
    <row r="42" spans="2:6" x14ac:dyDescent="0.15">
      <c r="B42" t="s">
        <v>38</v>
      </c>
      <c r="C42" s="17">
        <v>101688</v>
      </c>
      <c r="E42" s="6" t="s">
        <v>38</v>
      </c>
      <c r="F42" s="8" t="s">
        <v>259</v>
      </c>
    </row>
    <row r="43" spans="2:6" x14ac:dyDescent="0.15">
      <c r="B43" t="s">
        <v>167</v>
      </c>
      <c r="C43" s="17">
        <v>101697</v>
      </c>
      <c r="E43" s="6" t="s">
        <v>167</v>
      </c>
      <c r="F43" s="8" t="s">
        <v>260</v>
      </c>
    </row>
    <row r="44" spans="2:6" x14ac:dyDescent="0.15">
      <c r="B44" t="s">
        <v>168</v>
      </c>
      <c r="C44" s="17">
        <v>101698</v>
      </c>
      <c r="E44" s="6" t="s">
        <v>168</v>
      </c>
      <c r="F44" s="8" t="s">
        <v>261</v>
      </c>
    </row>
    <row r="45" spans="2:6" x14ac:dyDescent="0.15">
      <c r="B45" t="s">
        <v>170</v>
      </c>
      <c r="C45" s="17">
        <v>101702</v>
      </c>
      <c r="E45" s="6" t="s">
        <v>170</v>
      </c>
      <c r="F45" s="8" t="s">
        <v>262</v>
      </c>
    </row>
    <row r="46" spans="2:6" x14ac:dyDescent="0.15">
      <c r="B46" t="s">
        <v>171</v>
      </c>
      <c r="C46" s="17">
        <v>101703</v>
      </c>
      <c r="E46" s="6" t="s">
        <v>171</v>
      </c>
      <c r="F46" s="8" t="s">
        <v>263</v>
      </c>
    </row>
    <row r="47" spans="2:6" x14ac:dyDescent="0.15">
      <c r="B47" t="s">
        <v>177</v>
      </c>
      <c r="C47" s="17">
        <v>101705</v>
      </c>
      <c r="E47" s="6" t="s">
        <v>177</v>
      </c>
      <c r="F47" s="8" t="s">
        <v>264</v>
      </c>
    </row>
    <row r="48" spans="2:6" x14ac:dyDescent="0.15">
      <c r="B48" t="s">
        <v>178</v>
      </c>
      <c r="C48" s="17">
        <v>101707</v>
      </c>
      <c r="E48" s="6" t="s">
        <v>178</v>
      </c>
      <c r="F48" s="8" t="s">
        <v>265</v>
      </c>
    </row>
    <row r="49" spans="2:6" x14ac:dyDescent="0.15">
      <c r="B49" t="s">
        <v>179</v>
      </c>
      <c r="C49" s="17">
        <v>101708</v>
      </c>
      <c r="E49" s="6" t="s">
        <v>179</v>
      </c>
      <c r="F49" s="8" t="s">
        <v>266</v>
      </c>
    </row>
    <row r="50" spans="2:6" x14ac:dyDescent="0.15">
      <c r="B50" t="s">
        <v>180</v>
      </c>
      <c r="C50" s="17">
        <v>101709</v>
      </c>
      <c r="E50" s="6" t="s">
        <v>180</v>
      </c>
      <c r="F50" s="8" t="s">
        <v>267</v>
      </c>
    </row>
    <row r="51" spans="2:6" x14ac:dyDescent="0.15">
      <c r="B51" t="s">
        <v>181</v>
      </c>
      <c r="C51" s="17">
        <v>101710</v>
      </c>
      <c r="E51" s="6" t="s">
        <v>181</v>
      </c>
      <c r="F51" s="8" t="s">
        <v>268</v>
      </c>
    </row>
    <row r="52" spans="2:6" x14ac:dyDescent="0.15">
      <c r="B52" t="s">
        <v>188</v>
      </c>
      <c r="C52" s="17">
        <v>101711</v>
      </c>
      <c r="E52" s="6" t="s">
        <v>188</v>
      </c>
      <c r="F52" s="8" t="s">
        <v>269</v>
      </c>
    </row>
    <row r="53" spans="2:6" x14ac:dyDescent="0.15">
      <c r="B53" t="s">
        <v>189</v>
      </c>
      <c r="C53" s="17">
        <v>101712</v>
      </c>
      <c r="E53" s="6" t="s">
        <v>189</v>
      </c>
      <c r="F53" s="8" t="s">
        <v>270</v>
      </c>
    </row>
    <row r="54" spans="2:6" x14ac:dyDescent="0.15">
      <c r="B54" t="s">
        <v>190</v>
      </c>
      <c r="C54" s="17">
        <v>101716</v>
      </c>
      <c r="E54" s="6" t="s">
        <v>190</v>
      </c>
      <c r="F54" s="8" t="s">
        <v>271</v>
      </c>
    </row>
    <row r="55" spans="2:6" x14ac:dyDescent="0.15">
      <c r="B55" t="s">
        <v>191</v>
      </c>
      <c r="C55" s="17">
        <v>101717</v>
      </c>
      <c r="E55" s="6" t="s">
        <v>191</v>
      </c>
      <c r="F55" s="8" t="s">
        <v>272</v>
      </c>
    </row>
    <row r="56" spans="2:6" x14ac:dyDescent="0.15">
      <c r="B56" t="s">
        <v>192</v>
      </c>
      <c r="C56" s="17">
        <v>101718</v>
      </c>
      <c r="E56" s="6" t="s">
        <v>192</v>
      </c>
      <c r="F56" s="8" t="s">
        <v>273</v>
      </c>
    </row>
    <row r="57" spans="2:6" x14ac:dyDescent="0.15">
      <c r="B57" t="s">
        <v>193</v>
      </c>
      <c r="C57" s="17">
        <v>101719</v>
      </c>
      <c r="E57" s="6" t="s">
        <v>193</v>
      </c>
      <c r="F57" s="8" t="s">
        <v>274</v>
      </c>
    </row>
    <row r="58" spans="2:6" x14ac:dyDescent="0.15">
      <c r="B58" t="s">
        <v>194</v>
      </c>
      <c r="C58" s="17">
        <v>101720</v>
      </c>
      <c r="E58" s="6" t="s">
        <v>194</v>
      </c>
      <c r="F58" s="8" t="s">
        <v>275</v>
      </c>
    </row>
    <row r="59" spans="2:6" x14ac:dyDescent="0.15">
      <c r="B59" t="s">
        <v>195</v>
      </c>
      <c r="C59" s="17">
        <v>101721</v>
      </c>
      <c r="E59" s="6" t="s">
        <v>195</v>
      </c>
      <c r="F59" s="8" t="s">
        <v>276</v>
      </c>
    </row>
    <row r="60" spans="2:6" x14ac:dyDescent="0.15">
      <c r="B60" t="s">
        <v>196</v>
      </c>
      <c r="C60" s="17">
        <v>101723</v>
      </c>
      <c r="E60" s="6" t="s">
        <v>196</v>
      </c>
      <c r="F60" s="8" t="s">
        <v>277</v>
      </c>
    </row>
    <row r="61" spans="2:6" x14ac:dyDescent="0.15">
      <c r="B61" t="s">
        <v>197</v>
      </c>
      <c r="C61" s="17">
        <v>101725</v>
      </c>
      <c r="E61" s="6" t="s">
        <v>197</v>
      </c>
      <c r="F61" s="8" t="s">
        <v>278</v>
      </c>
    </row>
    <row r="62" spans="2:6" x14ac:dyDescent="0.15">
      <c r="B62" t="s">
        <v>385</v>
      </c>
      <c r="C62" s="19">
        <v>101727</v>
      </c>
      <c r="E62" s="6" t="s">
        <v>385</v>
      </c>
      <c r="F62" s="8" t="s">
        <v>386</v>
      </c>
    </row>
    <row r="63" spans="2:6" x14ac:dyDescent="0.15">
      <c r="B63" t="s">
        <v>356</v>
      </c>
      <c r="C63" s="17">
        <v>101732</v>
      </c>
      <c r="E63" s="6" t="s">
        <v>356</v>
      </c>
      <c r="F63" s="8" t="s">
        <v>406</v>
      </c>
    </row>
    <row r="64" spans="2:6" x14ac:dyDescent="0.15">
      <c r="B64" t="s">
        <v>357</v>
      </c>
      <c r="C64" s="17">
        <v>101733</v>
      </c>
      <c r="E64" s="6" t="s">
        <v>357</v>
      </c>
      <c r="F64" s="8" t="s">
        <v>407</v>
      </c>
    </row>
    <row r="65" spans="2:6" x14ac:dyDescent="0.15">
      <c r="B65" t="s">
        <v>358</v>
      </c>
      <c r="C65" s="17">
        <v>101736</v>
      </c>
      <c r="E65" s="6" t="s">
        <v>358</v>
      </c>
      <c r="F65" s="8" t="s">
        <v>408</v>
      </c>
    </row>
    <row r="66" spans="2:6" x14ac:dyDescent="0.15">
      <c r="B66" t="s">
        <v>359</v>
      </c>
      <c r="C66" s="17">
        <v>101737</v>
      </c>
      <c r="E66" s="6" t="s">
        <v>359</v>
      </c>
      <c r="F66" s="8" t="s">
        <v>409</v>
      </c>
    </row>
    <row r="67" spans="2:6" x14ac:dyDescent="0.15">
      <c r="B67" t="s">
        <v>360</v>
      </c>
      <c r="C67" s="17">
        <v>101738</v>
      </c>
      <c r="E67" s="6" t="s">
        <v>360</v>
      </c>
      <c r="F67" s="8" t="s">
        <v>410</v>
      </c>
    </row>
    <row r="68" spans="2:6" x14ac:dyDescent="0.15">
      <c r="B68" t="s">
        <v>361</v>
      </c>
      <c r="C68" s="17">
        <v>101739</v>
      </c>
      <c r="E68" s="6" t="s">
        <v>361</v>
      </c>
      <c r="F68" s="8" t="s">
        <v>411</v>
      </c>
    </row>
    <row r="69" spans="2:6" x14ac:dyDescent="0.15">
      <c r="B69" s="6" t="s">
        <v>383</v>
      </c>
      <c r="C69" s="17">
        <v>101740</v>
      </c>
      <c r="E69" s="6" t="s">
        <v>383</v>
      </c>
      <c r="F69" s="8" t="s">
        <v>412</v>
      </c>
    </row>
    <row r="70" spans="2:6" x14ac:dyDescent="0.15">
      <c r="B70" t="s">
        <v>362</v>
      </c>
      <c r="C70" s="17">
        <v>101741</v>
      </c>
      <c r="E70" s="6" t="s">
        <v>362</v>
      </c>
      <c r="F70" s="8" t="s">
        <v>413</v>
      </c>
    </row>
    <row r="71" spans="2:6" x14ac:dyDescent="0.15">
      <c r="B71" s="6" t="s">
        <v>384</v>
      </c>
      <c r="C71" s="17">
        <v>101742</v>
      </c>
      <c r="E71" s="6" t="s">
        <v>384</v>
      </c>
      <c r="F71" s="8" t="s">
        <v>414</v>
      </c>
    </row>
    <row r="72" spans="2:6" x14ac:dyDescent="0.15">
      <c r="B72" t="s">
        <v>363</v>
      </c>
      <c r="C72" s="17">
        <v>101744</v>
      </c>
      <c r="E72" s="6" t="s">
        <v>363</v>
      </c>
      <c r="F72" s="8" t="s">
        <v>415</v>
      </c>
    </row>
    <row r="73" spans="2:6" x14ac:dyDescent="0.15">
      <c r="B73" t="s">
        <v>364</v>
      </c>
      <c r="C73" s="17">
        <v>101745</v>
      </c>
      <c r="E73" s="6" t="s">
        <v>364</v>
      </c>
      <c r="F73" s="8" t="s">
        <v>416</v>
      </c>
    </row>
    <row r="74" spans="2:6" x14ac:dyDescent="0.15">
      <c r="B74" t="s">
        <v>366</v>
      </c>
      <c r="C74" s="17">
        <v>101747</v>
      </c>
      <c r="E74" s="6" t="s">
        <v>366</v>
      </c>
      <c r="F74" s="8" t="s">
        <v>417</v>
      </c>
    </row>
    <row r="75" spans="2:6" x14ac:dyDescent="0.15">
      <c r="B75" t="s">
        <v>367</v>
      </c>
      <c r="C75" s="17">
        <v>101748</v>
      </c>
      <c r="E75" s="6" t="s">
        <v>367</v>
      </c>
      <c r="F75" s="8" t="s">
        <v>418</v>
      </c>
    </row>
    <row r="76" spans="2:6" x14ac:dyDescent="0.15">
      <c r="B76" t="s">
        <v>369</v>
      </c>
      <c r="C76" s="17">
        <v>101751</v>
      </c>
      <c r="E76" s="6" t="s">
        <v>369</v>
      </c>
      <c r="F76" s="8" t="s">
        <v>419</v>
      </c>
    </row>
    <row r="77" spans="2:6" x14ac:dyDescent="0.15">
      <c r="B77" t="s">
        <v>387</v>
      </c>
      <c r="C77" s="19">
        <v>101753</v>
      </c>
      <c r="E77" s="6" t="s">
        <v>387</v>
      </c>
      <c r="F77" s="8" t="s">
        <v>420</v>
      </c>
    </row>
    <row r="78" spans="2:6" x14ac:dyDescent="0.15">
      <c r="B78" t="s">
        <v>390</v>
      </c>
      <c r="C78" s="19">
        <v>101754</v>
      </c>
      <c r="E78" s="6" t="s">
        <v>390</v>
      </c>
      <c r="F78" s="8" t="s">
        <v>421</v>
      </c>
    </row>
    <row r="79" spans="2:6" x14ac:dyDescent="0.15">
      <c r="B79" t="s">
        <v>391</v>
      </c>
      <c r="C79" s="19">
        <v>101755</v>
      </c>
      <c r="E79" s="6" t="s">
        <v>391</v>
      </c>
      <c r="F79" s="8" t="s">
        <v>422</v>
      </c>
    </row>
    <row r="80" spans="2:6" x14ac:dyDescent="0.15">
      <c r="B80" t="s">
        <v>392</v>
      </c>
      <c r="C80" s="19">
        <v>101756</v>
      </c>
      <c r="E80" s="6" t="s">
        <v>392</v>
      </c>
      <c r="F80" s="8" t="s">
        <v>423</v>
      </c>
    </row>
    <row r="81" spans="2:6" x14ac:dyDescent="0.15">
      <c r="B81" t="s">
        <v>366</v>
      </c>
      <c r="C81" s="19">
        <v>101747</v>
      </c>
      <c r="E81" s="6" t="s">
        <v>366</v>
      </c>
      <c r="F81" s="8" t="s">
        <v>417</v>
      </c>
    </row>
    <row r="82" spans="2:6" x14ac:dyDescent="0.15">
      <c r="B82" t="s">
        <v>394</v>
      </c>
      <c r="C82" s="19">
        <v>101058</v>
      </c>
      <c r="E82" s="6" t="s">
        <v>394</v>
      </c>
      <c r="F82" s="8" t="s">
        <v>424</v>
      </c>
    </row>
    <row r="83" spans="2:6" x14ac:dyDescent="0.15">
      <c r="B83" t="s">
        <v>395</v>
      </c>
      <c r="C83" s="19">
        <v>101758</v>
      </c>
      <c r="E83" s="6" t="s">
        <v>395</v>
      </c>
      <c r="F83" s="8" t="s">
        <v>425</v>
      </c>
    </row>
    <row r="84" spans="2:6" x14ac:dyDescent="0.15">
      <c r="B84" t="s">
        <v>396</v>
      </c>
      <c r="C84" s="19">
        <v>101759</v>
      </c>
      <c r="E84" s="6" t="s">
        <v>396</v>
      </c>
      <c r="F84" s="8" t="s">
        <v>426</v>
      </c>
    </row>
    <row r="85" spans="2:6" x14ac:dyDescent="0.15">
      <c r="B85" t="s">
        <v>397</v>
      </c>
      <c r="C85" s="19">
        <v>101760</v>
      </c>
      <c r="E85" s="6" t="s">
        <v>397</v>
      </c>
      <c r="F85" s="8" t="s">
        <v>427</v>
      </c>
    </row>
    <row r="86" spans="2:6" x14ac:dyDescent="0.15">
      <c r="B86" t="s">
        <v>398</v>
      </c>
      <c r="C86" s="19">
        <v>101761</v>
      </c>
      <c r="E86" s="6" t="s">
        <v>398</v>
      </c>
      <c r="F86" s="8" t="s">
        <v>428</v>
      </c>
    </row>
    <row r="87" spans="2:6" x14ac:dyDescent="0.15">
      <c r="B87" t="s">
        <v>399</v>
      </c>
      <c r="C87" s="19">
        <v>101762</v>
      </c>
      <c r="E87" s="6" t="s">
        <v>399</v>
      </c>
      <c r="F87" s="8" t="s">
        <v>429</v>
      </c>
    </row>
    <row r="88" spans="2:6" x14ac:dyDescent="0.15">
      <c r="B88" t="s">
        <v>401</v>
      </c>
      <c r="C88" s="19">
        <v>101764</v>
      </c>
      <c r="E88" s="6" t="s">
        <v>401</v>
      </c>
      <c r="F88" s="8" t="s">
        <v>430</v>
      </c>
    </row>
    <row r="89" spans="2:6" x14ac:dyDescent="0.15">
      <c r="B89" t="s">
        <v>402</v>
      </c>
      <c r="C89" s="19">
        <v>101765</v>
      </c>
      <c r="E89" s="6" t="s">
        <v>402</v>
      </c>
      <c r="F89" s="8" t="s">
        <v>431</v>
      </c>
    </row>
    <row r="90" spans="2:6" x14ac:dyDescent="0.15">
      <c r="B90" t="s">
        <v>403</v>
      </c>
      <c r="C90" s="19">
        <v>101766</v>
      </c>
      <c r="E90" s="6" t="s">
        <v>403</v>
      </c>
      <c r="F90" s="8" t="s">
        <v>432</v>
      </c>
    </row>
    <row r="91" spans="2:6" x14ac:dyDescent="0.15">
      <c r="B91" t="s">
        <v>404</v>
      </c>
      <c r="C91" s="19">
        <v>101767</v>
      </c>
      <c r="E91" s="6" t="s">
        <v>404</v>
      </c>
      <c r="F91" s="8" t="s">
        <v>433</v>
      </c>
    </row>
    <row r="92" spans="2:6" x14ac:dyDescent="0.15">
      <c r="B92" t="s">
        <v>9</v>
      </c>
      <c r="C92" s="17">
        <v>101027</v>
      </c>
      <c r="E92" s="6" t="s">
        <v>9</v>
      </c>
      <c r="F92" s="8" t="s">
        <v>279</v>
      </c>
    </row>
    <row r="93" spans="2:6" x14ac:dyDescent="0.15">
      <c r="B93" t="s">
        <v>55</v>
      </c>
      <c r="C93" s="17">
        <v>101133</v>
      </c>
      <c r="E93" s="6" t="s">
        <v>55</v>
      </c>
      <c r="F93" s="8" t="s">
        <v>280</v>
      </c>
    </row>
    <row r="94" spans="2:6" x14ac:dyDescent="0.15">
      <c r="B94" t="s">
        <v>44</v>
      </c>
      <c r="C94" s="17">
        <v>101286</v>
      </c>
      <c r="E94" s="6" t="s">
        <v>44</v>
      </c>
      <c r="F94" s="8" t="s">
        <v>281</v>
      </c>
    </row>
    <row r="95" spans="2:6" x14ac:dyDescent="0.15">
      <c r="B95" t="s">
        <v>70</v>
      </c>
      <c r="C95" s="17">
        <v>101359</v>
      </c>
      <c r="E95" s="6" t="s">
        <v>70</v>
      </c>
      <c r="F95" s="8" t="s">
        <v>282</v>
      </c>
    </row>
    <row r="96" spans="2:6" x14ac:dyDescent="0.15">
      <c r="B96" t="s">
        <v>45</v>
      </c>
      <c r="C96" s="17">
        <v>101362</v>
      </c>
      <c r="E96" s="6" t="s">
        <v>45</v>
      </c>
      <c r="F96" s="8" t="s">
        <v>283</v>
      </c>
    </row>
    <row r="97" spans="2:6" x14ac:dyDescent="0.15">
      <c r="B97" t="s">
        <v>85</v>
      </c>
      <c r="C97" s="17">
        <v>101592</v>
      </c>
      <c r="E97" s="6" t="s">
        <v>85</v>
      </c>
      <c r="F97" s="8" t="s">
        <v>284</v>
      </c>
    </row>
    <row r="98" spans="2:6" x14ac:dyDescent="0.15">
      <c r="B98" t="s">
        <v>86</v>
      </c>
      <c r="C98" s="17">
        <v>101593</v>
      </c>
      <c r="E98" s="6" t="s">
        <v>86</v>
      </c>
      <c r="F98" s="8" t="s">
        <v>285</v>
      </c>
    </row>
    <row r="99" spans="2:6" x14ac:dyDescent="0.15">
      <c r="B99" t="s">
        <v>46</v>
      </c>
      <c r="C99" s="17">
        <v>101637</v>
      </c>
      <c r="E99" s="6" t="s">
        <v>46</v>
      </c>
      <c r="F99" s="8" t="s">
        <v>286</v>
      </c>
    </row>
    <row r="100" spans="2:6" x14ac:dyDescent="0.15">
      <c r="B100" t="s">
        <v>186</v>
      </c>
      <c r="C100" s="17">
        <v>101706</v>
      </c>
      <c r="E100" s="6" t="s">
        <v>186</v>
      </c>
      <c r="F100" s="8" t="s">
        <v>287</v>
      </c>
    </row>
    <row r="101" spans="2:6" x14ac:dyDescent="0.15">
      <c r="B101" t="s">
        <v>204</v>
      </c>
      <c r="C101" s="17">
        <v>101714</v>
      </c>
      <c r="E101" s="6" t="s">
        <v>204</v>
      </c>
      <c r="F101" s="8" t="s">
        <v>288</v>
      </c>
    </row>
    <row r="102" spans="2:6" x14ac:dyDescent="0.15">
      <c r="B102" t="s">
        <v>365</v>
      </c>
      <c r="C102" s="17">
        <v>101746</v>
      </c>
      <c r="E102" s="6" t="s">
        <v>365</v>
      </c>
      <c r="F102" s="8">
        <v>101746</v>
      </c>
    </row>
    <row r="103" spans="2:6" x14ac:dyDescent="0.15">
      <c r="B103" t="s">
        <v>47</v>
      </c>
      <c r="C103" s="17">
        <v>720003</v>
      </c>
      <c r="E103" s="6" t="s">
        <v>47</v>
      </c>
      <c r="F103" s="8" t="s">
        <v>289</v>
      </c>
    </row>
    <row r="104" spans="2:6" x14ac:dyDescent="0.15">
      <c r="B104" t="s">
        <v>389</v>
      </c>
      <c r="C104" s="19">
        <v>720004</v>
      </c>
      <c r="E104" s="6" t="s">
        <v>389</v>
      </c>
      <c r="F104" s="8" t="s">
        <v>434</v>
      </c>
    </row>
    <row r="105" spans="2:6" x14ac:dyDescent="0.15">
      <c r="B105" t="s">
        <v>48</v>
      </c>
      <c r="C105" s="17">
        <v>720005</v>
      </c>
      <c r="E105" s="6" t="s">
        <v>48</v>
      </c>
      <c r="F105" s="8" t="s">
        <v>290</v>
      </c>
    </row>
    <row r="106" spans="2:6" x14ac:dyDescent="0.15">
      <c r="B106" t="s">
        <v>49</v>
      </c>
      <c r="C106" s="17">
        <v>720013</v>
      </c>
      <c r="E106" s="6" t="s">
        <v>49</v>
      </c>
      <c r="F106" s="8" t="s">
        <v>291</v>
      </c>
    </row>
    <row r="107" spans="2:6" x14ac:dyDescent="0.15">
      <c r="B107" t="s">
        <v>50</v>
      </c>
      <c r="C107" s="17">
        <v>720017</v>
      </c>
      <c r="E107" s="6" t="s">
        <v>50</v>
      </c>
      <c r="F107" s="8" t="s">
        <v>292</v>
      </c>
    </row>
    <row r="108" spans="2:6" x14ac:dyDescent="0.15">
      <c r="B108" t="s">
        <v>210</v>
      </c>
      <c r="C108" s="17">
        <v>730017</v>
      </c>
      <c r="E108" s="6" t="s">
        <v>210</v>
      </c>
      <c r="F108" s="8" t="s">
        <v>293</v>
      </c>
    </row>
    <row r="109" spans="2:6" x14ac:dyDescent="0.15">
      <c r="B109" t="s">
        <v>211</v>
      </c>
      <c r="C109" s="17">
        <v>730003</v>
      </c>
      <c r="E109" s="6" t="s">
        <v>211</v>
      </c>
      <c r="F109" s="8" t="s">
        <v>294</v>
      </c>
    </row>
    <row r="110" spans="2:6" x14ac:dyDescent="0.15">
      <c r="B110" t="s">
        <v>388</v>
      </c>
      <c r="C110" s="19">
        <v>730004</v>
      </c>
      <c r="E110" s="6" t="s">
        <v>388</v>
      </c>
      <c r="F110" s="8" t="s">
        <v>435</v>
      </c>
    </row>
    <row r="111" spans="2:6" x14ac:dyDescent="0.15">
      <c r="B111" t="s">
        <v>212</v>
      </c>
      <c r="C111" s="17">
        <v>730005</v>
      </c>
      <c r="E111" s="6" t="s">
        <v>212</v>
      </c>
      <c r="F111" s="8" t="s">
        <v>295</v>
      </c>
    </row>
    <row r="112" spans="2:6" x14ac:dyDescent="0.15">
      <c r="B112" t="s">
        <v>213</v>
      </c>
      <c r="C112" s="17">
        <v>730013</v>
      </c>
      <c r="E112" s="6" t="s">
        <v>213</v>
      </c>
      <c r="F112" s="8" t="s">
        <v>296</v>
      </c>
    </row>
    <row r="113" spans="2:6" x14ac:dyDescent="0.15">
      <c r="B113" t="s">
        <v>214</v>
      </c>
      <c r="C113" s="17">
        <v>730011</v>
      </c>
      <c r="E113" s="6" t="s">
        <v>214</v>
      </c>
      <c r="F113" s="8" t="s">
        <v>297</v>
      </c>
    </row>
    <row r="114" spans="2:6" x14ac:dyDescent="0.15">
      <c r="B114" t="s">
        <v>215</v>
      </c>
      <c r="C114" s="17">
        <v>720011</v>
      </c>
      <c r="E114" s="6" t="s">
        <v>215</v>
      </c>
      <c r="F114" s="8" t="s">
        <v>298</v>
      </c>
    </row>
    <row r="115" spans="2:6" x14ac:dyDescent="0.15">
      <c r="B115" t="s">
        <v>51</v>
      </c>
      <c r="C115" s="17">
        <v>101031</v>
      </c>
      <c r="E115" s="6" t="s">
        <v>51</v>
      </c>
      <c r="F115" s="8" t="s">
        <v>299</v>
      </c>
    </row>
    <row r="116" spans="2:6" x14ac:dyDescent="0.15">
      <c r="B116" t="s">
        <v>52</v>
      </c>
      <c r="C116" s="17">
        <v>101034</v>
      </c>
      <c r="E116" s="6" t="s">
        <v>52</v>
      </c>
      <c r="F116" s="8" t="s">
        <v>300</v>
      </c>
    </row>
    <row r="117" spans="2:6" x14ac:dyDescent="0.15">
      <c r="B117" t="s">
        <v>53</v>
      </c>
      <c r="C117" s="17">
        <v>101075</v>
      </c>
      <c r="E117" s="6" t="s">
        <v>53</v>
      </c>
      <c r="F117" s="8" t="s">
        <v>301</v>
      </c>
    </row>
    <row r="118" spans="2:6" x14ac:dyDescent="0.15">
      <c r="B118" t="s">
        <v>54</v>
      </c>
      <c r="C118" s="17">
        <v>101112</v>
      </c>
      <c r="E118" s="6" t="s">
        <v>54</v>
      </c>
      <c r="F118" s="8" t="s">
        <v>302</v>
      </c>
    </row>
    <row r="119" spans="2:6" x14ac:dyDescent="0.15">
      <c r="B119" t="s">
        <v>56</v>
      </c>
      <c r="C119" s="17">
        <v>101143</v>
      </c>
      <c r="E119" s="6" t="s">
        <v>56</v>
      </c>
      <c r="F119" s="8" t="s">
        <v>303</v>
      </c>
    </row>
    <row r="120" spans="2:6" x14ac:dyDescent="0.15">
      <c r="B120" t="s">
        <v>57</v>
      </c>
      <c r="C120" s="17">
        <v>101145</v>
      </c>
      <c r="E120" s="6" t="s">
        <v>57</v>
      </c>
      <c r="F120" s="8" t="s">
        <v>304</v>
      </c>
    </row>
    <row r="121" spans="2:6" x14ac:dyDescent="0.15">
      <c r="B121" t="s">
        <v>58</v>
      </c>
      <c r="C121" s="17">
        <v>101149</v>
      </c>
      <c r="E121" s="6" t="s">
        <v>58</v>
      </c>
      <c r="F121" s="8" t="s">
        <v>305</v>
      </c>
    </row>
    <row r="122" spans="2:6" x14ac:dyDescent="0.15">
      <c r="B122" t="s">
        <v>59</v>
      </c>
      <c r="C122" s="17">
        <v>101182</v>
      </c>
      <c r="E122" s="9" t="s">
        <v>59</v>
      </c>
      <c r="F122" s="10" t="s">
        <v>306</v>
      </c>
    </row>
    <row r="123" spans="2:6" x14ac:dyDescent="0.15">
      <c r="B123" t="s">
        <v>61</v>
      </c>
      <c r="C123" s="17">
        <v>101258</v>
      </c>
      <c r="E123" s="6" t="s">
        <v>61</v>
      </c>
      <c r="F123" s="8" t="s">
        <v>307</v>
      </c>
    </row>
    <row r="124" spans="2:6" x14ac:dyDescent="0.15">
      <c r="B124" t="s">
        <v>62</v>
      </c>
      <c r="C124" s="17">
        <v>101266</v>
      </c>
      <c r="E124" s="6" t="s">
        <v>62</v>
      </c>
      <c r="F124" s="8" t="s">
        <v>308</v>
      </c>
    </row>
    <row r="125" spans="2:6" x14ac:dyDescent="0.15">
      <c r="B125" t="s">
        <v>63</v>
      </c>
      <c r="C125" s="17">
        <v>101280</v>
      </c>
      <c r="E125" s="6" t="s">
        <v>63</v>
      </c>
      <c r="F125" s="8" t="s">
        <v>309</v>
      </c>
    </row>
    <row r="126" spans="2:6" x14ac:dyDescent="0.15">
      <c r="B126" t="s">
        <v>64</v>
      </c>
      <c r="C126" s="17">
        <v>101289</v>
      </c>
      <c r="E126" s="6" t="s">
        <v>64</v>
      </c>
      <c r="F126" s="8" t="s">
        <v>310</v>
      </c>
    </row>
    <row r="127" spans="2:6" x14ac:dyDescent="0.15">
      <c r="B127" t="s">
        <v>65</v>
      </c>
      <c r="C127" s="17">
        <v>101290</v>
      </c>
      <c r="E127" s="6" t="s">
        <v>65</v>
      </c>
      <c r="F127" s="8" t="s">
        <v>311</v>
      </c>
    </row>
    <row r="128" spans="2:6" x14ac:dyDescent="0.15">
      <c r="B128" t="s">
        <v>66</v>
      </c>
      <c r="C128" s="17">
        <v>700002</v>
      </c>
      <c r="E128" s="6" t="s">
        <v>66</v>
      </c>
      <c r="F128" s="8" t="s">
        <v>312</v>
      </c>
    </row>
    <row r="129" spans="2:6" x14ac:dyDescent="0.15">
      <c r="B129" t="s">
        <v>67</v>
      </c>
      <c r="C129" s="17">
        <v>101348</v>
      </c>
      <c r="E129" s="6" t="s">
        <v>67</v>
      </c>
      <c r="F129" s="8" t="s">
        <v>313</v>
      </c>
    </row>
    <row r="130" spans="2:6" x14ac:dyDescent="0.15">
      <c r="B130" t="s">
        <v>68</v>
      </c>
      <c r="C130" s="17">
        <v>101355</v>
      </c>
      <c r="E130" s="6" t="s">
        <v>68</v>
      </c>
      <c r="F130" s="8" t="s">
        <v>314</v>
      </c>
    </row>
    <row r="131" spans="2:6" x14ac:dyDescent="0.15">
      <c r="B131" t="s">
        <v>69</v>
      </c>
      <c r="C131" s="17">
        <v>101356</v>
      </c>
      <c r="E131" s="6" t="s">
        <v>69</v>
      </c>
      <c r="F131" s="8" t="s">
        <v>315</v>
      </c>
    </row>
    <row r="132" spans="2:6" x14ac:dyDescent="0.15">
      <c r="B132" t="s">
        <v>71</v>
      </c>
      <c r="C132" s="17">
        <v>101398</v>
      </c>
      <c r="E132" s="6" t="s">
        <v>71</v>
      </c>
      <c r="F132" s="8" t="s">
        <v>316</v>
      </c>
    </row>
    <row r="133" spans="2:6" x14ac:dyDescent="0.15">
      <c r="B133" t="s">
        <v>72</v>
      </c>
      <c r="C133" s="17">
        <v>101399</v>
      </c>
      <c r="E133" s="6" t="s">
        <v>72</v>
      </c>
      <c r="F133" s="8" t="s">
        <v>317</v>
      </c>
    </row>
    <row r="134" spans="2:6" x14ac:dyDescent="0.15">
      <c r="B134" t="s">
        <v>73</v>
      </c>
      <c r="C134" s="17">
        <v>101400</v>
      </c>
      <c r="E134" s="6" t="s">
        <v>73</v>
      </c>
      <c r="F134" s="8" t="s">
        <v>318</v>
      </c>
    </row>
    <row r="135" spans="2:6" x14ac:dyDescent="0.15">
      <c r="B135" t="s">
        <v>74</v>
      </c>
      <c r="C135" s="17">
        <v>101483</v>
      </c>
      <c r="E135" s="6" t="s">
        <v>74</v>
      </c>
      <c r="F135" s="8" t="s">
        <v>319</v>
      </c>
    </row>
    <row r="136" spans="2:6" x14ac:dyDescent="0.15">
      <c r="B136" t="s">
        <v>75</v>
      </c>
      <c r="C136" s="17">
        <v>101493</v>
      </c>
      <c r="E136" s="6" t="s">
        <v>75</v>
      </c>
      <c r="F136" s="8" t="s">
        <v>320</v>
      </c>
    </row>
    <row r="137" spans="2:6" x14ac:dyDescent="0.15">
      <c r="B137" t="s">
        <v>76</v>
      </c>
      <c r="C137" s="17">
        <v>101557</v>
      </c>
      <c r="E137" s="6" t="s">
        <v>76</v>
      </c>
      <c r="F137" s="8" t="s">
        <v>321</v>
      </c>
    </row>
    <row r="138" spans="2:6" x14ac:dyDescent="0.15">
      <c r="B138" t="s">
        <v>77</v>
      </c>
      <c r="C138" s="17">
        <v>101559</v>
      </c>
      <c r="E138" s="6" t="s">
        <v>77</v>
      </c>
      <c r="F138" s="8" t="s">
        <v>322</v>
      </c>
    </row>
    <row r="139" spans="2:6" x14ac:dyDescent="0.15">
      <c r="B139" t="s">
        <v>78</v>
      </c>
      <c r="C139" s="17">
        <v>101560</v>
      </c>
      <c r="E139" s="6" t="s">
        <v>78</v>
      </c>
      <c r="F139" s="8" t="s">
        <v>323</v>
      </c>
    </row>
    <row r="140" spans="2:6" x14ac:dyDescent="0.15">
      <c r="B140" t="s">
        <v>79</v>
      </c>
      <c r="C140" s="17">
        <v>101561</v>
      </c>
      <c r="E140" s="6" t="s">
        <v>79</v>
      </c>
      <c r="F140" s="8" t="s">
        <v>324</v>
      </c>
    </row>
    <row r="141" spans="2:6" x14ac:dyDescent="0.15">
      <c r="B141" t="s">
        <v>80</v>
      </c>
      <c r="C141" s="17">
        <v>101562</v>
      </c>
      <c r="E141" s="6" t="s">
        <v>80</v>
      </c>
      <c r="F141" s="8" t="s">
        <v>325</v>
      </c>
    </row>
    <row r="142" spans="2:6" x14ac:dyDescent="0.15">
      <c r="B142" t="s">
        <v>81</v>
      </c>
      <c r="C142" s="17">
        <v>101587</v>
      </c>
      <c r="E142" s="6" t="s">
        <v>81</v>
      </c>
      <c r="F142" s="8" t="s">
        <v>326</v>
      </c>
    </row>
    <row r="143" spans="2:6" x14ac:dyDescent="0.15">
      <c r="B143" t="s">
        <v>82</v>
      </c>
      <c r="C143" s="17">
        <v>101588</v>
      </c>
      <c r="E143" s="6" t="s">
        <v>82</v>
      </c>
      <c r="F143" s="8" t="s">
        <v>327</v>
      </c>
    </row>
    <row r="144" spans="2:6" x14ac:dyDescent="0.15">
      <c r="B144" t="s">
        <v>83</v>
      </c>
      <c r="C144" s="17">
        <v>101589</v>
      </c>
      <c r="E144" s="6" t="s">
        <v>83</v>
      </c>
      <c r="F144" s="8" t="s">
        <v>328</v>
      </c>
    </row>
    <row r="145" spans="2:6" x14ac:dyDescent="0.15">
      <c r="B145" t="s">
        <v>84</v>
      </c>
      <c r="C145" s="17">
        <v>101590</v>
      </c>
      <c r="E145" s="6" t="s">
        <v>84</v>
      </c>
      <c r="F145" s="8" t="s">
        <v>329</v>
      </c>
    </row>
    <row r="146" spans="2:6" x14ac:dyDescent="0.15">
      <c r="B146" t="s">
        <v>87</v>
      </c>
      <c r="C146" s="17">
        <v>101598</v>
      </c>
      <c r="E146" s="6" t="s">
        <v>87</v>
      </c>
      <c r="F146" s="8" t="s">
        <v>330</v>
      </c>
    </row>
    <row r="147" spans="2:6" x14ac:dyDescent="0.15">
      <c r="B147" t="s">
        <v>88</v>
      </c>
      <c r="C147" s="17">
        <v>101631</v>
      </c>
      <c r="E147" s="6" t="s">
        <v>88</v>
      </c>
      <c r="F147" s="8" t="s">
        <v>331</v>
      </c>
    </row>
    <row r="148" spans="2:6" x14ac:dyDescent="0.15">
      <c r="B148" t="s">
        <v>89</v>
      </c>
      <c r="C148" s="17">
        <v>101642</v>
      </c>
      <c r="E148" s="6" t="s">
        <v>89</v>
      </c>
      <c r="F148" s="8" t="s">
        <v>332</v>
      </c>
    </row>
    <row r="149" spans="2:6" x14ac:dyDescent="0.15">
      <c r="B149" t="s">
        <v>90</v>
      </c>
      <c r="C149" s="17">
        <v>101647</v>
      </c>
      <c r="E149" s="6" t="s">
        <v>90</v>
      </c>
      <c r="F149" s="8" t="s">
        <v>333</v>
      </c>
    </row>
    <row r="150" spans="2:6" x14ac:dyDescent="0.15">
      <c r="B150" t="s">
        <v>91</v>
      </c>
      <c r="C150" s="17">
        <v>101650</v>
      </c>
      <c r="E150" s="6" t="s">
        <v>91</v>
      </c>
      <c r="F150" s="8" t="s">
        <v>334</v>
      </c>
    </row>
    <row r="151" spans="2:6" x14ac:dyDescent="0.15">
      <c r="B151" t="s">
        <v>92</v>
      </c>
      <c r="C151" s="17">
        <v>101656</v>
      </c>
      <c r="E151" s="6" t="s">
        <v>92</v>
      </c>
      <c r="F151" s="8" t="s">
        <v>335</v>
      </c>
    </row>
    <row r="152" spans="2:6" x14ac:dyDescent="0.15">
      <c r="B152" t="s">
        <v>93</v>
      </c>
      <c r="C152" s="17">
        <v>101663</v>
      </c>
      <c r="E152" s="6" t="s">
        <v>93</v>
      </c>
      <c r="F152" s="8" t="s">
        <v>336</v>
      </c>
    </row>
    <row r="153" spans="2:6" x14ac:dyDescent="0.15">
      <c r="B153" t="s">
        <v>94</v>
      </c>
      <c r="C153" s="17">
        <v>101669</v>
      </c>
      <c r="E153" s="6" t="s">
        <v>94</v>
      </c>
      <c r="F153" s="8" t="s">
        <v>337</v>
      </c>
    </row>
    <row r="154" spans="2:6" x14ac:dyDescent="0.15">
      <c r="B154" t="s">
        <v>95</v>
      </c>
      <c r="C154" s="17">
        <v>101674</v>
      </c>
      <c r="E154" s="6" t="s">
        <v>95</v>
      </c>
      <c r="F154" s="8" t="s">
        <v>338</v>
      </c>
    </row>
    <row r="155" spans="2:6" x14ac:dyDescent="0.15">
      <c r="B155" t="s">
        <v>174</v>
      </c>
      <c r="C155" s="17">
        <v>101699</v>
      </c>
      <c r="E155" s="6" t="s">
        <v>174</v>
      </c>
      <c r="F155" s="8" t="s">
        <v>339</v>
      </c>
    </row>
    <row r="156" spans="2:6" x14ac:dyDescent="0.15">
      <c r="B156" t="s">
        <v>175</v>
      </c>
      <c r="C156" s="17">
        <v>101701</v>
      </c>
      <c r="E156" s="6" t="s">
        <v>175</v>
      </c>
      <c r="F156" s="8" t="s">
        <v>340</v>
      </c>
    </row>
    <row r="157" spans="2:6" x14ac:dyDescent="0.15">
      <c r="B157" t="s">
        <v>205</v>
      </c>
      <c r="C157" s="17">
        <v>101722</v>
      </c>
      <c r="E157" s="6" t="s">
        <v>205</v>
      </c>
      <c r="F157" s="8" t="s">
        <v>341</v>
      </c>
    </row>
    <row r="158" spans="2:6" x14ac:dyDescent="0.15">
      <c r="B158" t="s">
        <v>206</v>
      </c>
      <c r="C158" s="19">
        <v>101726</v>
      </c>
      <c r="E158" s="6" t="s">
        <v>206</v>
      </c>
      <c r="F158" s="8" t="s">
        <v>342</v>
      </c>
    </row>
    <row r="159" spans="2:6" x14ac:dyDescent="0.15">
      <c r="B159" t="s">
        <v>353</v>
      </c>
      <c r="C159" s="19">
        <v>101729</v>
      </c>
      <c r="E159" s="6" t="s">
        <v>353</v>
      </c>
      <c r="F159" s="8" t="s">
        <v>354</v>
      </c>
    </row>
    <row r="160" spans="2:6" x14ac:dyDescent="0.15">
      <c r="B160" t="s">
        <v>355</v>
      </c>
      <c r="C160" s="19">
        <v>101730</v>
      </c>
      <c r="E160" s="6" t="s">
        <v>355</v>
      </c>
      <c r="F160" s="8">
        <v>101730</v>
      </c>
    </row>
    <row r="161" spans="2:6" x14ac:dyDescent="0.15">
      <c r="B161" t="s">
        <v>393</v>
      </c>
      <c r="C161" s="19">
        <v>101757</v>
      </c>
      <c r="E161" s="6" t="s">
        <v>393</v>
      </c>
      <c r="F161" s="8">
        <v>101730</v>
      </c>
    </row>
    <row r="162" spans="2:6" x14ac:dyDescent="0.15">
      <c r="B162" t="s">
        <v>400</v>
      </c>
      <c r="C162" s="19">
        <v>101763</v>
      </c>
      <c r="E162" s="6" t="s">
        <v>400</v>
      </c>
      <c r="F162" s="8">
        <v>101730</v>
      </c>
    </row>
    <row r="163" spans="2:6" x14ac:dyDescent="0.15">
      <c r="B163" t="s">
        <v>405</v>
      </c>
      <c r="C163" s="19">
        <v>101769</v>
      </c>
      <c r="E163" s="6" t="s">
        <v>405</v>
      </c>
      <c r="F163" s="8">
        <v>101730</v>
      </c>
    </row>
    <row r="164" spans="2:6" x14ac:dyDescent="0.15">
      <c r="B164" t="s">
        <v>96</v>
      </c>
      <c r="C164" s="19">
        <v>201276</v>
      </c>
      <c r="E164" s="6" t="s">
        <v>96</v>
      </c>
      <c r="F164" s="8" t="s">
        <v>343</v>
      </c>
    </row>
    <row r="165" spans="2:6" x14ac:dyDescent="0.15">
      <c r="B165" t="s">
        <v>97</v>
      </c>
      <c r="C165" s="19">
        <v>301115</v>
      </c>
      <c r="E165" t="s">
        <v>97</v>
      </c>
      <c r="F165" t="s">
        <v>344</v>
      </c>
    </row>
    <row r="166" spans="2:6" x14ac:dyDescent="0.15">
      <c r="B166" t="s">
        <v>98</v>
      </c>
      <c r="C166" s="19">
        <v>401286</v>
      </c>
      <c r="E166" t="s">
        <v>98</v>
      </c>
      <c r="F166" t="s">
        <v>345</v>
      </c>
    </row>
    <row r="167" spans="2:6" x14ac:dyDescent="0.15">
      <c r="B167" t="s">
        <v>99</v>
      </c>
      <c r="C167" s="19">
        <v>700001</v>
      </c>
      <c r="E167" t="s">
        <v>99</v>
      </c>
      <c r="F167" t="s">
        <v>346</v>
      </c>
    </row>
    <row r="168" spans="2:6" x14ac:dyDescent="0.15">
      <c r="B168" t="s">
        <v>66</v>
      </c>
      <c r="C168" s="19">
        <v>700002</v>
      </c>
      <c r="E168" t="s">
        <v>66</v>
      </c>
      <c r="F168" t="s">
        <v>312</v>
      </c>
    </row>
    <row r="169" spans="2:6" x14ac:dyDescent="0.15">
      <c r="B169" t="s">
        <v>100</v>
      </c>
      <c r="C169" s="19">
        <v>700003</v>
      </c>
      <c r="E169" t="s">
        <v>100</v>
      </c>
      <c r="F169" t="s">
        <v>347</v>
      </c>
    </row>
    <row r="170" spans="2:6" x14ac:dyDescent="0.15">
      <c r="B170" t="s">
        <v>101</v>
      </c>
      <c r="C170" s="19">
        <v>700004</v>
      </c>
      <c r="E170" t="s">
        <v>101</v>
      </c>
      <c r="F170" t="s">
        <v>348</v>
      </c>
    </row>
    <row r="171" spans="2:6" x14ac:dyDescent="0.15">
      <c r="B171" t="s">
        <v>102</v>
      </c>
      <c r="C171" s="19">
        <v>700006</v>
      </c>
      <c r="E171" t="s">
        <v>102</v>
      </c>
      <c r="F171" t="s">
        <v>349</v>
      </c>
    </row>
    <row r="172" spans="2:6" x14ac:dyDescent="0.15">
      <c r="B172" t="s">
        <v>99</v>
      </c>
      <c r="C172" s="19">
        <v>700001</v>
      </c>
      <c r="E172" t="s">
        <v>99</v>
      </c>
      <c r="F172" t="s">
        <v>346</v>
      </c>
    </row>
    <row r="173" spans="2:6" x14ac:dyDescent="0.15">
      <c r="B173" t="s">
        <v>66</v>
      </c>
      <c r="C173" s="19">
        <v>700002</v>
      </c>
      <c r="E173" t="s">
        <v>66</v>
      </c>
      <c r="F173" t="s">
        <v>312</v>
      </c>
    </row>
    <row r="174" spans="2:6" x14ac:dyDescent="0.15">
      <c r="B174" t="s">
        <v>100</v>
      </c>
      <c r="C174" s="19">
        <v>700003</v>
      </c>
      <c r="E174" t="s">
        <v>100</v>
      </c>
      <c r="F174" t="s">
        <v>347</v>
      </c>
    </row>
    <row r="175" spans="2:6" x14ac:dyDescent="0.15">
      <c r="B175" t="s">
        <v>101</v>
      </c>
      <c r="C175" s="19">
        <v>700004</v>
      </c>
      <c r="E175" t="s">
        <v>101</v>
      </c>
      <c r="F175" t="s">
        <v>348</v>
      </c>
    </row>
    <row r="176" spans="2:6" x14ac:dyDescent="0.15">
      <c r="B176" t="s">
        <v>102</v>
      </c>
      <c r="C176" s="19">
        <v>700006</v>
      </c>
      <c r="E176" t="s">
        <v>102</v>
      </c>
      <c r="F176" t="s">
        <v>349</v>
      </c>
    </row>
    <row r="177" spans="5:6" x14ac:dyDescent="0.15">
      <c r="E177" t="s">
        <v>350</v>
      </c>
      <c r="F177" t="s">
        <v>351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5"/>
  <sheetViews>
    <sheetView topLeftCell="A179" workbookViewId="0">
      <selection activeCell="C194" sqref="C194"/>
    </sheetView>
  </sheetViews>
  <sheetFormatPr defaultRowHeight="13.5" x14ac:dyDescent="0.15"/>
  <cols>
    <col min="1" max="1" width="20.125" customWidth="1"/>
    <col min="2" max="2" width="8.75" style="2"/>
  </cols>
  <sheetData>
    <row r="1" spans="1:3" x14ac:dyDescent="0.15">
      <c r="A1" t="s">
        <v>99</v>
      </c>
      <c r="B1" s="2">
        <v>700001</v>
      </c>
      <c r="C1" t="s">
        <v>104</v>
      </c>
    </row>
    <row r="2" spans="1:3" x14ac:dyDescent="0.15">
      <c r="A2" t="s">
        <v>66</v>
      </c>
      <c r="B2" s="2">
        <v>700002</v>
      </c>
      <c r="C2" t="s">
        <v>104</v>
      </c>
    </row>
    <row r="3" spans="1:3" x14ac:dyDescent="0.15">
      <c r="A3" t="s">
        <v>100</v>
      </c>
      <c r="B3" s="2">
        <v>700003</v>
      </c>
      <c r="C3" t="s">
        <v>104</v>
      </c>
    </row>
    <row r="4" spans="1:3" x14ac:dyDescent="0.15">
      <c r="A4" t="s">
        <v>101</v>
      </c>
      <c r="B4" s="2">
        <v>700004</v>
      </c>
      <c r="C4" t="s">
        <v>104</v>
      </c>
    </row>
    <row r="5" spans="1:3" x14ac:dyDescent="0.15">
      <c r="A5" t="s">
        <v>102</v>
      </c>
      <c r="B5" s="2">
        <v>700006</v>
      </c>
      <c r="C5" t="s">
        <v>104</v>
      </c>
    </row>
    <row r="6" spans="1:3" x14ac:dyDescent="0.15">
      <c r="A6" t="s">
        <v>210</v>
      </c>
      <c r="B6" s="2">
        <v>730017</v>
      </c>
      <c r="C6" t="s">
        <v>105</v>
      </c>
    </row>
    <row r="7" spans="1:3" x14ac:dyDescent="0.15">
      <c r="A7" t="s">
        <v>211</v>
      </c>
      <c r="B7" s="2">
        <v>730003</v>
      </c>
      <c r="C7" t="s">
        <v>106</v>
      </c>
    </row>
    <row r="8" spans="1:3" x14ac:dyDescent="0.15">
      <c r="A8" t="s">
        <v>212</v>
      </c>
      <c r="B8" s="2">
        <v>730005</v>
      </c>
      <c r="C8" t="s">
        <v>107</v>
      </c>
    </row>
    <row r="9" spans="1:3" x14ac:dyDescent="0.15">
      <c r="A9" t="s">
        <v>213</v>
      </c>
      <c r="B9" s="2">
        <v>730013</v>
      </c>
      <c r="C9" t="s">
        <v>105</v>
      </c>
    </row>
    <row r="10" spans="1:3" x14ac:dyDescent="0.15">
      <c r="A10" t="s">
        <v>47</v>
      </c>
      <c r="B10" s="2">
        <v>720003</v>
      </c>
      <c r="C10" t="s">
        <v>106</v>
      </c>
    </row>
    <row r="11" spans="1:3" x14ac:dyDescent="0.15">
      <c r="A11" t="s">
        <v>48</v>
      </c>
      <c r="B11" s="2">
        <v>720005</v>
      </c>
      <c r="C11" t="s">
        <v>107</v>
      </c>
    </row>
    <row r="12" spans="1:3" x14ac:dyDescent="0.15">
      <c r="A12" t="s">
        <v>50</v>
      </c>
      <c r="B12" s="2">
        <v>720017</v>
      </c>
      <c r="C12" t="s">
        <v>105</v>
      </c>
    </row>
    <row r="13" spans="1:3" x14ac:dyDescent="0.15">
      <c r="A13" t="s">
        <v>49</v>
      </c>
      <c r="B13" s="2">
        <v>720013</v>
      </c>
      <c r="C13" t="s">
        <v>105</v>
      </c>
    </row>
    <row r="14" spans="1:3" x14ac:dyDescent="0.15">
      <c r="A14" t="s">
        <v>214</v>
      </c>
      <c r="B14" s="2">
        <v>730011</v>
      </c>
      <c r="C14" t="s">
        <v>216</v>
      </c>
    </row>
    <row r="15" spans="1:3" x14ac:dyDescent="0.15">
      <c r="A15" t="s">
        <v>215</v>
      </c>
      <c r="B15" s="2">
        <v>720011</v>
      </c>
      <c r="C15" t="s">
        <v>216</v>
      </c>
    </row>
    <row r="16" spans="1:3" x14ac:dyDescent="0.15">
      <c r="A16" t="s">
        <v>25</v>
      </c>
      <c r="B16" s="2">
        <v>101581</v>
      </c>
      <c r="C16" t="s">
        <v>108</v>
      </c>
    </row>
    <row r="17" spans="1:3" x14ac:dyDescent="0.15">
      <c r="A17" t="s">
        <v>46</v>
      </c>
      <c r="B17" s="2">
        <v>101637</v>
      </c>
      <c r="C17" t="s">
        <v>109</v>
      </c>
    </row>
    <row r="18" spans="1:3" x14ac:dyDescent="0.15">
      <c r="A18" t="s">
        <v>62</v>
      </c>
      <c r="B18" s="2">
        <v>101266</v>
      </c>
      <c r="C18" t="s">
        <v>110</v>
      </c>
    </row>
    <row r="19" spans="1:3" x14ac:dyDescent="0.15">
      <c r="A19" t="s">
        <v>64</v>
      </c>
      <c r="B19" s="2">
        <v>101289</v>
      </c>
      <c r="C19" t="s">
        <v>478</v>
      </c>
    </row>
    <row r="20" spans="1:3" x14ac:dyDescent="0.15">
      <c r="A20" t="s">
        <v>70</v>
      </c>
      <c r="B20" s="2">
        <v>101359</v>
      </c>
      <c r="C20" t="s">
        <v>111</v>
      </c>
    </row>
    <row r="21" spans="1:3" x14ac:dyDescent="0.15">
      <c r="A21" t="s">
        <v>45</v>
      </c>
      <c r="B21" s="2">
        <v>101362</v>
      </c>
      <c r="C21" t="s">
        <v>112</v>
      </c>
    </row>
    <row r="22" spans="1:3" x14ac:dyDescent="0.15">
      <c r="A22" t="s">
        <v>87</v>
      </c>
      <c r="B22" s="2">
        <v>101598</v>
      </c>
      <c r="C22" t="s">
        <v>113</v>
      </c>
    </row>
    <row r="23" spans="1:3" x14ac:dyDescent="0.15">
      <c r="A23" t="s">
        <v>22</v>
      </c>
      <c r="B23" s="2">
        <v>101554</v>
      </c>
      <c r="C23" t="s">
        <v>114</v>
      </c>
    </row>
    <row r="24" spans="1:3" x14ac:dyDescent="0.15">
      <c r="A24" t="s">
        <v>85</v>
      </c>
      <c r="B24" s="2">
        <v>101592</v>
      </c>
      <c r="C24" t="s">
        <v>115</v>
      </c>
    </row>
    <row r="25" spans="1:3" x14ac:dyDescent="0.15">
      <c r="A25" t="s">
        <v>86</v>
      </c>
      <c r="B25" s="2">
        <v>101593</v>
      </c>
      <c r="C25" t="s">
        <v>116</v>
      </c>
    </row>
    <row r="26" spans="1:3" x14ac:dyDescent="0.15">
      <c r="A26" t="s">
        <v>35</v>
      </c>
      <c r="B26" s="2">
        <v>101638</v>
      </c>
      <c r="C26" t="s">
        <v>117</v>
      </c>
    </row>
    <row r="27" spans="1:3" x14ac:dyDescent="0.15">
      <c r="A27" t="s">
        <v>24</v>
      </c>
      <c r="B27" s="2">
        <v>101577</v>
      </c>
      <c r="C27" t="s">
        <v>118</v>
      </c>
    </row>
    <row r="28" spans="1:3" x14ac:dyDescent="0.15">
      <c r="A28" t="s">
        <v>36</v>
      </c>
      <c r="B28" s="2">
        <v>101640</v>
      </c>
      <c r="C28" t="s">
        <v>119</v>
      </c>
    </row>
    <row r="29" spans="1:3" x14ac:dyDescent="0.15">
      <c r="A29" t="s">
        <v>21</v>
      </c>
      <c r="B29" s="2">
        <v>101543</v>
      </c>
      <c r="C29" t="s">
        <v>120</v>
      </c>
    </row>
    <row r="30" spans="1:3" x14ac:dyDescent="0.15">
      <c r="A30" t="s">
        <v>6</v>
      </c>
      <c r="B30" s="2">
        <v>101022</v>
      </c>
      <c r="C30" t="s">
        <v>119</v>
      </c>
    </row>
    <row r="31" spans="1:3" x14ac:dyDescent="0.15">
      <c r="A31" t="s">
        <v>7</v>
      </c>
      <c r="B31" s="2">
        <v>101024</v>
      </c>
      <c r="C31" t="s">
        <v>117</v>
      </c>
    </row>
    <row r="32" spans="1:3" x14ac:dyDescent="0.15">
      <c r="A32" t="s">
        <v>16</v>
      </c>
      <c r="B32" s="2">
        <v>101269</v>
      </c>
      <c r="C32" t="s">
        <v>121</v>
      </c>
    </row>
    <row r="33" spans="1:3" x14ac:dyDescent="0.15">
      <c r="A33" t="s">
        <v>8</v>
      </c>
      <c r="B33" s="2">
        <v>101025</v>
      </c>
      <c r="C33" t="s">
        <v>110</v>
      </c>
    </row>
    <row r="34" spans="1:3" x14ac:dyDescent="0.15">
      <c r="A34" t="s">
        <v>9</v>
      </c>
      <c r="B34" s="2">
        <v>101027</v>
      </c>
      <c r="C34" t="s">
        <v>122</v>
      </c>
    </row>
    <row r="35" spans="1:3" x14ac:dyDescent="0.15">
      <c r="A35" t="s">
        <v>10</v>
      </c>
      <c r="B35" s="2">
        <v>101030</v>
      </c>
      <c r="C35" t="s">
        <v>123</v>
      </c>
    </row>
    <row r="36" spans="1:3" x14ac:dyDescent="0.15">
      <c r="A36" t="s">
        <v>26</v>
      </c>
      <c r="B36" s="2">
        <v>101594</v>
      </c>
      <c r="C36" t="s">
        <v>124</v>
      </c>
    </row>
    <row r="37" spans="1:3" x14ac:dyDescent="0.15">
      <c r="A37" t="s">
        <v>27</v>
      </c>
      <c r="B37" s="2">
        <v>101595</v>
      </c>
      <c r="C37" t="s">
        <v>124</v>
      </c>
    </row>
    <row r="38" spans="1:3" x14ac:dyDescent="0.15">
      <c r="A38" t="s">
        <v>28</v>
      </c>
      <c r="B38" s="2">
        <v>101597</v>
      </c>
      <c r="C38" t="s">
        <v>124</v>
      </c>
    </row>
    <row r="39" spans="1:3" x14ac:dyDescent="0.15">
      <c r="A39" t="s">
        <v>12</v>
      </c>
      <c r="B39" s="2">
        <v>101055</v>
      </c>
      <c r="C39" t="s">
        <v>124</v>
      </c>
    </row>
    <row r="40" spans="1:3" x14ac:dyDescent="0.15">
      <c r="A40" t="s">
        <v>20</v>
      </c>
      <c r="B40" s="2">
        <v>101508</v>
      </c>
      <c r="C40" t="s">
        <v>108</v>
      </c>
    </row>
    <row r="41" spans="1:3" x14ac:dyDescent="0.15">
      <c r="A41" t="s">
        <v>39</v>
      </c>
      <c r="B41" s="2">
        <v>101652</v>
      </c>
      <c r="C41" t="s">
        <v>117</v>
      </c>
    </row>
    <row r="42" spans="1:3" x14ac:dyDescent="0.15">
      <c r="A42" t="s">
        <v>51</v>
      </c>
      <c r="B42" s="2">
        <v>101031</v>
      </c>
      <c r="C42" t="s">
        <v>125</v>
      </c>
    </row>
    <row r="43" spans="1:3" x14ac:dyDescent="0.15">
      <c r="A43" t="s">
        <v>52</v>
      </c>
      <c r="B43" s="2">
        <v>101034</v>
      </c>
      <c r="C43" t="s">
        <v>107</v>
      </c>
    </row>
    <row r="44" spans="1:3" x14ac:dyDescent="0.15">
      <c r="A44" t="s">
        <v>91</v>
      </c>
      <c r="B44" s="2">
        <v>101650</v>
      </c>
      <c r="C44" t="s">
        <v>107</v>
      </c>
    </row>
    <row r="45" spans="1:3" x14ac:dyDescent="0.15">
      <c r="A45" t="s">
        <v>33</v>
      </c>
      <c r="B45" s="2">
        <v>101624</v>
      </c>
      <c r="C45" t="s">
        <v>108</v>
      </c>
    </row>
    <row r="46" spans="1:3" x14ac:dyDescent="0.15">
      <c r="A46" t="s">
        <v>53</v>
      </c>
      <c r="B46" s="2">
        <v>101075</v>
      </c>
      <c r="C46" t="s">
        <v>127</v>
      </c>
    </row>
    <row r="47" spans="1:3" x14ac:dyDescent="0.15">
      <c r="A47" t="s">
        <v>17</v>
      </c>
      <c r="B47" s="2">
        <v>101329</v>
      </c>
      <c r="C47" t="s">
        <v>128</v>
      </c>
    </row>
    <row r="48" spans="1:3" x14ac:dyDescent="0.15">
      <c r="A48" t="s">
        <v>75</v>
      </c>
      <c r="B48" s="2">
        <v>101493</v>
      </c>
      <c r="C48" t="s">
        <v>130</v>
      </c>
    </row>
    <row r="49" spans="1:3" x14ac:dyDescent="0.15">
      <c r="A49" t="s">
        <v>4</v>
      </c>
      <c r="B49" s="2">
        <v>101015</v>
      </c>
      <c r="C49" t="s">
        <v>124</v>
      </c>
    </row>
    <row r="50" spans="1:3" x14ac:dyDescent="0.15">
      <c r="A50" t="s">
        <v>11</v>
      </c>
      <c r="B50" s="2">
        <v>101040</v>
      </c>
      <c r="C50" t="s">
        <v>131</v>
      </c>
    </row>
    <row r="51" spans="1:3" x14ac:dyDescent="0.15">
      <c r="A51" t="s">
        <v>32</v>
      </c>
      <c r="B51" s="2">
        <v>101617</v>
      </c>
      <c r="C51" t="s">
        <v>132</v>
      </c>
    </row>
    <row r="52" spans="1:3" x14ac:dyDescent="0.15">
      <c r="A52" t="s">
        <v>14</v>
      </c>
      <c r="B52" s="2">
        <v>101073</v>
      </c>
      <c r="C52" t="s">
        <v>117</v>
      </c>
    </row>
    <row r="53" spans="1:3" x14ac:dyDescent="0.15">
      <c r="A53" t="s">
        <v>89</v>
      </c>
      <c r="B53" s="2">
        <v>101642</v>
      </c>
      <c r="C53" t="s">
        <v>133</v>
      </c>
    </row>
    <row r="54" spans="1:3" x14ac:dyDescent="0.15">
      <c r="A54" t="s">
        <v>13</v>
      </c>
      <c r="B54" s="2">
        <v>101063</v>
      </c>
      <c r="C54" t="s">
        <v>110</v>
      </c>
    </row>
    <row r="55" spans="1:3" x14ac:dyDescent="0.15">
      <c r="A55" t="s">
        <v>81</v>
      </c>
      <c r="B55" s="2">
        <v>101587</v>
      </c>
      <c r="C55" t="s">
        <v>134</v>
      </c>
    </row>
    <row r="56" spans="1:3" x14ac:dyDescent="0.15">
      <c r="A56" t="s">
        <v>82</v>
      </c>
      <c r="B56" s="2">
        <v>101588</v>
      </c>
      <c r="C56" t="s">
        <v>134</v>
      </c>
    </row>
    <row r="57" spans="1:3" x14ac:dyDescent="0.15">
      <c r="A57" t="s">
        <v>83</v>
      </c>
      <c r="B57" s="2">
        <v>101589</v>
      </c>
      <c r="C57" t="s">
        <v>134</v>
      </c>
    </row>
    <row r="58" spans="1:3" x14ac:dyDescent="0.15">
      <c r="A58" t="s">
        <v>84</v>
      </c>
      <c r="B58" s="2">
        <v>101590</v>
      </c>
      <c r="C58" t="s">
        <v>134</v>
      </c>
    </row>
    <row r="59" spans="1:3" x14ac:dyDescent="0.15">
      <c r="A59" t="s">
        <v>68</v>
      </c>
      <c r="B59" s="2">
        <v>101355</v>
      </c>
      <c r="C59" t="s">
        <v>135</v>
      </c>
    </row>
    <row r="60" spans="1:3" x14ac:dyDescent="0.15">
      <c r="A60" t="s">
        <v>69</v>
      </c>
      <c r="B60" s="2">
        <v>101356</v>
      </c>
      <c r="C60" t="s">
        <v>104</v>
      </c>
    </row>
    <row r="61" spans="1:3" x14ac:dyDescent="0.15">
      <c r="A61" t="s">
        <v>67</v>
      </c>
      <c r="B61" s="2">
        <v>101348</v>
      </c>
      <c r="C61" t="s">
        <v>104</v>
      </c>
    </row>
    <row r="62" spans="1:3" x14ac:dyDescent="0.15">
      <c r="A62" t="s">
        <v>66</v>
      </c>
      <c r="B62" s="2">
        <v>101347</v>
      </c>
      <c r="C62" t="s">
        <v>104</v>
      </c>
    </row>
    <row r="63" spans="1:3" x14ac:dyDescent="0.15">
      <c r="A63" t="s">
        <v>74</v>
      </c>
      <c r="B63" s="2">
        <v>101483</v>
      </c>
      <c r="C63" t="s">
        <v>104</v>
      </c>
    </row>
    <row r="64" spans="1:3" x14ac:dyDescent="0.15">
      <c r="A64" t="s">
        <v>77</v>
      </c>
      <c r="B64" s="2">
        <v>101559</v>
      </c>
      <c r="C64" t="s">
        <v>136</v>
      </c>
    </row>
    <row r="65" spans="1:3" x14ac:dyDescent="0.15">
      <c r="A65" t="s">
        <v>78</v>
      </c>
      <c r="B65" s="2">
        <v>101560</v>
      </c>
      <c r="C65" t="s">
        <v>136</v>
      </c>
    </row>
    <row r="66" spans="1:3" x14ac:dyDescent="0.15">
      <c r="A66" t="s">
        <v>79</v>
      </c>
      <c r="B66" s="2">
        <v>101561</v>
      </c>
      <c r="C66" t="s">
        <v>136</v>
      </c>
    </row>
    <row r="67" spans="1:3" x14ac:dyDescent="0.15">
      <c r="A67" t="s">
        <v>80</v>
      </c>
      <c r="B67" s="2">
        <v>101562</v>
      </c>
      <c r="C67" t="s">
        <v>136</v>
      </c>
    </row>
    <row r="68" spans="1:3" x14ac:dyDescent="0.15">
      <c r="A68" t="s">
        <v>65</v>
      </c>
      <c r="B68" s="2">
        <v>101290</v>
      </c>
      <c r="C68" t="s">
        <v>107</v>
      </c>
    </row>
    <row r="69" spans="1:3" x14ac:dyDescent="0.15">
      <c r="A69" t="s">
        <v>54</v>
      </c>
      <c r="B69" s="2">
        <v>101112</v>
      </c>
      <c r="C69" t="s">
        <v>137</v>
      </c>
    </row>
    <row r="70" spans="1:3" x14ac:dyDescent="0.15">
      <c r="A70" t="s">
        <v>96</v>
      </c>
      <c r="B70" s="2">
        <v>201276</v>
      </c>
      <c r="C70" t="s">
        <v>138</v>
      </c>
    </row>
    <row r="71" spans="1:3" x14ac:dyDescent="0.15">
      <c r="A71" t="s">
        <v>71</v>
      </c>
      <c r="B71" s="2">
        <v>101398</v>
      </c>
      <c r="C71" t="s">
        <v>139</v>
      </c>
    </row>
    <row r="72" spans="1:3" x14ac:dyDescent="0.15">
      <c r="A72" t="s">
        <v>72</v>
      </c>
      <c r="B72" s="2">
        <v>101399</v>
      </c>
      <c r="C72" t="s">
        <v>139</v>
      </c>
    </row>
    <row r="73" spans="1:3" x14ac:dyDescent="0.15">
      <c r="A73" t="s">
        <v>73</v>
      </c>
      <c r="B73" s="2">
        <v>101400</v>
      </c>
      <c r="C73" t="s">
        <v>139</v>
      </c>
    </row>
    <row r="74" spans="1:3" x14ac:dyDescent="0.15">
      <c r="A74" t="s">
        <v>63</v>
      </c>
      <c r="B74" s="2">
        <v>101280</v>
      </c>
      <c r="C74" t="s">
        <v>140</v>
      </c>
    </row>
    <row r="75" spans="1:3" x14ac:dyDescent="0.15">
      <c r="A75" t="s">
        <v>97</v>
      </c>
      <c r="B75" s="2">
        <v>301115</v>
      </c>
      <c r="C75" t="s">
        <v>141</v>
      </c>
    </row>
    <row r="76" spans="1:3" x14ac:dyDescent="0.15">
      <c r="A76" t="s">
        <v>18</v>
      </c>
      <c r="B76" s="2">
        <v>101332</v>
      </c>
      <c r="C76" t="s">
        <v>117</v>
      </c>
    </row>
    <row r="77" spans="1:3" x14ac:dyDescent="0.15">
      <c r="A77" t="s">
        <v>15</v>
      </c>
      <c r="B77" s="2">
        <v>101189</v>
      </c>
      <c r="C77" t="s">
        <v>143</v>
      </c>
    </row>
    <row r="78" spans="1:3" x14ac:dyDescent="0.15">
      <c r="A78" t="s">
        <v>56</v>
      </c>
      <c r="B78" s="2">
        <v>101143</v>
      </c>
      <c r="C78" t="s">
        <v>144</v>
      </c>
    </row>
    <row r="79" spans="1:3" x14ac:dyDescent="0.15">
      <c r="A79" t="s">
        <v>29</v>
      </c>
      <c r="B79" s="2">
        <v>101606</v>
      </c>
      <c r="C79" t="s">
        <v>145</v>
      </c>
    </row>
    <row r="80" spans="1:3" x14ac:dyDescent="0.15">
      <c r="A80" t="s">
        <v>76</v>
      </c>
      <c r="B80" s="2">
        <v>101557</v>
      </c>
      <c r="C80" t="s">
        <v>124</v>
      </c>
    </row>
    <row r="81" spans="1:3" x14ac:dyDescent="0.15">
      <c r="A81" t="s">
        <v>19</v>
      </c>
      <c r="B81" s="2">
        <v>101490</v>
      </c>
      <c r="C81" t="s">
        <v>146</v>
      </c>
    </row>
    <row r="82" spans="1:3" x14ac:dyDescent="0.15">
      <c r="A82" t="s">
        <v>44</v>
      </c>
      <c r="B82" s="2">
        <v>101286</v>
      </c>
      <c r="C82" t="s">
        <v>124</v>
      </c>
    </row>
    <row r="83" spans="1:3" x14ac:dyDescent="0.15">
      <c r="A83" t="s">
        <v>98</v>
      </c>
      <c r="B83" s="2">
        <v>401286</v>
      </c>
      <c r="C83" t="s">
        <v>124</v>
      </c>
    </row>
    <row r="84" spans="1:3" x14ac:dyDescent="0.15">
      <c r="A84" t="s">
        <v>61</v>
      </c>
      <c r="B84" s="2">
        <v>101258</v>
      </c>
      <c r="C84" t="s">
        <v>147</v>
      </c>
    </row>
    <row r="85" spans="1:3" x14ac:dyDescent="0.15">
      <c r="A85" t="s">
        <v>57</v>
      </c>
      <c r="B85" s="2">
        <v>101145</v>
      </c>
      <c r="C85" t="s">
        <v>148</v>
      </c>
    </row>
    <row r="86" spans="1:3" x14ac:dyDescent="0.15">
      <c r="A86" t="s">
        <v>55</v>
      </c>
      <c r="B86" s="2">
        <v>101133</v>
      </c>
      <c r="C86" t="s">
        <v>124</v>
      </c>
    </row>
    <row r="87" spans="1:3" x14ac:dyDescent="0.15">
      <c r="A87" t="s">
        <v>23</v>
      </c>
      <c r="B87" s="2">
        <v>101576</v>
      </c>
      <c r="C87" t="s">
        <v>121</v>
      </c>
    </row>
    <row r="88" spans="1:3" x14ac:dyDescent="0.15">
      <c r="A88" t="s">
        <v>59</v>
      </c>
      <c r="B88" s="2">
        <v>101182</v>
      </c>
      <c r="C88" t="s">
        <v>149</v>
      </c>
    </row>
    <row r="89" spans="1:3" x14ac:dyDescent="0.15">
      <c r="A89" t="s">
        <v>58</v>
      </c>
      <c r="B89" s="2">
        <v>101149</v>
      </c>
      <c r="C89" t="s">
        <v>121</v>
      </c>
    </row>
    <row r="90" spans="1:3" x14ac:dyDescent="0.15">
      <c r="A90" t="s">
        <v>31</v>
      </c>
      <c r="B90" s="2">
        <v>101610</v>
      </c>
      <c r="C90" t="s">
        <v>108</v>
      </c>
    </row>
    <row r="91" spans="1:3" x14ac:dyDescent="0.15">
      <c r="A91" t="s">
        <v>30</v>
      </c>
      <c r="B91" s="2">
        <v>101608</v>
      </c>
      <c r="C91" t="s">
        <v>150</v>
      </c>
    </row>
    <row r="92" spans="1:3" x14ac:dyDescent="0.15">
      <c r="A92" t="s">
        <v>37</v>
      </c>
      <c r="B92" s="2">
        <v>101641</v>
      </c>
      <c r="C92" t="s">
        <v>121</v>
      </c>
    </row>
    <row r="93" spans="1:3" x14ac:dyDescent="0.15">
      <c r="A93" t="s">
        <v>99</v>
      </c>
      <c r="B93" s="2">
        <v>710001</v>
      </c>
      <c r="C93" t="s">
        <v>135</v>
      </c>
    </row>
    <row r="94" spans="1:3" x14ac:dyDescent="0.15">
      <c r="A94" t="s">
        <v>66</v>
      </c>
      <c r="B94" s="2">
        <v>710002</v>
      </c>
      <c r="C94" t="s">
        <v>104</v>
      </c>
    </row>
    <row r="95" spans="1:3" x14ac:dyDescent="0.15">
      <c r="A95" t="s">
        <v>100</v>
      </c>
      <c r="B95" s="2">
        <v>710003</v>
      </c>
      <c r="C95" t="s">
        <v>104</v>
      </c>
    </row>
    <row r="96" spans="1:3" x14ac:dyDescent="0.15">
      <c r="A96" t="s">
        <v>101</v>
      </c>
      <c r="B96" s="2">
        <v>710004</v>
      </c>
      <c r="C96" t="s">
        <v>104</v>
      </c>
    </row>
    <row r="97" spans="1:3" x14ac:dyDescent="0.15">
      <c r="A97" t="s">
        <v>102</v>
      </c>
      <c r="B97" s="2">
        <v>710005</v>
      </c>
      <c r="C97" t="s">
        <v>104</v>
      </c>
    </row>
    <row r="98" spans="1:3" x14ac:dyDescent="0.15">
      <c r="A98" t="s">
        <v>350</v>
      </c>
      <c r="B98" s="2">
        <v>710006</v>
      </c>
      <c r="C98" t="s">
        <v>436</v>
      </c>
    </row>
    <row r="99" spans="1:3" x14ac:dyDescent="0.15">
      <c r="A99" t="s">
        <v>88</v>
      </c>
      <c r="B99" s="2">
        <v>101631</v>
      </c>
      <c r="C99" t="s">
        <v>151</v>
      </c>
    </row>
    <row r="100" spans="1:3" x14ac:dyDescent="0.15">
      <c r="A100" t="s">
        <v>34</v>
      </c>
      <c r="B100" s="2">
        <v>101635</v>
      </c>
      <c r="C100" t="s">
        <v>152</v>
      </c>
    </row>
    <row r="101" spans="1:3" x14ac:dyDescent="0.15">
      <c r="A101" t="s">
        <v>90</v>
      </c>
      <c r="B101" s="2">
        <v>101647</v>
      </c>
      <c r="C101" t="s">
        <v>153</v>
      </c>
    </row>
    <row r="102" spans="1:3" x14ac:dyDescent="0.15">
      <c r="A102" t="s">
        <v>92</v>
      </c>
      <c r="B102" s="2">
        <v>101656</v>
      </c>
      <c r="C102" t="s">
        <v>127</v>
      </c>
    </row>
    <row r="103" spans="1:3" x14ac:dyDescent="0.15">
      <c r="A103" t="s">
        <v>93</v>
      </c>
      <c r="B103" s="2">
        <v>101663</v>
      </c>
      <c r="C103" t="s">
        <v>437</v>
      </c>
    </row>
    <row r="104" spans="1:3" x14ac:dyDescent="0.15">
      <c r="A104" t="s">
        <v>41</v>
      </c>
      <c r="B104" s="2">
        <v>101664</v>
      </c>
      <c r="C104" t="s">
        <v>154</v>
      </c>
    </row>
    <row r="105" spans="1:3" x14ac:dyDescent="0.15">
      <c r="A105" t="s">
        <v>94</v>
      </c>
      <c r="B105" s="2">
        <v>101669</v>
      </c>
      <c r="C105" t="s">
        <v>129</v>
      </c>
    </row>
    <row r="106" spans="1:3" x14ac:dyDescent="0.15">
      <c r="A106" t="s">
        <v>155</v>
      </c>
      <c r="B106" s="2">
        <v>101655</v>
      </c>
      <c r="C106" t="s">
        <v>156</v>
      </c>
    </row>
    <row r="107" spans="1:3" x14ac:dyDescent="0.15">
      <c r="A107" t="s">
        <v>252</v>
      </c>
      <c r="B107" s="2">
        <v>101671</v>
      </c>
      <c r="C107" t="s">
        <v>126</v>
      </c>
    </row>
    <row r="108" spans="1:3" x14ac:dyDescent="0.15">
      <c r="A108" t="s">
        <v>43</v>
      </c>
      <c r="B108" s="2">
        <v>101672</v>
      </c>
      <c r="C108" t="s">
        <v>110</v>
      </c>
    </row>
    <row r="109" spans="1:3" x14ac:dyDescent="0.15">
      <c r="A109" t="s">
        <v>95</v>
      </c>
      <c r="B109" s="2">
        <v>101674</v>
      </c>
      <c r="C109" t="s">
        <v>110</v>
      </c>
    </row>
    <row r="110" spans="1:3" x14ac:dyDescent="0.15">
      <c r="A110" t="s">
        <v>40</v>
      </c>
      <c r="B110" s="2">
        <v>101677</v>
      </c>
      <c r="C110" t="s">
        <v>157</v>
      </c>
    </row>
    <row r="111" spans="1:3" x14ac:dyDescent="0.15">
      <c r="A111" t="s">
        <v>162</v>
      </c>
      <c r="B111" s="18">
        <v>101678</v>
      </c>
      <c r="C111" t="s">
        <v>124</v>
      </c>
    </row>
    <row r="112" spans="1:3" x14ac:dyDescent="0.15">
      <c r="A112" t="s">
        <v>163</v>
      </c>
      <c r="B112" s="18">
        <v>101680</v>
      </c>
      <c r="C112" t="s">
        <v>166</v>
      </c>
    </row>
    <row r="113" spans="1:3" x14ac:dyDescent="0.15">
      <c r="A113" t="s">
        <v>164</v>
      </c>
      <c r="B113" s="18">
        <v>101682</v>
      </c>
      <c r="C113" t="s">
        <v>122</v>
      </c>
    </row>
    <row r="114" spans="1:3" x14ac:dyDescent="0.15">
      <c r="A114" t="s">
        <v>38</v>
      </c>
      <c r="B114" s="2">
        <v>101688</v>
      </c>
      <c r="C114" t="s">
        <v>166</v>
      </c>
    </row>
    <row r="115" spans="1:3" x14ac:dyDescent="0.15">
      <c r="A115" t="s">
        <v>352</v>
      </c>
      <c r="B115" s="2">
        <v>101687</v>
      </c>
      <c r="C115" t="s">
        <v>438</v>
      </c>
    </row>
    <row r="116" spans="1:3" x14ac:dyDescent="0.15">
      <c r="A116" t="s">
        <v>167</v>
      </c>
      <c r="B116" s="2">
        <v>101697</v>
      </c>
      <c r="C116" t="s">
        <v>169</v>
      </c>
    </row>
    <row r="117" spans="1:3" x14ac:dyDescent="0.15">
      <c r="A117" t="s">
        <v>168</v>
      </c>
      <c r="B117" s="2">
        <v>101698</v>
      </c>
      <c r="C117" t="s">
        <v>108</v>
      </c>
    </row>
    <row r="118" spans="1:3" x14ac:dyDescent="0.15">
      <c r="A118" t="s">
        <v>174</v>
      </c>
      <c r="B118" s="2">
        <v>101699</v>
      </c>
      <c r="C118" t="s">
        <v>165</v>
      </c>
    </row>
    <row r="119" spans="1:3" x14ac:dyDescent="0.15">
      <c r="A119" t="s">
        <v>63</v>
      </c>
      <c r="B119" s="2">
        <v>101700</v>
      </c>
      <c r="C119" t="s">
        <v>140</v>
      </c>
    </row>
    <row r="120" spans="1:3" x14ac:dyDescent="0.15">
      <c r="A120" t="s">
        <v>175</v>
      </c>
      <c r="B120" s="2">
        <v>101701</v>
      </c>
      <c r="C120" t="s">
        <v>149</v>
      </c>
    </row>
    <row r="121" spans="1:3" x14ac:dyDescent="0.15">
      <c r="A121" t="s">
        <v>170</v>
      </c>
      <c r="B121" s="2">
        <v>101702</v>
      </c>
      <c r="C121" t="s">
        <v>172</v>
      </c>
    </row>
    <row r="122" spans="1:3" x14ac:dyDescent="0.15">
      <c r="A122" t="s">
        <v>171</v>
      </c>
      <c r="B122" s="2">
        <v>101703</v>
      </c>
      <c r="C122" t="s">
        <v>173</v>
      </c>
    </row>
    <row r="123" spans="1:3" x14ac:dyDescent="0.15">
      <c r="A123" t="s">
        <v>177</v>
      </c>
      <c r="B123" s="2">
        <v>101705</v>
      </c>
      <c r="C123" t="s">
        <v>182</v>
      </c>
    </row>
    <row r="124" spans="1:3" x14ac:dyDescent="0.15">
      <c r="A124" t="s">
        <v>186</v>
      </c>
      <c r="B124" s="2">
        <v>101706</v>
      </c>
      <c r="C124" t="s">
        <v>187</v>
      </c>
    </row>
    <row r="125" spans="1:3" x14ac:dyDescent="0.15">
      <c r="A125" t="s">
        <v>178</v>
      </c>
      <c r="B125" s="2">
        <v>101707</v>
      </c>
      <c r="C125" t="s">
        <v>183</v>
      </c>
    </row>
    <row r="126" spans="1:3" x14ac:dyDescent="0.15">
      <c r="A126" t="s">
        <v>179</v>
      </c>
      <c r="B126" s="2">
        <v>101708</v>
      </c>
      <c r="C126" t="s">
        <v>184</v>
      </c>
    </row>
    <row r="127" spans="1:3" x14ac:dyDescent="0.15">
      <c r="A127" t="s">
        <v>180</v>
      </c>
      <c r="B127" s="2">
        <v>101709</v>
      </c>
      <c r="C127" t="s">
        <v>124</v>
      </c>
    </row>
    <row r="128" spans="1:3" x14ac:dyDescent="0.15">
      <c r="A128" t="s">
        <v>181</v>
      </c>
      <c r="B128" s="2">
        <v>101710</v>
      </c>
      <c r="C128" t="s">
        <v>185</v>
      </c>
    </row>
    <row r="129" spans="1:3" x14ac:dyDescent="0.15">
      <c r="A129" t="s">
        <v>188</v>
      </c>
      <c r="B129" s="2">
        <v>101711</v>
      </c>
      <c r="C129" t="s">
        <v>122</v>
      </c>
    </row>
    <row r="130" spans="1:3" x14ac:dyDescent="0.15">
      <c r="A130" t="s">
        <v>189</v>
      </c>
      <c r="B130" s="2">
        <v>101712</v>
      </c>
      <c r="C130" t="s">
        <v>117</v>
      </c>
    </row>
    <row r="131" spans="1:3" x14ac:dyDescent="0.15">
      <c r="A131" t="s">
        <v>204</v>
      </c>
      <c r="B131" s="2">
        <v>101714</v>
      </c>
      <c r="C131" t="s">
        <v>142</v>
      </c>
    </row>
    <row r="132" spans="1:3" x14ac:dyDescent="0.15">
      <c r="A132" t="s">
        <v>190</v>
      </c>
      <c r="B132" s="2">
        <v>101716</v>
      </c>
      <c r="C132" t="s">
        <v>198</v>
      </c>
    </row>
    <row r="133" spans="1:3" x14ac:dyDescent="0.15">
      <c r="A133" t="s">
        <v>191</v>
      </c>
      <c r="B133" s="2">
        <v>101717</v>
      </c>
      <c r="C133" t="s">
        <v>199</v>
      </c>
    </row>
    <row r="134" spans="1:3" x14ac:dyDescent="0.15">
      <c r="A134" t="s">
        <v>192</v>
      </c>
      <c r="B134" s="2">
        <v>101718</v>
      </c>
      <c r="C134" t="s">
        <v>124</v>
      </c>
    </row>
    <row r="135" spans="1:3" x14ac:dyDescent="0.15">
      <c r="A135" t="s">
        <v>193</v>
      </c>
      <c r="B135" s="2">
        <v>101719</v>
      </c>
      <c r="C135" t="s">
        <v>200</v>
      </c>
    </row>
    <row r="136" spans="1:3" x14ac:dyDescent="0.15">
      <c r="A136" t="s">
        <v>194</v>
      </c>
      <c r="B136" s="2">
        <v>101720</v>
      </c>
      <c r="C136" t="s">
        <v>201</v>
      </c>
    </row>
    <row r="137" spans="1:3" x14ac:dyDescent="0.15">
      <c r="A137" t="s">
        <v>195</v>
      </c>
      <c r="B137" s="2">
        <v>101721</v>
      </c>
      <c r="C137" t="s">
        <v>117</v>
      </c>
    </row>
    <row r="138" spans="1:3" x14ac:dyDescent="0.15">
      <c r="A138" t="s">
        <v>205</v>
      </c>
      <c r="B138" s="2">
        <v>101722</v>
      </c>
      <c r="C138" t="s">
        <v>207</v>
      </c>
    </row>
    <row r="139" spans="1:3" x14ac:dyDescent="0.15">
      <c r="A139" t="s">
        <v>196</v>
      </c>
      <c r="B139" s="2">
        <v>101723</v>
      </c>
      <c r="C139" t="s">
        <v>202</v>
      </c>
    </row>
    <row r="140" spans="1:3" x14ac:dyDescent="0.15">
      <c r="A140" t="s">
        <v>197</v>
      </c>
      <c r="B140" s="2">
        <v>101725</v>
      </c>
      <c r="C140" t="s">
        <v>203</v>
      </c>
    </row>
    <row r="141" spans="1:3" x14ac:dyDescent="0.15">
      <c r="A141" t="s">
        <v>206</v>
      </c>
      <c r="B141" s="2">
        <v>101726</v>
      </c>
      <c r="C141" t="s">
        <v>208</v>
      </c>
    </row>
    <row r="142" spans="1:3" x14ac:dyDescent="0.15">
      <c r="A142" t="s">
        <v>353</v>
      </c>
      <c r="B142" s="18">
        <v>101729</v>
      </c>
      <c r="C142" t="s">
        <v>106</v>
      </c>
    </row>
    <row r="143" spans="1:3" x14ac:dyDescent="0.15">
      <c r="A143" t="s">
        <v>355</v>
      </c>
      <c r="B143" s="2">
        <v>101730</v>
      </c>
      <c r="C143" t="s">
        <v>370</v>
      </c>
    </row>
    <row r="144" spans="1:3" x14ac:dyDescent="0.15">
      <c r="A144" t="s">
        <v>356</v>
      </c>
      <c r="B144" s="2">
        <v>101732</v>
      </c>
      <c r="C144" t="s">
        <v>108</v>
      </c>
    </row>
    <row r="145" spans="1:3" x14ac:dyDescent="0.15">
      <c r="A145" t="s">
        <v>357</v>
      </c>
      <c r="B145" s="2">
        <v>101733</v>
      </c>
      <c r="C145" t="s">
        <v>124</v>
      </c>
    </row>
    <row r="146" spans="1:3" x14ac:dyDescent="0.15">
      <c r="A146" t="s">
        <v>358</v>
      </c>
      <c r="B146" s="2">
        <v>101736</v>
      </c>
      <c r="C146" t="s">
        <v>371</v>
      </c>
    </row>
    <row r="147" spans="1:3" x14ac:dyDescent="0.15">
      <c r="A147" t="s">
        <v>359</v>
      </c>
      <c r="B147" s="2">
        <v>101737</v>
      </c>
      <c r="C147" t="s">
        <v>372</v>
      </c>
    </row>
    <row r="148" spans="1:3" x14ac:dyDescent="0.15">
      <c r="A148" t="s">
        <v>360</v>
      </c>
      <c r="B148" s="2">
        <v>101738</v>
      </c>
      <c r="C148" t="s">
        <v>373</v>
      </c>
    </row>
    <row r="149" spans="1:3" x14ac:dyDescent="0.15">
      <c r="A149" t="s">
        <v>361</v>
      </c>
      <c r="B149" s="2">
        <v>101739</v>
      </c>
      <c r="C149" t="s">
        <v>374</v>
      </c>
    </row>
    <row r="150" spans="1:3" x14ac:dyDescent="0.15">
      <c r="A150" t="s">
        <v>383</v>
      </c>
      <c r="B150" s="2">
        <v>101740</v>
      </c>
      <c r="C150" t="s">
        <v>375</v>
      </c>
    </row>
    <row r="151" spans="1:3" x14ac:dyDescent="0.15">
      <c r="A151" t="s">
        <v>362</v>
      </c>
      <c r="B151" s="2">
        <v>101741</v>
      </c>
      <c r="C151" t="s">
        <v>376</v>
      </c>
    </row>
    <row r="152" spans="1:3" x14ac:dyDescent="0.15">
      <c r="A152" t="s">
        <v>384</v>
      </c>
      <c r="B152" s="2">
        <v>101742</v>
      </c>
      <c r="C152" t="s">
        <v>124</v>
      </c>
    </row>
    <row r="153" spans="1:3" x14ac:dyDescent="0.15">
      <c r="A153" t="s">
        <v>363</v>
      </c>
      <c r="B153" s="2">
        <v>101744</v>
      </c>
      <c r="C153" t="s">
        <v>377</v>
      </c>
    </row>
    <row r="154" spans="1:3" x14ac:dyDescent="0.15">
      <c r="A154" t="s">
        <v>364</v>
      </c>
      <c r="B154" s="2">
        <v>101745</v>
      </c>
      <c r="C154" t="s">
        <v>378</v>
      </c>
    </row>
    <row r="155" spans="1:3" x14ac:dyDescent="0.15">
      <c r="A155" t="s">
        <v>365</v>
      </c>
      <c r="B155" s="2">
        <v>101746</v>
      </c>
      <c r="C155" t="s">
        <v>379</v>
      </c>
    </row>
    <row r="156" spans="1:3" x14ac:dyDescent="0.15">
      <c r="A156" t="s">
        <v>366</v>
      </c>
      <c r="B156" s="2">
        <v>101747</v>
      </c>
      <c r="C156" t="s">
        <v>380</v>
      </c>
    </row>
    <row r="157" spans="1:3" x14ac:dyDescent="0.15">
      <c r="A157" t="s">
        <v>367</v>
      </c>
      <c r="B157" s="2">
        <v>101748</v>
      </c>
      <c r="C157" t="s">
        <v>381</v>
      </c>
    </row>
    <row r="158" spans="1:3" x14ac:dyDescent="0.15">
      <c r="A158" t="s">
        <v>368</v>
      </c>
      <c r="B158" s="2">
        <v>101749</v>
      </c>
      <c r="C158" t="s">
        <v>439</v>
      </c>
    </row>
    <row r="159" spans="1:3" x14ac:dyDescent="0.15">
      <c r="A159" t="s">
        <v>369</v>
      </c>
      <c r="B159" s="2">
        <v>101751</v>
      </c>
      <c r="C159" t="s">
        <v>382</v>
      </c>
    </row>
    <row r="160" spans="1:3" x14ac:dyDescent="0.15">
      <c r="A160" t="s">
        <v>58</v>
      </c>
      <c r="B160" s="18">
        <v>101603</v>
      </c>
      <c r="C160" t="s">
        <v>440</v>
      </c>
    </row>
    <row r="161" spans="1:3" x14ac:dyDescent="0.15">
      <c r="A161" t="s">
        <v>385</v>
      </c>
      <c r="B161" s="18">
        <v>101727</v>
      </c>
      <c r="C161" t="s">
        <v>441</v>
      </c>
    </row>
    <row r="162" spans="1:3" x14ac:dyDescent="0.15">
      <c r="A162" t="s">
        <v>387</v>
      </c>
      <c r="B162" s="2">
        <v>101753</v>
      </c>
      <c r="C162" t="s">
        <v>442</v>
      </c>
    </row>
    <row r="163" spans="1:3" x14ac:dyDescent="0.15">
      <c r="A163" t="s">
        <v>388</v>
      </c>
      <c r="B163" s="2">
        <v>730004</v>
      </c>
      <c r="C163" t="s">
        <v>443</v>
      </c>
    </row>
    <row r="164" spans="1:3" x14ac:dyDescent="0.15">
      <c r="A164" t="s">
        <v>389</v>
      </c>
      <c r="B164" s="2">
        <v>720004</v>
      </c>
      <c r="C164" t="s">
        <v>443</v>
      </c>
    </row>
    <row r="165" spans="1:3" x14ac:dyDescent="0.15">
      <c r="A165" t="s">
        <v>390</v>
      </c>
      <c r="B165" s="2">
        <v>101754</v>
      </c>
      <c r="C165" t="s">
        <v>444</v>
      </c>
    </row>
    <row r="166" spans="1:3" x14ac:dyDescent="0.15">
      <c r="A166" t="s">
        <v>391</v>
      </c>
      <c r="B166" s="2">
        <v>101755</v>
      </c>
      <c r="C166" t="s">
        <v>445</v>
      </c>
    </row>
    <row r="167" spans="1:3" x14ac:dyDescent="0.15">
      <c r="A167" t="s">
        <v>392</v>
      </c>
      <c r="B167" s="2">
        <v>101756</v>
      </c>
      <c r="C167" t="s">
        <v>446</v>
      </c>
    </row>
    <row r="168" spans="1:3" x14ac:dyDescent="0.15">
      <c r="A168" t="s">
        <v>393</v>
      </c>
      <c r="B168" s="2">
        <v>101757</v>
      </c>
      <c r="C168" t="s">
        <v>480</v>
      </c>
    </row>
    <row r="169" spans="1:3" x14ac:dyDescent="0.15">
      <c r="A169" t="s">
        <v>366</v>
      </c>
      <c r="B169" s="2">
        <v>101747</v>
      </c>
      <c r="C169" t="s">
        <v>447</v>
      </c>
    </row>
    <row r="170" spans="1:3" x14ac:dyDescent="0.15">
      <c r="A170" t="s">
        <v>394</v>
      </c>
      <c r="B170" s="2">
        <v>101058</v>
      </c>
      <c r="C170" t="s">
        <v>448</v>
      </c>
    </row>
    <row r="171" spans="1:3" x14ac:dyDescent="0.15">
      <c r="A171" t="s">
        <v>395</v>
      </c>
      <c r="B171" s="2">
        <v>101758</v>
      </c>
      <c r="C171" t="s">
        <v>448</v>
      </c>
    </row>
    <row r="172" spans="1:3" x14ac:dyDescent="0.15">
      <c r="A172" t="s">
        <v>396</v>
      </c>
      <c r="B172" s="2">
        <v>101759</v>
      </c>
      <c r="C172" t="s">
        <v>449</v>
      </c>
    </row>
    <row r="173" spans="1:3" x14ac:dyDescent="0.15">
      <c r="A173" t="s">
        <v>397</v>
      </c>
      <c r="B173" s="2">
        <v>101760</v>
      </c>
      <c r="C173" t="s">
        <v>449</v>
      </c>
    </row>
    <row r="174" spans="1:3" x14ac:dyDescent="0.15">
      <c r="A174" t="s">
        <v>398</v>
      </c>
      <c r="B174" s="2">
        <v>101761</v>
      </c>
      <c r="C174" t="s">
        <v>450</v>
      </c>
    </row>
    <row r="175" spans="1:3" x14ac:dyDescent="0.15">
      <c r="A175" t="s">
        <v>399</v>
      </c>
      <c r="B175" s="2">
        <v>101762</v>
      </c>
      <c r="C175" t="s">
        <v>451</v>
      </c>
    </row>
    <row r="176" spans="1:3" x14ac:dyDescent="0.15">
      <c r="A176" t="s">
        <v>400</v>
      </c>
      <c r="B176" s="2">
        <v>101763</v>
      </c>
      <c r="C176" t="s">
        <v>140</v>
      </c>
    </row>
    <row r="177" spans="1:3" x14ac:dyDescent="0.15">
      <c r="A177" t="s">
        <v>401</v>
      </c>
      <c r="B177" s="2">
        <v>101764</v>
      </c>
      <c r="C177" t="s">
        <v>451</v>
      </c>
    </row>
    <row r="178" spans="1:3" x14ac:dyDescent="0.15">
      <c r="A178" t="s">
        <v>402</v>
      </c>
      <c r="B178" s="2">
        <v>101765</v>
      </c>
      <c r="C178" t="s">
        <v>117</v>
      </c>
    </row>
    <row r="179" spans="1:3" x14ac:dyDescent="0.15">
      <c r="A179" t="s">
        <v>403</v>
      </c>
      <c r="B179" s="2">
        <v>101766</v>
      </c>
      <c r="C179" t="s">
        <v>452</v>
      </c>
    </row>
    <row r="180" spans="1:3" x14ac:dyDescent="0.15">
      <c r="A180" t="s">
        <v>404</v>
      </c>
      <c r="B180" s="2">
        <v>101767</v>
      </c>
      <c r="C180" t="s">
        <v>453</v>
      </c>
    </row>
    <row r="181" spans="1:3" x14ac:dyDescent="0.15">
      <c r="A181" t="s">
        <v>456</v>
      </c>
      <c r="B181" s="2">
        <v>101768</v>
      </c>
      <c r="C181" t="s">
        <v>468</v>
      </c>
    </row>
    <row r="182" spans="1:3" x14ac:dyDescent="0.15">
      <c r="A182" t="s">
        <v>405</v>
      </c>
      <c r="B182" s="2">
        <v>101769</v>
      </c>
      <c r="C182" t="s">
        <v>454</v>
      </c>
    </row>
    <row r="183" spans="1:3" x14ac:dyDescent="0.15">
      <c r="A183" t="s">
        <v>457</v>
      </c>
      <c r="B183" s="18">
        <v>101752</v>
      </c>
      <c r="C183" t="s">
        <v>124</v>
      </c>
    </row>
    <row r="184" spans="1:3" x14ac:dyDescent="0.15">
      <c r="A184" t="s">
        <v>458</v>
      </c>
      <c r="B184" s="2">
        <v>101770</v>
      </c>
      <c r="C184" t="s">
        <v>469</v>
      </c>
    </row>
    <row r="185" spans="1:3" x14ac:dyDescent="0.15">
      <c r="A185" t="s">
        <v>459</v>
      </c>
      <c r="B185" s="2">
        <v>101771</v>
      </c>
      <c r="C185" t="s">
        <v>452</v>
      </c>
    </row>
    <row r="186" spans="1:3" x14ac:dyDescent="0.15">
      <c r="A186" t="s">
        <v>460</v>
      </c>
      <c r="B186" s="2">
        <v>101772</v>
      </c>
      <c r="C186" t="s">
        <v>470</v>
      </c>
    </row>
    <row r="187" spans="1:3" x14ac:dyDescent="0.15">
      <c r="A187" t="s">
        <v>461</v>
      </c>
      <c r="B187" s="2">
        <v>101773</v>
      </c>
      <c r="C187" t="s">
        <v>471</v>
      </c>
    </row>
    <row r="188" spans="1:3" x14ac:dyDescent="0.15">
      <c r="A188" t="s">
        <v>462</v>
      </c>
      <c r="B188" s="2">
        <v>101775</v>
      </c>
      <c r="C188" t="s">
        <v>472</v>
      </c>
    </row>
    <row r="189" spans="1:3" x14ac:dyDescent="0.15">
      <c r="A189" t="s">
        <v>463</v>
      </c>
      <c r="B189" s="2">
        <v>101776</v>
      </c>
      <c r="C189" t="s">
        <v>124</v>
      </c>
    </row>
    <row r="190" spans="1:3" x14ac:dyDescent="0.15">
      <c r="A190" t="s">
        <v>464</v>
      </c>
      <c r="B190" s="2">
        <v>101777</v>
      </c>
      <c r="C190" t="s">
        <v>473</v>
      </c>
    </row>
    <row r="191" spans="1:3" x14ac:dyDescent="0.15">
      <c r="A191" t="s">
        <v>465</v>
      </c>
      <c r="B191" s="2">
        <v>101778</v>
      </c>
      <c r="C191" t="s">
        <v>474</v>
      </c>
    </row>
    <row r="192" spans="1:3" x14ac:dyDescent="0.15">
      <c r="A192" t="s">
        <v>466</v>
      </c>
      <c r="B192" s="2">
        <v>101779</v>
      </c>
      <c r="C192" t="s">
        <v>475</v>
      </c>
    </row>
    <row r="193" spans="1:3" x14ac:dyDescent="0.15">
      <c r="A193" t="s">
        <v>467</v>
      </c>
      <c r="B193" s="2">
        <v>101780</v>
      </c>
      <c r="C193" t="s">
        <v>124</v>
      </c>
    </row>
    <row r="194" spans="1:3" x14ac:dyDescent="0.15">
      <c r="A194" t="s">
        <v>9</v>
      </c>
      <c r="B194" s="2">
        <v>101781</v>
      </c>
      <c r="C194" t="s">
        <v>124</v>
      </c>
    </row>
    <row r="195" spans="1:3" x14ac:dyDescent="0.15">
      <c r="A195" t="s">
        <v>174</v>
      </c>
      <c r="B195" s="2">
        <v>101782</v>
      </c>
      <c r="C195" t="s">
        <v>165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2025-11-17T13:48:34Z</dcterms:modified>
</cp:coreProperties>
</file>